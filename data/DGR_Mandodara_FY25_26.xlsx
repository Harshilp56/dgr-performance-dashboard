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240" windowHeight="11130" tabRatio="915" firstSheet="1" activeTab="11"/>
  </bookViews>
  <sheets>
    <sheet name="Budgeted_Data" sheetId="10" r:id="rId1"/>
    <sheet name="Data_Entry" sheetId="9" r:id="rId2"/>
    <sheet name="Inverter_PR" sheetId="15" r:id="rId3"/>
    <sheet name="DGR" sheetId="8" r:id="rId4"/>
    <sheet name="Invt_Analysis_Gen_Per_KW &amp;_PR" sheetId="14" r:id="rId5"/>
    <sheet name="Basic_Data" sheetId="4" r:id="rId6"/>
    <sheet name="E-Mail_Copy" sheetId="12" r:id="rId7"/>
    <sheet name="Plant_Down_Time Details" sheetId="3" r:id="rId8"/>
    <sheet name="Plant_Grid_Down_Time_Details" sheetId="7" r:id="rId9"/>
    <sheet name="Module_Cleaning" sheetId="13" r:id="rId10"/>
    <sheet name="WMS" sheetId="5" r:id="rId11"/>
    <sheet name="Plant  Availiblity" sheetId="16" r:id="rId12"/>
    <sheet name="Grid Availiblity" sheetId="17" r:id="rId13"/>
    <sheet name="Sheet1" sheetId="18" r:id="rId14"/>
    <sheet name="Sheet2" sheetId="19" r:id="rId15"/>
  </sheets>
  <externalReferences>
    <externalReference r:id="rId16"/>
  </externalReferenc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4" i="16" l="1"/>
  <c r="E335" i="16"/>
  <c r="E336" i="16"/>
  <c r="E337" i="16"/>
  <c r="E338" i="16"/>
  <c r="E339" i="16"/>
  <c r="E340" i="16"/>
  <c r="E341" i="16"/>
  <c r="E342" i="16"/>
  <c r="E343" i="16"/>
  <c r="E344" i="16"/>
  <c r="E345" i="16"/>
  <c r="E346" i="16"/>
  <c r="E347" i="16"/>
  <c r="E348" i="16"/>
  <c r="O348" i="16" s="1"/>
  <c r="Q348" i="16" s="1"/>
  <c r="R348" i="16" s="1"/>
  <c r="O344" i="16"/>
  <c r="Q344" i="16" s="1"/>
  <c r="R344" i="16" s="1"/>
  <c r="P360" i="17"/>
  <c r="O360" i="17"/>
  <c r="N360" i="17"/>
  <c r="M360" i="17"/>
  <c r="L360" i="17"/>
  <c r="K360" i="17"/>
  <c r="H360" i="17"/>
  <c r="G360" i="17"/>
  <c r="D360" i="17"/>
  <c r="C360" i="17"/>
  <c r="B360" i="17"/>
  <c r="P359" i="17"/>
  <c r="O359" i="17"/>
  <c r="N359" i="17"/>
  <c r="M359" i="17"/>
  <c r="L359" i="17"/>
  <c r="K359" i="17"/>
  <c r="H359" i="17"/>
  <c r="G359" i="17"/>
  <c r="D359" i="17"/>
  <c r="C359" i="17"/>
  <c r="B359" i="17"/>
  <c r="P358" i="17"/>
  <c r="O358" i="17"/>
  <c r="N358" i="17"/>
  <c r="M358" i="17"/>
  <c r="L358" i="17"/>
  <c r="K358" i="17"/>
  <c r="H358" i="17"/>
  <c r="G358" i="17"/>
  <c r="D358" i="17"/>
  <c r="C358" i="17"/>
  <c r="B358" i="17"/>
  <c r="P357" i="17"/>
  <c r="O357" i="17"/>
  <c r="N357" i="17"/>
  <c r="M357" i="17"/>
  <c r="L357" i="17"/>
  <c r="K357" i="17"/>
  <c r="H357" i="17"/>
  <c r="G357" i="17"/>
  <c r="D357" i="17"/>
  <c r="C357" i="17"/>
  <c r="B357" i="17"/>
  <c r="P356" i="17"/>
  <c r="O356" i="17"/>
  <c r="N356" i="17"/>
  <c r="M356" i="17"/>
  <c r="L356" i="17"/>
  <c r="K356" i="17"/>
  <c r="H356" i="17"/>
  <c r="G356" i="17"/>
  <c r="D356" i="17"/>
  <c r="C356" i="17"/>
  <c r="B356" i="17"/>
  <c r="P355" i="17"/>
  <c r="O355" i="17"/>
  <c r="N355" i="17"/>
  <c r="M355" i="17"/>
  <c r="L355" i="17"/>
  <c r="K355" i="17"/>
  <c r="H355" i="17"/>
  <c r="G355" i="17"/>
  <c r="D355" i="17"/>
  <c r="C355" i="17"/>
  <c r="B355" i="17"/>
  <c r="P354" i="17"/>
  <c r="O354" i="17"/>
  <c r="N354" i="17"/>
  <c r="M354" i="17"/>
  <c r="L354" i="17"/>
  <c r="K354" i="17"/>
  <c r="H354" i="17"/>
  <c r="G354" i="17"/>
  <c r="D354" i="17"/>
  <c r="C354" i="17"/>
  <c r="B354" i="17"/>
  <c r="P353" i="17"/>
  <c r="O353" i="17"/>
  <c r="N353" i="17"/>
  <c r="M353" i="17"/>
  <c r="L353" i="17"/>
  <c r="K353" i="17"/>
  <c r="H353" i="17"/>
  <c r="G353" i="17"/>
  <c r="D353" i="17"/>
  <c r="C353" i="17"/>
  <c r="B353" i="17"/>
  <c r="P352" i="17"/>
  <c r="O352" i="17"/>
  <c r="N352" i="17"/>
  <c r="M352" i="17"/>
  <c r="L352" i="17"/>
  <c r="K352" i="17"/>
  <c r="H352" i="17"/>
  <c r="G352" i="17"/>
  <c r="D352" i="17"/>
  <c r="C352" i="17"/>
  <c r="B352" i="17"/>
  <c r="P351" i="17"/>
  <c r="O351" i="17"/>
  <c r="N351" i="17"/>
  <c r="M351" i="17"/>
  <c r="L351" i="17"/>
  <c r="K351" i="17"/>
  <c r="H351" i="17"/>
  <c r="G351" i="17"/>
  <c r="D351" i="17"/>
  <c r="C351" i="17"/>
  <c r="B351" i="17"/>
  <c r="P350" i="17"/>
  <c r="O350" i="17"/>
  <c r="N350" i="17"/>
  <c r="M350" i="17"/>
  <c r="L350" i="17"/>
  <c r="K350" i="17"/>
  <c r="H350" i="17"/>
  <c r="G350" i="17"/>
  <c r="D350" i="17"/>
  <c r="C350" i="17"/>
  <c r="B350" i="17"/>
  <c r="P349" i="17"/>
  <c r="O349" i="17"/>
  <c r="N349" i="17"/>
  <c r="M349" i="17"/>
  <c r="L349" i="17"/>
  <c r="K349" i="17"/>
  <c r="H349" i="17"/>
  <c r="G349" i="17"/>
  <c r="D349" i="17"/>
  <c r="C349" i="17"/>
  <c r="B349" i="17"/>
  <c r="P348" i="17"/>
  <c r="O348" i="17"/>
  <c r="N348" i="17"/>
  <c r="M348" i="17"/>
  <c r="L348" i="17"/>
  <c r="K348" i="17"/>
  <c r="H348" i="17"/>
  <c r="G348" i="17"/>
  <c r="D348" i="17"/>
  <c r="C348" i="17"/>
  <c r="B348" i="17"/>
  <c r="P347" i="17"/>
  <c r="O347" i="17"/>
  <c r="N347" i="17"/>
  <c r="M347" i="17"/>
  <c r="L347" i="17"/>
  <c r="K347" i="17"/>
  <c r="H347" i="17"/>
  <c r="G347" i="17"/>
  <c r="D347" i="17"/>
  <c r="C347" i="17"/>
  <c r="B347" i="17"/>
  <c r="P346" i="17"/>
  <c r="O346" i="17"/>
  <c r="N346" i="17"/>
  <c r="M346" i="17"/>
  <c r="L346" i="17"/>
  <c r="K346" i="17"/>
  <c r="H346" i="17"/>
  <c r="G346" i="17"/>
  <c r="D346" i="17"/>
  <c r="C346" i="17"/>
  <c r="B346" i="17"/>
  <c r="P345" i="17"/>
  <c r="O345" i="17"/>
  <c r="N345" i="17"/>
  <c r="M345" i="17"/>
  <c r="L345" i="17"/>
  <c r="K345" i="17"/>
  <c r="H345" i="17"/>
  <c r="G345" i="17"/>
  <c r="D345" i="17"/>
  <c r="C345" i="17"/>
  <c r="B345" i="17"/>
  <c r="P344" i="17"/>
  <c r="O344" i="17"/>
  <c r="N344" i="17"/>
  <c r="M344" i="17"/>
  <c r="L344" i="17"/>
  <c r="K344" i="17"/>
  <c r="H344" i="17"/>
  <c r="G344" i="17"/>
  <c r="D344" i="17"/>
  <c r="C344" i="17"/>
  <c r="B344" i="17"/>
  <c r="P343" i="17"/>
  <c r="O343" i="17"/>
  <c r="N343" i="17"/>
  <c r="M343" i="17"/>
  <c r="L343" i="17"/>
  <c r="K343" i="17"/>
  <c r="H343" i="17"/>
  <c r="G343" i="17"/>
  <c r="D343" i="17"/>
  <c r="C343" i="17"/>
  <c r="B343" i="17"/>
  <c r="P342" i="17"/>
  <c r="O342" i="17"/>
  <c r="N342" i="17"/>
  <c r="M342" i="17"/>
  <c r="L342" i="17"/>
  <c r="K342" i="17"/>
  <c r="H342" i="17"/>
  <c r="G342" i="17"/>
  <c r="D342" i="17"/>
  <c r="C342" i="17"/>
  <c r="B342" i="17"/>
  <c r="P341" i="17"/>
  <c r="O341" i="17"/>
  <c r="N341" i="17"/>
  <c r="M341" i="17"/>
  <c r="L341" i="17"/>
  <c r="K341" i="17"/>
  <c r="H341" i="17"/>
  <c r="G341" i="17"/>
  <c r="D341" i="17"/>
  <c r="C341" i="17"/>
  <c r="B341" i="17"/>
  <c r="P340" i="17"/>
  <c r="O340" i="17"/>
  <c r="N340" i="17"/>
  <c r="M340" i="17"/>
  <c r="L340" i="17"/>
  <c r="K340" i="17"/>
  <c r="H340" i="17"/>
  <c r="G340" i="17"/>
  <c r="D340" i="17"/>
  <c r="C340" i="17"/>
  <c r="B340" i="17"/>
  <c r="P339" i="17"/>
  <c r="O339" i="17"/>
  <c r="N339" i="17"/>
  <c r="M339" i="17"/>
  <c r="L339" i="17"/>
  <c r="K339" i="17"/>
  <c r="H339" i="17"/>
  <c r="G339" i="17"/>
  <c r="D339" i="17"/>
  <c r="C339" i="17"/>
  <c r="B339" i="17"/>
  <c r="P338" i="17"/>
  <c r="O338" i="17"/>
  <c r="N338" i="17"/>
  <c r="M338" i="17"/>
  <c r="L338" i="17"/>
  <c r="K338" i="17"/>
  <c r="H338" i="17"/>
  <c r="G338" i="17"/>
  <c r="D338" i="17"/>
  <c r="C338" i="17"/>
  <c r="B338" i="17"/>
  <c r="P337" i="17"/>
  <c r="O337" i="17"/>
  <c r="N337" i="17"/>
  <c r="M337" i="17"/>
  <c r="L337" i="17"/>
  <c r="K337" i="17"/>
  <c r="H337" i="17"/>
  <c r="G337" i="17"/>
  <c r="D337" i="17"/>
  <c r="C337" i="17"/>
  <c r="B337" i="17"/>
  <c r="P336" i="17"/>
  <c r="O336" i="17"/>
  <c r="N336" i="17"/>
  <c r="M336" i="17"/>
  <c r="L336" i="17"/>
  <c r="K336" i="17"/>
  <c r="H336" i="17"/>
  <c r="G336" i="17"/>
  <c r="D336" i="17"/>
  <c r="C336" i="17"/>
  <c r="B336" i="17"/>
  <c r="P335" i="17"/>
  <c r="O335" i="17"/>
  <c r="N335" i="17"/>
  <c r="M335" i="17"/>
  <c r="L335" i="17"/>
  <c r="K335" i="17"/>
  <c r="H335" i="17"/>
  <c r="G335" i="17"/>
  <c r="D335" i="17"/>
  <c r="C335" i="17"/>
  <c r="B335" i="17"/>
  <c r="P334" i="17"/>
  <c r="O334" i="17"/>
  <c r="N334" i="17"/>
  <c r="M334" i="17"/>
  <c r="L334" i="17"/>
  <c r="K334" i="17"/>
  <c r="H334" i="17"/>
  <c r="G334" i="17"/>
  <c r="D334" i="17"/>
  <c r="C334" i="17"/>
  <c r="B334" i="17"/>
  <c r="P333" i="17"/>
  <c r="O333" i="17"/>
  <c r="N333" i="17"/>
  <c r="M333" i="17"/>
  <c r="L333" i="17"/>
  <c r="K333" i="17"/>
  <c r="H333" i="17"/>
  <c r="G333" i="17"/>
  <c r="D333" i="17"/>
  <c r="C333" i="17"/>
  <c r="B333" i="17"/>
  <c r="P332" i="17"/>
  <c r="O332" i="17"/>
  <c r="N332" i="17"/>
  <c r="M332" i="17"/>
  <c r="L332" i="17"/>
  <c r="K332" i="17"/>
  <c r="H332" i="17"/>
  <c r="G332" i="17"/>
  <c r="D332" i="17"/>
  <c r="C332" i="17"/>
  <c r="B332" i="17"/>
  <c r="P331" i="17"/>
  <c r="O331" i="17"/>
  <c r="N331" i="17"/>
  <c r="M331" i="17"/>
  <c r="L331" i="17"/>
  <c r="K331" i="17"/>
  <c r="H331" i="17"/>
  <c r="G331" i="17"/>
  <c r="D331" i="17"/>
  <c r="C331" i="17"/>
  <c r="B331" i="17"/>
  <c r="P330" i="17"/>
  <c r="O330" i="17"/>
  <c r="N330" i="17"/>
  <c r="M330" i="17"/>
  <c r="L330" i="17"/>
  <c r="K330" i="17"/>
  <c r="H330" i="17"/>
  <c r="G330" i="17"/>
  <c r="D330" i="17"/>
  <c r="C330" i="17"/>
  <c r="B330" i="17"/>
  <c r="P329" i="17"/>
  <c r="O329" i="17"/>
  <c r="N329" i="17"/>
  <c r="M329" i="17"/>
  <c r="L329" i="17"/>
  <c r="K329" i="17"/>
  <c r="H329" i="17"/>
  <c r="G329" i="17"/>
  <c r="D329" i="17"/>
  <c r="C329" i="17"/>
  <c r="B329" i="17"/>
  <c r="P328" i="17"/>
  <c r="O328" i="17"/>
  <c r="N328" i="17"/>
  <c r="M328" i="17"/>
  <c r="L328" i="17"/>
  <c r="K328" i="17"/>
  <c r="H328" i="17"/>
  <c r="G328" i="17"/>
  <c r="D328" i="17"/>
  <c r="C328" i="17"/>
  <c r="B328" i="17"/>
  <c r="P327" i="17"/>
  <c r="O327" i="17"/>
  <c r="N327" i="17"/>
  <c r="M327" i="17"/>
  <c r="L327" i="17"/>
  <c r="K327" i="17"/>
  <c r="H327" i="17"/>
  <c r="G327" i="17"/>
  <c r="D327" i="17"/>
  <c r="C327" i="17"/>
  <c r="B327" i="17"/>
  <c r="P326" i="17"/>
  <c r="O326" i="17"/>
  <c r="N326" i="17"/>
  <c r="M326" i="17"/>
  <c r="L326" i="17"/>
  <c r="K326" i="17"/>
  <c r="H326" i="17"/>
  <c r="G326" i="17"/>
  <c r="D326" i="17"/>
  <c r="C326" i="17"/>
  <c r="B326" i="17"/>
  <c r="P325" i="17"/>
  <c r="O325" i="17"/>
  <c r="N325" i="17"/>
  <c r="M325" i="17"/>
  <c r="L325" i="17"/>
  <c r="K325" i="17"/>
  <c r="H325" i="17"/>
  <c r="G325" i="17"/>
  <c r="D325" i="17"/>
  <c r="C325" i="17"/>
  <c r="B325" i="17"/>
  <c r="P324" i="17"/>
  <c r="O324" i="17"/>
  <c r="N324" i="17"/>
  <c r="M324" i="17"/>
  <c r="L324" i="17"/>
  <c r="K324" i="17"/>
  <c r="H324" i="17"/>
  <c r="G324" i="17"/>
  <c r="D324" i="17"/>
  <c r="C324" i="17"/>
  <c r="B324" i="17"/>
  <c r="P323" i="17"/>
  <c r="O323" i="17"/>
  <c r="N323" i="17"/>
  <c r="M323" i="17"/>
  <c r="L323" i="17"/>
  <c r="K323" i="17"/>
  <c r="H323" i="17"/>
  <c r="G323" i="17"/>
  <c r="D323" i="17"/>
  <c r="C323" i="17"/>
  <c r="B323" i="17"/>
  <c r="P322" i="17"/>
  <c r="O322" i="17"/>
  <c r="N322" i="17"/>
  <c r="M322" i="17"/>
  <c r="L322" i="17"/>
  <c r="K322" i="17"/>
  <c r="H322" i="17"/>
  <c r="G322" i="17"/>
  <c r="D322" i="17"/>
  <c r="C322" i="17"/>
  <c r="B322" i="17"/>
  <c r="P321" i="17"/>
  <c r="O321" i="17"/>
  <c r="N321" i="17"/>
  <c r="M321" i="17"/>
  <c r="L321" i="17"/>
  <c r="K321" i="17"/>
  <c r="H321" i="17"/>
  <c r="G321" i="17"/>
  <c r="D321" i="17"/>
  <c r="C321" i="17"/>
  <c r="B321" i="17"/>
  <c r="P320" i="17"/>
  <c r="O320" i="17"/>
  <c r="N320" i="17"/>
  <c r="M320" i="17"/>
  <c r="L320" i="17"/>
  <c r="K320" i="17"/>
  <c r="H320" i="17"/>
  <c r="G320" i="17"/>
  <c r="D320" i="17"/>
  <c r="C320" i="17"/>
  <c r="B320" i="17"/>
  <c r="P319" i="17"/>
  <c r="O319" i="17"/>
  <c r="N319" i="17"/>
  <c r="M319" i="17"/>
  <c r="L319" i="17"/>
  <c r="K319" i="17"/>
  <c r="H319" i="17"/>
  <c r="G319" i="17"/>
  <c r="D319" i="17"/>
  <c r="C319" i="17"/>
  <c r="B319" i="17"/>
  <c r="P318" i="17"/>
  <c r="O318" i="17"/>
  <c r="N318" i="17"/>
  <c r="M318" i="17"/>
  <c r="L318" i="17"/>
  <c r="K318" i="17"/>
  <c r="H318" i="17"/>
  <c r="G318" i="17"/>
  <c r="D318" i="17"/>
  <c r="C318" i="17"/>
  <c r="B318" i="17"/>
  <c r="P317" i="17"/>
  <c r="O317" i="17"/>
  <c r="N317" i="17"/>
  <c r="M317" i="17"/>
  <c r="L317" i="17"/>
  <c r="K317" i="17"/>
  <c r="H317" i="17"/>
  <c r="G317" i="17"/>
  <c r="D317" i="17"/>
  <c r="C317" i="17"/>
  <c r="B317" i="17"/>
  <c r="P316" i="17"/>
  <c r="O316" i="17"/>
  <c r="N316" i="17"/>
  <c r="M316" i="17"/>
  <c r="L316" i="17"/>
  <c r="K316" i="17"/>
  <c r="H316" i="17"/>
  <c r="G316" i="17"/>
  <c r="D316" i="17"/>
  <c r="C316" i="17"/>
  <c r="B316" i="17"/>
  <c r="P315" i="17"/>
  <c r="O315" i="17"/>
  <c r="N315" i="17"/>
  <c r="M315" i="17"/>
  <c r="L315" i="17"/>
  <c r="K315" i="17"/>
  <c r="H315" i="17"/>
  <c r="G315" i="17"/>
  <c r="D315" i="17"/>
  <c r="C315" i="17"/>
  <c r="B315" i="17"/>
  <c r="P314" i="17"/>
  <c r="O314" i="17"/>
  <c r="N314" i="17"/>
  <c r="M314" i="17"/>
  <c r="L314" i="17"/>
  <c r="K314" i="17"/>
  <c r="H314" i="17"/>
  <c r="G314" i="17"/>
  <c r="D314" i="17"/>
  <c r="C314" i="17"/>
  <c r="B314" i="17"/>
  <c r="P313" i="17"/>
  <c r="O313" i="17"/>
  <c r="N313" i="17"/>
  <c r="M313" i="17"/>
  <c r="L313" i="17"/>
  <c r="K313" i="17"/>
  <c r="H313" i="17"/>
  <c r="G313" i="17"/>
  <c r="D313" i="17"/>
  <c r="C313" i="17"/>
  <c r="B313" i="17"/>
  <c r="P312" i="17"/>
  <c r="O312" i="17"/>
  <c r="N312" i="17"/>
  <c r="M312" i="17"/>
  <c r="L312" i="17"/>
  <c r="K312" i="17"/>
  <c r="H312" i="17"/>
  <c r="G312" i="17"/>
  <c r="D312" i="17"/>
  <c r="C312" i="17"/>
  <c r="B312" i="17"/>
  <c r="P311" i="17"/>
  <c r="O311" i="17"/>
  <c r="N311" i="17"/>
  <c r="M311" i="17"/>
  <c r="L311" i="17"/>
  <c r="K311" i="17"/>
  <c r="H311" i="17"/>
  <c r="G311" i="17"/>
  <c r="D311" i="17"/>
  <c r="C311" i="17"/>
  <c r="B311" i="17"/>
  <c r="P310" i="17"/>
  <c r="O310" i="17"/>
  <c r="N310" i="17"/>
  <c r="M310" i="17"/>
  <c r="L310" i="17"/>
  <c r="K310" i="17"/>
  <c r="H310" i="17"/>
  <c r="G310" i="17"/>
  <c r="D310" i="17"/>
  <c r="C310" i="17"/>
  <c r="B310" i="17"/>
  <c r="P309" i="17"/>
  <c r="O309" i="17"/>
  <c r="N309" i="17"/>
  <c r="M309" i="17"/>
  <c r="L309" i="17"/>
  <c r="K309" i="17"/>
  <c r="H309" i="17"/>
  <c r="G309" i="17"/>
  <c r="D309" i="17"/>
  <c r="C309" i="17"/>
  <c r="B309" i="17"/>
  <c r="P308" i="17"/>
  <c r="O308" i="17"/>
  <c r="N308" i="17"/>
  <c r="M308" i="17"/>
  <c r="L308" i="17"/>
  <c r="K308" i="17"/>
  <c r="H308" i="17"/>
  <c r="G308" i="17"/>
  <c r="D308" i="17"/>
  <c r="C308" i="17"/>
  <c r="B308" i="17"/>
  <c r="P307" i="17"/>
  <c r="O307" i="17"/>
  <c r="N307" i="17"/>
  <c r="M307" i="17"/>
  <c r="L307" i="17"/>
  <c r="K307" i="17"/>
  <c r="H307" i="17"/>
  <c r="G307" i="17"/>
  <c r="D307" i="17"/>
  <c r="C307" i="17"/>
  <c r="B307" i="17"/>
  <c r="P306" i="17"/>
  <c r="O306" i="17"/>
  <c r="N306" i="17"/>
  <c r="M306" i="17"/>
  <c r="L306" i="17"/>
  <c r="K306" i="17"/>
  <c r="H306" i="17"/>
  <c r="G306" i="17"/>
  <c r="D306" i="17"/>
  <c r="C306" i="17"/>
  <c r="B306" i="17"/>
  <c r="P305" i="17"/>
  <c r="O305" i="17"/>
  <c r="N305" i="17"/>
  <c r="M305" i="17"/>
  <c r="L305" i="17"/>
  <c r="K305" i="17"/>
  <c r="H305" i="17"/>
  <c r="G305" i="17"/>
  <c r="D305" i="17"/>
  <c r="C305" i="17"/>
  <c r="B305" i="17"/>
  <c r="P304" i="17"/>
  <c r="O304" i="17"/>
  <c r="N304" i="17"/>
  <c r="M304" i="17"/>
  <c r="L304" i="17"/>
  <c r="K304" i="17"/>
  <c r="H304" i="17"/>
  <c r="G304" i="17"/>
  <c r="D304" i="17"/>
  <c r="C304" i="17"/>
  <c r="B304" i="17"/>
  <c r="P303" i="17"/>
  <c r="O303" i="17"/>
  <c r="N303" i="17"/>
  <c r="M303" i="17"/>
  <c r="L303" i="17"/>
  <c r="K303" i="17"/>
  <c r="H303" i="17"/>
  <c r="G303" i="17"/>
  <c r="D303" i="17"/>
  <c r="C303" i="17"/>
  <c r="B303" i="17"/>
  <c r="P302" i="17"/>
  <c r="O302" i="17"/>
  <c r="N302" i="17"/>
  <c r="M302" i="17"/>
  <c r="L302" i="17"/>
  <c r="K302" i="17"/>
  <c r="H302" i="17"/>
  <c r="G302" i="17"/>
  <c r="D302" i="17"/>
  <c r="C302" i="17"/>
  <c r="B302" i="17"/>
  <c r="P301" i="17"/>
  <c r="O301" i="17"/>
  <c r="N301" i="17"/>
  <c r="M301" i="17"/>
  <c r="L301" i="17"/>
  <c r="K301" i="17"/>
  <c r="H301" i="17"/>
  <c r="G301" i="17"/>
  <c r="D301" i="17"/>
  <c r="C301" i="17"/>
  <c r="B301" i="17"/>
  <c r="P300" i="17"/>
  <c r="O300" i="17"/>
  <c r="N300" i="17"/>
  <c r="M300" i="17"/>
  <c r="L300" i="17"/>
  <c r="K300" i="17"/>
  <c r="H300" i="17"/>
  <c r="G300" i="17"/>
  <c r="D300" i="17"/>
  <c r="C300" i="17"/>
  <c r="B300" i="17"/>
  <c r="P299" i="17"/>
  <c r="O299" i="17"/>
  <c r="N299" i="17"/>
  <c r="M299" i="17"/>
  <c r="L299" i="17"/>
  <c r="K299" i="17"/>
  <c r="H299" i="17"/>
  <c r="G299" i="17"/>
  <c r="D299" i="17"/>
  <c r="C299" i="17"/>
  <c r="B299" i="17"/>
  <c r="P298" i="17"/>
  <c r="O298" i="17"/>
  <c r="N298" i="17"/>
  <c r="M298" i="17"/>
  <c r="L298" i="17"/>
  <c r="K298" i="17"/>
  <c r="H298" i="17"/>
  <c r="G298" i="17"/>
  <c r="D298" i="17"/>
  <c r="C298" i="17"/>
  <c r="B298" i="17"/>
  <c r="P297" i="17"/>
  <c r="O297" i="17"/>
  <c r="N297" i="17"/>
  <c r="M297" i="17"/>
  <c r="L297" i="17"/>
  <c r="K297" i="17"/>
  <c r="H297" i="17"/>
  <c r="G297" i="17"/>
  <c r="D297" i="17"/>
  <c r="C297" i="17"/>
  <c r="B297" i="17"/>
  <c r="P296" i="17"/>
  <c r="O296" i="17"/>
  <c r="N296" i="17"/>
  <c r="M296" i="17"/>
  <c r="L296" i="17"/>
  <c r="K296" i="17"/>
  <c r="H296" i="17"/>
  <c r="G296" i="17"/>
  <c r="D296" i="17"/>
  <c r="C296" i="17"/>
  <c r="B296" i="17"/>
  <c r="P295" i="17"/>
  <c r="O295" i="17"/>
  <c r="N295" i="17"/>
  <c r="M295" i="17"/>
  <c r="L295" i="17"/>
  <c r="K295" i="17"/>
  <c r="H295" i="17"/>
  <c r="G295" i="17"/>
  <c r="D295" i="17"/>
  <c r="C295" i="17"/>
  <c r="B295" i="17"/>
  <c r="P294" i="17"/>
  <c r="O294" i="17"/>
  <c r="N294" i="17"/>
  <c r="M294" i="17"/>
  <c r="L294" i="17"/>
  <c r="K294" i="17"/>
  <c r="H294" i="17"/>
  <c r="G294" i="17"/>
  <c r="D294" i="17"/>
  <c r="C294" i="17"/>
  <c r="B294" i="17"/>
  <c r="P293" i="17"/>
  <c r="O293" i="17"/>
  <c r="N293" i="17"/>
  <c r="M293" i="17"/>
  <c r="L293" i="17"/>
  <c r="K293" i="17"/>
  <c r="H293" i="17"/>
  <c r="G293" i="17"/>
  <c r="D293" i="17"/>
  <c r="C293" i="17"/>
  <c r="B293" i="17"/>
  <c r="P292" i="17"/>
  <c r="O292" i="17"/>
  <c r="N292" i="17"/>
  <c r="M292" i="17"/>
  <c r="L292" i="17"/>
  <c r="K292" i="17"/>
  <c r="H292" i="17"/>
  <c r="G292" i="17"/>
  <c r="D292" i="17"/>
  <c r="C292" i="17"/>
  <c r="B292" i="17"/>
  <c r="P291" i="17"/>
  <c r="O291" i="17"/>
  <c r="N291" i="17"/>
  <c r="M291" i="17"/>
  <c r="L291" i="17"/>
  <c r="K291" i="17"/>
  <c r="H291" i="17"/>
  <c r="G291" i="17"/>
  <c r="D291" i="17"/>
  <c r="C291" i="17"/>
  <c r="B291" i="17"/>
  <c r="P290" i="17"/>
  <c r="O290" i="17"/>
  <c r="N290" i="17"/>
  <c r="M290" i="17"/>
  <c r="L290" i="17"/>
  <c r="K290" i="17"/>
  <c r="H290" i="17"/>
  <c r="G290" i="17"/>
  <c r="D290" i="17"/>
  <c r="C290" i="17"/>
  <c r="B290" i="17"/>
  <c r="P289" i="17"/>
  <c r="O289" i="17"/>
  <c r="N289" i="17"/>
  <c r="M289" i="17"/>
  <c r="L289" i="17"/>
  <c r="K289" i="17"/>
  <c r="H289" i="17"/>
  <c r="G289" i="17"/>
  <c r="D289" i="17"/>
  <c r="C289" i="17"/>
  <c r="B289" i="17"/>
  <c r="P288" i="17"/>
  <c r="O288" i="17"/>
  <c r="N288" i="17"/>
  <c r="M288" i="17"/>
  <c r="L288" i="17"/>
  <c r="K288" i="17"/>
  <c r="H288" i="17"/>
  <c r="G288" i="17"/>
  <c r="D288" i="17"/>
  <c r="C288" i="17"/>
  <c r="B288" i="17"/>
  <c r="P287" i="17"/>
  <c r="O287" i="17"/>
  <c r="N287" i="17"/>
  <c r="M287" i="17"/>
  <c r="L287" i="17"/>
  <c r="K287" i="17"/>
  <c r="H287" i="17"/>
  <c r="G287" i="17"/>
  <c r="D287" i="17"/>
  <c r="C287" i="17"/>
  <c r="B287" i="17"/>
  <c r="P286" i="17"/>
  <c r="O286" i="17"/>
  <c r="N286" i="17"/>
  <c r="M286" i="17"/>
  <c r="L286" i="17"/>
  <c r="K286" i="17"/>
  <c r="H286" i="17"/>
  <c r="G286" i="17"/>
  <c r="D286" i="17"/>
  <c r="C286" i="17"/>
  <c r="B286" i="17"/>
  <c r="P285" i="17"/>
  <c r="O285" i="17"/>
  <c r="N285" i="17"/>
  <c r="M285" i="17"/>
  <c r="L285" i="17"/>
  <c r="K285" i="17"/>
  <c r="H285" i="17"/>
  <c r="G285" i="17"/>
  <c r="D285" i="17"/>
  <c r="C285" i="17"/>
  <c r="B285" i="17"/>
  <c r="P284" i="17"/>
  <c r="O284" i="17"/>
  <c r="N284" i="17"/>
  <c r="M284" i="17"/>
  <c r="L284" i="17"/>
  <c r="K284" i="17"/>
  <c r="H284" i="17"/>
  <c r="G284" i="17"/>
  <c r="D284" i="17"/>
  <c r="C284" i="17"/>
  <c r="B284" i="17"/>
  <c r="P283" i="17"/>
  <c r="O283" i="17"/>
  <c r="N283" i="17"/>
  <c r="M283" i="17"/>
  <c r="L283" i="17"/>
  <c r="K283" i="17"/>
  <c r="H283" i="17"/>
  <c r="G283" i="17"/>
  <c r="D283" i="17"/>
  <c r="C283" i="17"/>
  <c r="B283" i="17"/>
  <c r="P282" i="17"/>
  <c r="O282" i="17"/>
  <c r="N282" i="17"/>
  <c r="M282" i="17"/>
  <c r="L282" i="17"/>
  <c r="K282" i="17"/>
  <c r="H282" i="17"/>
  <c r="G282" i="17"/>
  <c r="D282" i="17"/>
  <c r="C282" i="17"/>
  <c r="B282" i="17"/>
  <c r="P281" i="17"/>
  <c r="O281" i="17"/>
  <c r="N281" i="17"/>
  <c r="M281" i="17"/>
  <c r="L281" i="17"/>
  <c r="K281" i="17"/>
  <c r="H281" i="17"/>
  <c r="G281" i="17"/>
  <c r="D281" i="17"/>
  <c r="C281" i="17"/>
  <c r="B281" i="17"/>
  <c r="P280" i="17"/>
  <c r="O280" i="17"/>
  <c r="N280" i="17"/>
  <c r="M280" i="17"/>
  <c r="L280" i="17"/>
  <c r="K280" i="17"/>
  <c r="H280" i="17"/>
  <c r="G280" i="17"/>
  <c r="D280" i="17"/>
  <c r="C280" i="17"/>
  <c r="B280" i="17"/>
  <c r="P279" i="17"/>
  <c r="O279" i="17"/>
  <c r="N279" i="17"/>
  <c r="M279" i="17"/>
  <c r="L279" i="17"/>
  <c r="K279" i="17"/>
  <c r="H279" i="17"/>
  <c r="G279" i="17"/>
  <c r="D279" i="17"/>
  <c r="C279" i="17"/>
  <c r="B279" i="17"/>
  <c r="P278" i="17"/>
  <c r="O278" i="17"/>
  <c r="N278" i="17"/>
  <c r="M278" i="17"/>
  <c r="L278" i="17"/>
  <c r="K278" i="17"/>
  <c r="H278" i="17"/>
  <c r="G278" i="17"/>
  <c r="D278" i="17"/>
  <c r="C278" i="17"/>
  <c r="B278" i="17"/>
  <c r="P277" i="17"/>
  <c r="O277" i="17"/>
  <c r="N277" i="17"/>
  <c r="M277" i="17"/>
  <c r="L277" i="17"/>
  <c r="K277" i="17"/>
  <c r="H277" i="17"/>
  <c r="G277" i="17"/>
  <c r="D277" i="17"/>
  <c r="C277" i="17"/>
  <c r="B277" i="17"/>
  <c r="P276" i="17"/>
  <c r="O276" i="17"/>
  <c r="N276" i="17"/>
  <c r="M276" i="17"/>
  <c r="L276" i="17"/>
  <c r="K276" i="17"/>
  <c r="H276" i="17"/>
  <c r="G276" i="17"/>
  <c r="D276" i="17"/>
  <c r="C276" i="17"/>
  <c r="B276" i="17"/>
  <c r="P275" i="17"/>
  <c r="O275" i="17"/>
  <c r="N275" i="17"/>
  <c r="M275" i="17"/>
  <c r="L275" i="17"/>
  <c r="K275" i="17"/>
  <c r="H275" i="17"/>
  <c r="G275" i="17"/>
  <c r="D275" i="17"/>
  <c r="C275" i="17"/>
  <c r="B275" i="17"/>
  <c r="P274" i="17"/>
  <c r="O274" i="17"/>
  <c r="N274" i="17"/>
  <c r="M274" i="17"/>
  <c r="L274" i="17"/>
  <c r="K274" i="17"/>
  <c r="H274" i="17"/>
  <c r="G274" i="17"/>
  <c r="D274" i="17"/>
  <c r="C274" i="17"/>
  <c r="B274" i="17"/>
  <c r="P273" i="17"/>
  <c r="O273" i="17"/>
  <c r="N273" i="17"/>
  <c r="M273" i="17"/>
  <c r="L273" i="17"/>
  <c r="K273" i="17"/>
  <c r="H273" i="17"/>
  <c r="G273" i="17"/>
  <c r="D273" i="17"/>
  <c r="C273" i="17"/>
  <c r="B273" i="17"/>
  <c r="P272" i="17"/>
  <c r="O272" i="17"/>
  <c r="N272" i="17"/>
  <c r="M272" i="17"/>
  <c r="L272" i="17"/>
  <c r="K272" i="17"/>
  <c r="H272" i="17"/>
  <c r="G272" i="17"/>
  <c r="D272" i="17"/>
  <c r="C272" i="17"/>
  <c r="B272" i="17"/>
  <c r="P271" i="17"/>
  <c r="O271" i="17"/>
  <c r="N271" i="17"/>
  <c r="M271" i="17"/>
  <c r="L271" i="17"/>
  <c r="K271" i="17"/>
  <c r="H271" i="17"/>
  <c r="G271" i="17"/>
  <c r="D271" i="17"/>
  <c r="C271" i="17"/>
  <c r="B271" i="17"/>
  <c r="P270" i="17"/>
  <c r="O270" i="17"/>
  <c r="N270" i="17"/>
  <c r="M270" i="17"/>
  <c r="L270" i="17"/>
  <c r="K270" i="17"/>
  <c r="H270" i="17"/>
  <c r="G270" i="17"/>
  <c r="D270" i="17"/>
  <c r="C270" i="17"/>
  <c r="B270" i="17"/>
  <c r="P269" i="17"/>
  <c r="O269" i="17"/>
  <c r="N269" i="17"/>
  <c r="M269" i="17"/>
  <c r="L269" i="17"/>
  <c r="K269" i="17"/>
  <c r="H269" i="17"/>
  <c r="G269" i="17"/>
  <c r="D269" i="17"/>
  <c r="C269" i="17"/>
  <c r="B269" i="17"/>
  <c r="P268" i="17"/>
  <c r="O268" i="17"/>
  <c r="N268" i="17"/>
  <c r="M268" i="17"/>
  <c r="L268" i="17"/>
  <c r="K268" i="17"/>
  <c r="H268" i="17"/>
  <c r="G268" i="17"/>
  <c r="D268" i="17"/>
  <c r="C268" i="17"/>
  <c r="B268" i="17"/>
  <c r="P267" i="17"/>
  <c r="O267" i="17"/>
  <c r="N267" i="17"/>
  <c r="M267" i="17"/>
  <c r="L267" i="17"/>
  <c r="K267" i="17"/>
  <c r="H267" i="17"/>
  <c r="G267" i="17"/>
  <c r="D267" i="17"/>
  <c r="C267" i="17"/>
  <c r="B267" i="17"/>
  <c r="P266" i="17"/>
  <c r="O266" i="17"/>
  <c r="N266" i="17"/>
  <c r="M266" i="17"/>
  <c r="L266" i="17"/>
  <c r="K266" i="17"/>
  <c r="H266" i="17"/>
  <c r="G266" i="17"/>
  <c r="D266" i="17"/>
  <c r="C266" i="17"/>
  <c r="B266" i="17"/>
  <c r="P265" i="17"/>
  <c r="O265" i="17"/>
  <c r="N265" i="17"/>
  <c r="M265" i="17"/>
  <c r="L265" i="17"/>
  <c r="K265" i="17"/>
  <c r="H265" i="17"/>
  <c r="G265" i="17"/>
  <c r="D265" i="17"/>
  <c r="C265" i="17"/>
  <c r="B265" i="17"/>
  <c r="P264" i="17"/>
  <c r="O264" i="17"/>
  <c r="N264" i="17"/>
  <c r="M264" i="17"/>
  <c r="L264" i="17"/>
  <c r="K264" i="17"/>
  <c r="H264" i="17"/>
  <c r="G264" i="17"/>
  <c r="D264" i="17"/>
  <c r="C264" i="17"/>
  <c r="B264" i="17"/>
  <c r="P263" i="17"/>
  <c r="O263" i="17"/>
  <c r="N263" i="17"/>
  <c r="M263" i="17"/>
  <c r="L263" i="17"/>
  <c r="K263" i="17"/>
  <c r="H263" i="17"/>
  <c r="G263" i="17"/>
  <c r="D263" i="17"/>
  <c r="C263" i="17"/>
  <c r="B263" i="17"/>
  <c r="P262" i="17"/>
  <c r="O262" i="17"/>
  <c r="N262" i="17"/>
  <c r="M262" i="17"/>
  <c r="L262" i="17"/>
  <c r="K262" i="17"/>
  <c r="H262" i="17"/>
  <c r="G262" i="17"/>
  <c r="D262" i="17"/>
  <c r="C262" i="17"/>
  <c r="B262" i="17"/>
  <c r="P261" i="17"/>
  <c r="O261" i="17"/>
  <c r="N261" i="17"/>
  <c r="M261" i="17"/>
  <c r="L261" i="17"/>
  <c r="K261" i="17"/>
  <c r="H261" i="17"/>
  <c r="G261" i="17"/>
  <c r="D261" i="17"/>
  <c r="C261" i="17"/>
  <c r="B261" i="17"/>
  <c r="P260" i="17"/>
  <c r="O260" i="17"/>
  <c r="N260" i="17"/>
  <c r="M260" i="17"/>
  <c r="L260" i="17"/>
  <c r="K260" i="17"/>
  <c r="H260" i="17"/>
  <c r="G260" i="17"/>
  <c r="D260" i="17"/>
  <c r="C260" i="17"/>
  <c r="B260" i="17"/>
  <c r="P259" i="17"/>
  <c r="O259" i="17"/>
  <c r="N259" i="17"/>
  <c r="M259" i="17"/>
  <c r="L259" i="17"/>
  <c r="K259" i="17"/>
  <c r="H259" i="17"/>
  <c r="G259" i="17"/>
  <c r="D259" i="17"/>
  <c r="C259" i="17"/>
  <c r="B259" i="17"/>
  <c r="P258" i="17"/>
  <c r="O258" i="17"/>
  <c r="N258" i="17"/>
  <c r="M258" i="17"/>
  <c r="L258" i="17"/>
  <c r="K258" i="17"/>
  <c r="H258" i="17"/>
  <c r="G258" i="17"/>
  <c r="D258" i="17"/>
  <c r="C258" i="17"/>
  <c r="B258" i="17"/>
  <c r="P257" i="17"/>
  <c r="O257" i="17"/>
  <c r="N257" i="17"/>
  <c r="M257" i="17"/>
  <c r="L257" i="17"/>
  <c r="K257" i="17"/>
  <c r="H257" i="17"/>
  <c r="G257" i="17"/>
  <c r="D257" i="17"/>
  <c r="C257" i="17"/>
  <c r="B257" i="17"/>
  <c r="P256" i="17"/>
  <c r="O256" i="17"/>
  <c r="N256" i="17"/>
  <c r="M256" i="17"/>
  <c r="L256" i="17"/>
  <c r="K256" i="17"/>
  <c r="H256" i="17"/>
  <c r="G256" i="17"/>
  <c r="D256" i="17"/>
  <c r="C256" i="17"/>
  <c r="B256" i="17"/>
  <c r="P255" i="17"/>
  <c r="O255" i="17"/>
  <c r="N255" i="17"/>
  <c r="M255" i="17"/>
  <c r="L255" i="17"/>
  <c r="K255" i="17"/>
  <c r="H255" i="17"/>
  <c r="G255" i="17"/>
  <c r="D255" i="17"/>
  <c r="C255" i="17"/>
  <c r="B255" i="17"/>
  <c r="P254" i="17"/>
  <c r="O254" i="17"/>
  <c r="N254" i="17"/>
  <c r="M254" i="17"/>
  <c r="L254" i="17"/>
  <c r="K254" i="17"/>
  <c r="H254" i="17"/>
  <c r="G254" i="17"/>
  <c r="D254" i="17"/>
  <c r="C254" i="17"/>
  <c r="B254" i="17"/>
  <c r="P253" i="17"/>
  <c r="O253" i="17"/>
  <c r="N253" i="17"/>
  <c r="M253" i="17"/>
  <c r="L253" i="17"/>
  <c r="K253" i="17"/>
  <c r="H253" i="17"/>
  <c r="G253" i="17"/>
  <c r="D253" i="17"/>
  <c r="C253" i="17"/>
  <c r="B253" i="17"/>
  <c r="P252" i="17"/>
  <c r="O252" i="17"/>
  <c r="N252" i="17"/>
  <c r="M252" i="17"/>
  <c r="L252" i="17"/>
  <c r="K252" i="17"/>
  <c r="H252" i="17"/>
  <c r="G252" i="17"/>
  <c r="D252" i="17"/>
  <c r="C252" i="17"/>
  <c r="B252" i="17"/>
  <c r="P251" i="17"/>
  <c r="O251" i="17"/>
  <c r="N251" i="17"/>
  <c r="M251" i="17"/>
  <c r="L251" i="17"/>
  <c r="K251" i="17"/>
  <c r="H251" i="17"/>
  <c r="G251" i="17"/>
  <c r="D251" i="17"/>
  <c r="C251" i="17"/>
  <c r="B251" i="17"/>
  <c r="P250" i="17"/>
  <c r="O250" i="17"/>
  <c r="N250" i="17"/>
  <c r="M250" i="17"/>
  <c r="L250" i="17"/>
  <c r="K250" i="17"/>
  <c r="H250" i="17"/>
  <c r="G250" i="17"/>
  <c r="D250" i="17"/>
  <c r="C250" i="17"/>
  <c r="B250" i="17"/>
  <c r="P249" i="17"/>
  <c r="O249" i="17"/>
  <c r="N249" i="17"/>
  <c r="M249" i="17"/>
  <c r="L249" i="17"/>
  <c r="K249" i="17"/>
  <c r="H249" i="17"/>
  <c r="G249" i="17"/>
  <c r="D249" i="17"/>
  <c r="C249" i="17"/>
  <c r="B249" i="17"/>
  <c r="P248" i="17"/>
  <c r="O248" i="17"/>
  <c r="N248" i="17"/>
  <c r="M248" i="17"/>
  <c r="L248" i="17"/>
  <c r="K248" i="17"/>
  <c r="H248" i="17"/>
  <c r="G248" i="17"/>
  <c r="D248" i="17"/>
  <c r="C248" i="17"/>
  <c r="B248" i="17"/>
  <c r="P247" i="17"/>
  <c r="O247" i="17"/>
  <c r="N247" i="17"/>
  <c r="M247" i="17"/>
  <c r="L247" i="17"/>
  <c r="K247" i="17"/>
  <c r="H247" i="17"/>
  <c r="G247" i="17"/>
  <c r="D247" i="17"/>
  <c r="C247" i="17"/>
  <c r="B247" i="17"/>
  <c r="P246" i="17"/>
  <c r="O246" i="17"/>
  <c r="N246" i="17"/>
  <c r="M246" i="17"/>
  <c r="L246" i="17"/>
  <c r="K246" i="17"/>
  <c r="H246" i="17"/>
  <c r="G246" i="17"/>
  <c r="D246" i="17"/>
  <c r="C246" i="17"/>
  <c r="B246" i="17"/>
  <c r="P245" i="17"/>
  <c r="O245" i="17"/>
  <c r="N245" i="17"/>
  <c r="M245" i="17"/>
  <c r="L245" i="17"/>
  <c r="K245" i="17"/>
  <c r="H245" i="17"/>
  <c r="G245" i="17"/>
  <c r="D245" i="17"/>
  <c r="C245" i="17"/>
  <c r="B245" i="17"/>
  <c r="P244" i="17"/>
  <c r="O244" i="17"/>
  <c r="N244" i="17"/>
  <c r="M244" i="17"/>
  <c r="L244" i="17"/>
  <c r="K244" i="17"/>
  <c r="H244" i="17"/>
  <c r="G244" i="17"/>
  <c r="D244" i="17"/>
  <c r="C244" i="17"/>
  <c r="B244" i="17"/>
  <c r="P243" i="17"/>
  <c r="O243" i="17"/>
  <c r="N243" i="17"/>
  <c r="M243" i="17"/>
  <c r="L243" i="17"/>
  <c r="K243" i="17"/>
  <c r="H243" i="17"/>
  <c r="G243" i="17"/>
  <c r="D243" i="17"/>
  <c r="C243" i="17"/>
  <c r="B243" i="17"/>
  <c r="P242" i="17"/>
  <c r="O242" i="17"/>
  <c r="N242" i="17"/>
  <c r="M242" i="17"/>
  <c r="L242" i="17"/>
  <c r="K242" i="17"/>
  <c r="H242" i="17"/>
  <c r="G242" i="17"/>
  <c r="D242" i="17"/>
  <c r="C242" i="17"/>
  <c r="B242" i="17"/>
  <c r="P241" i="17"/>
  <c r="O241" i="17"/>
  <c r="N241" i="17"/>
  <c r="M241" i="17"/>
  <c r="L241" i="17"/>
  <c r="K241" i="17"/>
  <c r="H241" i="17"/>
  <c r="G241" i="17"/>
  <c r="D241" i="17"/>
  <c r="C241" i="17"/>
  <c r="B241" i="17"/>
  <c r="P240" i="17"/>
  <c r="O240" i="17"/>
  <c r="N240" i="17"/>
  <c r="M240" i="17"/>
  <c r="L240" i="17"/>
  <c r="K240" i="17"/>
  <c r="H240" i="17"/>
  <c r="G240" i="17"/>
  <c r="D240" i="17"/>
  <c r="C240" i="17"/>
  <c r="B240" i="17"/>
  <c r="P239" i="17"/>
  <c r="O239" i="17"/>
  <c r="N239" i="17"/>
  <c r="M239" i="17"/>
  <c r="L239" i="17"/>
  <c r="K239" i="17"/>
  <c r="H239" i="17"/>
  <c r="G239" i="17"/>
  <c r="D239" i="17"/>
  <c r="C239" i="17"/>
  <c r="B239" i="17"/>
  <c r="P238" i="17"/>
  <c r="O238" i="17"/>
  <c r="N238" i="17"/>
  <c r="M238" i="17"/>
  <c r="L238" i="17"/>
  <c r="K238" i="17"/>
  <c r="H238" i="17"/>
  <c r="G238" i="17"/>
  <c r="D238" i="17"/>
  <c r="C238" i="17"/>
  <c r="B238" i="17"/>
  <c r="P237" i="17"/>
  <c r="O237" i="17"/>
  <c r="N237" i="17"/>
  <c r="M237" i="17"/>
  <c r="L237" i="17"/>
  <c r="K237" i="17"/>
  <c r="H237" i="17"/>
  <c r="G237" i="17"/>
  <c r="D237" i="17"/>
  <c r="C237" i="17"/>
  <c r="B237" i="17"/>
  <c r="P236" i="17"/>
  <c r="O236" i="17"/>
  <c r="N236" i="17"/>
  <c r="M236" i="17"/>
  <c r="L236" i="17"/>
  <c r="K236" i="17"/>
  <c r="H236" i="17"/>
  <c r="G236" i="17"/>
  <c r="D236" i="17"/>
  <c r="C236" i="17"/>
  <c r="B236" i="17"/>
  <c r="P235" i="17"/>
  <c r="O235" i="17"/>
  <c r="N235" i="17"/>
  <c r="M235" i="17"/>
  <c r="L235" i="17"/>
  <c r="K235" i="17"/>
  <c r="H235" i="17"/>
  <c r="G235" i="17"/>
  <c r="D235" i="17"/>
  <c r="C235" i="17"/>
  <c r="B235" i="17"/>
  <c r="P234" i="17"/>
  <c r="O234" i="17"/>
  <c r="N234" i="17"/>
  <c r="M234" i="17"/>
  <c r="L234" i="17"/>
  <c r="K234" i="17"/>
  <c r="H234" i="17"/>
  <c r="G234" i="17"/>
  <c r="D234" i="17"/>
  <c r="C234" i="17"/>
  <c r="B234" i="17"/>
  <c r="P233" i="17"/>
  <c r="O233" i="17"/>
  <c r="N233" i="17"/>
  <c r="M233" i="17"/>
  <c r="L233" i="17"/>
  <c r="K233" i="17"/>
  <c r="H233" i="17"/>
  <c r="G233" i="17"/>
  <c r="D233" i="17"/>
  <c r="C233" i="17"/>
  <c r="B233" i="17"/>
  <c r="P232" i="17"/>
  <c r="O232" i="17"/>
  <c r="N232" i="17"/>
  <c r="M232" i="17"/>
  <c r="L232" i="17"/>
  <c r="K232" i="17"/>
  <c r="H232" i="17"/>
  <c r="G232" i="17"/>
  <c r="D232" i="17"/>
  <c r="C232" i="17"/>
  <c r="B232" i="17"/>
  <c r="P231" i="17"/>
  <c r="O231" i="17"/>
  <c r="N231" i="17"/>
  <c r="M231" i="17"/>
  <c r="L231" i="17"/>
  <c r="K231" i="17"/>
  <c r="H231" i="17"/>
  <c r="G231" i="17"/>
  <c r="D231" i="17"/>
  <c r="C231" i="17"/>
  <c r="B231" i="17"/>
  <c r="P230" i="17"/>
  <c r="O230" i="17"/>
  <c r="N230" i="17"/>
  <c r="M230" i="17"/>
  <c r="L230" i="17"/>
  <c r="K230" i="17"/>
  <c r="H230" i="17"/>
  <c r="G230" i="17"/>
  <c r="D230" i="17"/>
  <c r="C230" i="17"/>
  <c r="B230" i="17"/>
  <c r="P229" i="17"/>
  <c r="O229" i="17"/>
  <c r="N229" i="17"/>
  <c r="M229" i="17"/>
  <c r="L229" i="17"/>
  <c r="K229" i="17"/>
  <c r="H229" i="17"/>
  <c r="G229" i="17"/>
  <c r="D229" i="17"/>
  <c r="C229" i="17"/>
  <c r="B229" i="17"/>
  <c r="P228" i="17"/>
  <c r="O228" i="17"/>
  <c r="N228" i="17"/>
  <c r="M228" i="17"/>
  <c r="L228" i="17"/>
  <c r="K228" i="17"/>
  <c r="H228" i="17"/>
  <c r="G228" i="17"/>
  <c r="D228" i="17"/>
  <c r="C228" i="17"/>
  <c r="B228" i="17"/>
  <c r="P227" i="17"/>
  <c r="O227" i="17"/>
  <c r="N227" i="17"/>
  <c r="M227" i="17"/>
  <c r="L227" i="17"/>
  <c r="K227" i="17"/>
  <c r="H227" i="17"/>
  <c r="G227" i="17"/>
  <c r="D227" i="17"/>
  <c r="C227" i="17"/>
  <c r="B227" i="17"/>
  <c r="P226" i="17"/>
  <c r="O226" i="17"/>
  <c r="N226" i="17"/>
  <c r="M226" i="17"/>
  <c r="L226" i="17"/>
  <c r="K226" i="17"/>
  <c r="H226" i="17"/>
  <c r="G226" i="17"/>
  <c r="D226" i="17"/>
  <c r="C226" i="17"/>
  <c r="B226" i="17"/>
  <c r="P225" i="17"/>
  <c r="O225" i="17"/>
  <c r="N225" i="17"/>
  <c r="M225" i="17"/>
  <c r="L225" i="17"/>
  <c r="K225" i="17"/>
  <c r="H225" i="17"/>
  <c r="G225" i="17"/>
  <c r="D225" i="17"/>
  <c r="C225" i="17"/>
  <c r="B225" i="17"/>
  <c r="P224" i="17"/>
  <c r="O224" i="17"/>
  <c r="N224" i="17"/>
  <c r="M224" i="17"/>
  <c r="L224" i="17"/>
  <c r="K224" i="17"/>
  <c r="H224" i="17"/>
  <c r="G224" i="17"/>
  <c r="D224" i="17"/>
  <c r="C224" i="17"/>
  <c r="B224" i="17"/>
  <c r="P223" i="17"/>
  <c r="O223" i="17"/>
  <c r="N223" i="17"/>
  <c r="M223" i="17"/>
  <c r="L223" i="17"/>
  <c r="K223" i="17"/>
  <c r="H223" i="17"/>
  <c r="G223" i="17"/>
  <c r="D223" i="17"/>
  <c r="C223" i="17"/>
  <c r="B223" i="17"/>
  <c r="P222" i="17"/>
  <c r="O222" i="17"/>
  <c r="N222" i="17"/>
  <c r="M222" i="17"/>
  <c r="L222" i="17"/>
  <c r="K222" i="17"/>
  <c r="H222" i="17"/>
  <c r="G222" i="17"/>
  <c r="D222" i="17"/>
  <c r="C222" i="17"/>
  <c r="B222" i="17"/>
  <c r="P221" i="17"/>
  <c r="O221" i="17"/>
  <c r="N221" i="17"/>
  <c r="M221" i="17"/>
  <c r="L221" i="17"/>
  <c r="K221" i="17"/>
  <c r="H221" i="17"/>
  <c r="G221" i="17"/>
  <c r="D221" i="17"/>
  <c r="C221" i="17"/>
  <c r="B221" i="17"/>
  <c r="P220" i="17"/>
  <c r="O220" i="17"/>
  <c r="N220" i="17"/>
  <c r="M220" i="17"/>
  <c r="L220" i="17"/>
  <c r="K220" i="17"/>
  <c r="H220" i="17"/>
  <c r="G220" i="17"/>
  <c r="D220" i="17"/>
  <c r="C220" i="17"/>
  <c r="B220" i="17"/>
  <c r="P219" i="17"/>
  <c r="O219" i="17"/>
  <c r="N219" i="17"/>
  <c r="M219" i="17"/>
  <c r="L219" i="17"/>
  <c r="K219" i="17"/>
  <c r="H219" i="17"/>
  <c r="G219" i="17"/>
  <c r="D219" i="17"/>
  <c r="C219" i="17"/>
  <c r="B219" i="17"/>
  <c r="P218" i="17"/>
  <c r="O218" i="17"/>
  <c r="N218" i="17"/>
  <c r="M218" i="17"/>
  <c r="L218" i="17"/>
  <c r="K218" i="17"/>
  <c r="H218" i="17"/>
  <c r="G218" i="17"/>
  <c r="D218" i="17"/>
  <c r="C218" i="17"/>
  <c r="B218" i="17"/>
  <c r="P217" i="17"/>
  <c r="O217" i="17"/>
  <c r="N217" i="17"/>
  <c r="M217" i="17"/>
  <c r="L217" i="17"/>
  <c r="K217" i="17"/>
  <c r="H217" i="17"/>
  <c r="G217" i="17"/>
  <c r="D217" i="17"/>
  <c r="C217" i="17"/>
  <c r="P216" i="17"/>
  <c r="O216" i="17"/>
  <c r="N216" i="17"/>
  <c r="M216" i="17"/>
  <c r="L216" i="17"/>
  <c r="K216" i="17"/>
  <c r="H216" i="17"/>
  <c r="G216" i="17"/>
  <c r="D216" i="17"/>
  <c r="C216" i="17"/>
  <c r="B216" i="17"/>
  <c r="P215" i="17"/>
  <c r="O215" i="17"/>
  <c r="N215" i="17"/>
  <c r="M215" i="17"/>
  <c r="L215" i="17"/>
  <c r="K215" i="17"/>
  <c r="H215" i="17"/>
  <c r="G215" i="17"/>
  <c r="D215" i="17"/>
  <c r="C215" i="17"/>
  <c r="B215" i="17"/>
  <c r="P214" i="17"/>
  <c r="O214" i="17"/>
  <c r="N214" i="17"/>
  <c r="M214" i="17"/>
  <c r="L214" i="17"/>
  <c r="K214" i="17"/>
  <c r="H214" i="17"/>
  <c r="G214" i="17"/>
  <c r="D214" i="17"/>
  <c r="C214" i="17"/>
  <c r="B214" i="17"/>
  <c r="P213" i="17"/>
  <c r="O213" i="17"/>
  <c r="N213" i="17"/>
  <c r="M213" i="17"/>
  <c r="L213" i="17"/>
  <c r="K213" i="17"/>
  <c r="H213" i="17"/>
  <c r="G213" i="17"/>
  <c r="D213" i="17"/>
  <c r="C213" i="17"/>
  <c r="B213" i="17"/>
  <c r="P212" i="17"/>
  <c r="O212" i="17"/>
  <c r="N212" i="17"/>
  <c r="M212" i="17"/>
  <c r="L212" i="17"/>
  <c r="K212" i="17"/>
  <c r="H212" i="17"/>
  <c r="G212" i="17"/>
  <c r="D212" i="17"/>
  <c r="C212" i="17"/>
  <c r="B212" i="17"/>
  <c r="P211" i="17"/>
  <c r="O211" i="17"/>
  <c r="N211" i="17"/>
  <c r="M211" i="17"/>
  <c r="L211" i="17"/>
  <c r="K211" i="17"/>
  <c r="H211" i="17"/>
  <c r="G211" i="17"/>
  <c r="D211" i="17"/>
  <c r="C211" i="17"/>
  <c r="B211" i="17"/>
  <c r="P210" i="17"/>
  <c r="O210" i="17"/>
  <c r="N210" i="17"/>
  <c r="M210" i="17"/>
  <c r="L210" i="17"/>
  <c r="K210" i="17"/>
  <c r="H210" i="17"/>
  <c r="G210" i="17"/>
  <c r="D210" i="17"/>
  <c r="C210" i="17"/>
  <c r="B210" i="17"/>
  <c r="P209" i="17"/>
  <c r="O209" i="17"/>
  <c r="N209" i="17"/>
  <c r="M209" i="17"/>
  <c r="L209" i="17"/>
  <c r="K209" i="17"/>
  <c r="H209" i="17"/>
  <c r="G209" i="17"/>
  <c r="D209" i="17"/>
  <c r="C209" i="17"/>
  <c r="B209" i="17"/>
  <c r="P208" i="17"/>
  <c r="O208" i="17"/>
  <c r="N208" i="17"/>
  <c r="M208" i="17"/>
  <c r="L208" i="17"/>
  <c r="K208" i="17"/>
  <c r="H208" i="17"/>
  <c r="G208" i="17"/>
  <c r="D208" i="17"/>
  <c r="C208" i="17"/>
  <c r="B208" i="17"/>
  <c r="P207" i="17"/>
  <c r="O207" i="17"/>
  <c r="N207" i="17"/>
  <c r="M207" i="17"/>
  <c r="L207" i="17"/>
  <c r="K207" i="17"/>
  <c r="H207" i="17"/>
  <c r="G207" i="17"/>
  <c r="D207" i="17"/>
  <c r="C207" i="17"/>
  <c r="B207" i="17"/>
  <c r="P206" i="17"/>
  <c r="O206" i="17"/>
  <c r="N206" i="17"/>
  <c r="M206" i="17"/>
  <c r="L206" i="17"/>
  <c r="K206" i="17"/>
  <c r="H206" i="17"/>
  <c r="G206" i="17"/>
  <c r="D206" i="17"/>
  <c r="C206" i="17"/>
  <c r="B206" i="17"/>
  <c r="P205" i="17"/>
  <c r="O205" i="17"/>
  <c r="N205" i="17"/>
  <c r="M205" i="17"/>
  <c r="L205" i="17"/>
  <c r="K205" i="17"/>
  <c r="H205" i="17"/>
  <c r="G205" i="17"/>
  <c r="D205" i="17"/>
  <c r="C205" i="17"/>
  <c r="B205" i="17"/>
  <c r="P204" i="17"/>
  <c r="O204" i="17"/>
  <c r="N204" i="17"/>
  <c r="M204" i="17"/>
  <c r="L204" i="17"/>
  <c r="K204" i="17"/>
  <c r="H204" i="17"/>
  <c r="G204" i="17"/>
  <c r="D204" i="17"/>
  <c r="C204" i="17"/>
  <c r="B204" i="17"/>
  <c r="P203" i="17"/>
  <c r="O203" i="17"/>
  <c r="N203" i="17"/>
  <c r="M203" i="17"/>
  <c r="L203" i="17"/>
  <c r="K203" i="17"/>
  <c r="H203" i="17"/>
  <c r="G203" i="17"/>
  <c r="D203" i="17"/>
  <c r="C203" i="17"/>
  <c r="B203" i="17"/>
  <c r="P202" i="17"/>
  <c r="O202" i="17"/>
  <c r="N202" i="17"/>
  <c r="M202" i="17"/>
  <c r="L202" i="17"/>
  <c r="K202" i="17"/>
  <c r="H202" i="17"/>
  <c r="G202" i="17"/>
  <c r="D202" i="17"/>
  <c r="C202" i="17"/>
  <c r="B202" i="17"/>
  <c r="P201" i="17"/>
  <c r="O201" i="17"/>
  <c r="N201" i="17"/>
  <c r="M201" i="17"/>
  <c r="L201" i="17"/>
  <c r="K201" i="17"/>
  <c r="H201" i="17"/>
  <c r="G201" i="17"/>
  <c r="D201" i="17"/>
  <c r="C201" i="17"/>
  <c r="B201" i="17"/>
  <c r="P200" i="17"/>
  <c r="O200" i="17"/>
  <c r="N200" i="17"/>
  <c r="M200" i="17"/>
  <c r="L200" i="17"/>
  <c r="K200" i="17"/>
  <c r="H200" i="17"/>
  <c r="G200" i="17"/>
  <c r="D200" i="17"/>
  <c r="C200" i="17"/>
  <c r="B200" i="17"/>
  <c r="P199" i="17"/>
  <c r="O199" i="17"/>
  <c r="N199" i="17"/>
  <c r="M199" i="17"/>
  <c r="L199" i="17"/>
  <c r="K199" i="17"/>
  <c r="H199" i="17"/>
  <c r="G199" i="17"/>
  <c r="D199" i="17"/>
  <c r="C199" i="17"/>
  <c r="B199" i="17"/>
  <c r="P198" i="17"/>
  <c r="O198" i="17"/>
  <c r="N198" i="17"/>
  <c r="M198" i="17"/>
  <c r="L198" i="17"/>
  <c r="K198" i="17"/>
  <c r="H198" i="17"/>
  <c r="G198" i="17"/>
  <c r="D198" i="17"/>
  <c r="C198" i="17"/>
  <c r="B198" i="17"/>
  <c r="P197" i="17"/>
  <c r="O197" i="17"/>
  <c r="N197" i="17"/>
  <c r="M197" i="17"/>
  <c r="L197" i="17"/>
  <c r="K197" i="17"/>
  <c r="H197" i="17"/>
  <c r="G197" i="17"/>
  <c r="D197" i="17"/>
  <c r="C197" i="17"/>
  <c r="B197" i="17"/>
  <c r="P196" i="17"/>
  <c r="O196" i="17"/>
  <c r="N196" i="17"/>
  <c r="M196" i="17"/>
  <c r="L196" i="17"/>
  <c r="K196" i="17"/>
  <c r="H196" i="17"/>
  <c r="G196" i="17"/>
  <c r="D196" i="17"/>
  <c r="C196" i="17"/>
  <c r="B196" i="17"/>
  <c r="P195" i="17"/>
  <c r="O195" i="17"/>
  <c r="N195" i="17"/>
  <c r="M195" i="17"/>
  <c r="L195" i="17"/>
  <c r="K195" i="17"/>
  <c r="H195" i="17"/>
  <c r="G195" i="17"/>
  <c r="D195" i="17"/>
  <c r="C195" i="17"/>
  <c r="B195" i="17"/>
  <c r="P194" i="17"/>
  <c r="O194" i="17"/>
  <c r="N194" i="17"/>
  <c r="M194" i="17"/>
  <c r="L194" i="17"/>
  <c r="K194" i="17"/>
  <c r="H194" i="17"/>
  <c r="G194" i="17"/>
  <c r="D194" i="17"/>
  <c r="C194" i="17"/>
  <c r="B194" i="17"/>
  <c r="P193" i="17"/>
  <c r="O193" i="17"/>
  <c r="N193" i="17"/>
  <c r="M193" i="17"/>
  <c r="L193" i="17"/>
  <c r="K193" i="17"/>
  <c r="H193" i="17"/>
  <c r="G193" i="17"/>
  <c r="D193" i="17"/>
  <c r="C193" i="17"/>
  <c r="B193" i="17"/>
  <c r="P192" i="17"/>
  <c r="O192" i="17"/>
  <c r="N192" i="17"/>
  <c r="M192" i="17"/>
  <c r="L192" i="17"/>
  <c r="K192" i="17"/>
  <c r="H192" i="17"/>
  <c r="G192" i="17"/>
  <c r="D192" i="17"/>
  <c r="C192" i="17"/>
  <c r="B192" i="17"/>
  <c r="P191" i="17"/>
  <c r="O191" i="17"/>
  <c r="N191" i="17"/>
  <c r="M191" i="17"/>
  <c r="L191" i="17"/>
  <c r="K191" i="17"/>
  <c r="H191" i="17"/>
  <c r="G191" i="17"/>
  <c r="D191" i="17"/>
  <c r="C191" i="17"/>
  <c r="B191" i="17"/>
  <c r="P190" i="17"/>
  <c r="O190" i="17"/>
  <c r="N190" i="17"/>
  <c r="M190" i="17"/>
  <c r="L190" i="17"/>
  <c r="K190" i="17"/>
  <c r="H190" i="17"/>
  <c r="G190" i="17"/>
  <c r="D190" i="17"/>
  <c r="C190" i="17"/>
  <c r="B190" i="17"/>
  <c r="P189" i="17"/>
  <c r="O189" i="17"/>
  <c r="N189" i="17"/>
  <c r="M189" i="17"/>
  <c r="L189" i="17"/>
  <c r="K189" i="17"/>
  <c r="H189" i="17"/>
  <c r="G189" i="17"/>
  <c r="D189" i="17"/>
  <c r="C189" i="17"/>
  <c r="B189" i="17"/>
  <c r="P188" i="17"/>
  <c r="O188" i="17"/>
  <c r="N188" i="17"/>
  <c r="M188" i="17"/>
  <c r="L188" i="17"/>
  <c r="K188" i="17"/>
  <c r="H188" i="17"/>
  <c r="G188" i="17"/>
  <c r="D188" i="17"/>
  <c r="C188" i="17"/>
  <c r="B188" i="17"/>
  <c r="P187" i="17"/>
  <c r="O187" i="17"/>
  <c r="N187" i="17"/>
  <c r="M187" i="17"/>
  <c r="L187" i="17"/>
  <c r="K187" i="17"/>
  <c r="H187" i="17"/>
  <c r="G187" i="17"/>
  <c r="D187" i="17"/>
  <c r="C187" i="17"/>
  <c r="B187" i="17"/>
  <c r="P186" i="17"/>
  <c r="O186" i="17"/>
  <c r="N186" i="17"/>
  <c r="M186" i="17"/>
  <c r="L186" i="17"/>
  <c r="K186" i="17"/>
  <c r="H186" i="17"/>
  <c r="G186" i="17"/>
  <c r="D186" i="17"/>
  <c r="C186" i="17"/>
  <c r="B186" i="17"/>
  <c r="P185" i="17"/>
  <c r="O185" i="17"/>
  <c r="N185" i="17"/>
  <c r="M185" i="17"/>
  <c r="L185" i="17"/>
  <c r="K185" i="17"/>
  <c r="H185" i="17"/>
  <c r="G185" i="17"/>
  <c r="D185" i="17"/>
  <c r="C185" i="17"/>
  <c r="B185" i="17"/>
  <c r="P184" i="17"/>
  <c r="O184" i="17"/>
  <c r="N184" i="17"/>
  <c r="M184" i="17"/>
  <c r="L184" i="17"/>
  <c r="K184" i="17"/>
  <c r="H184" i="17"/>
  <c r="G184" i="17"/>
  <c r="D184" i="17"/>
  <c r="C184" i="17"/>
  <c r="B184" i="17"/>
  <c r="P183" i="17"/>
  <c r="O183" i="17"/>
  <c r="N183" i="17"/>
  <c r="M183" i="17"/>
  <c r="L183" i="17"/>
  <c r="K183" i="17"/>
  <c r="H183" i="17"/>
  <c r="G183" i="17"/>
  <c r="D183" i="17"/>
  <c r="C183" i="17"/>
  <c r="B183" i="17"/>
  <c r="P182" i="17"/>
  <c r="O182" i="17"/>
  <c r="N182" i="17"/>
  <c r="M182" i="17"/>
  <c r="L182" i="17"/>
  <c r="K182" i="17"/>
  <c r="H182" i="17"/>
  <c r="G182" i="17"/>
  <c r="D182" i="17"/>
  <c r="C182" i="17"/>
  <c r="B182" i="17"/>
  <c r="P181" i="17"/>
  <c r="O181" i="17"/>
  <c r="N181" i="17"/>
  <c r="M181" i="17"/>
  <c r="L181" i="17"/>
  <c r="K181" i="17"/>
  <c r="H181" i="17"/>
  <c r="G181" i="17"/>
  <c r="D181" i="17"/>
  <c r="C181" i="17"/>
  <c r="B181" i="17"/>
  <c r="P180" i="17"/>
  <c r="O180" i="17"/>
  <c r="N180" i="17"/>
  <c r="M180" i="17"/>
  <c r="L180" i="17"/>
  <c r="K180" i="17"/>
  <c r="H180" i="17"/>
  <c r="G180" i="17"/>
  <c r="D180" i="17"/>
  <c r="C180" i="17"/>
  <c r="B180" i="17"/>
  <c r="P179" i="17"/>
  <c r="O179" i="17"/>
  <c r="N179" i="17"/>
  <c r="M179" i="17"/>
  <c r="L179" i="17"/>
  <c r="K179" i="17"/>
  <c r="H179" i="17"/>
  <c r="G179" i="17"/>
  <c r="D179" i="17"/>
  <c r="C179" i="17"/>
  <c r="B179" i="17"/>
  <c r="P178" i="17"/>
  <c r="O178" i="17"/>
  <c r="N178" i="17"/>
  <c r="M178" i="17"/>
  <c r="L178" i="17"/>
  <c r="K178" i="17"/>
  <c r="H178" i="17"/>
  <c r="G178" i="17"/>
  <c r="D178" i="17"/>
  <c r="C178" i="17"/>
  <c r="B178" i="17"/>
  <c r="P177" i="17"/>
  <c r="O177" i="17"/>
  <c r="N177" i="17"/>
  <c r="M177" i="17"/>
  <c r="L177" i="17"/>
  <c r="K177" i="17"/>
  <c r="H177" i="17"/>
  <c r="G177" i="17"/>
  <c r="D177" i="17"/>
  <c r="C177" i="17"/>
  <c r="B177" i="17"/>
  <c r="P176" i="17"/>
  <c r="O176" i="17"/>
  <c r="N176" i="17"/>
  <c r="M176" i="17"/>
  <c r="L176" i="17"/>
  <c r="K176" i="17"/>
  <c r="H176" i="17"/>
  <c r="G176" i="17"/>
  <c r="D176" i="17"/>
  <c r="C176" i="17"/>
  <c r="B176" i="17"/>
  <c r="P175" i="17"/>
  <c r="O175" i="17"/>
  <c r="N175" i="17"/>
  <c r="M175" i="17"/>
  <c r="L175" i="17"/>
  <c r="K175" i="17"/>
  <c r="H175" i="17"/>
  <c r="G175" i="17"/>
  <c r="D175" i="17"/>
  <c r="C175" i="17"/>
  <c r="B175" i="17"/>
  <c r="P174" i="17"/>
  <c r="O174" i="17"/>
  <c r="N174" i="17"/>
  <c r="M174" i="17"/>
  <c r="L174" i="17"/>
  <c r="K174" i="17"/>
  <c r="H174" i="17"/>
  <c r="G174" i="17"/>
  <c r="D174" i="17"/>
  <c r="C174" i="17"/>
  <c r="B174" i="17"/>
  <c r="P173" i="17"/>
  <c r="O173" i="17"/>
  <c r="N173" i="17"/>
  <c r="M173" i="17"/>
  <c r="L173" i="17"/>
  <c r="K173" i="17"/>
  <c r="H173" i="17"/>
  <c r="G173" i="17"/>
  <c r="D173" i="17"/>
  <c r="C173" i="17"/>
  <c r="B173" i="17"/>
  <c r="P172" i="17"/>
  <c r="O172" i="17"/>
  <c r="N172" i="17"/>
  <c r="M172" i="17"/>
  <c r="L172" i="17"/>
  <c r="K172" i="17"/>
  <c r="H172" i="17"/>
  <c r="G172" i="17"/>
  <c r="D172" i="17"/>
  <c r="C172" i="17"/>
  <c r="B172" i="17"/>
  <c r="P171" i="17"/>
  <c r="O171" i="17"/>
  <c r="N171" i="17"/>
  <c r="M171" i="17"/>
  <c r="L171" i="17"/>
  <c r="K171" i="17"/>
  <c r="H171" i="17"/>
  <c r="G171" i="17"/>
  <c r="D171" i="17"/>
  <c r="C171" i="17"/>
  <c r="B171" i="17"/>
  <c r="P170" i="17"/>
  <c r="O170" i="17"/>
  <c r="N170" i="17"/>
  <c r="M170" i="17"/>
  <c r="L170" i="17"/>
  <c r="K170" i="17"/>
  <c r="H170" i="17"/>
  <c r="G170" i="17"/>
  <c r="D170" i="17"/>
  <c r="C170" i="17"/>
  <c r="B170" i="17"/>
  <c r="P169" i="17"/>
  <c r="O169" i="17"/>
  <c r="N169" i="17"/>
  <c r="M169" i="17"/>
  <c r="L169" i="17"/>
  <c r="K169" i="17"/>
  <c r="H169" i="17"/>
  <c r="G169" i="17"/>
  <c r="D169" i="17"/>
  <c r="C169" i="17"/>
  <c r="B169" i="17"/>
  <c r="P168" i="17"/>
  <c r="O168" i="17"/>
  <c r="N168" i="17"/>
  <c r="M168" i="17"/>
  <c r="L168" i="17"/>
  <c r="K168" i="17"/>
  <c r="H168" i="17"/>
  <c r="G168" i="17"/>
  <c r="D168" i="17"/>
  <c r="C168" i="17"/>
  <c r="B168" i="17"/>
  <c r="P167" i="17"/>
  <c r="O167" i="17"/>
  <c r="N167" i="17"/>
  <c r="M167" i="17"/>
  <c r="L167" i="17"/>
  <c r="K167" i="17"/>
  <c r="H167" i="17"/>
  <c r="G167" i="17"/>
  <c r="D167" i="17"/>
  <c r="C167" i="17"/>
  <c r="B167" i="17"/>
  <c r="P166" i="17"/>
  <c r="O166" i="17"/>
  <c r="N166" i="17"/>
  <c r="M166" i="17"/>
  <c r="L166" i="17"/>
  <c r="K166" i="17"/>
  <c r="H166" i="17"/>
  <c r="G166" i="17"/>
  <c r="D166" i="17"/>
  <c r="C166" i="17"/>
  <c r="B166" i="17"/>
  <c r="P165" i="17"/>
  <c r="O165" i="17"/>
  <c r="N165" i="17"/>
  <c r="M165" i="17"/>
  <c r="L165" i="17"/>
  <c r="K165" i="17"/>
  <c r="H165" i="17"/>
  <c r="G165" i="17"/>
  <c r="D165" i="17"/>
  <c r="C165" i="17"/>
  <c r="B165" i="17"/>
  <c r="P164" i="17"/>
  <c r="O164" i="17"/>
  <c r="N164" i="17"/>
  <c r="M164" i="17"/>
  <c r="L164" i="17"/>
  <c r="K164" i="17"/>
  <c r="H164" i="17"/>
  <c r="G164" i="17"/>
  <c r="D164" i="17"/>
  <c r="C164" i="17"/>
  <c r="B164" i="17"/>
  <c r="P163" i="17"/>
  <c r="O163" i="17"/>
  <c r="N163" i="17"/>
  <c r="M163" i="17"/>
  <c r="L163" i="17"/>
  <c r="K163" i="17"/>
  <c r="H163" i="17"/>
  <c r="G163" i="17"/>
  <c r="D163" i="17"/>
  <c r="C163" i="17"/>
  <c r="B163" i="17"/>
  <c r="P162" i="17"/>
  <c r="O162" i="17"/>
  <c r="N162" i="17"/>
  <c r="M162" i="17"/>
  <c r="L162" i="17"/>
  <c r="K162" i="17"/>
  <c r="H162" i="17"/>
  <c r="G162" i="17"/>
  <c r="D162" i="17"/>
  <c r="C162" i="17"/>
  <c r="B162" i="17"/>
  <c r="P161" i="17"/>
  <c r="O161" i="17"/>
  <c r="N161" i="17"/>
  <c r="M161" i="17"/>
  <c r="L161" i="17"/>
  <c r="K161" i="17"/>
  <c r="H161" i="17"/>
  <c r="G161" i="17"/>
  <c r="D161" i="17"/>
  <c r="C161" i="17"/>
  <c r="B161" i="17"/>
  <c r="P160" i="17"/>
  <c r="O160" i="17"/>
  <c r="N160" i="17"/>
  <c r="M160" i="17"/>
  <c r="L160" i="17"/>
  <c r="K160" i="17"/>
  <c r="H160" i="17"/>
  <c r="G160" i="17"/>
  <c r="D160" i="17"/>
  <c r="C160" i="17"/>
  <c r="B160" i="17"/>
  <c r="P159" i="17"/>
  <c r="O159" i="17"/>
  <c r="N159" i="17"/>
  <c r="M159" i="17"/>
  <c r="L159" i="17"/>
  <c r="K159" i="17"/>
  <c r="H159" i="17"/>
  <c r="G159" i="17"/>
  <c r="D159" i="17"/>
  <c r="C159" i="17"/>
  <c r="B159" i="17"/>
  <c r="P158" i="17"/>
  <c r="O158" i="17"/>
  <c r="N158" i="17"/>
  <c r="M158" i="17"/>
  <c r="L158" i="17"/>
  <c r="K158" i="17"/>
  <c r="H158" i="17"/>
  <c r="G158" i="17"/>
  <c r="D158" i="17"/>
  <c r="C158" i="17"/>
  <c r="B158" i="17"/>
  <c r="P157" i="17"/>
  <c r="O157" i="17"/>
  <c r="N157" i="17"/>
  <c r="M157" i="17"/>
  <c r="L157" i="17"/>
  <c r="K157" i="17"/>
  <c r="H157" i="17"/>
  <c r="G157" i="17"/>
  <c r="D157" i="17"/>
  <c r="C157" i="17"/>
  <c r="B157" i="17"/>
  <c r="P156" i="17"/>
  <c r="O156" i="17"/>
  <c r="N156" i="17"/>
  <c r="M156" i="17"/>
  <c r="L156" i="17"/>
  <c r="K156" i="17"/>
  <c r="H156" i="17"/>
  <c r="G156" i="17"/>
  <c r="D156" i="17"/>
  <c r="C156" i="17"/>
  <c r="B156" i="17"/>
  <c r="P155" i="17"/>
  <c r="O155" i="17"/>
  <c r="N155" i="17"/>
  <c r="M155" i="17"/>
  <c r="L155" i="17"/>
  <c r="K155" i="17"/>
  <c r="H155" i="17"/>
  <c r="G155" i="17"/>
  <c r="D155" i="17"/>
  <c r="C155" i="17"/>
  <c r="B155" i="17"/>
  <c r="P154" i="17"/>
  <c r="O154" i="17"/>
  <c r="N154" i="17"/>
  <c r="M154" i="17"/>
  <c r="L154" i="17"/>
  <c r="K154" i="17"/>
  <c r="H154" i="17"/>
  <c r="G154" i="17"/>
  <c r="D154" i="17"/>
  <c r="C154" i="17"/>
  <c r="B154" i="17"/>
  <c r="P153" i="17"/>
  <c r="O153" i="17"/>
  <c r="N153" i="17"/>
  <c r="M153" i="17"/>
  <c r="L153" i="17"/>
  <c r="K153" i="17"/>
  <c r="H153" i="17"/>
  <c r="G153" i="17"/>
  <c r="D153" i="17"/>
  <c r="C153" i="17"/>
  <c r="B153" i="17"/>
  <c r="P152" i="17"/>
  <c r="O152" i="17"/>
  <c r="N152" i="17"/>
  <c r="M152" i="17"/>
  <c r="L152" i="17"/>
  <c r="K152" i="17"/>
  <c r="H152" i="17"/>
  <c r="G152" i="17"/>
  <c r="D152" i="17"/>
  <c r="C152" i="17"/>
  <c r="B152" i="17"/>
  <c r="P151" i="17"/>
  <c r="O151" i="17"/>
  <c r="N151" i="17"/>
  <c r="M151" i="17"/>
  <c r="L151" i="17"/>
  <c r="K151" i="17"/>
  <c r="H151" i="17"/>
  <c r="G151" i="17"/>
  <c r="D151" i="17"/>
  <c r="C151" i="17"/>
  <c r="B151" i="17"/>
  <c r="P150" i="17"/>
  <c r="O150" i="17"/>
  <c r="N150" i="17"/>
  <c r="M150" i="17"/>
  <c r="L150" i="17"/>
  <c r="K150" i="17"/>
  <c r="H150" i="17"/>
  <c r="G150" i="17"/>
  <c r="D150" i="17"/>
  <c r="C150" i="17"/>
  <c r="B150" i="17"/>
  <c r="P149" i="17"/>
  <c r="O149" i="17"/>
  <c r="N149" i="17"/>
  <c r="M149" i="17"/>
  <c r="L149" i="17"/>
  <c r="K149" i="17"/>
  <c r="H149" i="17"/>
  <c r="G149" i="17"/>
  <c r="D149" i="17"/>
  <c r="C149" i="17"/>
  <c r="B149" i="17"/>
  <c r="P148" i="17"/>
  <c r="O148" i="17"/>
  <c r="N148" i="17"/>
  <c r="M148" i="17"/>
  <c r="L148" i="17"/>
  <c r="K148" i="17"/>
  <c r="H148" i="17"/>
  <c r="G148" i="17"/>
  <c r="D148" i="17"/>
  <c r="C148" i="17"/>
  <c r="B148" i="17"/>
  <c r="P147" i="17"/>
  <c r="O147" i="17"/>
  <c r="N147" i="17"/>
  <c r="M147" i="17"/>
  <c r="L147" i="17"/>
  <c r="K147" i="17"/>
  <c r="H147" i="17"/>
  <c r="G147" i="17"/>
  <c r="D147" i="17"/>
  <c r="C147" i="17"/>
  <c r="B147" i="17"/>
  <c r="P146" i="17"/>
  <c r="O146" i="17"/>
  <c r="N146" i="17"/>
  <c r="M146" i="17"/>
  <c r="L146" i="17"/>
  <c r="K146" i="17"/>
  <c r="H146" i="17"/>
  <c r="G146" i="17"/>
  <c r="D146" i="17"/>
  <c r="C146" i="17"/>
  <c r="B146" i="17"/>
  <c r="P145" i="17"/>
  <c r="O145" i="17"/>
  <c r="N145" i="17"/>
  <c r="M145" i="17"/>
  <c r="L145" i="17"/>
  <c r="K145" i="17"/>
  <c r="H145" i="17"/>
  <c r="G145" i="17"/>
  <c r="D145" i="17"/>
  <c r="C145" i="17"/>
  <c r="B145" i="17"/>
  <c r="P144" i="17"/>
  <c r="O144" i="17"/>
  <c r="N144" i="17"/>
  <c r="M144" i="17"/>
  <c r="L144" i="17"/>
  <c r="K144" i="17"/>
  <c r="H144" i="17"/>
  <c r="G144" i="17"/>
  <c r="D144" i="17"/>
  <c r="C144" i="17"/>
  <c r="B144" i="17"/>
  <c r="P143" i="17"/>
  <c r="O143" i="17"/>
  <c r="N143" i="17"/>
  <c r="M143" i="17"/>
  <c r="L143" i="17"/>
  <c r="K143" i="17"/>
  <c r="H143" i="17"/>
  <c r="G143" i="17"/>
  <c r="D143" i="17"/>
  <c r="C143" i="17"/>
  <c r="B143" i="17"/>
  <c r="P142" i="17"/>
  <c r="O142" i="17"/>
  <c r="N142" i="17"/>
  <c r="M142" i="17"/>
  <c r="L142" i="17"/>
  <c r="K142" i="17"/>
  <c r="H142" i="17"/>
  <c r="G142" i="17"/>
  <c r="D142" i="17"/>
  <c r="C142" i="17"/>
  <c r="B142" i="17"/>
  <c r="P141" i="17"/>
  <c r="O141" i="17"/>
  <c r="N141" i="17"/>
  <c r="M141" i="17"/>
  <c r="L141" i="17"/>
  <c r="K141" i="17"/>
  <c r="H141" i="17"/>
  <c r="G141" i="17"/>
  <c r="D141" i="17"/>
  <c r="C141" i="17"/>
  <c r="B141" i="17"/>
  <c r="P140" i="17"/>
  <c r="O140" i="17"/>
  <c r="N140" i="17"/>
  <c r="M140" i="17"/>
  <c r="L140" i="17"/>
  <c r="K140" i="17"/>
  <c r="H140" i="17"/>
  <c r="G140" i="17"/>
  <c r="D140" i="17"/>
  <c r="C140" i="17"/>
  <c r="B140" i="17"/>
  <c r="P139" i="17"/>
  <c r="O139" i="17"/>
  <c r="N139" i="17"/>
  <c r="M139" i="17"/>
  <c r="L139" i="17"/>
  <c r="K139" i="17"/>
  <c r="H139" i="17"/>
  <c r="G139" i="17"/>
  <c r="D139" i="17"/>
  <c r="C139" i="17"/>
  <c r="B139" i="17"/>
  <c r="P138" i="17"/>
  <c r="O138" i="17"/>
  <c r="N138" i="17"/>
  <c r="M138" i="17"/>
  <c r="L138" i="17"/>
  <c r="K138" i="17"/>
  <c r="H138" i="17"/>
  <c r="G138" i="17"/>
  <c r="D138" i="17"/>
  <c r="C138" i="17"/>
  <c r="B138" i="17"/>
  <c r="P137" i="17"/>
  <c r="O137" i="17"/>
  <c r="N137" i="17"/>
  <c r="M137" i="17"/>
  <c r="L137" i="17"/>
  <c r="K137" i="17"/>
  <c r="H137" i="17"/>
  <c r="G137" i="17"/>
  <c r="D137" i="17"/>
  <c r="C137" i="17"/>
  <c r="B137" i="17"/>
  <c r="P136" i="17"/>
  <c r="O136" i="17"/>
  <c r="N136" i="17"/>
  <c r="M136" i="17"/>
  <c r="L136" i="17"/>
  <c r="K136" i="17"/>
  <c r="H136" i="17"/>
  <c r="G136" i="17"/>
  <c r="D136" i="17"/>
  <c r="C136" i="17"/>
  <c r="B136" i="17"/>
  <c r="P135" i="17"/>
  <c r="O135" i="17"/>
  <c r="N135" i="17"/>
  <c r="M135" i="17"/>
  <c r="L135" i="17"/>
  <c r="K135" i="17"/>
  <c r="H135" i="17"/>
  <c r="G135" i="17"/>
  <c r="D135" i="17"/>
  <c r="C135" i="17"/>
  <c r="B135" i="17"/>
  <c r="P134" i="17"/>
  <c r="O134" i="17"/>
  <c r="N134" i="17"/>
  <c r="M134" i="17"/>
  <c r="L134" i="17"/>
  <c r="K134" i="17"/>
  <c r="H134" i="17"/>
  <c r="G134" i="17"/>
  <c r="D134" i="17"/>
  <c r="C134" i="17"/>
  <c r="B134" i="17"/>
  <c r="P133" i="17"/>
  <c r="O133" i="17"/>
  <c r="N133" i="17"/>
  <c r="M133" i="17"/>
  <c r="L133" i="17"/>
  <c r="K133" i="17"/>
  <c r="H133" i="17"/>
  <c r="G133" i="17"/>
  <c r="D133" i="17"/>
  <c r="C133" i="17"/>
  <c r="B133" i="17"/>
  <c r="P132" i="17"/>
  <c r="O132" i="17"/>
  <c r="N132" i="17"/>
  <c r="M132" i="17"/>
  <c r="L132" i="17"/>
  <c r="K132" i="17"/>
  <c r="H132" i="17"/>
  <c r="G132" i="17"/>
  <c r="D132" i="17"/>
  <c r="C132" i="17"/>
  <c r="B132" i="17"/>
  <c r="P131" i="17"/>
  <c r="O131" i="17"/>
  <c r="N131" i="17"/>
  <c r="M131" i="17"/>
  <c r="L131" i="17"/>
  <c r="K131" i="17"/>
  <c r="H131" i="17"/>
  <c r="G131" i="17"/>
  <c r="D131" i="17"/>
  <c r="C131" i="17"/>
  <c r="B131" i="17"/>
  <c r="P130" i="17"/>
  <c r="O130" i="17"/>
  <c r="N130" i="17"/>
  <c r="M130" i="17"/>
  <c r="L130" i="17"/>
  <c r="K130" i="17"/>
  <c r="H130" i="17"/>
  <c r="G130" i="17"/>
  <c r="D130" i="17"/>
  <c r="C130" i="17"/>
  <c r="B130" i="17"/>
  <c r="P129" i="17"/>
  <c r="O129" i="17"/>
  <c r="N129" i="17"/>
  <c r="M129" i="17"/>
  <c r="L129" i="17"/>
  <c r="K129" i="17"/>
  <c r="H129" i="17"/>
  <c r="G129" i="17"/>
  <c r="D129" i="17"/>
  <c r="C129" i="17"/>
  <c r="B129" i="17"/>
  <c r="P128" i="17"/>
  <c r="O128" i="17"/>
  <c r="N128" i="17"/>
  <c r="M128" i="17"/>
  <c r="L128" i="17"/>
  <c r="K128" i="17"/>
  <c r="H128" i="17"/>
  <c r="G128" i="17"/>
  <c r="D128" i="17"/>
  <c r="C128" i="17"/>
  <c r="B128" i="17"/>
  <c r="P127" i="17"/>
  <c r="O127" i="17"/>
  <c r="N127" i="17"/>
  <c r="M127" i="17"/>
  <c r="L127" i="17"/>
  <c r="K127" i="17"/>
  <c r="H127" i="17"/>
  <c r="G127" i="17"/>
  <c r="D127" i="17"/>
  <c r="C127" i="17"/>
  <c r="B127" i="17"/>
  <c r="P126" i="17"/>
  <c r="O126" i="17"/>
  <c r="N126" i="17"/>
  <c r="M126" i="17"/>
  <c r="L126" i="17"/>
  <c r="K126" i="17"/>
  <c r="H126" i="17"/>
  <c r="G126" i="17"/>
  <c r="D126" i="17"/>
  <c r="C126" i="17"/>
  <c r="B126" i="17"/>
  <c r="P125" i="17"/>
  <c r="O125" i="17"/>
  <c r="N125" i="17"/>
  <c r="M125" i="17"/>
  <c r="L125" i="17"/>
  <c r="K125" i="17"/>
  <c r="H125" i="17"/>
  <c r="G125" i="17"/>
  <c r="D125" i="17"/>
  <c r="C125" i="17"/>
  <c r="B125" i="17"/>
  <c r="P124" i="17"/>
  <c r="O124" i="17"/>
  <c r="N124" i="17"/>
  <c r="M124" i="17"/>
  <c r="L124" i="17"/>
  <c r="K124" i="17"/>
  <c r="H124" i="17"/>
  <c r="G124" i="17"/>
  <c r="D124" i="17"/>
  <c r="C124" i="17"/>
  <c r="B124" i="17"/>
  <c r="P123" i="17"/>
  <c r="O123" i="17"/>
  <c r="N123" i="17"/>
  <c r="M123" i="17"/>
  <c r="L123" i="17"/>
  <c r="K123" i="17"/>
  <c r="H123" i="17"/>
  <c r="G123" i="17"/>
  <c r="D123" i="17"/>
  <c r="C123" i="17"/>
  <c r="B123" i="17"/>
  <c r="P122" i="17"/>
  <c r="O122" i="17"/>
  <c r="N122" i="17"/>
  <c r="M122" i="17"/>
  <c r="L122" i="17"/>
  <c r="K122" i="17"/>
  <c r="H122" i="17"/>
  <c r="G122" i="17"/>
  <c r="D122" i="17"/>
  <c r="C122" i="17"/>
  <c r="B122" i="17"/>
  <c r="P121" i="17"/>
  <c r="O121" i="17"/>
  <c r="N121" i="17"/>
  <c r="M121" i="17"/>
  <c r="L121" i="17"/>
  <c r="K121" i="17"/>
  <c r="H121" i="17"/>
  <c r="G121" i="17"/>
  <c r="D121" i="17"/>
  <c r="C121" i="17"/>
  <c r="B121" i="17"/>
  <c r="P120" i="17"/>
  <c r="O120" i="17"/>
  <c r="N120" i="17"/>
  <c r="M120" i="17"/>
  <c r="L120" i="17"/>
  <c r="K120" i="17"/>
  <c r="H120" i="17"/>
  <c r="G120" i="17"/>
  <c r="D120" i="17"/>
  <c r="C120" i="17"/>
  <c r="B120" i="17"/>
  <c r="P119" i="17"/>
  <c r="O119" i="17"/>
  <c r="N119" i="17"/>
  <c r="M119" i="17"/>
  <c r="L119" i="17"/>
  <c r="K119" i="17"/>
  <c r="H119" i="17"/>
  <c r="G119" i="17"/>
  <c r="D119" i="17"/>
  <c r="C119" i="17"/>
  <c r="B119" i="17"/>
  <c r="P118" i="17"/>
  <c r="O118" i="17"/>
  <c r="N118" i="17"/>
  <c r="M118" i="17"/>
  <c r="L118" i="17"/>
  <c r="K118" i="17"/>
  <c r="H118" i="17"/>
  <c r="G118" i="17"/>
  <c r="D118" i="17"/>
  <c r="C118" i="17"/>
  <c r="B118" i="17"/>
  <c r="P117" i="17"/>
  <c r="O117" i="17"/>
  <c r="N117" i="17"/>
  <c r="M117" i="17"/>
  <c r="L117" i="17"/>
  <c r="K117" i="17"/>
  <c r="H117" i="17"/>
  <c r="G117" i="17"/>
  <c r="D117" i="17"/>
  <c r="C117" i="17"/>
  <c r="B117" i="17"/>
  <c r="P116" i="17"/>
  <c r="O116" i="17"/>
  <c r="N116" i="17"/>
  <c r="M116" i="17"/>
  <c r="L116" i="17"/>
  <c r="K116" i="17"/>
  <c r="H116" i="17"/>
  <c r="G116" i="17"/>
  <c r="D116" i="17"/>
  <c r="C116" i="17"/>
  <c r="B116" i="17"/>
  <c r="P115" i="17"/>
  <c r="O115" i="17"/>
  <c r="N115" i="17"/>
  <c r="M115" i="17"/>
  <c r="L115" i="17"/>
  <c r="K115" i="17"/>
  <c r="H115" i="17"/>
  <c r="G115" i="17"/>
  <c r="D115" i="17"/>
  <c r="C115" i="17"/>
  <c r="B115" i="17"/>
  <c r="P114" i="17"/>
  <c r="O114" i="17"/>
  <c r="N114" i="17"/>
  <c r="M114" i="17"/>
  <c r="L114" i="17"/>
  <c r="K114" i="17"/>
  <c r="H114" i="17"/>
  <c r="G114" i="17"/>
  <c r="D114" i="17"/>
  <c r="C114" i="17"/>
  <c r="B114" i="17"/>
  <c r="P113" i="17"/>
  <c r="O113" i="17"/>
  <c r="N113" i="17"/>
  <c r="M113" i="17"/>
  <c r="L113" i="17"/>
  <c r="K113" i="17"/>
  <c r="H113" i="17"/>
  <c r="G113" i="17"/>
  <c r="D113" i="17"/>
  <c r="C113" i="17"/>
  <c r="B113" i="17"/>
  <c r="P112" i="17"/>
  <c r="O112" i="17"/>
  <c r="N112" i="17"/>
  <c r="M112" i="17"/>
  <c r="L112" i="17"/>
  <c r="K112" i="17"/>
  <c r="H112" i="17"/>
  <c r="G112" i="17"/>
  <c r="D112" i="17"/>
  <c r="C112" i="17"/>
  <c r="B112" i="17"/>
  <c r="P111" i="17"/>
  <c r="O111" i="17"/>
  <c r="N111" i="17"/>
  <c r="M111" i="17"/>
  <c r="L111" i="17"/>
  <c r="K111" i="17"/>
  <c r="H111" i="17"/>
  <c r="G111" i="17"/>
  <c r="D111" i="17"/>
  <c r="C111" i="17"/>
  <c r="B111" i="17"/>
  <c r="P110" i="17"/>
  <c r="O110" i="17"/>
  <c r="N110" i="17"/>
  <c r="M110" i="17"/>
  <c r="L110" i="17"/>
  <c r="K110" i="17"/>
  <c r="H110" i="17"/>
  <c r="G110" i="17"/>
  <c r="D110" i="17"/>
  <c r="C110" i="17"/>
  <c r="B110" i="17"/>
  <c r="P109" i="17"/>
  <c r="O109" i="17"/>
  <c r="N109" i="17"/>
  <c r="M109" i="17"/>
  <c r="L109" i="17"/>
  <c r="K109" i="17"/>
  <c r="H109" i="17"/>
  <c r="G109" i="17"/>
  <c r="D109" i="17"/>
  <c r="C109" i="17"/>
  <c r="B109" i="17"/>
  <c r="P108" i="17"/>
  <c r="O108" i="17"/>
  <c r="N108" i="17"/>
  <c r="M108" i="17"/>
  <c r="L108" i="17"/>
  <c r="K108" i="17"/>
  <c r="H108" i="17"/>
  <c r="G108" i="17"/>
  <c r="D108" i="17"/>
  <c r="C108" i="17"/>
  <c r="B108" i="17"/>
  <c r="P107" i="17"/>
  <c r="O107" i="17"/>
  <c r="N107" i="17"/>
  <c r="M107" i="17"/>
  <c r="L107" i="17"/>
  <c r="K107" i="17"/>
  <c r="H107" i="17"/>
  <c r="G107" i="17"/>
  <c r="D107" i="17"/>
  <c r="C107" i="17"/>
  <c r="B107" i="17"/>
  <c r="P106" i="17"/>
  <c r="O106" i="17"/>
  <c r="N106" i="17"/>
  <c r="M106" i="17"/>
  <c r="L106" i="17"/>
  <c r="K106" i="17"/>
  <c r="H106" i="17"/>
  <c r="G106" i="17"/>
  <c r="D106" i="17"/>
  <c r="B106" i="17"/>
  <c r="P105" i="17"/>
  <c r="O105" i="17"/>
  <c r="N105" i="17"/>
  <c r="M105" i="17"/>
  <c r="L105" i="17"/>
  <c r="K105" i="17"/>
  <c r="H105" i="17"/>
  <c r="G105" i="17"/>
  <c r="D105" i="17"/>
  <c r="C105" i="17"/>
  <c r="B105" i="17"/>
  <c r="P104" i="17"/>
  <c r="O104" i="17"/>
  <c r="N104" i="17"/>
  <c r="M104" i="17"/>
  <c r="L104" i="17"/>
  <c r="K104" i="17"/>
  <c r="H104" i="17"/>
  <c r="G104" i="17"/>
  <c r="D104" i="17"/>
  <c r="C104" i="17"/>
  <c r="B104" i="17"/>
  <c r="P103" i="17"/>
  <c r="O103" i="17"/>
  <c r="N103" i="17"/>
  <c r="M103" i="17"/>
  <c r="L103" i="17"/>
  <c r="K103" i="17"/>
  <c r="H103" i="17"/>
  <c r="G103" i="17"/>
  <c r="D103" i="17"/>
  <c r="C103" i="17"/>
  <c r="B103" i="17"/>
  <c r="P102" i="17"/>
  <c r="O102" i="17"/>
  <c r="N102" i="17"/>
  <c r="M102" i="17"/>
  <c r="L102" i="17"/>
  <c r="K102" i="17"/>
  <c r="H102" i="17"/>
  <c r="G102" i="17"/>
  <c r="D102" i="17"/>
  <c r="C102" i="17"/>
  <c r="B102" i="17"/>
  <c r="P101" i="17"/>
  <c r="O101" i="17"/>
  <c r="N101" i="17"/>
  <c r="M101" i="17"/>
  <c r="L101" i="17"/>
  <c r="K101" i="17"/>
  <c r="H101" i="17"/>
  <c r="G101" i="17"/>
  <c r="D101" i="17"/>
  <c r="C101" i="17"/>
  <c r="B101" i="17"/>
  <c r="P100" i="17"/>
  <c r="O100" i="17"/>
  <c r="N100" i="17"/>
  <c r="M100" i="17"/>
  <c r="L100" i="17"/>
  <c r="K100" i="17"/>
  <c r="H100" i="17"/>
  <c r="G100" i="17"/>
  <c r="D100" i="17"/>
  <c r="C100" i="17"/>
  <c r="B100" i="17"/>
  <c r="P99" i="17"/>
  <c r="O99" i="17"/>
  <c r="N99" i="17"/>
  <c r="M99" i="17"/>
  <c r="L99" i="17"/>
  <c r="K99" i="17"/>
  <c r="H99" i="17"/>
  <c r="G99" i="17"/>
  <c r="D99" i="17"/>
  <c r="C99" i="17"/>
  <c r="B99" i="17"/>
  <c r="P98" i="17"/>
  <c r="O98" i="17"/>
  <c r="N98" i="17"/>
  <c r="M98" i="17"/>
  <c r="L98" i="17"/>
  <c r="K98" i="17"/>
  <c r="H98" i="17"/>
  <c r="G98" i="17"/>
  <c r="D98" i="17"/>
  <c r="C98" i="17"/>
  <c r="B98" i="17"/>
  <c r="P97" i="17"/>
  <c r="O97" i="17"/>
  <c r="N97" i="17"/>
  <c r="M97" i="17"/>
  <c r="L97" i="17"/>
  <c r="K97" i="17"/>
  <c r="H97" i="17"/>
  <c r="G97" i="17"/>
  <c r="D97" i="17"/>
  <c r="B97" i="17"/>
  <c r="P96" i="17"/>
  <c r="O96" i="17"/>
  <c r="N96" i="17"/>
  <c r="M96" i="17"/>
  <c r="L96" i="17"/>
  <c r="K96" i="17"/>
  <c r="H96" i="17"/>
  <c r="G96" i="17"/>
  <c r="D96" i="17"/>
  <c r="C96" i="17"/>
  <c r="B96" i="17"/>
  <c r="P95" i="17"/>
  <c r="O95" i="17"/>
  <c r="N95" i="17"/>
  <c r="M95" i="17"/>
  <c r="L95" i="17"/>
  <c r="K95" i="17"/>
  <c r="H95" i="17"/>
  <c r="G95" i="17"/>
  <c r="D95" i="17"/>
  <c r="C95" i="17"/>
  <c r="B95" i="17"/>
  <c r="P94" i="17"/>
  <c r="O94" i="17"/>
  <c r="N94" i="17"/>
  <c r="M94" i="17"/>
  <c r="L94" i="17"/>
  <c r="K94" i="17"/>
  <c r="H94" i="17"/>
  <c r="G94" i="17"/>
  <c r="D94" i="17"/>
  <c r="C94" i="17"/>
  <c r="B94" i="17"/>
  <c r="P93" i="17"/>
  <c r="O93" i="17"/>
  <c r="N93" i="17"/>
  <c r="M93" i="17"/>
  <c r="L93" i="17"/>
  <c r="K93" i="17"/>
  <c r="H93" i="17"/>
  <c r="G93" i="17"/>
  <c r="D93" i="17"/>
  <c r="C93" i="17"/>
  <c r="B93" i="17"/>
  <c r="P92" i="17"/>
  <c r="O92" i="17"/>
  <c r="N92" i="17"/>
  <c r="M92" i="17"/>
  <c r="L92" i="17"/>
  <c r="K92" i="17"/>
  <c r="H92" i="17"/>
  <c r="G92" i="17"/>
  <c r="D92" i="17"/>
  <c r="C92" i="17"/>
  <c r="B92" i="17"/>
  <c r="P91" i="17"/>
  <c r="O91" i="17"/>
  <c r="N91" i="17"/>
  <c r="M91" i="17"/>
  <c r="L91" i="17"/>
  <c r="K91" i="17"/>
  <c r="H91" i="17"/>
  <c r="G91" i="17"/>
  <c r="D91" i="17"/>
  <c r="C91" i="17"/>
  <c r="B91" i="17"/>
  <c r="P90" i="17"/>
  <c r="O90" i="17"/>
  <c r="N90" i="17"/>
  <c r="M90" i="17"/>
  <c r="L90" i="17"/>
  <c r="K90" i="17"/>
  <c r="H90" i="17"/>
  <c r="G90" i="17"/>
  <c r="D90" i="17"/>
  <c r="C90" i="17"/>
  <c r="B90" i="17"/>
  <c r="P89" i="17"/>
  <c r="O89" i="17"/>
  <c r="N89" i="17"/>
  <c r="M89" i="17"/>
  <c r="L89" i="17"/>
  <c r="K89" i="17"/>
  <c r="H89" i="17"/>
  <c r="G89" i="17"/>
  <c r="D89" i="17"/>
  <c r="C89" i="17"/>
  <c r="B89" i="17"/>
  <c r="P88" i="17"/>
  <c r="O88" i="17"/>
  <c r="N88" i="17"/>
  <c r="M88" i="17"/>
  <c r="L88" i="17"/>
  <c r="K88" i="17"/>
  <c r="H88" i="17"/>
  <c r="G88" i="17"/>
  <c r="D88" i="17"/>
  <c r="C88" i="17"/>
  <c r="B88" i="17"/>
  <c r="P87" i="17"/>
  <c r="O87" i="17"/>
  <c r="N87" i="17"/>
  <c r="M87" i="17"/>
  <c r="L87" i="17"/>
  <c r="K87" i="17"/>
  <c r="H87" i="17"/>
  <c r="G87" i="17"/>
  <c r="D87" i="17"/>
  <c r="C87" i="17"/>
  <c r="B87" i="17"/>
  <c r="P86" i="17"/>
  <c r="O86" i="17"/>
  <c r="N86" i="17"/>
  <c r="M86" i="17"/>
  <c r="L86" i="17"/>
  <c r="K86" i="17"/>
  <c r="H86" i="17"/>
  <c r="G86" i="17"/>
  <c r="D86" i="17"/>
  <c r="C86" i="17"/>
  <c r="B86" i="17"/>
  <c r="P85" i="17"/>
  <c r="O85" i="17"/>
  <c r="N85" i="17"/>
  <c r="M85" i="17"/>
  <c r="L85" i="17"/>
  <c r="K85" i="17"/>
  <c r="H85" i="17"/>
  <c r="G85" i="17"/>
  <c r="D85" i="17"/>
  <c r="C85" i="17"/>
  <c r="B85" i="17"/>
  <c r="P84" i="17"/>
  <c r="O84" i="17"/>
  <c r="N84" i="17"/>
  <c r="M84" i="17"/>
  <c r="L84" i="17"/>
  <c r="K84" i="17"/>
  <c r="H84" i="17"/>
  <c r="G84" i="17"/>
  <c r="D84" i="17"/>
  <c r="C84" i="17"/>
  <c r="B84" i="17"/>
  <c r="P83" i="17"/>
  <c r="O83" i="17"/>
  <c r="N83" i="17"/>
  <c r="M83" i="17"/>
  <c r="L83" i="17"/>
  <c r="K83" i="17"/>
  <c r="H83" i="17"/>
  <c r="G83" i="17"/>
  <c r="D83" i="17"/>
  <c r="C83" i="17"/>
  <c r="B83" i="17"/>
  <c r="P82" i="17"/>
  <c r="O82" i="17"/>
  <c r="N82" i="17"/>
  <c r="M82" i="17"/>
  <c r="L82" i="17"/>
  <c r="K82" i="17"/>
  <c r="H82" i="17"/>
  <c r="G82" i="17"/>
  <c r="D82" i="17"/>
  <c r="C82" i="17"/>
  <c r="B82" i="17"/>
  <c r="P81" i="17"/>
  <c r="O81" i="17"/>
  <c r="N81" i="17"/>
  <c r="M81" i="17"/>
  <c r="L81" i="17"/>
  <c r="K81" i="17"/>
  <c r="H81" i="17"/>
  <c r="G81" i="17"/>
  <c r="D81" i="17"/>
  <c r="C81" i="17"/>
  <c r="B81" i="17"/>
  <c r="P80" i="17"/>
  <c r="O80" i="17"/>
  <c r="N80" i="17"/>
  <c r="M80" i="17"/>
  <c r="L80" i="17"/>
  <c r="K80" i="17"/>
  <c r="H80" i="17"/>
  <c r="G80" i="17"/>
  <c r="D80" i="17"/>
  <c r="C80" i="17"/>
  <c r="B80" i="17"/>
  <c r="P79" i="17"/>
  <c r="O79" i="17"/>
  <c r="N79" i="17"/>
  <c r="M79" i="17"/>
  <c r="L79" i="17"/>
  <c r="K79" i="17"/>
  <c r="H79" i="17"/>
  <c r="G79" i="17"/>
  <c r="D79" i="17"/>
  <c r="C79" i="17"/>
  <c r="B79" i="17"/>
  <c r="P78" i="17"/>
  <c r="O78" i="17"/>
  <c r="N78" i="17"/>
  <c r="M78" i="17"/>
  <c r="L78" i="17"/>
  <c r="K78" i="17"/>
  <c r="H78" i="17"/>
  <c r="G78" i="17"/>
  <c r="D78" i="17"/>
  <c r="C78" i="17"/>
  <c r="B78" i="17"/>
  <c r="P77" i="17"/>
  <c r="O77" i="17"/>
  <c r="N77" i="17"/>
  <c r="M77" i="17"/>
  <c r="L77" i="17"/>
  <c r="K77" i="17"/>
  <c r="H77" i="17"/>
  <c r="G77" i="17"/>
  <c r="D77" i="17"/>
  <c r="C77" i="17"/>
  <c r="B77" i="17"/>
  <c r="P76" i="17"/>
  <c r="O76" i="17"/>
  <c r="N76" i="17"/>
  <c r="M76" i="17"/>
  <c r="L76" i="17"/>
  <c r="K76" i="17"/>
  <c r="H76" i="17"/>
  <c r="G76" i="17"/>
  <c r="D76" i="17"/>
  <c r="C76" i="17"/>
  <c r="B76" i="17"/>
  <c r="P75" i="17"/>
  <c r="O75" i="17"/>
  <c r="N75" i="17"/>
  <c r="M75" i="17"/>
  <c r="L75" i="17"/>
  <c r="K75" i="17"/>
  <c r="H75" i="17"/>
  <c r="G75" i="17"/>
  <c r="D75" i="17"/>
  <c r="C75" i="17"/>
  <c r="B75" i="17"/>
  <c r="P74" i="17"/>
  <c r="O74" i="17"/>
  <c r="N74" i="17"/>
  <c r="M74" i="17"/>
  <c r="L74" i="17"/>
  <c r="K74" i="17"/>
  <c r="H74" i="17"/>
  <c r="G74" i="17"/>
  <c r="D74" i="17"/>
  <c r="C74" i="17"/>
  <c r="B74" i="17"/>
  <c r="P73" i="17"/>
  <c r="O73" i="17"/>
  <c r="N73" i="17"/>
  <c r="M73" i="17"/>
  <c r="L73" i="17"/>
  <c r="K73" i="17"/>
  <c r="H73" i="17"/>
  <c r="G73" i="17"/>
  <c r="D73" i="17"/>
  <c r="C73" i="17"/>
  <c r="B73" i="17"/>
  <c r="P72" i="17"/>
  <c r="O72" i="17"/>
  <c r="N72" i="17"/>
  <c r="M72" i="17"/>
  <c r="L72" i="17"/>
  <c r="K72" i="17"/>
  <c r="H72" i="17"/>
  <c r="G72" i="17"/>
  <c r="D72" i="17"/>
  <c r="C72" i="17"/>
  <c r="B72" i="17"/>
  <c r="P71" i="17"/>
  <c r="O71" i="17"/>
  <c r="N71" i="17"/>
  <c r="M71" i="17"/>
  <c r="L71" i="17"/>
  <c r="K71" i="17"/>
  <c r="H71" i="17"/>
  <c r="G71" i="17"/>
  <c r="D71" i="17"/>
  <c r="C71" i="17"/>
  <c r="B71" i="17"/>
  <c r="P70" i="17"/>
  <c r="O70" i="17"/>
  <c r="N70" i="17"/>
  <c r="M70" i="17"/>
  <c r="L70" i="17"/>
  <c r="K70" i="17"/>
  <c r="H70" i="17"/>
  <c r="G70" i="17"/>
  <c r="D70" i="17"/>
  <c r="C70" i="17"/>
  <c r="B70" i="17"/>
  <c r="P69" i="17"/>
  <c r="O69" i="17"/>
  <c r="N69" i="17"/>
  <c r="M69" i="17"/>
  <c r="L69" i="17"/>
  <c r="K69" i="17"/>
  <c r="H69" i="17"/>
  <c r="G69" i="17"/>
  <c r="D69" i="17"/>
  <c r="C69" i="17"/>
  <c r="B69" i="17"/>
  <c r="P68" i="17"/>
  <c r="O68" i="17"/>
  <c r="N68" i="17"/>
  <c r="M68" i="17"/>
  <c r="L68" i="17"/>
  <c r="K68" i="17"/>
  <c r="H68" i="17"/>
  <c r="G68" i="17"/>
  <c r="D68" i="17"/>
  <c r="C68" i="17"/>
  <c r="B68" i="17"/>
  <c r="P67" i="17"/>
  <c r="O67" i="17"/>
  <c r="N67" i="17"/>
  <c r="M67" i="17"/>
  <c r="L67" i="17"/>
  <c r="K67" i="17"/>
  <c r="H67" i="17"/>
  <c r="G67" i="17"/>
  <c r="D67" i="17"/>
  <c r="C67" i="17"/>
  <c r="B67" i="17"/>
  <c r="P66" i="17"/>
  <c r="O66" i="17"/>
  <c r="N66" i="17"/>
  <c r="M66" i="17"/>
  <c r="L66" i="17"/>
  <c r="K66" i="17"/>
  <c r="H66" i="17"/>
  <c r="G66" i="17"/>
  <c r="D66" i="17"/>
  <c r="C66" i="17"/>
  <c r="B66" i="17"/>
  <c r="P65" i="17"/>
  <c r="O65" i="17"/>
  <c r="N65" i="17"/>
  <c r="M65" i="17"/>
  <c r="L65" i="17"/>
  <c r="K65" i="17"/>
  <c r="H65" i="17"/>
  <c r="G65" i="17"/>
  <c r="D65" i="17"/>
  <c r="C65" i="17"/>
  <c r="B65" i="17"/>
  <c r="P64" i="17"/>
  <c r="O64" i="17"/>
  <c r="N64" i="17"/>
  <c r="M64" i="17"/>
  <c r="L64" i="17"/>
  <c r="K64" i="17"/>
  <c r="H64" i="17"/>
  <c r="G64" i="17"/>
  <c r="D64" i="17"/>
  <c r="C64" i="17"/>
  <c r="B64" i="17"/>
  <c r="P63" i="17"/>
  <c r="O63" i="17"/>
  <c r="N63" i="17"/>
  <c r="M63" i="17"/>
  <c r="L63" i="17"/>
  <c r="K63" i="17"/>
  <c r="H63" i="17"/>
  <c r="G63" i="17"/>
  <c r="D63" i="17"/>
  <c r="C63" i="17"/>
  <c r="B63" i="17"/>
  <c r="P62" i="17"/>
  <c r="O62" i="17"/>
  <c r="N62" i="17"/>
  <c r="M62" i="17"/>
  <c r="L62" i="17"/>
  <c r="K62" i="17"/>
  <c r="H62" i="17"/>
  <c r="G62" i="17"/>
  <c r="D62" i="17"/>
  <c r="C62" i="17"/>
  <c r="B62" i="17"/>
  <c r="P61" i="17"/>
  <c r="O61" i="17"/>
  <c r="N61" i="17"/>
  <c r="M61" i="17"/>
  <c r="L61" i="17"/>
  <c r="K61" i="17"/>
  <c r="H61" i="17"/>
  <c r="G61" i="17"/>
  <c r="D61" i="17"/>
  <c r="C61" i="17"/>
  <c r="B61" i="17"/>
  <c r="P60" i="17"/>
  <c r="O60" i="17"/>
  <c r="N60" i="17"/>
  <c r="M60" i="17"/>
  <c r="L60" i="17"/>
  <c r="K60" i="17"/>
  <c r="H60" i="17"/>
  <c r="G60" i="17"/>
  <c r="D60" i="17"/>
  <c r="C60" i="17"/>
  <c r="B60" i="17"/>
  <c r="P59" i="17"/>
  <c r="O59" i="17"/>
  <c r="N59" i="17"/>
  <c r="M59" i="17"/>
  <c r="L59" i="17"/>
  <c r="K59" i="17"/>
  <c r="H59" i="17"/>
  <c r="G59" i="17"/>
  <c r="D59" i="17"/>
  <c r="C59" i="17"/>
  <c r="B59" i="17"/>
  <c r="P58" i="17"/>
  <c r="O58" i="17"/>
  <c r="N58" i="17"/>
  <c r="M58" i="17"/>
  <c r="L58" i="17"/>
  <c r="K58" i="17"/>
  <c r="H58" i="17"/>
  <c r="G58" i="17"/>
  <c r="D58" i="17"/>
  <c r="C58" i="17"/>
  <c r="B58" i="17"/>
  <c r="P57" i="17"/>
  <c r="O57" i="17"/>
  <c r="N57" i="17"/>
  <c r="M57" i="17"/>
  <c r="L57" i="17"/>
  <c r="K57" i="17"/>
  <c r="H57" i="17"/>
  <c r="G57" i="17"/>
  <c r="D57" i="17"/>
  <c r="C57" i="17"/>
  <c r="B57" i="17"/>
  <c r="P56" i="17"/>
  <c r="O56" i="17"/>
  <c r="N56" i="17"/>
  <c r="M56" i="17"/>
  <c r="L56" i="17"/>
  <c r="K56" i="17"/>
  <c r="H56" i="17"/>
  <c r="G56" i="17"/>
  <c r="D56" i="17"/>
  <c r="C56" i="17"/>
  <c r="B56" i="17"/>
  <c r="P55" i="17"/>
  <c r="O55" i="17"/>
  <c r="N55" i="17"/>
  <c r="M55" i="17"/>
  <c r="L55" i="17"/>
  <c r="K55" i="17"/>
  <c r="H55" i="17"/>
  <c r="G55" i="17"/>
  <c r="D55" i="17"/>
  <c r="C55" i="17"/>
  <c r="B55" i="17"/>
  <c r="P54" i="17"/>
  <c r="O54" i="17"/>
  <c r="N54" i="17"/>
  <c r="M54" i="17"/>
  <c r="L54" i="17"/>
  <c r="K54" i="17"/>
  <c r="H54" i="17"/>
  <c r="G54" i="17"/>
  <c r="D54" i="17"/>
  <c r="C54" i="17"/>
  <c r="B54" i="17"/>
  <c r="P53" i="17"/>
  <c r="O53" i="17"/>
  <c r="N53" i="17"/>
  <c r="M53" i="17"/>
  <c r="L53" i="17"/>
  <c r="K53" i="17"/>
  <c r="H53" i="17"/>
  <c r="G53" i="17"/>
  <c r="D53" i="17"/>
  <c r="C53" i="17"/>
  <c r="B53" i="17"/>
  <c r="P52" i="17"/>
  <c r="O52" i="17"/>
  <c r="N52" i="17"/>
  <c r="M52" i="17"/>
  <c r="L52" i="17"/>
  <c r="K52" i="17"/>
  <c r="H52" i="17"/>
  <c r="G52" i="17"/>
  <c r="D52" i="17"/>
  <c r="C52" i="17"/>
  <c r="B52" i="17"/>
  <c r="P51" i="17"/>
  <c r="O51" i="17"/>
  <c r="N51" i="17"/>
  <c r="M51" i="17"/>
  <c r="L51" i="17"/>
  <c r="K51" i="17"/>
  <c r="H51" i="17"/>
  <c r="G51" i="17"/>
  <c r="D51" i="17"/>
  <c r="C51" i="17"/>
  <c r="B51" i="17"/>
  <c r="P50" i="17"/>
  <c r="O50" i="17"/>
  <c r="N50" i="17"/>
  <c r="M50" i="17"/>
  <c r="L50" i="17"/>
  <c r="K50" i="17"/>
  <c r="H50" i="17"/>
  <c r="G50" i="17"/>
  <c r="D50" i="17"/>
  <c r="C50" i="17"/>
  <c r="B50" i="17"/>
  <c r="P49" i="17"/>
  <c r="O49" i="17"/>
  <c r="N49" i="17"/>
  <c r="M49" i="17"/>
  <c r="L49" i="17"/>
  <c r="K49" i="17"/>
  <c r="H49" i="17"/>
  <c r="G49" i="17"/>
  <c r="D49" i="17"/>
  <c r="C49" i="17"/>
  <c r="B49" i="17"/>
  <c r="P48" i="17"/>
  <c r="O48" i="17"/>
  <c r="N48" i="17"/>
  <c r="M48" i="17"/>
  <c r="L48" i="17"/>
  <c r="K48" i="17"/>
  <c r="H48" i="17"/>
  <c r="G48" i="17"/>
  <c r="D48" i="17"/>
  <c r="C48" i="17"/>
  <c r="B48" i="17"/>
  <c r="P47" i="17"/>
  <c r="O47" i="17"/>
  <c r="N47" i="17"/>
  <c r="M47" i="17"/>
  <c r="L47" i="17"/>
  <c r="K47" i="17"/>
  <c r="H47" i="17"/>
  <c r="G47" i="17"/>
  <c r="D47" i="17"/>
  <c r="C47" i="17"/>
  <c r="B47" i="17"/>
  <c r="P46" i="17"/>
  <c r="O46" i="17"/>
  <c r="N46" i="17"/>
  <c r="M46" i="17"/>
  <c r="L46" i="17"/>
  <c r="K46" i="17"/>
  <c r="H46" i="17"/>
  <c r="G46" i="17"/>
  <c r="D46" i="17"/>
  <c r="C46" i="17"/>
  <c r="B46" i="17"/>
  <c r="P45" i="17"/>
  <c r="O45" i="17"/>
  <c r="N45" i="17"/>
  <c r="M45" i="17"/>
  <c r="L45" i="17"/>
  <c r="K45" i="17"/>
  <c r="H45" i="17"/>
  <c r="G45" i="17"/>
  <c r="D45" i="17"/>
  <c r="C45" i="17"/>
  <c r="B45" i="17"/>
  <c r="P44" i="17"/>
  <c r="O44" i="17"/>
  <c r="N44" i="17"/>
  <c r="M44" i="17"/>
  <c r="L44" i="17"/>
  <c r="K44" i="17"/>
  <c r="H44" i="17"/>
  <c r="G44" i="17"/>
  <c r="D44" i="17"/>
  <c r="C44" i="17"/>
  <c r="B44" i="17"/>
  <c r="P43" i="17"/>
  <c r="O43" i="17"/>
  <c r="N43" i="17"/>
  <c r="M43" i="17"/>
  <c r="L43" i="17"/>
  <c r="K43" i="17"/>
  <c r="H43" i="17"/>
  <c r="G43" i="17"/>
  <c r="D43" i="17"/>
  <c r="C43" i="17"/>
  <c r="B43" i="17"/>
  <c r="P42" i="17"/>
  <c r="O42" i="17"/>
  <c r="N42" i="17"/>
  <c r="M42" i="17"/>
  <c r="L42" i="17"/>
  <c r="K42" i="17"/>
  <c r="H42" i="17"/>
  <c r="G42" i="17"/>
  <c r="D42" i="17"/>
  <c r="C42" i="17"/>
  <c r="B42" i="17"/>
  <c r="P41" i="17"/>
  <c r="O41" i="17"/>
  <c r="N41" i="17"/>
  <c r="M41" i="17"/>
  <c r="L41" i="17"/>
  <c r="K41" i="17"/>
  <c r="H41" i="17"/>
  <c r="G41" i="17"/>
  <c r="D41" i="17"/>
  <c r="C41" i="17"/>
  <c r="B41" i="17"/>
  <c r="P40" i="17"/>
  <c r="O40" i="17"/>
  <c r="N40" i="17"/>
  <c r="M40" i="17"/>
  <c r="L40" i="17"/>
  <c r="K40" i="17"/>
  <c r="H40" i="17"/>
  <c r="G40" i="17"/>
  <c r="D40" i="17"/>
  <c r="C40" i="17"/>
  <c r="B40" i="17"/>
  <c r="P39" i="17"/>
  <c r="O39" i="17"/>
  <c r="N39" i="17"/>
  <c r="M39" i="17"/>
  <c r="L39" i="17"/>
  <c r="K39" i="17"/>
  <c r="H39" i="17"/>
  <c r="G39" i="17"/>
  <c r="D39" i="17"/>
  <c r="C39" i="17"/>
  <c r="B39" i="17"/>
  <c r="P38" i="17"/>
  <c r="O38" i="17"/>
  <c r="N38" i="17"/>
  <c r="M38" i="17"/>
  <c r="L38" i="17"/>
  <c r="K38" i="17"/>
  <c r="H38" i="17"/>
  <c r="G38" i="17"/>
  <c r="D38" i="17"/>
  <c r="C38" i="17"/>
  <c r="B38" i="17"/>
  <c r="P37" i="17"/>
  <c r="O37" i="17"/>
  <c r="N37" i="17"/>
  <c r="M37" i="17"/>
  <c r="L37" i="17"/>
  <c r="K37" i="17"/>
  <c r="H37" i="17"/>
  <c r="G37" i="17"/>
  <c r="D37" i="17"/>
  <c r="C37" i="17"/>
  <c r="B37" i="17"/>
  <c r="P36" i="17"/>
  <c r="O36" i="17"/>
  <c r="N36" i="17"/>
  <c r="M36" i="17"/>
  <c r="L36" i="17"/>
  <c r="K36" i="17"/>
  <c r="H36" i="17"/>
  <c r="G36" i="17"/>
  <c r="D36" i="17"/>
  <c r="C36" i="17"/>
  <c r="B36" i="17"/>
  <c r="P35" i="17"/>
  <c r="O35" i="17"/>
  <c r="N35" i="17"/>
  <c r="M35" i="17"/>
  <c r="L35" i="17"/>
  <c r="K35" i="17"/>
  <c r="H35" i="17"/>
  <c r="G35" i="17"/>
  <c r="D35" i="17"/>
  <c r="C35" i="17"/>
  <c r="B35" i="17"/>
  <c r="P34" i="17"/>
  <c r="O34" i="17"/>
  <c r="N34" i="17"/>
  <c r="M34" i="17"/>
  <c r="L34" i="17"/>
  <c r="K34" i="17"/>
  <c r="H34" i="17"/>
  <c r="G34" i="17"/>
  <c r="D34" i="17"/>
  <c r="C34" i="17"/>
  <c r="B34" i="17"/>
  <c r="P33" i="17"/>
  <c r="O33" i="17"/>
  <c r="N33" i="17"/>
  <c r="M33" i="17"/>
  <c r="L33" i="17"/>
  <c r="K33" i="17"/>
  <c r="H33" i="17"/>
  <c r="G33" i="17"/>
  <c r="D33" i="17"/>
  <c r="C33" i="17"/>
  <c r="B33" i="17"/>
  <c r="P32" i="17"/>
  <c r="O32" i="17"/>
  <c r="N32" i="17"/>
  <c r="M32" i="17"/>
  <c r="L32" i="17"/>
  <c r="K32" i="17"/>
  <c r="H32" i="17"/>
  <c r="G32" i="17"/>
  <c r="D32" i="17"/>
  <c r="C32" i="17"/>
  <c r="B32" i="17"/>
  <c r="P31" i="17"/>
  <c r="O31" i="17"/>
  <c r="N31" i="17"/>
  <c r="M31" i="17"/>
  <c r="L31" i="17"/>
  <c r="K31" i="17"/>
  <c r="H31" i="17"/>
  <c r="G31" i="17"/>
  <c r="D31" i="17"/>
  <c r="C31" i="17"/>
  <c r="B31" i="17"/>
  <c r="P30" i="17"/>
  <c r="O30" i="17"/>
  <c r="N30" i="17"/>
  <c r="M30" i="17"/>
  <c r="L30" i="17"/>
  <c r="K30" i="17"/>
  <c r="H30" i="17"/>
  <c r="G30" i="17"/>
  <c r="D30" i="17"/>
  <c r="C30" i="17"/>
  <c r="B30" i="17"/>
  <c r="P29" i="17"/>
  <c r="O29" i="17"/>
  <c r="N29" i="17"/>
  <c r="M29" i="17"/>
  <c r="L29" i="17"/>
  <c r="K29" i="17"/>
  <c r="H29" i="17"/>
  <c r="G29" i="17"/>
  <c r="D29" i="17"/>
  <c r="C29" i="17"/>
  <c r="B29" i="17"/>
  <c r="P28" i="17"/>
  <c r="O28" i="17"/>
  <c r="N28" i="17"/>
  <c r="M28" i="17"/>
  <c r="L28" i="17"/>
  <c r="K28" i="17"/>
  <c r="H28" i="17"/>
  <c r="G28" i="17"/>
  <c r="D28" i="17"/>
  <c r="C28" i="17"/>
  <c r="B28" i="17"/>
  <c r="P27" i="17"/>
  <c r="O27" i="17"/>
  <c r="N27" i="17"/>
  <c r="M27" i="17"/>
  <c r="L27" i="17"/>
  <c r="K27" i="17"/>
  <c r="H27" i="17"/>
  <c r="G27" i="17"/>
  <c r="D27" i="17"/>
  <c r="C27" i="17"/>
  <c r="B27" i="17"/>
  <c r="P26" i="17"/>
  <c r="O26" i="17"/>
  <c r="N26" i="17"/>
  <c r="M26" i="17"/>
  <c r="L26" i="17"/>
  <c r="K26" i="17"/>
  <c r="H26" i="17"/>
  <c r="G26" i="17"/>
  <c r="D26" i="17"/>
  <c r="C26" i="17"/>
  <c r="B26" i="17"/>
  <c r="P25" i="17"/>
  <c r="O25" i="17"/>
  <c r="N25" i="17"/>
  <c r="M25" i="17"/>
  <c r="L25" i="17"/>
  <c r="K25" i="17"/>
  <c r="H25" i="17"/>
  <c r="G25" i="17"/>
  <c r="D25" i="17"/>
  <c r="C25" i="17"/>
  <c r="B25" i="17"/>
  <c r="P24" i="17"/>
  <c r="O24" i="17"/>
  <c r="N24" i="17"/>
  <c r="M24" i="17"/>
  <c r="L24" i="17"/>
  <c r="K24" i="17"/>
  <c r="H24" i="17"/>
  <c r="G24" i="17"/>
  <c r="D24" i="17"/>
  <c r="C24" i="17"/>
  <c r="B24" i="17"/>
  <c r="P23" i="17"/>
  <c r="O23" i="17"/>
  <c r="N23" i="17"/>
  <c r="M23" i="17"/>
  <c r="L23" i="17"/>
  <c r="K23" i="17"/>
  <c r="H23" i="17"/>
  <c r="G23" i="17"/>
  <c r="D23" i="17"/>
  <c r="C23" i="17"/>
  <c r="B23" i="17"/>
  <c r="P22" i="17"/>
  <c r="O22" i="17"/>
  <c r="N22" i="17"/>
  <c r="M22" i="17"/>
  <c r="L22" i="17"/>
  <c r="K22" i="17"/>
  <c r="H22" i="17"/>
  <c r="G22" i="17"/>
  <c r="D22" i="17"/>
  <c r="C22" i="17"/>
  <c r="B22" i="17"/>
  <c r="P21" i="17"/>
  <c r="O21" i="17"/>
  <c r="N21" i="17"/>
  <c r="M21" i="17"/>
  <c r="L21" i="17"/>
  <c r="K21" i="17"/>
  <c r="H21" i="17"/>
  <c r="G21" i="17"/>
  <c r="D21" i="17"/>
  <c r="C21" i="17"/>
  <c r="B21" i="17"/>
  <c r="P20" i="17"/>
  <c r="O20" i="17"/>
  <c r="N20" i="17"/>
  <c r="M20" i="17"/>
  <c r="L20" i="17"/>
  <c r="K20" i="17"/>
  <c r="H20" i="17"/>
  <c r="G20" i="17"/>
  <c r="D20" i="17"/>
  <c r="C20" i="17"/>
  <c r="B20" i="17"/>
  <c r="P19" i="17"/>
  <c r="O19" i="17"/>
  <c r="N19" i="17"/>
  <c r="M19" i="17"/>
  <c r="L19" i="17"/>
  <c r="K19" i="17"/>
  <c r="H19" i="17"/>
  <c r="G19" i="17"/>
  <c r="D19" i="17"/>
  <c r="C19" i="17"/>
  <c r="B19" i="17"/>
  <c r="P18" i="17"/>
  <c r="O18" i="17"/>
  <c r="N18" i="17"/>
  <c r="M18" i="17"/>
  <c r="L18" i="17"/>
  <c r="K18" i="17"/>
  <c r="H18" i="17"/>
  <c r="G18" i="17"/>
  <c r="D18" i="17"/>
  <c r="C18" i="17"/>
  <c r="B18" i="17"/>
  <c r="P17" i="17"/>
  <c r="O17" i="17"/>
  <c r="N17" i="17"/>
  <c r="M17" i="17"/>
  <c r="L17" i="17"/>
  <c r="K17" i="17"/>
  <c r="H17" i="17"/>
  <c r="G17" i="17"/>
  <c r="D17" i="17"/>
  <c r="C17" i="17"/>
  <c r="B17" i="17"/>
  <c r="P16" i="17"/>
  <c r="O16" i="17"/>
  <c r="N16" i="17"/>
  <c r="M16" i="17"/>
  <c r="L16" i="17"/>
  <c r="K16" i="17"/>
  <c r="H16" i="17"/>
  <c r="G16" i="17"/>
  <c r="D16" i="17"/>
  <c r="C16" i="17"/>
  <c r="B16" i="17"/>
  <c r="P15" i="17"/>
  <c r="O15" i="17"/>
  <c r="N15" i="17"/>
  <c r="M15" i="17"/>
  <c r="L15" i="17"/>
  <c r="K15" i="17"/>
  <c r="H15" i="17"/>
  <c r="G15" i="17"/>
  <c r="D15" i="17"/>
  <c r="C15" i="17"/>
  <c r="B15" i="17"/>
  <c r="P14" i="17"/>
  <c r="O14" i="17"/>
  <c r="N14" i="17"/>
  <c r="M14" i="17"/>
  <c r="L14" i="17"/>
  <c r="K14" i="17"/>
  <c r="H14" i="17"/>
  <c r="G14" i="17"/>
  <c r="D14" i="17"/>
  <c r="C14" i="17"/>
  <c r="B14" i="17"/>
  <c r="P13" i="17"/>
  <c r="O13" i="17"/>
  <c r="N13" i="17"/>
  <c r="M13" i="17"/>
  <c r="L13" i="17"/>
  <c r="K13" i="17"/>
  <c r="H13" i="17"/>
  <c r="G13" i="17"/>
  <c r="D13" i="17"/>
  <c r="C13" i="17"/>
  <c r="B13" i="17"/>
  <c r="P12" i="17"/>
  <c r="O12" i="17"/>
  <c r="N12" i="17"/>
  <c r="M12" i="17"/>
  <c r="L12" i="17"/>
  <c r="K12" i="17"/>
  <c r="H12" i="17"/>
  <c r="G12" i="17"/>
  <c r="D12" i="17"/>
  <c r="C12" i="17"/>
  <c r="B12" i="17"/>
  <c r="P11" i="17"/>
  <c r="O11" i="17"/>
  <c r="N11" i="17"/>
  <c r="M11" i="17"/>
  <c r="L11" i="17"/>
  <c r="K11" i="17"/>
  <c r="H11" i="17"/>
  <c r="G11" i="17"/>
  <c r="D11" i="17"/>
  <c r="C11" i="17"/>
  <c r="B11" i="17"/>
  <c r="P10" i="17"/>
  <c r="O10" i="17"/>
  <c r="N10" i="17"/>
  <c r="M10" i="17"/>
  <c r="L10" i="17"/>
  <c r="K10" i="17"/>
  <c r="H10" i="17"/>
  <c r="G10" i="17"/>
  <c r="D10" i="17"/>
  <c r="C10" i="17"/>
  <c r="B10" i="17"/>
  <c r="P9" i="17"/>
  <c r="O9" i="17"/>
  <c r="N9" i="17"/>
  <c r="M9" i="17"/>
  <c r="L9" i="17"/>
  <c r="K9" i="17"/>
  <c r="H9" i="17"/>
  <c r="G9" i="17"/>
  <c r="D9" i="17"/>
  <c r="C9" i="17"/>
  <c r="B9" i="17"/>
  <c r="P8" i="17"/>
  <c r="O8" i="17"/>
  <c r="N8" i="17"/>
  <c r="M8" i="17"/>
  <c r="L8" i="17"/>
  <c r="K8" i="17"/>
  <c r="H8" i="17"/>
  <c r="G8" i="17"/>
  <c r="D8" i="17"/>
  <c r="C8" i="17"/>
  <c r="B8" i="17"/>
  <c r="P7" i="17"/>
  <c r="O7" i="17"/>
  <c r="N7" i="17"/>
  <c r="M7" i="17"/>
  <c r="L7" i="17"/>
  <c r="K7" i="17"/>
  <c r="H7" i="17"/>
  <c r="G7" i="17"/>
  <c r="D7" i="17"/>
  <c r="C7" i="17"/>
  <c r="B7" i="17"/>
  <c r="P6" i="17"/>
  <c r="O6" i="17"/>
  <c r="N6" i="17"/>
  <c r="M6" i="17"/>
  <c r="L6" i="17"/>
  <c r="K6" i="17"/>
  <c r="H6" i="17"/>
  <c r="G6" i="17"/>
  <c r="D6" i="17"/>
  <c r="C6" i="17"/>
  <c r="B6" i="17"/>
  <c r="P5" i="17"/>
  <c r="O5" i="17"/>
  <c r="N5" i="17"/>
  <c r="M5" i="17"/>
  <c r="L5" i="17"/>
  <c r="K5" i="17"/>
  <c r="H5" i="17"/>
  <c r="G5" i="17"/>
  <c r="D5" i="17"/>
  <c r="C5" i="17"/>
  <c r="B5" i="17"/>
  <c r="P4" i="17"/>
  <c r="O4" i="17"/>
  <c r="N4" i="17"/>
  <c r="M4" i="17"/>
  <c r="L4" i="17"/>
  <c r="K4" i="17"/>
  <c r="H4" i="17"/>
  <c r="G4" i="17"/>
  <c r="D4" i="17"/>
  <c r="C4" i="17"/>
  <c r="B4" i="17"/>
  <c r="P3" i="17"/>
  <c r="O3" i="17"/>
  <c r="N3" i="17"/>
  <c r="M3" i="17"/>
  <c r="L3" i="17"/>
  <c r="K3" i="17"/>
  <c r="H3" i="17"/>
  <c r="G3" i="17"/>
  <c r="D3" i="17"/>
  <c r="C3" i="17"/>
  <c r="B3" i="17"/>
  <c r="P2" i="17"/>
  <c r="O2" i="17"/>
  <c r="N2" i="17"/>
  <c r="M2" i="17"/>
  <c r="L2" i="17"/>
  <c r="K2" i="17"/>
  <c r="H2" i="17"/>
  <c r="G2" i="17"/>
  <c r="D2" i="17"/>
  <c r="C2" i="17"/>
  <c r="B2" i="17"/>
  <c r="N348" i="16"/>
  <c r="M348" i="16"/>
  <c r="L348" i="16"/>
  <c r="I348" i="16"/>
  <c r="H348" i="16"/>
  <c r="D348" i="16"/>
  <c r="B348" i="16"/>
  <c r="N347" i="16"/>
  <c r="O347" i="16" s="1"/>
  <c r="Q347" i="16" s="1"/>
  <c r="R347" i="16" s="1"/>
  <c r="M347" i="16"/>
  <c r="L347" i="16"/>
  <c r="I347" i="16"/>
  <c r="H347" i="16"/>
  <c r="D347" i="16"/>
  <c r="B347" i="16"/>
  <c r="N346" i="16"/>
  <c r="O346" i="16" s="1"/>
  <c r="Q346" i="16" s="1"/>
  <c r="R346" i="16" s="1"/>
  <c r="M346" i="16"/>
  <c r="L346" i="16"/>
  <c r="I346" i="16"/>
  <c r="H346" i="16"/>
  <c r="D346" i="16"/>
  <c r="B346" i="16"/>
  <c r="M345" i="16"/>
  <c r="L345" i="16"/>
  <c r="N345" i="16" s="1"/>
  <c r="I345" i="16"/>
  <c r="H345" i="16"/>
  <c r="D345" i="16"/>
  <c r="B345" i="16"/>
  <c r="M344" i="16"/>
  <c r="L344" i="16"/>
  <c r="N344" i="16" s="1"/>
  <c r="I344" i="16"/>
  <c r="H344" i="16"/>
  <c r="D344" i="16"/>
  <c r="B344" i="16"/>
  <c r="M343" i="16"/>
  <c r="L343" i="16"/>
  <c r="N343" i="16" s="1"/>
  <c r="O343" i="16" s="1"/>
  <c r="Q343" i="16" s="1"/>
  <c r="R343" i="16" s="1"/>
  <c r="I343" i="16"/>
  <c r="H343" i="16"/>
  <c r="D343" i="16"/>
  <c r="B343" i="16"/>
  <c r="M342" i="16"/>
  <c r="L342" i="16"/>
  <c r="N342" i="16" s="1"/>
  <c r="O342" i="16" s="1"/>
  <c r="Q342" i="16" s="1"/>
  <c r="R342" i="16" s="1"/>
  <c r="I342" i="16"/>
  <c r="H342" i="16"/>
  <c r="D342" i="16"/>
  <c r="B342" i="16"/>
  <c r="M341" i="16"/>
  <c r="N341" i="16" s="1"/>
  <c r="L341" i="16"/>
  <c r="I341" i="16"/>
  <c r="H341" i="16"/>
  <c r="D341" i="16"/>
  <c r="B341" i="16"/>
  <c r="N340" i="16"/>
  <c r="M340" i="16"/>
  <c r="L340" i="16"/>
  <c r="I340" i="16"/>
  <c r="H340" i="16"/>
  <c r="D340" i="16"/>
  <c r="B340" i="16"/>
  <c r="M339" i="16"/>
  <c r="L339" i="16"/>
  <c r="N339" i="16" s="1"/>
  <c r="I339" i="16"/>
  <c r="H339" i="16"/>
  <c r="O339" i="16"/>
  <c r="Q339" i="16" s="1"/>
  <c r="R339" i="16" s="1"/>
  <c r="D339" i="16"/>
  <c r="B339" i="16"/>
  <c r="M338" i="16"/>
  <c r="L338" i="16"/>
  <c r="I338" i="16"/>
  <c r="H338" i="16"/>
  <c r="D338" i="16"/>
  <c r="B338" i="16"/>
  <c r="M337" i="16"/>
  <c r="N337" i="16" s="1"/>
  <c r="O337" i="16" s="1"/>
  <c r="Q337" i="16" s="1"/>
  <c r="R337" i="16" s="1"/>
  <c r="L337" i="16"/>
  <c r="I337" i="16"/>
  <c r="H337" i="16"/>
  <c r="D337" i="16"/>
  <c r="B337" i="16"/>
  <c r="M336" i="16"/>
  <c r="N336" i="16" s="1"/>
  <c r="L336" i="16"/>
  <c r="I336" i="16"/>
  <c r="H336" i="16"/>
  <c r="D336" i="16"/>
  <c r="B336" i="16"/>
  <c r="L335" i="16"/>
  <c r="H335" i="16"/>
  <c r="I335" i="16" s="1"/>
  <c r="M335" i="16" s="1"/>
  <c r="D335" i="16"/>
  <c r="B335" i="16"/>
  <c r="M334" i="16"/>
  <c r="N334" i="16" s="1"/>
  <c r="O334" i="16" s="1"/>
  <c r="Q334" i="16" s="1"/>
  <c r="R334" i="16" s="1"/>
  <c r="L334" i="16"/>
  <c r="I334" i="16"/>
  <c r="H334" i="16"/>
  <c r="D334" i="16"/>
  <c r="B334" i="16"/>
  <c r="M333" i="16"/>
  <c r="L333" i="16"/>
  <c r="N333" i="16" s="1"/>
  <c r="I333" i="16"/>
  <c r="H333" i="16"/>
  <c r="E333" i="16"/>
  <c r="O333" i="16" s="1"/>
  <c r="Q333" i="16" s="1"/>
  <c r="R333" i="16" s="1"/>
  <c r="D333" i="16"/>
  <c r="B333" i="16"/>
  <c r="O332" i="16"/>
  <c r="Q332" i="16" s="1"/>
  <c r="R332" i="16" s="1"/>
  <c r="M332" i="16"/>
  <c r="L332" i="16"/>
  <c r="N332" i="16" s="1"/>
  <c r="I332" i="16"/>
  <c r="H332" i="16"/>
  <c r="E332" i="16"/>
  <c r="D332" i="16"/>
  <c r="B332" i="16"/>
  <c r="N331" i="16"/>
  <c r="O331" i="16" s="1"/>
  <c r="Q331" i="16" s="1"/>
  <c r="R331" i="16" s="1"/>
  <c r="M331" i="16"/>
  <c r="L331" i="16"/>
  <c r="I331" i="16"/>
  <c r="H331" i="16"/>
  <c r="E331" i="16"/>
  <c r="D331" i="16"/>
  <c r="B331" i="16"/>
  <c r="R330" i="16"/>
  <c r="N330" i="16"/>
  <c r="M330" i="16"/>
  <c r="L330" i="16"/>
  <c r="I330" i="16"/>
  <c r="H330" i="16"/>
  <c r="E330" i="16"/>
  <c r="O330" i="16" s="1"/>
  <c r="Q330" i="16" s="1"/>
  <c r="D330" i="16"/>
  <c r="B330" i="16"/>
  <c r="Q329" i="16"/>
  <c r="R329" i="16" s="1"/>
  <c r="M329" i="16"/>
  <c r="L329" i="16"/>
  <c r="N329" i="16" s="1"/>
  <c r="I329" i="16"/>
  <c r="H329" i="16"/>
  <c r="E329" i="16"/>
  <c r="O329" i="16" s="1"/>
  <c r="D329" i="16"/>
  <c r="B329" i="16"/>
  <c r="O328" i="16"/>
  <c r="Q328" i="16" s="1"/>
  <c r="R328" i="16" s="1"/>
  <c r="M328" i="16"/>
  <c r="L328" i="16"/>
  <c r="N328" i="16" s="1"/>
  <c r="I328" i="16"/>
  <c r="H328" i="16"/>
  <c r="E328" i="16"/>
  <c r="D328" i="16"/>
  <c r="B328" i="16"/>
  <c r="N327" i="16"/>
  <c r="O327" i="16" s="1"/>
  <c r="Q327" i="16" s="1"/>
  <c r="R327" i="16" s="1"/>
  <c r="M327" i="16"/>
  <c r="L327" i="16"/>
  <c r="I327" i="16"/>
  <c r="H327" i="16"/>
  <c r="E327" i="16"/>
  <c r="D327" i="16"/>
  <c r="B327" i="16"/>
  <c r="R326" i="16"/>
  <c r="N326" i="16"/>
  <c r="M326" i="16"/>
  <c r="L326" i="16"/>
  <c r="I326" i="16"/>
  <c r="H326" i="16"/>
  <c r="E326" i="16"/>
  <c r="O326" i="16" s="1"/>
  <c r="Q326" i="16" s="1"/>
  <c r="D326" i="16"/>
  <c r="B326" i="16"/>
  <c r="M325" i="16"/>
  <c r="L325" i="16"/>
  <c r="N325" i="16" s="1"/>
  <c r="I325" i="16"/>
  <c r="H325" i="16"/>
  <c r="E325" i="16"/>
  <c r="D325" i="16"/>
  <c r="B325" i="16"/>
  <c r="M324" i="16"/>
  <c r="L324" i="16"/>
  <c r="N324" i="16" s="1"/>
  <c r="O324" i="16" s="1"/>
  <c r="Q324" i="16" s="1"/>
  <c r="R324" i="16" s="1"/>
  <c r="I324" i="16"/>
  <c r="H324" i="16"/>
  <c r="E324" i="16"/>
  <c r="D324" i="16"/>
  <c r="B324" i="16"/>
  <c r="N323" i="16"/>
  <c r="O323" i="16" s="1"/>
  <c r="Q323" i="16" s="1"/>
  <c r="R323" i="16" s="1"/>
  <c r="M323" i="16"/>
  <c r="L323" i="16"/>
  <c r="I323" i="16"/>
  <c r="H323" i="16"/>
  <c r="E323" i="16"/>
  <c r="D323" i="16"/>
  <c r="B323" i="16"/>
  <c r="N322" i="16"/>
  <c r="M322" i="16"/>
  <c r="L322" i="16"/>
  <c r="I322" i="16"/>
  <c r="H322" i="16"/>
  <c r="E322" i="16"/>
  <c r="O322" i="16" s="1"/>
  <c r="Q322" i="16" s="1"/>
  <c r="R322" i="16" s="1"/>
  <c r="D322" i="16"/>
  <c r="B322" i="16"/>
  <c r="M321" i="16"/>
  <c r="L321" i="16"/>
  <c r="N321" i="16" s="1"/>
  <c r="I321" i="16"/>
  <c r="H321" i="16"/>
  <c r="E321" i="16"/>
  <c r="D321" i="16"/>
  <c r="B321" i="16"/>
  <c r="M320" i="16"/>
  <c r="L320" i="16"/>
  <c r="N320" i="16" s="1"/>
  <c r="O320" i="16" s="1"/>
  <c r="Q320" i="16" s="1"/>
  <c r="R320" i="16" s="1"/>
  <c r="I320" i="16"/>
  <c r="H320" i="16"/>
  <c r="E320" i="16"/>
  <c r="D320" i="16"/>
  <c r="B320" i="16"/>
  <c r="N319" i="16"/>
  <c r="O319" i="16" s="1"/>
  <c r="Q319" i="16" s="1"/>
  <c r="R319" i="16" s="1"/>
  <c r="M319" i="16"/>
  <c r="L319" i="16"/>
  <c r="I319" i="16"/>
  <c r="H319" i="16"/>
  <c r="E319" i="16"/>
  <c r="D319" i="16"/>
  <c r="B319" i="16"/>
  <c r="N318" i="16"/>
  <c r="M318" i="16"/>
  <c r="L318" i="16"/>
  <c r="I318" i="16"/>
  <c r="H318" i="16"/>
  <c r="E318" i="16"/>
  <c r="O318" i="16" s="1"/>
  <c r="Q318" i="16" s="1"/>
  <c r="R318" i="16" s="1"/>
  <c r="D318" i="16"/>
  <c r="B318" i="16"/>
  <c r="M317" i="16"/>
  <c r="L317" i="16"/>
  <c r="N317" i="16" s="1"/>
  <c r="I317" i="16"/>
  <c r="H317" i="16"/>
  <c r="E317" i="16"/>
  <c r="O317" i="16" s="1"/>
  <c r="Q317" i="16" s="1"/>
  <c r="R317" i="16" s="1"/>
  <c r="D317" i="16"/>
  <c r="B317" i="16"/>
  <c r="O316" i="16"/>
  <c r="Q316" i="16" s="1"/>
  <c r="R316" i="16" s="1"/>
  <c r="M316" i="16"/>
  <c r="L316" i="16"/>
  <c r="N316" i="16" s="1"/>
  <c r="I316" i="16"/>
  <c r="H316" i="16"/>
  <c r="E316" i="16"/>
  <c r="D316" i="16"/>
  <c r="B316" i="16"/>
  <c r="N315" i="16"/>
  <c r="O315" i="16" s="1"/>
  <c r="Q315" i="16" s="1"/>
  <c r="R315" i="16" s="1"/>
  <c r="M315" i="16"/>
  <c r="L315" i="16"/>
  <c r="I315" i="16"/>
  <c r="H315" i="16"/>
  <c r="E315" i="16"/>
  <c r="D315" i="16"/>
  <c r="B315" i="16"/>
  <c r="R314" i="16"/>
  <c r="N314" i="16"/>
  <c r="M314" i="16"/>
  <c r="L314" i="16"/>
  <c r="I314" i="16"/>
  <c r="H314" i="16"/>
  <c r="E314" i="16"/>
  <c r="O314" i="16" s="1"/>
  <c r="Q314" i="16" s="1"/>
  <c r="D314" i="16"/>
  <c r="B314" i="16"/>
  <c r="Q313" i="16"/>
  <c r="R313" i="16" s="1"/>
  <c r="M313" i="16"/>
  <c r="L313" i="16"/>
  <c r="N313" i="16" s="1"/>
  <c r="I313" i="16"/>
  <c r="H313" i="16"/>
  <c r="E313" i="16"/>
  <c r="O313" i="16" s="1"/>
  <c r="D313" i="16"/>
  <c r="B313" i="16"/>
  <c r="M312" i="16"/>
  <c r="L312" i="16"/>
  <c r="N312" i="16" s="1"/>
  <c r="O312" i="16" s="1"/>
  <c r="Q312" i="16" s="1"/>
  <c r="R312" i="16" s="1"/>
  <c r="I312" i="16"/>
  <c r="H312" i="16"/>
  <c r="E312" i="16"/>
  <c r="D312" i="16"/>
  <c r="B312" i="16"/>
  <c r="L311" i="16"/>
  <c r="I311" i="16"/>
  <c r="M311" i="16" s="1"/>
  <c r="H311" i="16"/>
  <c r="E311" i="16"/>
  <c r="D311" i="16"/>
  <c r="B311" i="16"/>
  <c r="Q310" i="16"/>
  <c r="R310" i="16" s="1"/>
  <c r="M310" i="16"/>
  <c r="L310" i="16"/>
  <c r="N310" i="16" s="1"/>
  <c r="I310" i="16"/>
  <c r="H310" i="16"/>
  <c r="E310" i="16"/>
  <c r="O310" i="16" s="1"/>
  <c r="D310" i="16"/>
  <c r="B310" i="16"/>
  <c r="M309" i="16"/>
  <c r="L309" i="16"/>
  <c r="N309" i="16" s="1"/>
  <c r="O309" i="16" s="1"/>
  <c r="Q309" i="16" s="1"/>
  <c r="R309" i="16" s="1"/>
  <c r="I309" i="16"/>
  <c r="H309" i="16"/>
  <c r="E309" i="16"/>
  <c r="D309" i="16"/>
  <c r="B309" i="16"/>
  <c r="O308" i="16"/>
  <c r="Q308" i="16" s="1"/>
  <c r="R308" i="16" s="1"/>
  <c r="N308" i="16"/>
  <c r="M308" i="16"/>
  <c r="L308" i="16"/>
  <c r="I308" i="16"/>
  <c r="H308" i="16"/>
  <c r="E308" i="16"/>
  <c r="D308" i="16"/>
  <c r="B308" i="16"/>
  <c r="N307" i="16"/>
  <c r="M307" i="16"/>
  <c r="L307" i="16"/>
  <c r="I307" i="16"/>
  <c r="H307" i="16"/>
  <c r="E307" i="16"/>
  <c r="O307" i="16" s="1"/>
  <c r="Q307" i="16" s="1"/>
  <c r="R307" i="16" s="1"/>
  <c r="D307" i="16"/>
  <c r="B307" i="16"/>
  <c r="Q306" i="16"/>
  <c r="R306" i="16" s="1"/>
  <c r="M306" i="16"/>
  <c r="L306" i="16"/>
  <c r="N306" i="16" s="1"/>
  <c r="I306" i="16"/>
  <c r="H306" i="16"/>
  <c r="E306" i="16"/>
  <c r="O306" i="16" s="1"/>
  <c r="D306" i="16"/>
  <c r="B306" i="16"/>
  <c r="M305" i="16"/>
  <c r="L305" i="16"/>
  <c r="N305" i="16" s="1"/>
  <c r="O305" i="16" s="1"/>
  <c r="Q305" i="16" s="1"/>
  <c r="R305" i="16" s="1"/>
  <c r="I305" i="16"/>
  <c r="H305" i="16"/>
  <c r="E305" i="16"/>
  <c r="D305" i="16"/>
  <c r="B305" i="16"/>
  <c r="O304" i="16"/>
  <c r="Q304" i="16" s="1"/>
  <c r="R304" i="16" s="1"/>
  <c r="N304" i="16"/>
  <c r="M304" i="16"/>
  <c r="L304" i="16"/>
  <c r="I304" i="16"/>
  <c r="H304" i="16"/>
  <c r="E304" i="16"/>
  <c r="D304" i="16"/>
  <c r="B304" i="16"/>
  <c r="N303" i="16"/>
  <c r="M303" i="16"/>
  <c r="L303" i="16"/>
  <c r="I303" i="16"/>
  <c r="H303" i="16"/>
  <c r="E303" i="16"/>
  <c r="O303" i="16" s="1"/>
  <c r="Q303" i="16" s="1"/>
  <c r="R303" i="16" s="1"/>
  <c r="D303" i="16"/>
  <c r="B303" i="16"/>
  <c r="Q302" i="16"/>
  <c r="R302" i="16" s="1"/>
  <c r="M302" i="16"/>
  <c r="L302" i="16"/>
  <c r="N302" i="16" s="1"/>
  <c r="I302" i="16"/>
  <c r="H302" i="16"/>
  <c r="E302" i="16"/>
  <c r="O302" i="16" s="1"/>
  <c r="D302" i="16"/>
  <c r="B302" i="16"/>
  <c r="M301" i="16"/>
  <c r="L301" i="16"/>
  <c r="N301" i="16" s="1"/>
  <c r="O301" i="16" s="1"/>
  <c r="Q301" i="16" s="1"/>
  <c r="R301" i="16" s="1"/>
  <c r="I301" i="16"/>
  <c r="H301" i="16"/>
  <c r="E301" i="16"/>
  <c r="D301" i="16"/>
  <c r="B301" i="16"/>
  <c r="O300" i="16"/>
  <c r="Q300" i="16" s="1"/>
  <c r="R300" i="16" s="1"/>
  <c r="N300" i="16"/>
  <c r="M300" i="16"/>
  <c r="L300" i="16"/>
  <c r="I300" i="16"/>
  <c r="H300" i="16"/>
  <c r="E300" i="16"/>
  <c r="D300" i="16"/>
  <c r="B300" i="16"/>
  <c r="N299" i="16"/>
  <c r="M299" i="16"/>
  <c r="L299" i="16"/>
  <c r="I299" i="16"/>
  <c r="H299" i="16"/>
  <c r="E299" i="16"/>
  <c r="O299" i="16" s="1"/>
  <c r="Q299" i="16" s="1"/>
  <c r="R299" i="16" s="1"/>
  <c r="D299" i="16"/>
  <c r="B299" i="16"/>
  <c r="Q298" i="16"/>
  <c r="R298" i="16" s="1"/>
  <c r="M298" i="16"/>
  <c r="L298" i="16"/>
  <c r="N298" i="16" s="1"/>
  <c r="I298" i="16"/>
  <c r="H298" i="16"/>
  <c r="E298" i="16"/>
  <c r="O298" i="16" s="1"/>
  <c r="D298" i="16"/>
  <c r="B298" i="16"/>
  <c r="M297" i="16"/>
  <c r="L297" i="16"/>
  <c r="N297" i="16" s="1"/>
  <c r="O297" i="16" s="1"/>
  <c r="Q297" i="16" s="1"/>
  <c r="R297" i="16" s="1"/>
  <c r="I297" i="16"/>
  <c r="H297" i="16"/>
  <c r="E297" i="16"/>
  <c r="D297" i="16"/>
  <c r="B297" i="16"/>
  <c r="O296" i="16"/>
  <c r="Q296" i="16" s="1"/>
  <c r="R296" i="16" s="1"/>
  <c r="N296" i="16"/>
  <c r="M296" i="16"/>
  <c r="L296" i="16"/>
  <c r="I296" i="16"/>
  <c r="H296" i="16"/>
  <c r="E296" i="16"/>
  <c r="D296" i="16"/>
  <c r="B296" i="16"/>
  <c r="N295" i="16"/>
  <c r="M295" i="16"/>
  <c r="L295" i="16"/>
  <c r="I295" i="16"/>
  <c r="H295" i="16"/>
  <c r="E295" i="16"/>
  <c r="O295" i="16" s="1"/>
  <c r="Q295" i="16" s="1"/>
  <c r="R295" i="16" s="1"/>
  <c r="D295" i="16"/>
  <c r="B295" i="16"/>
  <c r="Q294" i="16"/>
  <c r="R294" i="16" s="1"/>
  <c r="M294" i="16"/>
  <c r="L294" i="16"/>
  <c r="N294" i="16" s="1"/>
  <c r="I294" i="16"/>
  <c r="H294" i="16"/>
  <c r="E294" i="16"/>
  <c r="O294" i="16" s="1"/>
  <c r="D294" i="16"/>
  <c r="B294" i="16"/>
  <c r="M293" i="16"/>
  <c r="L293" i="16"/>
  <c r="N293" i="16" s="1"/>
  <c r="O293" i="16" s="1"/>
  <c r="Q293" i="16" s="1"/>
  <c r="R293" i="16" s="1"/>
  <c r="I293" i="16"/>
  <c r="H293" i="16"/>
  <c r="E293" i="16"/>
  <c r="D293" i="16"/>
  <c r="B293" i="16"/>
  <c r="O292" i="16"/>
  <c r="Q292" i="16" s="1"/>
  <c r="R292" i="16" s="1"/>
  <c r="N292" i="16"/>
  <c r="M292" i="16"/>
  <c r="L292" i="16"/>
  <c r="I292" i="16"/>
  <c r="H292" i="16"/>
  <c r="E292" i="16"/>
  <c r="D292" i="16"/>
  <c r="B292" i="16"/>
  <c r="N291" i="16"/>
  <c r="M291" i="16"/>
  <c r="L291" i="16"/>
  <c r="I291" i="16"/>
  <c r="H291" i="16"/>
  <c r="E291" i="16"/>
  <c r="O291" i="16" s="1"/>
  <c r="Q291" i="16" s="1"/>
  <c r="R291" i="16" s="1"/>
  <c r="D291" i="16"/>
  <c r="B291" i="16"/>
  <c r="Q290" i="16"/>
  <c r="R290" i="16" s="1"/>
  <c r="M290" i="16"/>
  <c r="L290" i="16"/>
  <c r="N290" i="16" s="1"/>
  <c r="I290" i="16"/>
  <c r="H290" i="16"/>
  <c r="E290" i="16"/>
  <c r="O290" i="16" s="1"/>
  <c r="D290" i="16"/>
  <c r="B290" i="16"/>
  <c r="M289" i="16"/>
  <c r="L289" i="16"/>
  <c r="N289" i="16" s="1"/>
  <c r="O289" i="16" s="1"/>
  <c r="Q289" i="16" s="1"/>
  <c r="R289" i="16" s="1"/>
  <c r="I289" i="16"/>
  <c r="H289" i="16"/>
  <c r="E289" i="16"/>
  <c r="D289" i="16"/>
  <c r="B289" i="16"/>
  <c r="O288" i="16"/>
  <c r="Q288" i="16" s="1"/>
  <c r="R288" i="16" s="1"/>
  <c r="N288" i="16"/>
  <c r="M288" i="16"/>
  <c r="L288" i="16"/>
  <c r="I288" i="16"/>
  <c r="H288" i="16"/>
  <c r="E288" i="16"/>
  <c r="D288" i="16"/>
  <c r="B288" i="16"/>
  <c r="N287" i="16"/>
  <c r="M287" i="16"/>
  <c r="L287" i="16"/>
  <c r="I287" i="16"/>
  <c r="H287" i="16"/>
  <c r="E287" i="16"/>
  <c r="O287" i="16" s="1"/>
  <c r="Q287" i="16" s="1"/>
  <c r="R287" i="16" s="1"/>
  <c r="D287" i="16"/>
  <c r="B287" i="16"/>
  <c r="Q286" i="16"/>
  <c r="R286" i="16" s="1"/>
  <c r="M286" i="16"/>
  <c r="L286" i="16"/>
  <c r="N286" i="16" s="1"/>
  <c r="I286" i="16"/>
  <c r="H286" i="16"/>
  <c r="E286" i="16"/>
  <c r="O286" i="16" s="1"/>
  <c r="D286" i="16"/>
  <c r="B286" i="16"/>
  <c r="R285" i="16"/>
  <c r="Q285" i="16"/>
  <c r="O285" i="16"/>
  <c r="N285" i="16"/>
  <c r="M285" i="16"/>
  <c r="L285" i="16"/>
  <c r="I285" i="16"/>
  <c r="H285" i="16"/>
  <c r="E285" i="16"/>
  <c r="D285" i="16"/>
  <c r="B285" i="16"/>
  <c r="R284" i="16"/>
  <c r="Q284" i="16"/>
  <c r="O284" i="16"/>
  <c r="N284" i="16"/>
  <c r="M284" i="16"/>
  <c r="L284" i="16"/>
  <c r="I284" i="16"/>
  <c r="H284" i="16"/>
  <c r="E284" i="16"/>
  <c r="D284" i="16"/>
  <c r="B284" i="16"/>
  <c r="R283" i="16"/>
  <c r="Q283" i="16"/>
  <c r="O283" i="16"/>
  <c r="N283" i="16"/>
  <c r="M283" i="16"/>
  <c r="L283" i="16"/>
  <c r="I283" i="16"/>
  <c r="H283" i="16"/>
  <c r="E283" i="16"/>
  <c r="D283" i="16"/>
  <c r="B283" i="16"/>
  <c r="R282" i="16"/>
  <c r="Q282" i="16"/>
  <c r="O282" i="16"/>
  <c r="N282" i="16"/>
  <c r="M282" i="16"/>
  <c r="L282" i="16"/>
  <c r="I282" i="16"/>
  <c r="H282" i="16"/>
  <c r="E282" i="16"/>
  <c r="D282" i="16"/>
  <c r="B282" i="16"/>
  <c r="R281" i="16"/>
  <c r="Q281" i="16"/>
  <c r="O281" i="16"/>
  <c r="N281" i="16"/>
  <c r="M281" i="16"/>
  <c r="L281" i="16"/>
  <c r="I281" i="16"/>
  <c r="H281" i="16"/>
  <c r="E281" i="16"/>
  <c r="D281" i="16"/>
  <c r="B281" i="16"/>
  <c r="R280" i="16"/>
  <c r="Q280" i="16"/>
  <c r="O280" i="16"/>
  <c r="N280" i="16"/>
  <c r="M280" i="16"/>
  <c r="L280" i="16"/>
  <c r="I280" i="16"/>
  <c r="H280" i="16"/>
  <c r="E280" i="16"/>
  <c r="D280" i="16"/>
  <c r="B280" i="16"/>
  <c r="R279" i="16"/>
  <c r="Q279" i="16"/>
  <c r="O279" i="16"/>
  <c r="N279" i="16"/>
  <c r="M279" i="16"/>
  <c r="L279" i="16"/>
  <c r="I279" i="16"/>
  <c r="H279" i="16"/>
  <c r="E279" i="16"/>
  <c r="D279" i="16"/>
  <c r="B279" i="16"/>
  <c r="R278" i="16"/>
  <c r="Q278" i="16"/>
  <c r="O278" i="16"/>
  <c r="N278" i="16"/>
  <c r="M278" i="16"/>
  <c r="L278" i="16"/>
  <c r="I278" i="16"/>
  <c r="H278" i="16"/>
  <c r="E278" i="16"/>
  <c r="D278" i="16"/>
  <c r="B278" i="16"/>
  <c r="R277" i="16"/>
  <c r="Q277" i="16"/>
  <c r="O277" i="16"/>
  <c r="N277" i="16"/>
  <c r="M277" i="16"/>
  <c r="L277" i="16"/>
  <c r="I277" i="16"/>
  <c r="H277" i="16"/>
  <c r="E277" i="16"/>
  <c r="D277" i="16"/>
  <c r="B277" i="16"/>
  <c r="R276" i="16"/>
  <c r="Q276" i="16"/>
  <c r="O276" i="16"/>
  <c r="N276" i="16"/>
  <c r="M276" i="16"/>
  <c r="L276" i="16"/>
  <c r="I276" i="16"/>
  <c r="H276" i="16"/>
  <c r="E276" i="16"/>
  <c r="D276" i="16"/>
  <c r="B276" i="16"/>
  <c r="R275" i="16"/>
  <c r="Q275" i="16"/>
  <c r="O275" i="16"/>
  <c r="N275" i="16"/>
  <c r="M275" i="16"/>
  <c r="L275" i="16"/>
  <c r="I275" i="16"/>
  <c r="H275" i="16"/>
  <c r="E275" i="16"/>
  <c r="D275" i="16"/>
  <c r="B275" i="16"/>
  <c r="R274" i="16"/>
  <c r="Q274" i="16"/>
  <c r="O274" i="16"/>
  <c r="N274" i="16"/>
  <c r="M274" i="16"/>
  <c r="L274" i="16"/>
  <c r="I274" i="16"/>
  <c r="H274" i="16"/>
  <c r="E274" i="16"/>
  <c r="D274" i="16"/>
  <c r="B274" i="16"/>
  <c r="R273" i="16"/>
  <c r="Q273" i="16"/>
  <c r="O273" i="16"/>
  <c r="N273" i="16"/>
  <c r="M273" i="16"/>
  <c r="L273" i="16"/>
  <c r="I273" i="16"/>
  <c r="H273" i="16"/>
  <c r="E273" i="16"/>
  <c r="D273" i="16"/>
  <c r="B273" i="16"/>
  <c r="R272" i="16"/>
  <c r="Q272" i="16"/>
  <c r="O272" i="16"/>
  <c r="N272" i="16"/>
  <c r="M272" i="16"/>
  <c r="L272" i="16"/>
  <c r="I272" i="16"/>
  <c r="H272" i="16"/>
  <c r="E272" i="16"/>
  <c r="D272" i="16"/>
  <c r="B272" i="16"/>
  <c r="R271" i="16"/>
  <c r="Q271" i="16"/>
  <c r="O271" i="16"/>
  <c r="N271" i="16"/>
  <c r="M271" i="16"/>
  <c r="L271" i="16"/>
  <c r="I271" i="16"/>
  <c r="H271" i="16"/>
  <c r="E271" i="16"/>
  <c r="D271" i="16"/>
  <c r="B271" i="16"/>
  <c r="R270" i="16"/>
  <c r="Q270" i="16"/>
  <c r="O270" i="16"/>
  <c r="N270" i="16"/>
  <c r="M270" i="16"/>
  <c r="L270" i="16"/>
  <c r="I270" i="16"/>
  <c r="H270" i="16"/>
  <c r="E270" i="16"/>
  <c r="D270" i="16"/>
  <c r="B270" i="16"/>
  <c r="R269" i="16"/>
  <c r="Q269" i="16"/>
  <c r="O269" i="16"/>
  <c r="N269" i="16"/>
  <c r="M269" i="16"/>
  <c r="L269" i="16"/>
  <c r="I269" i="16"/>
  <c r="H269" i="16"/>
  <c r="E269" i="16"/>
  <c r="D269" i="16"/>
  <c r="B269" i="16"/>
  <c r="R268" i="16"/>
  <c r="Q268" i="16"/>
  <c r="O268" i="16"/>
  <c r="N268" i="16"/>
  <c r="M268" i="16"/>
  <c r="L268" i="16"/>
  <c r="I268" i="16"/>
  <c r="H268" i="16"/>
  <c r="E268" i="16"/>
  <c r="D268" i="16"/>
  <c r="B268" i="16"/>
  <c r="R267" i="16"/>
  <c r="Q267" i="16"/>
  <c r="O267" i="16"/>
  <c r="N267" i="16"/>
  <c r="M267" i="16"/>
  <c r="L267" i="16"/>
  <c r="I267" i="16"/>
  <c r="H267" i="16"/>
  <c r="E267" i="16"/>
  <c r="D267" i="16"/>
  <c r="B267" i="16"/>
  <c r="R266" i="16"/>
  <c r="Q266" i="16"/>
  <c r="O266" i="16"/>
  <c r="N266" i="16"/>
  <c r="M266" i="16"/>
  <c r="L266" i="16"/>
  <c r="I266" i="16"/>
  <c r="H266" i="16"/>
  <c r="E266" i="16"/>
  <c r="D266" i="16"/>
  <c r="B266" i="16"/>
  <c r="R265" i="16"/>
  <c r="Q265" i="16"/>
  <c r="O265" i="16"/>
  <c r="N265" i="16"/>
  <c r="M265" i="16"/>
  <c r="L265" i="16"/>
  <c r="I265" i="16"/>
  <c r="H265" i="16"/>
  <c r="E265" i="16"/>
  <c r="D265" i="16"/>
  <c r="B265" i="16"/>
  <c r="R264" i="16"/>
  <c r="Q264" i="16"/>
  <c r="O264" i="16"/>
  <c r="N264" i="16"/>
  <c r="M264" i="16"/>
  <c r="L264" i="16"/>
  <c r="I264" i="16"/>
  <c r="H264" i="16"/>
  <c r="E264" i="16"/>
  <c r="D264" i="16"/>
  <c r="B264" i="16"/>
  <c r="R263" i="16"/>
  <c r="Q263" i="16"/>
  <c r="O263" i="16"/>
  <c r="N263" i="16"/>
  <c r="M263" i="16"/>
  <c r="L263" i="16"/>
  <c r="I263" i="16"/>
  <c r="H263" i="16"/>
  <c r="E263" i="16"/>
  <c r="D263" i="16"/>
  <c r="B263" i="16"/>
  <c r="R262" i="16"/>
  <c r="Q262" i="16"/>
  <c r="O262" i="16"/>
  <c r="N262" i="16"/>
  <c r="M262" i="16"/>
  <c r="L262" i="16"/>
  <c r="I262" i="16"/>
  <c r="H262" i="16"/>
  <c r="E262" i="16"/>
  <c r="D262" i="16"/>
  <c r="B262" i="16"/>
  <c r="R261" i="16"/>
  <c r="Q261" i="16"/>
  <c r="O261" i="16"/>
  <c r="N261" i="16"/>
  <c r="M261" i="16"/>
  <c r="L261" i="16"/>
  <c r="I261" i="16"/>
  <c r="H261" i="16"/>
  <c r="E261" i="16"/>
  <c r="D261" i="16"/>
  <c r="B261" i="16"/>
  <c r="R260" i="16"/>
  <c r="Q260" i="16"/>
  <c r="O260" i="16"/>
  <c r="N260" i="16"/>
  <c r="M260" i="16"/>
  <c r="L260" i="16"/>
  <c r="I260" i="16"/>
  <c r="H260" i="16"/>
  <c r="E260" i="16"/>
  <c r="D260" i="16"/>
  <c r="B260" i="16"/>
  <c r="R259" i="16"/>
  <c r="Q259" i="16"/>
  <c r="O259" i="16"/>
  <c r="N259" i="16"/>
  <c r="M259" i="16"/>
  <c r="L259" i="16"/>
  <c r="I259" i="16"/>
  <c r="H259" i="16"/>
  <c r="E259" i="16"/>
  <c r="D259" i="16"/>
  <c r="B259" i="16"/>
  <c r="R258" i="16"/>
  <c r="Q258" i="16"/>
  <c r="O258" i="16"/>
  <c r="N258" i="16"/>
  <c r="M258" i="16"/>
  <c r="L258" i="16"/>
  <c r="I258" i="16"/>
  <c r="H258" i="16"/>
  <c r="E258" i="16"/>
  <c r="D258" i="16"/>
  <c r="B258" i="16"/>
  <c r="R257" i="16"/>
  <c r="Q257" i="16"/>
  <c r="O257" i="16"/>
  <c r="N257" i="16"/>
  <c r="M257" i="16"/>
  <c r="L257" i="16"/>
  <c r="I257" i="16"/>
  <c r="H257" i="16"/>
  <c r="E257" i="16"/>
  <c r="D257" i="16"/>
  <c r="B257" i="16"/>
  <c r="R256" i="16"/>
  <c r="Q256" i="16"/>
  <c r="O256" i="16"/>
  <c r="N256" i="16"/>
  <c r="M256" i="16"/>
  <c r="L256" i="16"/>
  <c r="I256" i="16"/>
  <c r="H256" i="16"/>
  <c r="E256" i="16"/>
  <c r="D256" i="16"/>
  <c r="B256" i="16"/>
  <c r="R255" i="16"/>
  <c r="Q255" i="16"/>
  <c r="O255" i="16"/>
  <c r="N255" i="16"/>
  <c r="M255" i="16"/>
  <c r="L255" i="16"/>
  <c r="I255" i="16"/>
  <c r="H255" i="16"/>
  <c r="E255" i="16"/>
  <c r="D255" i="16"/>
  <c r="B255" i="16"/>
  <c r="R254" i="16"/>
  <c r="Q254" i="16"/>
  <c r="O254" i="16"/>
  <c r="N254" i="16"/>
  <c r="M254" i="16"/>
  <c r="L254" i="16"/>
  <c r="I254" i="16"/>
  <c r="H254" i="16"/>
  <c r="E254" i="16"/>
  <c r="D254" i="16"/>
  <c r="B254" i="16"/>
  <c r="R253" i="16"/>
  <c r="Q253" i="16"/>
  <c r="O253" i="16"/>
  <c r="N253" i="16"/>
  <c r="M253" i="16"/>
  <c r="L253" i="16"/>
  <c r="I253" i="16"/>
  <c r="H253" i="16"/>
  <c r="E253" i="16"/>
  <c r="D253" i="16"/>
  <c r="B253" i="16"/>
  <c r="R252" i="16"/>
  <c r="Q252" i="16"/>
  <c r="O252" i="16"/>
  <c r="N252" i="16"/>
  <c r="M252" i="16"/>
  <c r="L252" i="16"/>
  <c r="I252" i="16"/>
  <c r="H252" i="16"/>
  <c r="E252" i="16"/>
  <c r="D252" i="16"/>
  <c r="B252" i="16"/>
  <c r="R251" i="16"/>
  <c r="Q251" i="16"/>
  <c r="O251" i="16"/>
  <c r="N251" i="16"/>
  <c r="M251" i="16"/>
  <c r="L251" i="16"/>
  <c r="I251" i="16"/>
  <c r="H251" i="16"/>
  <c r="E251" i="16"/>
  <c r="D251" i="16"/>
  <c r="B251" i="16"/>
  <c r="R250" i="16"/>
  <c r="Q250" i="16"/>
  <c r="O250" i="16"/>
  <c r="N250" i="16"/>
  <c r="M250" i="16"/>
  <c r="L250" i="16"/>
  <c r="I250" i="16"/>
  <c r="H250" i="16"/>
  <c r="E250" i="16"/>
  <c r="D250" i="16"/>
  <c r="B250" i="16"/>
  <c r="R249" i="16"/>
  <c r="Q249" i="16"/>
  <c r="O249" i="16"/>
  <c r="N249" i="16"/>
  <c r="M249" i="16"/>
  <c r="L249" i="16"/>
  <c r="I249" i="16"/>
  <c r="H249" i="16"/>
  <c r="E249" i="16"/>
  <c r="D249" i="16"/>
  <c r="B249" i="16"/>
  <c r="R248" i="16"/>
  <c r="Q248" i="16"/>
  <c r="O248" i="16"/>
  <c r="N248" i="16"/>
  <c r="M248" i="16"/>
  <c r="L248" i="16"/>
  <c r="I248" i="16"/>
  <c r="H248" i="16"/>
  <c r="E248" i="16"/>
  <c r="D248" i="16"/>
  <c r="B248" i="16"/>
  <c r="R247" i="16"/>
  <c r="Q247" i="16"/>
  <c r="O247" i="16"/>
  <c r="N247" i="16"/>
  <c r="M247" i="16"/>
  <c r="L247" i="16"/>
  <c r="I247" i="16"/>
  <c r="H247" i="16"/>
  <c r="E247" i="16"/>
  <c r="D247" i="16"/>
  <c r="B247" i="16"/>
  <c r="R246" i="16"/>
  <c r="Q246" i="16"/>
  <c r="O246" i="16"/>
  <c r="N246" i="16"/>
  <c r="M246" i="16"/>
  <c r="L246" i="16"/>
  <c r="I246" i="16"/>
  <c r="H246" i="16"/>
  <c r="E246" i="16"/>
  <c r="D246" i="16"/>
  <c r="B246" i="16"/>
  <c r="R245" i="16"/>
  <c r="Q245" i="16"/>
  <c r="O245" i="16"/>
  <c r="N245" i="16"/>
  <c r="M245" i="16"/>
  <c r="L245" i="16"/>
  <c r="I245" i="16"/>
  <c r="H245" i="16"/>
  <c r="E245" i="16"/>
  <c r="D245" i="16"/>
  <c r="B245" i="16"/>
  <c r="R244" i="16"/>
  <c r="Q244" i="16"/>
  <c r="O244" i="16"/>
  <c r="N244" i="16"/>
  <c r="M244" i="16"/>
  <c r="L244" i="16"/>
  <c r="I244" i="16"/>
  <c r="H244" i="16"/>
  <c r="E244" i="16"/>
  <c r="D244" i="16"/>
  <c r="B244" i="16"/>
  <c r="R243" i="16"/>
  <c r="Q243" i="16"/>
  <c r="O243" i="16"/>
  <c r="N243" i="16"/>
  <c r="M243" i="16"/>
  <c r="L243" i="16"/>
  <c r="I243" i="16"/>
  <c r="H243" i="16"/>
  <c r="E243" i="16"/>
  <c r="D243" i="16"/>
  <c r="B243" i="16"/>
  <c r="R242" i="16"/>
  <c r="Q242" i="16"/>
  <c r="O242" i="16"/>
  <c r="N242" i="16"/>
  <c r="M242" i="16"/>
  <c r="L242" i="16"/>
  <c r="I242" i="16"/>
  <c r="H242" i="16"/>
  <c r="E242" i="16"/>
  <c r="D242" i="16"/>
  <c r="B242" i="16"/>
  <c r="R241" i="16"/>
  <c r="Q241" i="16"/>
  <c r="O241" i="16"/>
  <c r="N241" i="16"/>
  <c r="M241" i="16"/>
  <c r="L241" i="16"/>
  <c r="I241" i="16"/>
  <c r="H241" i="16"/>
  <c r="E241" i="16"/>
  <c r="D241" i="16"/>
  <c r="B241" i="16"/>
  <c r="R240" i="16"/>
  <c r="Q240" i="16"/>
  <c r="O240" i="16"/>
  <c r="N240" i="16"/>
  <c r="M240" i="16"/>
  <c r="L240" i="16"/>
  <c r="I240" i="16"/>
  <c r="H240" i="16"/>
  <c r="E240" i="16"/>
  <c r="D240" i="16"/>
  <c r="B240" i="16"/>
  <c r="R239" i="16"/>
  <c r="Q239" i="16"/>
  <c r="O239" i="16"/>
  <c r="N239" i="16"/>
  <c r="M239" i="16"/>
  <c r="L239" i="16"/>
  <c r="I239" i="16"/>
  <c r="H239" i="16"/>
  <c r="E239" i="16"/>
  <c r="D239" i="16"/>
  <c r="B239" i="16"/>
  <c r="R238" i="16"/>
  <c r="Q238" i="16"/>
  <c r="O238" i="16"/>
  <c r="N238" i="16"/>
  <c r="M238" i="16"/>
  <c r="L238" i="16"/>
  <c r="I238" i="16"/>
  <c r="H238" i="16"/>
  <c r="E238" i="16"/>
  <c r="D238" i="16"/>
  <c r="B238" i="16"/>
  <c r="R237" i="16"/>
  <c r="Q237" i="16"/>
  <c r="O237" i="16"/>
  <c r="N237" i="16"/>
  <c r="M237" i="16"/>
  <c r="L237" i="16"/>
  <c r="I237" i="16"/>
  <c r="H237" i="16"/>
  <c r="E237" i="16"/>
  <c r="D237" i="16"/>
  <c r="B237" i="16"/>
  <c r="R236" i="16"/>
  <c r="Q236" i="16"/>
  <c r="O236" i="16"/>
  <c r="N236" i="16"/>
  <c r="M236" i="16"/>
  <c r="L236" i="16"/>
  <c r="I236" i="16"/>
  <c r="H236" i="16"/>
  <c r="E236" i="16"/>
  <c r="D236" i="16"/>
  <c r="B236" i="16"/>
  <c r="R235" i="16"/>
  <c r="Q235" i="16"/>
  <c r="O235" i="16"/>
  <c r="N235" i="16"/>
  <c r="M235" i="16"/>
  <c r="L235" i="16"/>
  <c r="I235" i="16"/>
  <c r="H235" i="16"/>
  <c r="E235" i="16"/>
  <c r="D235" i="16"/>
  <c r="B235" i="16"/>
  <c r="R234" i="16"/>
  <c r="Q234" i="16"/>
  <c r="O234" i="16"/>
  <c r="N234" i="16"/>
  <c r="M234" i="16"/>
  <c r="L234" i="16"/>
  <c r="I234" i="16"/>
  <c r="H234" i="16"/>
  <c r="E234" i="16"/>
  <c r="D234" i="16"/>
  <c r="B234" i="16"/>
  <c r="R233" i="16"/>
  <c r="Q233" i="16"/>
  <c r="O233" i="16"/>
  <c r="N233" i="16"/>
  <c r="M233" i="16"/>
  <c r="L233" i="16"/>
  <c r="I233" i="16"/>
  <c r="H233" i="16"/>
  <c r="E233" i="16"/>
  <c r="D233" i="16"/>
  <c r="B233" i="16"/>
  <c r="R232" i="16"/>
  <c r="Q232" i="16"/>
  <c r="O232" i="16"/>
  <c r="N232" i="16"/>
  <c r="M232" i="16"/>
  <c r="L232" i="16"/>
  <c r="I232" i="16"/>
  <c r="H232" i="16"/>
  <c r="E232" i="16"/>
  <c r="D232" i="16"/>
  <c r="B232" i="16"/>
  <c r="R231" i="16"/>
  <c r="Q231" i="16"/>
  <c r="O231" i="16"/>
  <c r="N231" i="16"/>
  <c r="M231" i="16"/>
  <c r="L231" i="16"/>
  <c r="I231" i="16"/>
  <c r="H231" i="16"/>
  <c r="E231" i="16"/>
  <c r="D231" i="16"/>
  <c r="B231" i="16"/>
  <c r="R230" i="16"/>
  <c r="Q230" i="16"/>
  <c r="O230" i="16"/>
  <c r="N230" i="16"/>
  <c r="M230" i="16"/>
  <c r="L230" i="16"/>
  <c r="I230" i="16"/>
  <c r="H230" i="16"/>
  <c r="E230" i="16"/>
  <c r="D230" i="16"/>
  <c r="B230" i="16"/>
  <c r="R229" i="16"/>
  <c r="Q229" i="16"/>
  <c r="O229" i="16"/>
  <c r="N229" i="16"/>
  <c r="M229" i="16"/>
  <c r="L229" i="16"/>
  <c r="I229" i="16"/>
  <c r="H229" i="16"/>
  <c r="E229" i="16"/>
  <c r="D229" i="16"/>
  <c r="B229" i="16"/>
  <c r="R228" i="16"/>
  <c r="Q228" i="16"/>
  <c r="O228" i="16"/>
  <c r="N228" i="16"/>
  <c r="M228" i="16"/>
  <c r="L228" i="16"/>
  <c r="I228" i="16"/>
  <c r="H228" i="16"/>
  <c r="E228" i="16"/>
  <c r="D228" i="16"/>
  <c r="B228" i="16"/>
  <c r="R227" i="16"/>
  <c r="Q227" i="16"/>
  <c r="O227" i="16"/>
  <c r="N227" i="16"/>
  <c r="M227" i="16"/>
  <c r="L227" i="16"/>
  <c r="I227" i="16"/>
  <c r="H227" i="16"/>
  <c r="E227" i="16"/>
  <c r="D227" i="16"/>
  <c r="B227" i="16"/>
  <c r="R226" i="16"/>
  <c r="Q226" i="16"/>
  <c r="O226" i="16"/>
  <c r="N226" i="16"/>
  <c r="M226" i="16"/>
  <c r="L226" i="16"/>
  <c r="I226" i="16"/>
  <c r="H226" i="16"/>
  <c r="E226" i="16"/>
  <c r="D226" i="16"/>
  <c r="B226" i="16"/>
  <c r="R225" i="16"/>
  <c r="Q225" i="16"/>
  <c r="O225" i="16"/>
  <c r="N225" i="16"/>
  <c r="M225" i="16"/>
  <c r="L225" i="16"/>
  <c r="I225" i="16"/>
  <c r="H225" i="16"/>
  <c r="E225" i="16"/>
  <c r="D225" i="16"/>
  <c r="B225" i="16"/>
  <c r="R224" i="16"/>
  <c r="Q224" i="16"/>
  <c r="O224" i="16"/>
  <c r="N224" i="16"/>
  <c r="M224" i="16"/>
  <c r="L224" i="16"/>
  <c r="I224" i="16"/>
  <c r="H224" i="16"/>
  <c r="E224" i="16"/>
  <c r="D224" i="16"/>
  <c r="B224" i="16"/>
  <c r="R223" i="16"/>
  <c r="Q223" i="16"/>
  <c r="O223" i="16"/>
  <c r="N223" i="16"/>
  <c r="M223" i="16"/>
  <c r="L223" i="16"/>
  <c r="I223" i="16"/>
  <c r="H223" i="16"/>
  <c r="E223" i="16"/>
  <c r="D223" i="16"/>
  <c r="B223" i="16"/>
  <c r="R222" i="16"/>
  <c r="Q222" i="16"/>
  <c r="O222" i="16"/>
  <c r="N222" i="16"/>
  <c r="M222" i="16"/>
  <c r="L222" i="16"/>
  <c r="I222" i="16"/>
  <c r="H222" i="16"/>
  <c r="E222" i="16"/>
  <c r="D222" i="16"/>
  <c r="B222" i="16"/>
  <c r="R221" i="16"/>
  <c r="Q221" i="16"/>
  <c r="O221" i="16"/>
  <c r="N221" i="16"/>
  <c r="M221" i="16"/>
  <c r="L221" i="16"/>
  <c r="I221" i="16"/>
  <c r="H221" i="16"/>
  <c r="E221" i="16"/>
  <c r="D221" i="16"/>
  <c r="B221" i="16"/>
  <c r="R220" i="16"/>
  <c r="Q220" i="16"/>
  <c r="O220" i="16"/>
  <c r="N220" i="16"/>
  <c r="M220" i="16"/>
  <c r="L220" i="16"/>
  <c r="I220" i="16"/>
  <c r="H220" i="16"/>
  <c r="E220" i="16"/>
  <c r="D220" i="16"/>
  <c r="B220" i="16"/>
  <c r="R219" i="16"/>
  <c r="Q219" i="16"/>
  <c r="O219" i="16"/>
  <c r="N219" i="16"/>
  <c r="M219" i="16"/>
  <c r="L219" i="16"/>
  <c r="I219" i="16"/>
  <c r="H219" i="16"/>
  <c r="E219" i="16"/>
  <c r="D219" i="16"/>
  <c r="B219" i="16"/>
  <c r="R218" i="16"/>
  <c r="Q218" i="16"/>
  <c r="O218" i="16"/>
  <c r="N218" i="16"/>
  <c r="M218" i="16"/>
  <c r="L218" i="16"/>
  <c r="I218" i="16"/>
  <c r="H218" i="16"/>
  <c r="E218" i="16"/>
  <c r="D218" i="16"/>
  <c r="B218" i="16"/>
  <c r="R217" i="16"/>
  <c r="Q217" i="16"/>
  <c r="O217" i="16"/>
  <c r="N217" i="16"/>
  <c r="M217" i="16"/>
  <c r="L217" i="16"/>
  <c r="I217" i="16"/>
  <c r="H217" i="16"/>
  <c r="E217" i="16"/>
  <c r="D217" i="16"/>
  <c r="B217" i="16"/>
  <c r="R216" i="16"/>
  <c r="Q216" i="16"/>
  <c r="O216" i="16"/>
  <c r="N216" i="16"/>
  <c r="M216" i="16"/>
  <c r="L216" i="16"/>
  <c r="I216" i="16"/>
  <c r="H216" i="16"/>
  <c r="E216" i="16"/>
  <c r="D216" i="16"/>
  <c r="B216" i="16"/>
  <c r="R215" i="16"/>
  <c r="Q215" i="16"/>
  <c r="O215" i="16"/>
  <c r="N215" i="16"/>
  <c r="M215" i="16"/>
  <c r="L215" i="16"/>
  <c r="I215" i="16"/>
  <c r="H215" i="16"/>
  <c r="E215" i="16"/>
  <c r="D215" i="16"/>
  <c r="B215" i="16"/>
  <c r="R214" i="16"/>
  <c r="Q214" i="16"/>
  <c r="O214" i="16"/>
  <c r="N214" i="16"/>
  <c r="M214" i="16"/>
  <c r="L214" i="16"/>
  <c r="I214" i="16"/>
  <c r="H214" i="16"/>
  <c r="E214" i="16"/>
  <c r="D214" i="16"/>
  <c r="B214" i="16"/>
  <c r="R213" i="16"/>
  <c r="Q213" i="16"/>
  <c r="O213" i="16"/>
  <c r="N213" i="16"/>
  <c r="M213" i="16"/>
  <c r="L213" i="16"/>
  <c r="I213" i="16"/>
  <c r="H213" i="16"/>
  <c r="E213" i="16"/>
  <c r="D213" i="16"/>
  <c r="B213" i="16"/>
  <c r="R212" i="16"/>
  <c r="Q212" i="16"/>
  <c r="O212" i="16"/>
  <c r="N212" i="16"/>
  <c r="M212" i="16"/>
  <c r="L212" i="16"/>
  <c r="I212" i="16"/>
  <c r="H212" i="16"/>
  <c r="E212" i="16"/>
  <c r="D212" i="16"/>
  <c r="B212" i="16"/>
  <c r="R211" i="16"/>
  <c r="Q211" i="16"/>
  <c r="O211" i="16"/>
  <c r="N211" i="16"/>
  <c r="M211" i="16"/>
  <c r="L211" i="16"/>
  <c r="I211" i="16"/>
  <c r="H211" i="16"/>
  <c r="E211" i="16"/>
  <c r="D211" i="16"/>
  <c r="B211" i="16"/>
  <c r="R210" i="16"/>
  <c r="Q210" i="16"/>
  <c r="O210" i="16"/>
  <c r="N210" i="16"/>
  <c r="M210" i="16"/>
  <c r="L210" i="16"/>
  <c r="I210" i="16"/>
  <c r="H210" i="16"/>
  <c r="E210" i="16"/>
  <c r="D210" i="16"/>
  <c r="B210" i="16"/>
  <c r="R209" i="16"/>
  <c r="Q209" i="16"/>
  <c r="O209" i="16"/>
  <c r="N209" i="16"/>
  <c r="M209" i="16"/>
  <c r="L209" i="16"/>
  <c r="I209" i="16"/>
  <c r="H209" i="16"/>
  <c r="E209" i="16"/>
  <c r="D209" i="16"/>
  <c r="B209" i="16"/>
  <c r="R208" i="16"/>
  <c r="Q208" i="16"/>
  <c r="O208" i="16"/>
  <c r="N208" i="16"/>
  <c r="M208" i="16"/>
  <c r="L208" i="16"/>
  <c r="I208" i="16"/>
  <c r="H208" i="16"/>
  <c r="E208" i="16"/>
  <c r="D208" i="16"/>
  <c r="B208" i="16"/>
  <c r="R207" i="16"/>
  <c r="Q207" i="16"/>
  <c r="O207" i="16"/>
  <c r="N207" i="16"/>
  <c r="M207" i="16"/>
  <c r="L207" i="16"/>
  <c r="I207" i="16"/>
  <c r="H207" i="16"/>
  <c r="E207" i="16"/>
  <c r="D207" i="16"/>
  <c r="B207" i="16"/>
  <c r="R206" i="16"/>
  <c r="Q206" i="16"/>
  <c r="O206" i="16"/>
  <c r="N206" i="16"/>
  <c r="M206" i="16"/>
  <c r="L206" i="16"/>
  <c r="I206" i="16"/>
  <c r="H206" i="16"/>
  <c r="E206" i="16"/>
  <c r="D206" i="16"/>
  <c r="B206" i="16"/>
  <c r="R205" i="16"/>
  <c r="Q205" i="16"/>
  <c r="O205" i="16"/>
  <c r="N205" i="16"/>
  <c r="M205" i="16"/>
  <c r="L205" i="16"/>
  <c r="I205" i="16"/>
  <c r="H205" i="16"/>
  <c r="E205" i="16"/>
  <c r="D205" i="16"/>
  <c r="B205" i="16"/>
  <c r="R204" i="16"/>
  <c r="Q204" i="16"/>
  <c r="O204" i="16"/>
  <c r="N204" i="16"/>
  <c r="M204" i="16"/>
  <c r="L204" i="16"/>
  <c r="I204" i="16"/>
  <c r="H204" i="16"/>
  <c r="E204" i="16"/>
  <c r="D204" i="16"/>
  <c r="B204" i="16"/>
  <c r="R203" i="16"/>
  <c r="Q203" i="16"/>
  <c r="O203" i="16"/>
  <c r="N203" i="16"/>
  <c r="M203" i="16"/>
  <c r="L203" i="16"/>
  <c r="I203" i="16"/>
  <c r="H203" i="16"/>
  <c r="E203" i="16"/>
  <c r="D203" i="16"/>
  <c r="B203" i="16"/>
  <c r="R202" i="16"/>
  <c r="Q202" i="16"/>
  <c r="O202" i="16"/>
  <c r="N202" i="16"/>
  <c r="M202" i="16"/>
  <c r="L202" i="16"/>
  <c r="I202" i="16"/>
  <c r="H202" i="16"/>
  <c r="E202" i="16"/>
  <c r="D202" i="16"/>
  <c r="B202" i="16"/>
  <c r="R201" i="16"/>
  <c r="Q201" i="16"/>
  <c r="O201" i="16"/>
  <c r="N201" i="16"/>
  <c r="M201" i="16"/>
  <c r="L201" i="16"/>
  <c r="I201" i="16"/>
  <c r="H201" i="16"/>
  <c r="E201" i="16"/>
  <c r="D201" i="16"/>
  <c r="B201" i="16"/>
  <c r="R200" i="16"/>
  <c r="Q200" i="16"/>
  <c r="O200" i="16"/>
  <c r="N200" i="16"/>
  <c r="M200" i="16"/>
  <c r="L200" i="16"/>
  <c r="I200" i="16"/>
  <c r="H200" i="16"/>
  <c r="E200" i="16"/>
  <c r="D200" i="16"/>
  <c r="B200" i="16"/>
  <c r="R199" i="16"/>
  <c r="Q199" i="16"/>
  <c r="O199" i="16"/>
  <c r="N199" i="16"/>
  <c r="M199" i="16"/>
  <c r="L199" i="16"/>
  <c r="I199" i="16"/>
  <c r="H199" i="16"/>
  <c r="E199" i="16"/>
  <c r="D199" i="16"/>
  <c r="B199" i="16"/>
  <c r="R198" i="16"/>
  <c r="Q198" i="16"/>
  <c r="O198" i="16"/>
  <c r="N198" i="16"/>
  <c r="M198" i="16"/>
  <c r="L198" i="16"/>
  <c r="I198" i="16"/>
  <c r="H198" i="16"/>
  <c r="E198" i="16"/>
  <c r="D198" i="16"/>
  <c r="B198" i="16"/>
  <c r="R197" i="16"/>
  <c r="Q197" i="16"/>
  <c r="O197" i="16"/>
  <c r="N197" i="16"/>
  <c r="M197" i="16"/>
  <c r="L197" i="16"/>
  <c r="I197" i="16"/>
  <c r="H197" i="16"/>
  <c r="E197" i="16"/>
  <c r="D197" i="16"/>
  <c r="B197" i="16"/>
  <c r="R196" i="16"/>
  <c r="Q196" i="16"/>
  <c r="O196" i="16"/>
  <c r="N196" i="16"/>
  <c r="M196" i="16"/>
  <c r="L196" i="16"/>
  <c r="I196" i="16"/>
  <c r="H196" i="16"/>
  <c r="E196" i="16"/>
  <c r="D196" i="16"/>
  <c r="B196" i="16"/>
  <c r="R195" i="16"/>
  <c r="Q195" i="16"/>
  <c r="O195" i="16"/>
  <c r="N195" i="16"/>
  <c r="M195" i="16"/>
  <c r="L195" i="16"/>
  <c r="I195" i="16"/>
  <c r="H195" i="16"/>
  <c r="E195" i="16"/>
  <c r="D195" i="16"/>
  <c r="B195" i="16"/>
  <c r="R194" i="16"/>
  <c r="Q194" i="16"/>
  <c r="O194" i="16"/>
  <c r="N194" i="16"/>
  <c r="M194" i="16"/>
  <c r="L194" i="16"/>
  <c r="I194" i="16"/>
  <c r="H194" i="16"/>
  <c r="E194" i="16"/>
  <c r="D194" i="16"/>
  <c r="B194" i="16"/>
  <c r="R193" i="16"/>
  <c r="Q193" i="16"/>
  <c r="O193" i="16"/>
  <c r="N193" i="16"/>
  <c r="M193" i="16"/>
  <c r="L193" i="16"/>
  <c r="I193" i="16"/>
  <c r="H193" i="16"/>
  <c r="E193" i="16"/>
  <c r="D193" i="16"/>
  <c r="B193" i="16"/>
  <c r="R192" i="16"/>
  <c r="Q192" i="16"/>
  <c r="O192" i="16"/>
  <c r="N192" i="16"/>
  <c r="M192" i="16"/>
  <c r="L192" i="16"/>
  <c r="I192" i="16"/>
  <c r="H192" i="16"/>
  <c r="E192" i="16"/>
  <c r="D192" i="16"/>
  <c r="B192" i="16"/>
  <c r="R191" i="16"/>
  <c r="Q191" i="16"/>
  <c r="O191" i="16"/>
  <c r="N191" i="16"/>
  <c r="M191" i="16"/>
  <c r="L191" i="16"/>
  <c r="I191" i="16"/>
  <c r="H191" i="16"/>
  <c r="E191" i="16"/>
  <c r="D191" i="16"/>
  <c r="B191" i="16"/>
  <c r="R190" i="16"/>
  <c r="Q190" i="16"/>
  <c r="O190" i="16"/>
  <c r="N190" i="16"/>
  <c r="M190" i="16"/>
  <c r="L190" i="16"/>
  <c r="I190" i="16"/>
  <c r="H190" i="16"/>
  <c r="E190" i="16"/>
  <c r="D190" i="16"/>
  <c r="B190" i="16"/>
  <c r="R189" i="16"/>
  <c r="Q189" i="16"/>
  <c r="O189" i="16"/>
  <c r="N189" i="16"/>
  <c r="M189" i="16"/>
  <c r="L189" i="16"/>
  <c r="I189" i="16"/>
  <c r="H189" i="16"/>
  <c r="E189" i="16"/>
  <c r="D189" i="16"/>
  <c r="B189" i="16"/>
  <c r="R188" i="16"/>
  <c r="Q188" i="16"/>
  <c r="O188" i="16"/>
  <c r="N188" i="16"/>
  <c r="M188" i="16"/>
  <c r="L188" i="16"/>
  <c r="I188" i="16"/>
  <c r="H188" i="16"/>
  <c r="E188" i="16"/>
  <c r="D188" i="16"/>
  <c r="B188" i="16"/>
  <c r="R187" i="16"/>
  <c r="Q187" i="16"/>
  <c r="O187" i="16"/>
  <c r="N187" i="16"/>
  <c r="M187" i="16"/>
  <c r="L187" i="16"/>
  <c r="I187" i="16"/>
  <c r="H187" i="16"/>
  <c r="E187" i="16"/>
  <c r="D187" i="16"/>
  <c r="B187" i="16"/>
  <c r="R186" i="16"/>
  <c r="Q186" i="16"/>
  <c r="O186" i="16"/>
  <c r="N186" i="16"/>
  <c r="M186" i="16"/>
  <c r="L186" i="16"/>
  <c r="I186" i="16"/>
  <c r="H186" i="16"/>
  <c r="E186" i="16"/>
  <c r="D186" i="16"/>
  <c r="B186" i="16"/>
  <c r="R185" i="16"/>
  <c r="Q185" i="16"/>
  <c r="O185" i="16"/>
  <c r="N185" i="16"/>
  <c r="M185" i="16"/>
  <c r="L185" i="16"/>
  <c r="I185" i="16"/>
  <c r="H185" i="16"/>
  <c r="E185" i="16"/>
  <c r="D185" i="16"/>
  <c r="B185" i="16"/>
  <c r="R184" i="16"/>
  <c r="Q184" i="16"/>
  <c r="O184" i="16"/>
  <c r="N184" i="16"/>
  <c r="M184" i="16"/>
  <c r="L184" i="16"/>
  <c r="I184" i="16"/>
  <c r="H184" i="16"/>
  <c r="E184" i="16"/>
  <c r="D184" i="16"/>
  <c r="B184" i="16"/>
  <c r="R183" i="16"/>
  <c r="Q183" i="16"/>
  <c r="O183" i="16"/>
  <c r="N183" i="16"/>
  <c r="M183" i="16"/>
  <c r="L183" i="16"/>
  <c r="I183" i="16"/>
  <c r="H183" i="16"/>
  <c r="E183" i="16"/>
  <c r="D183" i="16"/>
  <c r="B183" i="16"/>
  <c r="R182" i="16"/>
  <c r="Q182" i="16"/>
  <c r="O182" i="16"/>
  <c r="N182" i="16"/>
  <c r="M182" i="16"/>
  <c r="L182" i="16"/>
  <c r="I182" i="16"/>
  <c r="H182" i="16"/>
  <c r="E182" i="16"/>
  <c r="D182" i="16"/>
  <c r="B182" i="16"/>
  <c r="R181" i="16"/>
  <c r="Q181" i="16"/>
  <c r="O181" i="16"/>
  <c r="N181" i="16"/>
  <c r="M181" i="16"/>
  <c r="L181" i="16"/>
  <c r="I181" i="16"/>
  <c r="H181" i="16"/>
  <c r="E181" i="16"/>
  <c r="D181" i="16"/>
  <c r="B181" i="16"/>
  <c r="R180" i="16"/>
  <c r="Q180" i="16"/>
  <c r="O180" i="16"/>
  <c r="N180" i="16"/>
  <c r="M180" i="16"/>
  <c r="L180" i="16"/>
  <c r="I180" i="16"/>
  <c r="H180" i="16"/>
  <c r="E180" i="16"/>
  <c r="D180" i="16"/>
  <c r="B180" i="16"/>
  <c r="R179" i="16"/>
  <c r="Q179" i="16"/>
  <c r="O179" i="16"/>
  <c r="N179" i="16"/>
  <c r="M179" i="16"/>
  <c r="L179" i="16"/>
  <c r="I179" i="16"/>
  <c r="H179" i="16"/>
  <c r="E179" i="16"/>
  <c r="D179" i="16"/>
  <c r="B179" i="16"/>
  <c r="R178" i="16"/>
  <c r="Q178" i="16"/>
  <c r="O178" i="16"/>
  <c r="N178" i="16"/>
  <c r="M178" i="16"/>
  <c r="L178" i="16"/>
  <c r="I178" i="16"/>
  <c r="H178" i="16"/>
  <c r="E178" i="16"/>
  <c r="D178" i="16"/>
  <c r="B178" i="16"/>
  <c r="R177" i="16"/>
  <c r="Q177" i="16"/>
  <c r="O177" i="16"/>
  <c r="N177" i="16"/>
  <c r="M177" i="16"/>
  <c r="L177" i="16"/>
  <c r="I177" i="16"/>
  <c r="H177" i="16"/>
  <c r="E177" i="16"/>
  <c r="D177" i="16"/>
  <c r="B177" i="16"/>
  <c r="R176" i="16"/>
  <c r="Q176" i="16"/>
  <c r="O176" i="16"/>
  <c r="N176" i="16"/>
  <c r="M176" i="16"/>
  <c r="L176" i="16"/>
  <c r="I176" i="16"/>
  <c r="H176" i="16"/>
  <c r="E176" i="16"/>
  <c r="D176" i="16"/>
  <c r="B176" i="16"/>
  <c r="R175" i="16"/>
  <c r="Q175" i="16"/>
  <c r="O175" i="16"/>
  <c r="N175" i="16"/>
  <c r="M175" i="16"/>
  <c r="L175" i="16"/>
  <c r="I175" i="16"/>
  <c r="H175" i="16"/>
  <c r="E175" i="16"/>
  <c r="D175" i="16"/>
  <c r="B175" i="16"/>
  <c r="R174" i="16"/>
  <c r="Q174" i="16"/>
  <c r="O174" i="16"/>
  <c r="N174" i="16"/>
  <c r="M174" i="16"/>
  <c r="L174" i="16"/>
  <c r="I174" i="16"/>
  <c r="H174" i="16"/>
  <c r="E174" i="16"/>
  <c r="D174" i="16"/>
  <c r="B174" i="16"/>
  <c r="R173" i="16"/>
  <c r="Q173" i="16"/>
  <c r="O173" i="16"/>
  <c r="N173" i="16"/>
  <c r="M173" i="16"/>
  <c r="L173" i="16"/>
  <c r="I173" i="16"/>
  <c r="H173" i="16"/>
  <c r="E173" i="16"/>
  <c r="D173" i="16"/>
  <c r="B173" i="16"/>
  <c r="R172" i="16"/>
  <c r="Q172" i="16"/>
  <c r="O172" i="16"/>
  <c r="N172" i="16"/>
  <c r="M172" i="16"/>
  <c r="L172" i="16"/>
  <c r="I172" i="16"/>
  <c r="H172" i="16"/>
  <c r="E172" i="16"/>
  <c r="D172" i="16"/>
  <c r="B172" i="16"/>
  <c r="R171" i="16"/>
  <c r="Q171" i="16"/>
  <c r="O171" i="16"/>
  <c r="N171" i="16"/>
  <c r="M171" i="16"/>
  <c r="L171" i="16"/>
  <c r="I171" i="16"/>
  <c r="H171" i="16"/>
  <c r="E171" i="16"/>
  <c r="D171" i="16"/>
  <c r="B171" i="16"/>
  <c r="R170" i="16"/>
  <c r="Q170" i="16"/>
  <c r="O170" i="16"/>
  <c r="N170" i="16"/>
  <c r="M170" i="16"/>
  <c r="L170" i="16"/>
  <c r="I170" i="16"/>
  <c r="H170" i="16"/>
  <c r="E170" i="16"/>
  <c r="D170" i="16"/>
  <c r="B170" i="16"/>
  <c r="R169" i="16"/>
  <c r="Q169" i="16"/>
  <c r="O169" i="16"/>
  <c r="N169" i="16"/>
  <c r="M169" i="16"/>
  <c r="L169" i="16"/>
  <c r="I169" i="16"/>
  <c r="H169" i="16"/>
  <c r="E169" i="16"/>
  <c r="D169" i="16"/>
  <c r="B169" i="16"/>
  <c r="R168" i="16"/>
  <c r="Q168" i="16"/>
  <c r="O168" i="16"/>
  <c r="N168" i="16"/>
  <c r="M168" i="16"/>
  <c r="L168" i="16"/>
  <c r="I168" i="16"/>
  <c r="H168" i="16"/>
  <c r="E168" i="16"/>
  <c r="D168" i="16"/>
  <c r="B168" i="16"/>
  <c r="R167" i="16"/>
  <c r="Q167" i="16"/>
  <c r="O167" i="16"/>
  <c r="N167" i="16"/>
  <c r="M167" i="16"/>
  <c r="L167" i="16"/>
  <c r="I167" i="16"/>
  <c r="H167" i="16"/>
  <c r="E167" i="16"/>
  <c r="D167" i="16"/>
  <c r="B167" i="16"/>
  <c r="R166" i="16"/>
  <c r="Q166" i="16"/>
  <c r="O166" i="16"/>
  <c r="N166" i="16"/>
  <c r="M166" i="16"/>
  <c r="L166" i="16"/>
  <c r="I166" i="16"/>
  <c r="H166" i="16"/>
  <c r="E166" i="16"/>
  <c r="D166" i="16"/>
  <c r="B166" i="16"/>
  <c r="R165" i="16"/>
  <c r="Q165" i="16"/>
  <c r="O165" i="16"/>
  <c r="N165" i="16"/>
  <c r="M165" i="16"/>
  <c r="L165" i="16"/>
  <c r="I165" i="16"/>
  <c r="H165" i="16"/>
  <c r="E165" i="16"/>
  <c r="D165" i="16"/>
  <c r="B165" i="16"/>
  <c r="R164" i="16"/>
  <c r="Q164" i="16"/>
  <c r="O164" i="16"/>
  <c r="N164" i="16"/>
  <c r="M164" i="16"/>
  <c r="L164" i="16"/>
  <c r="I164" i="16"/>
  <c r="H164" i="16"/>
  <c r="E164" i="16"/>
  <c r="D164" i="16"/>
  <c r="B164" i="16"/>
  <c r="R163" i="16"/>
  <c r="Q163" i="16"/>
  <c r="O163" i="16"/>
  <c r="N163" i="16"/>
  <c r="M163" i="16"/>
  <c r="L163" i="16"/>
  <c r="I163" i="16"/>
  <c r="H163" i="16"/>
  <c r="E163" i="16"/>
  <c r="D163" i="16"/>
  <c r="B163" i="16"/>
  <c r="R162" i="16"/>
  <c r="Q162" i="16"/>
  <c r="O162" i="16"/>
  <c r="N162" i="16"/>
  <c r="M162" i="16"/>
  <c r="L162" i="16"/>
  <c r="I162" i="16"/>
  <c r="H162" i="16"/>
  <c r="E162" i="16"/>
  <c r="D162" i="16"/>
  <c r="B162" i="16"/>
  <c r="R161" i="16"/>
  <c r="Q161" i="16"/>
  <c r="O161" i="16"/>
  <c r="N161" i="16"/>
  <c r="M161" i="16"/>
  <c r="L161" i="16"/>
  <c r="I161" i="16"/>
  <c r="H161" i="16"/>
  <c r="E161" i="16"/>
  <c r="D161" i="16"/>
  <c r="B161" i="16"/>
  <c r="R160" i="16"/>
  <c r="Q160" i="16"/>
  <c r="O160" i="16"/>
  <c r="N160" i="16"/>
  <c r="M160" i="16"/>
  <c r="L160" i="16"/>
  <c r="I160" i="16"/>
  <c r="H160" i="16"/>
  <c r="E160" i="16"/>
  <c r="D160" i="16"/>
  <c r="B160" i="16"/>
  <c r="R159" i="16"/>
  <c r="Q159" i="16"/>
  <c r="O159" i="16"/>
  <c r="N159" i="16"/>
  <c r="M159" i="16"/>
  <c r="L159" i="16"/>
  <c r="I159" i="16"/>
  <c r="H159" i="16"/>
  <c r="E159" i="16"/>
  <c r="D159" i="16"/>
  <c r="B159" i="16"/>
  <c r="R158" i="16"/>
  <c r="Q158" i="16"/>
  <c r="O158" i="16"/>
  <c r="N158" i="16"/>
  <c r="M158" i="16"/>
  <c r="L158" i="16"/>
  <c r="I158" i="16"/>
  <c r="H158" i="16"/>
  <c r="E158" i="16"/>
  <c r="D158" i="16"/>
  <c r="B158" i="16"/>
  <c r="R157" i="16"/>
  <c r="Q157" i="16"/>
  <c r="O157" i="16"/>
  <c r="N157" i="16"/>
  <c r="M157" i="16"/>
  <c r="L157" i="16"/>
  <c r="I157" i="16"/>
  <c r="H157" i="16"/>
  <c r="E157" i="16"/>
  <c r="D157" i="16"/>
  <c r="B157" i="16"/>
  <c r="R156" i="16"/>
  <c r="Q156" i="16"/>
  <c r="O156" i="16"/>
  <c r="N156" i="16"/>
  <c r="M156" i="16"/>
  <c r="L156" i="16"/>
  <c r="I156" i="16"/>
  <c r="H156" i="16"/>
  <c r="E156" i="16"/>
  <c r="D156" i="16"/>
  <c r="B156" i="16"/>
  <c r="R155" i="16"/>
  <c r="Q155" i="16"/>
  <c r="O155" i="16"/>
  <c r="N155" i="16"/>
  <c r="M155" i="16"/>
  <c r="L155" i="16"/>
  <c r="I155" i="16"/>
  <c r="H155" i="16"/>
  <c r="E155" i="16"/>
  <c r="D155" i="16"/>
  <c r="B155" i="16"/>
  <c r="R154" i="16"/>
  <c r="Q154" i="16"/>
  <c r="O154" i="16"/>
  <c r="N154" i="16"/>
  <c r="M154" i="16"/>
  <c r="L154" i="16"/>
  <c r="I154" i="16"/>
  <c r="H154" i="16"/>
  <c r="E154" i="16"/>
  <c r="D154" i="16"/>
  <c r="B154" i="16"/>
  <c r="R153" i="16"/>
  <c r="Q153" i="16"/>
  <c r="O153" i="16"/>
  <c r="N153" i="16"/>
  <c r="M153" i="16"/>
  <c r="L153" i="16"/>
  <c r="I153" i="16"/>
  <c r="H153" i="16"/>
  <c r="E153" i="16"/>
  <c r="D153" i="16"/>
  <c r="B153" i="16"/>
  <c r="R152" i="16"/>
  <c r="Q152" i="16"/>
  <c r="O152" i="16"/>
  <c r="N152" i="16"/>
  <c r="M152" i="16"/>
  <c r="L152" i="16"/>
  <c r="I152" i="16"/>
  <c r="H152" i="16"/>
  <c r="E152" i="16"/>
  <c r="D152" i="16"/>
  <c r="B152" i="16"/>
  <c r="R151" i="16"/>
  <c r="Q151" i="16"/>
  <c r="O151" i="16"/>
  <c r="N151" i="16"/>
  <c r="M151" i="16"/>
  <c r="L151" i="16"/>
  <c r="I151" i="16"/>
  <c r="H151" i="16"/>
  <c r="E151" i="16"/>
  <c r="D151" i="16"/>
  <c r="B151" i="16"/>
  <c r="R150" i="16"/>
  <c r="Q150" i="16"/>
  <c r="O150" i="16"/>
  <c r="N150" i="16"/>
  <c r="M150" i="16"/>
  <c r="L150" i="16"/>
  <c r="I150" i="16"/>
  <c r="H150" i="16"/>
  <c r="E150" i="16"/>
  <c r="D150" i="16"/>
  <c r="B150" i="16"/>
  <c r="R149" i="16"/>
  <c r="Q149" i="16"/>
  <c r="O149" i="16"/>
  <c r="N149" i="16"/>
  <c r="M149" i="16"/>
  <c r="L149" i="16"/>
  <c r="I149" i="16"/>
  <c r="H149" i="16"/>
  <c r="E149" i="16"/>
  <c r="D149" i="16"/>
  <c r="B149" i="16"/>
  <c r="R148" i="16"/>
  <c r="Q148" i="16"/>
  <c r="O148" i="16"/>
  <c r="N148" i="16"/>
  <c r="M148" i="16"/>
  <c r="L148" i="16"/>
  <c r="I148" i="16"/>
  <c r="H148" i="16"/>
  <c r="E148" i="16"/>
  <c r="D148" i="16"/>
  <c r="B148" i="16"/>
  <c r="R147" i="16"/>
  <c r="Q147" i="16"/>
  <c r="O147" i="16"/>
  <c r="N147" i="16"/>
  <c r="M147" i="16"/>
  <c r="L147" i="16"/>
  <c r="I147" i="16"/>
  <c r="H147" i="16"/>
  <c r="E147" i="16"/>
  <c r="D147" i="16"/>
  <c r="B147" i="16"/>
  <c r="R146" i="16"/>
  <c r="Q146" i="16"/>
  <c r="O146" i="16"/>
  <c r="N146" i="16"/>
  <c r="M146" i="16"/>
  <c r="L146" i="16"/>
  <c r="I146" i="16"/>
  <c r="H146" i="16"/>
  <c r="E146" i="16"/>
  <c r="D146" i="16"/>
  <c r="B146" i="16"/>
  <c r="R145" i="16"/>
  <c r="Q145" i="16"/>
  <c r="O145" i="16"/>
  <c r="N145" i="16"/>
  <c r="M145" i="16"/>
  <c r="L145" i="16"/>
  <c r="I145" i="16"/>
  <c r="H145" i="16"/>
  <c r="E145" i="16"/>
  <c r="D145" i="16"/>
  <c r="B145" i="16"/>
  <c r="R144" i="16"/>
  <c r="Q144" i="16"/>
  <c r="O144" i="16"/>
  <c r="N144" i="16"/>
  <c r="M144" i="16"/>
  <c r="L144" i="16"/>
  <c r="I144" i="16"/>
  <c r="H144" i="16"/>
  <c r="E144" i="16"/>
  <c r="D144" i="16"/>
  <c r="B144" i="16"/>
  <c r="R143" i="16"/>
  <c r="Q143" i="16"/>
  <c r="O143" i="16"/>
  <c r="N143" i="16"/>
  <c r="M143" i="16"/>
  <c r="L143" i="16"/>
  <c r="I143" i="16"/>
  <c r="H143" i="16"/>
  <c r="E143" i="16"/>
  <c r="D143" i="16"/>
  <c r="B143" i="16"/>
  <c r="R142" i="16"/>
  <c r="Q142" i="16"/>
  <c r="O142" i="16"/>
  <c r="N142" i="16"/>
  <c r="M142" i="16"/>
  <c r="L142" i="16"/>
  <c r="I142" i="16"/>
  <c r="H142" i="16"/>
  <c r="E142" i="16"/>
  <c r="D142" i="16"/>
  <c r="B142" i="16"/>
  <c r="R141" i="16"/>
  <c r="Q141" i="16"/>
  <c r="O141" i="16"/>
  <c r="N141" i="16"/>
  <c r="M141" i="16"/>
  <c r="L141" i="16"/>
  <c r="I141" i="16"/>
  <c r="H141" i="16"/>
  <c r="E141" i="16"/>
  <c r="D141" i="16"/>
  <c r="B141" i="16"/>
  <c r="R140" i="16"/>
  <c r="Q140" i="16"/>
  <c r="O140" i="16"/>
  <c r="N140" i="16"/>
  <c r="M140" i="16"/>
  <c r="L140" i="16"/>
  <c r="I140" i="16"/>
  <c r="H140" i="16"/>
  <c r="E140" i="16"/>
  <c r="D140" i="16"/>
  <c r="B140" i="16"/>
  <c r="R139" i="16"/>
  <c r="Q139" i="16"/>
  <c r="O139" i="16"/>
  <c r="N139" i="16"/>
  <c r="M139" i="16"/>
  <c r="L139" i="16"/>
  <c r="I139" i="16"/>
  <c r="H139" i="16"/>
  <c r="E139" i="16"/>
  <c r="D139" i="16"/>
  <c r="B139" i="16"/>
  <c r="R138" i="16"/>
  <c r="Q138" i="16"/>
  <c r="O138" i="16"/>
  <c r="N138" i="16"/>
  <c r="M138" i="16"/>
  <c r="L138" i="16"/>
  <c r="I138" i="16"/>
  <c r="H138" i="16"/>
  <c r="E138" i="16"/>
  <c r="D138" i="16"/>
  <c r="B138" i="16"/>
  <c r="R137" i="16"/>
  <c r="Q137" i="16"/>
  <c r="O137" i="16"/>
  <c r="N137" i="16"/>
  <c r="M137" i="16"/>
  <c r="L137" i="16"/>
  <c r="I137" i="16"/>
  <c r="H137" i="16"/>
  <c r="E137" i="16"/>
  <c r="D137" i="16"/>
  <c r="B137" i="16"/>
  <c r="R136" i="16"/>
  <c r="Q136" i="16"/>
  <c r="O136" i="16"/>
  <c r="N136" i="16"/>
  <c r="M136" i="16"/>
  <c r="L136" i="16"/>
  <c r="I136" i="16"/>
  <c r="H136" i="16"/>
  <c r="E136" i="16"/>
  <c r="D136" i="16"/>
  <c r="B136" i="16"/>
  <c r="R135" i="16"/>
  <c r="Q135" i="16"/>
  <c r="O135" i="16"/>
  <c r="N135" i="16"/>
  <c r="M135" i="16"/>
  <c r="L135" i="16"/>
  <c r="I135" i="16"/>
  <c r="H135" i="16"/>
  <c r="E135" i="16"/>
  <c r="D135" i="16"/>
  <c r="B135" i="16"/>
  <c r="R134" i="16"/>
  <c r="Q134" i="16"/>
  <c r="O134" i="16"/>
  <c r="N134" i="16"/>
  <c r="M134" i="16"/>
  <c r="L134" i="16"/>
  <c r="I134" i="16"/>
  <c r="H134" i="16"/>
  <c r="E134" i="16"/>
  <c r="D134" i="16"/>
  <c r="B134" i="16"/>
  <c r="R133" i="16"/>
  <c r="Q133" i="16"/>
  <c r="O133" i="16"/>
  <c r="N133" i="16"/>
  <c r="M133" i="16"/>
  <c r="L133" i="16"/>
  <c r="I133" i="16"/>
  <c r="H133" i="16"/>
  <c r="E133" i="16"/>
  <c r="D133" i="16"/>
  <c r="B133" i="16"/>
  <c r="R132" i="16"/>
  <c r="Q132" i="16"/>
  <c r="O132" i="16"/>
  <c r="N132" i="16"/>
  <c r="M132" i="16"/>
  <c r="L132" i="16"/>
  <c r="I132" i="16"/>
  <c r="H132" i="16"/>
  <c r="E132" i="16"/>
  <c r="D132" i="16"/>
  <c r="B132" i="16"/>
  <c r="R131" i="16"/>
  <c r="Q131" i="16"/>
  <c r="O131" i="16"/>
  <c r="N131" i="16"/>
  <c r="M131" i="16"/>
  <c r="L131" i="16"/>
  <c r="I131" i="16"/>
  <c r="H131" i="16"/>
  <c r="E131" i="16"/>
  <c r="D131" i="16"/>
  <c r="B131" i="16"/>
  <c r="R130" i="16"/>
  <c r="Q130" i="16"/>
  <c r="O130" i="16"/>
  <c r="N130" i="16"/>
  <c r="M130" i="16"/>
  <c r="L130" i="16"/>
  <c r="I130" i="16"/>
  <c r="H130" i="16"/>
  <c r="E130" i="16"/>
  <c r="D130" i="16"/>
  <c r="B130" i="16"/>
  <c r="R129" i="16"/>
  <c r="Q129" i="16"/>
  <c r="O129" i="16"/>
  <c r="N129" i="16"/>
  <c r="M129" i="16"/>
  <c r="L129" i="16"/>
  <c r="I129" i="16"/>
  <c r="H129" i="16"/>
  <c r="E129" i="16"/>
  <c r="D129" i="16"/>
  <c r="B129" i="16"/>
  <c r="R128" i="16"/>
  <c r="Q128" i="16"/>
  <c r="O128" i="16"/>
  <c r="N128" i="16"/>
  <c r="M128" i="16"/>
  <c r="L128" i="16"/>
  <c r="I128" i="16"/>
  <c r="H128" i="16"/>
  <c r="E128" i="16"/>
  <c r="D128" i="16"/>
  <c r="B128" i="16"/>
  <c r="R127" i="16"/>
  <c r="Q127" i="16"/>
  <c r="O127" i="16"/>
  <c r="N127" i="16"/>
  <c r="M127" i="16"/>
  <c r="L127" i="16"/>
  <c r="I127" i="16"/>
  <c r="H127" i="16"/>
  <c r="E127" i="16"/>
  <c r="D127" i="16"/>
  <c r="B127" i="16"/>
  <c r="R126" i="16"/>
  <c r="Q126" i="16"/>
  <c r="O126" i="16"/>
  <c r="N126" i="16"/>
  <c r="M126" i="16"/>
  <c r="L126" i="16"/>
  <c r="I126" i="16"/>
  <c r="H126" i="16"/>
  <c r="E126" i="16"/>
  <c r="D126" i="16"/>
  <c r="B126" i="16"/>
  <c r="R125" i="16"/>
  <c r="Q125" i="16"/>
  <c r="O125" i="16"/>
  <c r="N125" i="16"/>
  <c r="M125" i="16"/>
  <c r="L125" i="16"/>
  <c r="I125" i="16"/>
  <c r="H125" i="16"/>
  <c r="E125" i="16"/>
  <c r="D125" i="16"/>
  <c r="B125" i="16"/>
  <c r="R124" i="16"/>
  <c r="Q124" i="16"/>
  <c r="O124" i="16"/>
  <c r="N124" i="16"/>
  <c r="M124" i="16"/>
  <c r="L124" i="16"/>
  <c r="I124" i="16"/>
  <c r="H124" i="16"/>
  <c r="E124" i="16"/>
  <c r="D124" i="16"/>
  <c r="B124" i="16"/>
  <c r="R123" i="16"/>
  <c r="Q123" i="16"/>
  <c r="O123" i="16"/>
  <c r="N123" i="16"/>
  <c r="M123" i="16"/>
  <c r="L123" i="16"/>
  <c r="I123" i="16"/>
  <c r="H123" i="16"/>
  <c r="E123" i="16"/>
  <c r="D123" i="16"/>
  <c r="B123" i="16"/>
  <c r="R122" i="16"/>
  <c r="Q122" i="16"/>
  <c r="O122" i="16"/>
  <c r="N122" i="16"/>
  <c r="M122" i="16"/>
  <c r="L122" i="16"/>
  <c r="I122" i="16"/>
  <c r="H122" i="16"/>
  <c r="E122" i="16"/>
  <c r="D122" i="16"/>
  <c r="B122" i="16"/>
  <c r="R121" i="16"/>
  <c r="Q121" i="16"/>
  <c r="O121" i="16"/>
  <c r="N121" i="16"/>
  <c r="M121" i="16"/>
  <c r="L121" i="16"/>
  <c r="I121" i="16"/>
  <c r="H121" i="16"/>
  <c r="E121" i="16"/>
  <c r="D121" i="16"/>
  <c r="B121" i="16"/>
  <c r="R120" i="16"/>
  <c r="Q120" i="16"/>
  <c r="O120" i="16"/>
  <c r="N120" i="16"/>
  <c r="M120" i="16"/>
  <c r="L120" i="16"/>
  <c r="I120" i="16"/>
  <c r="H120" i="16"/>
  <c r="E120" i="16"/>
  <c r="D120" i="16"/>
  <c r="B120" i="16"/>
  <c r="R119" i="16"/>
  <c r="Q119" i="16"/>
  <c r="O119" i="16"/>
  <c r="N119" i="16"/>
  <c r="M119" i="16"/>
  <c r="L119" i="16"/>
  <c r="I119" i="16"/>
  <c r="H119" i="16"/>
  <c r="E119" i="16"/>
  <c r="D119" i="16"/>
  <c r="B119" i="16"/>
  <c r="R118" i="16"/>
  <c r="Q118" i="16"/>
  <c r="O118" i="16"/>
  <c r="N118" i="16"/>
  <c r="M118" i="16"/>
  <c r="L118" i="16"/>
  <c r="I118" i="16"/>
  <c r="H118" i="16"/>
  <c r="E118" i="16"/>
  <c r="D118" i="16"/>
  <c r="B118" i="16"/>
  <c r="R117" i="16"/>
  <c r="Q117" i="16"/>
  <c r="O117" i="16"/>
  <c r="N117" i="16"/>
  <c r="M117" i="16"/>
  <c r="L117" i="16"/>
  <c r="I117" i="16"/>
  <c r="H117" i="16"/>
  <c r="E117" i="16"/>
  <c r="D117" i="16"/>
  <c r="B117" i="16"/>
  <c r="R116" i="16"/>
  <c r="Q116" i="16"/>
  <c r="O116" i="16"/>
  <c r="N116" i="16"/>
  <c r="M116" i="16"/>
  <c r="L116" i="16"/>
  <c r="I116" i="16"/>
  <c r="H116" i="16"/>
  <c r="E116" i="16"/>
  <c r="D116" i="16"/>
  <c r="B116" i="16"/>
  <c r="R115" i="16"/>
  <c r="Q115" i="16"/>
  <c r="O115" i="16"/>
  <c r="N115" i="16"/>
  <c r="M115" i="16"/>
  <c r="L115" i="16"/>
  <c r="I115" i="16"/>
  <c r="H115" i="16"/>
  <c r="E115" i="16"/>
  <c r="D115" i="16"/>
  <c r="B115" i="16"/>
  <c r="R114" i="16"/>
  <c r="Q114" i="16"/>
  <c r="O114" i="16"/>
  <c r="N114" i="16"/>
  <c r="M114" i="16"/>
  <c r="L114" i="16"/>
  <c r="I114" i="16"/>
  <c r="H114" i="16"/>
  <c r="E114" i="16"/>
  <c r="D114" i="16"/>
  <c r="B114" i="16"/>
  <c r="R113" i="16"/>
  <c r="Q113" i="16"/>
  <c r="O113" i="16"/>
  <c r="N113" i="16"/>
  <c r="M113" i="16"/>
  <c r="L113" i="16"/>
  <c r="I113" i="16"/>
  <c r="H113" i="16"/>
  <c r="E113" i="16"/>
  <c r="D113" i="16"/>
  <c r="B113" i="16"/>
  <c r="R112" i="16"/>
  <c r="Q112" i="16"/>
  <c r="O112" i="16"/>
  <c r="N112" i="16"/>
  <c r="M112" i="16"/>
  <c r="L112" i="16"/>
  <c r="I112" i="16"/>
  <c r="H112" i="16"/>
  <c r="E112" i="16"/>
  <c r="D112" i="16"/>
  <c r="B112" i="16"/>
  <c r="R111" i="16"/>
  <c r="Q111" i="16"/>
  <c r="O111" i="16"/>
  <c r="N111" i="16"/>
  <c r="M111" i="16"/>
  <c r="L111" i="16"/>
  <c r="I111" i="16"/>
  <c r="H111" i="16"/>
  <c r="E111" i="16"/>
  <c r="D111" i="16"/>
  <c r="B111" i="16"/>
  <c r="R110" i="16"/>
  <c r="Q110" i="16"/>
  <c r="O110" i="16"/>
  <c r="N110" i="16"/>
  <c r="M110" i="16"/>
  <c r="L110" i="16"/>
  <c r="I110" i="16"/>
  <c r="H110" i="16"/>
  <c r="E110" i="16"/>
  <c r="D110" i="16"/>
  <c r="B110" i="16"/>
  <c r="R109" i="16"/>
  <c r="Q109" i="16"/>
  <c r="O109" i="16"/>
  <c r="N109" i="16"/>
  <c r="M109" i="16"/>
  <c r="L109" i="16"/>
  <c r="I109" i="16"/>
  <c r="H109" i="16"/>
  <c r="E109" i="16"/>
  <c r="D109" i="16"/>
  <c r="B109" i="16"/>
  <c r="R108" i="16"/>
  <c r="Q108" i="16"/>
  <c r="O108" i="16"/>
  <c r="N108" i="16"/>
  <c r="M108" i="16"/>
  <c r="L108" i="16"/>
  <c r="I108" i="16"/>
  <c r="H108" i="16"/>
  <c r="E108" i="16"/>
  <c r="D108" i="16"/>
  <c r="B108" i="16"/>
  <c r="R107" i="16"/>
  <c r="Q107" i="16"/>
  <c r="O107" i="16"/>
  <c r="N107" i="16"/>
  <c r="M107" i="16"/>
  <c r="L107" i="16"/>
  <c r="I107" i="16"/>
  <c r="H107" i="16"/>
  <c r="E107" i="16"/>
  <c r="D107" i="16"/>
  <c r="B107" i="16"/>
  <c r="R106" i="16"/>
  <c r="Q106" i="16"/>
  <c r="O106" i="16"/>
  <c r="N106" i="16"/>
  <c r="M106" i="16"/>
  <c r="L106" i="16"/>
  <c r="I106" i="16"/>
  <c r="H106" i="16"/>
  <c r="E106" i="16"/>
  <c r="D106" i="16"/>
  <c r="B106" i="16"/>
  <c r="R105" i="16"/>
  <c r="Q105" i="16"/>
  <c r="O105" i="16"/>
  <c r="N105" i="16"/>
  <c r="M105" i="16"/>
  <c r="L105" i="16"/>
  <c r="I105" i="16"/>
  <c r="H105" i="16"/>
  <c r="E105" i="16"/>
  <c r="D105" i="16"/>
  <c r="B105" i="16"/>
  <c r="R104" i="16"/>
  <c r="Q104" i="16"/>
  <c r="O104" i="16"/>
  <c r="N104" i="16"/>
  <c r="M104" i="16"/>
  <c r="L104" i="16"/>
  <c r="I104" i="16"/>
  <c r="H104" i="16"/>
  <c r="E104" i="16"/>
  <c r="D104" i="16"/>
  <c r="B104" i="16"/>
  <c r="R103" i="16"/>
  <c r="Q103" i="16"/>
  <c r="O103" i="16"/>
  <c r="N103" i="16"/>
  <c r="M103" i="16"/>
  <c r="L103" i="16"/>
  <c r="I103" i="16"/>
  <c r="H103" i="16"/>
  <c r="E103" i="16"/>
  <c r="D103" i="16"/>
  <c r="B103" i="16"/>
  <c r="R102" i="16"/>
  <c r="Q102" i="16"/>
  <c r="O102" i="16"/>
  <c r="N102" i="16"/>
  <c r="M102" i="16"/>
  <c r="L102" i="16"/>
  <c r="I102" i="16"/>
  <c r="H102" i="16"/>
  <c r="E102" i="16"/>
  <c r="D102" i="16"/>
  <c r="B102" i="16"/>
  <c r="R101" i="16"/>
  <c r="Q101" i="16"/>
  <c r="O101" i="16"/>
  <c r="N101" i="16"/>
  <c r="M101" i="16"/>
  <c r="L101" i="16"/>
  <c r="I101" i="16"/>
  <c r="H101" i="16"/>
  <c r="E101" i="16"/>
  <c r="D101" i="16"/>
  <c r="B101" i="16"/>
  <c r="R100" i="16"/>
  <c r="Q100" i="16"/>
  <c r="O100" i="16"/>
  <c r="N100" i="16"/>
  <c r="M100" i="16"/>
  <c r="L100" i="16"/>
  <c r="I100" i="16"/>
  <c r="H100" i="16"/>
  <c r="E100" i="16"/>
  <c r="D100" i="16"/>
  <c r="B100" i="16"/>
  <c r="R99" i="16"/>
  <c r="Q99" i="16"/>
  <c r="O99" i="16"/>
  <c r="N99" i="16"/>
  <c r="M99" i="16"/>
  <c r="L99" i="16"/>
  <c r="I99" i="16"/>
  <c r="H99" i="16"/>
  <c r="E99" i="16"/>
  <c r="D99" i="16"/>
  <c r="B99" i="16"/>
  <c r="R98" i="16"/>
  <c r="Q98" i="16"/>
  <c r="O98" i="16"/>
  <c r="N98" i="16"/>
  <c r="M98" i="16"/>
  <c r="L98" i="16"/>
  <c r="I98" i="16"/>
  <c r="H98" i="16"/>
  <c r="E98" i="16"/>
  <c r="D98" i="16"/>
  <c r="B98" i="16"/>
  <c r="R97" i="16"/>
  <c r="Q97" i="16"/>
  <c r="O97" i="16"/>
  <c r="N97" i="16"/>
  <c r="M97" i="16"/>
  <c r="L97" i="16"/>
  <c r="I97" i="16"/>
  <c r="H97" i="16"/>
  <c r="E97" i="16"/>
  <c r="D97" i="16"/>
  <c r="B97" i="16"/>
  <c r="R96" i="16"/>
  <c r="Q96" i="16"/>
  <c r="O96" i="16"/>
  <c r="N96" i="16"/>
  <c r="M96" i="16"/>
  <c r="L96" i="16"/>
  <c r="I96" i="16"/>
  <c r="H96" i="16"/>
  <c r="E96" i="16"/>
  <c r="D96" i="16"/>
  <c r="B96" i="16"/>
  <c r="R95" i="16"/>
  <c r="Q95" i="16"/>
  <c r="O95" i="16"/>
  <c r="N95" i="16"/>
  <c r="M95" i="16"/>
  <c r="L95" i="16"/>
  <c r="I95" i="16"/>
  <c r="H95" i="16"/>
  <c r="E95" i="16"/>
  <c r="D95" i="16"/>
  <c r="B95" i="16"/>
  <c r="R94" i="16"/>
  <c r="Q94" i="16"/>
  <c r="O94" i="16"/>
  <c r="N94" i="16"/>
  <c r="M94" i="16"/>
  <c r="L94" i="16"/>
  <c r="I94" i="16"/>
  <c r="H94" i="16"/>
  <c r="E94" i="16"/>
  <c r="D94" i="16"/>
  <c r="B94" i="16"/>
  <c r="R93" i="16"/>
  <c r="Q93" i="16"/>
  <c r="O93" i="16"/>
  <c r="N93" i="16"/>
  <c r="M93" i="16"/>
  <c r="L93" i="16"/>
  <c r="I93" i="16"/>
  <c r="H93" i="16"/>
  <c r="E93" i="16"/>
  <c r="D93" i="16"/>
  <c r="B93" i="16"/>
  <c r="R92" i="16"/>
  <c r="Q92" i="16"/>
  <c r="O92" i="16"/>
  <c r="N92" i="16"/>
  <c r="M92" i="16"/>
  <c r="L92" i="16"/>
  <c r="I92" i="16"/>
  <c r="H92" i="16"/>
  <c r="E92" i="16"/>
  <c r="D92" i="16"/>
  <c r="B92" i="16"/>
  <c r="R91" i="16"/>
  <c r="Q91" i="16"/>
  <c r="O91" i="16"/>
  <c r="N91" i="16"/>
  <c r="M91" i="16"/>
  <c r="L91" i="16"/>
  <c r="I91" i="16"/>
  <c r="H91" i="16"/>
  <c r="E91" i="16"/>
  <c r="D91" i="16"/>
  <c r="B91" i="16"/>
  <c r="R90" i="16"/>
  <c r="Q90" i="16"/>
  <c r="O90" i="16"/>
  <c r="N90" i="16"/>
  <c r="M90" i="16"/>
  <c r="L90" i="16"/>
  <c r="I90" i="16"/>
  <c r="H90" i="16"/>
  <c r="E90" i="16"/>
  <c r="D90" i="16"/>
  <c r="B90" i="16"/>
  <c r="R89" i="16"/>
  <c r="Q89" i="16"/>
  <c r="O89" i="16"/>
  <c r="N89" i="16"/>
  <c r="M89" i="16"/>
  <c r="L89" i="16"/>
  <c r="I89" i="16"/>
  <c r="H89" i="16"/>
  <c r="E89" i="16"/>
  <c r="D89" i="16"/>
  <c r="B89" i="16"/>
  <c r="R88" i="16"/>
  <c r="Q88" i="16"/>
  <c r="O88" i="16"/>
  <c r="N88" i="16"/>
  <c r="M88" i="16"/>
  <c r="L88" i="16"/>
  <c r="I88" i="16"/>
  <c r="H88" i="16"/>
  <c r="E88" i="16"/>
  <c r="D88" i="16"/>
  <c r="B88" i="16"/>
  <c r="R87" i="16"/>
  <c r="Q87" i="16"/>
  <c r="O87" i="16"/>
  <c r="N87" i="16"/>
  <c r="M87" i="16"/>
  <c r="L87" i="16"/>
  <c r="I87" i="16"/>
  <c r="H87" i="16"/>
  <c r="E87" i="16"/>
  <c r="D87" i="16"/>
  <c r="B87" i="16"/>
  <c r="R86" i="16"/>
  <c r="Q86" i="16"/>
  <c r="O86" i="16"/>
  <c r="N86" i="16"/>
  <c r="M86" i="16"/>
  <c r="L86" i="16"/>
  <c r="I86" i="16"/>
  <c r="H86" i="16"/>
  <c r="E86" i="16"/>
  <c r="D86" i="16"/>
  <c r="B86" i="16"/>
  <c r="R85" i="16"/>
  <c r="Q85" i="16"/>
  <c r="O85" i="16"/>
  <c r="N85" i="16"/>
  <c r="M85" i="16"/>
  <c r="L85" i="16"/>
  <c r="I85" i="16"/>
  <c r="H85" i="16"/>
  <c r="E85" i="16"/>
  <c r="D85" i="16"/>
  <c r="B85" i="16"/>
  <c r="R84" i="16"/>
  <c r="Q84" i="16"/>
  <c r="O84" i="16"/>
  <c r="N84" i="16"/>
  <c r="M84" i="16"/>
  <c r="L84" i="16"/>
  <c r="I84" i="16"/>
  <c r="H84" i="16"/>
  <c r="E84" i="16"/>
  <c r="D84" i="16"/>
  <c r="B84" i="16"/>
  <c r="R83" i="16"/>
  <c r="Q83" i="16"/>
  <c r="O83" i="16"/>
  <c r="N83" i="16"/>
  <c r="M83" i="16"/>
  <c r="L83" i="16"/>
  <c r="I83" i="16"/>
  <c r="H83" i="16"/>
  <c r="E83" i="16"/>
  <c r="D83" i="16"/>
  <c r="B83" i="16"/>
  <c r="R82" i="16"/>
  <c r="Q82" i="16"/>
  <c r="O82" i="16"/>
  <c r="N82" i="16"/>
  <c r="M82" i="16"/>
  <c r="L82" i="16"/>
  <c r="I82" i="16"/>
  <c r="H82" i="16"/>
  <c r="E82" i="16"/>
  <c r="D82" i="16"/>
  <c r="B82" i="16"/>
  <c r="R81" i="16"/>
  <c r="Q81" i="16"/>
  <c r="O81" i="16"/>
  <c r="N81" i="16"/>
  <c r="M81" i="16"/>
  <c r="L81" i="16"/>
  <c r="I81" i="16"/>
  <c r="H81" i="16"/>
  <c r="E81" i="16"/>
  <c r="D81" i="16"/>
  <c r="B81" i="16"/>
  <c r="R80" i="16"/>
  <c r="Q80" i="16"/>
  <c r="O80" i="16"/>
  <c r="N80" i="16"/>
  <c r="M80" i="16"/>
  <c r="L80" i="16"/>
  <c r="I80" i="16"/>
  <c r="H80" i="16"/>
  <c r="E80" i="16"/>
  <c r="D80" i="16"/>
  <c r="B80" i="16"/>
  <c r="R79" i="16"/>
  <c r="Q79" i="16"/>
  <c r="O79" i="16"/>
  <c r="N79" i="16"/>
  <c r="M79" i="16"/>
  <c r="L79" i="16"/>
  <c r="I79" i="16"/>
  <c r="H79" i="16"/>
  <c r="E79" i="16"/>
  <c r="D79" i="16"/>
  <c r="B79" i="16"/>
  <c r="R78" i="16"/>
  <c r="Q78" i="16"/>
  <c r="O78" i="16"/>
  <c r="N78" i="16"/>
  <c r="M78" i="16"/>
  <c r="L78" i="16"/>
  <c r="I78" i="16"/>
  <c r="H78" i="16"/>
  <c r="E78" i="16"/>
  <c r="D78" i="16"/>
  <c r="B78" i="16"/>
  <c r="R77" i="16"/>
  <c r="Q77" i="16"/>
  <c r="O77" i="16"/>
  <c r="N77" i="16"/>
  <c r="M77" i="16"/>
  <c r="L77" i="16"/>
  <c r="I77" i="16"/>
  <c r="H77" i="16"/>
  <c r="E77" i="16"/>
  <c r="D77" i="16"/>
  <c r="B77" i="16"/>
  <c r="R76" i="16"/>
  <c r="Q76" i="16"/>
  <c r="O76" i="16"/>
  <c r="N76" i="16"/>
  <c r="M76" i="16"/>
  <c r="L76" i="16"/>
  <c r="I76" i="16"/>
  <c r="H76" i="16"/>
  <c r="E76" i="16"/>
  <c r="D76" i="16"/>
  <c r="B76" i="16"/>
  <c r="R75" i="16"/>
  <c r="Q75" i="16"/>
  <c r="O75" i="16"/>
  <c r="N75" i="16"/>
  <c r="M75" i="16"/>
  <c r="L75" i="16"/>
  <c r="I75" i="16"/>
  <c r="H75" i="16"/>
  <c r="E75" i="16"/>
  <c r="D75" i="16"/>
  <c r="B75" i="16"/>
  <c r="R74" i="16"/>
  <c r="Q74" i="16"/>
  <c r="O74" i="16"/>
  <c r="N74" i="16"/>
  <c r="M74" i="16"/>
  <c r="L74" i="16"/>
  <c r="I74" i="16"/>
  <c r="H74" i="16"/>
  <c r="E74" i="16"/>
  <c r="D74" i="16"/>
  <c r="B74" i="16"/>
  <c r="R73" i="16"/>
  <c r="Q73" i="16"/>
  <c r="O73" i="16"/>
  <c r="N73" i="16"/>
  <c r="M73" i="16"/>
  <c r="L73" i="16"/>
  <c r="I73" i="16"/>
  <c r="H73" i="16"/>
  <c r="E73" i="16"/>
  <c r="D73" i="16"/>
  <c r="B73" i="16"/>
  <c r="R72" i="16"/>
  <c r="Q72" i="16"/>
  <c r="O72" i="16"/>
  <c r="N72" i="16"/>
  <c r="M72" i="16"/>
  <c r="L72" i="16"/>
  <c r="I72" i="16"/>
  <c r="H72" i="16"/>
  <c r="E72" i="16"/>
  <c r="D72" i="16"/>
  <c r="B72" i="16"/>
  <c r="R71" i="16"/>
  <c r="Q71" i="16"/>
  <c r="O71" i="16"/>
  <c r="N71" i="16"/>
  <c r="M71" i="16"/>
  <c r="L71" i="16"/>
  <c r="I71" i="16"/>
  <c r="H71" i="16"/>
  <c r="E71" i="16"/>
  <c r="D71" i="16"/>
  <c r="B71" i="16"/>
  <c r="R70" i="16"/>
  <c r="Q70" i="16"/>
  <c r="O70" i="16"/>
  <c r="N70" i="16"/>
  <c r="M70" i="16"/>
  <c r="L70" i="16"/>
  <c r="I70" i="16"/>
  <c r="H70" i="16"/>
  <c r="E70" i="16"/>
  <c r="D70" i="16"/>
  <c r="B70" i="16"/>
  <c r="R69" i="16"/>
  <c r="Q69" i="16"/>
  <c r="O69" i="16"/>
  <c r="N69" i="16"/>
  <c r="M69" i="16"/>
  <c r="L69" i="16"/>
  <c r="I69" i="16"/>
  <c r="H69" i="16"/>
  <c r="E69" i="16"/>
  <c r="D69" i="16"/>
  <c r="B69" i="16"/>
  <c r="R68" i="16"/>
  <c r="Q68" i="16"/>
  <c r="O68" i="16"/>
  <c r="N68" i="16"/>
  <c r="M68" i="16"/>
  <c r="L68" i="16"/>
  <c r="I68" i="16"/>
  <c r="H68" i="16"/>
  <c r="E68" i="16"/>
  <c r="D68" i="16"/>
  <c r="B68" i="16"/>
  <c r="R67" i="16"/>
  <c r="Q67" i="16"/>
  <c r="O67" i="16"/>
  <c r="N67" i="16"/>
  <c r="M67" i="16"/>
  <c r="L67" i="16"/>
  <c r="I67" i="16"/>
  <c r="H67" i="16"/>
  <c r="E67" i="16"/>
  <c r="D67" i="16"/>
  <c r="B67" i="16"/>
  <c r="R66" i="16"/>
  <c r="Q66" i="16"/>
  <c r="O66" i="16"/>
  <c r="N66" i="16"/>
  <c r="M66" i="16"/>
  <c r="L66" i="16"/>
  <c r="I66" i="16"/>
  <c r="H66" i="16"/>
  <c r="E66" i="16"/>
  <c r="D66" i="16"/>
  <c r="B66" i="16"/>
  <c r="R65" i="16"/>
  <c r="Q65" i="16"/>
  <c r="O65" i="16"/>
  <c r="N65" i="16"/>
  <c r="M65" i="16"/>
  <c r="L65" i="16"/>
  <c r="I65" i="16"/>
  <c r="H65" i="16"/>
  <c r="E65" i="16"/>
  <c r="D65" i="16"/>
  <c r="B65" i="16"/>
  <c r="R64" i="16"/>
  <c r="Q64" i="16"/>
  <c r="O64" i="16"/>
  <c r="N64" i="16"/>
  <c r="M64" i="16"/>
  <c r="L64" i="16"/>
  <c r="I64" i="16"/>
  <c r="H64" i="16"/>
  <c r="E64" i="16"/>
  <c r="D64" i="16"/>
  <c r="B64" i="16"/>
  <c r="R63" i="16"/>
  <c r="Q63" i="16"/>
  <c r="O63" i="16"/>
  <c r="N63" i="16"/>
  <c r="M63" i="16"/>
  <c r="L63" i="16"/>
  <c r="I63" i="16"/>
  <c r="H63" i="16"/>
  <c r="E63" i="16"/>
  <c r="D63" i="16"/>
  <c r="B63" i="16"/>
  <c r="R62" i="16"/>
  <c r="Q62" i="16"/>
  <c r="O62" i="16"/>
  <c r="N62" i="16"/>
  <c r="M62" i="16"/>
  <c r="L62" i="16"/>
  <c r="I62" i="16"/>
  <c r="H62" i="16"/>
  <c r="E62" i="16"/>
  <c r="D62" i="16"/>
  <c r="B62" i="16"/>
  <c r="R61" i="16"/>
  <c r="Q61" i="16"/>
  <c r="O61" i="16"/>
  <c r="N61" i="16"/>
  <c r="M61" i="16"/>
  <c r="L61" i="16"/>
  <c r="I61" i="16"/>
  <c r="H61" i="16"/>
  <c r="E61" i="16"/>
  <c r="D61" i="16"/>
  <c r="B61" i="16"/>
  <c r="R60" i="16"/>
  <c r="Q60" i="16"/>
  <c r="O60" i="16"/>
  <c r="N60" i="16"/>
  <c r="M60" i="16"/>
  <c r="L60" i="16"/>
  <c r="I60" i="16"/>
  <c r="H60" i="16"/>
  <c r="E60" i="16"/>
  <c r="D60" i="16"/>
  <c r="B60" i="16"/>
  <c r="R59" i="16"/>
  <c r="Q59" i="16"/>
  <c r="O59" i="16"/>
  <c r="N59" i="16"/>
  <c r="M59" i="16"/>
  <c r="L59" i="16"/>
  <c r="I59" i="16"/>
  <c r="H59" i="16"/>
  <c r="E59" i="16"/>
  <c r="D59" i="16"/>
  <c r="B59" i="16"/>
  <c r="R58" i="16"/>
  <c r="Q58" i="16"/>
  <c r="O58" i="16"/>
  <c r="N58" i="16"/>
  <c r="M58" i="16"/>
  <c r="L58" i="16"/>
  <c r="I58" i="16"/>
  <c r="H58" i="16"/>
  <c r="E58" i="16"/>
  <c r="D58" i="16"/>
  <c r="B58" i="16"/>
  <c r="R57" i="16"/>
  <c r="Q57" i="16"/>
  <c r="O57" i="16"/>
  <c r="N57" i="16"/>
  <c r="M57" i="16"/>
  <c r="L57" i="16"/>
  <c r="I57" i="16"/>
  <c r="H57" i="16"/>
  <c r="E57" i="16"/>
  <c r="D57" i="16"/>
  <c r="B57" i="16"/>
  <c r="R56" i="16"/>
  <c r="Q56" i="16"/>
  <c r="O56" i="16"/>
  <c r="N56" i="16"/>
  <c r="M56" i="16"/>
  <c r="L56" i="16"/>
  <c r="I56" i="16"/>
  <c r="H56" i="16"/>
  <c r="E56" i="16"/>
  <c r="D56" i="16"/>
  <c r="B56" i="16"/>
  <c r="R55" i="16"/>
  <c r="Q55" i="16"/>
  <c r="O55" i="16"/>
  <c r="N55" i="16"/>
  <c r="M55" i="16"/>
  <c r="L55" i="16"/>
  <c r="I55" i="16"/>
  <c r="H55" i="16"/>
  <c r="E55" i="16"/>
  <c r="D55" i="16"/>
  <c r="B55" i="16"/>
  <c r="R54" i="16"/>
  <c r="Q54" i="16"/>
  <c r="O54" i="16"/>
  <c r="N54" i="16"/>
  <c r="M54" i="16"/>
  <c r="L54" i="16"/>
  <c r="I54" i="16"/>
  <c r="H54" i="16"/>
  <c r="E54" i="16"/>
  <c r="D54" i="16"/>
  <c r="B54" i="16"/>
  <c r="R53" i="16"/>
  <c r="Q53" i="16"/>
  <c r="O53" i="16"/>
  <c r="N53" i="16"/>
  <c r="M53" i="16"/>
  <c r="L53" i="16"/>
  <c r="I53" i="16"/>
  <c r="H53" i="16"/>
  <c r="E53" i="16"/>
  <c r="D53" i="16"/>
  <c r="B53" i="16"/>
  <c r="R52" i="16"/>
  <c r="Q52" i="16"/>
  <c r="O52" i="16"/>
  <c r="N52" i="16"/>
  <c r="M52" i="16"/>
  <c r="L52" i="16"/>
  <c r="I52" i="16"/>
  <c r="H52" i="16"/>
  <c r="E52" i="16"/>
  <c r="D52" i="16"/>
  <c r="B52" i="16"/>
  <c r="R51" i="16"/>
  <c r="Q51" i="16"/>
  <c r="O51" i="16"/>
  <c r="N51" i="16"/>
  <c r="M51" i="16"/>
  <c r="L51" i="16"/>
  <c r="I51" i="16"/>
  <c r="H51" i="16"/>
  <c r="E51" i="16"/>
  <c r="D51" i="16"/>
  <c r="B51" i="16"/>
  <c r="R50" i="16"/>
  <c r="Q50" i="16"/>
  <c r="O50" i="16"/>
  <c r="N50" i="16"/>
  <c r="M50" i="16"/>
  <c r="L50" i="16"/>
  <c r="I50" i="16"/>
  <c r="H50" i="16"/>
  <c r="E50" i="16"/>
  <c r="D50" i="16"/>
  <c r="B50" i="16"/>
  <c r="R49" i="16"/>
  <c r="Q49" i="16"/>
  <c r="O49" i="16"/>
  <c r="N49" i="16"/>
  <c r="M49" i="16"/>
  <c r="L49" i="16"/>
  <c r="I49" i="16"/>
  <c r="H49" i="16"/>
  <c r="E49" i="16"/>
  <c r="D49" i="16"/>
  <c r="B49" i="16"/>
  <c r="R48" i="16"/>
  <c r="Q48" i="16"/>
  <c r="O48" i="16"/>
  <c r="N48" i="16"/>
  <c r="M48" i="16"/>
  <c r="L48" i="16"/>
  <c r="I48" i="16"/>
  <c r="H48" i="16"/>
  <c r="E48" i="16"/>
  <c r="D48" i="16"/>
  <c r="B48" i="16"/>
  <c r="R47" i="16"/>
  <c r="Q47" i="16"/>
  <c r="O47" i="16"/>
  <c r="N47" i="16"/>
  <c r="M47" i="16"/>
  <c r="L47" i="16"/>
  <c r="I47" i="16"/>
  <c r="H47" i="16"/>
  <c r="E47" i="16"/>
  <c r="D47" i="16"/>
  <c r="B47" i="16"/>
  <c r="R46" i="16"/>
  <c r="Q46" i="16"/>
  <c r="O46" i="16"/>
  <c r="N46" i="16"/>
  <c r="M46" i="16"/>
  <c r="L46" i="16"/>
  <c r="I46" i="16"/>
  <c r="H46" i="16"/>
  <c r="E46" i="16"/>
  <c r="D46" i="16"/>
  <c r="B46" i="16"/>
  <c r="R45" i="16"/>
  <c r="Q45" i="16"/>
  <c r="O45" i="16"/>
  <c r="N45" i="16"/>
  <c r="M45" i="16"/>
  <c r="L45" i="16"/>
  <c r="I45" i="16"/>
  <c r="H45" i="16"/>
  <c r="E45" i="16"/>
  <c r="D45" i="16"/>
  <c r="B45" i="16"/>
  <c r="R44" i="16"/>
  <c r="Q44" i="16"/>
  <c r="O44" i="16"/>
  <c r="N44" i="16"/>
  <c r="M44" i="16"/>
  <c r="L44" i="16"/>
  <c r="I44" i="16"/>
  <c r="H44" i="16"/>
  <c r="E44" i="16"/>
  <c r="D44" i="16"/>
  <c r="B44" i="16"/>
  <c r="R43" i="16"/>
  <c r="Q43" i="16"/>
  <c r="O43" i="16"/>
  <c r="N43" i="16"/>
  <c r="M43" i="16"/>
  <c r="L43" i="16"/>
  <c r="I43" i="16"/>
  <c r="H43" i="16"/>
  <c r="E43" i="16"/>
  <c r="D43" i="16"/>
  <c r="B43" i="16"/>
  <c r="R42" i="16"/>
  <c r="Q42" i="16"/>
  <c r="O42" i="16"/>
  <c r="N42" i="16"/>
  <c r="M42" i="16"/>
  <c r="L42" i="16"/>
  <c r="I42" i="16"/>
  <c r="H42" i="16"/>
  <c r="E42" i="16"/>
  <c r="D42" i="16"/>
  <c r="B42" i="16"/>
  <c r="R41" i="16"/>
  <c r="Q41" i="16"/>
  <c r="O41" i="16"/>
  <c r="N41" i="16"/>
  <c r="M41" i="16"/>
  <c r="L41" i="16"/>
  <c r="I41" i="16"/>
  <c r="H41" i="16"/>
  <c r="E41" i="16"/>
  <c r="D41" i="16"/>
  <c r="B41" i="16"/>
  <c r="R40" i="16"/>
  <c r="Q40" i="16"/>
  <c r="O40" i="16"/>
  <c r="N40" i="16"/>
  <c r="M40" i="16"/>
  <c r="L40" i="16"/>
  <c r="I40" i="16"/>
  <c r="H40" i="16"/>
  <c r="E40" i="16"/>
  <c r="D40" i="16"/>
  <c r="B40" i="16"/>
  <c r="R39" i="16"/>
  <c r="Q39" i="16"/>
  <c r="O39" i="16"/>
  <c r="N39" i="16"/>
  <c r="M39" i="16"/>
  <c r="L39" i="16"/>
  <c r="I39" i="16"/>
  <c r="H39" i="16"/>
  <c r="E39" i="16"/>
  <c r="D39" i="16"/>
  <c r="B39" i="16"/>
  <c r="R38" i="16"/>
  <c r="Q38" i="16"/>
  <c r="O38" i="16"/>
  <c r="N38" i="16"/>
  <c r="M38" i="16"/>
  <c r="L38" i="16"/>
  <c r="I38" i="16"/>
  <c r="H38" i="16"/>
  <c r="E38" i="16"/>
  <c r="D38" i="16"/>
  <c r="B38" i="16"/>
  <c r="R37" i="16"/>
  <c r="Q37" i="16"/>
  <c r="O37" i="16"/>
  <c r="N37" i="16"/>
  <c r="M37" i="16"/>
  <c r="L37" i="16"/>
  <c r="I37" i="16"/>
  <c r="H37" i="16"/>
  <c r="E37" i="16"/>
  <c r="D37" i="16"/>
  <c r="B37" i="16"/>
  <c r="R36" i="16"/>
  <c r="Q36" i="16"/>
  <c r="O36" i="16"/>
  <c r="N36" i="16"/>
  <c r="M36" i="16"/>
  <c r="L36" i="16"/>
  <c r="I36" i="16"/>
  <c r="H36" i="16"/>
  <c r="E36" i="16"/>
  <c r="D36" i="16"/>
  <c r="B36" i="16"/>
  <c r="R35" i="16"/>
  <c r="Q35" i="16"/>
  <c r="O35" i="16"/>
  <c r="N35" i="16"/>
  <c r="M35" i="16"/>
  <c r="L35" i="16"/>
  <c r="I35" i="16"/>
  <c r="H35" i="16"/>
  <c r="E35" i="16"/>
  <c r="D35" i="16"/>
  <c r="B35" i="16"/>
  <c r="R33" i="16"/>
  <c r="Q33" i="16"/>
  <c r="O33" i="16"/>
  <c r="N33" i="16"/>
  <c r="M33" i="16"/>
  <c r="L33" i="16"/>
  <c r="I33" i="16"/>
  <c r="H33" i="16"/>
  <c r="E33" i="16"/>
  <c r="D33" i="16"/>
  <c r="B33" i="16"/>
  <c r="R32" i="16"/>
  <c r="Q32" i="16"/>
  <c r="O32" i="16"/>
  <c r="N32" i="16"/>
  <c r="M32" i="16"/>
  <c r="L32" i="16"/>
  <c r="I32" i="16"/>
  <c r="H32" i="16"/>
  <c r="E32" i="16"/>
  <c r="D32" i="16"/>
  <c r="B32" i="16"/>
  <c r="R31" i="16"/>
  <c r="Q31" i="16"/>
  <c r="O31" i="16"/>
  <c r="N31" i="16"/>
  <c r="M31" i="16"/>
  <c r="L31" i="16"/>
  <c r="I31" i="16"/>
  <c r="H31" i="16"/>
  <c r="E31" i="16"/>
  <c r="D31" i="16"/>
  <c r="B31" i="16"/>
  <c r="R30" i="16"/>
  <c r="Q30" i="16"/>
  <c r="O30" i="16"/>
  <c r="N30" i="16"/>
  <c r="M30" i="16"/>
  <c r="L30" i="16"/>
  <c r="I30" i="16"/>
  <c r="H30" i="16"/>
  <c r="E30" i="16"/>
  <c r="D30" i="16"/>
  <c r="B30" i="16"/>
  <c r="R29" i="16"/>
  <c r="Q29" i="16"/>
  <c r="O29" i="16"/>
  <c r="N29" i="16"/>
  <c r="M29" i="16"/>
  <c r="L29" i="16"/>
  <c r="I29" i="16"/>
  <c r="H29" i="16"/>
  <c r="E29" i="16"/>
  <c r="D29" i="16"/>
  <c r="B29" i="16"/>
  <c r="R28" i="16"/>
  <c r="Q28" i="16"/>
  <c r="O28" i="16"/>
  <c r="N28" i="16"/>
  <c r="M28" i="16"/>
  <c r="L28" i="16"/>
  <c r="I28" i="16"/>
  <c r="H28" i="16"/>
  <c r="E28" i="16"/>
  <c r="D28" i="16"/>
  <c r="B28" i="16"/>
  <c r="R27" i="16"/>
  <c r="Q27" i="16"/>
  <c r="O27" i="16"/>
  <c r="N27" i="16"/>
  <c r="M27" i="16"/>
  <c r="L27" i="16"/>
  <c r="I27" i="16"/>
  <c r="H27" i="16"/>
  <c r="E27" i="16"/>
  <c r="D27" i="16"/>
  <c r="B27" i="16"/>
  <c r="R26" i="16"/>
  <c r="Q26" i="16"/>
  <c r="O26" i="16"/>
  <c r="N26" i="16"/>
  <c r="M26" i="16"/>
  <c r="L26" i="16"/>
  <c r="I26" i="16"/>
  <c r="H26" i="16"/>
  <c r="E26" i="16"/>
  <c r="D26" i="16"/>
  <c r="B26" i="16"/>
  <c r="R25" i="16"/>
  <c r="Q25" i="16"/>
  <c r="O25" i="16"/>
  <c r="N25" i="16"/>
  <c r="M25" i="16"/>
  <c r="L25" i="16"/>
  <c r="I25" i="16"/>
  <c r="H25" i="16"/>
  <c r="E25" i="16"/>
  <c r="D25" i="16"/>
  <c r="B25" i="16"/>
  <c r="R24" i="16"/>
  <c r="Q24" i="16"/>
  <c r="O24" i="16"/>
  <c r="N24" i="16"/>
  <c r="M24" i="16"/>
  <c r="L24" i="16"/>
  <c r="I24" i="16"/>
  <c r="H24" i="16"/>
  <c r="E24" i="16"/>
  <c r="D24" i="16"/>
  <c r="B24" i="16"/>
  <c r="R23" i="16"/>
  <c r="Q23" i="16"/>
  <c r="O23" i="16"/>
  <c r="N23" i="16"/>
  <c r="M23" i="16"/>
  <c r="L23" i="16"/>
  <c r="I23" i="16"/>
  <c r="H23" i="16"/>
  <c r="E23" i="16"/>
  <c r="D23" i="16"/>
  <c r="B23" i="16"/>
  <c r="R22" i="16"/>
  <c r="Q22" i="16"/>
  <c r="O22" i="16"/>
  <c r="N22" i="16"/>
  <c r="M22" i="16"/>
  <c r="L22" i="16"/>
  <c r="I22" i="16"/>
  <c r="H22" i="16"/>
  <c r="E22" i="16"/>
  <c r="D22" i="16"/>
  <c r="B22" i="16"/>
  <c r="R21" i="16"/>
  <c r="Q21" i="16"/>
  <c r="O21" i="16"/>
  <c r="N21" i="16"/>
  <c r="M21" i="16"/>
  <c r="L21" i="16"/>
  <c r="I21" i="16"/>
  <c r="H21" i="16"/>
  <c r="E21" i="16"/>
  <c r="D21" i="16"/>
  <c r="B21" i="16"/>
  <c r="R20" i="16"/>
  <c r="Q20" i="16"/>
  <c r="O20" i="16"/>
  <c r="N20" i="16"/>
  <c r="M20" i="16"/>
  <c r="L20" i="16"/>
  <c r="I20" i="16"/>
  <c r="H20" i="16"/>
  <c r="E20" i="16"/>
  <c r="D20" i="16"/>
  <c r="B20" i="16"/>
  <c r="R19" i="16"/>
  <c r="Q19" i="16"/>
  <c r="O19" i="16"/>
  <c r="N19" i="16"/>
  <c r="M19" i="16"/>
  <c r="L19" i="16"/>
  <c r="I19" i="16"/>
  <c r="H19" i="16"/>
  <c r="E19" i="16"/>
  <c r="D19" i="16"/>
  <c r="B19" i="16"/>
  <c r="R18" i="16"/>
  <c r="Q18" i="16"/>
  <c r="O18" i="16"/>
  <c r="N18" i="16"/>
  <c r="M18" i="16"/>
  <c r="L18" i="16"/>
  <c r="I18" i="16"/>
  <c r="H18" i="16"/>
  <c r="E18" i="16"/>
  <c r="D18" i="16"/>
  <c r="B18" i="16"/>
  <c r="R17" i="16"/>
  <c r="Q17" i="16"/>
  <c r="O17" i="16"/>
  <c r="N17" i="16"/>
  <c r="M17" i="16"/>
  <c r="L17" i="16"/>
  <c r="I17" i="16"/>
  <c r="H17" i="16"/>
  <c r="E17" i="16"/>
  <c r="D17" i="16"/>
  <c r="B17" i="16"/>
  <c r="R16" i="16"/>
  <c r="Q16" i="16"/>
  <c r="O16" i="16"/>
  <c r="N16" i="16"/>
  <c r="M16" i="16"/>
  <c r="L16" i="16"/>
  <c r="I16" i="16"/>
  <c r="H16" i="16"/>
  <c r="E16" i="16"/>
  <c r="D16" i="16"/>
  <c r="B16" i="16"/>
  <c r="R15" i="16"/>
  <c r="Q15" i="16"/>
  <c r="O15" i="16"/>
  <c r="N15" i="16"/>
  <c r="M15" i="16"/>
  <c r="L15" i="16"/>
  <c r="I15" i="16"/>
  <c r="H15" i="16"/>
  <c r="E15" i="16"/>
  <c r="D15" i="16"/>
  <c r="B15" i="16"/>
  <c r="R14" i="16"/>
  <c r="Q14" i="16"/>
  <c r="O14" i="16"/>
  <c r="N14" i="16"/>
  <c r="M14" i="16"/>
  <c r="L14" i="16"/>
  <c r="I14" i="16"/>
  <c r="H14" i="16"/>
  <c r="E14" i="16"/>
  <c r="D14" i="16"/>
  <c r="B14" i="16"/>
  <c r="R13" i="16"/>
  <c r="Q13" i="16"/>
  <c r="O13" i="16"/>
  <c r="N13" i="16"/>
  <c r="M13" i="16"/>
  <c r="L13" i="16"/>
  <c r="I13" i="16"/>
  <c r="H13" i="16"/>
  <c r="E13" i="16"/>
  <c r="D13" i="16"/>
  <c r="B13" i="16"/>
  <c r="R12" i="16"/>
  <c r="Q12" i="16"/>
  <c r="O12" i="16"/>
  <c r="N12" i="16"/>
  <c r="M12" i="16"/>
  <c r="L12" i="16"/>
  <c r="I12" i="16"/>
  <c r="H12" i="16"/>
  <c r="E12" i="16"/>
  <c r="D12" i="16"/>
  <c r="B12" i="16"/>
  <c r="R11" i="16"/>
  <c r="Q11" i="16"/>
  <c r="O11" i="16"/>
  <c r="N11" i="16"/>
  <c r="M11" i="16"/>
  <c r="L11" i="16"/>
  <c r="I11" i="16"/>
  <c r="H11" i="16"/>
  <c r="E11" i="16"/>
  <c r="D11" i="16"/>
  <c r="B11" i="16"/>
  <c r="R10" i="16"/>
  <c r="Q10" i="16"/>
  <c r="O10" i="16"/>
  <c r="N10" i="16"/>
  <c r="M10" i="16"/>
  <c r="L10" i="16"/>
  <c r="I10" i="16"/>
  <c r="H10" i="16"/>
  <c r="E10" i="16"/>
  <c r="D10" i="16"/>
  <c r="B10" i="16"/>
  <c r="R9" i="16"/>
  <c r="Q9" i="16"/>
  <c r="O9" i="16"/>
  <c r="N9" i="16"/>
  <c r="M9" i="16"/>
  <c r="L9" i="16"/>
  <c r="I9" i="16"/>
  <c r="H9" i="16"/>
  <c r="E9" i="16"/>
  <c r="D9" i="16"/>
  <c r="B9" i="16"/>
  <c r="R8" i="16"/>
  <c r="Q8" i="16"/>
  <c r="O8" i="16"/>
  <c r="N8" i="16"/>
  <c r="M8" i="16"/>
  <c r="L8" i="16"/>
  <c r="I8" i="16"/>
  <c r="H8" i="16"/>
  <c r="E8" i="16"/>
  <c r="D8" i="16"/>
  <c r="B8" i="16"/>
  <c r="R7" i="16"/>
  <c r="Q7" i="16"/>
  <c r="O7" i="16"/>
  <c r="N7" i="16"/>
  <c r="M7" i="16"/>
  <c r="L7" i="16"/>
  <c r="I7" i="16"/>
  <c r="H7" i="16"/>
  <c r="E7" i="16"/>
  <c r="D7" i="16"/>
  <c r="B7" i="16"/>
  <c r="R6" i="16"/>
  <c r="Q6" i="16"/>
  <c r="O6" i="16"/>
  <c r="N6" i="16"/>
  <c r="M6" i="16"/>
  <c r="L6" i="16"/>
  <c r="I6" i="16"/>
  <c r="H6" i="16"/>
  <c r="E6" i="16"/>
  <c r="D6" i="16"/>
  <c r="B6" i="16"/>
  <c r="R5" i="16"/>
  <c r="Q5" i="16"/>
  <c r="O5" i="16"/>
  <c r="N5" i="16"/>
  <c r="M5" i="16"/>
  <c r="L5" i="16"/>
  <c r="I5" i="16"/>
  <c r="H5" i="16"/>
  <c r="E5" i="16"/>
  <c r="D5" i="16"/>
  <c r="B5" i="16"/>
  <c r="R4" i="16"/>
  <c r="Q4" i="16"/>
  <c r="O4" i="16"/>
  <c r="N4" i="16"/>
  <c r="M4" i="16"/>
  <c r="L4" i="16"/>
  <c r="I4" i="16"/>
  <c r="H4" i="16"/>
  <c r="E4" i="16"/>
  <c r="D4" i="16"/>
  <c r="B4" i="16"/>
  <c r="R3" i="16"/>
  <c r="Q3" i="16"/>
  <c r="O3" i="16"/>
  <c r="N3" i="16"/>
  <c r="M3" i="16"/>
  <c r="L3" i="16"/>
  <c r="I3" i="16"/>
  <c r="H3" i="16"/>
  <c r="E3" i="16"/>
  <c r="D3" i="16"/>
  <c r="B3" i="16"/>
  <c r="H803" i="13"/>
  <c r="H802" i="13"/>
  <c r="H801" i="13"/>
  <c r="H800" i="13"/>
  <c r="H799" i="13"/>
  <c r="H798" i="13"/>
  <c r="H797" i="13"/>
  <c r="H796" i="13"/>
  <c r="H795" i="13"/>
  <c r="H794" i="13"/>
  <c r="H793" i="13"/>
  <c r="H792" i="13"/>
  <c r="H791" i="13"/>
  <c r="H790" i="13"/>
  <c r="H789" i="13"/>
  <c r="H788" i="13"/>
  <c r="H787" i="13"/>
  <c r="H786" i="13"/>
  <c r="H785" i="13"/>
  <c r="H784" i="13"/>
  <c r="H783" i="13"/>
  <c r="H782" i="13"/>
  <c r="H781" i="13"/>
  <c r="H780" i="13"/>
  <c r="H779" i="13"/>
  <c r="H778" i="13"/>
  <c r="H777" i="13"/>
  <c r="H776" i="13"/>
  <c r="H775" i="13"/>
  <c r="H774" i="13"/>
  <c r="H773" i="13"/>
  <c r="H772" i="13"/>
  <c r="H771" i="13"/>
  <c r="H770" i="13"/>
  <c r="H769" i="13"/>
  <c r="H768" i="13"/>
  <c r="H767" i="13"/>
  <c r="H766" i="13"/>
  <c r="H765" i="13"/>
  <c r="H764" i="13"/>
  <c r="H763" i="13"/>
  <c r="H762" i="13"/>
  <c r="H761" i="13"/>
  <c r="H760" i="13"/>
  <c r="H759" i="13"/>
  <c r="H758" i="13"/>
  <c r="H757" i="13"/>
  <c r="H756" i="13"/>
  <c r="H755" i="13"/>
  <c r="H754" i="13"/>
  <c r="H753" i="13"/>
  <c r="H752" i="13"/>
  <c r="H751" i="13"/>
  <c r="H750" i="13"/>
  <c r="H749" i="13"/>
  <c r="H748" i="13"/>
  <c r="H747" i="13"/>
  <c r="H746" i="13"/>
  <c r="H745" i="13"/>
  <c r="H744" i="13"/>
  <c r="H743" i="13"/>
  <c r="H742" i="13"/>
  <c r="H741" i="13"/>
  <c r="H740" i="13"/>
  <c r="H739" i="13"/>
  <c r="H738" i="13"/>
  <c r="H737" i="13"/>
  <c r="H736" i="13"/>
  <c r="H735" i="13"/>
  <c r="H734" i="13"/>
  <c r="H733" i="13"/>
  <c r="H732" i="13"/>
  <c r="H731" i="13"/>
  <c r="H730" i="13"/>
  <c r="H729" i="13"/>
  <c r="H728" i="13"/>
  <c r="H727" i="13"/>
  <c r="H726" i="13"/>
  <c r="H725" i="13"/>
  <c r="H724" i="13"/>
  <c r="H723" i="13"/>
  <c r="H722" i="13"/>
  <c r="H721" i="13"/>
  <c r="H720" i="13"/>
  <c r="H719" i="13"/>
  <c r="H718" i="13"/>
  <c r="H717" i="13"/>
  <c r="H716" i="13"/>
  <c r="H715" i="13"/>
  <c r="H714" i="13"/>
  <c r="H713" i="13"/>
  <c r="H712" i="13"/>
  <c r="H711" i="13"/>
  <c r="H710" i="13"/>
  <c r="H709" i="13"/>
  <c r="H708" i="13"/>
  <c r="H707" i="13"/>
  <c r="H706" i="13"/>
  <c r="H705" i="13"/>
  <c r="H704" i="13"/>
  <c r="H703" i="13"/>
  <c r="H702" i="13"/>
  <c r="H701" i="13"/>
  <c r="H700" i="13"/>
  <c r="H699" i="13"/>
  <c r="H698" i="13"/>
  <c r="H697" i="13"/>
  <c r="H696" i="13"/>
  <c r="H695" i="13"/>
  <c r="H694" i="13"/>
  <c r="H693" i="13"/>
  <c r="H692" i="13"/>
  <c r="H691" i="13"/>
  <c r="H690" i="13"/>
  <c r="H689" i="13"/>
  <c r="H688" i="13"/>
  <c r="H687" i="13"/>
  <c r="H686" i="13"/>
  <c r="H685" i="13"/>
  <c r="H684" i="13"/>
  <c r="H683" i="13"/>
  <c r="H682" i="13"/>
  <c r="H681" i="13"/>
  <c r="H680" i="13"/>
  <c r="H679" i="13"/>
  <c r="H678" i="13"/>
  <c r="H677" i="13"/>
  <c r="H676" i="13"/>
  <c r="H675" i="13"/>
  <c r="H674" i="13"/>
  <c r="H673" i="13"/>
  <c r="H672" i="13"/>
  <c r="H671" i="13"/>
  <c r="H670" i="13"/>
  <c r="H669" i="13"/>
  <c r="H668" i="13"/>
  <c r="H667" i="13"/>
  <c r="H666" i="13"/>
  <c r="H665" i="13"/>
  <c r="H664" i="13"/>
  <c r="H663" i="13"/>
  <c r="H662" i="13"/>
  <c r="H661" i="13"/>
  <c r="H660" i="13"/>
  <c r="H659" i="13"/>
  <c r="H658" i="13"/>
  <c r="H657" i="13"/>
  <c r="H656" i="13"/>
  <c r="H655" i="13"/>
  <c r="H654" i="13"/>
  <c r="H653" i="13"/>
  <c r="H652" i="13"/>
  <c r="H651" i="13"/>
  <c r="H650" i="13"/>
  <c r="H649" i="13"/>
  <c r="H648" i="13"/>
  <c r="H647" i="13"/>
  <c r="H646" i="13"/>
  <c r="H645" i="13"/>
  <c r="H644" i="13"/>
  <c r="H643" i="13"/>
  <c r="H642" i="13"/>
  <c r="H641" i="13"/>
  <c r="H640" i="13"/>
  <c r="H639" i="13"/>
  <c r="H638" i="13"/>
  <c r="H637" i="13"/>
  <c r="H636" i="13"/>
  <c r="H635" i="13"/>
  <c r="H634" i="13"/>
  <c r="H633" i="13"/>
  <c r="H632" i="13"/>
  <c r="H631" i="13"/>
  <c r="H630" i="13"/>
  <c r="H629" i="13"/>
  <c r="H628" i="13"/>
  <c r="H627" i="13"/>
  <c r="H626" i="13"/>
  <c r="H625" i="13"/>
  <c r="H624" i="13"/>
  <c r="H623" i="13"/>
  <c r="H622" i="13"/>
  <c r="H621" i="13"/>
  <c r="H620" i="13"/>
  <c r="H619" i="13"/>
  <c r="H618" i="13"/>
  <c r="H617" i="13"/>
  <c r="H616" i="13"/>
  <c r="H615" i="13"/>
  <c r="H614" i="13"/>
  <c r="H613" i="13"/>
  <c r="H612" i="13"/>
  <c r="H611" i="13"/>
  <c r="H610" i="13"/>
  <c r="H609" i="13"/>
  <c r="H608" i="13"/>
  <c r="H607" i="13"/>
  <c r="H606" i="13"/>
  <c r="H605" i="13"/>
  <c r="H604" i="13"/>
  <c r="H603" i="13"/>
  <c r="H602" i="13"/>
  <c r="H601" i="13"/>
  <c r="H600" i="13"/>
  <c r="H599" i="13"/>
  <c r="H598" i="13"/>
  <c r="H597" i="13"/>
  <c r="H596" i="13"/>
  <c r="H595" i="13"/>
  <c r="H594" i="13"/>
  <c r="H593" i="13"/>
  <c r="H592" i="13"/>
  <c r="H591" i="13"/>
  <c r="H590" i="13"/>
  <c r="H589" i="13"/>
  <c r="H588" i="13"/>
  <c r="H587" i="13"/>
  <c r="H586" i="13"/>
  <c r="H585" i="13"/>
  <c r="H584" i="13"/>
  <c r="H583" i="13"/>
  <c r="H582" i="13"/>
  <c r="H581" i="13"/>
  <c r="H580" i="13"/>
  <c r="H579" i="13"/>
  <c r="H578" i="13"/>
  <c r="H577" i="13"/>
  <c r="H576" i="13"/>
  <c r="H575" i="13"/>
  <c r="H574" i="13"/>
  <c r="H573" i="13"/>
  <c r="H572" i="13"/>
  <c r="H571" i="13"/>
  <c r="H570" i="13"/>
  <c r="H569" i="13"/>
  <c r="H568" i="13"/>
  <c r="H567" i="13"/>
  <c r="H566" i="13"/>
  <c r="H565" i="13"/>
  <c r="H564" i="13"/>
  <c r="H563" i="13"/>
  <c r="H562" i="13"/>
  <c r="H561" i="13"/>
  <c r="H560" i="13"/>
  <c r="H559" i="13"/>
  <c r="H558" i="13"/>
  <c r="H557" i="13"/>
  <c r="H556" i="13"/>
  <c r="H555" i="13"/>
  <c r="H554" i="13"/>
  <c r="H553" i="13"/>
  <c r="H552" i="13"/>
  <c r="H551" i="13"/>
  <c r="H550" i="13"/>
  <c r="H549" i="13"/>
  <c r="H548" i="13"/>
  <c r="H547" i="13"/>
  <c r="H546" i="13"/>
  <c r="H545" i="13"/>
  <c r="H544" i="13"/>
  <c r="H543" i="13"/>
  <c r="H542" i="13"/>
  <c r="H541" i="13"/>
  <c r="H540" i="13"/>
  <c r="H539" i="13"/>
  <c r="H538" i="13"/>
  <c r="H537" i="13"/>
  <c r="H536" i="13"/>
  <c r="H535" i="13"/>
  <c r="H534" i="13"/>
  <c r="H533" i="13"/>
  <c r="H532" i="13"/>
  <c r="H531" i="13"/>
  <c r="H530" i="13"/>
  <c r="H524" i="13"/>
  <c r="H519" i="13"/>
  <c r="H510" i="13"/>
  <c r="H508" i="13"/>
  <c r="H507" i="13"/>
  <c r="H506" i="13"/>
  <c r="H505" i="13"/>
  <c r="H504" i="13"/>
  <c r="H503" i="13"/>
  <c r="H502" i="13"/>
  <c r="H501" i="13"/>
  <c r="H500" i="13"/>
  <c r="H499" i="13"/>
  <c r="H498" i="13"/>
  <c r="H497" i="13"/>
  <c r="H496" i="13"/>
  <c r="H495" i="13"/>
  <c r="H494" i="13"/>
  <c r="H493" i="13"/>
  <c r="H492" i="13"/>
  <c r="H491" i="13"/>
  <c r="H483" i="13"/>
  <c r="H474" i="13"/>
  <c r="H473" i="13"/>
  <c r="H472" i="13"/>
  <c r="H471" i="13"/>
  <c r="H470" i="13"/>
  <c r="H444" i="13"/>
  <c r="H436" i="13"/>
  <c r="H429" i="13"/>
  <c r="H427" i="13"/>
  <c r="H426" i="13"/>
  <c r="H425" i="13"/>
  <c r="H424" i="13"/>
  <c r="H423" i="13"/>
  <c r="H422" i="13"/>
  <c r="H421" i="13"/>
  <c r="H420" i="13"/>
  <c r="H419" i="13"/>
  <c r="H418" i="13"/>
  <c r="H417" i="13"/>
  <c r="H416" i="13"/>
  <c r="H415" i="13"/>
  <c r="H414" i="13"/>
  <c r="H413" i="13"/>
  <c r="H412" i="13"/>
  <c r="H411" i="13"/>
  <c r="H410" i="13"/>
  <c r="H409" i="13"/>
  <c r="H408" i="13"/>
  <c r="H407" i="13"/>
  <c r="H406" i="13"/>
  <c r="H405" i="13"/>
  <c r="H404" i="13"/>
  <c r="H403" i="13"/>
  <c r="H402" i="13"/>
  <c r="H401" i="13"/>
  <c r="H400" i="13"/>
  <c r="H399" i="13"/>
  <c r="H398" i="13"/>
  <c r="H397" i="13"/>
  <c r="H396" i="13"/>
  <c r="H395" i="13"/>
  <c r="H394" i="13"/>
  <c r="H393" i="13"/>
  <c r="H392" i="13"/>
  <c r="H391" i="13"/>
  <c r="H390" i="13"/>
  <c r="H388" i="13"/>
  <c r="H387" i="13"/>
  <c r="H386" i="13"/>
  <c r="H385" i="13"/>
  <c r="H384" i="13"/>
  <c r="H383" i="13"/>
  <c r="H382" i="13"/>
  <c r="H381" i="13"/>
  <c r="H380" i="13"/>
  <c r="H379" i="13"/>
  <c r="H378" i="13"/>
  <c r="H377" i="13"/>
  <c r="H376" i="13"/>
  <c r="H375" i="13"/>
  <c r="H374" i="13"/>
  <c r="H373" i="13"/>
  <c r="H372" i="13"/>
  <c r="H371" i="13"/>
  <c r="K370" i="13"/>
  <c r="H370" i="13"/>
  <c r="H369" i="13"/>
  <c r="H368" i="13"/>
  <c r="H367" i="13"/>
  <c r="H366" i="13"/>
  <c r="H364" i="13"/>
  <c r="H363" i="13"/>
  <c r="H362" i="13"/>
  <c r="H361" i="13"/>
  <c r="H360" i="13"/>
  <c r="H359" i="13"/>
  <c r="H358" i="13"/>
  <c r="H357" i="13"/>
  <c r="I356" i="13"/>
  <c r="H356" i="13"/>
  <c r="H355" i="13"/>
  <c r="H354" i="13"/>
  <c r="H353" i="13"/>
  <c r="H352" i="13"/>
  <c r="H351" i="13"/>
  <c r="H350" i="13"/>
  <c r="H349" i="13"/>
  <c r="H348" i="13"/>
  <c r="H347" i="13"/>
  <c r="L343" i="13"/>
  <c r="K343" i="13"/>
  <c r="I343" i="13"/>
  <c r="H343" i="13"/>
  <c r="L340" i="13"/>
  <c r="K340" i="13"/>
  <c r="I340" i="13"/>
  <c r="H340" i="13"/>
  <c r="L304" i="13"/>
  <c r="J304" i="13"/>
  <c r="I304" i="13"/>
  <c r="H304" i="13"/>
  <c r="L303" i="13"/>
  <c r="H303" i="13"/>
  <c r="L302" i="13"/>
  <c r="H302" i="13"/>
  <c r="L301" i="13"/>
  <c r="H301" i="13"/>
  <c r="L300" i="13"/>
  <c r="H300" i="13"/>
  <c r="L299" i="13"/>
  <c r="H299" i="13"/>
  <c r="L298" i="13"/>
  <c r="H298" i="13"/>
  <c r="L297" i="13"/>
  <c r="H297" i="13"/>
  <c r="L296" i="13"/>
  <c r="H296" i="13"/>
  <c r="L295" i="13"/>
  <c r="H295" i="13"/>
  <c r="L294" i="13"/>
  <c r="H294" i="13"/>
  <c r="L293" i="13"/>
  <c r="H293" i="13"/>
  <c r="L292" i="13"/>
  <c r="H292" i="13"/>
  <c r="L291" i="13"/>
  <c r="H291" i="13"/>
  <c r="L290" i="13"/>
  <c r="H290" i="13"/>
  <c r="L289" i="13"/>
  <c r="H289" i="13"/>
  <c r="L288" i="13"/>
  <c r="H288" i="13"/>
  <c r="L287" i="13"/>
  <c r="H287" i="13"/>
  <c r="L286" i="13"/>
  <c r="H286" i="13"/>
  <c r="L285" i="13"/>
  <c r="H285" i="13"/>
  <c r="L284" i="13"/>
  <c r="H284" i="13"/>
  <c r="L283" i="13"/>
  <c r="H283" i="13"/>
  <c r="L282" i="13"/>
  <c r="H282" i="13"/>
  <c r="L281" i="13"/>
  <c r="H281" i="13"/>
  <c r="L280" i="13"/>
  <c r="H280" i="13"/>
  <c r="L279" i="13"/>
  <c r="H279" i="13"/>
  <c r="L278" i="13"/>
  <c r="H278" i="13"/>
  <c r="L277" i="13"/>
  <c r="H277" i="13"/>
  <c r="L276" i="13"/>
  <c r="H276" i="13"/>
  <c r="I275" i="13"/>
  <c r="M274" i="13"/>
  <c r="L274" i="13"/>
  <c r="K274" i="13"/>
  <c r="I274" i="13"/>
  <c r="H274" i="13"/>
  <c r="M272" i="13"/>
  <c r="L272" i="13"/>
  <c r="K272" i="13"/>
  <c r="I272" i="13"/>
  <c r="H272" i="13"/>
  <c r="M270" i="13"/>
  <c r="L270" i="13"/>
  <c r="K270" i="13"/>
  <c r="I270" i="13"/>
  <c r="H270" i="13"/>
  <c r="M269" i="13"/>
  <c r="L269" i="13"/>
  <c r="K269" i="13"/>
  <c r="I269" i="13"/>
  <c r="H269" i="13"/>
  <c r="M268" i="13"/>
  <c r="H268" i="13"/>
  <c r="M267" i="13"/>
  <c r="H267" i="13"/>
  <c r="M266" i="13"/>
  <c r="H266" i="13"/>
  <c r="M265" i="13"/>
  <c r="H265" i="13"/>
  <c r="M264" i="13"/>
  <c r="H264" i="13"/>
  <c r="M263" i="13"/>
  <c r="H263" i="13"/>
  <c r="M262" i="13"/>
  <c r="H262" i="13"/>
  <c r="M261" i="13"/>
  <c r="H261" i="13"/>
  <c r="M260" i="13"/>
  <c r="H260" i="13"/>
  <c r="M259" i="13"/>
  <c r="H259" i="13"/>
  <c r="M258" i="13"/>
  <c r="H258" i="13"/>
  <c r="M257" i="13"/>
  <c r="H257" i="13"/>
  <c r="M256" i="13"/>
  <c r="H256" i="13"/>
  <c r="M255" i="13"/>
  <c r="H255" i="13"/>
  <c r="M254" i="13"/>
  <c r="H254" i="13"/>
  <c r="M253" i="13"/>
  <c r="H253" i="13"/>
  <c r="M252" i="13"/>
  <c r="H252" i="13"/>
  <c r="M251" i="13"/>
  <c r="H251" i="13"/>
  <c r="M250" i="13"/>
  <c r="H250" i="13"/>
  <c r="M249" i="13"/>
  <c r="H249" i="13"/>
  <c r="M248" i="13"/>
  <c r="H248" i="13"/>
  <c r="M247" i="13"/>
  <c r="H247" i="13"/>
  <c r="M246" i="13"/>
  <c r="H246" i="13"/>
  <c r="M245" i="13"/>
  <c r="H245" i="13"/>
  <c r="M244" i="13"/>
  <c r="H244" i="13"/>
  <c r="M243" i="13"/>
  <c r="H243" i="13"/>
  <c r="M242" i="13"/>
  <c r="H242" i="13"/>
  <c r="M241" i="13"/>
  <c r="H241" i="13"/>
  <c r="M240" i="13"/>
  <c r="H240" i="13"/>
  <c r="M239" i="13"/>
  <c r="H239" i="13"/>
  <c r="M238" i="13"/>
  <c r="H238" i="13"/>
  <c r="M237" i="13"/>
  <c r="H237" i="13"/>
  <c r="M236" i="13"/>
  <c r="H236" i="13"/>
  <c r="M235" i="13"/>
  <c r="H235" i="13"/>
  <c r="M234" i="13"/>
  <c r="H234" i="13"/>
  <c r="M233" i="13"/>
  <c r="H233" i="13"/>
  <c r="M232" i="13"/>
  <c r="H232" i="13"/>
  <c r="M231" i="13"/>
  <c r="H231" i="13"/>
  <c r="M230" i="13"/>
  <c r="H230" i="13"/>
  <c r="M229" i="13"/>
  <c r="H229" i="13"/>
  <c r="M228" i="13"/>
  <c r="H228" i="13"/>
  <c r="M227" i="13"/>
  <c r="H227" i="13"/>
  <c r="M226" i="13"/>
  <c r="H226" i="13"/>
  <c r="M225" i="13"/>
  <c r="H225" i="13"/>
  <c r="M224" i="13"/>
  <c r="H224" i="13"/>
  <c r="M223" i="13"/>
  <c r="H223" i="13"/>
  <c r="M222" i="13"/>
  <c r="H222" i="13"/>
  <c r="M221" i="13"/>
  <c r="H221" i="13"/>
  <c r="M220" i="13"/>
  <c r="H220" i="13"/>
  <c r="M219" i="13"/>
  <c r="H219" i="13"/>
  <c r="M218" i="13"/>
  <c r="H218" i="13"/>
  <c r="M217" i="13"/>
  <c r="H217" i="13"/>
  <c r="M216" i="13"/>
  <c r="H216" i="13"/>
  <c r="M215" i="13"/>
  <c r="H215" i="13"/>
  <c r="M214" i="13"/>
  <c r="H214" i="13"/>
  <c r="M213" i="13"/>
  <c r="H213" i="13"/>
  <c r="M212" i="13"/>
  <c r="H212" i="13"/>
  <c r="M211" i="13"/>
  <c r="H211" i="13"/>
  <c r="M210" i="13"/>
  <c r="H210" i="13"/>
  <c r="M209" i="13"/>
  <c r="H209" i="13"/>
  <c r="M208" i="13"/>
  <c r="H208" i="13"/>
  <c r="M207" i="13"/>
  <c r="H207" i="13"/>
  <c r="M206" i="13"/>
  <c r="H206" i="13"/>
  <c r="M205" i="13"/>
  <c r="H205" i="13"/>
  <c r="M204" i="13"/>
  <c r="H204" i="13"/>
  <c r="M203" i="13"/>
  <c r="H203" i="13"/>
  <c r="M202" i="13"/>
  <c r="H202" i="13"/>
  <c r="M201" i="13"/>
  <c r="H201" i="13"/>
  <c r="M200" i="13"/>
  <c r="H200" i="13"/>
  <c r="M199" i="13"/>
  <c r="H199" i="13"/>
  <c r="M198" i="13"/>
  <c r="H198" i="13"/>
  <c r="M197" i="13"/>
  <c r="H197" i="13"/>
  <c r="M196" i="13"/>
  <c r="H196" i="13"/>
  <c r="M195" i="13"/>
  <c r="H195" i="13"/>
  <c r="M194" i="13"/>
  <c r="H194" i="13"/>
  <c r="M193" i="13"/>
  <c r="H193" i="13"/>
  <c r="M192" i="13"/>
  <c r="L192" i="13"/>
  <c r="K192" i="13"/>
  <c r="I192" i="13"/>
  <c r="H192" i="13"/>
  <c r="M191" i="13"/>
  <c r="L191" i="13"/>
  <c r="K191" i="13"/>
  <c r="I191" i="13"/>
  <c r="H191" i="13"/>
  <c r="M190" i="13"/>
  <c r="L190" i="13"/>
  <c r="K190" i="13"/>
  <c r="I190" i="13"/>
  <c r="H190" i="13"/>
  <c r="M189" i="13"/>
  <c r="L189" i="13"/>
  <c r="K189" i="13"/>
  <c r="I189" i="13"/>
  <c r="H189" i="13"/>
  <c r="M188" i="13"/>
  <c r="L188" i="13"/>
  <c r="K188" i="13"/>
  <c r="I188" i="13"/>
  <c r="H188" i="13"/>
  <c r="M187" i="13"/>
  <c r="L187" i="13"/>
  <c r="K187" i="13"/>
  <c r="I187" i="13"/>
  <c r="H187" i="13"/>
  <c r="M186" i="13"/>
  <c r="L186" i="13"/>
  <c r="K186" i="13"/>
  <c r="I186" i="13"/>
  <c r="H186" i="13"/>
  <c r="M185" i="13"/>
  <c r="L185" i="13"/>
  <c r="K185" i="13"/>
  <c r="I185" i="13"/>
  <c r="H185" i="13"/>
  <c r="M184" i="13"/>
  <c r="L184" i="13"/>
  <c r="K184" i="13"/>
  <c r="I184" i="13"/>
  <c r="H184" i="13"/>
  <c r="M183" i="13"/>
  <c r="L183" i="13"/>
  <c r="K183" i="13"/>
  <c r="I183" i="13"/>
  <c r="H183" i="13"/>
  <c r="M182" i="13"/>
  <c r="L182" i="13"/>
  <c r="K182" i="13"/>
  <c r="I182" i="13"/>
  <c r="H182" i="13"/>
  <c r="M181" i="13"/>
  <c r="L181" i="13"/>
  <c r="K181" i="13"/>
  <c r="I181" i="13"/>
  <c r="H181" i="13"/>
  <c r="M180" i="13"/>
  <c r="L180" i="13"/>
  <c r="K180" i="13"/>
  <c r="I180" i="13"/>
  <c r="H180" i="13"/>
  <c r="M179" i="13"/>
  <c r="L179" i="13"/>
  <c r="K179" i="13"/>
  <c r="I179" i="13"/>
  <c r="H179" i="13"/>
  <c r="M178" i="13"/>
  <c r="L178" i="13"/>
  <c r="K178" i="13"/>
  <c r="I178" i="13"/>
  <c r="H178" i="13"/>
  <c r="M177" i="13"/>
  <c r="L177" i="13"/>
  <c r="K177" i="13"/>
  <c r="I177" i="13"/>
  <c r="H177" i="13"/>
  <c r="M176" i="13"/>
  <c r="L176" i="13"/>
  <c r="K176" i="13"/>
  <c r="I176" i="13"/>
  <c r="H176" i="13"/>
  <c r="M175" i="13"/>
  <c r="L175" i="13"/>
  <c r="K175" i="13"/>
  <c r="I175" i="13"/>
  <c r="H175" i="13"/>
  <c r="M174" i="13"/>
  <c r="L174" i="13"/>
  <c r="K174" i="13"/>
  <c r="I174" i="13"/>
  <c r="H174" i="13"/>
  <c r="M173" i="13"/>
  <c r="L173" i="13"/>
  <c r="K173" i="13"/>
  <c r="I173" i="13"/>
  <c r="H173" i="13"/>
  <c r="M172" i="13"/>
  <c r="L172" i="13"/>
  <c r="K172" i="13"/>
  <c r="I172" i="13"/>
  <c r="H172" i="13"/>
  <c r="M171" i="13"/>
  <c r="L171" i="13"/>
  <c r="K171" i="13"/>
  <c r="I171" i="13"/>
  <c r="H171" i="13"/>
  <c r="M170" i="13"/>
  <c r="L170" i="13"/>
  <c r="K170" i="13"/>
  <c r="I170" i="13"/>
  <c r="H170" i="13"/>
  <c r="M169" i="13"/>
  <c r="L169" i="13"/>
  <c r="K169" i="13"/>
  <c r="I169" i="13"/>
  <c r="H169" i="13"/>
  <c r="M168" i="13"/>
  <c r="L168" i="13"/>
  <c r="K168" i="13"/>
  <c r="I168" i="13"/>
  <c r="H168" i="13"/>
  <c r="M167" i="13"/>
  <c r="L167" i="13"/>
  <c r="K167" i="13"/>
  <c r="I167" i="13"/>
  <c r="H167" i="13"/>
  <c r="M166" i="13"/>
  <c r="L166" i="13"/>
  <c r="K166" i="13"/>
  <c r="I166" i="13"/>
  <c r="H166" i="13"/>
  <c r="M165" i="13"/>
  <c r="L165" i="13"/>
  <c r="K165" i="13"/>
  <c r="I165" i="13"/>
  <c r="H165" i="13"/>
  <c r="M164" i="13"/>
  <c r="L164" i="13"/>
  <c r="K164" i="13"/>
  <c r="I164" i="13"/>
  <c r="H164" i="13"/>
  <c r="M163" i="13"/>
  <c r="L163" i="13"/>
  <c r="K163" i="13"/>
  <c r="I163" i="13"/>
  <c r="H163" i="13"/>
  <c r="M162" i="13"/>
  <c r="L162" i="13"/>
  <c r="K162" i="13"/>
  <c r="I162" i="13"/>
  <c r="H162" i="13"/>
  <c r="M161" i="13"/>
  <c r="L161" i="13"/>
  <c r="K161" i="13"/>
  <c r="I161" i="13"/>
  <c r="H161" i="13"/>
  <c r="M160" i="13"/>
  <c r="L160" i="13"/>
  <c r="K160" i="13"/>
  <c r="I160" i="13"/>
  <c r="H160" i="13"/>
  <c r="M159" i="13"/>
  <c r="L159" i="13"/>
  <c r="K159" i="13"/>
  <c r="I159" i="13"/>
  <c r="H159" i="13"/>
  <c r="M158" i="13"/>
  <c r="L158" i="13"/>
  <c r="K158" i="13"/>
  <c r="I158" i="13"/>
  <c r="H158" i="13"/>
  <c r="M157" i="13"/>
  <c r="H157" i="13"/>
  <c r="M156" i="13"/>
  <c r="H156" i="13"/>
  <c r="M155" i="13"/>
  <c r="H155" i="13"/>
  <c r="M154" i="13"/>
  <c r="H154" i="13"/>
  <c r="M153" i="13"/>
  <c r="H153" i="13"/>
  <c r="M152" i="13"/>
  <c r="H152" i="13"/>
  <c r="M151" i="13"/>
  <c r="H151" i="13"/>
  <c r="M150" i="13"/>
  <c r="H150" i="13"/>
  <c r="M149" i="13"/>
  <c r="H149" i="13"/>
  <c r="M148" i="13"/>
  <c r="H148" i="13"/>
  <c r="M147" i="13"/>
  <c r="H147" i="13"/>
  <c r="M146" i="13"/>
  <c r="H146" i="13"/>
  <c r="M145" i="13"/>
  <c r="H145" i="13"/>
  <c r="M144" i="13"/>
  <c r="H144" i="13"/>
  <c r="M143" i="13"/>
  <c r="H143" i="13"/>
  <c r="M142" i="13"/>
  <c r="H142" i="13"/>
  <c r="M141" i="13"/>
  <c r="H141" i="13"/>
  <c r="M140" i="13"/>
  <c r="H140" i="13"/>
  <c r="M139" i="13"/>
  <c r="H139" i="13"/>
  <c r="M138" i="13"/>
  <c r="H138" i="13"/>
  <c r="M137" i="13"/>
  <c r="H137" i="13"/>
  <c r="M136" i="13"/>
  <c r="H136" i="13"/>
  <c r="M135" i="13"/>
  <c r="H135" i="13"/>
  <c r="M134" i="13"/>
  <c r="H134" i="13"/>
  <c r="M133" i="13"/>
  <c r="H133" i="13"/>
  <c r="M132" i="13"/>
  <c r="H132" i="13"/>
  <c r="M131" i="13"/>
  <c r="H131" i="13"/>
  <c r="M130" i="13"/>
  <c r="H130" i="13"/>
  <c r="M129" i="13"/>
  <c r="H129" i="13"/>
  <c r="M128" i="13"/>
  <c r="H128" i="13"/>
  <c r="M127" i="13"/>
  <c r="H127" i="13"/>
  <c r="M126" i="13"/>
  <c r="H126" i="13"/>
  <c r="M125" i="13"/>
  <c r="H125" i="13"/>
  <c r="M124" i="13"/>
  <c r="H124" i="13"/>
  <c r="M123" i="13"/>
  <c r="H123" i="13"/>
  <c r="M122" i="13"/>
  <c r="H122" i="13"/>
  <c r="M121" i="13"/>
  <c r="H121" i="13"/>
  <c r="M120" i="13"/>
  <c r="H120" i="13"/>
  <c r="M119" i="13"/>
  <c r="H119" i="13"/>
  <c r="M118" i="13"/>
  <c r="H118" i="13"/>
  <c r="M117" i="13"/>
  <c r="H117" i="13"/>
  <c r="M116" i="13"/>
  <c r="H116" i="13"/>
  <c r="M115" i="13"/>
  <c r="H115" i="13"/>
  <c r="M114" i="13"/>
  <c r="H114" i="13"/>
  <c r="M113" i="13"/>
  <c r="H113" i="13"/>
  <c r="M112" i="13"/>
  <c r="H112" i="13"/>
  <c r="M111" i="13"/>
  <c r="H111" i="13"/>
  <c r="M110" i="13"/>
  <c r="H110" i="13"/>
  <c r="M109" i="13"/>
  <c r="H109" i="13"/>
  <c r="M108" i="13"/>
  <c r="H108" i="13"/>
  <c r="M107" i="13"/>
  <c r="H107" i="13"/>
  <c r="M106" i="13"/>
  <c r="H106" i="13"/>
  <c r="M105" i="13"/>
  <c r="H105" i="13"/>
  <c r="M104" i="13"/>
  <c r="H104" i="13"/>
  <c r="M103" i="13"/>
  <c r="H103" i="13"/>
  <c r="M102" i="13"/>
  <c r="H102" i="13"/>
  <c r="M101" i="13"/>
  <c r="H101" i="13"/>
  <c r="M100" i="13"/>
  <c r="H100" i="13"/>
  <c r="M99" i="13"/>
  <c r="H99" i="13"/>
  <c r="M98" i="13"/>
  <c r="H98" i="13"/>
  <c r="M97" i="13"/>
  <c r="H97" i="13"/>
  <c r="M96" i="13"/>
  <c r="H96" i="13"/>
  <c r="M95" i="13"/>
  <c r="H95" i="13"/>
  <c r="M94" i="13"/>
  <c r="H94" i="13"/>
  <c r="M93" i="13"/>
  <c r="H93" i="13"/>
  <c r="M92" i="13"/>
  <c r="H92" i="13"/>
  <c r="M91" i="13"/>
  <c r="H91" i="13"/>
  <c r="L90" i="13"/>
  <c r="K90" i="13"/>
  <c r="L89" i="13"/>
  <c r="K89" i="13"/>
  <c r="L88" i="13"/>
  <c r="K88" i="13"/>
  <c r="L87" i="13"/>
  <c r="K87" i="13"/>
  <c r="I87" i="13"/>
  <c r="L86" i="13"/>
  <c r="K86" i="13"/>
  <c r="I86" i="13"/>
  <c r="L85" i="13"/>
  <c r="K85" i="13"/>
  <c r="I85" i="13"/>
  <c r="L84" i="13"/>
  <c r="M83" i="13"/>
  <c r="L83" i="13"/>
  <c r="K83" i="13"/>
  <c r="H83" i="13"/>
  <c r="M82" i="13"/>
  <c r="L82" i="13"/>
  <c r="K82" i="13"/>
  <c r="H82" i="13"/>
  <c r="M81" i="13"/>
  <c r="L81" i="13"/>
  <c r="K81" i="13"/>
  <c r="H81" i="13"/>
  <c r="M80" i="13"/>
  <c r="L80" i="13"/>
  <c r="K80" i="13"/>
  <c r="H80" i="13"/>
  <c r="M79" i="13"/>
  <c r="L79" i="13"/>
  <c r="K79" i="13"/>
  <c r="H79" i="13"/>
  <c r="M78" i="13"/>
  <c r="L78" i="13"/>
  <c r="K78" i="13"/>
  <c r="H78" i="13"/>
  <c r="M77" i="13"/>
  <c r="L77" i="13"/>
  <c r="K77" i="13"/>
  <c r="H77" i="13"/>
  <c r="M76" i="13"/>
  <c r="L76" i="13"/>
  <c r="K76" i="13"/>
  <c r="H76" i="13"/>
  <c r="M75" i="13"/>
  <c r="L75" i="13"/>
  <c r="K75" i="13"/>
  <c r="H75" i="13"/>
  <c r="M74" i="13"/>
  <c r="L74" i="13"/>
  <c r="K74" i="13"/>
  <c r="H74" i="13"/>
  <c r="M73" i="13"/>
  <c r="L73" i="13"/>
  <c r="K73" i="13"/>
  <c r="H73" i="13"/>
  <c r="M72" i="13"/>
  <c r="L72" i="13"/>
  <c r="K72" i="13"/>
  <c r="H72" i="13"/>
  <c r="M71" i="13"/>
  <c r="L71" i="13"/>
  <c r="K71" i="13"/>
  <c r="H71" i="13"/>
  <c r="M70" i="13"/>
  <c r="L70" i="13"/>
  <c r="K70" i="13"/>
  <c r="H70" i="13"/>
  <c r="M69" i="13"/>
  <c r="L69" i="13"/>
  <c r="K69" i="13"/>
  <c r="H69" i="13"/>
  <c r="M68" i="13"/>
  <c r="L68" i="13"/>
  <c r="K68" i="13"/>
  <c r="H68" i="13"/>
  <c r="M67" i="13"/>
  <c r="L67" i="13"/>
  <c r="K67" i="13"/>
  <c r="H67" i="13"/>
  <c r="M66" i="13"/>
  <c r="L66" i="13"/>
  <c r="K66" i="13"/>
  <c r="H66" i="13"/>
  <c r="L65" i="13"/>
  <c r="K65" i="13"/>
  <c r="I65" i="13"/>
  <c r="M64" i="13"/>
  <c r="L64" i="13"/>
  <c r="K64" i="13"/>
  <c r="I64" i="13"/>
  <c r="M63" i="13"/>
  <c r="L63" i="13"/>
  <c r="K63" i="13"/>
  <c r="I63" i="13"/>
  <c r="H63" i="13"/>
  <c r="M62" i="13"/>
  <c r="L62" i="13"/>
  <c r="K62" i="13"/>
  <c r="I62" i="13"/>
  <c r="M61" i="13"/>
  <c r="L61" i="13"/>
  <c r="K61" i="13"/>
  <c r="I61" i="13"/>
  <c r="M60" i="13"/>
  <c r="L60" i="13"/>
  <c r="K60" i="13"/>
  <c r="I60" i="13"/>
  <c r="M59" i="13"/>
  <c r="L59" i="13"/>
  <c r="K59" i="13"/>
  <c r="I59" i="13"/>
  <c r="H59" i="13"/>
  <c r="M58" i="13"/>
  <c r="L58" i="13"/>
  <c r="K58" i="13"/>
  <c r="H58" i="13"/>
  <c r="M57" i="13"/>
  <c r="L57" i="13"/>
  <c r="K57" i="13"/>
  <c r="H57" i="13"/>
  <c r="M56" i="13"/>
  <c r="L56" i="13"/>
  <c r="K56" i="13"/>
  <c r="H56" i="13"/>
  <c r="M55" i="13"/>
  <c r="L55" i="13"/>
  <c r="K55" i="13"/>
  <c r="H55" i="13"/>
  <c r="M54" i="13"/>
  <c r="L54" i="13"/>
  <c r="K54" i="13"/>
  <c r="H54" i="13"/>
  <c r="M53" i="13"/>
  <c r="L53" i="13"/>
  <c r="K53" i="13"/>
  <c r="H53" i="13"/>
  <c r="M52" i="13"/>
  <c r="L52" i="13"/>
  <c r="K52" i="13"/>
  <c r="H52" i="13"/>
  <c r="M51" i="13"/>
  <c r="L51" i="13"/>
  <c r="K51" i="13"/>
  <c r="H51" i="13"/>
  <c r="M50" i="13"/>
  <c r="L50" i="13"/>
  <c r="K50" i="13"/>
  <c r="H50" i="13"/>
  <c r="M49" i="13"/>
  <c r="L49" i="13"/>
  <c r="K49" i="13"/>
  <c r="H49" i="13"/>
  <c r="M48" i="13"/>
  <c r="L48" i="13"/>
  <c r="K48" i="13"/>
  <c r="H48" i="13"/>
  <c r="M47" i="13"/>
  <c r="L47" i="13"/>
  <c r="K47" i="13"/>
  <c r="I47" i="13"/>
  <c r="H47" i="13"/>
  <c r="M46" i="13"/>
  <c r="L46" i="13"/>
  <c r="K46" i="13"/>
  <c r="H46" i="13"/>
  <c r="M45" i="13"/>
  <c r="L45" i="13"/>
  <c r="K45" i="13"/>
  <c r="I45" i="13"/>
  <c r="H45" i="13"/>
  <c r="M44" i="13"/>
  <c r="L44" i="13"/>
  <c r="K44" i="13"/>
  <c r="I44" i="13"/>
  <c r="H44" i="13"/>
  <c r="M43" i="13"/>
  <c r="L43" i="13"/>
  <c r="K43" i="13"/>
  <c r="H43" i="13"/>
  <c r="M42" i="13"/>
  <c r="L42" i="13"/>
  <c r="H42" i="13"/>
  <c r="M41" i="13"/>
  <c r="L41" i="13"/>
  <c r="K41" i="13"/>
  <c r="H41" i="13"/>
  <c r="M40" i="13"/>
  <c r="L40" i="13"/>
  <c r="K40" i="13"/>
  <c r="H40" i="13"/>
  <c r="M39" i="13"/>
  <c r="L39" i="13"/>
  <c r="K39" i="13"/>
  <c r="H39" i="13"/>
  <c r="M38" i="13"/>
  <c r="L38" i="13"/>
  <c r="K38" i="13"/>
  <c r="H38" i="13"/>
  <c r="M37" i="13"/>
  <c r="L37" i="13"/>
  <c r="K37" i="13"/>
  <c r="H37" i="13"/>
  <c r="M36" i="13"/>
  <c r="L36" i="13"/>
  <c r="K36" i="13"/>
  <c r="H36" i="13"/>
  <c r="M35" i="13"/>
  <c r="L35" i="13"/>
  <c r="K35" i="13"/>
  <c r="H35" i="13"/>
  <c r="M34" i="13"/>
  <c r="L34" i="13"/>
  <c r="K34" i="13"/>
  <c r="H34" i="13"/>
  <c r="M33" i="13"/>
  <c r="L33" i="13"/>
  <c r="K33" i="13"/>
  <c r="H33" i="13"/>
  <c r="M32" i="13"/>
  <c r="L32" i="13"/>
  <c r="K32" i="13"/>
  <c r="M30" i="13"/>
  <c r="L30" i="13"/>
  <c r="K30" i="13"/>
  <c r="I30" i="13"/>
  <c r="H30" i="13"/>
  <c r="M28" i="13"/>
  <c r="L28" i="13"/>
  <c r="K28" i="13"/>
  <c r="I28" i="13"/>
  <c r="H28" i="13"/>
  <c r="M26" i="13"/>
  <c r="L26" i="13"/>
  <c r="K26" i="13"/>
  <c r="I26" i="13"/>
  <c r="H26" i="13"/>
  <c r="M25" i="13"/>
  <c r="L25" i="13"/>
  <c r="K25" i="13"/>
  <c r="I25" i="13"/>
  <c r="H25" i="13"/>
  <c r="M24" i="13"/>
  <c r="L24" i="13"/>
  <c r="K24" i="13"/>
  <c r="I24" i="13"/>
  <c r="H24" i="13"/>
  <c r="M23" i="13"/>
  <c r="L23" i="13"/>
  <c r="K23" i="13"/>
  <c r="I23" i="13"/>
  <c r="H23" i="13"/>
  <c r="M22" i="13"/>
  <c r="L22" i="13"/>
  <c r="K22" i="13"/>
  <c r="I22" i="13"/>
  <c r="H22" i="13"/>
  <c r="M21" i="13"/>
  <c r="L21" i="13"/>
  <c r="K21" i="13"/>
  <c r="I21" i="13"/>
  <c r="H21" i="13"/>
  <c r="M20" i="13"/>
  <c r="L20" i="13"/>
  <c r="K20" i="13"/>
  <c r="I20" i="13"/>
  <c r="H20" i="13"/>
  <c r="M19" i="13"/>
  <c r="L19" i="13"/>
  <c r="K19" i="13"/>
  <c r="I19" i="13"/>
  <c r="H19" i="13"/>
  <c r="M18" i="13"/>
  <c r="L18" i="13"/>
  <c r="K18" i="13"/>
  <c r="I18" i="13"/>
  <c r="H18" i="13"/>
  <c r="M17" i="13"/>
  <c r="L17" i="13"/>
  <c r="K17" i="13"/>
  <c r="I17" i="13"/>
  <c r="H17" i="13"/>
  <c r="M16" i="13"/>
  <c r="L16" i="13"/>
  <c r="K16" i="13"/>
  <c r="I16" i="13"/>
  <c r="H16" i="13"/>
  <c r="F12" i="7"/>
  <c r="F11" i="7"/>
  <c r="F10" i="7"/>
  <c r="F9" i="7"/>
  <c r="F8" i="7"/>
  <c r="F7" i="7"/>
  <c r="F6" i="7"/>
  <c r="F5" i="7"/>
  <c r="F4" i="7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94" i="3"/>
  <c r="G92" i="3"/>
  <c r="G91" i="3"/>
  <c r="G90" i="3"/>
  <c r="G89" i="3"/>
  <c r="G88" i="3"/>
  <c r="G87" i="3"/>
  <c r="K13" i="12"/>
  <c r="J13" i="12"/>
  <c r="I13" i="12"/>
  <c r="H13" i="12"/>
  <c r="G13" i="12"/>
  <c r="F13" i="12"/>
  <c r="E13" i="12"/>
  <c r="D13" i="12"/>
  <c r="C13" i="12"/>
  <c r="K12" i="12"/>
  <c r="J12" i="12"/>
  <c r="I12" i="12"/>
  <c r="H12" i="12"/>
  <c r="G12" i="12"/>
  <c r="F12" i="12"/>
  <c r="E12" i="12"/>
  <c r="D12" i="12"/>
  <c r="C12" i="12"/>
  <c r="K11" i="12"/>
  <c r="J11" i="12"/>
  <c r="I11" i="12"/>
  <c r="H11" i="12"/>
  <c r="G11" i="12"/>
  <c r="F11" i="12"/>
  <c r="E11" i="12"/>
  <c r="D11" i="12"/>
  <c r="C11" i="12"/>
  <c r="K10" i="12"/>
  <c r="J10" i="12"/>
  <c r="I10" i="12"/>
  <c r="H10" i="12"/>
  <c r="G10" i="12"/>
  <c r="F10" i="12"/>
  <c r="E10" i="12"/>
  <c r="D10" i="12"/>
  <c r="C10" i="12"/>
  <c r="K9" i="12"/>
  <c r="J9" i="12"/>
  <c r="I9" i="12"/>
  <c r="H9" i="12"/>
  <c r="G9" i="12"/>
  <c r="F9" i="12"/>
  <c r="E9" i="12"/>
  <c r="D9" i="12"/>
  <c r="C9" i="12"/>
  <c r="K8" i="12"/>
  <c r="J8" i="12"/>
  <c r="I8" i="12"/>
  <c r="H8" i="12"/>
  <c r="G8" i="12"/>
  <c r="F8" i="12"/>
  <c r="E8" i="12"/>
  <c r="D8" i="12"/>
  <c r="C8" i="12"/>
  <c r="K7" i="12"/>
  <c r="J7" i="12"/>
  <c r="I7" i="12"/>
  <c r="H7" i="12"/>
  <c r="G7" i="12"/>
  <c r="F7" i="12"/>
  <c r="E7" i="12"/>
  <c r="D7" i="12"/>
  <c r="C7" i="12"/>
  <c r="K4" i="12"/>
  <c r="H4" i="12"/>
  <c r="E4" i="12"/>
  <c r="C3" i="12"/>
  <c r="B3" i="12"/>
  <c r="H10" i="4"/>
  <c r="G10" i="4"/>
  <c r="F10" i="4"/>
  <c r="H9" i="4"/>
  <c r="B9" i="4"/>
  <c r="H8" i="4"/>
  <c r="H7" i="4"/>
  <c r="H6" i="4"/>
  <c r="H5" i="4"/>
  <c r="H4" i="4"/>
  <c r="H3" i="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I369" i="15"/>
  <c r="H369" i="15"/>
  <c r="G369" i="15"/>
  <c r="F369" i="15"/>
  <c r="E369" i="15"/>
  <c r="D369" i="15"/>
  <c r="C369" i="15"/>
  <c r="I368" i="15"/>
  <c r="H368" i="15"/>
  <c r="G368" i="15"/>
  <c r="F368" i="15"/>
  <c r="E368" i="15"/>
  <c r="D368" i="15"/>
  <c r="C368" i="15"/>
  <c r="I367" i="15"/>
  <c r="H367" i="15"/>
  <c r="G367" i="15"/>
  <c r="F367" i="15"/>
  <c r="E367" i="15"/>
  <c r="D367" i="15"/>
  <c r="C367" i="15"/>
  <c r="I366" i="15"/>
  <c r="H366" i="15"/>
  <c r="G366" i="15"/>
  <c r="F366" i="15"/>
  <c r="E366" i="15"/>
  <c r="D366" i="15"/>
  <c r="C366" i="15"/>
  <c r="I365" i="15"/>
  <c r="H365" i="15"/>
  <c r="G365" i="15"/>
  <c r="F365" i="15"/>
  <c r="E365" i="15"/>
  <c r="D365" i="15"/>
  <c r="C365" i="15"/>
  <c r="I364" i="15"/>
  <c r="H364" i="15"/>
  <c r="G364" i="15"/>
  <c r="F364" i="15"/>
  <c r="E364" i="15"/>
  <c r="D364" i="15"/>
  <c r="C364" i="15"/>
  <c r="I363" i="15"/>
  <c r="H363" i="15"/>
  <c r="G363" i="15"/>
  <c r="F363" i="15"/>
  <c r="E363" i="15"/>
  <c r="D363" i="15"/>
  <c r="C363" i="15"/>
  <c r="I362" i="15"/>
  <c r="H362" i="15"/>
  <c r="G362" i="15"/>
  <c r="F362" i="15"/>
  <c r="E362" i="15"/>
  <c r="D362" i="15"/>
  <c r="C362" i="15"/>
  <c r="I361" i="15"/>
  <c r="H361" i="15"/>
  <c r="G361" i="15"/>
  <c r="F361" i="15"/>
  <c r="E361" i="15"/>
  <c r="D361" i="15"/>
  <c r="C361" i="15"/>
  <c r="I360" i="15"/>
  <c r="H360" i="15"/>
  <c r="G360" i="15"/>
  <c r="F360" i="15"/>
  <c r="E360" i="15"/>
  <c r="D360" i="15"/>
  <c r="C360" i="15"/>
  <c r="I359" i="15"/>
  <c r="H359" i="15"/>
  <c r="G359" i="15"/>
  <c r="F359" i="15"/>
  <c r="E359" i="15"/>
  <c r="D359" i="15"/>
  <c r="C359" i="15"/>
  <c r="I358" i="15"/>
  <c r="H358" i="15"/>
  <c r="G358" i="15"/>
  <c r="F358" i="15"/>
  <c r="E358" i="15"/>
  <c r="D358" i="15"/>
  <c r="C358" i="15"/>
  <c r="I357" i="15"/>
  <c r="H357" i="15"/>
  <c r="G357" i="15"/>
  <c r="F357" i="15"/>
  <c r="E357" i="15"/>
  <c r="D357" i="15"/>
  <c r="C357" i="15"/>
  <c r="I356" i="15"/>
  <c r="H356" i="15"/>
  <c r="G356" i="15"/>
  <c r="F356" i="15"/>
  <c r="E356" i="15"/>
  <c r="D356" i="15"/>
  <c r="C356" i="15"/>
  <c r="I355" i="15"/>
  <c r="H355" i="15"/>
  <c r="G355" i="15"/>
  <c r="F355" i="15"/>
  <c r="E355" i="15"/>
  <c r="D355" i="15"/>
  <c r="C355" i="15"/>
  <c r="I354" i="15"/>
  <c r="H354" i="15"/>
  <c r="G354" i="15"/>
  <c r="F354" i="15"/>
  <c r="E354" i="15"/>
  <c r="D354" i="15"/>
  <c r="C354" i="15"/>
  <c r="I353" i="15"/>
  <c r="H353" i="15"/>
  <c r="G353" i="15"/>
  <c r="F353" i="15"/>
  <c r="E353" i="15"/>
  <c r="D353" i="15"/>
  <c r="C353" i="15"/>
  <c r="I352" i="15"/>
  <c r="H352" i="15"/>
  <c r="G352" i="15"/>
  <c r="F352" i="15"/>
  <c r="E352" i="15"/>
  <c r="D352" i="15"/>
  <c r="C352" i="15"/>
  <c r="I351" i="15"/>
  <c r="H351" i="15"/>
  <c r="G351" i="15"/>
  <c r="F351" i="15"/>
  <c r="E351" i="15"/>
  <c r="D351" i="15"/>
  <c r="C351" i="15"/>
  <c r="I350" i="15"/>
  <c r="H350" i="15"/>
  <c r="G350" i="15"/>
  <c r="F350" i="15"/>
  <c r="E350" i="15"/>
  <c r="D350" i="15"/>
  <c r="C350" i="15"/>
  <c r="I349" i="15"/>
  <c r="H349" i="15"/>
  <c r="G349" i="15"/>
  <c r="F349" i="15"/>
  <c r="E349" i="15"/>
  <c r="D349" i="15"/>
  <c r="C349" i="15"/>
  <c r="I348" i="15"/>
  <c r="H348" i="15"/>
  <c r="G348" i="15"/>
  <c r="F348" i="15"/>
  <c r="E348" i="15"/>
  <c r="D348" i="15"/>
  <c r="C348" i="15"/>
  <c r="I347" i="15"/>
  <c r="H347" i="15"/>
  <c r="G347" i="15"/>
  <c r="F347" i="15"/>
  <c r="E347" i="15"/>
  <c r="D347" i="15"/>
  <c r="C347" i="15"/>
  <c r="I346" i="15"/>
  <c r="H346" i="15"/>
  <c r="G346" i="15"/>
  <c r="F346" i="15"/>
  <c r="E346" i="15"/>
  <c r="D346" i="15"/>
  <c r="C346" i="15"/>
  <c r="I345" i="15"/>
  <c r="H345" i="15"/>
  <c r="G345" i="15"/>
  <c r="F345" i="15"/>
  <c r="E345" i="15"/>
  <c r="D345" i="15"/>
  <c r="C345" i="15"/>
  <c r="I344" i="15"/>
  <c r="H344" i="15"/>
  <c r="G344" i="15"/>
  <c r="F344" i="15"/>
  <c r="E344" i="15"/>
  <c r="D344" i="15"/>
  <c r="C344" i="15"/>
  <c r="I343" i="15"/>
  <c r="H343" i="15"/>
  <c r="G343" i="15"/>
  <c r="F343" i="15"/>
  <c r="E343" i="15"/>
  <c r="D343" i="15"/>
  <c r="C343" i="15"/>
  <c r="I342" i="15"/>
  <c r="H342" i="15"/>
  <c r="G342" i="15"/>
  <c r="F342" i="15"/>
  <c r="E342" i="15"/>
  <c r="D342" i="15"/>
  <c r="C342" i="15"/>
  <c r="I341" i="15"/>
  <c r="H341" i="15"/>
  <c r="G341" i="15"/>
  <c r="F341" i="15"/>
  <c r="E341" i="15"/>
  <c r="D341" i="15"/>
  <c r="C341" i="15"/>
  <c r="I340" i="15"/>
  <c r="H340" i="15"/>
  <c r="G340" i="15"/>
  <c r="F340" i="15"/>
  <c r="E340" i="15"/>
  <c r="D340" i="15"/>
  <c r="C340" i="15"/>
  <c r="I339" i="15"/>
  <c r="H339" i="15"/>
  <c r="G339" i="15"/>
  <c r="F339" i="15"/>
  <c r="E339" i="15"/>
  <c r="D339" i="15"/>
  <c r="C339" i="15"/>
  <c r="I338" i="15"/>
  <c r="H338" i="15"/>
  <c r="G338" i="15"/>
  <c r="F338" i="15"/>
  <c r="E338" i="15"/>
  <c r="D338" i="15"/>
  <c r="C338" i="15"/>
  <c r="I337" i="15"/>
  <c r="H337" i="15"/>
  <c r="G337" i="15"/>
  <c r="F337" i="15"/>
  <c r="E337" i="15"/>
  <c r="D337" i="15"/>
  <c r="C337" i="15"/>
  <c r="I336" i="15"/>
  <c r="H336" i="15"/>
  <c r="G336" i="15"/>
  <c r="F336" i="15"/>
  <c r="E336" i="15"/>
  <c r="D336" i="15"/>
  <c r="C336" i="15"/>
  <c r="I335" i="15"/>
  <c r="H335" i="15"/>
  <c r="G335" i="15"/>
  <c r="F335" i="15"/>
  <c r="E335" i="15"/>
  <c r="D335" i="15"/>
  <c r="C335" i="15"/>
  <c r="I334" i="15"/>
  <c r="H334" i="15"/>
  <c r="G334" i="15"/>
  <c r="F334" i="15"/>
  <c r="E334" i="15"/>
  <c r="D334" i="15"/>
  <c r="C334" i="15"/>
  <c r="I333" i="15"/>
  <c r="H333" i="15"/>
  <c r="G333" i="15"/>
  <c r="F333" i="15"/>
  <c r="E333" i="15"/>
  <c r="D333" i="15"/>
  <c r="C333" i="15"/>
  <c r="I332" i="15"/>
  <c r="H332" i="15"/>
  <c r="G332" i="15"/>
  <c r="F332" i="15"/>
  <c r="E332" i="15"/>
  <c r="D332" i="15"/>
  <c r="C332" i="15"/>
  <c r="I331" i="15"/>
  <c r="H331" i="15"/>
  <c r="G331" i="15"/>
  <c r="F331" i="15"/>
  <c r="E331" i="15"/>
  <c r="D331" i="15"/>
  <c r="C331" i="15"/>
  <c r="I330" i="15"/>
  <c r="H330" i="15"/>
  <c r="G330" i="15"/>
  <c r="F330" i="15"/>
  <c r="E330" i="15"/>
  <c r="D330" i="15"/>
  <c r="C330" i="15"/>
  <c r="I329" i="15"/>
  <c r="H329" i="15"/>
  <c r="G329" i="15"/>
  <c r="F329" i="15"/>
  <c r="E329" i="15"/>
  <c r="D329" i="15"/>
  <c r="C329" i="15"/>
  <c r="I328" i="15"/>
  <c r="H328" i="15"/>
  <c r="G328" i="15"/>
  <c r="F328" i="15"/>
  <c r="E328" i="15"/>
  <c r="D328" i="15"/>
  <c r="C328" i="15"/>
  <c r="I327" i="15"/>
  <c r="H327" i="15"/>
  <c r="G327" i="15"/>
  <c r="F327" i="15"/>
  <c r="E327" i="15"/>
  <c r="D327" i="15"/>
  <c r="C327" i="15"/>
  <c r="I326" i="15"/>
  <c r="H326" i="15"/>
  <c r="G326" i="15"/>
  <c r="F326" i="15"/>
  <c r="E326" i="15"/>
  <c r="D326" i="15"/>
  <c r="C326" i="15"/>
  <c r="I325" i="15"/>
  <c r="H325" i="15"/>
  <c r="G325" i="15"/>
  <c r="F325" i="15"/>
  <c r="E325" i="15"/>
  <c r="D325" i="15"/>
  <c r="C325" i="15"/>
  <c r="I324" i="15"/>
  <c r="H324" i="15"/>
  <c r="G324" i="15"/>
  <c r="F324" i="15"/>
  <c r="E324" i="15"/>
  <c r="D324" i="15"/>
  <c r="C324" i="15"/>
  <c r="I323" i="15"/>
  <c r="H323" i="15"/>
  <c r="G323" i="15"/>
  <c r="F323" i="15"/>
  <c r="E323" i="15"/>
  <c r="D323" i="15"/>
  <c r="C323" i="15"/>
  <c r="I322" i="15"/>
  <c r="H322" i="15"/>
  <c r="G322" i="15"/>
  <c r="F322" i="15"/>
  <c r="E322" i="15"/>
  <c r="D322" i="15"/>
  <c r="C322" i="15"/>
  <c r="I321" i="15"/>
  <c r="H321" i="15"/>
  <c r="G321" i="15"/>
  <c r="F321" i="15"/>
  <c r="E321" i="15"/>
  <c r="D321" i="15"/>
  <c r="C321" i="15"/>
  <c r="I320" i="15"/>
  <c r="H320" i="15"/>
  <c r="G320" i="15"/>
  <c r="F320" i="15"/>
  <c r="E320" i="15"/>
  <c r="D320" i="15"/>
  <c r="C320" i="15"/>
  <c r="I319" i="15"/>
  <c r="H319" i="15"/>
  <c r="G319" i="15"/>
  <c r="F319" i="15"/>
  <c r="E319" i="15"/>
  <c r="D319" i="15"/>
  <c r="C319" i="15"/>
  <c r="I318" i="15"/>
  <c r="H318" i="15"/>
  <c r="G318" i="15"/>
  <c r="F318" i="15"/>
  <c r="E318" i="15"/>
  <c r="D318" i="15"/>
  <c r="C318" i="15"/>
  <c r="I317" i="15"/>
  <c r="H317" i="15"/>
  <c r="G317" i="15"/>
  <c r="F317" i="15"/>
  <c r="E317" i="15"/>
  <c r="D317" i="15"/>
  <c r="C317" i="15"/>
  <c r="I316" i="15"/>
  <c r="H316" i="15"/>
  <c r="G316" i="15"/>
  <c r="F316" i="15"/>
  <c r="E316" i="15"/>
  <c r="D316" i="15"/>
  <c r="C316" i="15"/>
  <c r="I315" i="15"/>
  <c r="H315" i="15"/>
  <c r="G315" i="15"/>
  <c r="F315" i="15"/>
  <c r="E315" i="15"/>
  <c r="D315" i="15"/>
  <c r="C315" i="15"/>
  <c r="I314" i="15"/>
  <c r="H314" i="15"/>
  <c r="G314" i="15"/>
  <c r="F314" i="15"/>
  <c r="E314" i="15"/>
  <c r="D314" i="15"/>
  <c r="C314" i="15"/>
  <c r="I313" i="15"/>
  <c r="H313" i="15"/>
  <c r="G313" i="15"/>
  <c r="F313" i="15"/>
  <c r="E313" i="15"/>
  <c r="D313" i="15"/>
  <c r="C313" i="15"/>
  <c r="I312" i="15"/>
  <c r="H312" i="15"/>
  <c r="G312" i="15"/>
  <c r="F312" i="15"/>
  <c r="E312" i="15"/>
  <c r="D312" i="15"/>
  <c r="C312" i="15"/>
  <c r="I311" i="15"/>
  <c r="H311" i="15"/>
  <c r="G311" i="15"/>
  <c r="F311" i="15"/>
  <c r="E311" i="15"/>
  <c r="D311" i="15"/>
  <c r="C311" i="15"/>
  <c r="I310" i="15"/>
  <c r="H310" i="15"/>
  <c r="G310" i="15"/>
  <c r="F310" i="15"/>
  <c r="E310" i="15"/>
  <c r="D310" i="15"/>
  <c r="C310" i="15"/>
  <c r="I309" i="15"/>
  <c r="H309" i="15"/>
  <c r="G309" i="15"/>
  <c r="F309" i="15"/>
  <c r="E309" i="15"/>
  <c r="D309" i="15"/>
  <c r="C309" i="15"/>
  <c r="I308" i="15"/>
  <c r="H308" i="15"/>
  <c r="G308" i="15"/>
  <c r="F308" i="15"/>
  <c r="E308" i="15"/>
  <c r="D308" i="15"/>
  <c r="C308" i="15"/>
  <c r="I307" i="15"/>
  <c r="H307" i="15"/>
  <c r="G307" i="15"/>
  <c r="F307" i="15"/>
  <c r="E307" i="15"/>
  <c r="D307" i="15"/>
  <c r="C307" i="15"/>
  <c r="I306" i="15"/>
  <c r="H306" i="15"/>
  <c r="G306" i="15"/>
  <c r="F306" i="15"/>
  <c r="E306" i="15"/>
  <c r="D306" i="15"/>
  <c r="C306" i="15"/>
  <c r="I305" i="15"/>
  <c r="H305" i="15"/>
  <c r="G305" i="15"/>
  <c r="F305" i="15"/>
  <c r="E305" i="15"/>
  <c r="D305" i="15"/>
  <c r="C305" i="15"/>
  <c r="I304" i="15"/>
  <c r="H304" i="15"/>
  <c r="G304" i="15"/>
  <c r="F304" i="15"/>
  <c r="E304" i="15"/>
  <c r="D304" i="15"/>
  <c r="C304" i="15"/>
  <c r="I303" i="15"/>
  <c r="H303" i="15"/>
  <c r="G303" i="15"/>
  <c r="F303" i="15"/>
  <c r="E303" i="15"/>
  <c r="D303" i="15"/>
  <c r="C303" i="15"/>
  <c r="I302" i="15"/>
  <c r="H302" i="15"/>
  <c r="G302" i="15"/>
  <c r="F302" i="15"/>
  <c r="E302" i="15"/>
  <c r="D302" i="15"/>
  <c r="C302" i="15"/>
  <c r="I301" i="15"/>
  <c r="H301" i="15"/>
  <c r="G301" i="15"/>
  <c r="F301" i="15"/>
  <c r="E301" i="15"/>
  <c r="D301" i="15"/>
  <c r="C301" i="15"/>
  <c r="I300" i="15"/>
  <c r="H300" i="15"/>
  <c r="G300" i="15"/>
  <c r="F300" i="15"/>
  <c r="E300" i="15"/>
  <c r="D300" i="15"/>
  <c r="C300" i="15"/>
  <c r="I299" i="15"/>
  <c r="H299" i="15"/>
  <c r="G299" i="15"/>
  <c r="F299" i="15"/>
  <c r="E299" i="15"/>
  <c r="D299" i="15"/>
  <c r="C299" i="15"/>
  <c r="I298" i="15"/>
  <c r="H298" i="15"/>
  <c r="G298" i="15"/>
  <c r="F298" i="15"/>
  <c r="E298" i="15"/>
  <c r="D298" i="15"/>
  <c r="C298" i="15"/>
  <c r="I297" i="15"/>
  <c r="H297" i="15"/>
  <c r="G297" i="15"/>
  <c r="F297" i="15"/>
  <c r="E297" i="15"/>
  <c r="D297" i="15"/>
  <c r="C297" i="15"/>
  <c r="I296" i="15"/>
  <c r="H296" i="15"/>
  <c r="G296" i="15"/>
  <c r="F296" i="15"/>
  <c r="E296" i="15"/>
  <c r="D296" i="15"/>
  <c r="C296" i="15"/>
  <c r="I295" i="15"/>
  <c r="H295" i="15"/>
  <c r="G295" i="15"/>
  <c r="F295" i="15"/>
  <c r="E295" i="15"/>
  <c r="D295" i="15"/>
  <c r="C295" i="15"/>
  <c r="I294" i="15"/>
  <c r="H294" i="15"/>
  <c r="G294" i="15"/>
  <c r="F294" i="15"/>
  <c r="E294" i="15"/>
  <c r="D294" i="15"/>
  <c r="C294" i="15"/>
  <c r="I293" i="15"/>
  <c r="H293" i="15"/>
  <c r="G293" i="15"/>
  <c r="F293" i="15"/>
  <c r="E293" i="15"/>
  <c r="D293" i="15"/>
  <c r="C293" i="15"/>
  <c r="I292" i="15"/>
  <c r="H292" i="15"/>
  <c r="G292" i="15"/>
  <c r="F292" i="15"/>
  <c r="E292" i="15"/>
  <c r="D292" i="15"/>
  <c r="C292" i="15"/>
  <c r="I291" i="15"/>
  <c r="H291" i="15"/>
  <c r="G291" i="15"/>
  <c r="F291" i="15"/>
  <c r="E291" i="15"/>
  <c r="D291" i="15"/>
  <c r="C291" i="15"/>
  <c r="I290" i="15"/>
  <c r="H290" i="15"/>
  <c r="G290" i="15"/>
  <c r="F290" i="15"/>
  <c r="E290" i="15"/>
  <c r="D290" i="15"/>
  <c r="C290" i="15"/>
  <c r="I289" i="15"/>
  <c r="H289" i="15"/>
  <c r="G289" i="15"/>
  <c r="F289" i="15"/>
  <c r="E289" i="15"/>
  <c r="D289" i="15"/>
  <c r="C289" i="15"/>
  <c r="I288" i="15"/>
  <c r="H288" i="15"/>
  <c r="G288" i="15"/>
  <c r="F288" i="15"/>
  <c r="E288" i="15"/>
  <c r="D288" i="15"/>
  <c r="C288" i="15"/>
  <c r="I287" i="15"/>
  <c r="H287" i="15"/>
  <c r="G287" i="15"/>
  <c r="F287" i="15"/>
  <c r="E287" i="15"/>
  <c r="D287" i="15"/>
  <c r="C287" i="15"/>
  <c r="I286" i="15"/>
  <c r="H286" i="15"/>
  <c r="G286" i="15"/>
  <c r="F286" i="15"/>
  <c r="E286" i="15"/>
  <c r="D286" i="15"/>
  <c r="C286" i="15"/>
  <c r="I285" i="15"/>
  <c r="H285" i="15"/>
  <c r="G285" i="15"/>
  <c r="F285" i="15"/>
  <c r="E285" i="15"/>
  <c r="D285" i="15"/>
  <c r="C285" i="15"/>
  <c r="I284" i="15"/>
  <c r="H284" i="15"/>
  <c r="G284" i="15"/>
  <c r="F284" i="15"/>
  <c r="E284" i="15"/>
  <c r="D284" i="15"/>
  <c r="C284" i="15"/>
  <c r="I283" i="15"/>
  <c r="H283" i="15"/>
  <c r="G283" i="15"/>
  <c r="F283" i="15"/>
  <c r="E283" i="15"/>
  <c r="D283" i="15"/>
  <c r="C283" i="15"/>
  <c r="I282" i="15"/>
  <c r="H282" i="15"/>
  <c r="G282" i="15"/>
  <c r="F282" i="15"/>
  <c r="E282" i="15"/>
  <c r="D282" i="15"/>
  <c r="C282" i="15"/>
  <c r="I281" i="15"/>
  <c r="H281" i="15"/>
  <c r="G281" i="15"/>
  <c r="F281" i="15"/>
  <c r="E281" i="15"/>
  <c r="D281" i="15"/>
  <c r="C281" i="15"/>
  <c r="I280" i="15"/>
  <c r="H280" i="15"/>
  <c r="G280" i="15"/>
  <c r="F280" i="15"/>
  <c r="E280" i="15"/>
  <c r="D280" i="15"/>
  <c r="C280" i="15"/>
  <c r="I279" i="15"/>
  <c r="H279" i="15"/>
  <c r="G279" i="15"/>
  <c r="F279" i="15"/>
  <c r="E279" i="15"/>
  <c r="D279" i="15"/>
  <c r="C279" i="15"/>
  <c r="I278" i="15"/>
  <c r="H278" i="15"/>
  <c r="G278" i="15"/>
  <c r="F278" i="15"/>
  <c r="E278" i="15"/>
  <c r="D278" i="15"/>
  <c r="C278" i="15"/>
  <c r="I277" i="15"/>
  <c r="H277" i="15"/>
  <c r="G277" i="15"/>
  <c r="F277" i="15"/>
  <c r="E277" i="15"/>
  <c r="D277" i="15"/>
  <c r="C277" i="15"/>
  <c r="I276" i="15"/>
  <c r="H276" i="15"/>
  <c r="G276" i="15"/>
  <c r="F276" i="15"/>
  <c r="E276" i="15"/>
  <c r="D276" i="15"/>
  <c r="C276" i="15"/>
  <c r="I275" i="15"/>
  <c r="H275" i="15"/>
  <c r="G275" i="15"/>
  <c r="F275" i="15"/>
  <c r="E275" i="15"/>
  <c r="D275" i="15"/>
  <c r="C275" i="15"/>
  <c r="I274" i="15"/>
  <c r="H274" i="15"/>
  <c r="G274" i="15"/>
  <c r="F274" i="15"/>
  <c r="E274" i="15"/>
  <c r="D274" i="15"/>
  <c r="C274" i="15"/>
  <c r="I273" i="15"/>
  <c r="H273" i="15"/>
  <c r="G273" i="15"/>
  <c r="F273" i="15"/>
  <c r="E273" i="15"/>
  <c r="D273" i="15"/>
  <c r="C273" i="15"/>
  <c r="I272" i="15"/>
  <c r="H272" i="15"/>
  <c r="G272" i="15"/>
  <c r="F272" i="15"/>
  <c r="E272" i="15"/>
  <c r="D272" i="15"/>
  <c r="C272" i="15"/>
  <c r="I271" i="15"/>
  <c r="H271" i="15"/>
  <c r="G271" i="15"/>
  <c r="F271" i="15"/>
  <c r="E271" i="15"/>
  <c r="D271" i="15"/>
  <c r="C271" i="15"/>
  <c r="I270" i="15"/>
  <c r="H270" i="15"/>
  <c r="G270" i="15"/>
  <c r="F270" i="15"/>
  <c r="E270" i="15"/>
  <c r="D270" i="15"/>
  <c r="C270" i="15"/>
  <c r="I269" i="15"/>
  <c r="H269" i="15"/>
  <c r="G269" i="15"/>
  <c r="F269" i="15"/>
  <c r="E269" i="15"/>
  <c r="D269" i="15"/>
  <c r="C269" i="15"/>
  <c r="I268" i="15"/>
  <c r="H268" i="15"/>
  <c r="G268" i="15"/>
  <c r="F268" i="15"/>
  <c r="E268" i="15"/>
  <c r="D268" i="15"/>
  <c r="C268" i="15"/>
  <c r="I267" i="15"/>
  <c r="H267" i="15"/>
  <c r="G267" i="15"/>
  <c r="F267" i="15"/>
  <c r="E267" i="15"/>
  <c r="D267" i="15"/>
  <c r="C267" i="15"/>
  <c r="I266" i="15"/>
  <c r="H266" i="15"/>
  <c r="G266" i="15"/>
  <c r="F266" i="15"/>
  <c r="E266" i="15"/>
  <c r="D266" i="15"/>
  <c r="C266" i="15"/>
  <c r="I265" i="15"/>
  <c r="H265" i="15"/>
  <c r="G265" i="15"/>
  <c r="F265" i="15"/>
  <c r="E265" i="15"/>
  <c r="D265" i="15"/>
  <c r="C265" i="15"/>
  <c r="I264" i="15"/>
  <c r="H264" i="15"/>
  <c r="G264" i="15"/>
  <c r="F264" i="15"/>
  <c r="E264" i="15"/>
  <c r="D264" i="15"/>
  <c r="C264" i="15"/>
  <c r="I263" i="15"/>
  <c r="H263" i="15"/>
  <c r="G263" i="15"/>
  <c r="F263" i="15"/>
  <c r="E263" i="15"/>
  <c r="D263" i="15"/>
  <c r="C263" i="15"/>
  <c r="I262" i="15"/>
  <c r="H262" i="15"/>
  <c r="G262" i="15"/>
  <c r="F262" i="15"/>
  <c r="E262" i="15"/>
  <c r="D262" i="15"/>
  <c r="C262" i="15"/>
  <c r="I261" i="15"/>
  <c r="H261" i="15"/>
  <c r="G261" i="15"/>
  <c r="F261" i="15"/>
  <c r="E261" i="15"/>
  <c r="D261" i="15"/>
  <c r="C261" i="15"/>
  <c r="I260" i="15"/>
  <c r="H260" i="15"/>
  <c r="G260" i="15"/>
  <c r="F260" i="15"/>
  <c r="E260" i="15"/>
  <c r="D260" i="15"/>
  <c r="C260" i="15"/>
  <c r="I259" i="15"/>
  <c r="H259" i="15"/>
  <c r="G259" i="15"/>
  <c r="F259" i="15"/>
  <c r="E259" i="15"/>
  <c r="D259" i="15"/>
  <c r="C259" i="15"/>
  <c r="I258" i="15"/>
  <c r="H258" i="15"/>
  <c r="G258" i="15"/>
  <c r="F258" i="15"/>
  <c r="E258" i="15"/>
  <c r="D258" i="15"/>
  <c r="C258" i="15"/>
  <c r="I257" i="15"/>
  <c r="H257" i="15"/>
  <c r="G257" i="15"/>
  <c r="F257" i="15"/>
  <c r="E257" i="15"/>
  <c r="D257" i="15"/>
  <c r="C257" i="15"/>
  <c r="I256" i="15"/>
  <c r="H256" i="15"/>
  <c r="G256" i="15"/>
  <c r="F256" i="15"/>
  <c r="E256" i="15"/>
  <c r="D256" i="15"/>
  <c r="C256" i="15"/>
  <c r="I255" i="15"/>
  <c r="H255" i="15"/>
  <c r="G255" i="15"/>
  <c r="F255" i="15"/>
  <c r="E255" i="15"/>
  <c r="D255" i="15"/>
  <c r="C255" i="15"/>
  <c r="I254" i="15"/>
  <c r="H254" i="15"/>
  <c r="G254" i="15"/>
  <c r="F254" i="15"/>
  <c r="E254" i="15"/>
  <c r="D254" i="15"/>
  <c r="C254" i="15"/>
  <c r="I253" i="15"/>
  <c r="H253" i="15"/>
  <c r="G253" i="15"/>
  <c r="F253" i="15"/>
  <c r="E253" i="15"/>
  <c r="D253" i="15"/>
  <c r="C253" i="15"/>
  <c r="I252" i="15"/>
  <c r="H252" i="15"/>
  <c r="G252" i="15"/>
  <c r="F252" i="15"/>
  <c r="E252" i="15"/>
  <c r="D252" i="15"/>
  <c r="C252" i="15"/>
  <c r="I251" i="15"/>
  <c r="H251" i="15"/>
  <c r="G251" i="15"/>
  <c r="F251" i="15"/>
  <c r="E251" i="15"/>
  <c r="D251" i="15"/>
  <c r="C251" i="15"/>
  <c r="I250" i="15"/>
  <c r="H250" i="15"/>
  <c r="G250" i="15"/>
  <c r="F250" i="15"/>
  <c r="E250" i="15"/>
  <c r="D250" i="15"/>
  <c r="C250" i="15"/>
  <c r="I249" i="15"/>
  <c r="H249" i="15"/>
  <c r="G249" i="15"/>
  <c r="F249" i="15"/>
  <c r="E249" i="15"/>
  <c r="D249" i="15"/>
  <c r="C249" i="15"/>
  <c r="I248" i="15"/>
  <c r="H248" i="15"/>
  <c r="G248" i="15"/>
  <c r="F248" i="15"/>
  <c r="E248" i="15"/>
  <c r="D248" i="15"/>
  <c r="C248" i="15"/>
  <c r="I247" i="15"/>
  <c r="H247" i="15"/>
  <c r="G247" i="15"/>
  <c r="F247" i="15"/>
  <c r="E247" i="15"/>
  <c r="D247" i="15"/>
  <c r="C247" i="15"/>
  <c r="I246" i="15"/>
  <c r="H246" i="15"/>
  <c r="G246" i="15"/>
  <c r="F246" i="15"/>
  <c r="E246" i="15"/>
  <c r="D246" i="15"/>
  <c r="C246" i="15"/>
  <c r="I245" i="15"/>
  <c r="H245" i="15"/>
  <c r="G245" i="15"/>
  <c r="F245" i="15"/>
  <c r="E245" i="15"/>
  <c r="D245" i="15"/>
  <c r="C245" i="15"/>
  <c r="I244" i="15"/>
  <c r="H244" i="15"/>
  <c r="G244" i="15"/>
  <c r="F244" i="15"/>
  <c r="E244" i="15"/>
  <c r="D244" i="15"/>
  <c r="C244" i="15"/>
  <c r="I243" i="15"/>
  <c r="H243" i="15"/>
  <c r="G243" i="15"/>
  <c r="F243" i="15"/>
  <c r="E243" i="15"/>
  <c r="D243" i="15"/>
  <c r="C243" i="15"/>
  <c r="I242" i="15"/>
  <c r="H242" i="15"/>
  <c r="G242" i="15"/>
  <c r="F242" i="15"/>
  <c r="E242" i="15"/>
  <c r="D242" i="15"/>
  <c r="C242" i="15"/>
  <c r="I241" i="15"/>
  <c r="H241" i="15"/>
  <c r="G241" i="15"/>
  <c r="F241" i="15"/>
  <c r="E241" i="15"/>
  <c r="D241" i="15"/>
  <c r="C241" i="15"/>
  <c r="I240" i="15"/>
  <c r="H240" i="15"/>
  <c r="G240" i="15"/>
  <c r="F240" i="15"/>
  <c r="E240" i="15"/>
  <c r="D240" i="15"/>
  <c r="C240" i="15"/>
  <c r="I239" i="15"/>
  <c r="H239" i="15"/>
  <c r="G239" i="15"/>
  <c r="F239" i="15"/>
  <c r="E239" i="15"/>
  <c r="D239" i="15"/>
  <c r="C239" i="15"/>
  <c r="I238" i="15"/>
  <c r="H238" i="15"/>
  <c r="G238" i="15"/>
  <c r="F238" i="15"/>
  <c r="E238" i="15"/>
  <c r="D238" i="15"/>
  <c r="C238" i="15"/>
  <c r="I237" i="15"/>
  <c r="H237" i="15"/>
  <c r="G237" i="15"/>
  <c r="F237" i="15"/>
  <c r="E237" i="15"/>
  <c r="D237" i="15"/>
  <c r="C237" i="15"/>
  <c r="I236" i="15"/>
  <c r="H236" i="15"/>
  <c r="G236" i="15"/>
  <c r="F236" i="15"/>
  <c r="E236" i="15"/>
  <c r="D236" i="15"/>
  <c r="C236" i="15"/>
  <c r="I235" i="15"/>
  <c r="H235" i="15"/>
  <c r="G235" i="15"/>
  <c r="F235" i="15"/>
  <c r="E235" i="15"/>
  <c r="D235" i="15"/>
  <c r="C235" i="15"/>
  <c r="I234" i="15"/>
  <c r="H234" i="15"/>
  <c r="G234" i="15"/>
  <c r="F234" i="15"/>
  <c r="E234" i="15"/>
  <c r="D234" i="15"/>
  <c r="C234" i="15"/>
  <c r="I233" i="15"/>
  <c r="H233" i="15"/>
  <c r="G233" i="15"/>
  <c r="F233" i="15"/>
  <c r="E233" i="15"/>
  <c r="D233" i="15"/>
  <c r="C233" i="15"/>
  <c r="I232" i="15"/>
  <c r="H232" i="15"/>
  <c r="G232" i="15"/>
  <c r="F232" i="15"/>
  <c r="E232" i="15"/>
  <c r="D232" i="15"/>
  <c r="C232" i="15"/>
  <c r="I231" i="15"/>
  <c r="H231" i="15"/>
  <c r="G231" i="15"/>
  <c r="F231" i="15"/>
  <c r="E231" i="15"/>
  <c r="D231" i="15"/>
  <c r="C231" i="15"/>
  <c r="I230" i="15"/>
  <c r="H230" i="15"/>
  <c r="G230" i="15"/>
  <c r="F230" i="15"/>
  <c r="E230" i="15"/>
  <c r="D230" i="15"/>
  <c r="C230" i="15"/>
  <c r="I229" i="15"/>
  <c r="H229" i="15"/>
  <c r="G229" i="15"/>
  <c r="F229" i="15"/>
  <c r="E229" i="15"/>
  <c r="D229" i="15"/>
  <c r="C229" i="15"/>
  <c r="I228" i="15"/>
  <c r="H228" i="15"/>
  <c r="G228" i="15"/>
  <c r="F228" i="15"/>
  <c r="E228" i="15"/>
  <c r="D228" i="15"/>
  <c r="C228" i="15"/>
  <c r="I227" i="15"/>
  <c r="H227" i="15"/>
  <c r="G227" i="15"/>
  <c r="F227" i="15"/>
  <c r="E227" i="15"/>
  <c r="D227" i="15"/>
  <c r="C227" i="15"/>
  <c r="I226" i="15"/>
  <c r="H226" i="15"/>
  <c r="G226" i="15"/>
  <c r="F226" i="15"/>
  <c r="E226" i="15"/>
  <c r="D226" i="15"/>
  <c r="C226" i="15"/>
  <c r="I225" i="15"/>
  <c r="H225" i="15"/>
  <c r="G225" i="15"/>
  <c r="F225" i="15"/>
  <c r="E225" i="15"/>
  <c r="D225" i="15"/>
  <c r="C225" i="15"/>
  <c r="I224" i="15"/>
  <c r="H224" i="15"/>
  <c r="G224" i="15"/>
  <c r="F224" i="15"/>
  <c r="E224" i="15"/>
  <c r="D224" i="15"/>
  <c r="C224" i="15"/>
  <c r="I223" i="15"/>
  <c r="H223" i="15"/>
  <c r="G223" i="15"/>
  <c r="F223" i="15"/>
  <c r="E223" i="15"/>
  <c r="D223" i="15"/>
  <c r="C223" i="15"/>
  <c r="I222" i="15"/>
  <c r="H222" i="15"/>
  <c r="G222" i="15"/>
  <c r="F222" i="15"/>
  <c r="E222" i="15"/>
  <c r="D222" i="15"/>
  <c r="C222" i="15"/>
  <c r="I221" i="15"/>
  <c r="H221" i="15"/>
  <c r="G221" i="15"/>
  <c r="F221" i="15"/>
  <c r="E221" i="15"/>
  <c r="D221" i="15"/>
  <c r="C221" i="15"/>
  <c r="I220" i="15"/>
  <c r="H220" i="15"/>
  <c r="G220" i="15"/>
  <c r="F220" i="15"/>
  <c r="E220" i="15"/>
  <c r="D220" i="15"/>
  <c r="C220" i="15"/>
  <c r="I219" i="15"/>
  <c r="H219" i="15"/>
  <c r="G219" i="15"/>
  <c r="F219" i="15"/>
  <c r="E219" i="15"/>
  <c r="D219" i="15"/>
  <c r="C219" i="15"/>
  <c r="I218" i="15"/>
  <c r="H218" i="15"/>
  <c r="G218" i="15"/>
  <c r="F218" i="15"/>
  <c r="E218" i="15"/>
  <c r="D218" i="15"/>
  <c r="C218" i="15"/>
  <c r="I217" i="15"/>
  <c r="H217" i="15"/>
  <c r="G217" i="15"/>
  <c r="F217" i="15"/>
  <c r="E217" i="15"/>
  <c r="D217" i="15"/>
  <c r="C217" i="15"/>
  <c r="I216" i="15"/>
  <c r="H216" i="15"/>
  <c r="G216" i="15"/>
  <c r="F216" i="15"/>
  <c r="E216" i="15"/>
  <c r="D216" i="15"/>
  <c r="C216" i="15"/>
  <c r="I215" i="15"/>
  <c r="H215" i="15"/>
  <c r="G215" i="15"/>
  <c r="F215" i="15"/>
  <c r="E215" i="15"/>
  <c r="D215" i="15"/>
  <c r="C215" i="15"/>
  <c r="I214" i="15"/>
  <c r="H214" i="15"/>
  <c r="G214" i="15"/>
  <c r="F214" i="15"/>
  <c r="E214" i="15"/>
  <c r="D214" i="15"/>
  <c r="C214" i="15"/>
  <c r="I213" i="15"/>
  <c r="H213" i="15"/>
  <c r="G213" i="15"/>
  <c r="F213" i="15"/>
  <c r="E213" i="15"/>
  <c r="D213" i="15"/>
  <c r="C213" i="15"/>
  <c r="I212" i="15"/>
  <c r="H212" i="15"/>
  <c r="G212" i="15"/>
  <c r="F212" i="15"/>
  <c r="E212" i="15"/>
  <c r="D212" i="15"/>
  <c r="C212" i="15"/>
  <c r="I211" i="15"/>
  <c r="H211" i="15"/>
  <c r="G211" i="15"/>
  <c r="F211" i="15"/>
  <c r="E211" i="15"/>
  <c r="D211" i="15"/>
  <c r="C211" i="15"/>
  <c r="I210" i="15"/>
  <c r="H210" i="15"/>
  <c r="G210" i="15"/>
  <c r="F210" i="15"/>
  <c r="E210" i="15"/>
  <c r="D210" i="15"/>
  <c r="C210" i="15"/>
  <c r="I209" i="15"/>
  <c r="H209" i="15"/>
  <c r="G209" i="15"/>
  <c r="F209" i="15"/>
  <c r="E209" i="15"/>
  <c r="D209" i="15"/>
  <c r="C209" i="15"/>
  <c r="I208" i="15"/>
  <c r="H208" i="15"/>
  <c r="G208" i="15"/>
  <c r="F208" i="15"/>
  <c r="E208" i="15"/>
  <c r="D208" i="15"/>
  <c r="C208" i="15"/>
  <c r="I207" i="15"/>
  <c r="H207" i="15"/>
  <c r="G207" i="15"/>
  <c r="F207" i="15"/>
  <c r="E207" i="15"/>
  <c r="D207" i="15"/>
  <c r="C207" i="15"/>
  <c r="I206" i="15"/>
  <c r="H206" i="15"/>
  <c r="G206" i="15"/>
  <c r="F206" i="15"/>
  <c r="E206" i="15"/>
  <c r="D206" i="15"/>
  <c r="C206" i="15"/>
  <c r="I205" i="15"/>
  <c r="H205" i="15"/>
  <c r="G205" i="15"/>
  <c r="F205" i="15"/>
  <c r="E205" i="15"/>
  <c r="D205" i="15"/>
  <c r="C205" i="15"/>
  <c r="I204" i="15"/>
  <c r="H204" i="15"/>
  <c r="G204" i="15"/>
  <c r="F204" i="15"/>
  <c r="E204" i="15"/>
  <c r="D204" i="15"/>
  <c r="C204" i="15"/>
  <c r="I203" i="15"/>
  <c r="H203" i="15"/>
  <c r="G203" i="15"/>
  <c r="F203" i="15"/>
  <c r="E203" i="15"/>
  <c r="D203" i="15"/>
  <c r="C203" i="15"/>
  <c r="I202" i="15"/>
  <c r="H202" i="15"/>
  <c r="G202" i="15"/>
  <c r="F202" i="15"/>
  <c r="E202" i="15"/>
  <c r="D202" i="15"/>
  <c r="C202" i="15"/>
  <c r="I201" i="15"/>
  <c r="H201" i="15"/>
  <c r="G201" i="15"/>
  <c r="F201" i="15"/>
  <c r="E201" i="15"/>
  <c r="D201" i="15"/>
  <c r="C201" i="15"/>
  <c r="I200" i="15"/>
  <c r="H200" i="15"/>
  <c r="G200" i="15"/>
  <c r="F200" i="15"/>
  <c r="E200" i="15"/>
  <c r="D200" i="15"/>
  <c r="C200" i="15"/>
  <c r="I199" i="15"/>
  <c r="H199" i="15"/>
  <c r="G199" i="15"/>
  <c r="F199" i="15"/>
  <c r="E199" i="15"/>
  <c r="D199" i="15"/>
  <c r="C199" i="15"/>
  <c r="I198" i="15"/>
  <c r="H198" i="15"/>
  <c r="G198" i="15"/>
  <c r="F198" i="15"/>
  <c r="E198" i="15"/>
  <c r="D198" i="15"/>
  <c r="C198" i="15"/>
  <c r="I197" i="15"/>
  <c r="H197" i="15"/>
  <c r="G197" i="15"/>
  <c r="F197" i="15"/>
  <c r="E197" i="15"/>
  <c r="D197" i="15"/>
  <c r="C197" i="15"/>
  <c r="I196" i="15"/>
  <c r="H196" i="15"/>
  <c r="G196" i="15"/>
  <c r="F196" i="15"/>
  <c r="E196" i="15"/>
  <c r="D196" i="15"/>
  <c r="C196" i="15"/>
  <c r="I195" i="15"/>
  <c r="H195" i="15"/>
  <c r="G195" i="15"/>
  <c r="F195" i="15"/>
  <c r="E195" i="15"/>
  <c r="D195" i="15"/>
  <c r="C195" i="15"/>
  <c r="I194" i="15"/>
  <c r="H194" i="15"/>
  <c r="G194" i="15"/>
  <c r="F194" i="15"/>
  <c r="E194" i="15"/>
  <c r="D194" i="15"/>
  <c r="C194" i="15"/>
  <c r="I193" i="15"/>
  <c r="H193" i="15"/>
  <c r="G193" i="15"/>
  <c r="F193" i="15"/>
  <c r="E193" i="15"/>
  <c r="D193" i="15"/>
  <c r="C193" i="15"/>
  <c r="I192" i="15"/>
  <c r="H192" i="15"/>
  <c r="G192" i="15"/>
  <c r="F192" i="15"/>
  <c r="E192" i="15"/>
  <c r="D192" i="15"/>
  <c r="C192" i="15"/>
  <c r="I191" i="15"/>
  <c r="H191" i="15"/>
  <c r="G191" i="15"/>
  <c r="F191" i="15"/>
  <c r="E191" i="15"/>
  <c r="D191" i="15"/>
  <c r="C191" i="15"/>
  <c r="I190" i="15"/>
  <c r="H190" i="15"/>
  <c r="G190" i="15"/>
  <c r="F190" i="15"/>
  <c r="E190" i="15"/>
  <c r="D190" i="15"/>
  <c r="C190" i="15"/>
  <c r="I189" i="15"/>
  <c r="H189" i="15"/>
  <c r="G189" i="15"/>
  <c r="F189" i="15"/>
  <c r="E189" i="15"/>
  <c r="D189" i="15"/>
  <c r="C189" i="15"/>
  <c r="I188" i="15"/>
  <c r="H188" i="15"/>
  <c r="G188" i="15"/>
  <c r="F188" i="15"/>
  <c r="E188" i="15"/>
  <c r="D188" i="15"/>
  <c r="C188" i="15"/>
  <c r="I187" i="15"/>
  <c r="H187" i="15"/>
  <c r="G187" i="15"/>
  <c r="F187" i="15"/>
  <c r="E187" i="15"/>
  <c r="D187" i="15"/>
  <c r="C187" i="15"/>
  <c r="I186" i="15"/>
  <c r="H186" i="15"/>
  <c r="G186" i="15"/>
  <c r="F186" i="15"/>
  <c r="E186" i="15"/>
  <c r="D186" i="15"/>
  <c r="C186" i="15"/>
  <c r="I185" i="15"/>
  <c r="H185" i="15"/>
  <c r="G185" i="15"/>
  <c r="F185" i="15"/>
  <c r="E185" i="15"/>
  <c r="D185" i="15"/>
  <c r="C185" i="15"/>
  <c r="I184" i="15"/>
  <c r="H184" i="15"/>
  <c r="G184" i="15"/>
  <c r="F184" i="15"/>
  <c r="E184" i="15"/>
  <c r="D184" i="15"/>
  <c r="C184" i="15"/>
  <c r="I183" i="15"/>
  <c r="H183" i="15"/>
  <c r="G183" i="15"/>
  <c r="F183" i="15"/>
  <c r="E183" i="15"/>
  <c r="D183" i="15"/>
  <c r="C183" i="15"/>
  <c r="I182" i="15"/>
  <c r="H182" i="15"/>
  <c r="G182" i="15"/>
  <c r="F182" i="15"/>
  <c r="E182" i="15"/>
  <c r="D182" i="15"/>
  <c r="C182" i="15"/>
  <c r="I181" i="15"/>
  <c r="H181" i="15"/>
  <c r="G181" i="15"/>
  <c r="F181" i="15"/>
  <c r="E181" i="15"/>
  <c r="D181" i="15"/>
  <c r="C181" i="15"/>
  <c r="I180" i="15"/>
  <c r="H180" i="15"/>
  <c r="G180" i="15"/>
  <c r="F180" i="15"/>
  <c r="E180" i="15"/>
  <c r="D180" i="15"/>
  <c r="C180" i="15"/>
  <c r="I179" i="15"/>
  <c r="H179" i="15"/>
  <c r="G179" i="15"/>
  <c r="F179" i="15"/>
  <c r="E179" i="15"/>
  <c r="D179" i="15"/>
  <c r="C179" i="15"/>
  <c r="I178" i="15"/>
  <c r="H178" i="15"/>
  <c r="G178" i="15"/>
  <c r="F178" i="15"/>
  <c r="E178" i="15"/>
  <c r="D178" i="15"/>
  <c r="C178" i="15"/>
  <c r="I177" i="15"/>
  <c r="H177" i="15"/>
  <c r="G177" i="15"/>
  <c r="F177" i="15"/>
  <c r="E177" i="15"/>
  <c r="D177" i="15"/>
  <c r="C177" i="15"/>
  <c r="I176" i="15"/>
  <c r="H176" i="15"/>
  <c r="G176" i="15"/>
  <c r="F176" i="15"/>
  <c r="E176" i="15"/>
  <c r="D176" i="15"/>
  <c r="C176" i="15"/>
  <c r="I175" i="15"/>
  <c r="H175" i="15"/>
  <c r="G175" i="15"/>
  <c r="F175" i="15"/>
  <c r="E175" i="15"/>
  <c r="D175" i="15"/>
  <c r="C175" i="15"/>
  <c r="I174" i="15"/>
  <c r="H174" i="15"/>
  <c r="G174" i="15"/>
  <c r="F174" i="15"/>
  <c r="E174" i="15"/>
  <c r="D174" i="15"/>
  <c r="C174" i="15"/>
  <c r="I173" i="15"/>
  <c r="H173" i="15"/>
  <c r="G173" i="15"/>
  <c r="F173" i="15"/>
  <c r="E173" i="15"/>
  <c r="D173" i="15"/>
  <c r="C173" i="15"/>
  <c r="I172" i="15"/>
  <c r="H172" i="15"/>
  <c r="G172" i="15"/>
  <c r="F172" i="15"/>
  <c r="E172" i="15"/>
  <c r="D172" i="15"/>
  <c r="C172" i="15"/>
  <c r="I171" i="15"/>
  <c r="H171" i="15"/>
  <c r="G171" i="15"/>
  <c r="F171" i="15"/>
  <c r="E171" i="15"/>
  <c r="D171" i="15"/>
  <c r="C171" i="15"/>
  <c r="I170" i="15"/>
  <c r="H170" i="15"/>
  <c r="G170" i="15"/>
  <c r="F170" i="15"/>
  <c r="E170" i="15"/>
  <c r="D170" i="15"/>
  <c r="C170" i="15"/>
  <c r="I169" i="15"/>
  <c r="H169" i="15"/>
  <c r="G169" i="15"/>
  <c r="F169" i="15"/>
  <c r="E169" i="15"/>
  <c r="D169" i="15"/>
  <c r="C169" i="15"/>
  <c r="I168" i="15"/>
  <c r="H168" i="15"/>
  <c r="G168" i="15"/>
  <c r="F168" i="15"/>
  <c r="E168" i="15"/>
  <c r="D168" i="15"/>
  <c r="C168" i="15"/>
  <c r="I167" i="15"/>
  <c r="H167" i="15"/>
  <c r="G167" i="15"/>
  <c r="F167" i="15"/>
  <c r="E167" i="15"/>
  <c r="D167" i="15"/>
  <c r="C167" i="15"/>
  <c r="I166" i="15"/>
  <c r="H166" i="15"/>
  <c r="G166" i="15"/>
  <c r="F166" i="15"/>
  <c r="E166" i="15"/>
  <c r="D166" i="15"/>
  <c r="C166" i="15"/>
  <c r="I165" i="15"/>
  <c r="H165" i="15"/>
  <c r="G165" i="15"/>
  <c r="F165" i="15"/>
  <c r="E165" i="15"/>
  <c r="D165" i="15"/>
  <c r="C165" i="15"/>
  <c r="I164" i="15"/>
  <c r="H164" i="15"/>
  <c r="G164" i="15"/>
  <c r="F164" i="15"/>
  <c r="E164" i="15"/>
  <c r="D164" i="15"/>
  <c r="C164" i="15"/>
  <c r="I163" i="15"/>
  <c r="H163" i="15"/>
  <c r="G163" i="15"/>
  <c r="F163" i="15"/>
  <c r="E163" i="15"/>
  <c r="D163" i="15"/>
  <c r="C163" i="15"/>
  <c r="I162" i="15"/>
  <c r="H162" i="15"/>
  <c r="G162" i="15"/>
  <c r="F162" i="15"/>
  <c r="E162" i="15"/>
  <c r="D162" i="15"/>
  <c r="C162" i="15"/>
  <c r="I161" i="15"/>
  <c r="H161" i="15"/>
  <c r="G161" i="15"/>
  <c r="F161" i="15"/>
  <c r="E161" i="15"/>
  <c r="D161" i="15"/>
  <c r="C161" i="15"/>
  <c r="I160" i="15"/>
  <c r="H160" i="15"/>
  <c r="G160" i="15"/>
  <c r="F160" i="15"/>
  <c r="E160" i="15"/>
  <c r="D160" i="15"/>
  <c r="C160" i="15"/>
  <c r="I159" i="15"/>
  <c r="H159" i="15"/>
  <c r="G159" i="15"/>
  <c r="F159" i="15"/>
  <c r="E159" i="15"/>
  <c r="D159" i="15"/>
  <c r="C159" i="15"/>
  <c r="I158" i="15"/>
  <c r="H158" i="15"/>
  <c r="G158" i="15"/>
  <c r="F158" i="15"/>
  <c r="E158" i="15"/>
  <c r="D158" i="15"/>
  <c r="C158" i="15"/>
  <c r="I157" i="15"/>
  <c r="H157" i="15"/>
  <c r="G157" i="15"/>
  <c r="F157" i="15"/>
  <c r="E157" i="15"/>
  <c r="D157" i="15"/>
  <c r="C157" i="15"/>
  <c r="I156" i="15"/>
  <c r="H156" i="15"/>
  <c r="G156" i="15"/>
  <c r="F156" i="15"/>
  <c r="E156" i="15"/>
  <c r="D156" i="15"/>
  <c r="C156" i="15"/>
  <c r="I155" i="15"/>
  <c r="H155" i="15"/>
  <c r="G155" i="15"/>
  <c r="F155" i="15"/>
  <c r="E155" i="15"/>
  <c r="D155" i="15"/>
  <c r="C155" i="15"/>
  <c r="I154" i="15"/>
  <c r="H154" i="15"/>
  <c r="G154" i="15"/>
  <c r="F154" i="15"/>
  <c r="E154" i="15"/>
  <c r="D154" i="15"/>
  <c r="C154" i="15"/>
  <c r="I153" i="15"/>
  <c r="H153" i="15"/>
  <c r="G153" i="15"/>
  <c r="F153" i="15"/>
  <c r="E153" i="15"/>
  <c r="D153" i="15"/>
  <c r="C153" i="15"/>
  <c r="I152" i="15"/>
  <c r="H152" i="15"/>
  <c r="G152" i="15"/>
  <c r="F152" i="15"/>
  <c r="E152" i="15"/>
  <c r="D152" i="15"/>
  <c r="C152" i="15"/>
  <c r="I151" i="15"/>
  <c r="H151" i="15"/>
  <c r="G151" i="15"/>
  <c r="F151" i="15"/>
  <c r="E151" i="15"/>
  <c r="D151" i="15"/>
  <c r="C151" i="15"/>
  <c r="I150" i="15"/>
  <c r="H150" i="15"/>
  <c r="G150" i="15"/>
  <c r="F150" i="15"/>
  <c r="E150" i="15"/>
  <c r="D150" i="15"/>
  <c r="C150" i="15"/>
  <c r="I149" i="15"/>
  <c r="H149" i="15"/>
  <c r="G149" i="15"/>
  <c r="F149" i="15"/>
  <c r="E149" i="15"/>
  <c r="D149" i="15"/>
  <c r="C149" i="15"/>
  <c r="I148" i="15"/>
  <c r="H148" i="15"/>
  <c r="G148" i="15"/>
  <c r="F148" i="15"/>
  <c r="E148" i="15"/>
  <c r="D148" i="15"/>
  <c r="C148" i="15"/>
  <c r="I147" i="15"/>
  <c r="H147" i="15"/>
  <c r="G147" i="15"/>
  <c r="F147" i="15"/>
  <c r="E147" i="15"/>
  <c r="D147" i="15"/>
  <c r="C147" i="15"/>
  <c r="I146" i="15"/>
  <c r="H146" i="15"/>
  <c r="G146" i="15"/>
  <c r="F146" i="15"/>
  <c r="E146" i="15"/>
  <c r="D146" i="15"/>
  <c r="C146" i="15"/>
  <c r="I145" i="15"/>
  <c r="H145" i="15"/>
  <c r="G145" i="15"/>
  <c r="F145" i="15"/>
  <c r="E145" i="15"/>
  <c r="D145" i="15"/>
  <c r="C145" i="15"/>
  <c r="I144" i="15"/>
  <c r="H144" i="15"/>
  <c r="G144" i="15"/>
  <c r="F144" i="15"/>
  <c r="E144" i="15"/>
  <c r="D144" i="15"/>
  <c r="C144" i="15"/>
  <c r="I143" i="15"/>
  <c r="H143" i="15"/>
  <c r="G143" i="15"/>
  <c r="F143" i="15"/>
  <c r="E143" i="15"/>
  <c r="D143" i="15"/>
  <c r="C143" i="15"/>
  <c r="I142" i="15"/>
  <c r="H142" i="15"/>
  <c r="G142" i="15"/>
  <c r="F142" i="15"/>
  <c r="E142" i="15"/>
  <c r="D142" i="15"/>
  <c r="C142" i="15"/>
  <c r="I141" i="15"/>
  <c r="H141" i="15"/>
  <c r="G141" i="15"/>
  <c r="F141" i="15"/>
  <c r="E141" i="15"/>
  <c r="D141" i="15"/>
  <c r="C141" i="15"/>
  <c r="I140" i="15"/>
  <c r="H140" i="15"/>
  <c r="G140" i="15"/>
  <c r="F140" i="15"/>
  <c r="E140" i="15"/>
  <c r="D140" i="15"/>
  <c r="C140" i="15"/>
  <c r="I139" i="15"/>
  <c r="H139" i="15"/>
  <c r="G139" i="15"/>
  <c r="F139" i="15"/>
  <c r="E139" i="15"/>
  <c r="D139" i="15"/>
  <c r="C139" i="15"/>
  <c r="I138" i="15"/>
  <c r="H138" i="15"/>
  <c r="G138" i="15"/>
  <c r="F138" i="15"/>
  <c r="E138" i="15"/>
  <c r="D138" i="15"/>
  <c r="C138" i="15"/>
  <c r="I137" i="15"/>
  <c r="H137" i="15"/>
  <c r="G137" i="15"/>
  <c r="F137" i="15"/>
  <c r="E137" i="15"/>
  <c r="D137" i="15"/>
  <c r="C137" i="15"/>
  <c r="I136" i="15"/>
  <c r="H136" i="15"/>
  <c r="G136" i="15"/>
  <c r="F136" i="15"/>
  <c r="E136" i="15"/>
  <c r="D136" i="15"/>
  <c r="C136" i="15"/>
  <c r="I135" i="15"/>
  <c r="H135" i="15"/>
  <c r="G135" i="15"/>
  <c r="F135" i="15"/>
  <c r="E135" i="15"/>
  <c r="D135" i="15"/>
  <c r="C135" i="15"/>
  <c r="I134" i="15"/>
  <c r="H134" i="15"/>
  <c r="G134" i="15"/>
  <c r="F134" i="15"/>
  <c r="E134" i="15"/>
  <c r="D134" i="15"/>
  <c r="C134" i="15"/>
  <c r="I133" i="15"/>
  <c r="H133" i="15"/>
  <c r="G133" i="15"/>
  <c r="F133" i="15"/>
  <c r="E133" i="15"/>
  <c r="D133" i="15"/>
  <c r="C133" i="15"/>
  <c r="I132" i="15"/>
  <c r="H132" i="15"/>
  <c r="G132" i="15"/>
  <c r="F132" i="15"/>
  <c r="E132" i="15"/>
  <c r="D132" i="15"/>
  <c r="C132" i="15"/>
  <c r="I131" i="15"/>
  <c r="H131" i="15"/>
  <c r="G131" i="15"/>
  <c r="F131" i="15"/>
  <c r="E131" i="15"/>
  <c r="D131" i="15"/>
  <c r="C131" i="15"/>
  <c r="I130" i="15"/>
  <c r="H130" i="15"/>
  <c r="G130" i="15"/>
  <c r="F130" i="15"/>
  <c r="E130" i="15"/>
  <c r="D130" i="15"/>
  <c r="C130" i="15"/>
  <c r="I129" i="15"/>
  <c r="H129" i="15"/>
  <c r="G129" i="15"/>
  <c r="F129" i="15"/>
  <c r="E129" i="15"/>
  <c r="D129" i="15"/>
  <c r="C129" i="15"/>
  <c r="I128" i="15"/>
  <c r="H128" i="15"/>
  <c r="G128" i="15"/>
  <c r="F128" i="15"/>
  <c r="E128" i="15"/>
  <c r="D128" i="15"/>
  <c r="C128" i="15"/>
  <c r="I127" i="15"/>
  <c r="H127" i="15"/>
  <c r="G127" i="15"/>
  <c r="F127" i="15"/>
  <c r="E127" i="15"/>
  <c r="D127" i="15"/>
  <c r="C127" i="15"/>
  <c r="I126" i="15"/>
  <c r="H126" i="15"/>
  <c r="G126" i="15"/>
  <c r="F126" i="15"/>
  <c r="E126" i="15"/>
  <c r="D126" i="15"/>
  <c r="C126" i="15"/>
  <c r="I125" i="15"/>
  <c r="H125" i="15"/>
  <c r="G125" i="15"/>
  <c r="F125" i="15"/>
  <c r="E125" i="15"/>
  <c r="D125" i="15"/>
  <c r="C125" i="15"/>
  <c r="I124" i="15"/>
  <c r="H124" i="15"/>
  <c r="G124" i="15"/>
  <c r="F124" i="15"/>
  <c r="E124" i="15"/>
  <c r="D124" i="15"/>
  <c r="C124" i="15"/>
  <c r="I123" i="15"/>
  <c r="H123" i="15"/>
  <c r="G123" i="15"/>
  <c r="F123" i="15"/>
  <c r="E123" i="15"/>
  <c r="D123" i="15"/>
  <c r="C123" i="15"/>
  <c r="I122" i="15"/>
  <c r="H122" i="15"/>
  <c r="G122" i="15"/>
  <c r="F122" i="15"/>
  <c r="E122" i="15"/>
  <c r="D122" i="15"/>
  <c r="C122" i="15"/>
  <c r="I121" i="15"/>
  <c r="H121" i="15"/>
  <c r="G121" i="15"/>
  <c r="F121" i="15"/>
  <c r="E121" i="15"/>
  <c r="D121" i="15"/>
  <c r="C121" i="15"/>
  <c r="I120" i="15"/>
  <c r="H120" i="15"/>
  <c r="G120" i="15"/>
  <c r="F120" i="15"/>
  <c r="E120" i="15"/>
  <c r="D120" i="15"/>
  <c r="C120" i="15"/>
  <c r="I119" i="15"/>
  <c r="H119" i="15"/>
  <c r="G119" i="15"/>
  <c r="F119" i="15"/>
  <c r="E119" i="15"/>
  <c r="D119" i="15"/>
  <c r="C119" i="15"/>
  <c r="I118" i="15"/>
  <c r="H118" i="15"/>
  <c r="G118" i="15"/>
  <c r="F118" i="15"/>
  <c r="E118" i="15"/>
  <c r="D118" i="15"/>
  <c r="C118" i="15"/>
  <c r="I117" i="15"/>
  <c r="H117" i="15"/>
  <c r="G117" i="15"/>
  <c r="F117" i="15"/>
  <c r="E117" i="15"/>
  <c r="D117" i="15"/>
  <c r="C117" i="15"/>
  <c r="I116" i="15"/>
  <c r="H116" i="15"/>
  <c r="G116" i="15"/>
  <c r="F116" i="15"/>
  <c r="E116" i="15"/>
  <c r="D116" i="15"/>
  <c r="C116" i="15"/>
  <c r="I115" i="15"/>
  <c r="H115" i="15"/>
  <c r="G115" i="15"/>
  <c r="F115" i="15"/>
  <c r="E115" i="15"/>
  <c r="D115" i="15"/>
  <c r="C115" i="15"/>
  <c r="I114" i="15"/>
  <c r="H114" i="15"/>
  <c r="G114" i="15"/>
  <c r="F114" i="15"/>
  <c r="E114" i="15"/>
  <c r="D114" i="15"/>
  <c r="C114" i="15"/>
  <c r="I113" i="15"/>
  <c r="H113" i="15"/>
  <c r="G113" i="15"/>
  <c r="F113" i="15"/>
  <c r="E113" i="15"/>
  <c r="D113" i="15"/>
  <c r="C113" i="15"/>
  <c r="I112" i="15"/>
  <c r="H112" i="15"/>
  <c r="G112" i="15"/>
  <c r="F112" i="15"/>
  <c r="E112" i="15"/>
  <c r="D112" i="15"/>
  <c r="C112" i="15"/>
  <c r="I111" i="15"/>
  <c r="H111" i="15"/>
  <c r="G111" i="15"/>
  <c r="F111" i="15"/>
  <c r="E111" i="15"/>
  <c r="D111" i="15"/>
  <c r="C111" i="15"/>
  <c r="I110" i="15"/>
  <c r="H110" i="15"/>
  <c r="G110" i="15"/>
  <c r="F110" i="15"/>
  <c r="E110" i="15"/>
  <c r="D110" i="15"/>
  <c r="C110" i="15"/>
  <c r="I109" i="15"/>
  <c r="H109" i="15"/>
  <c r="G109" i="15"/>
  <c r="F109" i="15"/>
  <c r="E109" i="15"/>
  <c r="D109" i="15"/>
  <c r="C109" i="15"/>
  <c r="I108" i="15"/>
  <c r="H108" i="15"/>
  <c r="G108" i="15"/>
  <c r="F108" i="15"/>
  <c r="E108" i="15"/>
  <c r="D108" i="15"/>
  <c r="C108" i="15"/>
  <c r="I107" i="15"/>
  <c r="H107" i="15"/>
  <c r="G107" i="15"/>
  <c r="F107" i="15"/>
  <c r="E107" i="15"/>
  <c r="D107" i="15"/>
  <c r="C107" i="15"/>
  <c r="I106" i="15"/>
  <c r="H106" i="15"/>
  <c r="G106" i="15"/>
  <c r="F106" i="15"/>
  <c r="E106" i="15"/>
  <c r="D106" i="15"/>
  <c r="C106" i="15"/>
  <c r="I105" i="15"/>
  <c r="H105" i="15"/>
  <c r="G105" i="15"/>
  <c r="F105" i="15"/>
  <c r="E105" i="15"/>
  <c r="D105" i="15"/>
  <c r="C105" i="15"/>
  <c r="I104" i="15"/>
  <c r="H104" i="15"/>
  <c r="G104" i="15"/>
  <c r="F104" i="15"/>
  <c r="E104" i="15"/>
  <c r="D104" i="15"/>
  <c r="C104" i="15"/>
  <c r="I103" i="15"/>
  <c r="H103" i="15"/>
  <c r="G103" i="15"/>
  <c r="F103" i="15"/>
  <c r="E103" i="15"/>
  <c r="D103" i="15"/>
  <c r="C103" i="15"/>
  <c r="I102" i="15"/>
  <c r="H102" i="15"/>
  <c r="G102" i="15"/>
  <c r="F102" i="15"/>
  <c r="E102" i="15"/>
  <c r="D102" i="15"/>
  <c r="C102" i="15"/>
  <c r="I101" i="15"/>
  <c r="H101" i="15"/>
  <c r="G101" i="15"/>
  <c r="F101" i="15"/>
  <c r="E101" i="15"/>
  <c r="D101" i="15"/>
  <c r="C101" i="15"/>
  <c r="I100" i="15"/>
  <c r="H100" i="15"/>
  <c r="G100" i="15"/>
  <c r="F100" i="15"/>
  <c r="E100" i="15"/>
  <c r="D100" i="15"/>
  <c r="C100" i="15"/>
  <c r="I99" i="15"/>
  <c r="H99" i="15"/>
  <c r="G99" i="15"/>
  <c r="F99" i="15"/>
  <c r="E99" i="15"/>
  <c r="D99" i="15"/>
  <c r="C99" i="15"/>
  <c r="I98" i="15"/>
  <c r="H98" i="15"/>
  <c r="G98" i="15"/>
  <c r="F98" i="15"/>
  <c r="E98" i="15"/>
  <c r="D98" i="15"/>
  <c r="C98" i="15"/>
  <c r="I97" i="15"/>
  <c r="H97" i="15"/>
  <c r="G97" i="15"/>
  <c r="F97" i="15"/>
  <c r="E97" i="15"/>
  <c r="D97" i="15"/>
  <c r="C97" i="15"/>
  <c r="I96" i="15"/>
  <c r="H96" i="15"/>
  <c r="G96" i="15"/>
  <c r="F96" i="15"/>
  <c r="E96" i="15"/>
  <c r="D96" i="15"/>
  <c r="C96" i="15"/>
  <c r="I95" i="15"/>
  <c r="H95" i="15"/>
  <c r="G95" i="15"/>
  <c r="F95" i="15"/>
  <c r="E95" i="15"/>
  <c r="D95" i="15"/>
  <c r="C95" i="15"/>
  <c r="I94" i="15"/>
  <c r="H94" i="15"/>
  <c r="G94" i="15"/>
  <c r="F94" i="15"/>
  <c r="E94" i="15"/>
  <c r="D94" i="15"/>
  <c r="C94" i="15"/>
  <c r="I93" i="15"/>
  <c r="H93" i="15"/>
  <c r="G93" i="15"/>
  <c r="F93" i="15"/>
  <c r="E93" i="15"/>
  <c r="D93" i="15"/>
  <c r="C93" i="15"/>
  <c r="I92" i="15"/>
  <c r="H92" i="15"/>
  <c r="G92" i="15"/>
  <c r="F92" i="15"/>
  <c r="E92" i="15"/>
  <c r="D92" i="15"/>
  <c r="C92" i="15"/>
  <c r="I91" i="15"/>
  <c r="H91" i="15"/>
  <c r="G91" i="15"/>
  <c r="F91" i="15"/>
  <c r="E91" i="15"/>
  <c r="D91" i="15"/>
  <c r="C91" i="15"/>
  <c r="I90" i="15"/>
  <c r="H90" i="15"/>
  <c r="G90" i="15"/>
  <c r="F90" i="15"/>
  <c r="E90" i="15"/>
  <c r="D90" i="15"/>
  <c r="C90" i="15"/>
  <c r="I89" i="15"/>
  <c r="H89" i="15"/>
  <c r="G89" i="15"/>
  <c r="F89" i="15"/>
  <c r="E89" i="15"/>
  <c r="D89" i="15"/>
  <c r="C89" i="15"/>
  <c r="I88" i="15"/>
  <c r="H88" i="15"/>
  <c r="G88" i="15"/>
  <c r="F88" i="15"/>
  <c r="E88" i="15"/>
  <c r="D88" i="15"/>
  <c r="C88" i="15"/>
  <c r="I87" i="15"/>
  <c r="H87" i="15"/>
  <c r="G87" i="15"/>
  <c r="F87" i="15"/>
  <c r="E87" i="15"/>
  <c r="D87" i="15"/>
  <c r="C87" i="15"/>
  <c r="I86" i="15"/>
  <c r="H86" i="15"/>
  <c r="G86" i="15"/>
  <c r="F86" i="15"/>
  <c r="E86" i="15"/>
  <c r="D86" i="15"/>
  <c r="C86" i="15"/>
  <c r="I85" i="15"/>
  <c r="H85" i="15"/>
  <c r="G85" i="15"/>
  <c r="F85" i="15"/>
  <c r="E85" i="15"/>
  <c r="D85" i="15"/>
  <c r="C85" i="15"/>
  <c r="I84" i="15"/>
  <c r="H84" i="15"/>
  <c r="G84" i="15"/>
  <c r="F84" i="15"/>
  <c r="E84" i="15"/>
  <c r="D84" i="15"/>
  <c r="C84" i="15"/>
  <c r="I83" i="15"/>
  <c r="H83" i="15"/>
  <c r="G83" i="15"/>
  <c r="F83" i="15"/>
  <c r="E83" i="15"/>
  <c r="D83" i="15"/>
  <c r="C83" i="15"/>
  <c r="I82" i="15"/>
  <c r="H82" i="15"/>
  <c r="G82" i="15"/>
  <c r="F82" i="15"/>
  <c r="E82" i="15"/>
  <c r="D82" i="15"/>
  <c r="C82" i="15"/>
  <c r="I81" i="15"/>
  <c r="H81" i="15"/>
  <c r="G81" i="15"/>
  <c r="F81" i="15"/>
  <c r="E81" i="15"/>
  <c r="D81" i="15"/>
  <c r="C81" i="15"/>
  <c r="I80" i="15"/>
  <c r="H80" i="15"/>
  <c r="G80" i="15"/>
  <c r="F80" i="15"/>
  <c r="E80" i="15"/>
  <c r="D80" i="15"/>
  <c r="C80" i="15"/>
  <c r="I79" i="15"/>
  <c r="H79" i="15"/>
  <c r="G79" i="15"/>
  <c r="F79" i="15"/>
  <c r="E79" i="15"/>
  <c r="D79" i="15"/>
  <c r="C79" i="15"/>
  <c r="I78" i="15"/>
  <c r="H78" i="15"/>
  <c r="G78" i="15"/>
  <c r="F78" i="15"/>
  <c r="E78" i="15"/>
  <c r="D78" i="15"/>
  <c r="C78" i="15"/>
  <c r="I77" i="15"/>
  <c r="H77" i="15"/>
  <c r="G77" i="15"/>
  <c r="F77" i="15"/>
  <c r="E77" i="15"/>
  <c r="D77" i="15"/>
  <c r="C77" i="15"/>
  <c r="I76" i="15"/>
  <c r="H76" i="15"/>
  <c r="G76" i="15"/>
  <c r="F76" i="15"/>
  <c r="E76" i="15"/>
  <c r="D76" i="15"/>
  <c r="C76" i="15"/>
  <c r="I75" i="15"/>
  <c r="H75" i="15"/>
  <c r="G75" i="15"/>
  <c r="F75" i="15"/>
  <c r="E75" i="15"/>
  <c r="D75" i="15"/>
  <c r="C75" i="15"/>
  <c r="I74" i="15"/>
  <c r="H74" i="15"/>
  <c r="G74" i="15"/>
  <c r="F74" i="15"/>
  <c r="E74" i="15"/>
  <c r="D74" i="15"/>
  <c r="C74" i="15"/>
  <c r="I73" i="15"/>
  <c r="H73" i="15"/>
  <c r="G73" i="15"/>
  <c r="F73" i="15"/>
  <c r="E73" i="15"/>
  <c r="D73" i="15"/>
  <c r="C73" i="15"/>
  <c r="I72" i="15"/>
  <c r="H72" i="15"/>
  <c r="G72" i="15"/>
  <c r="F72" i="15"/>
  <c r="E72" i="15"/>
  <c r="D72" i="15"/>
  <c r="C72" i="15"/>
  <c r="I71" i="15"/>
  <c r="H71" i="15"/>
  <c r="G71" i="15"/>
  <c r="F71" i="15"/>
  <c r="E71" i="15"/>
  <c r="D71" i="15"/>
  <c r="C71" i="15"/>
  <c r="I70" i="15"/>
  <c r="H70" i="15"/>
  <c r="G70" i="15"/>
  <c r="F70" i="15"/>
  <c r="E70" i="15"/>
  <c r="D70" i="15"/>
  <c r="C70" i="15"/>
  <c r="I69" i="15"/>
  <c r="H69" i="15"/>
  <c r="G69" i="15"/>
  <c r="F69" i="15"/>
  <c r="E69" i="15"/>
  <c r="D69" i="15"/>
  <c r="C69" i="15"/>
  <c r="I68" i="15"/>
  <c r="H68" i="15"/>
  <c r="G68" i="15"/>
  <c r="F68" i="15"/>
  <c r="E68" i="15"/>
  <c r="D68" i="15"/>
  <c r="C68" i="15"/>
  <c r="I67" i="15"/>
  <c r="H67" i="15"/>
  <c r="G67" i="15"/>
  <c r="F67" i="15"/>
  <c r="E67" i="15"/>
  <c r="D67" i="15"/>
  <c r="C67" i="15"/>
  <c r="I66" i="15"/>
  <c r="H66" i="15"/>
  <c r="G66" i="15"/>
  <c r="F66" i="15"/>
  <c r="E66" i="15"/>
  <c r="D66" i="15"/>
  <c r="C66" i="15"/>
  <c r="I65" i="15"/>
  <c r="H65" i="15"/>
  <c r="G65" i="15"/>
  <c r="F65" i="15"/>
  <c r="E65" i="15"/>
  <c r="D65" i="15"/>
  <c r="C65" i="15"/>
  <c r="I64" i="15"/>
  <c r="H64" i="15"/>
  <c r="G64" i="15"/>
  <c r="F64" i="15"/>
  <c r="E64" i="15"/>
  <c r="D64" i="15"/>
  <c r="C64" i="15"/>
  <c r="I63" i="15"/>
  <c r="H63" i="15"/>
  <c r="G63" i="15"/>
  <c r="F63" i="15"/>
  <c r="E63" i="15"/>
  <c r="D63" i="15"/>
  <c r="C63" i="15"/>
  <c r="I62" i="15"/>
  <c r="H62" i="15"/>
  <c r="G62" i="15"/>
  <c r="F62" i="15"/>
  <c r="E62" i="15"/>
  <c r="D62" i="15"/>
  <c r="C62" i="15"/>
  <c r="I61" i="15"/>
  <c r="H61" i="15"/>
  <c r="G61" i="15"/>
  <c r="F61" i="15"/>
  <c r="E61" i="15"/>
  <c r="D61" i="15"/>
  <c r="C61" i="15"/>
  <c r="I60" i="15"/>
  <c r="H60" i="15"/>
  <c r="G60" i="15"/>
  <c r="F60" i="15"/>
  <c r="E60" i="15"/>
  <c r="D60" i="15"/>
  <c r="C60" i="15"/>
  <c r="I59" i="15"/>
  <c r="H59" i="15"/>
  <c r="G59" i="15"/>
  <c r="F59" i="15"/>
  <c r="E59" i="15"/>
  <c r="D59" i="15"/>
  <c r="C59" i="15"/>
  <c r="I58" i="15"/>
  <c r="H58" i="15"/>
  <c r="G58" i="15"/>
  <c r="F58" i="15"/>
  <c r="E58" i="15"/>
  <c r="D58" i="15"/>
  <c r="C58" i="15"/>
  <c r="I57" i="15"/>
  <c r="H57" i="15"/>
  <c r="G57" i="15"/>
  <c r="F57" i="15"/>
  <c r="E57" i="15"/>
  <c r="D57" i="15"/>
  <c r="C57" i="15"/>
  <c r="I56" i="15"/>
  <c r="H56" i="15"/>
  <c r="G56" i="15"/>
  <c r="F56" i="15"/>
  <c r="E56" i="15"/>
  <c r="D56" i="15"/>
  <c r="C56" i="15"/>
  <c r="I55" i="15"/>
  <c r="H55" i="15"/>
  <c r="G55" i="15"/>
  <c r="F55" i="15"/>
  <c r="E55" i="15"/>
  <c r="D55" i="15"/>
  <c r="C55" i="15"/>
  <c r="I54" i="15"/>
  <c r="H54" i="15"/>
  <c r="G54" i="15"/>
  <c r="F54" i="15"/>
  <c r="E54" i="15"/>
  <c r="D54" i="15"/>
  <c r="C54" i="15"/>
  <c r="I53" i="15"/>
  <c r="H53" i="15"/>
  <c r="G53" i="15"/>
  <c r="F53" i="15"/>
  <c r="E53" i="15"/>
  <c r="D53" i="15"/>
  <c r="C53" i="15"/>
  <c r="I52" i="15"/>
  <c r="H52" i="15"/>
  <c r="G52" i="15"/>
  <c r="F52" i="15"/>
  <c r="E52" i="15"/>
  <c r="D52" i="15"/>
  <c r="C52" i="15"/>
  <c r="I51" i="15"/>
  <c r="H51" i="15"/>
  <c r="G51" i="15"/>
  <c r="F51" i="15"/>
  <c r="E51" i="15"/>
  <c r="D51" i="15"/>
  <c r="C51" i="15"/>
  <c r="I50" i="15"/>
  <c r="H50" i="15"/>
  <c r="G50" i="15"/>
  <c r="F50" i="15"/>
  <c r="E50" i="15"/>
  <c r="D50" i="15"/>
  <c r="C50" i="15"/>
  <c r="I49" i="15"/>
  <c r="H49" i="15"/>
  <c r="G49" i="15"/>
  <c r="F49" i="15"/>
  <c r="E49" i="15"/>
  <c r="D49" i="15"/>
  <c r="C49" i="15"/>
  <c r="I48" i="15"/>
  <c r="H48" i="15"/>
  <c r="G48" i="15"/>
  <c r="F48" i="15"/>
  <c r="E48" i="15"/>
  <c r="D48" i="15"/>
  <c r="C48" i="15"/>
  <c r="I47" i="15"/>
  <c r="H47" i="15"/>
  <c r="G47" i="15"/>
  <c r="F47" i="15"/>
  <c r="E47" i="15"/>
  <c r="D47" i="15"/>
  <c r="C47" i="15"/>
  <c r="I46" i="15"/>
  <c r="H46" i="15"/>
  <c r="G46" i="15"/>
  <c r="F46" i="15"/>
  <c r="E46" i="15"/>
  <c r="D46" i="15"/>
  <c r="C46" i="15"/>
  <c r="I45" i="15"/>
  <c r="H45" i="15"/>
  <c r="G45" i="15"/>
  <c r="F45" i="15"/>
  <c r="E45" i="15"/>
  <c r="D45" i="15"/>
  <c r="C45" i="15"/>
  <c r="I44" i="15"/>
  <c r="H44" i="15"/>
  <c r="G44" i="15"/>
  <c r="F44" i="15"/>
  <c r="E44" i="15"/>
  <c r="D44" i="15"/>
  <c r="C44" i="15"/>
  <c r="I43" i="15"/>
  <c r="H43" i="15"/>
  <c r="G43" i="15"/>
  <c r="F43" i="15"/>
  <c r="E43" i="15"/>
  <c r="D43" i="15"/>
  <c r="C43" i="15"/>
  <c r="I42" i="15"/>
  <c r="H42" i="15"/>
  <c r="G42" i="15"/>
  <c r="F42" i="15"/>
  <c r="E42" i="15"/>
  <c r="D42" i="15"/>
  <c r="C42" i="15"/>
  <c r="I41" i="15"/>
  <c r="H41" i="15"/>
  <c r="G41" i="15"/>
  <c r="F41" i="15"/>
  <c r="E41" i="15"/>
  <c r="D41" i="15"/>
  <c r="C41" i="15"/>
  <c r="I40" i="15"/>
  <c r="H40" i="15"/>
  <c r="G40" i="15"/>
  <c r="F40" i="15"/>
  <c r="E40" i="15"/>
  <c r="D40" i="15"/>
  <c r="C40" i="15"/>
  <c r="I39" i="15"/>
  <c r="H39" i="15"/>
  <c r="G39" i="15"/>
  <c r="F39" i="15"/>
  <c r="E39" i="15"/>
  <c r="D39" i="15"/>
  <c r="C39" i="15"/>
  <c r="I38" i="15"/>
  <c r="H38" i="15"/>
  <c r="G38" i="15"/>
  <c r="F38" i="15"/>
  <c r="E38" i="15"/>
  <c r="D38" i="15"/>
  <c r="C38" i="15"/>
  <c r="I37" i="15"/>
  <c r="H37" i="15"/>
  <c r="G37" i="15"/>
  <c r="F37" i="15"/>
  <c r="E37" i="15"/>
  <c r="D37" i="15"/>
  <c r="C37" i="15"/>
  <c r="I36" i="15"/>
  <c r="H36" i="15"/>
  <c r="G36" i="15"/>
  <c r="F36" i="15"/>
  <c r="E36" i="15"/>
  <c r="D36" i="15"/>
  <c r="C36" i="15"/>
  <c r="I35" i="15"/>
  <c r="H35" i="15"/>
  <c r="G35" i="15"/>
  <c r="F35" i="15"/>
  <c r="E35" i="15"/>
  <c r="D35" i="15"/>
  <c r="C35" i="15"/>
  <c r="I34" i="15"/>
  <c r="H34" i="15"/>
  <c r="G34" i="15"/>
  <c r="F34" i="15"/>
  <c r="E34" i="15"/>
  <c r="D34" i="15"/>
  <c r="C34" i="15"/>
  <c r="I33" i="15"/>
  <c r="H33" i="15"/>
  <c r="G33" i="15"/>
  <c r="F33" i="15"/>
  <c r="E33" i="15"/>
  <c r="D33" i="15"/>
  <c r="C33" i="15"/>
  <c r="I32" i="15"/>
  <c r="H32" i="15"/>
  <c r="G32" i="15"/>
  <c r="F32" i="15"/>
  <c r="E32" i="15"/>
  <c r="D32" i="15"/>
  <c r="C32" i="15"/>
  <c r="I31" i="15"/>
  <c r="H31" i="15"/>
  <c r="G31" i="15"/>
  <c r="F31" i="15"/>
  <c r="E31" i="15"/>
  <c r="D31" i="15"/>
  <c r="C31" i="15"/>
  <c r="I30" i="15"/>
  <c r="H30" i="15"/>
  <c r="G30" i="15"/>
  <c r="F30" i="15"/>
  <c r="E30" i="15"/>
  <c r="D30" i="15"/>
  <c r="C30" i="15"/>
  <c r="I29" i="15"/>
  <c r="H29" i="15"/>
  <c r="G29" i="15"/>
  <c r="F29" i="15"/>
  <c r="E29" i="15"/>
  <c r="D29" i="15"/>
  <c r="C29" i="15"/>
  <c r="I28" i="15"/>
  <c r="H28" i="15"/>
  <c r="G28" i="15"/>
  <c r="F28" i="15"/>
  <c r="E28" i="15"/>
  <c r="D28" i="15"/>
  <c r="C28" i="15"/>
  <c r="I27" i="15"/>
  <c r="H27" i="15"/>
  <c r="G27" i="15"/>
  <c r="F27" i="15"/>
  <c r="E27" i="15"/>
  <c r="D27" i="15"/>
  <c r="C27" i="15"/>
  <c r="I26" i="15"/>
  <c r="H26" i="15"/>
  <c r="G26" i="15"/>
  <c r="F26" i="15"/>
  <c r="E26" i="15"/>
  <c r="D26" i="15"/>
  <c r="C26" i="15"/>
  <c r="I25" i="15"/>
  <c r="H25" i="15"/>
  <c r="G25" i="15"/>
  <c r="F25" i="15"/>
  <c r="E25" i="15"/>
  <c r="D25" i="15"/>
  <c r="C25" i="15"/>
  <c r="I24" i="15"/>
  <c r="H24" i="15"/>
  <c r="G24" i="15"/>
  <c r="F24" i="15"/>
  <c r="E24" i="15"/>
  <c r="D24" i="15"/>
  <c r="C24" i="15"/>
  <c r="I23" i="15"/>
  <c r="H23" i="15"/>
  <c r="G23" i="15"/>
  <c r="F23" i="15"/>
  <c r="E23" i="15"/>
  <c r="D23" i="15"/>
  <c r="C23" i="15"/>
  <c r="I22" i="15"/>
  <c r="H22" i="15"/>
  <c r="G22" i="15"/>
  <c r="F22" i="15"/>
  <c r="E22" i="15"/>
  <c r="D22" i="15"/>
  <c r="C22" i="15"/>
  <c r="I21" i="15"/>
  <c r="H21" i="15"/>
  <c r="G21" i="15"/>
  <c r="F21" i="15"/>
  <c r="E21" i="15"/>
  <c r="D21" i="15"/>
  <c r="C21" i="15"/>
  <c r="I20" i="15"/>
  <c r="H20" i="15"/>
  <c r="G20" i="15"/>
  <c r="F20" i="15"/>
  <c r="E20" i="15"/>
  <c r="D20" i="15"/>
  <c r="C20" i="15"/>
  <c r="I19" i="15"/>
  <c r="H19" i="15"/>
  <c r="G19" i="15"/>
  <c r="F19" i="15"/>
  <c r="E19" i="15"/>
  <c r="D19" i="15"/>
  <c r="C19" i="15"/>
  <c r="I18" i="15"/>
  <c r="H18" i="15"/>
  <c r="G18" i="15"/>
  <c r="F18" i="15"/>
  <c r="E18" i="15"/>
  <c r="D18" i="15"/>
  <c r="C18" i="15"/>
  <c r="I17" i="15"/>
  <c r="H17" i="15"/>
  <c r="G17" i="15"/>
  <c r="F17" i="15"/>
  <c r="E17" i="15"/>
  <c r="D17" i="15"/>
  <c r="C17" i="15"/>
  <c r="I16" i="15"/>
  <c r="H16" i="15"/>
  <c r="G16" i="15"/>
  <c r="F16" i="15"/>
  <c r="E16" i="15"/>
  <c r="D16" i="15"/>
  <c r="C16" i="15"/>
  <c r="I15" i="15"/>
  <c r="H15" i="15"/>
  <c r="G15" i="15"/>
  <c r="F15" i="15"/>
  <c r="E15" i="15"/>
  <c r="D15" i="15"/>
  <c r="C15" i="15"/>
  <c r="I14" i="15"/>
  <c r="H14" i="15"/>
  <c r="G14" i="15"/>
  <c r="F14" i="15"/>
  <c r="E14" i="15"/>
  <c r="D14" i="15"/>
  <c r="C14" i="15"/>
  <c r="I13" i="15"/>
  <c r="H13" i="15"/>
  <c r="G13" i="15"/>
  <c r="F13" i="15"/>
  <c r="E13" i="15"/>
  <c r="D13" i="15"/>
  <c r="C13" i="15"/>
  <c r="I12" i="15"/>
  <c r="H12" i="15"/>
  <c r="G12" i="15"/>
  <c r="F12" i="15"/>
  <c r="E12" i="15"/>
  <c r="D12" i="15"/>
  <c r="C12" i="15"/>
  <c r="I11" i="15"/>
  <c r="H11" i="15"/>
  <c r="G11" i="15"/>
  <c r="F11" i="15"/>
  <c r="E11" i="15"/>
  <c r="D11" i="15"/>
  <c r="C11" i="15"/>
  <c r="I10" i="15"/>
  <c r="H10" i="15"/>
  <c r="G10" i="15"/>
  <c r="F10" i="15"/>
  <c r="E10" i="15"/>
  <c r="D10" i="15"/>
  <c r="C10" i="15"/>
  <c r="I9" i="15"/>
  <c r="H9" i="15"/>
  <c r="G9" i="15"/>
  <c r="F9" i="15"/>
  <c r="E9" i="15"/>
  <c r="D9" i="15"/>
  <c r="C9" i="15"/>
  <c r="I8" i="15"/>
  <c r="H8" i="15"/>
  <c r="G8" i="15"/>
  <c r="F8" i="15"/>
  <c r="E8" i="15"/>
  <c r="D8" i="15"/>
  <c r="C8" i="15"/>
  <c r="I7" i="15"/>
  <c r="H7" i="15"/>
  <c r="G7" i="15"/>
  <c r="F7" i="15"/>
  <c r="E7" i="15"/>
  <c r="D7" i="15"/>
  <c r="C7" i="15"/>
  <c r="I6" i="15"/>
  <c r="H6" i="15"/>
  <c r="G6" i="15"/>
  <c r="F6" i="15"/>
  <c r="E6" i="15"/>
  <c r="D6" i="15"/>
  <c r="C6" i="15"/>
  <c r="I5" i="15"/>
  <c r="H5" i="15"/>
  <c r="G5" i="15"/>
  <c r="F5" i="15"/>
  <c r="E5" i="15"/>
  <c r="D5" i="15"/>
  <c r="C5" i="15"/>
  <c r="T733" i="9"/>
  <c r="S733" i="9"/>
  <c r="Q733" i="9"/>
  <c r="P733" i="9"/>
  <c r="N733" i="9"/>
  <c r="M733" i="9"/>
  <c r="A733" i="9"/>
  <c r="T732" i="9"/>
  <c r="S732" i="9"/>
  <c r="Q732" i="9"/>
  <c r="P732" i="9"/>
  <c r="N732" i="9"/>
  <c r="M732" i="9"/>
  <c r="A732" i="9"/>
  <c r="T731" i="9"/>
  <c r="S731" i="9"/>
  <c r="Q731" i="9"/>
  <c r="P731" i="9"/>
  <c r="N731" i="9"/>
  <c r="M731" i="9"/>
  <c r="A731" i="9"/>
  <c r="T730" i="9"/>
  <c r="S730" i="9"/>
  <c r="Q730" i="9"/>
  <c r="P730" i="9"/>
  <c r="N730" i="9"/>
  <c r="M730" i="9"/>
  <c r="A730" i="9"/>
  <c r="T729" i="9"/>
  <c r="S729" i="9"/>
  <c r="Q729" i="9"/>
  <c r="P729" i="9"/>
  <c r="N729" i="9"/>
  <c r="M729" i="9"/>
  <c r="A729" i="9"/>
  <c r="T728" i="9"/>
  <c r="S728" i="9"/>
  <c r="Q728" i="9"/>
  <c r="P728" i="9"/>
  <c r="N728" i="9"/>
  <c r="M728" i="9"/>
  <c r="A728" i="9"/>
  <c r="T727" i="9"/>
  <c r="S727" i="9"/>
  <c r="Q727" i="9"/>
  <c r="P727" i="9"/>
  <c r="N727" i="9"/>
  <c r="M727" i="9"/>
  <c r="A727" i="9"/>
  <c r="T726" i="9"/>
  <c r="S726" i="9"/>
  <c r="Q726" i="9"/>
  <c r="P726" i="9"/>
  <c r="N726" i="9"/>
  <c r="M726" i="9"/>
  <c r="A726" i="9"/>
  <c r="T725" i="9"/>
  <c r="S725" i="9"/>
  <c r="Q725" i="9"/>
  <c r="P725" i="9"/>
  <c r="N725" i="9"/>
  <c r="M725" i="9"/>
  <c r="A725" i="9"/>
  <c r="T724" i="9"/>
  <c r="S724" i="9"/>
  <c r="Q724" i="9"/>
  <c r="P724" i="9"/>
  <c r="N724" i="9"/>
  <c r="M724" i="9"/>
  <c r="A724" i="9"/>
  <c r="T723" i="9"/>
  <c r="S723" i="9"/>
  <c r="Q723" i="9"/>
  <c r="P723" i="9"/>
  <c r="N723" i="9"/>
  <c r="M723" i="9"/>
  <c r="A723" i="9"/>
  <c r="T722" i="9"/>
  <c r="S722" i="9"/>
  <c r="Q722" i="9"/>
  <c r="P722" i="9"/>
  <c r="N722" i="9"/>
  <c r="M722" i="9"/>
  <c r="A722" i="9"/>
  <c r="T721" i="9"/>
  <c r="S721" i="9"/>
  <c r="Q721" i="9"/>
  <c r="P721" i="9"/>
  <c r="N721" i="9"/>
  <c r="M721" i="9"/>
  <c r="A721" i="9"/>
  <c r="T720" i="9"/>
  <c r="S720" i="9"/>
  <c r="Q720" i="9"/>
  <c r="P720" i="9"/>
  <c r="N720" i="9"/>
  <c r="M720" i="9"/>
  <c r="A720" i="9"/>
  <c r="T719" i="9"/>
  <c r="S719" i="9"/>
  <c r="Q719" i="9"/>
  <c r="P719" i="9"/>
  <c r="N719" i="9"/>
  <c r="M719" i="9"/>
  <c r="A719" i="9"/>
  <c r="T718" i="9"/>
  <c r="S718" i="9"/>
  <c r="Q718" i="9"/>
  <c r="P718" i="9"/>
  <c r="N718" i="9"/>
  <c r="M718" i="9"/>
  <c r="A718" i="9"/>
  <c r="T717" i="9"/>
  <c r="S717" i="9"/>
  <c r="Q717" i="9"/>
  <c r="P717" i="9"/>
  <c r="N717" i="9"/>
  <c r="M717" i="9"/>
  <c r="A717" i="9"/>
  <c r="T716" i="9"/>
  <c r="S716" i="9"/>
  <c r="Q716" i="9"/>
  <c r="P716" i="9"/>
  <c r="N716" i="9"/>
  <c r="M716" i="9"/>
  <c r="A716" i="9"/>
  <c r="T715" i="9"/>
  <c r="S715" i="9"/>
  <c r="Q715" i="9"/>
  <c r="P715" i="9"/>
  <c r="N715" i="9"/>
  <c r="M715" i="9"/>
  <c r="A715" i="9"/>
  <c r="T714" i="9"/>
  <c r="S714" i="9"/>
  <c r="Q714" i="9"/>
  <c r="P714" i="9"/>
  <c r="N714" i="9"/>
  <c r="M714" i="9"/>
  <c r="A714" i="9"/>
  <c r="T713" i="9"/>
  <c r="S713" i="9"/>
  <c r="Q713" i="9"/>
  <c r="P713" i="9"/>
  <c r="N713" i="9"/>
  <c r="M713" i="9"/>
  <c r="A713" i="9"/>
  <c r="T712" i="9"/>
  <c r="S712" i="9"/>
  <c r="Q712" i="9"/>
  <c r="P712" i="9"/>
  <c r="N712" i="9"/>
  <c r="M712" i="9"/>
  <c r="A712" i="9"/>
  <c r="T711" i="9"/>
  <c r="S711" i="9"/>
  <c r="Q711" i="9"/>
  <c r="P711" i="9"/>
  <c r="N711" i="9"/>
  <c r="M711" i="9"/>
  <c r="A711" i="9"/>
  <c r="T710" i="9"/>
  <c r="S710" i="9"/>
  <c r="Q710" i="9"/>
  <c r="P710" i="9"/>
  <c r="N710" i="9"/>
  <c r="M710" i="9"/>
  <c r="A710" i="9"/>
  <c r="T709" i="9"/>
  <c r="S709" i="9"/>
  <c r="Q709" i="9"/>
  <c r="P709" i="9"/>
  <c r="N709" i="9"/>
  <c r="M709" i="9"/>
  <c r="A709" i="9"/>
  <c r="T708" i="9"/>
  <c r="S708" i="9"/>
  <c r="Q708" i="9"/>
  <c r="P708" i="9"/>
  <c r="N708" i="9"/>
  <c r="M708" i="9"/>
  <c r="A708" i="9"/>
  <c r="T707" i="9"/>
  <c r="S707" i="9"/>
  <c r="Q707" i="9"/>
  <c r="P707" i="9"/>
  <c r="N707" i="9"/>
  <c r="M707" i="9"/>
  <c r="A707" i="9"/>
  <c r="T706" i="9"/>
  <c r="S706" i="9"/>
  <c r="Q706" i="9"/>
  <c r="P706" i="9"/>
  <c r="N706" i="9"/>
  <c r="M706" i="9"/>
  <c r="A706" i="9"/>
  <c r="T705" i="9"/>
  <c r="S705" i="9"/>
  <c r="Q705" i="9"/>
  <c r="P705" i="9"/>
  <c r="N705" i="9"/>
  <c r="M705" i="9"/>
  <c r="A705" i="9"/>
  <c r="T704" i="9"/>
  <c r="S704" i="9"/>
  <c r="Q704" i="9"/>
  <c r="P704" i="9"/>
  <c r="N704" i="9"/>
  <c r="M704" i="9"/>
  <c r="A704" i="9"/>
  <c r="T703" i="9"/>
  <c r="S703" i="9"/>
  <c r="Q703" i="9"/>
  <c r="P703" i="9"/>
  <c r="N703" i="9"/>
  <c r="M703" i="9"/>
  <c r="A703" i="9"/>
  <c r="T702" i="9"/>
  <c r="S702" i="9"/>
  <c r="Q702" i="9"/>
  <c r="P702" i="9"/>
  <c r="N702" i="9"/>
  <c r="M702" i="9"/>
  <c r="A702" i="9"/>
  <c r="T701" i="9"/>
  <c r="S701" i="9"/>
  <c r="Q701" i="9"/>
  <c r="P701" i="9"/>
  <c r="N701" i="9"/>
  <c r="M701" i="9"/>
  <c r="A701" i="9"/>
  <c r="T700" i="9"/>
  <c r="S700" i="9"/>
  <c r="Q700" i="9"/>
  <c r="P700" i="9"/>
  <c r="N700" i="9"/>
  <c r="M700" i="9"/>
  <c r="A700" i="9"/>
  <c r="T699" i="9"/>
  <c r="S699" i="9"/>
  <c r="Q699" i="9"/>
  <c r="P699" i="9"/>
  <c r="N699" i="9"/>
  <c r="M699" i="9"/>
  <c r="A699" i="9"/>
  <c r="T698" i="9"/>
  <c r="S698" i="9"/>
  <c r="Q698" i="9"/>
  <c r="P698" i="9"/>
  <c r="N698" i="9"/>
  <c r="M698" i="9"/>
  <c r="A698" i="9"/>
  <c r="T697" i="9"/>
  <c r="S697" i="9"/>
  <c r="Q697" i="9"/>
  <c r="P697" i="9"/>
  <c r="N697" i="9"/>
  <c r="M697" i="9"/>
  <c r="A697" i="9"/>
  <c r="T696" i="9"/>
  <c r="S696" i="9"/>
  <c r="Q696" i="9"/>
  <c r="P696" i="9"/>
  <c r="N696" i="9"/>
  <c r="M696" i="9"/>
  <c r="A696" i="9"/>
  <c r="T695" i="9"/>
  <c r="S695" i="9"/>
  <c r="Q695" i="9"/>
  <c r="P695" i="9"/>
  <c r="N695" i="9"/>
  <c r="M695" i="9"/>
  <c r="A695" i="9"/>
  <c r="T694" i="9"/>
  <c r="S694" i="9"/>
  <c r="Q694" i="9"/>
  <c r="P694" i="9"/>
  <c r="N694" i="9"/>
  <c r="M694" i="9"/>
  <c r="A694" i="9"/>
  <c r="T693" i="9"/>
  <c r="S693" i="9"/>
  <c r="Q693" i="9"/>
  <c r="P693" i="9"/>
  <c r="N693" i="9"/>
  <c r="M693" i="9"/>
  <c r="A693" i="9"/>
  <c r="T692" i="9"/>
  <c r="S692" i="9"/>
  <c r="Q692" i="9"/>
  <c r="P692" i="9"/>
  <c r="N692" i="9"/>
  <c r="M692" i="9"/>
  <c r="A692" i="9"/>
  <c r="T691" i="9"/>
  <c r="S691" i="9"/>
  <c r="Q691" i="9"/>
  <c r="P691" i="9"/>
  <c r="N691" i="9"/>
  <c r="M691" i="9"/>
  <c r="A691" i="9"/>
  <c r="T690" i="9"/>
  <c r="S690" i="9"/>
  <c r="Q690" i="9"/>
  <c r="P690" i="9"/>
  <c r="N690" i="9"/>
  <c r="M690" i="9"/>
  <c r="A690" i="9"/>
  <c r="T689" i="9"/>
  <c r="S689" i="9"/>
  <c r="Q689" i="9"/>
  <c r="P689" i="9"/>
  <c r="N689" i="9"/>
  <c r="M689" i="9"/>
  <c r="A689" i="9"/>
  <c r="T688" i="9"/>
  <c r="S688" i="9"/>
  <c r="Q688" i="9"/>
  <c r="P688" i="9"/>
  <c r="N688" i="9"/>
  <c r="M688" i="9"/>
  <c r="A688" i="9"/>
  <c r="T687" i="9"/>
  <c r="S687" i="9"/>
  <c r="Q687" i="9"/>
  <c r="P687" i="9"/>
  <c r="N687" i="9"/>
  <c r="M687" i="9"/>
  <c r="A687" i="9"/>
  <c r="T686" i="9"/>
  <c r="S686" i="9"/>
  <c r="Q686" i="9"/>
  <c r="P686" i="9"/>
  <c r="N686" i="9"/>
  <c r="M686" i="9"/>
  <c r="A686" i="9"/>
  <c r="T685" i="9"/>
  <c r="S685" i="9"/>
  <c r="Q685" i="9"/>
  <c r="P685" i="9"/>
  <c r="N685" i="9"/>
  <c r="M685" i="9"/>
  <c r="A685" i="9"/>
  <c r="T684" i="9"/>
  <c r="S684" i="9"/>
  <c r="Q684" i="9"/>
  <c r="P684" i="9"/>
  <c r="N684" i="9"/>
  <c r="M684" i="9"/>
  <c r="A684" i="9"/>
  <c r="T683" i="9"/>
  <c r="S683" i="9"/>
  <c r="Q683" i="9"/>
  <c r="P683" i="9"/>
  <c r="N683" i="9"/>
  <c r="M683" i="9"/>
  <c r="A683" i="9"/>
  <c r="T682" i="9"/>
  <c r="S682" i="9"/>
  <c r="Q682" i="9"/>
  <c r="P682" i="9"/>
  <c r="N682" i="9"/>
  <c r="M682" i="9"/>
  <c r="A682" i="9"/>
  <c r="T681" i="9"/>
  <c r="S681" i="9"/>
  <c r="Q681" i="9"/>
  <c r="P681" i="9"/>
  <c r="N681" i="9"/>
  <c r="M681" i="9"/>
  <c r="A681" i="9"/>
  <c r="T680" i="9"/>
  <c r="S680" i="9"/>
  <c r="Q680" i="9"/>
  <c r="P680" i="9"/>
  <c r="N680" i="9"/>
  <c r="M680" i="9"/>
  <c r="A680" i="9"/>
  <c r="T679" i="9"/>
  <c r="S679" i="9"/>
  <c r="Q679" i="9"/>
  <c r="P679" i="9"/>
  <c r="N679" i="9"/>
  <c r="M679" i="9"/>
  <c r="A679" i="9"/>
  <c r="T678" i="9"/>
  <c r="S678" i="9"/>
  <c r="Q678" i="9"/>
  <c r="P678" i="9"/>
  <c r="N678" i="9"/>
  <c r="M678" i="9"/>
  <c r="A678" i="9"/>
  <c r="T677" i="9"/>
  <c r="S677" i="9"/>
  <c r="Q677" i="9"/>
  <c r="P677" i="9"/>
  <c r="N677" i="9"/>
  <c r="M677" i="9"/>
  <c r="A677" i="9"/>
  <c r="T676" i="9"/>
  <c r="S676" i="9"/>
  <c r="Q676" i="9"/>
  <c r="P676" i="9"/>
  <c r="N676" i="9"/>
  <c r="M676" i="9"/>
  <c r="A676" i="9"/>
  <c r="T675" i="9"/>
  <c r="S675" i="9"/>
  <c r="Q675" i="9"/>
  <c r="P675" i="9"/>
  <c r="N675" i="9"/>
  <c r="M675" i="9"/>
  <c r="A675" i="9"/>
  <c r="T674" i="9"/>
  <c r="S674" i="9"/>
  <c r="Q674" i="9"/>
  <c r="P674" i="9"/>
  <c r="N674" i="9"/>
  <c r="M674" i="9"/>
  <c r="A674" i="9"/>
  <c r="T673" i="9"/>
  <c r="S673" i="9"/>
  <c r="Q673" i="9"/>
  <c r="P673" i="9"/>
  <c r="N673" i="9"/>
  <c r="M673" i="9"/>
  <c r="A673" i="9"/>
  <c r="T672" i="9"/>
  <c r="S672" i="9"/>
  <c r="Q672" i="9"/>
  <c r="P672" i="9"/>
  <c r="N672" i="9"/>
  <c r="M672" i="9"/>
  <c r="A672" i="9"/>
  <c r="T671" i="9"/>
  <c r="S671" i="9"/>
  <c r="Q671" i="9"/>
  <c r="P671" i="9"/>
  <c r="N671" i="9"/>
  <c r="M671" i="9"/>
  <c r="A671" i="9"/>
  <c r="T670" i="9"/>
  <c r="S670" i="9"/>
  <c r="Q670" i="9"/>
  <c r="P670" i="9"/>
  <c r="N670" i="9"/>
  <c r="M670" i="9"/>
  <c r="A670" i="9"/>
  <c r="T669" i="9"/>
  <c r="S669" i="9"/>
  <c r="Q669" i="9"/>
  <c r="P669" i="9"/>
  <c r="N669" i="9"/>
  <c r="M669" i="9"/>
  <c r="A669" i="9"/>
  <c r="T668" i="9"/>
  <c r="S668" i="9"/>
  <c r="Q668" i="9"/>
  <c r="P668" i="9"/>
  <c r="N668" i="9"/>
  <c r="M668" i="9"/>
  <c r="A668" i="9"/>
  <c r="T667" i="9"/>
  <c r="S667" i="9"/>
  <c r="Q667" i="9"/>
  <c r="P667" i="9"/>
  <c r="N667" i="9"/>
  <c r="M667" i="9"/>
  <c r="A667" i="9"/>
  <c r="T666" i="9"/>
  <c r="S666" i="9"/>
  <c r="Q666" i="9"/>
  <c r="P666" i="9"/>
  <c r="N666" i="9"/>
  <c r="M666" i="9"/>
  <c r="A666" i="9"/>
  <c r="T665" i="9"/>
  <c r="S665" i="9"/>
  <c r="Q665" i="9"/>
  <c r="P665" i="9"/>
  <c r="N665" i="9"/>
  <c r="M665" i="9"/>
  <c r="A665" i="9"/>
  <c r="T664" i="9"/>
  <c r="S664" i="9"/>
  <c r="Q664" i="9"/>
  <c r="P664" i="9"/>
  <c r="N664" i="9"/>
  <c r="M664" i="9"/>
  <c r="A664" i="9"/>
  <c r="T663" i="9"/>
  <c r="S663" i="9"/>
  <c r="Q663" i="9"/>
  <c r="P663" i="9"/>
  <c r="N663" i="9"/>
  <c r="M663" i="9"/>
  <c r="A663" i="9"/>
  <c r="T662" i="9"/>
  <c r="S662" i="9"/>
  <c r="Q662" i="9"/>
  <c r="P662" i="9"/>
  <c r="N662" i="9"/>
  <c r="M662" i="9"/>
  <c r="A662" i="9"/>
  <c r="T661" i="9"/>
  <c r="S661" i="9"/>
  <c r="Q661" i="9"/>
  <c r="P661" i="9"/>
  <c r="N661" i="9"/>
  <c r="M661" i="9"/>
  <c r="A661" i="9"/>
  <c r="T660" i="9"/>
  <c r="S660" i="9"/>
  <c r="Q660" i="9"/>
  <c r="P660" i="9"/>
  <c r="N660" i="9"/>
  <c r="M660" i="9"/>
  <c r="A660" i="9"/>
  <c r="T659" i="9"/>
  <c r="S659" i="9"/>
  <c r="Q659" i="9"/>
  <c r="P659" i="9"/>
  <c r="N659" i="9"/>
  <c r="M659" i="9"/>
  <c r="A659" i="9"/>
  <c r="T658" i="9"/>
  <c r="S658" i="9"/>
  <c r="Q658" i="9"/>
  <c r="P658" i="9"/>
  <c r="N658" i="9"/>
  <c r="M658" i="9"/>
  <c r="A658" i="9"/>
  <c r="T657" i="9"/>
  <c r="S657" i="9"/>
  <c r="Q657" i="9"/>
  <c r="P657" i="9"/>
  <c r="N657" i="9"/>
  <c r="M657" i="9"/>
  <c r="A657" i="9"/>
  <c r="T656" i="9"/>
  <c r="S656" i="9"/>
  <c r="Q656" i="9"/>
  <c r="P656" i="9"/>
  <c r="N656" i="9"/>
  <c r="M656" i="9"/>
  <c r="A656" i="9"/>
  <c r="T655" i="9"/>
  <c r="S655" i="9"/>
  <c r="Q655" i="9"/>
  <c r="P655" i="9"/>
  <c r="N655" i="9"/>
  <c r="M655" i="9"/>
  <c r="A655" i="9"/>
  <c r="T654" i="9"/>
  <c r="S654" i="9"/>
  <c r="Q654" i="9"/>
  <c r="P654" i="9"/>
  <c r="N654" i="9"/>
  <c r="M654" i="9"/>
  <c r="A654" i="9"/>
  <c r="T653" i="9"/>
  <c r="S653" i="9"/>
  <c r="Q653" i="9"/>
  <c r="P653" i="9"/>
  <c r="N653" i="9"/>
  <c r="M653" i="9"/>
  <c r="A653" i="9"/>
  <c r="T652" i="9"/>
  <c r="S652" i="9"/>
  <c r="Q652" i="9"/>
  <c r="P652" i="9"/>
  <c r="N652" i="9"/>
  <c r="M652" i="9"/>
  <c r="A652" i="9"/>
  <c r="T651" i="9"/>
  <c r="S651" i="9"/>
  <c r="Q651" i="9"/>
  <c r="P651" i="9"/>
  <c r="N651" i="9"/>
  <c r="M651" i="9"/>
  <c r="A651" i="9"/>
  <c r="T650" i="9"/>
  <c r="S650" i="9"/>
  <c r="Q650" i="9"/>
  <c r="P650" i="9"/>
  <c r="N650" i="9"/>
  <c r="M650" i="9"/>
  <c r="A650" i="9"/>
  <c r="T649" i="9"/>
  <c r="S649" i="9"/>
  <c r="Q649" i="9"/>
  <c r="P649" i="9"/>
  <c r="N649" i="9"/>
  <c r="M649" i="9"/>
  <c r="A649" i="9"/>
  <c r="T648" i="9"/>
  <c r="S648" i="9"/>
  <c r="Q648" i="9"/>
  <c r="P648" i="9"/>
  <c r="N648" i="9"/>
  <c r="M648" i="9"/>
  <c r="A648" i="9"/>
  <c r="T647" i="9"/>
  <c r="S647" i="9"/>
  <c r="Q647" i="9"/>
  <c r="P647" i="9"/>
  <c r="N647" i="9"/>
  <c r="M647" i="9"/>
  <c r="A647" i="9"/>
  <c r="T646" i="9"/>
  <c r="S646" i="9"/>
  <c r="Q646" i="9"/>
  <c r="P646" i="9"/>
  <c r="N646" i="9"/>
  <c r="M646" i="9"/>
  <c r="A646" i="9"/>
  <c r="T645" i="9"/>
  <c r="S645" i="9"/>
  <c r="Q645" i="9"/>
  <c r="P645" i="9"/>
  <c r="N645" i="9"/>
  <c r="M645" i="9"/>
  <c r="A645" i="9"/>
  <c r="T644" i="9"/>
  <c r="S644" i="9"/>
  <c r="Q644" i="9"/>
  <c r="P644" i="9"/>
  <c r="N644" i="9"/>
  <c r="M644" i="9"/>
  <c r="A644" i="9"/>
  <c r="T643" i="9"/>
  <c r="S643" i="9"/>
  <c r="Q643" i="9"/>
  <c r="P643" i="9"/>
  <c r="N643" i="9"/>
  <c r="M643" i="9"/>
  <c r="A643" i="9"/>
  <c r="T642" i="9"/>
  <c r="S642" i="9"/>
  <c r="Q642" i="9"/>
  <c r="P642" i="9"/>
  <c r="N642" i="9"/>
  <c r="M642" i="9"/>
  <c r="A642" i="9"/>
  <c r="T641" i="9"/>
  <c r="S641" i="9"/>
  <c r="Q641" i="9"/>
  <c r="P641" i="9"/>
  <c r="N641" i="9"/>
  <c r="M641" i="9"/>
  <c r="A641" i="9"/>
  <c r="T640" i="9"/>
  <c r="S640" i="9"/>
  <c r="Q640" i="9"/>
  <c r="P640" i="9"/>
  <c r="N640" i="9"/>
  <c r="M640" i="9"/>
  <c r="A640" i="9"/>
  <c r="T639" i="9"/>
  <c r="S639" i="9"/>
  <c r="Q639" i="9"/>
  <c r="P639" i="9"/>
  <c r="N639" i="9"/>
  <c r="M639" i="9"/>
  <c r="A639" i="9"/>
  <c r="T638" i="9"/>
  <c r="S638" i="9"/>
  <c r="Q638" i="9"/>
  <c r="P638" i="9"/>
  <c r="N638" i="9"/>
  <c r="M638" i="9"/>
  <c r="A638" i="9"/>
  <c r="T637" i="9"/>
  <c r="S637" i="9"/>
  <c r="Q637" i="9"/>
  <c r="P637" i="9"/>
  <c r="N637" i="9"/>
  <c r="M637" i="9"/>
  <c r="A637" i="9"/>
  <c r="T636" i="9"/>
  <c r="S636" i="9"/>
  <c r="Q636" i="9"/>
  <c r="P636" i="9"/>
  <c r="N636" i="9"/>
  <c r="M636" i="9"/>
  <c r="A636" i="9"/>
  <c r="T635" i="9"/>
  <c r="S635" i="9"/>
  <c r="Q635" i="9"/>
  <c r="P635" i="9"/>
  <c r="N635" i="9"/>
  <c r="M635" i="9"/>
  <c r="A635" i="9"/>
  <c r="T634" i="9"/>
  <c r="S634" i="9"/>
  <c r="Q634" i="9"/>
  <c r="P634" i="9"/>
  <c r="N634" i="9"/>
  <c r="M634" i="9"/>
  <c r="A634" i="9"/>
  <c r="T633" i="9"/>
  <c r="S633" i="9"/>
  <c r="Q633" i="9"/>
  <c r="P633" i="9"/>
  <c r="N633" i="9"/>
  <c r="M633" i="9"/>
  <c r="A633" i="9"/>
  <c r="T632" i="9"/>
  <c r="S632" i="9"/>
  <c r="Q632" i="9"/>
  <c r="P632" i="9"/>
  <c r="N632" i="9"/>
  <c r="M632" i="9"/>
  <c r="A632" i="9"/>
  <c r="T631" i="9"/>
  <c r="S631" i="9"/>
  <c r="Q631" i="9"/>
  <c r="P631" i="9"/>
  <c r="N631" i="9"/>
  <c r="M631" i="9"/>
  <c r="A631" i="9"/>
  <c r="T630" i="9"/>
  <c r="S630" i="9"/>
  <c r="Q630" i="9"/>
  <c r="P630" i="9"/>
  <c r="N630" i="9"/>
  <c r="M630" i="9"/>
  <c r="A630" i="9"/>
  <c r="T629" i="9"/>
  <c r="S629" i="9"/>
  <c r="Q629" i="9"/>
  <c r="P629" i="9"/>
  <c r="N629" i="9"/>
  <c r="M629" i="9"/>
  <c r="A629" i="9"/>
  <c r="T628" i="9"/>
  <c r="S628" i="9"/>
  <c r="Q628" i="9"/>
  <c r="P628" i="9"/>
  <c r="N628" i="9"/>
  <c r="M628" i="9"/>
  <c r="A628" i="9"/>
  <c r="T627" i="9"/>
  <c r="S627" i="9"/>
  <c r="Q627" i="9"/>
  <c r="P627" i="9"/>
  <c r="N627" i="9"/>
  <c r="M627" i="9"/>
  <c r="A627" i="9"/>
  <c r="T626" i="9"/>
  <c r="S626" i="9"/>
  <c r="Q626" i="9"/>
  <c r="P626" i="9"/>
  <c r="N626" i="9"/>
  <c r="M626" i="9"/>
  <c r="A626" i="9"/>
  <c r="T625" i="9"/>
  <c r="S625" i="9"/>
  <c r="Q625" i="9"/>
  <c r="P625" i="9"/>
  <c r="N625" i="9"/>
  <c r="M625" i="9"/>
  <c r="A625" i="9"/>
  <c r="T624" i="9"/>
  <c r="S624" i="9"/>
  <c r="Q624" i="9"/>
  <c r="P624" i="9"/>
  <c r="N624" i="9"/>
  <c r="M624" i="9"/>
  <c r="A624" i="9"/>
  <c r="T623" i="9"/>
  <c r="S623" i="9"/>
  <c r="Q623" i="9"/>
  <c r="P623" i="9"/>
  <c r="N623" i="9"/>
  <c r="M623" i="9"/>
  <c r="A623" i="9"/>
  <c r="T622" i="9"/>
  <c r="S622" i="9"/>
  <c r="Q622" i="9"/>
  <c r="P622" i="9"/>
  <c r="N622" i="9"/>
  <c r="M622" i="9"/>
  <c r="A622" i="9"/>
  <c r="T621" i="9"/>
  <c r="S621" i="9"/>
  <c r="Q621" i="9"/>
  <c r="P621" i="9"/>
  <c r="N621" i="9"/>
  <c r="M621" i="9"/>
  <c r="A621" i="9"/>
  <c r="T620" i="9"/>
  <c r="S620" i="9"/>
  <c r="Q620" i="9"/>
  <c r="P620" i="9"/>
  <c r="N620" i="9"/>
  <c r="M620" i="9"/>
  <c r="A620" i="9"/>
  <c r="T619" i="9"/>
  <c r="S619" i="9"/>
  <c r="Q619" i="9"/>
  <c r="P619" i="9"/>
  <c r="N619" i="9"/>
  <c r="M619" i="9"/>
  <c r="A619" i="9"/>
  <c r="T618" i="9"/>
  <c r="S618" i="9"/>
  <c r="Q618" i="9"/>
  <c r="P618" i="9"/>
  <c r="N618" i="9"/>
  <c r="M618" i="9"/>
  <c r="A618" i="9"/>
  <c r="T617" i="9"/>
  <c r="S617" i="9"/>
  <c r="Q617" i="9"/>
  <c r="P617" i="9"/>
  <c r="N617" i="9"/>
  <c r="M617" i="9"/>
  <c r="A617" i="9"/>
  <c r="T616" i="9"/>
  <c r="S616" i="9"/>
  <c r="Q616" i="9"/>
  <c r="P616" i="9"/>
  <c r="N616" i="9"/>
  <c r="M616" i="9"/>
  <c r="A616" i="9"/>
  <c r="T615" i="9"/>
  <c r="S615" i="9"/>
  <c r="Q615" i="9"/>
  <c r="P615" i="9"/>
  <c r="N615" i="9"/>
  <c r="M615" i="9"/>
  <c r="A615" i="9"/>
  <c r="T614" i="9"/>
  <c r="S614" i="9"/>
  <c r="Q614" i="9"/>
  <c r="P614" i="9"/>
  <c r="N614" i="9"/>
  <c r="M614" i="9"/>
  <c r="A614" i="9"/>
  <c r="T613" i="9"/>
  <c r="S613" i="9"/>
  <c r="Q613" i="9"/>
  <c r="P613" i="9"/>
  <c r="N613" i="9"/>
  <c r="M613" i="9"/>
  <c r="A613" i="9"/>
  <c r="T612" i="9"/>
  <c r="S612" i="9"/>
  <c r="Q612" i="9"/>
  <c r="P612" i="9"/>
  <c r="N612" i="9"/>
  <c r="M612" i="9"/>
  <c r="A612" i="9"/>
  <c r="T611" i="9"/>
  <c r="S611" i="9"/>
  <c r="Q611" i="9"/>
  <c r="P611" i="9"/>
  <c r="N611" i="9"/>
  <c r="M611" i="9"/>
  <c r="A611" i="9"/>
  <c r="T610" i="9"/>
  <c r="S610" i="9"/>
  <c r="Q610" i="9"/>
  <c r="P610" i="9"/>
  <c r="N610" i="9"/>
  <c r="M610" i="9"/>
  <c r="A610" i="9"/>
  <c r="T609" i="9"/>
  <c r="S609" i="9"/>
  <c r="Q609" i="9"/>
  <c r="P609" i="9"/>
  <c r="N609" i="9"/>
  <c r="M609" i="9"/>
  <c r="A609" i="9"/>
  <c r="T608" i="9"/>
  <c r="S608" i="9"/>
  <c r="Q608" i="9"/>
  <c r="P608" i="9"/>
  <c r="N608" i="9"/>
  <c r="M608" i="9"/>
  <c r="A608" i="9"/>
  <c r="T607" i="9"/>
  <c r="S607" i="9"/>
  <c r="Q607" i="9"/>
  <c r="P607" i="9"/>
  <c r="N607" i="9"/>
  <c r="M607" i="9"/>
  <c r="A607" i="9"/>
  <c r="T606" i="9"/>
  <c r="S606" i="9"/>
  <c r="Q606" i="9"/>
  <c r="P606" i="9"/>
  <c r="N606" i="9"/>
  <c r="M606" i="9"/>
  <c r="A606" i="9"/>
  <c r="T605" i="9"/>
  <c r="S605" i="9"/>
  <c r="Q605" i="9"/>
  <c r="P605" i="9"/>
  <c r="N605" i="9"/>
  <c r="M605" i="9"/>
  <c r="A605" i="9"/>
  <c r="T604" i="9"/>
  <c r="S604" i="9"/>
  <c r="Q604" i="9"/>
  <c r="P604" i="9"/>
  <c r="N604" i="9"/>
  <c r="M604" i="9"/>
  <c r="A604" i="9"/>
  <c r="T603" i="9"/>
  <c r="S603" i="9"/>
  <c r="Q603" i="9"/>
  <c r="P603" i="9"/>
  <c r="N603" i="9"/>
  <c r="M603" i="9"/>
  <c r="A603" i="9"/>
  <c r="T602" i="9"/>
  <c r="S602" i="9"/>
  <c r="Q602" i="9"/>
  <c r="P602" i="9"/>
  <c r="N602" i="9"/>
  <c r="M602" i="9"/>
  <c r="A602" i="9"/>
  <c r="T601" i="9"/>
  <c r="S601" i="9"/>
  <c r="Q601" i="9"/>
  <c r="P601" i="9"/>
  <c r="N601" i="9"/>
  <c r="M601" i="9"/>
  <c r="A601" i="9"/>
  <c r="T600" i="9"/>
  <c r="S600" i="9"/>
  <c r="Q600" i="9"/>
  <c r="P600" i="9"/>
  <c r="N600" i="9"/>
  <c r="M600" i="9"/>
  <c r="A600" i="9"/>
  <c r="T599" i="9"/>
  <c r="S599" i="9"/>
  <c r="Q599" i="9"/>
  <c r="P599" i="9"/>
  <c r="N599" i="9"/>
  <c r="M599" i="9"/>
  <c r="A599" i="9"/>
  <c r="T598" i="9"/>
  <c r="S598" i="9"/>
  <c r="Q598" i="9"/>
  <c r="P598" i="9"/>
  <c r="N598" i="9"/>
  <c r="M598" i="9"/>
  <c r="A598" i="9"/>
  <c r="T597" i="9"/>
  <c r="S597" i="9"/>
  <c r="Q597" i="9"/>
  <c r="P597" i="9"/>
  <c r="N597" i="9"/>
  <c r="M597" i="9"/>
  <c r="A597" i="9"/>
  <c r="T596" i="9"/>
  <c r="S596" i="9"/>
  <c r="Q596" i="9"/>
  <c r="P596" i="9"/>
  <c r="N596" i="9"/>
  <c r="M596" i="9"/>
  <c r="A596" i="9"/>
  <c r="T595" i="9"/>
  <c r="S595" i="9"/>
  <c r="Q595" i="9"/>
  <c r="P595" i="9"/>
  <c r="N595" i="9"/>
  <c r="M595" i="9"/>
  <c r="A595" i="9"/>
  <c r="T594" i="9"/>
  <c r="S594" i="9"/>
  <c r="Q594" i="9"/>
  <c r="P594" i="9"/>
  <c r="N594" i="9"/>
  <c r="M594" i="9"/>
  <c r="A594" i="9"/>
  <c r="T593" i="9"/>
  <c r="S593" i="9"/>
  <c r="Q593" i="9"/>
  <c r="P593" i="9"/>
  <c r="N593" i="9"/>
  <c r="M593" i="9"/>
  <c r="A593" i="9"/>
  <c r="T592" i="9"/>
  <c r="S592" i="9"/>
  <c r="Q592" i="9"/>
  <c r="P592" i="9"/>
  <c r="N592" i="9"/>
  <c r="M592" i="9"/>
  <c r="A592" i="9"/>
  <c r="T591" i="9"/>
  <c r="S591" i="9"/>
  <c r="Q591" i="9"/>
  <c r="P591" i="9"/>
  <c r="N591" i="9"/>
  <c r="M591" i="9"/>
  <c r="A591" i="9"/>
  <c r="T590" i="9"/>
  <c r="S590" i="9"/>
  <c r="Q590" i="9"/>
  <c r="P590" i="9"/>
  <c r="N590" i="9"/>
  <c r="M590" i="9"/>
  <c r="A590" i="9"/>
  <c r="T589" i="9"/>
  <c r="S589" i="9"/>
  <c r="Q589" i="9"/>
  <c r="P589" i="9"/>
  <c r="N589" i="9"/>
  <c r="M589" i="9"/>
  <c r="A589" i="9"/>
  <c r="T588" i="9"/>
  <c r="S588" i="9"/>
  <c r="Q588" i="9"/>
  <c r="P588" i="9"/>
  <c r="N588" i="9"/>
  <c r="M588" i="9"/>
  <c r="A588" i="9"/>
  <c r="T587" i="9"/>
  <c r="S587" i="9"/>
  <c r="Q587" i="9"/>
  <c r="P587" i="9"/>
  <c r="N587" i="9"/>
  <c r="M587" i="9"/>
  <c r="A587" i="9"/>
  <c r="T586" i="9"/>
  <c r="S586" i="9"/>
  <c r="Q586" i="9"/>
  <c r="P586" i="9"/>
  <c r="N586" i="9"/>
  <c r="M586" i="9"/>
  <c r="A586" i="9"/>
  <c r="T585" i="9"/>
  <c r="S585" i="9"/>
  <c r="Q585" i="9"/>
  <c r="P585" i="9"/>
  <c r="N585" i="9"/>
  <c r="M585" i="9"/>
  <c r="A585" i="9"/>
  <c r="T584" i="9"/>
  <c r="S584" i="9"/>
  <c r="Q584" i="9"/>
  <c r="P584" i="9"/>
  <c r="N584" i="9"/>
  <c r="M584" i="9"/>
  <c r="A584" i="9"/>
  <c r="T583" i="9"/>
  <c r="S583" i="9"/>
  <c r="Q583" i="9"/>
  <c r="P583" i="9"/>
  <c r="N583" i="9"/>
  <c r="M583" i="9"/>
  <c r="A583" i="9"/>
  <c r="T582" i="9"/>
  <c r="S582" i="9"/>
  <c r="Q582" i="9"/>
  <c r="P582" i="9"/>
  <c r="N582" i="9"/>
  <c r="M582" i="9"/>
  <c r="A582" i="9"/>
  <c r="T581" i="9"/>
  <c r="S581" i="9"/>
  <c r="Q581" i="9"/>
  <c r="P581" i="9"/>
  <c r="N581" i="9"/>
  <c r="M581" i="9"/>
  <c r="A581" i="9"/>
  <c r="T580" i="9"/>
  <c r="S580" i="9"/>
  <c r="Q580" i="9"/>
  <c r="P580" i="9"/>
  <c r="N580" i="9"/>
  <c r="M580" i="9"/>
  <c r="A580" i="9"/>
  <c r="T579" i="9"/>
  <c r="S579" i="9"/>
  <c r="Q579" i="9"/>
  <c r="P579" i="9"/>
  <c r="N579" i="9"/>
  <c r="M579" i="9"/>
  <c r="A579" i="9"/>
  <c r="T578" i="9"/>
  <c r="S578" i="9"/>
  <c r="Q578" i="9"/>
  <c r="P578" i="9"/>
  <c r="N578" i="9"/>
  <c r="M578" i="9"/>
  <c r="A578" i="9"/>
  <c r="T577" i="9"/>
  <c r="S577" i="9"/>
  <c r="Q577" i="9"/>
  <c r="P577" i="9"/>
  <c r="N577" i="9"/>
  <c r="M577" i="9"/>
  <c r="A577" i="9"/>
  <c r="T576" i="9"/>
  <c r="S576" i="9"/>
  <c r="Q576" i="9"/>
  <c r="P576" i="9"/>
  <c r="N576" i="9"/>
  <c r="M576" i="9"/>
  <c r="A576" i="9"/>
  <c r="T575" i="9"/>
  <c r="S575" i="9"/>
  <c r="Q575" i="9"/>
  <c r="P575" i="9"/>
  <c r="N575" i="9"/>
  <c r="M575" i="9"/>
  <c r="A575" i="9"/>
  <c r="T574" i="9"/>
  <c r="S574" i="9"/>
  <c r="Q574" i="9"/>
  <c r="P574" i="9"/>
  <c r="N574" i="9"/>
  <c r="M574" i="9"/>
  <c r="A574" i="9"/>
  <c r="T573" i="9"/>
  <c r="S573" i="9"/>
  <c r="Q573" i="9"/>
  <c r="P573" i="9"/>
  <c r="N573" i="9"/>
  <c r="M573" i="9"/>
  <c r="A573" i="9"/>
  <c r="T572" i="9"/>
  <c r="S572" i="9"/>
  <c r="Q572" i="9"/>
  <c r="P572" i="9"/>
  <c r="N572" i="9"/>
  <c r="M572" i="9"/>
  <c r="A572" i="9"/>
  <c r="T571" i="9"/>
  <c r="S571" i="9"/>
  <c r="Q571" i="9"/>
  <c r="P571" i="9"/>
  <c r="N571" i="9"/>
  <c r="M571" i="9"/>
  <c r="A571" i="9"/>
  <c r="T570" i="9"/>
  <c r="S570" i="9"/>
  <c r="Q570" i="9"/>
  <c r="P570" i="9"/>
  <c r="N570" i="9"/>
  <c r="M570" i="9"/>
  <c r="A570" i="9"/>
  <c r="T569" i="9"/>
  <c r="S569" i="9"/>
  <c r="Q569" i="9"/>
  <c r="P569" i="9"/>
  <c r="N569" i="9"/>
  <c r="M569" i="9"/>
  <c r="A569" i="9"/>
  <c r="T568" i="9"/>
  <c r="S568" i="9"/>
  <c r="Q568" i="9"/>
  <c r="P568" i="9"/>
  <c r="N568" i="9"/>
  <c r="M568" i="9"/>
  <c r="A568" i="9"/>
  <c r="T567" i="9"/>
  <c r="S567" i="9"/>
  <c r="Q567" i="9"/>
  <c r="P567" i="9"/>
  <c r="N567" i="9"/>
  <c r="M567" i="9"/>
  <c r="A567" i="9"/>
  <c r="T566" i="9"/>
  <c r="S566" i="9"/>
  <c r="Q566" i="9"/>
  <c r="P566" i="9"/>
  <c r="N566" i="9"/>
  <c r="M566" i="9"/>
  <c r="A566" i="9"/>
  <c r="T565" i="9"/>
  <c r="S565" i="9"/>
  <c r="Q565" i="9"/>
  <c r="P565" i="9"/>
  <c r="N565" i="9"/>
  <c r="M565" i="9"/>
  <c r="A565" i="9"/>
  <c r="T564" i="9"/>
  <c r="S564" i="9"/>
  <c r="Q564" i="9"/>
  <c r="P564" i="9"/>
  <c r="N564" i="9"/>
  <c r="M564" i="9"/>
  <c r="A564" i="9"/>
  <c r="T563" i="9"/>
  <c r="S563" i="9"/>
  <c r="Q563" i="9"/>
  <c r="P563" i="9"/>
  <c r="N563" i="9"/>
  <c r="M563" i="9"/>
  <c r="A563" i="9"/>
  <c r="T562" i="9"/>
  <c r="S562" i="9"/>
  <c r="Q562" i="9"/>
  <c r="P562" i="9"/>
  <c r="N562" i="9"/>
  <c r="M562" i="9"/>
  <c r="A562" i="9"/>
  <c r="T561" i="9"/>
  <c r="S561" i="9"/>
  <c r="Q561" i="9"/>
  <c r="P561" i="9"/>
  <c r="N561" i="9"/>
  <c r="M561" i="9"/>
  <c r="A561" i="9"/>
  <c r="T560" i="9"/>
  <c r="S560" i="9"/>
  <c r="Q560" i="9"/>
  <c r="P560" i="9"/>
  <c r="N560" i="9"/>
  <c r="M560" i="9"/>
  <c r="A560" i="9"/>
  <c r="T559" i="9"/>
  <c r="S559" i="9"/>
  <c r="Q559" i="9"/>
  <c r="P559" i="9"/>
  <c r="N559" i="9"/>
  <c r="M559" i="9"/>
  <c r="A559" i="9"/>
  <c r="T558" i="9"/>
  <c r="S558" i="9"/>
  <c r="Q558" i="9"/>
  <c r="P558" i="9"/>
  <c r="N558" i="9"/>
  <c r="M558" i="9"/>
  <c r="A558" i="9"/>
  <c r="T557" i="9"/>
  <c r="S557" i="9"/>
  <c r="Q557" i="9"/>
  <c r="P557" i="9"/>
  <c r="N557" i="9"/>
  <c r="M557" i="9"/>
  <c r="A557" i="9"/>
  <c r="T556" i="9"/>
  <c r="S556" i="9"/>
  <c r="Q556" i="9"/>
  <c r="P556" i="9"/>
  <c r="N556" i="9"/>
  <c r="M556" i="9"/>
  <c r="A556" i="9"/>
  <c r="T555" i="9"/>
  <c r="S555" i="9"/>
  <c r="Q555" i="9"/>
  <c r="P555" i="9"/>
  <c r="N555" i="9"/>
  <c r="M555" i="9"/>
  <c r="A555" i="9"/>
  <c r="T554" i="9"/>
  <c r="S554" i="9"/>
  <c r="Q554" i="9"/>
  <c r="P554" i="9"/>
  <c r="N554" i="9"/>
  <c r="M554" i="9"/>
  <c r="A554" i="9"/>
  <c r="T553" i="9"/>
  <c r="S553" i="9"/>
  <c r="Q553" i="9"/>
  <c r="P553" i="9"/>
  <c r="N553" i="9"/>
  <c r="M553" i="9"/>
  <c r="A553" i="9"/>
  <c r="T552" i="9"/>
  <c r="S552" i="9"/>
  <c r="Q552" i="9"/>
  <c r="P552" i="9"/>
  <c r="N552" i="9"/>
  <c r="M552" i="9"/>
  <c r="A552" i="9"/>
  <c r="T551" i="9"/>
  <c r="S551" i="9"/>
  <c r="Q551" i="9"/>
  <c r="P551" i="9"/>
  <c r="N551" i="9"/>
  <c r="M551" i="9"/>
  <c r="A551" i="9"/>
  <c r="T550" i="9"/>
  <c r="S550" i="9"/>
  <c r="Q550" i="9"/>
  <c r="P550" i="9"/>
  <c r="N550" i="9"/>
  <c r="M550" i="9"/>
  <c r="A550" i="9"/>
  <c r="T549" i="9"/>
  <c r="S549" i="9"/>
  <c r="Q549" i="9"/>
  <c r="P549" i="9"/>
  <c r="N549" i="9"/>
  <c r="M549" i="9"/>
  <c r="A549" i="9"/>
  <c r="T548" i="9"/>
  <c r="S548" i="9"/>
  <c r="Q548" i="9"/>
  <c r="P548" i="9"/>
  <c r="N548" i="9"/>
  <c r="M548" i="9"/>
  <c r="A548" i="9"/>
  <c r="T547" i="9"/>
  <c r="S547" i="9"/>
  <c r="Q547" i="9"/>
  <c r="P547" i="9"/>
  <c r="N547" i="9"/>
  <c r="M547" i="9"/>
  <c r="A547" i="9"/>
  <c r="T546" i="9"/>
  <c r="S546" i="9"/>
  <c r="Q546" i="9"/>
  <c r="P546" i="9"/>
  <c r="N546" i="9"/>
  <c r="M546" i="9"/>
  <c r="A546" i="9"/>
  <c r="T545" i="9"/>
  <c r="S545" i="9"/>
  <c r="Q545" i="9"/>
  <c r="P545" i="9"/>
  <c r="N545" i="9"/>
  <c r="M545" i="9"/>
  <c r="A545" i="9"/>
  <c r="T544" i="9"/>
  <c r="S544" i="9"/>
  <c r="Q544" i="9"/>
  <c r="P544" i="9"/>
  <c r="N544" i="9"/>
  <c r="M544" i="9"/>
  <c r="A544" i="9"/>
  <c r="T543" i="9"/>
  <c r="S543" i="9"/>
  <c r="Q543" i="9"/>
  <c r="P543" i="9"/>
  <c r="N543" i="9"/>
  <c r="M543" i="9"/>
  <c r="A543" i="9"/>
  <c r="T542" i="9"/>
  <c r="S542" i="9"/>
  <c r="Q542" i="9"/>
  <c r="P542" i="9"/>
  <c r="N542" i="9"/>
  <c r="M542" i="9"/>
  <c r="A542" i="9"/>
  <c r="T541" i="9"/>
  <c r="S541" i="9"/>
  <c r="Q541" i="9"/>
  <c r="P541" i="9"/>
  <c r="N541" i="9"/>
  <c r="M541" i="9"/>
  <c r="A541" i="9"/>
  <c r="T540" i="9"/>
  <c r="S540" i="9"/>
  <c r="Q540" i="9"/>
  <c r="P540" i="9"/>
  <c r="N540" i="9"/>
  <c r="M540" i="9"/>
  <c r="A540" i="9"/>
  <c r="T539" i="9"/>
  <c r="S539" i="9"/>
  <c r="Q539" i="9"/>
  <c r="P539" i="9"/>
  <c r="N539" i="9"/>
  <c r="M539" i="9"/>
  <c r="A539" i="9"/>
  <c r="T538" i="9"/>
  <c r="S538" i="9"/>
  <c r="Q538" i="9"/>
  <c r="P538" i="9"/>
  <c r="N538" i="9"/>
  <c r="M538" i="9"/>
  <c r="A538" i="9"/>
  <c r="T537" i="9"/>
  <c r="S537" i="9"/>
  <c r="Q537" i="9"/>
  <c r="P537" i="9"/>
  <c r="N537" i="9"/>
  <c r="M537" i="9"/>
  <c r="A537" i="9"/>
  <c r="T536" i="9"/>
  <c r="S536" i="9"/>
  <c r="Q536" i="9"/>
  <c r="P536" i="9"/>
  <c r="N536" i="9"/>
  <c r="M536" i="9"/>
  <c r="A536" i="9"/>
  <c r="T535" i="9"/>
  <c r="S535" i="9"/>
  <c r="Q535" i="9"/>
  <c r="P535" i="9"/>
  <c r="N535" i="9"/>
  <c r="M535" i="9"/>
  <c r="A535" i="9"/>
  <c r="T534" i="9"/>
  <c r="S534" i="9"/>
  <c r="Q534" i="9"/>
  <c r="P534" i="9"/>
  <c r="N534" i="9"/>
  <c r="M534" i="9"/>
  <c r="A534" i="9"/>
  <c r="T533" i="9"/>
  <c r="S533" i="9"/>
  <c r="Q533" i="9"/>
  <c r="P533" i="9"/>
  <c r="N533" i="9"/>
  <c r="M533" i="9"/>
  <c r="A533" i="9"/>
  <c r="T532" i="9"/>
  <c r="S532" i="9"/>
  <c r="Q532" i="9"/>
  <c r="P532" i="9"/>
  <c r="N532" i="9"/>
  <c r="M532" i="9"/>
  <c r="A532" i="9"/>
  <c r="T531" i="9"/>
  <c r="S531" i="9"/>
  <c r="Q531" i="9"/>
  <c r="P531" i="9"/>
  <c r="N531" i="9"/>
  <c r="M531" i="9"/>
  <c r="A531" i="9"/>
  <c r="T530" i="9"/>
  <c r="S530" i="9"/>
  <c r="Q530" i="9"/>
  <c r="P530" i="9"/>
  <c r="N530" i="9"/>
  <c r="M530" i="9"/>
  <c r="A530" i="9"/>
  <c r="T529" i="9"/>
  <c r="S529" i="9"/>
  <c r="Q529" i="9"/>
  <c r="P529" i="9"/>
  <c r="N529" i="9"/>
  <c r="M529" i="9"/>
  <c r="A529" i="9"/>
  <c r="T528" i="9"/>
  <c r="S528" i="9"/>
  <c r="Q528" i="9"/>
  <c r="P528" i="9"/>
  <c r="N528" i="9"/>
  <c r="M528" i="9"/>
  <c r="A528" i="9"/>
  <c r="T527" i="9"/>
  <c r="S527" i="9"/>
  <c r="Q527" i="9"/>
  <c r="P527" i="9"/>
  <c r="N527" i="9"/>
  <c r="M527" i="9"/>
  <c r="A527" i="9"/>
  <c r="T526" i="9"/>
  <c r="S526" i="9"/>
  <c r="Q526" i="9"/>
  <c r="P526" i="9"/>
  <c r="N526" i="9"/>
  <c r="M526" i="9"/>
  <c r="A526" i="9"/>
  <c r="T525" i="9"/>
  <c r="S525" i="9"/>
  <c r="Q525" i="9"/>
  <c r="P525" i="9"/>
  <c r="N525" i="9"/>
  <c r="M525" i="9"/>
  <c r="A525" i="9"/>
  <c r="T524" i="9"/>
  <c r="S524" i="9"/>
  <c r="Q524" i="9"/>
  <c r="P524" i="9"/>
  <c r="N524" i="9"/>
  <c r="M524" i="9"/>
  <c r="A524" i="9"/>
  <c r="T523" i="9"/>
  <c r="S523" i="9"/>
  <c r="Q523" i="9"/>
  <c r="P523" i="9"/>
  <c r="N523" i="9"/>
  <c r="M523" i="9"/>
  <c r="A523" i="9"/>
  <c r="T522" i="9"/>
  <c r="S522" i="9"/>
  <c r="Q522" i="9"/>
  <c r="P522" i="9"/>
  <c r="N522" i="9"/>
  <c r="M522" i="9"/>
  <c r="A522" i="9"/>
  <c r="T521" i="9"/>
  <c r="S521" i="9"/>
  <c r="Q521" i="9"/>
  <c r="P521" i="9"/>
  <c r="N521" i="9"/>
  <c r="M521" i="9"/>
  <c r="A521" i="9"/>
  <c r="T520" i="9"/>
  <c r="S520" i="9"/>
  <c r="Q520" i="9"/>
  <c r="P520" i="9"/>
  <c r="N520" i="9"/>
  <c r="M520" i="9"/>
  <c r="A520" i="9"/>
  <c r="T519" i="9"/>
  <c r="S519" i="9"/>
  <c r="Q519" i="9"/>
  <c r="P519" i="9"/>
  <c r="N519" i="9"/>
  <c r="M519" i="9"/>
  <c r="A519" i="9"/>
  <c r="T518" i="9"/>
  <c r="S518" i="9"/>
  <c r="Q518" i="9"/>
  <c r="P518" i="9"/>
  <c r="N518" i="9"/>
  <c r="M518" i="9"/>
  <c r="A518" i="9"/>
  <c r="T517" i="9"/>
  <c r="S517" i="9"/>
  <c r="Q517" i="9"/>
  <c r="P517" i="9"/>
  <c r="N517" i="9"/>
  <c r="M517" i="9"/>
  <c r="A517" i="9"/>
  <c r="T516" i="9"/>
  <c r="S516" i="9"/>
  <c r="Q516" i="9"/>
  <c r="P516" i="9"/>
  <c r="N516" i="9"/>
  <c r="M516" i="9"/>
  <c r="A516" i="9"/>
  <c r="T515" i="9"/>
  <c r="S515" i="9"/>
  <c r="Q515" i="9"/>
  <c r="P515" i="9"/>
  <c r="N515" i="9"/>
  <c r="M515" i="9"/>
  <c r="A515" i="9"/>
  <c r="T514" i="9"/>
  <c r="S514" i="9"/>
  <c r="Q514" i="9"/>
  <c r="P514" i="9"/>
  <c r="N514" i="9"/>
  <c r="M514" i="9"/>
  <c r="A514" i="9"/>
  <c r="T513" i="9"/>
  <c r="S513" i="9"/>
  <c r="Q513" i="9"/>
  <c r="P513" i="9"/>
  <c r="N513" i="9"/>
  <c r="M513" i="9"/>
  <c r="A513" i="9"/>
  <c r="T512" i="9"/>
  <c r="S512" i="9"/>
  <c r="Q512" i="9"/>
  <c r="P512" i="9"/>
  <c r="N512" i="9"/>
  <c r="M512" i="9"/>
  <c r="A512" i="9"/>
  <c r="T511" i="9"/>
  <c r="S511" i="9"/>
  <c r="Q511" i="9"/>
  <c r="P511" i="9"/>
  <c r="N511" i="9"/>
  <c r="M511" i="9"/>
  <c r="A511" i="9"/>
  <c r="T510" i="9"/>
  <c r="S510" i="9"/>
  <c r="Q510" i="9"/>
  <c r="P510" i="9"/>
  <c r="N510" i="9"/>
  <c r="M510" i="9"/>
  <c r="A510" i="9"/>
  <c r="T509" i="9"/>
  <c r="S509" i="9"/>
  <c r="Q509" i="9"/>
  <c r="P509" i="9"/>
  <c r="N509" i="9"/>
  <c r="M509" i="9"/>
  <c r="A509" i="9"/>
  <c r="T508" i="9"/>
  <c r="S508" i="9"/>
  <c r="Q508" i="9"/>
  <c r="P508" i="9"/>
  <c r="N508" i="9"/>
  <c r="M508" i="9"/>
  <c r="A508" i="9"/>
  <c r="T507" i="9"/>
  <c r="S507" i="9"/>
  <c r="Q507" i="9"/>
  <c r="P507" i="9"/>
  <c r="N507" i="9"/>
  <c r="M507" i="9"/>
  <c r="A507" i="9"/>
  <c r="T506" i="9"/>
  <c r="S506" i="9"/>
  <c r="Q506" i="9"/>
  <c r="P506" i="9"/>
  <c r="N506" i="9"/>
  <c r="M506" i="9"/>
  <c r="A506" i="9"/>
  <c r="T505" i="9"/>
  <c r="S505" i="9"/>
  <c r="Q505" i="9"/>
  <c r="P505" i="9"/>
  <c r="N505" i="9"/>
  <c r="M505" i="9"/>
  <c r="A505" i="9"/>
  <c r="T504" i="9"/>
  <c r="S504" i="9"/>
  <c r="Q504" i="9"/>
  <c r="P504" i="9"/>
  <c r="N504" i="9"/>
  <c r="M504" i="9"/>
  <c r="A504" i="9"/>
  <c r="T503" i="9"/>
  <c r="S503" i="9"/>
  <c r="Q503" i="9"/>
  <c r="P503" i="9"/>
  <c r="N503" i="9"/>
  <c r="M503" i="9"/>
  <c r="A503" i="9"/>
  <c r="T502" i="9"/>
  <c r="S502" i="9"/>
  <c r="Q502" i="9"/>
  <c r="P502" i="9"/>
  <c r="N502" i="9"/>
  <c r="M502" i="9"/>
  <c r="A502" i="9"/>
  <c r="T501" i="9"/>
  <c r="S501" i="9"/>
  <c r="Q501" i="9"/>
  <c r="P501" i="9"/>
  <c r="N501" i="9"/>
  <c r="M501" i="9"/>
  <c r="A501" i="9"/>
  <c r="T500" i="9"/>
  <c r="S500" i="9"/>
  <c r="Q500" i="9"/>
  <c r="P500" i="9"/>
  <c r="N500" i="9"/>
  <c r="M500" i="9"/>
  <c r="A500" i="9"/>
  <c r="T499" i="9"/>
  <c r="S499" i="9"/>
  <c r="Q499" i="9"/>
  <c r="P499" i="9"/>
  <c r="N499" i="9"/>
  <c r="M499" i="9"/>
  <c r="A499" i="9"/>
  <c r="T498" i="9"/>
  <c r="S498" i="9"/>
  <c r="Q498" i="9"/>
  <c r="P498" i="9"/>
  <c r="N498" i="9"/>
  <c r="M498" i="9"/>
  <c r="A498" i="9"/>
  <c r="T497" i="9"/>
  <c r="S497" i="9"/>
  <c r="Q497" i="9"/>
  <c r="P497" i="9"/>
  <c r="N497" i="9"/>
  <c r="M497" i="9"/>
  <c r="A497" i="9"/>
  <c r="T496" i="9"/>
  <c r="S496" i="9"/>
  <c r="Q496" i="9"/>
  <c r="P496" i="9"/>
  <c r="N496" i="9"/>
  <c r="M496" i="9"/>
  <c r="A496" i="9"/>
  <c r="T495" i="9"/>
  <c r="S495" i="9"/>
  <c r="Q495" i="9"/>
  <c r="P495" i="9"/>
  <c r="N495" i="9"/>
  <c r="M495" i="9"/>
  <c r="A495" i="9"/>
  <c r="T494" i="9"/>
  <c r="S494" i="9"/>
  <c r="Q494" i="9"/>
  <c r="P494" i="9"/>
  <c r="N494" i="9"/>
  <c r="M494" i="9"/>
  <c r="A494" i="9"/>
  <c r="T493" i="9"/>
  <c r="S493" i="9"/>
  <c r="Q493" i="9"/>
  <c r="P493" i="9"/>
  <c r="N493" i="9"/>
  <c r="M493" i="9"/>
  <c r="A493" i="9"/>
  <c r="T492" i="9"/>
  <c r="S492" i="9"/>
  <c r="Q492" i="9"/>
  <c r="P492" i="9"/>
  <c r="N492" i="9"/>
  <c r="M492" i="9"/>
  <c r="A492" i="9"/>
  <c r="T491" i="9"/>
  <c r="S491" i="9"/>
  <c r="Q491" i="9"/>
  <c r="P491" i="9"/>
  <c r="N491" i="9"/>
  <c r="M491" i="9"/>
  <c r="A491" i="9"/>
  <c r="T490" i="9"/>
  <c r="S490" i="9"/>
  <c r="Q490" i="9"/>
  <c r="P490" i="9"/>
  <c r="N490" i="9"/>
  <c r="M490" i="9"/>
  <c r="A490" i="9"/>
  <c r="T489" i="9"/>
  <c r="S489" i="9"/>
  <c r="Q489" i="9"/>
  <c r="P489" i="9"/>
  <c r="N489" i="9"/>
  <c r="M489" i="9"/>
  <c r="A489" i="9"/>
  <c r="T488" i="9"/>
  <c r="S488" i="9"/>
  <c r="Q488" i="9"/>
  <c r="P488" i="9"/>
  <c r="N488" i="9"/>
  <c r="M488" i="9"/>
  <c r="A488" i="9"/>
  <c r="T487" i="9"/>
  <c r="S487" i="9"/>
  <c r="Q487" i="9"/>
  <c r="P487" i="9"/>
  <c r="N487" i="9"/>
  <c r="M487" i="9"/>
  <c r="A487" i="9"/>
  <c r="T486" i="9"/>
  <c r="S486" i="9"/>
  <c r="Q486" i="9"/>
  <c r="P486" i="9"/>
  <c r="N486" i="9"/>
  <c r="M486" i="9"/>
  <c r="A486" i="9"/>
  <c r="T485" i="9"/>
  <c r="S485" i="9"/>
  <c r="Q485" i="9"/>
  <c r="P485" i="9"/>
  <c r="N485" i="9"/>
  <c r="M485" i="9"/>
  <c r="A485" i="9"/>
  <c r="T484" i="9"/>
  <c r="S484" i="9"/>
  <c r="Q484" i="9"/>
  <c r="P484" i="9"/>
  <c r="N484" i="9"/>
  <c r="M484" i="9"/>
  <c r="A484" i="9"/>
  <c r="T483" i="9"/>
  <c r="S483" i="9"/>
  <c r="Q483" i="9"/>
  <c r="P483" i="9"/>
  <c r="N483" i="9"/>
  <c r="M483" i="9"/>
  <c r="A483" i="9"/>
  <c r="T482" i="9"/>
  <c r="S482" i="9"/>
  <c r="Q482" i="9"/>
  <c r="P482" i="9"/>
  <c r="N482" i="9"/>
  <c r="M482" i="9"/>
  <c r="A482" i="9"/>
  <c r="T481" i="9"/>
  <c r="S481" i="9"/>
  <c r="Q481" i="9"/>
  <c r="P481" i="9"/>
  <c r="N481" i="9"/>
  <c r="M481" i="9"/>
  <c r="A481" i="9"/>
  <c r="T480" i="9"/>
  <c r="S480" i="9"/>
  <c r="Q480" i="9"/>
  <c r="P480" i="9"/>
  <c r="N480" i="9"/>
  <c r="M480" i="9"/>
  <c r="A480" i="9"/>
  <c r="T479" i="9"/>
  <c r="S479" i="9"/>
  <c r="Q479" i="9"/>
  <c r="P479" i="9"/>
  <c r="N479" i="9"/>
  <c r="M479" i="9"/>
  <c r="A479" i="9"/>
  <c r="T478" i="9"/>
  <c r="S478" i="9"/>
  <c r="Q478" i="9"/>
  <c r="P478" i="9"/>
  <c r="N478" i="9"/>
  <c r="M478" i="9"/>
  <c r="A478" i="9"/>
  <c r="T477" i="9"/>
  <c r="S477" i="9"/>
  <c r="Q477" i="9"/>
  <c r="P477" i="9"/>
  <c r="N477" i="9"/>
  <c r="M477" i="9"/>
  <c r="A477" i="9"/>
  <c r="T476" i="9"/>
  <c r="S476" i="9"/>
  <c r="Q476" i="9"/>
  <c r="P476" i="9"/>
  <c r="N476" i="9"/>
  <c r="M476" i="9"/>
  <c r="A476" i="9"/>
  <c r="T475" i="9"/>
  <c r="S475" i="9"/>
  <c r="Q475" i="9"/>
  <c r="P475" i="9"/>
  <c r="N475" i="9"/>
  <c r="M475" i="9"/>
  <c r="A475" i="9"/>
  <c r="T474" i="9"/>
  <c r="S474" i="9"/>
  <c r="Q474" i="9"/>
  <c r="P474" i="9"/>
  <c r="N474" i="9"/>
  <c r="M474" i="9"/>
  <c r="A474" i="9"/>
  <c r="T473" i="9"/>
  <c r="S473" i="9"/>
  <c r="Q473" i="9"/>
  <c r="P473" i="9"/>
  <c r="N473" i="9"/>
  <c r="M473" i="9"/>
  <c r="A473" i="9"/>
  <c r="T472" i="9"/>
  <c r="S472" i="9"/>
  <c r="Q472" i="9"/>
  <c r="P472" i="9"/>
  <c r="N472" i="9"/>
  <c r="M472" i="9"/>
  <c r="A472" i="9"/>
  <c r="T471" i="9"/>
  <c r="S471" i="9"/>
  <c r="Q471" i="9"/>
  <c r="P471" i="9"/>
  <c r="N471" i="9"/>
  <c r="M471" i="9"/>
  <c r="A471" i="9"/>
  <c r="T470" i="9"/>
  <c r="S470" i="9"/>
  <c r="Q470" i="9"/>
  <c r="P470" i="9"/>
  <c r="N470" i="9"/>
  <c r="M470" i="9"/>
  <c r="A470" i="9"/>
  <c r="T469" i="9"/>
  <c r="S469" i="9"/>
  <c r="Q469" i="9"/>
  <c r="P469" i="9"/>
  <c r="N469" i="9"/>
  <c r="M469" i="9"/>
  <c r="A469" i="9"/>
  <c r="T468" i="9"/>
  <c r="S468" i="9"/>
  <c r="Q468" i="9"/>
  <c r="P468" i="9"/>
  <c r="N468" i="9"/>
  <c r="M468" i="9"/>
  <c r="A468" i="9"/>
  <c r="T467" i="9"/>
  <c r="S467" i="9"/>
  <c r="Q467" i="9"/>
  <c r="P467" i="9"/>
  <c r="N467" i="9"/>
  <c r="M467" i="9"/>
  <c r="A467" i="9"/>
  <c r="T466" i="9"/>
  <c r="S466" i="9"/>
  <c r="Q466" i="9"/>
  <c r="P466" i="9"/>
  <c r="N466" i="9"/>
  <c r="M466" i="9"/>
  <c r="A466" i="9"/>
  <c r="T465" i="9"/>
  <c r="S465" i="9"/>
  <c r="Q465" i="9"/>
  <c r="P465" i="9"/>
  <c r="N465" i="9"/>
  <c r="M465" i="9"/>
  <c r="A465" i="9"/>
  <c r="T464" i="9"/>
  <c r="S464" i="9"/>
  <c r="Q464" i="9"/>
  <c r="P464" i="9"/>
  <c r="N464" i="9"/>
  <c r="M464" i="9"/>
  <c r="A464" i="9"/>
  <c r="T463" i="9"/>
  <c r="S463" i="9"/>
  <c r="Q463" i="9"/>
  <c r="P463" i="9"/>
  <c r="N463" i="9"/>
  <c r="M463" i="9"/>
  <c r="A463" i="9"/>
  <c r="T462" i="9"/>
  <c r="S462" i="9"/>
  <c r="Q462" i="9"/>
  <c r="P462" i="9"/>
  <c r="N462" i="9"/>
  <c r="M462" i="9"/>
  <c r="A462" i="9"/>
  <c r="T461" i="9"/>
  <c r="S461" i="9"/>
  <c r="Q461" i="9"/>
  <c r="P461" i="9"/>
  <c r="N461" i="9"/>
  <c r="M461" i="9"/>
  <c r="A461" i="9"/>
  <c r="T460" i="9"/>
  <c r="S460" i="9"/>
  <c r="Q460" i="9"/>
  <c r="P460" i="9"/>
  <c r="N460" i="9"/>
  <c r="M460" i="9"/>
  <c r="A460" i="9"/>
  <c r="T459" i="9"/>
  <c r="S459" i="9"/>
  <c r="Q459" i="9"/>
  <c r="P459" i="9"/>
  <c r="N459" i="9"/>
  <c r="M459" i="9"/>
  <c r="A459" i="9"/>
  <c r="T458" i="9"/>
  <c r="S458" i="9"/>
  <c r="Q458" i="9"/>
  <c r="P458" i="9"/>
  <c r="N458" i="9"/>
  <c r="M458" i="9"/>
  <c r="A458" i="9"/>
  <c r="T457" i="9"/>
  <c r="S457" i="9"/>
  <c r="Q457" i="9"/>
  <c r="P457" i="9"/>
  <c r="N457" i="9"/>
  <c r="M457" i="9"/>
  <c r="A457" i="9"/>
  <c r="T456" i="9"/>
  <c r="S456" i="9"/>
  <c r="Q456" i="9"/>
  <c r="P456" i="9"/>
  <c r="N456" i="9"/>
  <c r="M456" i="9"/>
  <c r="A456" i="9"/>
  <c r="T455" i="9"/>
  <c r="S455" i="9"/>
  <c r="Q455" i="9"/>
  <c r="P455" i="9"/>
  <c r="N455" i="9"/>
  <c r="M455" i="9"/>
  <c r="A455" i="9"/>
  <c r="T454" i="9"/>
  <c r="S454" i="9"/>
  <c r="Q454" i="9"/>
  <c r="P454" i="9"/>
  <c r="N454" i="9"/>
  <c r="M454" i="9"/>
  <c r="A454" i="9"/>
  <c r="T453" i="9"/>
  <c r="S453" i="9"/>
  <c r="Q453" i="9"/>
  <c r="P453" i="9"/>
  <c r="N453" i="9"/>
  <c r="M453" i="9"/>
  <c r="A453" i="9"/>
  <c r="T452" i="9"/>
  <c r="S452" i="9"/>
  <c r="Q452" i="9"/>
  <c r="P452" i="9"/>
  <c r="N452" i="9"/>
  <c r="M452" i="9"/>
  <c r="A452" i="9"/>
  <c r="T451" i="9"/>
  <c r="S451" i="9"/>
  <c r="Q451" i="9"/>
  <c r="P451" i="9"/>
  <c r="N451" i="9"/>
  <c r="M451" i="9"/>
  <c r="A451" i="9"/>
  <c r="T450" i="9"/>
  <c r="S450" i="9"/>
  <c r="Q450" i="9"/>
  <c r="P450" i="9"/>
  <c r="N450" i="9"/>
  <c r="M450" i="9"/>
  <c r="A450" i="9"/>
  <c r="T449" i="9"/>
  <c r="S449" i="9"/>
  <c r="Q449" i="9"/>
  <c r="P449" i="9"/>
  <c r="N449" i="9"/>
  <c r="M449" i="9"/>
  <c r="A449" i="9"/>
  <c r="T448" i="9"/>
  <c r="S448" i="9"/>
  <c r="Q448" i="9"/>
  <c r="P448" i="9"/>
  <c r="N448" i="9"/>
  <c r="M448" i="9"/>
  <c r="A448" i="9"/>
  <c r="T447" i="9"/>
  <c r="S447" i="9"/>
  <c r="Q447" i="9"/>
  <c r="P447" i="9"/>
  <c r="N447" i="9"/>
  <c r="M447" i="9"/>
  <c r="A447" i="9"/>
  <c r="T446" i="9"/>
  <c r="S446" i="9"/>
  <c r="Q446" i="9"/>
  <c r="P446" i="9"/>
  <c r="N446" i="9"/>
  <c r="M446" i="9"/>
  <c r="A446" i="9"/>
  <c r="T445" i="9"/>
  <c r="S445" i="9"/>
  <c r="Q445" i="9"/>
  <c r="P445" i="9"/>
  <c r="N445" i="9"/>
  <c r="M445" i="9"/>
  <c r="A445" i="9"/>
  <c r="T444" i="9"/>
  <c r="S444" i="9"/>
  <c r="Q444" i="9"/>
  <c r="P444" i="9"/>
  <c r="N444" i="9"/>
  <c r="M444" i="9"/>
  <c r="A444" i="9"/>
  <c r="T443" i="9"/>
  <c r="S443" i="9"/>
  <c r="Q443" i="9"/>
  <c r="P443" i="9"/>
  <c r="N443" i="9"/>
  <c r="M443" i="9"/>
  <c r="A443" i="9"/>
  <c r="T442" i="9"/>
  <c r="S442" i="9"/>
  <c r="Q442" i="9"/>
  <c r="P442" i="9"/>
  <c r="N442" i="9"/>
  <c r="M442" i="9"/>
  <c r="A442" i="9"/>
  <c r="T441" i="9"/>
  <c r="S441" i="9"/>
  <c r="Q441" i="9"/>
  <c r="P441" i="9"/>
  <c r="N441" i="9"/>
  <c r="M441" i="9"/>
  <c r="A441" i="9"/>
  <c r="T440" i="9"/>
  <c r="S440" i="9"/>
  <c r="Q440" i="9"/>
  <c r="P440" i="9"/>
  <c r="N440" i="9"/>
  <c r="M440" i="9"/>
  <c r="A440" i="9"/>
  <c r="T439" i="9"/>
  <c r="S439" i="9"/>
  <c r="Q439" i="9"/>
  <c r="P439" i="9"/>
  <c r="N439" i="9"/>
  <c r="M439" i="9"/>
  <c r="A439" i="9"/>
  <c r="T438" i="9"/>
  <c r="S438" i="9"/>
  <c r="Q438" i="9"/>
  <c r="P438" i="9"/>
  <c r="N438" i="9"/>
  <c r="M438" i="9"/>
  <c r="A438" i="9"/>
  <c r="T437" i="9"/>
  <c r="S437" i="9"/>
  <c r="Q437" i="9"/>
  <c r="P437" i="9"/>
  <c r="N437" i="9"/>
  <c r="M437" i="9"/>
  <c r="A437" i="9"/>
  <c r="T436" i="9"/>
  <c r="S436" i="9"/>
  <c r="Q436" i="9"/>
  <c r="P436" i="9"/>
  <c r="N436" i="9"/>
  <c r="M436" i="9"/>
  <c r="A436" i="9"/>
  <c r="T435" i="9"/>
  <c r="S435" i="9"/>
  <c r="Q435" i="9"/>
  <c r="P435" i="9"/>
  <c r="N435" i="9"/>
  <c r="M435" i="9"/>
  <c r="A435" i="9"/>
  <c r="T434" i="9"/>
  <c r="S434" i="9"/>
  <c r="Q434" i="9"/>
  <c r="P434" i="9"/>
  <c r="N434" i="9"/>
  <c r="M434" i="9"/>
  <c r="A434" i="9"/>
  <c r="T433" i="9"/>
  <c r="S433" i="9"/>
  <c r="Q433" i="9"/>
  <c r="P433" i="9"/>
  <c r="N433" i="9"/>
  <c r="M433" i="9"/>
  <c r="A433" i="9"/>
  <c r="T432" i="9"/>
  <c r="S432" i="9"/>
  <c r="Q432" i="9"/>
  <c r="P432" i="9"/>
  <c r="N432" i="9"/>
  <c r="M432" i="9"/>
  <c r="A432" i="9"/>
  <c r="T431" i="9"/>
  <c r="S431" i="9"/>
  <c r="Q431" i="9"/>
  <c r="P431" i="9"/>
  <c r="N431" i="9"/>
  <c r="M431" i="9"/>
  <c r="A431" i="9"/>
  <c r="T430" i="9"/>
  <c r="S430" i="9"/>
  <c r="Q430" i="9"/>
  <c r="P430" i="9"/>
  <c r="N430" i="9"/>
  <c r="M430" i="9"/>
  <c r="A430" i="9"/>
  <c r="T429" i="9"/>
  <c r="S429" i="9"/>
  <c r="Q429" i="9"/>
  <c r="P429" i="9"/>
  <c r="N429" i="9"/>
  <c r="M429" i="9"/>
  <c r="A429" i="9"/>
  <c r="T428" i="9"/>
  <c r="S428" i="9"/>
  <c r="Q428" i="9"/>
  <c r="P428" i="9"/>
  <c r="N428" i="9"/>
  <c r="M428" i="9"/>
  <c r="A428" i="9"/>
  <c r="T427" i="9"/>
  <c r="S427" i="9"/>
  <c r="Q427" i="9"/>
  <c r="P427" i="9"/>
  <c r="N427" i="9"/>
  <c r="M427" i="9"/>
  <c r="A427" i="9"/>
  <c r="T426" i="9"/>
  <c r="S426" i="9"/>
  <c r="Q426" i="9"/>
  <c r="P426" i="9"/>
  <c r="N426" i="9"/>
  <c r="M426" i="9"/>
  <c r="A426" i="9"/>
  <c r="T425" i="9"/>
  <c r="S425" i="9"/>
  <c r="Q425" i="9"/>
  <c r="P425" i="9"/>
  <c r="N425" i="9"/>
  <c r="M425" i="9"/>
  <c r="A425" i="9"/>
  <c r="T424" i="9"/>
  <c r="S424" i="9"/>
  <c r="Q424" i="9"/>
  <c r="P424" i="9"/>
  <c r="N424" i="9"/>
  <c r="M424" i="9"/>
  <c r="A424" i="9"/>
  <c r="T423" i="9"/>
  <c r="S423" i="9"/>
  <c r="Q423" i="9"/>
  <c r="P423" i="9"/>
  <c r="N423" i="9"/>
  <c r="M423" i="9"/>
  <c r="A423" i="9"/>
  <c r="T422" i="9"/>
  <c r="S422" i="9"/>
  <c r="Q422" i="9"/>
  <c r="P422" i="9"/>
  <c r="N422" i="9"/>
  <c r="M422" i="9"/>
  <c r="A422" i="9"/>
  <c r="T421" i="9"/>
  <c r="S421" i="9"/>
  <c r="Q421" i="9"/>
  <c r="P421" i="9"/>
  <c r="N421" i="9"/>
  <c r="M421" i="9"/>
  <c r="A421" i="9"/>
  <c r="T420" i="9"/>
  <c r="S420" i="9"/>
  <c r="Q420" i="9"/>
  <c r="P420" i="9"/>
  <c r="N420" i="9"/>
  <c r="M420" i="9"/>
  <c r="A420" i="9"/>
  <c r="T419" i="9"/>
  <c r="S419" i="9"/>
  <c r="Q419" i="9"/>
  <c r="P419" i="9"/>
  <c r="N419" i="9"/>
  <c r="M419" i="9"/>
  <c r="A419" i="9"/>
  <c r="T418" i="9"/>
  <c r="S418" i="9"/>
  <c r="Q418" i="9"/>
  <c r="P418" i="9"/>
  <c r="N418" i="9"/>
  <c r="M418" i="9"/>
  <c r="A418" i="9"/>
  <c r="T417" i="9"/>
  <c r="S417" i="9"/>
  <c r="Q417" i="9"/>
  <c r="P417" i="9"/>
  <c r="N417" i="9"/>
  <c r="M417" i="9"/>
  <c r="A417" i="9"/>
  <c r="T416" i="9"/>
  <c r="S416" i="9"/>
  <c r="Q416" i="9"/>
  <c r="P416" i="9"/>
  <c r="N416" i="9"/>
  <c r="M416" i="9"/>
  <c r="A416" i="9"/>
  <c r="T415" i="9"/>
  <c r="S415" i="9"/>
  <c r="Q415" i="9"/>
  <c r="P415" i="9"/>
  <c r="N415" i="9"/>
  <c r="M415" i="9"/>
  <c r="A415" i="9"/>
  <c r="T414" i="9"/>
  <c r="S414" i="9"/>
  <c r="Q414" i="9"/>
  <c r="P414" i="9"/>
  <c r="N414" i="9"/>
  <c r="M414" i="9"/>
  <c r="A414" i="9"/>
  <c r="T413" i="9"/>
  <c r="S413" i="9"/>
  <c r="Q413" i="9"/>
  <c r="P413" i="9"/>
  <c r="N413" i="9"/>
  <c r="M413" i="9"/>
  <c r="A413" i="9"/>
  <c r="T412" i="9"/>
  <c r="S412" i="9"/>
  <c r="Q412" i="9"/>
  <c r="P412" i="9"/>
  <c r="N412" i="9"/>
  <c r="M412" i="9"/>
  <c r="A412" i="9"/>
  <c r="T411" i="9"/>
  <c r="S411" i="9"/>
  <c r="Q411" i="9"/>
  <c r="P411" i="9"/>
  <c r="N411" i="9"/>
  <c r="M411" i="9"/>
  <c r="A411" i="9"/>
  <c r="T410" i="9"/>
  <c r="S410" i="9"/>
  <c r="Q410" i="9"/>
  <c r="P410" i="9"/>
  <c r="N410" i="9"/>
  <c r="M410" i="9"/>
  <c r="A410" i="9"/>
  <c r="T409" i="9"/>
  <c r="S409" i="9"/>
  <c r="Q409" i="9"/>
  <c r="P409" i="9"/>
  <c r="N409" i="9"/>
  <c r="M409" i="9"/>
  <c r="A409" i="9"/>
  <c r="T408" i="9"/>
  <c r="S408" i="9"/>
  <c r="Q408" i="9"/>
  <c r="P408" i="9"/>
  <c r="N408" i="9"/>
  <c r="M408" i="9"/>
  <c r="A408" i="9"/>
  <c r="T407" i="9"/>
  <c r="S407" i="9"/>
  <c r="Q407" i="9"/>
  <c r="P407" i="9"/>
  <c r="N407" i="9"/>
  <c r="M407" i="9"/>
  <c r="A407" i="9"/>
  <c r="T406" i="9"/>
  <c r="S406" i="9"/>
  <c r="Q406" i="9"/>
  <c r="P406" i="9"/>
  <c r="N406" i="9"/>
  <c r="M406" i="9"/>
  <c r="A406" i="9"/>
  <c r="T405" i="9"/>
  <c r="S405" i="9"/>
  <c r="Q405" i="9"/>
  <c r="P405" i="9"/>
  <c r="N405" i="9"/>
  <c r="M405" i="9"/>
  <c r="A405" i="9"/>
  <c r="T404" i="9"/>
  <c r="S404" i="9"/>
  <c r="Q404" i="9"/>
  <c r="P404" i="9"/>
  <c r="N404" i="9"/>
  <c r="M404" i="9"/>
  <c r="A404" i="9"/>
  <c r="T403" i="9"/>
  <c r="S403" i="9"/>
  <c r="Q403" i="9"/>
  <c r="P403" i="9"/>
  <c r="N403" i="9"/>
  <c r="M403" i="9"/>
  <c r="A403" i="9"/>
  <c r="T402" i="9"/>
  <c r="S402" i="9"/>
  <c r="Q402" i="9"/>
  <c r="P402" i="9"/>
  <c r="N402" i="9"/>
  <c r="M402" i="9"/>
  <c r="A402" i="9"/>
  <c r="T401" i="9"/>
  <c r="S401" i="9"/>
  <c r="Q401" i="9"/>
  <c r="P401" i="9"/>
  <c r="N401" i="9"/>
  <c r="M401" i="9"/>
  <c r="A401" i="9"/>
  <c r="T400" i="9"/>
  <c r="S400" i="9"/>
  <c r="Q400" i="9"/>
  <c r="P400" i="9"/>
  <c r="N400" i="9"/>
  <c r="M400" i="9"/>
  <c r="A400" i="9"/>
  <c r="T399" i="9"/>
  <c r="S399" i="9"/>
  <c r="Q399" i="9"/>
  <c r="P399" i="9"/>
  <c r="N399" i="9"/>
  <c r="M399" i="9"/>
  <c r="A399" i="9"/>
  <c r="T398" i="9"/>
  <c r="S398" i="9"/>
  <c r="Q398" i="9"/>
  <c r="P398" i="9"/>
  <c r="N398" i="9"/>
  <c r="M398" i="9"/>
  <c r="A398" i="9"/>
  <c r="T397" i="9"/>
  <c r="S397" i="9"/>
  <c r="Q397" i="9"/>
  <c r="P397" i="9"/>
  <c r="N397" i="9"/>
  <c r="M397" i="9"/>
  <c r="A397" i="9"/>
  <c r="T396" i="9"/>
  <c r="S396" i="9"/>
  <c r="Q396" i="9"/>
  <c r="P396" i="9"/>
  <c r="N396" i="9"/>
  <c r="M396" i="9"/>
  <c r="A396" i="9"/>
  <c r="T395" i="9"/>
  <c r="S395" i="9"/>
  <c r="Q395" i="9"/>
  <c r="P395" i="9"/>
  <c r="N395" i="9"/>
  <c r="M395" i="9"/>
  <c r="A395" i="9"/>
  <c r="T394" i="9"/>
  <c r="S394" i="9"/>
  <c r="Q394" i="9"/>
  <c r="P394" i="9"/>
  <c r="N394" i="9"/>
  <c r="M394" i="9"/>
  <c r="A394" i="9"/>
  <c r="T393" i="9"/>
  <c r="S393" i="9"/>
  <c r="Q393" i="9"/>
  <c r="P393" i="9"/>
  <c r="N393" i="9"/>
  <c r="M393" i="9"/>
  <c r="A393" i="9"/>
  <c r="T392" i="9"/>
  <c r="S392" i="9"/>
  <c r="Q392" i="9"/>
  <c r="P392" i="9"/>
  <c r="N392" i="9"/>
  <c r="M392" i="9"/>
  <c r="A392" i="9"/>
  <c r="T391" i="9"/>
  <c r="S391" i="9"/>
  <c r="Q391" i="9"/>
  <c r="P391" i="9"/>
  <c r="N391" i="9"/>
  <c r="M391" i="9"/>
  <c r="A391" i="9"/>
  <c r="T390" i="9"/>
  <c r="S390" i="9"/>
  <c r="Q390" i="9"/>
  <c r="P390" i="9"/>
  <c r="N390" i="9"/>
  <c r="M390" i="9"/>
  <c r="A390" i="9"/>
  <c r="T389" i="9"/>
  <c r="S389" i="9"/>
  <c r="Q389" i="9"/>
  <c r="P389" i="9"/>
  <c r="N389" i="9"/>
  <c r="M389" i="9"/>
  <c r="A389" i="9"/>
  <c r="T388" i="9"/>
  <c r="S388" i="9"/>
  <c r="P388" i="9"/>
  <c r="N388" i="9"/>
  <c r="M388" i="9"/>
  <c r="A388" i="9"/>
  <c r="T387" i="9"/>
  <c r="S387" i="9"/>
  <c r="P387" i="9"/>
  <c r="N387" i="9"/>
  <c r="A387" i="9"/>
  <c r="T386" i="9"/>
  <c r="S386" i="9"/>
  <c r="P386" i="9"/>
  <c r="N386" i="9"/>
  <c r="A386" i="9"/>
  <c r="T385" i="9"/>
  <c r="S385" i="9"/>
  <c r="Q385" i="9"/>
  <c r="P385" i="9"/>
  <c r="N385" i="9"/>
  <c r="M385" i="9"/>
  <c r="A385" i="9"/>
  <c r="T384" i="9"/>
  <c r="S384" i="9"/>
  <c r="Q384" i="9"/>
  <c r="P384" i="9"/>
  <c r="N384" i="9"/>
  <c r="M384" i="9"/>
  <c r="A384" i="9"/>
  <c r="T383" i="9"/>
  <c r="S383" i="9"/>
  <c r="Q383" i="9"/>
  <c r="P383" i="9"/>
  <c r="N383" i="9"/>
  <c r="M383" i="9"/>
  <c r="A383" i="9"/>
  <c r="T382" i="9"/>
  <c r="S382" i="9"/>
  <c r="Q382" i="9"/>
  <c r="P382" i="9"/>
  <c r="N382" i="9"/>
  <c r="M382" i="9"/>
  <c r="A382" i="9"/>
  <c r="T381" i="9"/>
  <c r="S381" i="9"/>
  <c r="Q381" i="9"/>
  <c r="P381" i="9"/>
  <c r="N381" i="9"/>
  <c r="M381" i="9"/>
  <c r="A381" i="9"/>
  <c r="T380" i="9"/>
  <c r="S380" i="9"/>
  <c r="Q380" i="9"/>
  <c r="P380" i="9"/>
  <c r="N380" i="9"/>
  <c r="M380" i="9"/>
  <c r="A380" i="9"/>
  <c r="T379" i="9"/>
  <c r="S379" i="9"/>
  <c r="Q379" i="9"/>
  <c r="P379" i="9"/>
  <c r="N379" i="9"/>
  <c r="M379" i="9"/>
  <c r="A379" i="9"/>
  <c r="T378" i="9"/>
  <c r="S378" i="9"/>
  <c r="Q378" i="9"/>
  <c r="P378" i="9"/>
  <c r="N378" i="9"/>
  <c r="M378" i="9"/>
  <c r="A378" i="9"/>
  <c r="T377" i="9"/>
  <c r="S377" i="9"/>
  <c r="Q377" i="9"/>
  <c r="P377" i="9"/>
  <c r="N377" i="9"/>
  <c r="M377" i="9"/>
  <c r="A377" i="9"/>
  <c r="T376" i="9"/>
  <c r="S376" i="9"/>
  <c r="Q376" i="9"/>
  <c r="P376" i="9"/>
  <c r="N376" i="9"/>
  <c r="M376" i="9"/>
  <c r="A376" i="9"/>
  <c r="T375" i="9"/>
  <c r="S375" i="9"/>
  <c r="Q375" i="9"/>
  <c r="P375" i="9"/>
  <c r="N375" i="9"/>
  <c r="M375" i="9"/>
  <c r="A375" i="9"/>
  <c r="T374" i="9"/>
  <c r="S374" i="9"/>
  <c r="Q374" i="9"/>
  <c r="P374" i="9"/>
  <c r="N374" i="9"/>
  <c r="M374" i="9"/>
  <c r="A374" i="9"/>
  <c r="T373" i="9"/>
  <c r="S373" i="9"/>
  <c r="Q373" i="9"/>
  <c r="P373" i="9"/>
  <c r="N373" i="9"/>
  <c r="M373" i="9"/>
  <c r="A373" i="9"/>
  <c r="T372" i="9"/>
  <c r="S372" i="9"/>
  <c r="Q372" i="9"/>
  <c r="P372" i="9"/>
  <c r="N372" i="9"/>
  <c r="M372" i="9"/>
  <c r="A372" i="9"/>
  <c r="T371" i="9"/>
  <c r="S371" i="9"/>
  <c r="Q371" i="9"/>
  <c r="P371" i="9"/>
  <c r="N371" i="9"/>
  <c r="M371" i="9"/>
  <c r="A371" i="9"/>
  <c r="T370" i="9"/>
  <c r="S370" i="9"/>
  <c r="Q370" i="9"/>
  <c r="P370" i="9"/>
  <c r="N370" i="9"/>
  <c r="M370" i="9"/>
  <c r="A370" i="9"/>
  <c r="T369" i="9"/>
  <c r="S369" i="9"/>
  <c r="Q369" i="9"/>
  <c r="P369" i="9"/>
  <c r="N369" i="9"/>
  <c r="M369" i="9"/>
  <c r="A369" i="9"/>
  <c r="T368" i="9"/>
  <c r="S368" i="9"/>
  <c r="Q368" i="9"/>
  <c r="P368" i="9"/>
  <c r="N368" i="9"/>
  <c r="M368" i="9"/>
  <c r="A368" i="9"/>
  <c r="T367" i="9"/>
  <c r="S367" i="9"/>
  <c r="Q367" i="9"/>
  <c r="P367" i="9"/>
  <c r="N367" i="9"/>
  <c r="M367" i="9"/>
  <c r="A367" i="9"/>
  <c r="T366" i="9"/>
  <c r="S366" i="9"/>
  <c r="Q366" i="9"/>
  <c r="P366" i="9"/>
  <c r="N366" i="9"/>
  <c r="M366" i="9"/>
  <c r="A366" i="9"/>
  <c r="T365" i="9"/>
  <c r="S365" i="9"/>
  <c r="Q365" i="9"/>
  <c r="P365" i="9"/>
  <c r="N365" i="9"/>
  <c r="M365" i="9"/>
  <c r="A365" i="9"/>
  <c r="T364" i="9"/>
  <c r="Q364" i="9"/>
  <c r="P364" i="9"/>
  <c r="N364" i="9"/>
  <c r="M364" i="9"/>
  <c r="A364" i="9"/>
  <c r="T363" i="9"/>
  <c r="S363" i="9"/>
  <c r="Q363" i="9"/>
  <c r="P363" i="9"/>
  <c r="N363" i="9"/>
  <c r="M363" i="9"/>
  <c r="A363" i="9"/>
  <c r="T362" i="9"/>
  <c r="S362" i="9"/>
  <c r="Q362" i="9"/>
  <c r="P362" i="9"/>
  <c r="N362" i="9"/>
  <c r="M362" i="9"/>
  <c r="A362" i="9"/>
  <c r="T361" i="9"/>
  <c r="S361" i="9"/>
  <c r="Q361" i="9"/>
  <c r="P361" i="9"/>
  <c r="N361" i="9"/>
  <c r="M361" i="9"/>
  <c r="A361" i="9"/>
  <c r="T360" i="9"/>
  <c r="S360" i="9"/>
  <c r="Q360" i="9"/>
  <c r="P360" i="9"/>
  <c r="N360" i="9"/>
  <c r="M360" i="9"/>
  <c r="A360" i="9"/>
  <c r="T359" i="9"/>
  <c r="S359" i="9"/>
  <c r="Q359" i="9"/>
  <c r="P359" i="9"/>
  <c r="N359" i="9"/>
  <c r="M359" i="9"/>
  <c r="A359" i="9"/>
  <c r="T358" i="9"/>
  <c r="S358" i="9"/>
  <c r="Q358" i="9"/>
  <c r="P358" i="9"/>
  <c r="N358" i="9"/>
  <c r="M358" i="9"/>
  <c r="A358" i="9"/>
  <c r="T357" i="9"/>
  <c r="S357" i="9"/>
  <c r="P357" i="9"/>
  <c r="N357" i="9"/>
  <c r="M357" i="9"/>
  <c r="A357" i="9"/>
  <c r="T356" i="9"/>
  <c r="S356" i="9"/>
  <c r="Q356" i="9"/>
  <c r="P356" i="9"/>
  <c r="N356" i="9"/>
  <c r="M356" i="9"/>
  <c r="A356" i="9"/>
  <c r="T355" i="9"/>
  <c r="S355" i="9"/>
  <c r="Q355" i="9"/>
  <c r="P355" i="9"/>
  <c r="N355" i="9"/>
  <c r="M355" i="9"/>
  <c r="A355" i="9"/>
  <c r="T354" i="9"/>
  <c r="S354" i="9"/>
  <c r="Q354" i="9"/>
  <c r="P354" i="9"/>
  <c r="N354" i="9"/>
  <c r="M354" i="9"/>
  <c r="A354" i="9"/>
  <c r="T353" i="9"/>
  <c r="S353" i="9"/>
  <c r="Q353" i="9"/>
  <c r="P353" i="9"/>
  <c r="N353" i="9"/>
  <c r="M353" i="9"/>
  <c r="A353" i="9"/>
  <c r="T352" i="9"/>
  <c r="S352" i="9"/>
  <c r="Q352" i="9"/>
  <c r="P352" i="9"/>
  <c r="N352" i="9"/>
  <c r="M352" i="9"/>
  <c r="A352" i="9"/>
  <c r="T351" i="9"/>
  <c r="S351" i="9"/>
  <c r="Q351" i="9"/>
  <c r="P351" i="9"/>
  <c r="N351" i="9"/>
  <c r="M351" i="9"/>
  <c r="A351" i="9"/>
  <c r="T350" i="9"/>
  <c r="S350" i="9"/>
  <c r="Q350" i="9"/>
  <c r="P350" i="9"/>
  <c r="N350" i="9"/>
  <c r="M350" i="9"/>
  <c r="A350" i="9"/>
  <c r="T349" i="9"/>
  <c r="S349" i="9"/>
  <c r="P349" i="9"/>
  <c r="N349" i="9"/>
  <c r="M349" i="9"/>
  <c r="A349" i="9"/>
  <c r="T348" i="9"/>
  <c r="S348" i="9"/>
  <c r="Q348" i="9"/>
  <c r="P348" i="9"/>
  <c r="N348" i="9"/>
  <c r="M348" i="9"/>
  <c r="A348" i="9"/>
  <c r="T347" i="9"/>
  <c r="S347" i="9"/>
  <c r="Q347" i="9"/>
  <c r="P347" i="9"/>
  <c r="N347" i="9"/>
  <c r="M347" i="9"/>
  <c r="A347" i="9"/>
  <c r="T346" i="9"/>
  <c r="S346" i="9"/>
  <c r="Q346" i="9"/>
  <c r="P346" i="9"/>
  <c r="M346" i="9"/>
  <c r="A346" i="9"/>
  <c r="T345" i="9"/>
  <c r="S345" i="9"/>
  <c r="Q345" i="9"/>
  <c r="P345" i="9"/>
  <c r="N345" i="9"/>
  <c r="M345" i="9"/>
  <c r="A345" i="9"/>
  <c r="T344" i="9"/>
  <c r="S344" i="9"/>
  <c r="Q344" i="9"/>
  <c r="P344" i="9"/>
  <c r="N344" i="9"/>
  <c r="M344" i="9"/>
  <c r="A344" i="9"/>
  <c r="T343" i="9"/>
  <c r="S343" i="9"/>
  <c r="Q343" i="9"/>
  <c r="P343" i="9"/>
  <c r="N343" i="9"/>
  <c r="M343" i="9"/>
  <c r="A343" i="9"/>
  <c r="T342" i="9"/>
  <c r="S342" i="9"/>
  <c r="Q342" i="9"/>
  <c r="P342" i="9"/>
  <c r="N342" i="9"/>
  <c r="M342" i="9"/>
  <c r="A342" i="9"/>
  <c r="T341" i="9"/>
  <c r="S341" i="9"/>
  <c r="Q341" i="9"/>
  <c r="P341" i="9"/>
  <c r="N341" i="9"/>
  <c r="M341" i="9"/>
  <c r="A341" i="9"/>
  <c r="T340" i="9"/>
  <c r="S340" i="9"/>
  <c r="Q340" i="9"/>
  <c r="P340" i="9"/>
  <c r="N340" i="9"/>
  <c r="M340" i="9"/>
  <c r="A340" i="9"/>
  <c r="T339" i="9"/>
  <c r="S339" i="9"/>
  <c r="Q339" i="9"/>
  <c r="P339" i="9"/>
  <c r="N339" i="9"/>
  <c r="M339" i="9"/>
  <c r="A339" i="9"/>
  <c r="T338" i="9"/>
  <c r="S338" i="9"/>
  <c r="Q338" i="9"/>
  <c r="P338" i="9"/>
  <c r="N338" i="9"/>
  <c r="M338" i="9"/>
  <c r="A338" i="9"/>
  <c r="T337" i="9"/>
  <c r="S337" i="9"/>
  <c r="Q337" i="9"/>
  <c r="P337" i="9"/>
  <c r="N337" i="9"/>
  <c r="M337" i="9"/>
  <c r="A337" i="9"/>
  <c r="T336" i="9"/>
  <c r="S336" i="9"/>
  <c r="Q336" i="9"/>
  <c r="P336" i="9"/>
  <c r="N336" i="9"/>
  <c r="M336" i="9"/>
  <c r="A336" i="9"/>
  <c r="T335" i="9"/>
  <c r="S335" i="9"/>
  <c r="Q335" i="9"/>
  <c r="P335" i="9"/>
  <c r="N335" i="9"/>
  <c r="M335" i="9"/>
  <c r="A335" i="9"/>
  <c r="T334" i="9"/>
  <c r="S334" i="9"/>
  <c r="Q334" i="9"/>
  <c r="P334" i="9"/>
  <c r="N334" i="9"/>
  <c r="M334" i="9"/>
  <c r="A334" i="9"/>
  <c r="T333" i="9"/>
  <c r="S333" i="9"/>
  <c r="Q333" i="9"/>
  <c r="P333" i="9"/>
  <c r="N333" i="9"/>
  <c r="M333" i="9"/>
  <c r="A333" i="9"/>
  <c r="T332" i="9"/>
  <c r="Q332" i="9"/>
  <c r="P332" i="9"/>
  <c r="N332" i="9"/>
  <c r="M332" i="9"/>
  <c r="A332" i="9"/>
  <c r="T331" i="9"/>
  <c r="S331" i="9"/>
  <c r="Q331" i="9"/>
  <c r="P331" i="9"/>
  <c r="N331" i="9"/>
  <c r="M331" i="9"/>
  <c r="A331" i="9"/>
  <c r="T330" i="9"/>
  <c r="S330" i="9"/>
  <c r="Q330" i="9"/>
  <c r="P330" i="9"/>
  <c r="N330" i="9"/>
  <c r="M330" i="9"/>
  <c r="A330" i="9"/>
  <c r="T329" i="9"/>
  <c r="S329" i="9"/>
  <c r="Q329" i="9"/>
  <c r="P329" i="9"/>
  <c r="N329" i="9"/>
  <c r="M329" i="9"/>
  <c r="A329" i="9"/>
  <c r="T328" i="9"/>
  <c r="S328" i="9"/>
  <c r="Q328" i="9"/>
  <c r="P328" i="9"/>
  <c r="N328" i="9"/>
  <c r="M328" i="9"/>
  <c r="A328" i="9"/>
  <c r="T327" i="9"/>
  <c r="S327" i="9"/>
  <c r="Q327" i="9"/>
  <c r="P327" i="9"/>
  <c r="N327" i="9"/>
  <c r="M327" i="9"/>
  <c r="A327" i="9"/>
  <c r="T326" i="9"/>
  <c r="S326" i="9"/>
  <c r="Q326" i="9"/>
  <c r="P326" i="9"/>
  <c r="N326" i="9"/>
  <c r="M326" i="9"/>
  <c r="T325" i="9"/>
  <c r="S325" i="9"/>
  <c r="Q325" i="9"/>
  <c r="P325" i="9"/>
  <c r="N325" i="9"/>
  <c r="M325" i="9"/>
  <c r="A325" i="9"/>
  <c r="T324" i="9"/>
  <c r="S324" i="9"/>
  <c r="Q324" i="9"/>
  <c r="P324" i="9"/>
  <c r="N324" i="9"/>
  <c r="M324" i="9"/>
  <c r="A324" i="9"/>
  <c r="T323" i="9"/>
  <c r="S323" i="9"/>
  <c r="P323" i="9"/>
  <c r="M323" i="9"/>
  <c r="A323" i="9"/>
  <c r="T322" i="9"/>
  <c r="M322" i="9"/>
  <c r="A322" i="9"/>
  <c r="T321" i="9"/>
  <c r="P321" i="9"/>
  <c r="N321" i="9"/>
  <c r="M321" i="9"/>
  <c r="A321" i="9"/>
  <c r="T320" i="9"/>
  <c r="S320" i="9"/>
  <c r="Q320" i="9"/>
  <c r="P320" i="9"/>
  <c r="N320" i="9"/>
  <c r="M320" i="9"/>
  <c r="A320" i="9"/>
  <c r="T319" i="9"/>
  <c r="S319" i="9"/>
  <c r="Q319" i="9"/>
  <c r="P319" i="9"/>
  <c r="N319" i="9"/>
  <c r="M319" i="9"/>
  <c r="A319" i="9"/>
  <c r="T318" i="9"/>
  <c r="S318" i="9"/>
  <c r="Q318" i="9"/>
  <c r="P318" i="9"/>
  <c r="N318" i="9"/>
  <c r="M318" i="9"/>
  <c r="A318" i="9"/>
  <c r="T317" i="9"/>
  <c r="S317" i="9"/>
  <c r="Q317" i="9"/>
  <c r="P317" i="9"/>
  <c r="N317" i="9"/>
  <c r="M317" i="9"/>
  <c r="A317" i="9"/>
  <c r="T316" i="9"/>
  <c r="S316" i="9"/>
  <c r="Q316" i="9"/>
  <c r="P316" i="9"/>
  <c r="N316" i="9"/>
  <c r="M316" i="9"/>
  <c r="A316" i="9"/>
  <c r="T315" i="9"/>
  <c r="S315" i="9"/>
  <c r="Q315" i="9"/>
  <c r="P315" i="9"/>
  <c r="N315" i="9"/>
  <c r="M315" i="9"/>
  <c r="A315" i="9"/>
  <c r="T314" i="9"/>
  <c r="S314" i="9"/>
  <c r="Q314" i="9"/>
  <c r="P314" i="9"/>
  <c r="N314" i="9"/>
  <c r="M314" i="9"/>
  <c r="A314" i="9"/>
  <c r="T313" i="9"/>
  <c r="S313" i="9"/>
  <c r="Q313" i="9"/>
  <c r="P313" i="9"/>
  <c r="N313" i="9"/>
  <c r="M313" i="9"/>
  <c r="A313" i="9"/>
  <c r="T312" i="9"/>
  <c r="S312" i="9"/>
  <c r="Q312" i="9"/>
  <c r="P312" i="9"/>
  <c r="N312" i="9"/>
  <c r="M312" i="9"/>
  <c r="A312" i="9"/>
  <c r="T311" i="9"/>
  <c r="S311" i="9"/>
  <c r="Q311" i="9"/>
  <c r="P311" i="9"/>
  <c r="N311" i="9"/>
  <c r="M311" i="9"/>
  <c r="A311" i="9"/>
  <c r="T310" i="9"/>
  <c r="S310" i="9"/>
  <c r="Q310" i="9"/>
  <c r="P310" i="9"/>
  <c r="N310" i="9"/>
  <c r="M310" i="9"/>
  <c r="A310" i="9"/>
  <c r="T309" i="9"/>
  <c r="S309" i="9"/>
  <c r="Q309" i="9"/>
  <c r="P309" i="9"/>
  <c r="N309" i="9"/>
  <c r="M309" i="9"/>
  <c r="A309" i="9"/>
  <c r="T308" i="9"/>
  <c r="S308" i="9"/>
  <c r="Q308" i="9"/>
  <c r="P308" i="9"/>
  <c r="N308" i="9"/>
  <c r="M308" i="9"/>
  <c r="A308" i="9"/>
  <c r="T307" i="9"/>
  <c r="S307" i="9"/>
  <c r="Q307" i="9"/>
  <c r="P307" i="9"/>
  <c r="N307" i="9"/>
  <c r="M307" i="9"/>
  <c r="A307" i="9"/>
  <c r="T306" i="9"/>
  <c r="S306" i="9"/>
  <c r="Q306" i="9"/>
  <c r="P306" i="9"/>
  <c r="N306" i="9"/>
  <c r="M306" i="9"/>
  <c r="A306" i="9"/>
  <c r="T305" i="9"/>
  <c r="S305" i="9"/>
  <c r="Q305" i="9"/>
  <c r="P305" i="9"/>
  <c r="N305" i="9"/>
  <c r="M305" i="9"/>
  <c r="A305" i="9"/>
  <c r="T304" i="9"/>
  <c r="S304" i="9"/>
  <c r="Q304" i="9"/>
  <c r="P304" i="9"/>
  <c r="N304" i="9"/>
  <c r="M304" i="9"/>
  <c r="A304" i="9"/>
  <c r="T303" i="9"/>
  <c r="S303" i="9"/>
  <c r="Q303" i="9"/>
  <c r="P303" i="9"/>
  <c r="N303" i="9"/>
  <c r="M303" i="9"/>
  <c r="A303" i="9"/>
  <c r="T302" i="9"/>
  <c r="S302" i="9"/>
  <c r="Q302" i="9"/>
  <c r="P302" i="9"/>
  <c r="N302" i="9"/>
  <c r="M302" i="9"/>
  <c r="A302" i="9"/>
  <c r="T301" i="9"/>
  <c r="S301" i="9"/>
  <c r="Q301" i="9"/>
  <c r="P301" i="9"/>
  <c r="N301" i="9"/>
  <c r="M301" i="9"/>
  <c r="A301" i="9"/>
  <c r="T300" i="9"/>
  <c r="S300" i="9"/>
  <c r="Q300" i="9"/>
  <c r="P300" i="9"/>
  <c r="N300" i="9"/>
  <c r="M300" i="9"/>
  <c r="A300" i="9"/>
  <c r="T299" i="9"/>
  <c r="S299" i="9"/>
  <c r="Q299" i="9"/>
  <c r="P299" i="9"/>
  <c r="N299" i="9"/>
  <c r="M299" i="9"/>
  <c r="A299" i="9"/>
  <c r="T298" i="9"/>
  <c r="S298" i="9"/>
  <c r="Q298" i="9"/>
  <c r="P298" i="9"/>
  <c r="N298" i="9"/>
  <c r="M298" i="9"/>
  <c r="A298" i="9"/>
  <c r="T297" i="9"/>
  <c r="S297" i="9"/>
  <c r="Q297" i="9"/>
  <c r="P297" i="9"/>
  <c r="N297" i="9"/>
  <c r="M297" i="9"/>
  <c r="A297" i="9"/>
  <c r="T296" i="9"/>
  <c r="S296" i="9"/>
  <c r="Q296" i="9"/>
  <c r="P296" i="9"/>
  <c r="N296" i="9"/>
  <c r="M296" i="9"/>
  <c r="A296" i="9"/>
  <c r="T295" i="9"/>
  <c r="S295" i="9"/>
  <c r="Q295" i="9"/>
  <c r="P295" i="9"/>
  <c r="N295" i="9"/>
  <c r="M295" i="9"/>
  <c r="A295" i="9"/>
  <c r="T294" i="9"/>
  <c r="S294" i="9"/>
  <c r="Q294" i="9"/>
  <c r="P294" i="9"/>
  <c r="N294" i="9"/>
  <c r="M294" i="9"/>
  <c r="A294" i="9"/>
  <c r="T293" i="9"/>
  <c r="S293" i="9"/>
  <c r="Q293" i="9"/>
  <c r="P293" i="9"/>
  <c r="N293" i="9"/>
  <c r="M293" i="9"/>
  <c r="A293" i="9"/>
  <c r="T292" i="9"/>
  <c r="S292" i="9"/>
  <c r="Q292" i="9"/>
  <c r="P292" i="9"/>
  <c r="N292" i="9"/>
  <c r="M292" i="9"/>
  <c r="A292" i="9"/>
  <c r="T291" i="9"/>
  <c r="S291" i="9"/>
  <c r="Q291" i="9"/>
  <c r="P291" i="9"/>
  <c r="N291" i="9"/>
  <c r="M291" i="9"/>
  <c r="A291" i="9"/>
  <c r="T290" i="9"/>
  <c r="S290" i="9"/>
  <c r="Q290" i="9"/>
  <c r="P290" i="9"/>
  <c r="N290" i="9"/>
  <c r="M290" i="9"/>
  <c r="A290" i="9"/>
  <c r="T289" i="9"/>
  <c r="S289" i="9"/>
  <c r="Q289" i="9"/>
  <c r="P289" i="9"/>
  <c r="N289" i="9"/>
  <c r="M289" i="9"/>
  <c r="A289" i="9"/>
  <c r="T288" i="9"/>
  <c r="S288" i="9"/>
  <c r="Q288" i="9"/>
  <c r="P288" i="9"/>
  <c r="N288" i="9"/>
  <c r="M288" i="9"/>
  <c r="A288" i="9"/>
  <c r="T287" i="9"/>
  <c r="S287" i="9"/>
  <c r="Q287" i="9"/>
  <c r="P287" i="9"/>
  <c r="N287" i="9"/>
  <c r="M287" i="9"/>
  <c r="A287" i="9"/>
  <c r="T286" i="9"/>
  <c r="S286" i="9"/>
  <c r="Q286" i="9"/>
  <c r="P286" i="9"/>
  <c r="N286" i="9"/>
  <c r="M286" i="9"/>
  <c r="A286" i="9"/>
  <c r="T285" i="9"/>
  <c r="S285" i="9"/>
  <c r="Q285" i="9"/>
  <c r="P285" i="9"/>
  <c r="N285" i="9"/>
  <c r="M285" i="9"/>
  <c r="A285" i="9"/>
  <c r="T284" i="9"/>
  <c r="S284" i="9"/>
  <c r="Q284" i="9"/>
  <c r="P284" i="9"/>
  <c r="N284" i="9"/>
  <c r="M284" i="9"/>
  <c r="A284" i="9"/>
  <c r="T283" i="9"/>
  <c r="S283" i="9"/>
  <c r="Q283" i="9"/>
  <c r="P283" i="9"/>
  <c r="N283" i="9"/>
  <c r="M283" i="9"/>
  <c r="A283" i="9"/>
  <c r="T282" i="9"/>
  <c r="S282" i="9"/>
  <c r="Q282" i="9"/>
  <c r="P282" i="9"/>
  <c r="N282" i="9"/>
  <c r="M282" i="9"/>
  <c r="A282" i="9"/>
  <c r="T281" i="9"/>
  <c r="S281" i="9"/>
  <c r="Q281" i="9"/>
  <c r="P281" i="9"/>
  <c r="N281" i="9"/>
  <c r="M281" i="9"/>
  <c r="A281" i="9"/>
  <c r="T280" i="9"/>
  <c r="S280" i="9"/>
  <c r="Q280" i="9"/>
  <c r="P280" i="9"/>
  <c r="N280" i="9"/>
  <c r="M280" i="9"/>
  <c r="A280" i="9"/>
  <c r="T279" i="9"/>
  <c r="S279" i="9"/>
  <c r="Q279" i="9"/>
  <c r="P279" i="9"/>
  <c r="N279" i="9"/>
  <c r="M279" i="9"/>
  <c r="A279" i="9"/>
  <c r="T278" i="9"/>
  <c r="S278" i="9"/>
  <c r="Q278" i="9"/>
  <c r="P278" i="9"/>
  <c r="N278" i="9"/>
  <c r="M278" i="9"/>
  <c r="A278" i="9"/>
  <c r="T277" i="9"/>
  <c r="S277" i="9"/>
  <c r="Q277" i="9"/>
  <c r="P277" i="9"/>
  <c r="N277" i="9"/>
  <c r="M277" i="9"/>
  <c r="A277" i="9"/>
  <c r="T276" i="9"/>
  <c r="S276" i="9"/>
  <c r="Q276" i="9"/>
  <c r="P276" i="9"/>
  <c r="N276" i="9"/>
  <c r="M276" i="9"/>
  <c r="A276" i="9"/>
  <c r="T275" i="9"/>
  <c r="S275" i="9"/>
  <c r="Q275" i="9"/>
  <c r="P275" i="9"/>
  <c r="N275" i="9"/>
  <c r="M275" i="9"/>
  <c r="A275" i="9"/>
  <c r="T274" i="9"/>
  <c r="S274" i="9"/>
  <c r="Q274" i="9"/>
  <c r="P274" i="9"/>
  <c r="N274" i="9"/>
  <c r="M274" i="9"/>
  <c r="A274" i="9"/>
  <c r="T273" i="9"/>
  <c r="S273" i="9"/>
  <c r="Q273" i="9"/>
  <c r="P273" i="9"/>
  <c r="N273" i="9"/>
  <c r="M273" i="9"/>
  <c r="A273" i="9"/>
  <c r="T272" i="9"/>
  <c r="S272" i="9"/>
  <c r="Q272" i="9"/>
  <c r="P272" i="9"/>
  <c r="N272" i="9"/>
  <c r="M272" i="9"/>
  <c r="A272" i="9"/>
  <c r="T271" i="9"/>
  <c r="S271" i="9"/>
  <c r="Q271" i="9"/>
  <c r="P271" i="9"/>
  <c r="N271" i="9"/>
  <c r="M271" i="9"/>
  <c r="A271" i="9"/>
  <c r="T270" i="9"/>
  <c r="S270" i="9"/>
  <c r="Q270" i="9"/>
  <c r="P270" i="9"/>
  <c r="N270" i="9"/>
  <c r="M270" i="9"/>
  <c r="A270" i="9"/>
  <c r="T269" i="9"/>
  <c r="S269" i="9"/>
  <c r="Q269" i="9"/>
  <c r="P269" i="9"/>
  <c r="N269" i="9"/>
  <c r="M269" i="9"/>
  <c r="A269" i="9"/>
  <c r="T268" i="9"/>
  <c r="S268" i="9"/>
  <c r="Q268" i="9"/>
  <c r="P268" i="9"/>
  <c r="N268" i="9"/>
  <c r="M268" i="9"/>
  <c r="A268" i="9"/>
  <c r="T267" i="9"/>
  <c r="S267" i="9"/>
  <c r="Q267" i="9"/>
  <c r="P267" i="9"/>
  <c r="N267" i="9"/>
  <c r="M267" i="9"/>
  <c r="A267" i="9"/>
  <c r="T266" i="9"/>
  <c r="S266" i="9"/>
  <c r="Q266" i="9"/>
  <c r="P266" i="9"/>
  <c r="N266" i="9"/>
  <c r="M266" i="9"/>
  <c r="A266" i="9"/>
  <c r="T265" i="9"/>
  <c r="S265" i="9"/>
  <c r="Q265" i="9"/>
  <c r="P265" i="9"/>
  <c r="N265" i="9"/>
  <c r="M265" i="9"/>
  <c r="A265" i="9"/>
  <c r="T264" i="9"/>
  <c r="S264" i="9"/>
  <c r="Q264" i="9"/>
  <c r="P264" i="9"/>
  <c r="N264" i="9"/>
  <c r="M264" i="9"/>
  <c r="A264" i="9"/>
  <c r="T263" i="9"/>
  <c r="S263" i="9"/>
  <c r="Q263" i="9"/>
  <c r="P263" i="9"/>
  <c r="N263" i="9"/>
  <c r="M263" i="9"/>
  <c r="A263" i="9"/>
  <c r="T262" i="9"/>
  <c r="S262" i="9"/>
  <c r="Q262" i="9"/>
  <c r="P262" i="9"/>
  <c r="N262" i="9"/>
  <c r="M262" i="9"/>
  <c r="A262" i="9"/>
  <c r="T261" i="9"/>
  <c r="S261" i="9"/>
  <c r="Q261" i="9"/>
  <c r="P261" i="9"/>
  <c r="N261" i="9"/>
  <c r="M261" i="9"/>
  <c r="A261" i="9"/>
  <c r="T260" i="9"/>
  <c r="S260" i="9"/>
  <c r="Q260" i="9"/>
  <c r="P260" i="9"/>
  <c r="N260" i="9"/>
  <c r="M260" i="9"/>
  <c r="A260" i="9"/>
  <c r="T259" i="9"/>
  <c r="S259" i="9"/>
  <c r="Q259" i="9"/>
  <c r="P259" i="9"/>
  <c r="N259" i="9"/>
  <c r="M259" i="9"/>
  <c r="A259" i="9"/>
  <c r="T258" i="9"/>
  <c r="S258" i="9"/>
  <c r="Q258" i="9"/>
  <c r="P258" i="9"/>
  <c r="N258" i="9"/>
  <c r="M258" i="9"/>
  <c r="A258" i="9"/>
  <c r="T257" i="9"/>
  <c r="S257" i="9"/>
  <c r="Q257" i="9"/>
  <c r="P257" i="9"/>
  <c r="N257" i="9"/>
  <c r="M257" i="9"/>
  <c r="A257" i="9"/>
  <c r="T256" i="9"/>
  <c r="S256" i="9"/>
  <c r="Q256" i="9"/>
  <c r="P256" i="9"/>
  <c r="N256" i="9"/>
  <c r="M256" i="9"/>
  <c r="A256" i="9"/>
  <c r="T255" i="9"/>
  <c r="S255" i="9"/>
  <c r="Q255" i="9"/>
  <c r="P255" i="9"/>
  <c r="N255" i="9"/>
  <c r="M255" i="9"/>
  <c r="A255" i="9"/>
  <c r="T254" i="9"/>
  <c r="S254" i="9"/>
  <c r="Q254" i="9"/>
  <c r="P254" i="9"/>
  <c r="N254" i="9"/>
  <c r="M254" i="9"/>
  <c r="A254" i="9"/>
  <c r="T253" i="9"/>
  <c r="S253" i="9"/>
  <c r="Q253" i="9"/>
  <c r="P253" i="9"/>
  <c r="N253" i="9"/>
  <c r="M253" i="9"/>
  <c r="A253" i="9"/>
  <c r="T252" i="9"/>
  <c r="S252" i="9"/>
  <c r="Q252" i="9"/>
  <c r="P252" i="9"/>
  <c r="N252" i="9"/>
  <c r="M252" i="9"/>
  <c r="A252" i="9"/>
  <c r="T251" i="9"/>
  <c r="S251" i="9"/>
  <c r="Q251" i="9"/>
  <c r="P251" i="9"/>
  <c r="N251" i="9"/>
  <c r="M251" i="9"/>
  <c r="A251" i="9"/>
  <c r="T250" i="9"/>
  <c r="S250" i="9"/>
  <c r="Q250" i="9"/>
  <c r="P250" i="9"/>
  <c r="N250" i="9"/>
  <c r="M250" i="9"/>
  <c r="A250" i="9"/>
  <c r="T249" i="9"/>
  <c r="S249" i="9"/>
  <c r="Q249" i="9"/>
  <c r="P249" i="9"/>
  <c r="N249" i="9"/>
  <c r="M249" i="9"/>
  <c r="A249" i="9"/>
  <c r="T248" i="9"/>
  <c r="S248" i="9"/>
  <c r="Q248" i="9"/>
  <c r="P248" i="9"/>
  <c r="N248" i="9"/>
  <c r="M248" i="9"/>
  <c r="A248" i="9"/>
  <c r="T247" i="9"/>
  <c r="S247" i="9"/>
  <c r="Q247" i="9"/>
  <c r="P247" i="9"/>
  <c r="N247" i="9"/>
  <c r="M247" i="9"/>
  <c r="A247" i="9"/>
  <c r="T246" i="9"/>
  <c r="S246" i="9"/>
  <c r="Q246" i="9"/>
  <c r="P246" i="9"/>
  <c r="N246" i="9"/>
  <c r="M246" i="9"/>
  <c r="A246" i="9"/>
  <c r="T245" i="9"/>
  <c r="S245" i="9"/>
  <c r="Q245" i="9"/>
  <c r="P245" i="9"/>
  <c r="N245" i="9"/>
  <c r="M245" i="9"/>
  <c r="A245" i="9"/>
  <c r="T244" i="9"/>
  <c r="S244" i="9"/>
  <c r="Q244" i="9"/>
  <c r="P244" i="9"/>
  <c r="N244" i="9"/>
  <c r="M244" i="9"/>
  <c r="A244" i="9"/>
  <c r="T243" i="9"/>
  <c r="S243" i="9"/>
  <c r="Q243" i="9"/>
  <c r="P243" i="9"/>
  <c r="N243" i="9"/>
  <c r="M243" i="9"/>
  <c r="A243" i="9"/>
  <c r="T242" i="9"/>
  <c r="S242" i="9"/>
  <c r="Q242" i="9"/>
  <c r="P242" i="9"/>
  <c r="N242" i="9"/>
  <c r="M242" i="9"/>
  <c r="A242" i="9"/>
  <c r="T241" i="9"/>
  <c r="S241" i="9"/>
  <c r="Q241" i="9"/>
  <c r="P241" i="9"/>
  <c r="N241" i="9"/>
  <c r="M241" i="9"/>
  <c r="A241" i="9"/>
  <c r="T240" i="9"/>
  <c r="S240" i="9"/>
  <c r="Q240" i="9"/>
  <c r="P240" i="9"/>
  <c r="N240" i="9"/>
  <c r="M240" i="9"/>
  <c r="A240" i="9"/>
  <c r="T239" i="9"/>
  <c r="S239" i="9"/>
  <c r="Q239" i="9"/>
  <c r="P239" i="9"/>
  <c r="N239" i="9"/>
  <c r="M239" i="9"/>
  <c r="A239" i="9"/>
  <c r="T238" i="9"/>
  <c r="S238" i="9"/>
  <c r="Q238" i="9"/>
  <c r="P238" i="9"/>
  <c r="N238" i="9"/>
  <c r="M238" i="9"/>
  <c r="A238" i="9"/>
  <c r="T237" i="9"/>
  <c r="S237" i="9"/>
  <c r="Q237" i="9"/>
  <c r="P237" i="9"/>
  <c r="N237" i="9"/>
  <c r="M237" i="9"/>
  <c r="A237" i="9"/>
  <c r="T236" i="9"/>
  <c r="S236" i="9"/>
  <c r="Q236" i="9"/>
  <c r="P236" i="9"/>
  <c r="N236" i="9"/>
  <c r="M236" i="9"/>
  <c r="A236" i="9"/>
  <c r="T235" i="9"/>
  <c r="S235" i="9"/>
  <c r="Q235" i="9"/>
  <c r="P235" i="9"/>
  <c r="N235" i="9"/>
  <c r="M235" i="9"/>
  <c r="A235" i="9"/>
  <c r="T234" i="9"/>
  <c r="S234" i="9"/>
  <c r="Q234" i="9"/>
  <c r="P234" i="9"/>
  <c r="N234" i="9"/>
  <c r="M234" i="9"/>
  <c r="A234" i="9"/>
  <c r="T233" i="9"/>
  <c r="S233" i="9"/>
  <c r="Q233" i="9"/>
  <c r="P233" i="9"/>
  <c r="N233" i="9"/>
  <c r="M233" i="9"/>
  <c r="A233" i="9"/>
  <c r="T232" i="9"/>
  <c r="S232" i="9"/>
  <c r="Q232" i="9"/>
  <c r="P232" i="9"/>
  <c r="N232" i="9"/>
  <c r="M232" i="9"/>
  <c r="A232" i="9"/>
  <c r="T231" i="9"/>
  <c r="S231" i="9"/>
  <c r="Q231" i="9"/>
  <c r="P231" i="9"/>
  <c r="N231" i="9"/>
  <c r="M231" i="9"/>
  <c r="A231" i="9"/>
  <c r="T230" i="9"/>
  <c r="S230" i="9"/>
  <c r="Q230" i="9"/>
  <c r="P230" i="9"/>
  <c r="N230" i="9"/>
  <c r="M230" i="9"/>
  <c r="A230" i="9"/>
  <c r="T229" i="9"/>
  <c r="S229" i="9"/>
  <c r="Q229" i="9"/>
  <c r="P229" i="9"/>
  <c r="N229" i="9"/>
  <c r="M229" i="9"/>
  <c r="A229" i="9"/>
  <c r="T228" i="9"/>
  <c r="S228" i="9"/>
  <c r="Q228" i="9"/>
  <c r="P228" i="9"/>
  <c r="N228" i="9"/>
  <c r="M228" i="9"/>
  <c r="A228" i="9"/>
  <c r="T227" i="9"/>
  <c r="S227" i="9"/>
  <c r="Q227" i="9"/>
  <c r="P227" i="9"/>
  <c r="N227" i="9"/>
  <c r="M227" i="9"/>
  <c r="A227" i="9"/>
  <c r="T226" i="9"/>
  <c r="S226" i="9"/>
  <c r="Q226" i="9"/>
  <c r="P226" i="9"/>
  <c r="N226" i="9"/>
  <c r="M226" i="9"/>
  <c r="A226" i="9"/>
  <c r="T225" i="9"/>
  <c r="S225" i="9"/>
  <c r="Q225" i="9"/>
  <c r="P225" i="9"/>
  <c r="N225" i="9"/>
  <c r="M225" i="9"/>
  <c r="A225" i="9"/>
  <c r="T224" i="9"/>
  <c r="S224" i="9"/>
  <c r="Q224" i="9"/>
  <c r="P224" i="9"/>
  <c r="N224" i="9"/>
  <c r="M224" i="9"/>
  <c r="A224" i="9"/>
  <c r="T223" i="9"/>
  <c r="S223" i="9"/>
  <c r="Q223" i="9"/>
  <c r="P223" i="9"/>
  <c r="N223" i="9"/>
  <c r="M223" i="9"/>
  <c r="A223" i="9"/>
  <c r="T222" i="9"/>
  <c r="S222" i="9"/>
  <c r="Q222" i="9"/>
  <c r="P222" i="9"/>
  <c r="N222" i="9"/>
  <c r="M222" i="9"/>
  <c r="A222" i="9"/>
  <c r="T221" i="9"/>
  <c r="S221" i="9"/>
  <c r="Q221" i="9"/>
  <c r="P221" i="9"/>
  <c r="N221" i="9"/>
  <c r="M221" i="9"/>
  <c r="A221" i="9"/>
  <c r="T220" i="9"/>
  <c r="S220" i="9"/>
  <c r="Q220" i="9"/>
  <c r="P220" i="9"/>
  <c r="N220" i="9"/>
  <c r="M220" i="9"/>
  <c r="A220" i="9"/>
  <c r="T219" i="9"/>
  <c r="S219" i="9"/>
  <c r="Q219" i="9"/>
  <c r="P219" i="9"/>
  <c r="N219" i="9"/>
  <c r="M219" i="9"/>
  <c r="A219" i="9"/>
  <c r="T218" i="9"/>
  <c r="S218" i="9"/>
  <c r="Q218" i="9"/>
  <c r="P218" i="9"/>
  <c r="N218" i="9"/>
  <c r="M218" i="9"/>
  <c r="A218" i="9"/>
  <c r="T217" i="9"/>
  <c r="S217" i="9"/>
  <c r="Q217" i="9"/>
  <c r="P217" i="9"/>
  <c r="N217" i="9"/>
  <c r="M217" i="9"/>
  <c r="A217" i="9"/>
  <c r="T216" i="9"/>
  <c r="S216" i="9"/>
  <c r="Q216" i="9"/>
  <c r="P216" i="9"/>
  <c r="N216" i="9"/>
  <c r="M216" i="9"/>
  <c r="A216" i="9"/>
  <c r="T215" i="9"/>
  <c r="S215" i="9"/>
  <c r="Q215" i="9"/>
  <c r="P215" i="9"/>
  <c r="N215" i="9"/>
  <c r="M215" i="9"/>
  <c r="A215" i="9"/>
  <c r="T214" i="9"/>
  <c r="S214" i="9"/>
  <c r="Q214" i="9"/>
  <c r="P214" i="9"/>
  <c r="N214" i="9"/>
  <c r="M214" i="9"/>
  <c r="A214" i="9"/>
  <c r="T213" i="9"/>
  <c r="S213" i="9"/>
  <c r="Q213" i="9"/>
  <c r="P213" i="9"/>
  <c r="N213" i="9"/>
  <c r="M213" i="9"/>
  <c r="A213" i="9"/>
  <c r="T212" i="9"/>
  <c r="S212" i="9"/>
  <c r="Q212" i="9"/>
  <c r="P212" i="9"/>
  <c r="N212" i="9"/>
  <c r="M212" i="9"/>
  <c r="A212" i="9"/>
  <c r="T211" i="9"/>
  <c r="S211" i="9"/>
  <c r="Q211" i="9"/>
  <c r="P211" i="9"/>
  <c r="N211" i="9"/>
  <c r="M211" i="9"/>
  <c r="A211" i="9"/>
  <c r="T210" i="9"/>
  <c r="S210" i="9"/>
  <c r="Q210" i="9"/>
  <c r="P210" i="9"/>
  <c r="N210" i="9"/>
  <c r="M210" i="9"/>
  <c r="A210" i="9"/>
  <c r="T209" i="9"/>
  <c r="S209" i="9"/>
  <c r="Q209" i="9"/>
  <c r="P209" i="9"/>
  <c r="N209" i="9"/>
  <c r="M209" i="9"/>
  <c r="A209" i="9"/>
  <c r="T208" i="9"/>
  <c r="S208" i="9"/>
  <c r="Q208" i="9"/>
  <c r="P208" i="9"/>
  <c r="N208" i="9"/>
  <c r="M208" i="9"/>
  <c r="A208" i="9"/>
  <c r="T207" i="9"/>
  <c r="S207" i="9"/>
  <c r="Q207" i="9"/>
  <c r="P207" i="9"/>
  <c r="N207" i="9"/>
  <c r="M207" i="9"/>
  <c r="A207" i="9"/>
  <c r="T206" i="9"/>
  <c r="S206" i="9"/>
  <c r="Q206" i="9"/>
  <c r="P206" i="9"/>
  <c r="N206" i="9"/>
  <c r="M206" i="9"/>
  <c r="A206" i="9"/>
  <c r="T205" i="9"/>
  <c r="S205" i="9"/>
  <c r="Q205" i="9"/>
  <c r="P205" i="9"/>
  <c r="N205" i="9"/>
  <c r="M205" i="9"/>
  <c r="A205" i="9"/>
  <c r="T204" i="9"/>
  <c r="S204" i="9"/>
  <c r="Q204" i="9"/>
  <c r="P204" i="9"/>
  <c r="N204" i="9"/>
  <c r="M204" i="9"/>
  <c r="A204" i="9"/>
  <c r="T203" i="9"/>
  <c r="S203" i="9"/>
  <c r="Q203" i="9"/>
  <c r="P203" i="9"/>
  <c r="N203" i="9"/>
  <c r="M203" i="9"/>
  <c r="A203" i="9"/>
  <c r="T202" i="9"/>
  <c r="S202" i="9"/>
  <c r="Q202" i="9"/>
  <c r="P202" i="9"/>
  <c r="N202" i="9"/>
  <c r="M202" i="9"/>
  <c r="A202" i="9"/>
  <c r="T201" i="9"/>
  <c r="S201" i="9"/>
  <c r="Q201" i="9"/>
  <c r="P201" i="9"/>
  <c r="N201" i="9"/>
  <c r="M201" i="9"/>
  <c r="A201" i="9"/>
  <c r="T200" i="9"/>
  <c r="S200" i="9"/>
  <c r="Q200" i="9"/>
  <c r="P200" i="9"/>
  <c r="N200" i="9"/>
  <c r="M200" i="9"/>
  <c r="A200" i="9"/>
  <c r="T199" i="9"/>
  <c r="S199" i="9"/>
  <c r="Q199" i="9"/>
  <c r="P199" i="9"/>
  <c r="N199" i="9"/>
  <c r="M199" i="9"/>
  <c r="A199" i="9"/>
  <c r="T198" i="9"/>
  <c r="S198" i="9"/>
  <c r="Q198" i="9"/>
  <c r="P198" i="9"/>
  <c r="N198" i="9"/>
  <c r="M198" i="9"/>
  <c r="A198" i="9"/>
  <c r="T197" i="9"/>
  <c r="S197" i="9"/>
  <c r="Q197" i="9"/>
  <c r="P197" i="9"/>
  <c r="N197" i="9"/>
  <c r="M197" i="9"/>
  <c r="A197" i="9"/>
  <c r="T196" i="9"/>
  <c r="S196" i="9"/>
  <c r="Q196" i="9"/>
  <c r="P196" i="9"/>
  <c r="N196" i="9"/>
  <c r="M196" i="9"/>
  <c r="A196" i="9"/>
  <c r="T195" i="9"/>
  <c r="S195" i="9"/>
  <c r="Q195" i="9"/>
  <c r="P195" i="9"/>
  <c r="N195" i="9"/>
  <c r="M195" i="9"/>
  <c r="A195" i="9"/>
  <c r="T194" i="9"/>
  <c r="S194" i="9"/>
  <c r="Q194" i="9"/>
  <c r="P194" i="9"/>
  <c r="N194" i="9"/>
  <c r="M194" i="9"/>
  <c r="A194" i="9"/>
  <c r="T193" i="9"/>
  <c r="S193" i="9"/>
  <c r="Q193" i="9"/>
  <c r="P193" i="9"/>
  <c r="N193" i="9"/>
  <c r="M193" i="9"/>
  <c r="A193" i="9"/>
  <c r="T192" i="9"/>
  <c r="S192" i="9"/>
  <c r="Q192" i="9"/>
  <c r="P192" i="9"/>
  <c r="N192" i="9"/>
  <c r="M192" i="9"/>
  <c r="A192" i="9"/>
  <c r="T191" i="9"/>
  <c r="S191" i="9"/>
  <c r="Q191" i="9"/>
  <c r="P191" i="9"/>
  <c r="N191" i="9"/>
  <c r="M191" i="9"/>
  <c r="A191" i="9"/>
  <c r="T190" i="9"/>
  <c r="S190" i="9"/>
  <c r="Q190" i="9"/>
  <c r="P190" i="9"/>
  <c r="N190" i="9"/>
  <c r="M190" i="9"/>
  <c r="A190" i="9"/>
  <c r="T189" i="9"/>
  <c r="S189" i="9"/>
  <c r="Q189" i="9"/>
  <c r="P189" i="9"/>
  <c r="N189" i="9"/>
  <c r="M189" i="9"/>
  <c r="A189" i="9"/>
  <c r="T188" i="9"/>
  <c r="S188" i="9"/>
  <c r="Q188" i="9"/>
  <c r="P188" i="9"/>
  <c r="N188" i="9"/>
  <c r="M188" i="9"/>
  <c r="A188" i="9"/>
  <c r="T187" i="9"/>
  <c r="S187" i="9"/>
  <c r="Q187" i="9"/>
  <c r="P187" i="9"/>
  <c r="N187" i="9"/>
  <c r="M187" i="9"/>
  <c r="A187" i="9"/>
  <c r="T186" i="9"/>
  <c r="S186" i="9"/>
  <c r="Q186" i="9"/>
  <c r="P186" i="9"/>
  <c r="N186" i="9"/>
  <c r="M186" i="9"/>
  <c r="A186" i="9"/>
  <c r="T185" i="9"/>
  <c r="S185" i="9"/>
  <c r="Q185" i="9"/>
  <c r="P185" i="9"/>
  <c r="N185" i="9"/>
  <c r="M185" i="9"/>
  <c r="A185" i="9"/>
  <c r="T184" i="9"/>
  <c r="S184" i="9"/>
  <c r="Q184" i="9"/>
  <c r="P184" i="9"/>
  <c r="N184" i="9"/>
  <c r="M184" i="9"/>
  <c r="A184" i="9"/>
  <c r="T183" i="9"/>
  <c r="S183" i="9"/>
  <c r="Q183" i="9"/>
  <c r="P183" i="9"/>
  <c r="N183" i="9"/>
  <c r="M183" i="9"/>
  <c r="A183" i="9"/>
  <c r="T182" i="9"/>
  <c r="S182" i="9"/>
  <c r="Q182" i="9"/>
  <c r="P182" i="9"/>
  <c r="N182" i="9"/>
  <c r="M182" i="9"/>
  <c r="A182" i="9"/>
  <c r="T181" i="9"/>
  <c r="S181" i="9"/>
  <c r="Q181" i="9"/>
  <c r="P181" i="9"/>
  <c r="N181" i="9"/>
  <c r="M181" i="9"/>
  <c r="A181" i="9"/>
  <c r="T180" i="9"/>
  <c r="S180" i="9"/>
  <c r="Q180" i="9"/>
  <c r="P180" i="9"/>
  <c r="N180" i="9"/>
  <c r="M180" i="9"/>
  <c r="A180" i="9"/>
  <c r="T179" i="9"/>
  <c r="S179" i="9"/>
  <c r="Q179" i="9"/>
  <c r="P179" i="9"/>
  <c r="N179" i="9"/>
  <c r="M179" i="9"/>
  <c r="A179" i="9"/>
  <c r="T178" i="9"/>
  <c r="S178" i="9"/>
  <c r="Q178" i="9"/>
  <c r="P178" i="9"/>
  <c r="N178" i="9"/>
  <c r="M178" i="9"/>
  <c r="A178" i="9"/>
  <c r="T177" i="9"/>
  <c r="S177" i="9"/>
  <c r="Q177" i="9"/>
  <c r="P177" i="9"/>
  <c r="N177" i="9"/>
  <c r="M177" i="9"/>
  <c r="A177" i="9"/>
  <c r="T176" i="9"/>
  <c r="S176" i="9"/>
  <c r="Q176" i="9"/>
  <c r="P176" i="9"/>
  <c r="N176" i="9"/>
  <c r="M176" i="9"/>
  <c r="A176" i="9"/>
  <c r="T175" i="9"/>
  <c r="S175" i="9"/>
  <c r="Q175" i="9"/>
  <c r="P175" i="9"/>
  <c r="N175" i="9"/>
  <c r="M175" i="9"/>
  <c r="A175" i="9"/>
  <c r="T174" i="9"/>
  <c r="S174" i="9"/>
  <c r="Q174" i="9"/>
  <c r="P174" i="9"/>
  <c r="N174" i="9"/>
  <c r="M174" i="9"/>
  <c r="A174" i="9"/>
  <c r="T173" i="9"/>
  <c r="S173" i="9"/>
  <c r="Q173" i="9"/>
  <c r="P173" i="9"/>
  <c r="N173" i="9"/>
  <c r="M173" i="9"/>
  <c r="A173" i="9"/>
  <c r="T172" i="9"/>
  <c r="S172" i="9"/>
  <c r="Q172" i="9"/>
  <c r="P172" i="9"/>
  <c r="N172" i="9"/>
  <c r="M172" i="9"/>
  <c r="A172" i="9"/>
  <c r="T171" i="9"/>
  <c r="S171" i="9"/>
  <c r="Q171" i="9"/>
  <c r="P171" i="9"/>
  <c r="N171" i="9"/>
  <c r="M171" i="9"/>
  <c r="A171" i="9"/>
  <c r="T170" i="9"/>
  <c r="S170" i="9"/>
  <c r="Q170" i="9"/>
  <c r="P170" i="9"/>
  <c r="N170" i="9"/>
  <c r="M170" i="9"/>
  <c r="A170" i="9"/>
  <c r="T169" i="9"/>
  <c r="S169" i="9"/>
  <c r="Q169" i="9"/>
  <c r="P169" i="9"/>
  <c r="N169" i="9"/>
  <c r="M169" i="9"/>
  <c r="A169" i="9"/>
  <c r="T168" i="9"/>
  <c r="S168" i="9"/>
  <c r="Q168" i="9"/>
  <c r="P168" i="9"/>
  <c r="N168" i="9"/>
  <c r="M168" i="9"/>
  <c r="A168" i="9"/>
  <c r="T167" i="9"/>
  <c r="S167" i="9"/>
  <c r="Q167" i="9"/>
  <c r="P167" i="9"/>
  <c r="N167" i="9"/>
  <c r="M167" i="9"/>
  <c r="A167" i="9"/>
  <c r="T166" i="9"/>
  <c r="S166" i="9"/>
  <c r="Q166" i="9"/>
  <c r="P166" i="9"/>
  <c r="N166" i="9"/>
  <c r="M166" i="9"/>
  <c r="A166" i="9"/>
  <c r="T165" i="9"/>
  <c r="S165" i="9"/>
  <c r="Q165" i="9"/>
  <c r="P165" i="9"/>
  <c r="N165" i="9"/>
  <c r="M165" i="9"/>
  <c r="A165" i="9"/>
  <c r="T164" i="9"/>
  <c r="S164" i="9"/>
  <c r="Q164" i="9"/>
  <c r="P164" i="9"/>
  <c r="N164" i="9"/>
  <c r="M164" i="9"/>
  <c r="A164" i="9"/>
  <c r="T163" i="9"/>
  <c r="S163" i="9"/>
  <c r="Q163" i="9"/>
  <c r="P163" i="9"/>
  <c r="N163" i="9"/>
  <c r="M163" i="9"/>
  <c r="A163" i="9"/>
  <c r="T162" i="9"/>
  <c r="S162" i="9"/>
  <c r="Q162" i="9"/>
  <c r="P162" i="9"/>
  <c r="N162" i="9"/>
  <c r="M162" i="9"/>
  <c r="A162" i="9"/>
  <c r="T161" i="9"/>
  <c r="S161" i="9"/>
  <c r="Q161" i="9"/>
  <c r="P161" i="9"/>
  <c r="N161" i="9"/>
  <c r="M161" i="9"/>
  <c r="A161" i="9"/>
  <c r="T160" i="9"/>
  <c r="S160" i="9"/>
  <c r="Q160" i="9"/>
  <c r="P160" i="9"/>
  <c r="N160" i="9"/>
  <c r="M160" i="9"/>
  <c r="A160" i="9"/>
  <c r="T159" i="9"/>
  <c r="S159" i="9"/>
  <c r="Q159" i="9"/>
  <c r="P159" i="9"/>
  <c r="N159" i="9"/>
  <c r="M159" i="9"/>
  <c r="A159" i="9"/>
  <c r="T158" i="9"/>
  <c r="S158" i="9"/>
  <c r="Q158" i="9"/>
  <c r="P158" i="9"/>
  <c r="N158" i="9"/>
  <c r="M158" i="9"/>
  <c r="A158" i="9"/>
  <c r="T157" i="9"/>
  <c r="S157" i="9"/>
  <c r="Q157" i="9"/>
  <c r="P157" i="9"/>
  <c r="N157" i="9"/>
  <c r="M157" i="9"/>
  <c r="A157" i="9"/>
  <c r="T156" i="9"/>
  <c r="S156" i="9"/>
  <c r="Q156" i="9"/>
  <c r="P156" i="9"/>
  <c r="N156" i="9"/>
  <c r="M156" i="9"/>
  <c r="A156" i="9"/>
  <c r="T155" i="9"/>
  <c r="S155" i="9"/>
  <c r="Q155" i="9"/>
  <c r="P155" i="9"/>
  <c r="N155" i="9"/>
  <c r="M155" i="9"/>
  <c r="A155" i="9"/>
  <c r="T154" i="9"/>
  <c r="S154" i="9"/>
  <c r="Q154" i="9"/>
  <c r="P154" i="9"/>
  <c r="N154" i="9"/>
  <c r="M154" i="9"/>
  <c r="A154" i="9"/>
  <c r="T153" i="9"/>
  <c r="S153" i="9"/>
  <c r="Q153" i="9"/>
  <c r="P153" i="9"/>
  <c r="N153" i="9"/>
  <c r="M153" i="9"/>
  <c r="A153" i="9"/>
  <c r="T152" i="9"/>
  <c r="S152" i="9"/>
  <c r="Q152" i="9"/>
  <c r="P152" i="9"/>
  <c r="N152" i="9"/>
  <c r="M152" i="9"/>
  <c r="A152" i="9"/>
  <c r="T151" i="9"/>
  <c r="S151" i="9"/>
  <c r="Q151" i="9"/>
  <c r="P151" i="9"/>
  <c r="N151" i="9"/>
  <c r="M151" i="9"/>
  <c r="A151" i="9"/>
  <c r="T150" i="9"/>
  <c r="S150" i="9"/>
  <c r="Q150" i="9"/>
  <c r="P150" i="9"/>
  <c r="N150" i="9"/>
  <c r="M150" i="9"/>
  <c r="A150" i="9"/>
  <c r="T149" i="9"/>
  <c r="S149" i="9"/>
  <c r="Q149" i="9"/>
  <c r="P149" i="9"/>
  <c r="N149" i="9"/>
  <c r="M149" i="9"/>
  <c r="A149" i="9"/>
  <c r="T148" i="9"/>
  <c r="S148" i="9"/>
  <c r="Q148" i="9"/>
  <c r="P148" i="9"/>
  <c r="N148" i="9"/>
  <c r="M148" i="9"/>
  <c r="A148" i="9"/>
  <c r="T147" i="9"/>
  <c r="S147" i="9"/>
  <c r="Q147" i="9"/>
  <c r="P147" i="9"/>
  <c r="N147" i="9"/>
  <c r="M147" i="9"/>
  <c r="A147" i="9"/>
  <c r="T146" i="9"/>
  <c r="S146" i="9"/>
  <c r="Q146" i="9"/>
  <c r="P146" i="9"/>
  <c r="N146" i="9"/>
  <c r="M146" i="9"/>
  <c r="A146" i="9"/>
  <c r="T145" i="9"/>
  <c r="S145" i="9"/>
  <c r="Q145" i="9"/>
  <c r="P145" i="9"/>
  <c r="N145" i="9"/>
  <c r="M145" i="9"/>
  <c r="A145" i="9"/>
  <c r="T144" i="9"/>
  <c r="S144" i="9"/>
  <c r="Q144" i="9"/>
  <c r="P144" i="9"/>
  <c r="N144" i="9"/>
  <c r="M144" i="9"/>
  <c r="A144" i="9"/>
  <c r="T143" i="9"/>
  <c r="S143" i="9"/>
  <c r="Q143" i="9"/>
  <c r="P143" i="9"/>
  <c r="N143" i="9"/>
  <c r="M143" i="9"/>
  <c r="A143" i="9"/>
  <c r="T142" i="9"/>
  <c r="S142" i="9"/>
  <c r="Q142" i="9"/>
  <c r="P142" i="9"/>
  <c r="N142" i="9"/>
  <c r="M142" i="9"/>
  <c r="A142" i="9"/>
  <c r="T141" i="9"/>
  <c r="S141" i="9"/>
  <c r="Q141" i="9"/>
  <c r="P141" i="9"/>
  <c r="N141" i="9"/>
  <c r="M141" i="9"/>
  <c r="A141" i="9"/>
  <c r="T140" i="9"/>
  <c r="S140" i="9"/>
  <c r="Q140" i="9"/>
  <c r="P140" i="9"/>
  <c r="N140" i="9"/>
  <c r="M140" i="9"/>
  <c r="A140" i="9"/>
  <c r="T139" i="9"/>
  <c r="S139" i="9"/>
  <c r="Q139" i="9"/>
  <c r="P139" i="9"/>
  <c r="N139" i="9"/>
  <c r="M139" i="9"/>
  <c r="A139" i="9"/>
  <c r="T138" i="9"/>
  <c r="S138" i="9"/>
  <c r="Q138" i="9"/>
  <c r="P138" i="9"/>
  <c r="N138" i="9"/>
  <c r="M138" i="9"/>
  <c r="A138" i="9"/>
  <c r="T137" i="9"/>
  <c r="S137" i="9"/>
  <c r="Q137" i="9"/>
  <c r="P137" i="9"/>
  <c r="N137" i="9"/>
  <c r="M137" i="9"/>
  <c r="A137" i="9"/>
  <c r="T136" i="9"/>
  <c r="S136" i="9"/>
  <c r="Q136" i="9"/>
  <c r="P136" i="9"/>
  <c r="N136" i="9"/>
  <c r="M136" i="9"/>
  <c r="A136" i="9"/>
  <c r="T135" i="9"/>
  <c r="S135" i="9"/>
  <c r="Q135" i="9"/>
  <c r="P135" i="9"/>
  <c r="N135" i="9"/>
  <c r="M135" i="9"/>
  <c r="A135" i="9"/>
  <c r="T134" i="9"/>
  <c r="S134" i="9"/>
  <c r="Q134" i="9"/>
  <c r="P134" i="9"/>
  <c r="N134" i="9"/>
  <c r="M134" i="9"/>
  <c r="A134" i="9"/>
  <c r="T133" i="9"/>
  <c r="S133" i="9"/>
  <c r="Q133" i="9"/>
  <c r="P133" i="9"/>
  <c r="N133" i="9"/>
  <c r="M133" i="9"/>
  <c r="A133" i="9"/>
  <c r="T132" i="9"/>
  <c r="S132" i="9"/>
  <c r="Q132" i="9"/>
  <c r="P132" i="9"/>
  <c r="N132" i="9"/>
  <c r="M132" i="9"/>
  <c r="A132" i="9"/>
  <c r="T131" i="9"/>
  <c r="S131" i="9"/>
  <c r="Q131" i="9"/>
  <c r="P131" i="9"/>
  <c r="N131" i="9"/>
  <c r="M131" i="9"/>
  <c r="A131" i="9"/>
  <c r="T130" i="9"/>
  <c r="S130" i="9"/>
  <c r="Q130" i="9"/>
  <c r="P130" i="9"/>
  <c r="N130" i="9"/>
  <c r="M130" i="9"/>
  <c r="A130" i="9"/>
  <c r="T129" i="9"/>
  <c r="S129" i="9"/>
  <c r="Q129" i="9"/>
  <c r="P129" i="9"/>
  <c r="N129" i="9"/>
  <c r="M129" i="9"/>
  <c r="A129" i="9"/>
  <c r="T128" i="9"/>
  <c r="S128" i="9"/>
  <c r="Q128" i="9"/>
  <c r="P128" i="9"/>
  <c r="N128" i="9"/>
  <c r="M128" i="9"/>
  <c r="A128" i="9"/>
  <c r="T127" i="9"/>
  <c r="S127" i="9"/>
  <c r="Q127" i="9"/>
  <c r="P127" i="9"/>
  <c r="N127" i="9"/>
  <c r="M127" i="9"/>
  <c r="A127" i="9"/>
  <c r="T126" i="9"/>
  <c r="S126" i="9"/>
  <c r="Q126" i="9"/>
  <c r="P126" i="9"/>
  <c r="N126" i="9"/>
  <c r="M126" i="9"/>
  <c r="A126" i="9"/>
  <c r="T125" i="9"/>
  <c r="S125" i="9"/>
  <c r="Q125" i="9"/>
  <c r="P125" i="9"/>
  <c r="N125" i="9"/>
  <c r="M125" i="9"/>
  <c r="A125" i="9"/>
  <c r="T124" i="9"/>
  <c r="S124" i="9"/>
  <c r="Q124" i="9"/>
  <c r="P124" i="9"/>
  <c r="N124" i="9"/>
  <c r="M124" i="9"/>
  <c r="A124" i="9"/>
  <c r="T123" i="9"/>
  <c r="S123" i="9"/>
  <c r="Q123" i="9"/>
  <c r="P123" i="9"/>
  <c r="N123" i="9"/>
  <c r="M123" i="9"/>
  <c r="A123" i="9"/>
  <c r="T122" i="9"/>
  <c r="S122" i="9"/>
  <c r="Q122" i="9"/>
  <c r="P122" i="9"/>
  <c r="N122" i="9"/>
  <c r="M122" i="9"/>
  <c r="A122" i="9"/>
  <c r="T121" i="9"/>
  <c r="S121" i="9"/>
  <c r="Q121" i="9"/>
  <c r="P121" i="9"/>
  <c r="N121" i="9"/>
  <c r="M121" i="9"/>
  <c r="A121" i="9"/>
  <c r="T120" i="9"/>
  <c r="S120" i="9"/>
  <c r="Q120" i="9"/>
  <c r="P120" i="9"/>
  <c r="N120" i="9"/>
  <c r="M120" i="9"/>
  <c r="A120" i="9"/>
  <c r="T119" i="9"/>
  <c r="S119" i="9"/>
  <c r="Q119" i="9"/>
  <c r="P119" i="9"/>
  <c r="N119" i="9"/>
  <c r="M119" i="9"/>
  <c r="A119" i="9"/>
  <c r="T118" i="9"/>
  <c r="S118" i="9"/>
  <c r="Q118" i="9"/>
  <c r="P118" i="9"/>
  <c r="N118" i="9"/>
  <c r="M118" i="9"/>
  <c r="A118" i="9"/>
  <c r="T117" i="9"/>
  <c r="S117" i="9"/>
  <c r="Q117" i="9"/>
  <c r="P117" i="9"/>
  <c r="N117" i="9"/>
  <c r="M117" i="9"/>
  <c r="A117" i="9"/>
  <c r="T116" i="9"/>
  <c r="S116" i="9"/>
  <c r="Q116" i="9"/>
  <c r="P116" i="9"/>
  <c r="N116" i="9"/>
  <c r="M116" i="9"/>
  <c r="A116" i="9"/>
  <c r="T115" i="9"/>
  <c r="S115" i="9"/>
  <c r="Q115" i="9"/>
  <c r="P115" i="9"/>
  <c r="N115" i="9"/>
  <c r="M115" i="9"/>
  <c r="A115" i="9"/>
  <c r="T114" i="9"/>
  <c r="S114" i="9"/>
  <c r="Q114" i="9"/>
  <c r="P114" i="9"/>
  <c r="N114" i="9"/>
  <c r="M114" i="9"/>
  <c r="A114" i="9"/>
  <c r="T113" i="9"/>
  <c r="S113" i="9"/>
  <c r="Q113" i="9"/>
  <c r="P113" i="9"/>
  <c r="N113" i="9"/>
  <c r="M113" i="9"/>
  <c r="A113" i="9"/>
  <c r="T112" i="9"/>
  <c r="S112" i="9"/>
  <c r="Q112" i="9"/>
  <c r="P112" i="9"/>
  <c r="N112" i="9"/>
  <c r="M112" i="9"/>
  <c r="A112" i="9"/>
  <c r="T111" i="9"/>
  <c r="S111" i="9"/>
  <c r="Q111" i="9"/>
  <c r="P111" i="9"/>
  <c r="N111" i="9"/>
  <c r="M111" i="9"/>
  <c r="A111" i="9"/>
  <c r="T110" i="9"/>
  <c r="S110" i="9"/>
  <c r="Q110" i="9"/>
  <c r="P110" i="9"/>
  <c r="N110" i="9"/>
  <c r="M110" i="9"/>
  <c r="A110" i="9"/>
  <c r="T109" i="9"/>
  <c r="S109" i="9"/>
  <c r="Q109" i="9"/>
  <c r="P109" i="9"/>
  <c r="N109" i="9"/>
  <c r="M109" i="9"/>
  <c r="A109" i="9"/>
  <c r="T108" i="9"/>
  <c r="S108" i="9"/>
  <c r="Q108" i="9"/>
  <c r="P108" i="9"/>
  <c r="N108" i="9"/>
  <c r="M108" i="9"/>
  <c r="A108" i="9"/>
  <c r="T107" i="9"/>
  <c r="S107" i="9"/>
  <c r="Q107" i="9"/>
  <c r="P107" i="9"/>
  <c r="N107" i="9"/>
  <c r="M107" i="9"/>
  <c r="A107" i="9"/>
  <c r="T106" i="9"/>
  <c r="S106" i="9"/>
  <c r="Q106" i="9"/>
  <c r="P106" i="9"/>
  <c r="N106" i="9"/>
  <c r="M106" i="9"/>
  <c r="A106" i="9"/>
  <c r="T105" i="9"/>
  <c r="S105" i="9"/>
  <c r="Q105" i="9"/>
  <c r="P105" i="9"/>
  <c r="N105" i="9"/>
  <c r="M105" i="9"/>
  <c r="A105" i="9"/>
  <c r="T104" i="9"/>
  <c r="S104" i="9"/>
  <c r="Q104" i="9"/>
  <c r="P104" i="9"/>
  <c r="N104" i="9"/>
  <c r="M104" i="9"/>
  <c r="A104" i="9"/>
  <c r="T103" i="9"/>
  <c r="S103" i="9"/>
  <c r="Q103" i="9"/>
  <c r="P103" i="9"/>
  <c r="N103" i="9"/>
  <c r="M103" i="9"/>
  <c r="A103" i="9"/>
  <c r="T102" i="9"/>
  <c r="S102" i="9"/>
  <c r="Q102" i="9"/>
  <c r="P102" i="9"/>
  <c r="N102" i="9"/>
  <c r="M102" i="9"/>
  <c r="A102" i="9"/>
  <c r="T101" i="9"/>
  <c r="S101" i="9"/>
  <c r="Q101" i="9"/>
  <c r="P101" i="9"/>
  <c r="N101" i="9"/>
  <c r="M101" i="9"/>
  <c r="A101" i="9"/>
  <c r="T100" i="9"/>
  <c r="S100" i="9"/>
  <c r="Q100" i="9"/>
  <c r="P100" i="9"/>
  <c r="N100" i="9"/>
  <c r="M100" i="9"/>
  <c r="A100" i="9"/>
  <c r="T99" i="9"/>
  <c r="S99" i="9"/>
  <c r="Q99" i="9"/>
  <c r="P99" i="9"/>
  <c r="N99" i="9"/>
  <c r="M99" i="9"/>
  <c r="A99" i="9"/>
  <c r="T98" i="9"/>
  <c r="S98" i="9"/>
  <c r="Q98" i="9"/>
  <c r="P98" i="9"/>
  <c r="N98" i="9"/>
  <c r="M98" i="9"/>
  <c r="A98" i="9"/>
  <c r="T97" i="9"/>
  <c r="S97" i="9"/>
  <c r="Q97" i="9"/>
  <c r="P97" i="9"/>
  <c r="N97" i="9"/>
  <c r="M97" i="9"/>
  <c r="A97" i="9"/>
  <c r="T96" i="9"/>
  <c r="S96" i="9"/>
  <c r="Q96" i="9"/>
  <c r="P96" i="9"/>
  <c r="N96" i="9"/>
  <c r="M96" i="9"/>
  <c r="A96" i="9"/>
  <c r="T95" i="9"/>
  <c r="S95" i="9"/>
  <c r="Q95" i="9"/>
  <c r="P95" i="9"/>
  <c r="N95" i="9"/>
  <c r="M95" i="9"/>
  <c r="A95" i="9"/>
  <c r="T94" i="9"/>
  <c r="S94" i="9"/>
  <c r="Q94" i="9"/>
  <c r="P94" i="9"/>
  <c r="N94" i="9"/>
  <c r="M94" i="9"/>
  <c r="A94" i="9"/>
  <c r="T93" i="9"/>
  <c r="S93" i="9"/>
  <c r="Q93" i="9"/>
  <c r="P93" i="9"/>
  <c r="N93" i="9"/>
  <c r="M93" i="9"/>
  <c r="A93" i="9"/>
  <c r="T92" i="9"/>
  <c r="S92" i="9"/>
  <c r="Q92" i="9"/>
  <c r="P92" i="9"/>
  <c r="N92" i="9"/>
  <c r="M92" i="9"/>
  <c r="A92" i="9"/>
  <c r="T91" i="9"/>
  <c r="S91" i="9"/>
  <c r="Q91" i="9"/>
  <c r="P91" i="9"/>
  <c r="N91" i="9"/>
  <c r="M91" i="9"/>
  <c r="A91" i="9"/>
  <c r="T90" i="9"/>
  <c r="S90" i="9"/>
  <c r="Q90" i="9"/>
  <c r="P90" i="9"/>
  <c r="N90" i="9"/>
  <c r="M90" i="9"/>
  <c r="A90" i="9"/>
  <c r="T89" i="9"/>
  <c r="S89" i="9"/>
  <c r="Q89" i="9"/>
  <c r="P89" i="9"/>
  <c r="N89" i="9"/>
  <c r="M89" i="9"/>
  <c r="A89" i="9"/>
  <c r="T88" i="9"/>
  <c r="S88" i="9"/>
  <c r="Q88" i="9"/>
  <c r="P88" i="9"/>
  <c r="N88" i="9"/>
  <c r="M88" i="9"/>
  <c r="A88" i="9"/>
  <c r="T87" i="9"/>
  <c r="S87" i="9"/>
  <c r="Q87" i="9"/>
  <c r="P87" i="9"/>
  <c r="N87" i="9"/>
  <c r="M87" i="9"/>
  <c r="A87" i="9"/>
  <c r="T86" i="9"/>
  <c r="S86" i="9"/>
  <c r="Q86" i="9"/>
  <c r="P86" i="9"/>
  <c r="N86" i="9"/>
  <c r="M86" i="9"/>
  <c r="A86" i="9"/>
  <c r="T85" i="9"/>
  <c r="S85" i="9"/>
  <c r="Q85" i="9"/>
  <c r="P85" i="9"/>
  <c r="N85" i="9"/>
  <c r="M85" i="9"/>
  <c r="A85" i="9"/>
  <c r="T84" i="9"/>
  <c r="S84" i="9"/>
  <c r="Q84" i="9"/>
  <c r="P84" i="9"/>
  <c r="N84" i="9"/>
  <c r="M84" i="9"/>
  <c r="A84" i="9"/>
  <c r="T83" i="9"/>
  <c r="S83" i="9"/>
  <c r="Q83" i="9"/>
  <c r="P83" i="9"/>
  <c r="N83" i="9"/>
  <c r="M83" i="9"/>
  <c r="A83" i="9"/>
  <c r="T82" i="9"/>
  <c r="S82" i="9"/>
  <c r="Q82" i="9"/>
  <c r="P82" i="9"/>
  <c r="N82" i="9"/>
  <c r="M82" i="9"/>
  <c r="A82" i="9"/>
  <c r="T81" i="9"/>
  <c r="S81" i="9"/>
  <c r="Q81" i="9"/>
  <c r="P81" i="9"/>
  <c r="N81" i="9"/>
  <c r="M81" i="9"/>
  <c r="A81" i="9"/>
  <c r="T80" i="9"/>
  <c r="S80" i="9"/>
  <c r="Q80" i="9"/>
  <c r="P80" i="9"/>
  <c r="N80" i="9"/>
  <c r="M80" i="9"/>
  <c r="A80" i="9"/>
  <c r="T79" i="9"/>
  <c r="S79" i="9"/>
  <c r="Q79" i="9"/>
  <c r="P79" i="9"/>
  <c r="N79" i="9"/>
  <c r="M79" i="9"/>
  <c r="A79" i="9"/>
  <c r="T78" i="9"/>
  <c r="S78" i="9"/>
  <c r="Q78" i="9"/>
  <c r="P78" i="9"/>
  <c r="N78" i="9"/>
  <c r="M78" i="9"/>
  <c r="A78" i="9"/>
  <c r="T77" i="9"/>
  <c r="S77" i="9"/>
  <c r="Q77" i="9"/>
  <c r="P77" i="9"/>
  <c r="N77" i="9"/>
  <c r="M77" i="9"/>
  <c r="A77" i="9"/>
  <c r="T76" i="9"/>
  <c r="S76" i="9"/>
  <c r="Q76" i="9"/>
  <c r="P76" i="9"/>
  <c r="N76" i="9"/>
  <c r="M76" i="9"/>
  <c r="A76" i="9"/>
  <c r="T75" i="9"/>
  <c r="S75" i="9"/>
  <c r="Q75" i="9"/>
  <c r="P75" i="9"/>
  <c r="N75" i="9"/>
  <c r="M75" i="9"/>
  <c r="A75" i="9"/>
  <c r="T74" i="9"/>
  <c r="S74" i="9"/>
  <c r="Q74" i="9"/>
  <c r="P74" i="9"/>
  <c r="N74" i="9"/>
  <c r="M74" i="9"/>
  <c r="A74" i="9"/>
  <c r="T73" i="9"/>
  <c r="S73" i="9"/>
  <c r="Q73" i="9"/>
  <c r="P73" i="9"/>
  <c r="N73" i="9"/>
  <c r="M73" i="9"/>
  <c r="A73" i="9"/>
  <c r="T72" i="9"/>
  <c r="S72" i="9"/>
  <c r="Q72" i="9"/>
  <c r="P72" i="9"/>
  <c r="N72" i="9"/>
  <c r="M72" i="9"/>
  <c r="A72" i="9"/>
  <c r="T71" i="9"/>
  <c r="S71" i="9"/>
  <c r="Q71" i="9"/>
  <c r="P71" i="9"/>
  <c r="N71" i="9"/>
  <c r="M71" i="9"/>
  <c r="A71" i="9"/>
  <c r="T70" i="9"/>
  <c r="S70" i="9"/>
  <c r="Q70" i="9"/>
  <c r="P70" i="9"/>
  <c r="N70" i="9"/>
  <c r="M70" i="9"/>
  <c r="A70" i="9"/>
  <c r="T69" i="9"/>
  <c r="S69" i="9"/>
  <c r="Q69" i="9"/>
  <c r="P69" i="9"/>
  <c r="N69" i="9"/>
  <c r="M69" i="9"/>
  <c r="A69" i="9"/>
  <c r="T68" i="9"/>
  <c r="S68" i="9"/>
  <c r="Q68" i="9"/>
  <c r="P68" i="9"/>
  <c r="N68" i="9"/>
  <c r="M68" i="9"/>
  <c r="A68" i="9"/>
  <c r="T67" i="9"/>
  <c r="S67" i="9"/>
  <c r="Q67" i="9"/>
  <c r="P67" i="9"/>
  <c r="N67" i="9"/>
  <c r="M67" i="9"/>
  <c r="A67" i="9"/>
  <c r="T66" i="9"/>
  <c r="S66" i="9"/>
  <c r="Q66" i="9"/>
  <c r="P66" i="9"/>
  <c r="N66" i="9"/>
  <c r="M66" i="9"/>
  <c r="A66" i="9"/>
  <c r="T65" i="9"/>
  <c r="S65" i="9"/>
  <c r="Q65" i="9"/>
  <c r="P65" i="9"/>
  <c r="N65" i="9"/>
  <c r="M65" i="9"/>
  <c r="A65" i="9"/>
  <c r="T64" i="9"/>
  <c r="S64" i="9"/>
  <c r="Q64" i="9"/>
  <c r="P64" i="9"/>
  <c r="N64" i="9"/>
  <c r="M64" i="9"/>
  <c r="A64" i="9"/>
  <c r="T63" i="9"/>
  <c r="S63" i="9"/>
  <c r="Q63" i="9"/>
  <c r="P63" i="9"/>
  <c r="N63" i="9"/>
  <c r="M63" i="9"/>
  <c r="A63" i="9"/>
  <c r="T62" i="9"/>
  <c r="S62" i="9"/>
  <c r="Q62" i="9"/>
  <c r="P62" i="9"/>
  <c r="N62" i="9"/>
  <c r="M62" i="9"/>
  <c r="A62" i="9"/>
  <c r="T61" i="9"/>
  <c r="S61" i="9"/>
  <c r="Q61" i="9"/>
  <c r="P61" i="9"/>
  <c r="N61" i="9"/>
  <c r="M61" i="9"/>
  <c r="A61" i="9"/>
  <c r="T60" i="9"/>
  <c r="S60" i="9"/>
  <c r="Q60" i="9"/>
  <c r="P60" i="9"/>
  <c r="N60" i="9"/>
  <c r="M60" i="9"/>
  <c r="A60" i="9"/>
  <c r="T59" i="9"/>
  <c r="S59" i="9"/>
  <c r="Q59" i="9"/>
  <c r="P59" i="9"/>
  <c r="N59" i="9"/>
  <c r="M59" i="9"/>
  <c r="A59" i="9"/>
  <c r="T58" i="9"/>
  <c r="S58" i="9"/>
  <c r="Q58" i="9"/>
  <c r="P58" i="9"/>
  <c r="N58" i="9"/>
  <c r="M58" i="9"/>
  <c r="A58" i="9"/>
  <c r="T57" i="9"/>
  <c r="S57" i="9"/>
  <c r="Q57" i="9"/>
  <c r="P57" i="9"/>
  <c r="N57" i="9"/>
  <c r="M57" i="9"/>
  <c r="A57" i="9"/>
  <c r="T56" i="9"/>
  <c r="S56" i="9"/>
  <c r="Q56" i="9"/>
  <c r="P56" i="9"/>
  <c r="N56" i="9"/>
  <c r="M56" i="9"/>
  <c r="A56" i="9"/>
  <c r="T55" i="9"/>
  <c r="S55" i="9"/>
  <c r="Q55" i="9"/>
  <c r="P55" i="9"/>
  <c r="N55" i="9"/>
  <c r="M55" i="9"/>
  <c r="A55" i="9"/>
  <c r="T54" i="9"/>
  <c r="S54" i="9"/>
  <c r="Q54" i="9"/>
  <c r="P54" i="9"/>
  <c r="N54" i="9"/>
  <c r="M54" i="9"/>
  <c r="A54" i="9"/>
  <c r="T53" i="9"/>
  <c r="S53" i="9"/>
  <c r="Q53" i="9"/>
  <c r="P53" i="9"/>
  <c r="N53" i="9"/>
  <c r="M53" i="9"/>
  <c r="A53" i="9"/>
  <c r="T52" i="9"/>
  <c r="S52" i="9"/>
  <c r="Q52" i="9"/>
  <c r="P52" i="9"/>
  <c r="N52" i="9"/>
  <c r="M52" i="9"/>
  <c r="A52" i="9"/>
  <c r="T51" i="9"/>
  <c r="S51" i="9"/>
  <c r="Q51" i="9"/>
  <c r="P51" i="9"/>
  <c r="N51" i="9"/>
  <c r="M51" i="9"/>
  <c r="A51" i="9"/>
  <c r="T50" i="9"/>
  <c r="S50" i="9"/>
  <c r="Q50" i="9"/>
  <c r="P50" i="9"/>
  <c r="N50" i="9"/>
  <c r="M50" i="9"/>
  <c r="A50" i="9"/>
  <c r="T49" i="9"/>
  <c r="S49" i="9"/>
  <c r="Q49" i="9"/>
  <c r="P49" i="9"/>
  <c r="N49" i="9"/>
  <c r="M49" i="9"/>
  <c r="A49" i="9"/>
  <c r="T48" i="9"/>
  <c r="S48" i="9"/>
  <c r="Q48" i="9"/>
  <c r="P48" i="9"/>
  <c r="N48" i="9"/>
  <c r="M48" i="9"/>
  <c r="A48" i="9"/>
  <c r="T47" i="9"/>
  <c r="S47" i="9"/>
  <c r="Q47" i="9"/>
  <c r="P47" i="9"/>
  <c r="N47" i="9"/>
  <c r="M47" i="9"/>
  <c r="A47" i="9"/>
  <c r="T46" i="9"/>
  <c r="S46" i="9"/>
  <c r="Q46" i="9"/>
  <c r="P46" i="9"/>
  <c r="N46" i="9"/>
  <c r="M46" i="9"/>
  <c r="A46" i="9"/>
  <c r="T45" i="9"/>
  <c r="S45" i="9"/>
  <c r="Q45" i="9"/>
  <c r="P45" i="9"/>
  <c r="N45" i="9"/>
  <c r="M45" i="9"/>
  <c r="A45" i="9"/>
  <c r="T44" i="9"/>
  <c r="S44" i="9"/>
  <c r="Q44" i="9"/>
  <c r="P44" i="9"/>
  <c r="N44" i="9"/>
  <c r="M44" i="9"/>
  <c r="A44" i="9"/>
  <c r="T43" i="9"/>
  <c r="S43" i="9"/>
  <c r="Q43" i="9"/>
  <c r="P43" i="9"/>
  <c r="N43" i="9"/>
  <c r="M43" i="9"/>
  <c r="A43" i="9"/>
  <c r="T42" i="9"/>
  <c r="S42" i="9"/>
  <c r="Q42" i="9"/>
  <c r="P42" i="9"/>
  <c r="N42" i="9"/>
  <c r="M42" i="9"/>
  <c r="A42" i="9"/>
  <c r="T41" i="9"/>
  <c r="S41" i="9"/>
  <c r="Q41" i="9"/>
  <c r="P41" i="9"/>
  <c r="N41" i="9"/>
  <c r="M41" i="9"/>
  <c r="A41" i="9"/>
  <c r="T40" i="9"/>
  <c r="S40" i="9"/>
  <c r="Q40" i="9"/>
  <c r="P40" i="9"/>
  <c r="N40" i="9"/>
  <c r="M40" i="9"/>
  <c r="A40" i="9"/>
  <c r="T39" i="9"/>
  <c r="S39" i="9"/>
  <c r="Q39" i="9"/>
  <c r="P39" i="9"/>
  <c r="N39" i="9"/>
  <c r="M39" i="9"/>
  <c r="A39" i="9"/>
  <c r="T38" i="9"/>
  <c r="S38" i="9"/>
  <c r="Q38" i="9"/>
  <c r="P38" i="9"/>
  <c r="N38" i="9"/>
  <c r="M38" i="9"/>
  <c r="A38" i="9"/>
  <c r="T37" i="9"/>
  <c r="S37" i="9"/>
  <c r="Q37" i="9"/>
  <c r="P37" i="9"/>
  <c r="N37" i="9"/>
  <c r="M37" i="9"/>
  <c r="A37" i="9"/>
  <c r="T36" i="9"/>
  <c r="S36" i="9"/>
  <c r="Q36" i="9"/>
  <c r="P36" i="9"/>
  <c r="N36" i="9"/>
  <c r="M36" i="9"/>
  <c r="A36" i="9"/>
  <c r="T35" i="9"/>
  <c r="S35" i="9"/>
  <c r="Q35" i="9"/>
  <c r="P35" i="9"/>
  <c r="N35" i="9"/>
  <c r="M35" i="9"/>
  <c r="A35" i="9"/>
  <c r="T34" i="9"/>
  <c r="S34" i="9"/>
  <c r="Q34" i="9"/>
  <c r="P34" i="9"/>
  <c r="N34" i="9"/>
  <c r="M34" i="9"/>
  <c r="A34" i="9"/>
  <c r="T33" i="9"/>
  <c r="S33" i="9"/>
  <c r="Q33" i="9"/>
  <c r="P33" i="9"/>
  <c r="N33" i="9"/>
  <c r="M33" i="9"/>
  <c r="A33" i="9"/>
  <c r="T32" i="9"/>
  <c r="S32" i="9"/>
  <c r="Q32" i="9"/>
  <c r="P32" i="9"/>
  <c r="N32" i="9"/>
  <c r="M32" i="9"/>
  <c r="A32" i="9"/>
  <c r="T31" i="9"/>
  <c r="S31" i="9"/>
  <c r="Q31" i="9"/>
  <c r="P31" i="9"/>
  <c r="N31" i="9"/>
  <c r="M31" i="9"/>
  <c r="A31" i="9"/>
  <c r="T30" i="9"/>
  <c r="S30" i="9"/>
  <c r="Q30" i="9"/>
  <c r="P30" i="9"/>
  <c r="N30" i="9"/>
  <c r="M30" i="9"/>
  <c r="A30" i="9"/>
  <c r="T29" i="9"/>
  <c r="S29" i="9"/>
  <c r="Q29" i="9"/>
  <c r="P29" i="9"/>
  <c r="N29" i="9"/>
  <c r="M29" i="9"/>
  <c r="A29" i="9"/>
  <c r="T28" i="9"/>
  <c r="S28" i="9"/>
  <c r="Q28" i="9"/>
  <c r="P28" i="9"/>
  <c r="N28" i="9"/>
  <c r="M28" i="9"/>
  <c r="A28" i="9"/>
  <c r="T27" i="9"/>
  <c r="S27" i="9"/>
  <c r="Q27" i="9"/>
  <c r="P27" i="9"/>
  <c r="N27" i="9"/>
  <c r="M27" i="9"/>
  <c r="A27" i="9"/>
  <c r="T26" i="9"/>
  <c r="S26" i="9"/>
  <c r="Q26" i="9"/>
  <c r="P26" i="9"/>
  <c r="N26" i="9"/>
  <c r="M26" i="9"/>
  <c r="A26" i="9"/>
  <c r="T25" i="9"/>
  <c r="S25" i="9"/>
  <c r="Q25" i="9"/>
  <c r="P25" i="9"/>
  <c r="N25" i="9"/>
  <c r="M25" i="9"/>
  <c r="A25" i="9"/>
  <c r="T24" i="9"/>
  <c r="S24" i="9"/>
  <c r="Q24" i="9"/>
  <c r="P24" i="9"/>
  <c r="N24" i="9"/>
  <c r="M24" i="9"/>
  <c r="A24" i="9"/>
  <c r="T23" i="9"/>
  <c r="S23" i="9"/>
  <c r="Q23" i="9"/>
  <c r="P23" i="9"/>
  <c r="N23" i="9"/>
  <c r="M23" i="9"/>
  <c r="A23" i="9"/>
  <c r="T22" i="9"/>
  <c r="S22" i="9"/>
  <c r="Q22" i="9"/>
  <c r="P22" i="9"/>
  <c r="N22" i="9"/>
  <c r="M22" i="9"/>
  <c r="A22" i="9"/>
  <c r="T21" i="9"/>
  <c r="S21" i="9"/>
  <c r="Q21" i="9"/>
  <c r="P21" i="9"/>
  <c r="N21" i="9"/>
  <c r="M21" i="9"/>
  <c r="A21" i="9"/>
  <c r="T20" i="9"/>
  <c r="S20" i="9"/>
  <c r="Q20" i="9"/>
  <c r="P20" i="9"/>
  <c r="N20" i="9"/>
  <c r="M20" i="9"/>
  <c r="A20" i="9"/>
  <c r="T19" i="9"/>
  <c r="S19" i="9"/>
  <c r="Q19" i="9"/>
  <c r="P19" i="9"/>
  <c r="N19" i="9"/>
  <c r="M19" i="9"/>
  <c r="A19" i="9"/>
  <c r="T18" i="9"/>
  <c r="S18" i="9"/>
  <c r="Q18" i="9"/>
  <c r="P18" i="9"/>
  <c r="N18" i="9"/>
  <c r="M18" i="9"/>
  <c r="A18" i="9"/>
  <c r="T17" i="9"/>
  <c r="S17" i="9"/>
  <c r="Q17" i="9"/>
  <c r="P17" i="9"/>
  <c r="N17" i="9"/>
  <c r="M17" i="9"/>
  <c r="A17" i="9"/>
  <c r="T16" i="9"/>
  <c r="S16" i="9"/>
  <c r="Q16" i="9"/>
  <c r="P16" i="9"/>
  <c r="N16" i="9"/>
  <c r="M16" i="9"/>
  <c r="A16" i="9"/>
  <c r="T15" i="9"/>
  <c r="S15" i="9"/>
  <c r="Q15" i="9"/>
  <c r="P15" i="9"/>
  <c r="N15" i="9"/>
  <c r="M15" i="9"/>
  <c r="A15" i="9"/>
  <c r="T14" i="9"/>
  <c r="S14" i="9"/>
  <c r="Q14" i="9"/>
  <c r="P14" i="9"/>
  <c r="N14" i="9"/>
  <c r="M14" i="9"/>
  <c r="A14" i="9"/>
  <c r="T13" i="9"/>
  <c r="S13" i="9"/>
  <c r="Q13" i="9"/>
  <c r="P13" i="9"/>
  <c r="N13" i="9"/>
  <c r="M13" i="9"/>
  <c r="A13" i="9"/>
  <c r="T12" i="9"/>
  <c r="S12" i="9"/>
  <c r="Q12" i="9"/>
  <c r="P12" i="9"/>
  <c r="N12" i="9"/>
  <c r="M12" i="9"/>
  <c r="A12" i="9"/>
  <c r="T11" i="9"/>
  <c r="S11" i="9"/>
  <c r="P11" i="9"/>
  <c r="M11" i="9"/>
  <c r="A11" i="9"/>
  <c r="T10" i="9"/>
  <c r="S10" i="9"/>
  <c r="P10" i="9"/>
  <c r="M10" i="9"/>
  <c r="A10" i="9"/>
  <c r="T9" i="9"/>
  <c r="S9" i="9"/>
  <c r="P9" i="9"/>
  <c r="M9" i="9"/>
  <c r="A9" i="9"/>
  <c r="T8" i="9"/>
  <c r="S8" i="9"/>
  <c r="P8" i="9"/>
  <c r="M8" i="9"/>
  <c r="A8" i="9"/>
  <c r="T7" i="9"/>
  <c r="S7" i="9"/>
  <c r="P7" i="9"/>
  <c r="M7" i="9"/>
  <c r="A7" i="9"/>
  <c r="T6" i="9"/>
  <c r="S6" i="9"/>
  <c r="P6" i="9"/>
  <c r="M6" i="9"/>
  <c r="A6" i="9"/>
  <c r="T5" i="9"/>
  <c r="S5" i="9"/>
  <c r="P5" i="9"/>
  <c r="M5" i="9"/>
  <c r="A5" i="9"/>
  <c r="T4" i="9"/>
  <c r="S4" i="9"/>
  <c r="P4" i="9"/>
  <c r="M4" i="9"/>
  <c r="A4" i="9"/>
  <c r="T3" i="9"/>
  <c r="S3" i="9"/>
  <c r="P3" i="9"/>
  <c r="M3" i="9"/>
  <c r="A3" i="9"/>
  <c r="T2" i="9"/>
  <c r="S2" i="9"/>
  <c r="P2" i="9"/>
  <c r="M2" i="9"/>
  <c r="O341" i="16" l="1"/>
  <c r="Q341" i="16" s="1"/>
  <c r="R341" i="16" s="1"/>
  <c r="O340" i="16"/>
  <c r="Q340" i="16" s="1"/>
  <c r="R340" i="16" s="1"/>
  <c r="N335" i="16"/>
  <c r="O335" i="16" s="1"/>
  <c r="Q335" i="16" s="1"/>
  <c r="R335" i="16" s="1"/>
  <c r="O336" i="16"/>
  <c r="Q336" i="16" s="1"/>
  <c r="R336" i="16" s="1"/>
  <c r="N338" i="16"/>
  <c r="O338" i="16" s="1"/>
  <c r="Q338" i="16" s="1"/>
  <c r="R338" i="16" s="1"/>
  <c r="O321" i="16"/>
  <c r="Q321" i="16" s="1"/>
  <c r="R321" i="16" s="1"/>
  <c r="O325" i="16"/>
  <c r="Q325" i="16" s="1"/>
  <c r="R325" i="16" s="1"/>
  <c r="O345" i="16"/>
  <c r="Q345" i="16" s="1"/>
  <c r="R345" i="16" s="1"/>
  <c r="N311" i="16"/>
  <c r="O311" i="16" s="1"/>
  <c r="Q311" i="16" s="1"/>
  <c r="R311" i="16" s="1"/>
</calcChain>
</file>

<file path=xl/comments1.xml><?xml version="1.0" encoding="utf-8"?>
<comments xmlns="http://schemas.openxmlformats.org/spreadsheetml/2006/main">
  <authors>
    <author>admin</author>
  </authors>
  <commentList>
    <comment ref="P33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no reading available
</t>
        </r>
      </text>
    </comment>
    <comment ref="V45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RTU data not update
</t>
        </r>
      </text>
    </comment>
    <comment ref="V46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not data update
</t>
        </r>
      </text>
    </comment>
    <comment ref="O65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no taaken today ABT reading
</t>
        </r>
      </text>
    </comment>
    <comment ref="V111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data not update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D45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RTU DATA NOT UPDATE
</t>
        </r>
      </text>
    </comment>
  </commentList>
</comments>
</file>

<file path=xl/sharedStrings.xml><?xml version="1.0" encoding="utf-8"?>
<sst xmlns="http://schemas.openxmlformats.org/spreadsheetml/2006/main" count="1652" uniqueCount="266">
  <si>
    <t>Plant Name</t>
  </si>
  <si>
    <t>Date</t>
  </si>
  <si>
    <t>Month</t>
  </si>
  <si>
    <t>Daily_Gen</t>
  </si>
  <si>
    <t>Daily_GTI</t>
  </si>
  <si>
    <t>Daily_GHI</t>
  </si>
  <si>
    <t>Ambt_Temp</t>
  </si>
  <si>
    <t>PR_%</t>
  </si>
  <si>
    <t>CUF_%</t>
  </si>
  <si>
    <t>TArray</t>
  </si>
  <si>
    <t>TArrWtd</t>
  </si>
  <si>
    <t>Connected_DC</t>
  </si>
  <si>
    <t>Devki_Galol</t>
  </si>
  <si>
    <t>Plant_Up_Time</t>
  </si>
  <si>
    <t>Plant_Down_Time</t>
  </si>
  <si>
    <t>Inv_1</t>
  </si>
  <si>
    <t>Inv_2</t>
  </si>
  <si>
    <t>Inv_3</t>
  </si>
  <si>
    <t>Inv_4</t>
  </si>
  <si>
    <t>Inv_5</t>
  </si>
  <si>
    <t>Inv_6</t>
  </si>
  <si>
    <t>Inv_7</t>
  </si>
  <si>
    <t>Total Inv Gen kWh</t>
  </si>
  <si>
    <t>ABT_Initial_Export</t>
  </si>
  <si>
    <t>ABT_Final_Export</t>
  </si>
  <si>
    <t>Total_Export</t>
  </si>
  <si>
    <t>ABT_Initial_Import</t>
  </si>
  <si>
    <t>ABT_Final_Import</t>
  </si>
  <si>
    <t>Total_Import</t>
  </si>
  <si>
    <t>Net_Gen_kWh</t>
  </si>
  <si>
    <r>
      <rPr>
        <b/>
        <sz val="11"/>
        <color theme="1"/>
        <rFont val="Calibri"/>
        <charset val="134"/>
      </rPr>
      <t>GHI (kwh/m</t>
    </r>
    <r>
      <rPr>
        <b/>
        <vertAlign val="superscript"/>
        <sz val="11"/>
        <color theme="1"/>
        <rFont val="Arial"/>
        <charset val="134"/>
        <scheme val="minor"/>
      </rPr>
      <t>2</t>
    </r>
    <r>
      <rPr>
        <b/>
        <sz val="11"/>
        <color theme="1"/>
        <rFont val="Arial"/>
        <charset val="134"/>
        <scheme val="minor"/>
      </rPr>
      <t>)</t>
    </r>
  </si>
  <si>
    <r>
      <rPr>
        <b/>
        <sz val="11"/>
        <color theme="1"/>
        <rFont val="Calibri"/>
        <charset val="134"/>
      </rPr>
      <t>GTI (kwh/m</t>
    </r>
    <r>
      <rPr>
        <b/>
        <vertAlign val="superscript"/>
        <sz val="11"/>
        <color theme="1"/>
        <rFont val="Arial"/>
        <charset val="134"/>
        <scheme val="minor"/>
      </rPr>
      <t>2</t>
    </r>
    <r>
      <rPr>
        <b/>
        <sz val="11"/>
        <color theme="1"/>
        <rFont val="Arial"/>
        <charset val="134"/>
        <scheme val="minor"/>
      </rPr>
      <t>)</t>
    </r>
  </si>
  <si>
    <t>Ambt_Temp_Avg</t>
  </si>
  <si>
    <t>Module_Temp_Avg</t>
  </si>
  <si>
    <t>Wtd_Module_Temp</t>
  </si>
  <si>
    <t>Wind Speed</t>
  </si>
  <si>
    <t>Rain_Gaug_MM</t>
  </si>
  <si>
    <t>Weather_Condition</t>
  </si>
  <si>
    <t>sunny</t>
  </si>
  <si>
    <t>mostly cloudy</t>
  </si>
  <si>
    <t>cloudy</t>
  </si>
  <si>
    <t>rainy</t>
  </si>
  <si>
    <t>1425..63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</si>
  <si>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</si>
  <si>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</t>
  </si>
  <si>
    <t>1806..57</t>
  </si>
  <si>
    <t xml:space="preserve">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</si>
  <si>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</si>
  <si>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</si>
  <si>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</t>
  </si>
  <si>
    <t xml:space="preserve">                                                                       </t>
  </si>
  <si>
    <t>1747..20</t>
  </si>
  <si>
    <t>`</t>
  </si>
  <si>
    <t>-</t>
  </si>
  <si>
    <t>Inverter_Availability_Sheet</t>
  </si>
  <si>
    <t>Daily_Generation_&amp;_Performance_Report</t>
  </si>
  <si>
    <t>Inverter_No.</t>
  </si>
  <si>
    <t>Total/Avg..</t>
  </si>
  <si>
    <t>Total_Inverter_(kWh)</t>
  </si>
  <si>
    <t>Total_ABT_Meter_Export_(kWh)</t>
  </si>
  <si>
    <t>Total_ABT_Meter_Import_(kWh)</t>
  </si>
  <si>
    <t>Total_ABT_Meter_Net_(kWh)</t>
  </si>
  <si>
    <t>GTI</t>
  </si>
  <si>
    <t>GHI</t>
  </si>
  <si>
    <t>Module_Temp.</t>
  </si>
  <si>
    <t>Ambt._Temp.</t>
  </si>
  <si>
    <t>Performance_Ratio_(%)</t>
  </si>
  <si>
    <t>Capacity_Utilization_Factor_(%)</t>
  </si>
  <si>
    <t>Aux_Consumption_Line_Loss_(%)</t>
  </si>
  <si>
    <t>Daily_Generation_Per_KW_Performance_Analysis</t>
  </si>
  <si>
    <t>Avg_per_Kw</t>
  </si>
  <si>
    <t>Avg_PR%</t>
  </si>
  <si>
    <t>Details_of_Plant</t>
  </si>
  <si>
    <t>Values</t>
  </si>
  <si>
    <t>Inverter_Name</t>
  </si>
  <si>
    <t>AC_Capacity_MW</t>
  </si>
  <si>
    <t>Connected_DC_MW</t>
  </si>
  <si>
    <t>No_Of_Module</t>
  </si>
  <si>
    <t>D.O.C(DD-MMM-YYY)</t>
  </si>
  <si>
    <t>Plant_Name</t>
  </si>
  <si>
    <t>Devki Galol</t>
  </si>
  <si>
    <t>Longitude_Of_Site</t>
  </si>
  <si>
    <t>21.62 °N</t>
  </si>
  <si>
    <t>Latitude_Of_Site</t>
  </si>
  <si>
    <t>70.69 °E</t>
  </si>
  <si>
    <t>DC_Capacity_(kWh)</t>
  </si>
  <si>
    <t>AC_Capacity_(kWh)</t>
  </si>
  <si>
    <t>Connected_DC_Capacity</t>
  </si>
  <si>
    <t>Multiplying_Factor_(MF)</t>
  </si>
  <si>
    <t>Total</t>
  </si>
  <si>
    <t>No._of_Power_Trafo.</t>
  </si>
  <si>
    <t>Power_Trafo._Make</t>
  </si>
  <si>
    <t>Gujrat_Trafo</t>
  </si>
  <si>
    <t>Inverter_Make</t>
  </si>
  <si>
    <t>Watt_power</t>
  </si>
  <si>
    <t>Inverter_Capacity</t>
  </si>
  <si>
    <t>No._of_Inverter</t>
  </si>
  <si>
    <t>Module_Make</t>
  </si>
  <si>
    <t>EMMVEE</t>
  </si>
  <si>
    <t>Module_Rating</t>
  </si>
  <si>
    <t>No._of_Strings/Table</t>
  </si>
  <si>
    <t>No._Of_Module_In_Table</t>
  </si>
  <si>
    <t>28 for Bifacial</t>
  </si>
  <si>
    <t>Total_Module</t>
  </si>
  <si>
    <t>Switch_Yard_Make_Vendors</t>
  </si>
  <si>
    <t>ABB</t>
  </si>
  <si>
    <t>Table_Configuration</t>
  </si>
  <si>
    <t>2X28</t>
  </si>
  <si>
    <t>ABT Meter Make</t>
  </si>
  <si>
    <t>FY:Name</t>
  </si>
  <si>
    <t>From_FY</t>
  </si>
  <si>
    <t>To_FY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</si>
  <si>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</si>
  <si>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</si>
  <si>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</si>
  <si>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</si>
  <si>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</si>
  <si>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</si>
  <si>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</si>
  <si>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</si>
  <si>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</si>
  <si>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</si>
  <si>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</si>
  <si>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</si>
  <si>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</si>
  <si>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</si>
  <si>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</si>
  <si>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</si>
  <si>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</si>
  <si>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</si>
  <si>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</si>
  <si>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</si>
  <si>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</si>
  <si>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Plant_Performance_of_Mandodara_GJ</t>
  </si>
  <si>
    <t>AC Capacity:</t>
  </si>
  <si>
    <t>DC Capacity:</t>
  </si>
  <si>
    <t>D.O.C.:</t>
  </si>
  <si>
    <t>Daily</t>
  </si>
  <si>
    <t>MTD</t>
  </si>
  <si>
    <t>YTD</t>
  </si>
  <si>
    <t>Budgeted</t>
  </si>
  <si>
    <t>Actual</t>
  </si>
  <si>
    <t>Variation(%)</t>
  </si>
  <si>
    <t>Generation_MW</t>
  </si>
  <si>
    <r>
      <rPr>
        <sz val="12"/>
        <color theme="1"/>
        <rFont val="Arial"/>
        <charset val="134"/>
        <scheme val="minor"/>
      </rPr>
      <t>GTI (Kwh/m</t>
    </r>
    <r>
      <rPr>
        <vertAlign val="superscript"/>
        <sz val="12"/>
        <color theme="1"/>
        <rFont val="Arial"/>
        <charset val="134"/>
        <scheme val="minor"/>
      </rPr>
      <t>2</t>
    </r>
    <r>
      <rPr>
        <sz val="12"/>
        <color theme="1"/>
        <rFont val="Arial"/>
        <charset val="134"/>
        <scheme val="minor"/>
      </rPr>
      <t>)</t>
    </r>
  </si>
  <si>
    <r>
      <rPr>
        <sz val="12"/>
        <color theme="1"/>
        <rFont val="Arial"/>
        <charset val="134"/>
        <scheme val="minor"/>
      </rPr>
      <t>GHI (Kwh/m</t>
    </r>
    <r>
      <rPr>
        <vertAlign val="superscript"/>
        <sz val="12"/>
        <color theme="1"/>
        <rFont val="Arial"/>
        <charset val="134"/>
        <scheme val="minor"/>
      </rPr>
      <t>2</t>
    </r>
    <r>
      <rPr>
        <sz val="12"/>
        <color theme="1"/>
        <rFont val="Arial"/>
        <charset val="134"/>
        <scheme val="minor"/>
      </rPr>
      <t>)</t>
    </r>
  </si>
  <si>
    <t>PR_(%)</t>
  </si>
  <si>
    <t>CUF_(%)</t>
  </si>
  <si>
    <r>
      <rPr>
        <sz val="12"/>
        <color theme="1"/>
        <rFont val="Arial"/>
        <charset val="134"/>
        <scheme val="minor"/>
      </rPr>
      <t>Ambt._Temp_(</t>
    </r>
    <r>
      <rPr>
        <vertAlign val="superscript"/>
        <sz val="12"/>
        <color theme="1"/>
        <rFont val="Arial"/>
        <charset val="134"/>
        <scheme val="minor"/>
      </rPr>
      <t>0</t>
    </r>
    <r>
      <rPr>
        <sz val="12"/>
        <color theme="1"/>
        <rFont val="Arial"/>
        <charset val="134"/>
        <scheme val="minor"/>
      </rPr>
      <t>C)</t>
    </r>
  </si>
  <si>
    <t>Plant_Down_Time Details</t>
  </si>
  <si>
    <t>Inverter_No</t>
  </si>
  <si>
    <t>String_No</t>
  </si>
  <si>
    <t>Down_Time_Start</t>
  </si>
  <si>
    <t>Down_Time_Stop</t>
  </si>
  <si>
    <t>Total_Down_Time</t>
  </si>
  <si>
    <t>Affected DC Capacity (in KW)</t>
  </si>
  <si>
    <t>Insolation*Capacity</t>
  </si>
  <si>
    <t>Generation Loss</t>
  </si>
  <si>
    <t>Revenue</t>
  </si>
  <si>
    <t>Component Name</t>
  </si>
  <si>
    <t>Fault Description</t>
  </si>
  <si>
    <t>Reason_Of_Down</t>
  </si>
  <si>
    <t>Purposed Action Plan</t>
  </si>
  <si>
    <t>Material Consumption Description</t>
  </si>
  <si>
    <t>UOM</t>
  </si>
  <si>
    <t>Quantity</t>
  </si>
  <si>
    <t>Corrective_Action_Taken_By_Site_Team</t>
  </si>
  <si>
    <t>All inverter</t>
  </si>
  <si>
    <t>All string</t>
  </si>
  <si>
    <t>Do wire burning</t>
  </si>
  <si>
    <t>used Do wire</t>
  </si>
  <si>
    <t>B phase Do wire replace</t>
  </si>
  <si>
    <t>Inverter_No:02</t>
  </si>
  <si>
    <t xml:space="preserve">INVERTER </t>
  </si>
  <si>
    <t>INTERNAL</t>
  </si>
  <si>
    <t>Visit by wattpower  team,</t>
  </si>
  <si>
    <t>INSTALLED NEW INVERTER BY SITE TEAM</t>
  </si>
  <si>
    <t>11 kv panel tripped</t>
  </si>
  <si>
    <t>over voltage &amp; undar voltage</t>
  </si>
  <si>
    <t xml:space="preserve">aftar 11 kv panel  manufactring  person set relay </t>
  </si>
  <si>
    <t>DO wire</t>
  </si>
  <si>
    <t>over voltage</t>
  </si>
  <si>
    <t>resolved by site team</t>
  </si>
  <si>
    <t>Inverter_No:01</t>
  </si>
  <si>
    <t>arrey</t>
  </si>
  <si>
    <t>low insulation resistance</t>
  </si>
  <si>
    <t>arrey cable insulation damage</t>
  </si>
  <si>
    <t>1 nos MC4 Connector</t>
  </si>
  <si>
    <t>arry rectification by site team</t>
  </si>
  <si>
    <t>DP SWITCH</t>
  </si>
  <si>
    <t>Y phase  HAVY Sparking</t>
  </si>
  <si>
    <t>loos conntect</t>
  </si>
  <si>
    <t>resoveld by site team</t>
  </si>
  <si>
    <t>brecker dummy tripped</t>
  </si>
  <si>
    <t>11kv s/s site brecker issue</t>
  </si>
  <si>
    <t>DC TERMINALTEM,ABNORMAL</t>
  </si>
  <si>
    <t>MC4 CONNECTION LOOS</t>
  </si>
  <si>
    <t xml:space="preserve">CHECK &amp; TIGHTING </t>
  </si>
  <si>
    <t xml:space="preserve"> rectification by site team</t>
  </si>
  <si>
    <t>Plant_Grid_Down_Time_Details</t>
  </si>
  <si>
    <t>Transformer_No. (T-1)</t>
  </si>
  <si>
    <t>Comm. Insolation of the Period</t>
  </si>
  <si>
    <t>Module Temp of the Period</t>
  </si>
  <si>
    <t>GETCO site s/s tripped</t>
  </si>
  <si>
    <t>GETCO team Maintance work</t>
  </si>
  <si>
    <t>24/09/25</t>
  </si>
  <si>
    <t>GETCO site s/s IN OUTAGE</t>
  </si>
  <si>
    <t>getco site 11kv panel kwh meter isueed</t>
  </si>
  <si>
    <t>22/01/2026</t>
  </si>
  <si>
    <t>s/s low voltage</t>
  </si>
  <si>
    <t>31/01/2026</t>
  </si>
  <si>
    <t xml:space="preserve"> for getco s/s site 11 kv panle mechineal issued resoveld by joyti team(hitesh bhai visited) </t>
  </si>
  <si>
    <t>again plant manully stopped for amp meter wiring checked by joyti team( hitesh bhai)</t>
  </si>
  <si>
    <t>19/04/2026</t>
  </si>
  <si>
    <t>substaation site planned outage</t>
  </si>
  <si>
    <t>Water Consumption</t>
  </si>
  <si>
    <t>Months</t>
  </si>
  <si>
    <t>Tanker Qty</t>
  </si>
  <si>
    <t>Consumption (Capacity(Ltr)* Tanker)</t>
  </si>
  <si>
    <t>TDS (PPM)</t>
  </si>
  <si>
    <t>Cycle No.</t>
  </si>
  <si>
    <t>Invt. No</t>
  </si>
  <si>
    <t>Module</t>
  </si>
  <si>
    <t>Cleaned</t>
  </si>
  <si>
    <t>Before Cleaning PR%</t>
  </si>
  <si>
    <t>After Cleaning PR%</t>
  </si>
  <si>
    <t>Balance</t>
  </si>
  <si>
    <t>Remarks</t>
  </si>
  <si>
    <t>wet cleaning</t>
  </si>
  <si>
    <t>N0 cleaning</t>
  </si>
  <si>
    <t>All module cleaned by rain</t>
  </si>
  <si>
    <t>robot cleaning</t>
  </si>
  <si>
    <t>no cleaning</t>
  </si>
  <si>
    <t>No cleaning</t>
  </si>
  <si>
    <t>Module_Temp</t>
  </si>
  <si>
    <t>Amb_Temp</t>
  </si>
  <si>
    <t>Derect_Irr</t>
  </si>
  <si>
    <t>Diffused_Irr</t>
  </si>
  <si>
    <t>Wind_Speed</t>
  </si>
  <si>
    <t>Wind_derection</t>
  </si>
  <si>
    <t>Rain Gauge</t>
  </si>
  <si>
    <t>ABT Export Gen</t>
  </si>
  <si>
    <t>Total inevrter off</t>
  </si>
  <si>
    <t xml:space="preserve">GHI </t>
  </si>
  <si>
    <t>CUF%</t>
  </si>
  <si>
    <t xml:space="preserve">Out </t>
  </si>
  <si>
    <t>In</t>
  </si>
  <si>
    <t>Total Minute</t>
  </si>
  <si>
    <t>Outage Hrs.</t>
  </si>
  <si>
    <t xml:space="preserve">Plant Capacity </t>
  </si>
  <si>
    <t xml:space="preserve">Outage Capacity </t>
  </si>
  <si>
    <t>Plant Capacity Ratio</t>
  </si>
  <si>
    <t>Outage Ratio</t>
  </si>
  <si>
    <t>Plant  Availiblity</t>
  </si>
  <si>
    <t>PA.C CUF</t>
  </si>
  <si>
    <t>total curtailment</t>
  </si>
  <si>
    <t xml:space="preserve">P.A.C Generation </t>
  </si>
  <si>
    <t>PA Unit Lose</t>
  </si>
  <si>
    <t xml:space="preserve"> curtailment</t>
  </si>
  <si>
    <t>Grid Availiblity</t>
  </si>
  <si>
    <t>G.C CUF</t>
  </si>
  <si>
    <t xml:space="preserve">G.C Generation </t>
  </si>
  <si>
    <t>Grid Unit Lose</t>
  </si>
  <si>
    <t xml:space="preserve">                                                                                                   </t>
  </si>
  <si>
    <t xml:space="preserve">                                                    </t>
  </si>
  <si>
    <t xml:space="preserve">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</si>
</sst>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8" formatCode="[$-409]d/mmm/yy;@"/>
    <numFmt numFmtId="169" formatCode="[h]:mm:ss;@"/>
    <numFmt numFmtId="170" formatCode="0.0%"/>
    <numFmt numFmtId="171" formatCode="mmm/yy"/>
    <numFmt numFmtId="172" formatCode="dd/mmm/yy"/>
    <numFmt numFmtId="173" formatCode="0.00_ "/>
    <numFmt numFmtId="174" formatCode="dd/mm/yyyy"/>
    <numFmt numFmtId="175" formatCode="[$-409]d/mmm;@"/>
    <numFmt numFmtId="176" formatCode="0.0"/>
    <numFmt numFmtId="177" formatCode="dd/mmm"/>
  </numFmts>
  <fonts count="25">
    <font>
      <sz val="11"/>
      <name val="Arial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9"/>
      <color theme="1"/>
      <name val="Arial"/>
      <charset val="134"/>
      <scheme val="minor"/>
    </font>
    <font>
      <b/>
      <sz val="18"/>
      <color rgb="FF000000"/>
      <name val="Calibri"/>
      <charset val="134"/>
    </font>
    <font>
      <b/>
      <sz val="11"/>
      <color rgb="FF000000"/>
      <name val="Calibri"/>
      <charset val="134"/>
    </font>
    <font>
      <b/>
      <sz val="18"/>
      <color theme="1"/>
      <name val="Book Antiqua"/>
      <charset val="134"/>
    </font>
    <font>
      <sz val="11"/>
      <name val="Arial"/>
      <charset val="134"/>
      <scheme val="minor"/>
    </font>
    <font>
      <sz val="11"/>
      <color theme="0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2"/>
      <name val="Arial"/>
      <charset val="134"/>
      <scheme val="minor"/>
    </font>
    <font>
      <sz val="11"/>
      <color rgb="FF000000"/>
      <name val="Arial"/>
      <charset val="134"/>
    </font>
    <font>
      <b/>
      <sz val="11"/>
      <color theme="1"/>
      <name val="Calibri"/>
      <charset val="134"/>
    </font>
    <font>
      <sz val="11"/>
      <color theme="0"/>
      <name val="Arial"/>
      <charset val="134"/>
    </font>
    <font>
      <b/>
      <i/>
      <sz val="11"/>
      <color theme="1"/>
      <name val="Calibri"/>
      <charset val="134"/>
    </font>
    <font>
      <vertAlign val="superscript"/>
      <sz val="12"/>
      <color theme="1"/>
      <name val="Arial"/>
      <charset val="134"/>
      <scheme val="minor"/>
    </font>
    <font>
      <b/>
      <vertAlign val="superscript"/>
      <sz val="11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b/>
      <sz val="9"/>
      <name val="Tahoma"/>
      <charset val="1"/>
    </font>
    <font>
      <sz val="9"/>
      <name val="Tahoma"/>
      <charset val="1"/>
    </font>
    <font>
      <sz val="11"/>
      <name val="Arial"/>
      <charset val="134"/>
    </font>
  </fonts>
  <fills count="13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D6DCE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24" fillId="0" borderId="0" applyFont="0" applyFill="0" applyBorder="0" applyAlignment="0" applyProtection="0"/>
  </cellStyleXfs>
  <cellXfs count="16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68" fontId="0" fillId="0" borderId="0" xfId="0" applyNumberFormat="1">
      <alignment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0" fontId="0" fillId="0" borderId="1" xfId="1" applyNumberFormat="1" applyFont="1" applyBorder="1"/>
    <xf numFmtId="169" fontId="0" fillId="0" borderId="1" xfId="0" applyNumberForma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0" fontId="3" fillId="0" borderId="1" xfId="1" applyNumberFormat="1" applyFont="1" applyBorder="1" applyAlignment="1">
      <alignment horizontal="center"/>
    </xf>
    <xf numFmtId="170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168" fontId="2" fillId="0" borderId="1" xfId="0" applyNumberFormat="1" applyFont="1" applyBorder="1" applyAlignment="1"/>
    <xf numFmtId="170" fontId="3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/>
    <xf numFmtId="171" fontId="5" fillId="0" borderId="1" xfId="0" applyNumberFormat="1" applyFont="1" applyBorder="1">
      <alignment vertical="center"/>
    </xf>
    <xf numFmtId="172" fontId="5" fillId="0" borderId="1" xfId="0" applyNumberFormat="1" applyFont="1" applyBorder="1">
      <alignment vertical="center"/>
    </xf>
    <xf numFmtId="0" fontId="4" fillId="4" borderId="1" xfId="0" applyFont="1" applyFill="1" applyBorder="1" applyAlignment="1"/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5" fillId="0" borderId="1" xfId="0" applyFont="1" applyBorder="1">
      <alignment vertical="center"/>
    </xf>
    <xf numFmtId="173" fontId="0" fillId="0" borderId="1" xfId="0" applyNumberFormat="1" applyBorder="1">
      <alignment vertical="center"/>
    </xf>
    <xf numFmtId="171" fontId="0" fillId="0" borderId="0" xfId="0" applyNumberFormat="1">
      <alignment vertical="center"/>
    </xf>
    <xf numFmtId="17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" fontId="0" fillId="5" borderId="1" xfId="0" applyNumberFormat="1" applyFill="1" applyBorder="1" applyAlignment="1" applyProtection="1">
      <alignment horizontal="center" vertical="center" wrapText="1"/>
      <protection locked="0"/>
    </xf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9" fontId="0" fillId="0" borderId="1" xfId="1" applyFont="1" applyBorder="1" applyAlignment="1">
      <alignment vertical="center"/>
    </xf>
    <xf numFmtId="0" fontId="0" fillId="7" borderId="1" xfId="0" applyFill="1" applyBorder="1">
      <alignment vertical="center"/>
    </xf>
    <xf numFmtId="9" fontId="0" fillId="7" borderId="1" xfId="1" applyFont="1" applyFill="1" applyBorder="1" applyAlignment="1">
      <alignment vertical="center"/>
    </xf>
    <xf numFmtId="0" fontId="0" fillId="8" borderId="1" xfId="0" applyFill="1" applyBorder="1">
      <alignment vertical="center"/>
    </xf>
    <xf numFmtId="0" fontId="0" fillId="3" borderId="1" xfId="0" applyFill="1" applyBorder="1">
      <alignment vertical="center"/>
    </xf>
    <xf numFmtId="9" fontId="0" fillId="3" borderId="1" xfId="1" applyFont="1" applyFill="1" applyBorder="1" applyAlignment="1">
      <alignment vertical="center"/>
    </xf>
    <xf numFmtId="9" fontId="0" fillId="8" borderId="1" xfId="1" applyFont="1" applyFill="1" applyBorder="1" applyAlignment="1">
      <alignment vertical="center"/>
    </xf>
    <xf numFmtId="0" fontId="0" fillId="0" borderId="2" xfId="0" applyFill="1" applyBorder="1">
      <alignment vertical="center"/>
    </xf>
    <xf numFmtId="9" fontId="0" fillId="0" borderId="1" xfId="1" applyNumberFormat="1" applyFont="1" applyBorder="1" applyAlignment="1">
      <alignment vertical="center"/>
    </xf>
    <xf numFmtId="0" fontId="0" fillId="0" borderId="1" xfId="1" applyNumberFormat="1" applyFont="1" applyFill="1" applyBorder="1" applyAlignment="1" applyProtection="1">
      <alignment vertical="center"/>
    </xf>
    <xf numFmtId="0" fontId="7" fillId="9" borderId="0" xfId="0" applyFont="1" applyFill="1">
      <alignment vertical="center"/>
    </xf>
    <xf numFmtId="0" fontId="7" fillId="0" borderId="0" xfId="0" applyFo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4" fillId="0" borderId="3" xfId="0" applyFont="1" applyBorder="1" applyAlignment="1"/>
    <xf numFmtId="174" fontId="4" fillId="0" borderId="3" xfId="0" applyNumberFormat="1" applyFont="1" applyBorder="1" applyAlignment="1"/>
    <xf numFmtId="20" fontId="4" fillId="0" borderId="3" xfId="0" applyNumberFormat="1" applyFont="1" applyBorder="1" applyAlignment="1"/>
    <xf numFmtId="0" fontId="4" fillId="7" borderId="3" xfId="0" applyFont="1" applyFill="1" applyBorder="1" applyAlignment="1"/>
    <xf numFmtId="175" fontId="4" fillId="0" borderId="3" xfId="0" applyNumberFormat="1" applyFont="1" applyBorder="1" applyAlignment="1"/>
    <xf numFmtId="0" fontId="0" fillId="0" borderId="0" xfId="0" applyFont="1">
      <alignment vertical="center"/>
    </xf>
    <xf numFmtId="0" fontId="0" fillId="7" borderId="0" xfId="0" applyFill="1">
      <alignment vertical="center"/>
    </xf>
    <xf numFmtId="0" fontId="7" fillId="7" borderId="0" xfId="0" applyFont="1" applyFill="1">
      <alignment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20" fontId="0" fillId="0" borderId="1" xfId="0" applyNumberFormat="1" applyBorder="1">
      <alignment vertical="center"/>
    </xf>
    <xf numFmtId="0" fontId="0" fillId="0" borderId="0" xfId="0" applyAlignment="1"/>
    <xf numFmtId="0" fontId="10" fillId="0" borderId="0" xfId="0" applyFont="1" applyAlignment="1"/>
    <xf numFmtId="174" fontId="11" fillId="0" borderId="0" xfId="0" applyNumberFormat="1" applyFont="1" applyAlignment="1">
      <alignment horizontal="center" vertical="center"/>
    </xf>
    <xf numFmtId="172" fontId="11" fillId="0" borderId="0" xfId="0" applyNumberFormat="1" applyFont="1" applyAlignment="1"/>
    <xf numFmtId="0" fontId="10" fillId="0" borderId="0" xfId="0" applyFont="1" applyAlignment="1">
      <alignment horizontal="right" vertical="center"/>
    </xf>
    <xf numFmtId="0" fontId="11" fillId="0" borderId="0" xfId="0" applyFont="1" applyAlignment="1"/>
    <xf numFmtId="0" fontId="12" fillId="11" borderId="10" xfId="0" applyFont="1" applyFill="1" applyBorder="1" applyAlignment="1">
      <alignment horizontal="right" vertical="center"/>
    </xf>
    <xf numFmtId="172" fontId="13" fillId="0" borderId="10" xfId="0" applyNumberFormat="1" applyFont="1" applyBorder="1" applyAlignment="1" applyProtection="1">
      <alignment horizontal="center" vertical="center"/>
      <protection locked="0"/>
    </xf>
    <xf numFmtId="2" fontId="13" fillId="0" borderId="10" xfId="0" applyNumberFormat="1" applyFont="1" applyBorder="1" applyAlignment="1">
      <alignment horizontal="center" vertical="center"/>
    </xf>
    <xf numFmtId="2" fontId="14" fillId="8" borderId="10" xfId="0" applyNumberFormat="1" applyFont="1" applyFill="1" applyBorder="1" applyAlignment="1">
      <alignment horizontal="center" vertical="center"/>
    </xf>
    <xf numFmtId="172" fontId="13" fillId="0" borderId="10" xfId="0" applyNumberFormat="1" applyFont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/>
    </xf>
    <xf numFmtId="2" fontId="13" fillId="0" borderId="18" xfId="0" applyNumberFormat="1" applyFont="1" applyBorder="1" applyAlignment="1">
      <alignment horizontal="center"/>
    </xf>
    <xf numFmtId="170" fontId="13" fillId="0" borderId="19" xfId="0" applyNumberFormat="1" applyFont="1" applyBorder="1" applyAlignment="1">
      <alignment horizontal="center"/>
    </xf>
    <xf numFmtId="176" fontId="13" fillId="0" borderId="20" xfId="0" applyNumberFormat="1" applyFont="1" applyBorder="1" applyAlignment="1">
      <alignment horizontal="center"/>
    </xf>
    <xf numFmtId="2" fontId="13" fillId="0" borderId="23" xfId="0" applyNumberFormat="1" applyFont="1" applyBorder="1" applyAlignment="1">
      <alignment horizontal="center"/>
    </xf>
    <xf numFmtId="2" fontId="13" fillId="0" borderId="24" xfId="0" applyNumberFormat="1" applyFont="1" applyBorder="1" applyAlignment="1">
      <alignment horizontal="center"/>
    </xf>
    <xf numFmtId="170" fontId="13" fillId="0" borderId="25" xfId="0" applyNumberFormat="1" applyFont="1" applyBorder="1" applyAlignment="1">
      <alignment horizontal="center"/>
    </xf>
    <xf numFmtId="2" fontId="13" fillId="0" borderId="26" xfId="0" applyNumberFormat="1" applyFont="1" applyBorder="1" applyAlignment="1">
      <alignment horizontal="center"/>
    </xf>
    <xf numFmtId="170" fontId="13" fillId="0" borderId="23" xfId="0" applyNumberFormat="1" applyFont="1" applyBorder="1" applyAlignment="1">
      <alignment horizontal="center"/>
    </xf>
    <xf numFmtId="170" fontId="13" fillId="0" borderId="26" xfId="0" applyNumberFormat="1" applyFont="1" applyBorder="1" applyAlignment="1">
      <alignment horizontal="center"/>
    </xf>
    <xf numFmtId="170" fontId="13" fillId="0" borderId="24" xfId="0" applyNumberFormat="1" applyFont="1" applyBorder="1" applyAlignment="1">
      <alignment horizontal="center"/>
    </xf>
    <xf numFmtId="2" fontId="13" fillId="0" borderId="29" xfId="0" applyNumberFormat="1" applyFont="1" applyBorder="1" applyAlignment="1">
      <alignment horizontal="center"/>
    </xf>
    <xf numFmtId="2" fontId="13" fillId="0" borderId="30" xfId="0" applyNumberFormat="1" applyFont="1" applyBorder="1" applyAlignment="1">
      <alignment horizontal="center"/>
    </xf>
    <xf numFmtId="170" fontId="13" fillId="0" borderId="31" xfId="0" applyNumberFormat="1" applyFont="1" applyBorder="1" applyAlignment="1">
      <alignment horizontal="center"/>
    </xf>
    <xf numFmtId="2" fontId="13" fillId="0" borderId="32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8" fillId="0" borderId="10" xfId="0" applyFont="1" applyBorder="1" applyAlignment="1">
      <alignment horizontal="center" vertical="center" wrapText="1"/>
    </xf>
    <xf numFmtId="0" fontId="15" fillId="0" borderId="1" xfId="0" applyFont="1" applyBorder="1" applyAlignment="1"/>
    <xf numFmtId="0" fontId="15" fillId="0" borderId="0" xfId="0" applyFont="1" applyAlignment="1"/>
    <xf numFmtId="0" fontId="4" fillId="0" borderId="10" xfId="0" applyFont="1" applyBorder="1" applyAlignment="1">
      <alignment horizontal="center" vertical="center"/>
    </xf>
    <xf numFmtId="174" fontId="4" fillId="0" borderId="1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72" fontId="4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2" fontId="0" fillId="0" borderId="10" xfId="0" applyNumberFormat="1" applyBorder="1" applyAlignment="1">
      <alignment horizontal="center" vertical="center"/>
    </xf>
    <xf numFmtId="0" fontId="5" fillId="0" borderId="0" xfId="0" applyFont="1">
      <alignment vertical="center"/>
    </xf>
    <xf numFmtId="0" fontId="16" fillId="11" borderId="1" xfId="0" applyFont="1" applyFill="1" applyBorder="1" applyAlignment="1">
      <alignment horizontal="center" vertical="center"/>
    </xf>
    <xf numFmtId="177" fontId="5" fillId="11" borderId="1" xfId="0" applyNumberFormat="1" applyFont="1" applyFill="1" applyBorder="1">
      <alignment vertical="center"/>
    </xf>
    <xf numFmtId="177" fontId="5" fillId="0" borderId="0" xfId="0" applyNumberFormat="1" applyFont="1">
      <alignment vertical="center"/>
    </xf>
    <xf numFmtId="2" fontId="5" fillId="0" borderId="1" xfId="0" applyNumberFormat="1" applyFont="1" applyBorder="1">
      <alignment vertical="center"/>
    </xf>
    <xf numFmtId="170" fontId="5" fillId="0" borderId="1" xfId="1" applyNumberFormat="1" applyFont="1" applyBorder="1" applyAlignment="1">
      <alignment vertical="center"/>
    </xf>
    <xf numFmtId="9" fontId="5" fillId="0" borderId="1" xfId="1" applyFont="1" applyBorder="1" applyAlignment="1">
      <alignment vertical="center"/>
    </xf>
    <xf numFmtId="0" fontId="16" fillId="0" borderId="0" xfId="0" applyFont="1">
      <alignment vertical="center"/>
    </xf>
    <xf numFmtId="0" fontId="16" fillId="11" borderId="24" xfId="0" applyFont="1" applyFill="1" applyBorder="1" applyAlignment="1">
      <alignment horizontal="center" vertical="center"/>
    </xf>
    <xf numFmtId="177" fontId="5" fillId="11" borderId="0" xfId="0" applyNumberFormat="1" applyFont="1" applyFill="1">
      <alignment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>
      <alignment vertical="center"/>
    </xf>
    <xf numFmtId="0" fontId="16" fillId="0" borderId="24" xfId="0" applyFont="1" applyBorder="1" applyAlignment="1">
      <alignment horizontal="center" vertical="center"/>
    </xf>
    <xf numFmtId="176" fontId="5" fillId="0" borderId="0" xfId="0" applyNumberFormat="1" applyFont="1">
      <alignment vertical="center"/>
    </xf>
    <xf numFmtId="170" fontId="5" fillId="0" borderId="0" xfId="1" applyNumberFormat="1" applyFont="1" applyAlignment="1">
      <alignment vertical="center"/>
    </xf>
    <xf numFmtId="0" fontId="17" fillId="8" borderId="0" xfId="0" applyFont="1" applyFill="1">
      <alignment vertical="center"/>
    </xf>
    <xf numFmtId="171" fontId="5" fillId="0" borderId="33" xfId="0" applyNumberFormat="1" applyFont="1" applyBorder="1">
      <alignment vertical="center"/>
    </xf>
    <xf numFmtId="170" fontId="0" fillId="0" borderId="0" xfId="1" applyNumberFormat="1" applyFont="1" applyAlignment="1">
      <alignment vertical="center"/>
    </xf>
    <xf numFmtId="171" fontId="5" fillId="0" borderId="34" xfId="0" applyNumberFormat="1" applyFont="1" applyBorder="1">
      <alignment vertical="center"/>
    </xf>
    <xf numFmtId="172" fontId="5" fillId="0" borderId="35" xfId="0" applyNumberFormat="1" applyFont="1" applyBorder="1">
      <alignment vertical="center"/>
    </xf>
    <xf numFmtId="0" fontId="5" fillId="0" borderId="36" xfId="0" applyFont="1" applyBorder="1">
      <alignment vertical="center"/>
    </xf>
    <xf numFmtId="0" fontId="5" fillId="0" borderId="37" xfId="0" applyFont="1" applyBorder="1">
      <alignment vertical="center"/>
    </xf>
    <xf numFmtId="0" fontId="16" fillId="5" borderId="38" xfId="0" applyFont="1" applyFill="1" applyBorder="1" applyAlignment="1" applyProtection="1">
      <alignment horizontal="center" vertical="center"/>
      <protection locked="0"/>
    </xf>
    <xf numFmtId="0" fontId="16" fillId="5" borderId="39" xfId="0" applyFont="1" applyFill="1" applyBorder="1" applyAlignment="1" applyProtection="1">
      <alignment horizontal="center" vertical="center"/>
      <protection locked="0"/>
    </xf>
    <xf numFmtId="0" fontId="16" fillId="5" borderId="40" xfId="0" applyFont="1" applyFill="1" applyBorder="1" applyAlignment="1" applyProtection="1">
      <alignment horizontal="center" vertical="center"/>
      <protection locked="0"/>
    </xf>
    <xf numFmtId="0" fontId="16" fillId="5" borderId="41" xfId="0" applyFont="1" applyFill="1" applyBorder="1" applyAlignment="1" applyProtection="1">
      <alignment horizontal="center" vertical="center"/>
      <protection locked="0"/>
    </xf>
    <xf numFmtId="0" fontId="5" fillId="0" borderId="42" xfId="0" applyFont="1" applyBorder="1">
      <alignment vertical="center"/>
    </xf>
    <xf numFmtId="2" fontId="5" fillId="0" borderId="43" xfId="0" applyNumberFormat="1" applyFont="1" applyBorder="1">
      <alignment vertical="center"/>
    </xf>
    <xf numFmtId="2" fontId="5" fillId="0" borderId="44" xfId="0" applyNumberFormat="1" applyFont="1" applyBorder="1">
      <alignment vertical="center"/>
    </xf>
    <xf numFmtId="0" fontId="5" fillId="0" borderId="33" xfId="0" applyFont="1" applyBorder="1">
      <alignment vertical="center"/>
    </xf>
    <xf numFmtId="0" fontId="5" fillId="0" borderId="43" xfId="0" applyFont="1" applyBorder="1">
      <alignment vertical="center"/>
    </xf>
    <xf numFmtId="176" fontId="5" fillId="0" borderId="1" xfId="0" applyNumberFormat="1" applyFont="1" applyBorder="1">
      <alignment vertical="center"/>
    </xf>
    <xf numFmtId="20" fontId="5" fillId="0" borderId="1" xfId="0" applyNumberFormat="1" applyFont="1" applyBorder="1">
      <alignment vertical="center"/>
    </xf>
    <xf numFmtId="20" fontId="5" fillId="0" borderId="42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0" fontId="5" fillId="12" borderId="1" xfId="0" applyFont="1" applyFill="1" applyBorder="1">
      <alignment vertical="center"/>
    </xf>
    <xf numFmtId="20" fontId="5" fillId="0" borderId="44" xfId="0" applyNumberFormat="1" applyFont="1" applyBorder="1">
      <alignment vertical="center"/>
    </xf>
    <xf numFmtId="173" fontId="5" fillId="0" borderId="1" xfId="0" applyNumberFormat="1" applyFont="1" applyBorder="1">
      <alignment vertical="center"/>
    </xf>
    <xf numFmtId="20" fontId="5" fillId="0" borderId="35" xfId="0" applyNumberFormat="1" applyFont="1" applyBorder="1">
      <alignment vertical="center"/>
    </xf>
    <xf numFmtId="20" fontId="5" fillId="0" borderId="45" xfId="0" applyNumberFormat="1" applyFont="1" applyBorder="1">
      <alignment vertical="center"/>
    </xf>
    <xf numFmtId="0" fontId="5" fillId="0" borderId="35" xfId="0" applyFont="1" applyBorder="1">
      <alignment vertical="center"/>
    </xf>
    <xf numFmtId="0" fontId="5" fillId="0" borderId="46" xfId="0" applyFont="1" applyBorder="1">
      <alignment vertical="center"/>
    </xf>
    <xf numFmtId="0" fontId="5" fillId="0" borderId="45" xfId="0" applyFont="1" applyBorder="1">
      <alignment vertical="center"/>
    </xf>
    <xf numFmtId="0" fontId="5" fillId="0" borderId="35" xfId="0" applyFont="1" applyBorder="1" applyAlignment="1">
      <alignment horizontal="center" vertical="center"/>
    </xf>
    <xf numFmtId="173" fontId="5" fillId="0" borderId="35" xfId="0" applyNumberFormat="1" applyFont="1" applyBorder="1">
      <alignment vertical="center"/>
    </xf>
    <xf numFmtId="0" fontId="18" fillId="0" borderId="38" xfId="0" applyFont="1" applyBorder="1" applyAlignment="1"/>
    <xf numFmtId="174" fontId="18" fillId="0" borderId="47" xfId="0" applyNumberFormat="1" applyFont="1" applyBorder="1" applyAlignment="1"/>
    <xf numFmtId="0" fontId="18" fillId="0" borderId="47" xfId="0" applyFont="1" applyBorder="1" applyAlignment="1">
      <alignment horizontal="center"/>
    </xf>
    <xf numFmtId="0" fontId="18" fillId="0" borderId="47" xfId="0" applyFont="1" applyBorder="1" applyAlignment="1">
      <alignment horizontal="center" vertical="center"/>
    </xf>
    <xf numFmtId="0" fontId="18" fillId="0" borderId="48" xfId="0" applyFont="1" applyBorder="1" applyAlignment="1"/>
    <xf numFmtId="2" fontId="5" fillId="0" borderId="1" xfId="0" applyNumberFormat="1" applyFont="1" applyBorder="1" applyAlignment="1">
      <alignment horizontal="center" vertical="center"/>
    </xf>
    <xf numFmtId="170" fontId="5" fillId="0" borderId="1" xfId="1" applyNumberFormat="1" applyFont="1" applyBorder="1" applyAlignment="1">
      <alignment horizontal="center" vertical="center"/>
    </xf>
    <xf numFmtId="0" fontId="5" fillId="0" borderId="34" xfId="0" applyFont="1" applyBorder="1">
      <alignment vertical="center"/>
    </xf>
    <xf numFmtId="177" fontId="0" fillId="0" borderId="10" xfId="0" quotePrefix="1" applyNumberFormat="1" applyBorder="1" applyAlignment="1">
      <alignment horizontal="center" vertical="center"/>
    </xf>
    <xf numFmtId="0" fontId="12" fillId="11" borderId="11" xfId="0" applyFont="1" applyFill="1" applyBorder="1" applyAlignment="1">
      <alignment horizontal="right" vertical="center"/>
    </xf>
    <xf numFmtId="0" fontId="12" fillId="11" borderId="12" xfId="0" applyFont="1" applyFill="1" applyBorder="1" applyAlignment="1">
      <alignment horizontal="right" vertical="center"/>
    </xf>
    <xf numFmtId="0" fontId="12" fillId="11" borderId="10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9" fillId="11" borderId="4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12" fillId="11" borderId="13" xfId="0" applyFont="1" applyFill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GR_Mandodara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ed_Data"/>
      <sheetName val="E-Mail_Copy"/>
      <sheetName val="DGR"/>
      <sheetName val="Data_Entry"/>
      <sheetName val="Inverter_PR"/>
      <sheetName val="Invt_Analysis_Gen_Per_KW &amp;_PR"/>
      <sheetName val="Basic_Data"/>
      <sheetName val="Plant_Down_Time Details"/>
      <sheetName val="Plant_Grid_Down_Time_Details"/>
      <sheetName val="WMS"/>
      <sheetName val="Module_Cleaning"/>
      <sheetName val="Plant  Availiblity"/>
      <sheetName val="Grid Availiblity"/>
      <sheetName val="Sheet1"/>
      <sheetName val="Sheet2"/>
    </sheetNames>
    <sheetDataSet>
      <sheetData sheetId="0"/>
      <sheetData sheetId="1"/>
      <sheetData sheetId="2"/>
      <sheetData sheetId="3">
        <row r="414">
          <cell r="T414">
            <v>13679.9999999998</v>
          </cell>
          <cell r="V414">
            <v>5.65</v>
          </cell>
        </row>
        <row r="416">
          <cell r="T416">
            <v>6420.0000000002701</v>
          </cell>
          <cell r="V416">
            <v>2.92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M367"/>
  <sheetViews>
    <sheetView workbookViewId="0">
      <pane xSplit="2" ySplit="1" topLeftCell="C359" activePane="bottomRight" state="frozen"/>
      <selection pane="topRight"/>
      <selection pane="bottomLeft"/>
      <selection pane="bottomRight" activeCell="C2" sqref="C2"/>
    </sheetView>
  </sheetViews>
  <sheetFormatPr defaultColWidth="8.75" defaultRowHeight="15"/>
  <cols>
    <col min="1" max="1" width="10.375" style="97" customWidth="1"/>
    <col min="2" max="2" width="8.875" style="97" customWidth="1"/>
    <col min="3" max="3" width="8.75" style="97"/>
    <col min="4" max="4" width="6.75" style="97" customWidth="1"/>
    <col min="5" max="5" width="9.125" style="97" customWidth="1"/>
    <col min="6" max="7" width="8.75" style="97"/>
    <col min="8" max="8" width="10.75" style="97" customWidth="1"/>
    <col min="9" max="12" width="8.75" style="97"/>
    <col min="13" max="13" width="12.375" style="97" customWidth="1"/>
    <col min="14" max="16384" width="8.75" style="97"/>
  </cols>
  <sheetData>
    <row r="1" spans="1:13">
      <c r="A1" s="142" t="s">
        <v>0</v>
      </c>
      <c r="B1" s="143" t="s">
        <v>1</v>
      </c>
      <c r="C1" s="144" t="s">
        <v>2</v>
      </c>
      <c r="D1" s="144" t="s">
        <v>2</v>
      </c>
      <c r="E1" s="145" t="s">
        <v>3</v>
      </c>
      <c r="F1" s="145" t="s">
        <v>4</v>
      </c>
      <c r="G1" s="145" t="s">
        <v>5</v>
      </c>
      <c r="H1" s="145" t="s">
        <v>6</v>
      </c>
      <c r="I1" s="145" t="s">
        <v>7</v>
      </c>
      <c r="J1" s="145" t="s">
        <v>8</v>
      </c>
      <c r="K1" s="145" t="s">
        <v>9</v>
      </c>
      <c r="L1" s="145" t="s">
        <v>10</v>
      </c>
      <c r="M1" s="146" t="s">
        <v>11</v>
      </c>
    </row>
    <row r="2" spans="1:13">
      <c r="A2" s="126" t="s">
        <v>12</v>
      </c>
      <c r="B2" s="19">
        <v>45747</v>
      </c>
      <c r="C2" s="23"/>
      <c r="D2" s="23"/>
      <c r="E2" s="147"/>
      <c r="F2" s="147"/>
      <c r="G2" s="147"/>
      <c r="H2" s="147"/>
      <c r="I2" s="148"/>
      <c r="J2" s="148"/>
      <c r="K2" s="147"/>
      <c r="L2" s="147"/>
      <c r="M2" s="123">
        <v>2411</v>
      </c>
    </row>
    <row r="3" spans="1:13">
      <c r="A3" s="126" t="s">
        <v>12</v>
      </c>
      <c r="B3" s="19">
        <v>45748</v>
      </c>
      <c r="C3" s="23"/>
      <c r="D3" s="23"/>
      <c r="E3" s="147">
        <v>14287.348</v>
      </c>
      <c r="F3" s="147">
        <v>6.9133199999999997</v>
      </c>
      <c r="G3" s="147">
        <v>6.7077710000000002</v>
      </c>
      <c r="H3" s="147">
        <v>27.414999999999999</v>
      </c>
      <c r="I3" s="148">
        <v>0.857171559507377</v>
      </c>
      <c r="J3" s="148">
        <v>0.24691255357389699</v>
      </c>
      <c r="K3" s="147">
        <v>0</v>
      </c>
      <c r="L3" s="147">
        <v>21.8117083333333</v>
      </c>
      <c r="M3" s="123">
        <v>2411</v>
      </c>
    </row>
    <row r="4" spans="1:13">
      <c r="A4" s="126" t="s">
        <v>12</v>
      </c>
      <c r="B4" s="19">
        <v>45749</v>
      </c>
      <c r="C4" s="23"/>
      <c r="D4" s="23"/>
      <c r="E4" s="147">
        <v>14905.571</v>
      </c>
      <c r="F4" s="147">
        <v>7.2414310000000004</v>
      </c>
      <c r="G4" s="147">
        <v>7.0254580000000004</v>
      </c>
      <c r="H4" s="147">
        <v>26.877500000000001</v>
      </c>
      <c r="I4" s="148">
        <v>0.853742713945703</v>
      </c>
      <c r="J4" s="148">
        <v>0.25759662311627302</v>
      </c>
      <c r="K4" s="147">
        <v>0</v>
      </c>
      <c r="L4" s="147">
        <v>22.1526666666667</v>
      </c>
      <c r="M4" s="123">
        <v>2411</v>
      </c>
    </row>
    <row r="5" spans="1:13">
      <c r="A5" s="126" t="s">
        <v>12</v>
      </c>
      <c r="B5" s="19">
        <v>45750</v>
      </c>
      <c r="C5" s="23"/>
      <c r="D5" s="23"/>
      <c r="E5" s="147">
        <v>15554.62</v>
      </c>
      <c r="F5" s="147">
        <v>7.6352580000000003</v>
      </c>
      <c r="G5" s="147">
        <v>7.4115820000000001</v>
      </c>
      <c r="H5" s="147">
        <v>28.30125</v>
      </c>
      <c r="I5" s="148">
        <v>0.84496453033580099</v>
      </c>
      <c r="J5" s="148">
        <v>0.26881342458177798</v>
      </c>
      <c r="K5" s="147">
        <v>0</v>
      </c>
      <c r="L5" s="147">
        <v>23.397749999999998</v>
      </c>
      <c r="M5" s="123">
        <v>2411</v>
      </c>
    </row>
    <row r="6" spans="1:13">
      <c r="A6" s="126" t="s">
        <v>12</v>
      </c>
      <c r="B6" s="19">
        <v>45751</v>
      </c>
      <c r="C6" s="23"/>
      <c r="D6" s="23"/>
      <c r="E6" s="147">
        <v>15886.128000000001</v>
      </c>
      <c r="F6" s="147">
        <v>7.8041219999999996</v>
      </c>
      <c r="G6" s="147">
        <v>7.5787659999999999</v>
      </c>
      <c r="H6" s="147">
        <v>28.33</v>
      </c>
      <c r="I6" s="148">
        <v>0.84430001523774401</v>
      </c>
      <c r="J6" s="148">
        <v>0.27454251347988401</v>
      </c>
      <c r="K6" s="147">
        <v>0</v>
      </c>
      <c r="L6" s="147">
        <v>23.414625000000001</v>
      </c>
      <c r="M6" s="123">
        <v>2411</v>
      </c>
    </row>
    <row r="7" spans="1:13">
      <c r="A7" s="126" t="s">
        <v>12</v>
      </c>
      <c r="B7" s="19">
        <v>45752</v>
      </c>
      <c r="C7" s="23"/>
      <c r="D7" s="23"/>
      <c r="E7" s="147">
        <v>11752.222</v>
      </c>
      <c r="F7" s="147">
        <v>5.7153879999999999</v>
      </c>
      <c r="G7" s="147">
        <v>5.503698</v>
      </c>
      <c r="H7" s="147">
        <v>31.082916666666701</v>
      </c>
      <c r="I7" s="148">
        <v>0.85285864822872304</v>
      </c>
      <c r="J7" s="148">
        <v>0.203100753490944</v>
      </c>
      <c r="K7" s="147">
        <v>0</v>
      </c>
      <c r="L7" s="147">
        <v>22.630708333333299</v>
      </c>
      <c r="M7" s="123">
        <v>2411</v>
      </c>
    </row>
    <row r="8" spans="1:13">
      <c r="A8" s="126" t="s">
        <v>12</v>
      </c>
      <c r="B8" s="19">
        <v>45753</v>
      </c>
      <c r="C8" s="23"/>
      <c r="D8" s="23"/>
      <c r="E8" s="147">
        <v>7771.5889999999999</v>
      </c>
      <c r="F8" s="147">
        <v>3.7341850000000001</v>
      </c>
      <c r="G8" s="147">
        <v>3.5863749999999999</v>
      </c>
      <c r="H8" s="147">
        <v>30.533750000000001</v>
      </c>
      <c r="I8" s="148">
        <v>0.86321063917704399</v>
      </c>
      <c r="J8" s="148">
        <v>0.13430784252730499</v>
      </c>
      <c r="K8" s="147">
        <v>0</v>
      </c>
      <c r="L8" s="147">
        <v>18.4294166666667</v>
      </c>
      <c r="M8" s="123">
        <v>2411</v>
      </c>
    </row>
    <row r="9" spans="1:13">
      <c r="A9" s="126" t="s">
        <v>12</v>
      </c>
      <c r="B9" s="19">
        <v>45754</v>
      </c>
      <c r="C9" s="23"/>
      <c r="D9" s="23"/>
      <c r="E9" s="147">
        <v>12872.496999999999</v>
      </c>
      <c r="F9" s="147">
        <v>6.3056039999999998</v>
      </c>
      <c r="G9" s="147">
        <v>6.0995379999999999</v>
      </c>
      <c r="H9" s="147">
        <v>31.335000000000001</v>
      </c>
      <c r="I9" s="148">
        <v>0.84671820187732105</v>
      </c>
      <c r="J9" s="148">
        <v>0.22246123669293499</v>
      </c>
      <c r="K9" s="147">
        <v>0</v>
      </c>
      <c r="L9" s="147">
        <v>23.464916666666699</v>
      </c>
      <c r="M9" s="123">
        <v>2411</v>
      </c>
    </row>
    <row r="10" spans="1:13">
      <c r="A10" s="126" t="s">
        <v>12</v>
      </c>
      <c r="B10" s="19">
        <v>45755</v>
      </c>
      <c r="C10" s="23"/>
      <c r="D10" s="23"/>
      <c r="E10" s="147">
        <v>14069.94</v>
      </c>
      <c r="F10" s="147">
        <v>6.9042969999999997</v>
      </c>
      <c r="G10" s="147">
        <v>6.6871580000000002</v>
      </c>
      <c r="H10" s="147">
        <v>30.853750000000002</v>
      </c>
      <c r="I10" s="148">
        <v>0.84523129780320005</v>
      </c>
      <c r="J10" s="148">
        <v>0.243155329738698</v>
      </c>
      <c r="K10" s="147">
        <v>0</v>
      </c>
      <c r="L10" s="147">
        <v>23.794875000000001</v>
      </c>
      <c r="M10" s="123">
        <v>2411</v>
      </c>
    </row>
    <row r="11" spans="1:13">
      <c r="A11" s="126" t="s">
        <v>12</v>
      </c>
      <c r="B11" s="19">
        <v>45756</v>
      </c>
      <c r="C11" s="23"/>
      <c r="D11" s="23"/>
      <c r="E11" s="147">
        <v>15120.66</v>
      </c>
      <c r="F11" s="147">
        <v>7.4486379999999999</v>
      </c>
      <c r="G11" s="147">
        <v>7.2151209999999999</v>
      </c>
      <c r="H11" s="147">
        <v>30.1658333333333</v>
      </c>
      <c r="I11" s="148">
        <v>0.84197010047686804</v>
      </c>
      <c r="J11" s="148">
        <v>0.26131377021982599</v>
      </c>
      <c r="K11" s="147">
        <v>0</v>
      </c>
      <c r="L11" s="147">
        <v>24.0409583333333</v>
      </c>
      <c r="M11" s="123">
        <v>2411</v>
      </c>
    </row>
    <row r="12" spans="1:13">
      <c r="A12" s="126" t="s">
        <v>12</v>
      </c>
      <c r="B12" s="19">
        <v>45757</v>
      </c>
      <c r="C12" s="23"/>
      <c r="D12" s="23"/>
      <c r="E12" s="147">
        <v>14350.56</v>
      </c>
      <c r="F12" s="147">
        <v>7.0920719999999999</v>
      </c>
      <c r="G12" s="147">
        <v>6.870152</v>
      </c>
      <c r="H12" s="147">
        <v>31.859166666666699</v>
      </c>
      <c r="I12" s="148">
        <v>0.83926382198451099</v>
      </c>
      <c r="J12" s="148">
        <v>0.248004977187889</v>
      </c>
      <c r="K12" s="147">
        <v>0</v>
      </c>
      <c r="L12" s="147">
        <v>24.644500000000001</v>
      </c>
      <c r="M12" s="123">
        <v>2411</v>
      </c>
    </row>
    <row r="13" spans="1:13">
      <c r="A13" s="126" t="s">
        <v>12</v>
      </c>
      <c r="B13" s="19">
        <v>45758</v>
      </c>
      <c r="C13" s="23"/>
      <c r="D13" s="23"/>
      <c r="E13" s="147">
        <v>15262.67</v>
      </c>
      <c r="F13" s="147">
        <v>7.611885</v>
      </c>
      <c r="G13" s="147">
        <v>7.3755439999999997</v>
      </c>
      <c r="H13" s="147">
        <v>32.3929166666667</v>
      </c>
      <c r="I13" s="148">
        <v>0.83165094536815798</v>
      </c>
      <c r="J13" s="148">
        <v>0.26376797317848799</v>
      </c>
      <c r="K13" s="147">
        <v>0</v>
      </c>
      <c r="L13" s="147">
        <v>25.622375000000002</v>
      </c>
      <c r="M13" s="123">
        <v>2411</v>
      </c>
    </row>
    <row r="14" spans="1:13">
      <c r="A14" s="126" t="s">
        <v>12</v>
      </c>
      <c r="B14" s="19">
        <v>45759</v>
      </c>
      <c r="C14" s="23"/>
      <c r="D14" s="23"/>
      <c r="E14" s="147">
        <v>15211.54</v>
      </c>
      <c r="F14" s="147">
        <v>7.4776860000000003</v>
      </c>
      <c r="G14" s="147">
        <v>7.2457070000000003</v>
      </c>
      <c r="H14" s="147">
        <v>29.71</v>
      </c>
      <c r="I14" s="148">
        <v>0.84374021431505097</v>
      </c>
      <c r="J14" s="148">
        <v>0.26288434950919398</v>
      </c>
      <c r="K14" s="147">
        <v>0</v>
      </c>
      <c r="L14" s="147">
        <v>23.86675</v>
      </c>
      <c r="M14" s="123">
        <v>2411</v>
      </c>
    </row>
    <row r="15" spans="1:13">
      <c r="A15" s="126" t="s">
        <v>12</v>
      </c>
      <c r="B15" s="19">
        <v>45760</v>
      </c>
      <c r="C15" s="23"/>
      <c r="D15" s="23"/>
      <c r="E15" s="147">
        <v>14553.311</v>
      </c>
      <c r="F15" s="147">
        <v>7.1103500000000004</v>
      </c>
      <c r="G15" s="147">
        <v>6.8858889999999997</v>
      </c>
      <c r="H15" s="147">
        <v>29.25</v>
      </c>
      <c r="I15" s="148">
        <v>0.84893340050961796</v>
      </c>
      <c r="J15" s="148">
        <v>0.25150890017973199</v>
      </c>
      <c r="K15" s="147">
        <v>0</v>
      </c>
      <c r="L15" s="147">
        <v>23.285250000000001</v>
      </c>
      <c r="M15" s="123">
        <v>2411</v>
      </c>
    </row>
    <row r="16" spans="1:13">
      <c r="A16" s="126" t="s">
        <v>12</v>
      </c>
      <c r="B16" s="19">
        <v>45761</v>
      </c>
      <c r="C16" s="23"/>
      <c r="D16" s="23"/>
      <c r="E16" s="147">
        <v>14081.199000000001</v>
      </c>
      <c r="F16" s="147">
        <v>6.852106</v>
      </c>
      <c r="G16" s="147">
        <v>6.6368489999999998</v>
      </c>
      <c r="H16" s="147">
        <v>28.78875</v>
      </c>
      <c r="I16" s="148">
        <v>0.85235076052026204</v>
      </c>
      <c r="J16" s="148">
        <v>0.24334990667772699</v>
      </c>
      <c r="K16" s="147">
        <v>0</v>
      </c>
      <c r="L16" s="147">
        <v>22.667791666666702</v>
      </c>
      <c r="M16" s="123">
        <v>2411</v>
      </c>
    </row>
    <row r="17" spans="1:13">
      <c r="A17" s="126" t="s">
        <v>12</v>
      </c>
      <c r="B17" s="19">
        <v>45762</v>
      </c>
      <c r="C17" s="23"/>
      <c r="D17" s="23"/>
      <c r="E17" s="147">
        <v>14784.960999999999</v>
      </c>
      <c r="F17" s="147">
        <v>7.2464370000000002</v>
      </c>
      <c r="G17" s="147">
        <v>7.0220219999999998</v>
      </c>
      <c r="H17" s="147">
        <v>29.472916666666698</v>
      </c>
      <c r="I17" s="148">
        <v>0.84624955255266798</v>
      </c>
      <c r="J17" s="148">
        <v>0.25551225286879597</v>
      </c>
      <c r="K17" s="147">
        <v>0</v>
      </c>
      <c r="L17" s="147">
        <v>23.586749999999999</v>
      </c>
      <c r="M17" s="123">
        <v>2411</v>
      </c>
    </row>
    <row r="18" spans="1:13">
      <c r="A18" s="126" t="s">
        <v>12</v>
      </c>
      <c r="B18" s="19">
        <v>45763</v>
      </c>
      <c r="C18" s="23"/>
      <c r="D18" s="23"/>
      <c r="E18" s="147">
        <v>13431.59</v>
      </c>
      <c r="F18" s="147">
        <v>6.5085540000000002</v>
      </c>
      <c r="G18" s="147">
        <v>6.2935679999999996</v>
      </c>
      <c r="H18" s="147">
        <v>29.144166666666699</v>
      </c>
      <c r="I18" s="148">
        <v>0.85594469314154498</v>
      </c>
      <c r="J18" s="148">
        <v>0.23212342734688199</v>
      </c>
      <c r="K18" s="147">
        <v>0</v>
      </c>
      <c r="L18" s="147">
        <v>22.467583333333302</v>
      </c>
      <c r="M18" s="123">
        <v>2411</v>
      </c>
    </row>
    <row r="19" spans="1:13">
      <c r="A19" s="126" t="s">
        <v>12</v>
      </c>
      <c r="B19" s="19">
        <v>45764</v>
      </c>
      <c r="C19" s="23"/>
      <c r="D19" s="23"/>
      <c r="E19" s="147">
        <v>14914.14</v>
      </c>
      <c r="F19" s="147">
        <v>7.2543759999999997</v>
      </c>
      <c r="G19" s="147">
        <v>7.0297169999999998</v>
      </c>
      <c r="H19" s="147">
        <v>27.8683333333333</v>
      </c>
      <c r="I19" s="148">
        <v>0.85270918983367205</v>
      </c>
      <c r="J19" s="148">
        <v>0.257744711737868</v>
      </c>
      <c r="K19" s="147">
        <v>0</v>
      </c>
      <c r="L19" s="147">
        <v>22.670750000000002</v>
      </c>
      <c r="M19" s="123">
        <v>2411</v>
      </c>
    </row>
    <row r="20" spans="1:13">
      <c r="A20" s="126" t="s">
        <v>12</v>
      </c>
      <c r="B20" s="19">
        <v>45765</v>
      </c>
      <c r="C20" s="23"/>
      <c r="D20" s="23"/>
      <c r="E20" s="147">
        <v>13960.24</v>
      </c>
      <c r="F20" s="147">
        <v>6.7708269999999997</v>
      </c>
      <c r="G20" s="147">
        <v>6.5541450000000001</v>
      </c>
      <c r="H20" s="147">
        <v>28.4433333333333</v>
      </c>
      <c r="I20" s="148">
        <v>0.85517295318748698</v>
      </c>
      <c r="J20" s="148">
        <v>0.24125950504631499</v>
      </c>
      <c r="K20" s="147">
        <v>0</v>
      </c>
      <c r="L20" s="147">
        <v>22.514791666666699</v>
      </c>
      <c r="M20" s="123">
        <v>2411</v>
      </c>
    </row>
    <row r="21" spans="1:13">
      <c r="A21" s="126" t="s">
        <v>12</v>
      </c>
      <c r="B21" s="19">
        <v>45766</v>
      </c>
      <c r="C21" s="23"/>
      <c r="D21" s="23"/>
      <c r="E21" s="147">
        <v>14535.85</v>
      </c>
      <c r="F21" s="147">
        <v>7.0336489999999996</v>
      </c>
      <c r="G21" s="147">
        <v>6.815258</v>
      </c>
      <c r="H21" s="147">
        <v>27.292916666666699</v>
      </c>
      <c r="I21" s="148">
        <v>0.85716125174424296</v>
      </c>
      <c r="J21" s="148">
        <v>0.25120714088206803</v>
      </c>
      <c r="K21" s="147">
        <v>0</v>
      </c>
      <c r="L21" s="147">
        <v>22.125958333333301</v>
      </c>
      <c r="M21" s="123">
        <v>2411</v>
      </c>
    </row>
    <row r="22" spans="1:13">
      <c r="A22" s="126" t="s">
        <v>12</v>
      </c>
      <c r="B22" s="19">
        <v>45767</v>
      </c>
      <c r="C22" s="23"/>
      <c r="D22" s="23"/>
      <c r="E22" s="147">
        <v>14044.237999999999</v>
      </c>
      <c r="F22" s="147">
        <v>6.8095249999999998</v>
      </c>
      <c r="G22" s="147">
        <v>6.5943269999999998</v>
      </c>
      <c r="H22" s="147">
        <v>28.1466666666667</v>
      </c>
      <c r="I22" s="148">
        <v>0.855429359140638</v>
      </c>
      <c r="J22" s="148">
        <v>0.24271115028342299</v>
      </c>
      <c r="K22" s="147">
        <v>0</v>
      </c>
      <c r="L22" s="147">
        <v>22.440999999999999</v>
      </c>
      <c r="M22" s="123">
        <v>2411</v>
      </c>
    </row>
    <row r="23" spans="1:13">
      <c r="A23" s="126" t="s">
        <v>12</v>
      </c>
      <c r="B23" s="19">
        <v>45768</v>
      </c>
      <c r="C23" s="23"/>
      <c r="D23" s="23"/>
      <c r="E23" s="147">
        <v>13710.26</v>
      </c>
      <c r="F23" s="147">
        <v>6.620889</v>
      </c>
      <c r="G23" s="147">
        <v>6.4084969999999997</v>
      </c>
      <c r="H23" s="147">
        <v>27.781666666666698</v>
      </c>
      <c r="I23" s="148">
        <v>0.85887937436707196</v>
      </c>
      <c r="J23" s="148">
        <v>0.23693937508641</v>
      </c>
      <c r="K23" s="147">
        <v>0</v>
      </c>
      <c r="L23" s="147">
        <v>21.897708333333298</v>
      </c>
      <c r="M23" s="123">
        <v>2411</v>
      </c>
    </row>
    <row r="24" spans="1:13">
      <c r="A24" s="126" t="s">
        <v>12</v>
      </c>
      <c r="B24" s="19">
        <v>45769</v>
      </c>
      <c r="C24" s="23"/>
      <c r="D24" s="23"/>
      <c r="E24" s="147">
        <v>14083.67</v>
      </c>
      <c r="F24" s="147">
        <v>6.8325149999999999</v>
      </c>
      <c r="G24" s="147">
        <v>6.6215289999999998</v>
      </c>
      <c r="H24" s="147">
        <v>28.588750000000001</v>
      </c>
      <c r="I24" s="148">
        <v>0.85494472331270299</v>
      </c>
      <c r="J24" s="148">
        <v>0.24339261025853701</v>
      </c>
      <c r="K24" s="147">
        <v>0</v>
      </c>
      <c r="L24" s="147">
        <v>22.622458333333299</v>
      </c>
      <c r="M24" s="123">
        <v>2411</v>
      </c>
    </row>
    <row r="25" spans="1:13">
      <c r="A25" s="126" t="s">
        <v>12</v>
      </c>
      <c r="B25" s="19">
        <v>45770</v>
      </c>
      <c r="C25" s="23"/>
      <c r="D25" s="23"/>
      <c r="E25" s="147">
        <v>13128.504000000001</v>
      </c>
      <c r="F25" s="147">
        <v>6.3532609999999998</v>
      </c>
      <c r="G25" s="147">
        <v>6.1403999999999996</v>
      </c>
      <c r="H25" s="147">
        <v>28.86375</v>
      </c>
      <c r="I25" s="148">
        <v>0.85707994560358203</v>
      </c>
      <c r="J25" s="148">
        <v>0.22688552467855699</v>
      </c>
      <c r="K25" s="147">
        <v>0</v>
      </c>
      <c r="L25" s="147">
        <v>22.189458333333299</v>
      </c>
      <c r="M25" s="123">
        <v>2411</v>
      </c>
    </row>
    <row r="26" spans="1:13">
      <c r="A26" s="126" t="s">
        <v>12</v>
      </c>
      <c r="B26" s="19">
        <v>45771</v>
      </c>
      <c r="C26" s="23"/>
      <c r="D26" s="23"/>
      <c r="E26" s="147">
        <v>13856.931</v>
      </c>
      <c r="F26" s="147">
        <v>6.6868759999999998</v>
      </c>
      <c r="G26" s="147">
        <v>6.4721289999999998</v>
      </c>
      <c r="H26" s="147">
        <v>27.55</v>
      </c>
      <c r="I26" s="148">
        <v>0.85950137191281395</v>
      </c>
      <c r="J26" s="148">
        <v>0.23947412899211901</v>
      </c>
      <c r="K26" s="147">
        <v>0</v>
      </c>
      <c r="L26" s="147">
        <v>21.8921666666667</v>
      </c>
      <c r="M26" s="123">
        <v>2411</v>
      </c>
    </row>
    <row r="27" spans="1:13">
      <c r="A27" s="126" t="s">
        <v>12</v>
      </c>
      <c r="B27" s="19">
        <v>45772</v>
      </c>
      <c r="C27" s="23"/>
      <c r="D27" s="23"/>
      <c r="E27" s="147">
        <v>14317.27</v>
      </c>
      <c r="F27" s="147">
        <v>6.9688489999999996</v>
      </c>
      <c r="G27" s="147">
        <v>6.7518279999999997</v>
      </c>
      <c r="H27" s="147">
        <v>29.030416666666699</v>
      </c>
      <c r="I27" s="148">
        <v>0.85212233810409299</v>
      </c>
      <c r="J27" s="148">
        <v>0.24742966265726499</v>
      </c>
      <c r="K27" s="147">
        <v>0</v>
      </c>
      <c r="L27" s="147">
        <v>23.134208333333302</v>
      </c>
      <c r="M27" s="123">
        <v>2411</v>
      </c>
    </row>
    <row r="28" spans="1:13">
      <c r="A28" s="126" t="s">
        <v>12</v>
      </c>
      <c r="B28" s="19">
        <v>45773</v>
      </c>
      <c r="C28" s="23"/>
      <c r="D28" s="23"/>
      <c r="E28" s="147">
        <v>13894.594999999999</v>
      </c>
      <c r="F28" s="147">
        <v>6.7235849999999999</v>
      </c>
      <c r="G28" s="147">
        <v>6.5105329999999997</v>
      </c>
      <c r="H28" s="147">
        <v>28.7433333333333</v>
      </c>
      <c r="I28" s="148">
        <v>0.85713214446330599</v>
      </c>
      <c r="J28" s="148">
        <v>0.24012503456380499</v>
      </c>
      <c r="K28" s="147">
        <v>0</v>
      </c>
      <c r="L28" s="147">
        <v>22.534624999999998</v>
      </c>
      <c r="M28" s="123">
        <v>2411</v>
      </c>
    </row>
    <row r="29" spans="1:13">
      <c r="A29" s="126" t="s">
        <v>12</v>
      </c>
      <c r="B29" s="19">
        <v>45774</v>
      </c>
      <c r="C29" s="23"/>
      <c r="D29" s="23"/>
      <c r="E29" s="147">
        <v>14355.14</v>
      </c>
      <c r="F29" s="147">
        <v>6.9947020000000002</v>
      </c>
      <c r="G29" s="147">
        <v>6.7768879999999996</v>
      </c>
      <c r="H29" s="147">
        <v>29.328749999999999</v>
      </c>
      <c r="I29" s="148">
        <v>0.85121840490420297</v>
      </c>
      <c r="J29" s="148">
        <v>0.248084128300843</v>
      </c>
      <c r="K29" s="147">
        <v>0</v>
      </c>
      <c r="L29" s="147">
        <v>23.290708333333299</v>
      </c>
      <c r="M29" s="123">
        <v>2411</v>
      </c>
    </row>
    <row r="30" spans="1:13">
      <c r="A30" s="126" t="s">
        <v>12</v>
      </c>
      <c r="B30" s="19">
        <v>45775</v>
      </c>
      <c r="C30" s="23"/>
      <c r="D30" s="23"/>
      <c r="E30" s="147">
        <v>13623.775</v>
      </c>
      <c r="F30" s="147">
        <v>6.5764740000000002</v>
      </c>
      <c r="G30" s="147">
        <v>6.3683430000000003</v>
      </c>
      <c r="H30" s="147">
        <v>28.0208333333333</v>
      </c>
      <c r="I30" s="148">
        <v>0.85922547465302601</v>
      </c>
      <c r="J30" s="148">
        <v>0.23544474975805299</v>
      </c>
      <c r="K30" s="147">
        <v>0</v>
      </c>
      <c r="L30" s="147">
        <v>21.9649583333333</v>
      </c>
      <c r="M30" s="123">
        <v>2411</v>
      </c>
    </row>
    <row r="31" spans="1:13">
      <c r="A31" s="126" t="s">
        <v>12</v>
      </c>
      <c r="B31" s="19">
        <v>45776</v>
      </c>
      <c r="C31" s="23"/>
      <c r="D31" s="23"/>
      <c r="E31" s="147">
        <v>14173.66</v>
      </c>
      <c r="F31" s="147">
        <v>6.829542</v>
      </c>
      <c r="G31" s="147">
        <v>6.6151609999999996</v>
      </c>
      <c r="H31" s="147">
        <v>26.8720833333333</v>
      </c>
      <c r="I31" s="148">
        <v>0.86078208578476301</v>
      </c>
      <c r="J31" s="148">
        <v>0.244947808654777</v>
      </c>
      <c r="K31" s="147">
        <v>0</v>
      </c>
      <c r="L31" s="147">
        <v>21.730208333333302</v>
      </c>
      <c r="M31" s="123">
        <v>2411</v>
      </c>
    </row>
    <row r="32" spans="1:13">
      <c r="A32" s="126" t="s">
        <v>12</v>
      </c>
      <c r="B32" s="19">
        <v>45777</v>
      </c>
      <c r="C32" s="23"/>
      <c r="D32" s="23"/>
      <c r="E32" s="147">
        <v>13475.04</v>
      </c>
      <c r="F32" s="147">
        <v>6.4430360000000002</v>
      </c>
      <c r="G32" s="147">
        <v>6.2324919999999997</v>
      </c>
      <c r="H32" s="147">
        <v>26.455833333333299</v>
      </c>
      <c r="I32" s="148">
        <v>0.86744569239398295</v>
      </c>
      <c r="J32" s="148">
        <v>0.23287432600580699</v>
      </c>
      <c r="K32" s="147">
        <v>0</v>
      </c>
      <c r="L32" s="147">
        <v>21.020125</v>
      </c>
      <c r="M32" s="123">
        <v>2411</v>
      </c>
    </row>
    <row r="33" spans="1:13">
      <c r="A33" s="126" t="s">
        <v>12</v>
      </c>
      <c r="B33" s="19">
        <v>45778</v>
      </c>
      <c r="C33" s="23"/>
      <c r="D33" s="23"/>
      <c r="E33" s="147">
        <v>13466.26</v>
      </c>
      <c r="F33" s="147">
        <v>6.504772</v>
      </c>
      <c r="G33" s="147">
        <v>6.2968799999999998</v>
      </c>
      <c r="H33" s="147">
        <v>28.9004166666667</v>
      </c>
      <c r="I33" s="148">
        <v>0.85865302914035402</v>
      </c>
      <c r="J33" s="148">
        <v>0.232722590902807</v>
      </c>
      <c r="K33" s="147">
        <v>0</v>
      </c>
      <c r="L33" s="147">
        <v>22.284125</v>
      </c>
      <c r="M33" s="123">
        <v>2411</v>
      </c>
    </row>
    <row r="34" spans="1:13">
      <c r="A34" s="126" t="s">
        <v>12</v>
      </c>
      <c r="B34" s="19">
        <v>45779</v>
      </c>
      <c r="C34" s="23"/>
      <c r="D34" s="23"/>
      <c r="E34" s="147">
        <v>13890.66</v>
      </c>
      <c r="F34" s="147">
        <v>6.7448519999999998</v>
      </c>
      <c r="G34" s="147">
        <v>6.5311760000000003</v>
      </c>
      <c r="H34" s="147">
        <v>29.693750000000001</v>
      </c>
      <c r="I34" s="148">
        <v>0.85418756803995599</v>
      </c>
      <c r="J34" s="148">
        <v>0.24005703027789299</v>
      </c>
      <c r="K34" s="147">
        <v>0</v>
      </c>
      <c r="L34" s="147">
        <v>22.850124999999998</v>
      </c>
      <c r="M34" s="123">
        <v>2411</v>
      </c>
    </row>
    <row r="35" spans="1:13">
      <c r="A35" s="126" t="s">
        <v>12</v>
      </c>
      <c r="B35" s="19">
        <v>45780</v>
      </c>
      <c r="C35" s="23"/>
      <c r="D35" s="23"/>
      <c r="E35" s="147">
        <v>13035.09</v>
      </c>
      <c r="F35" s="147">
        <v>6.2855699999999999</v>
      </c>
      <c r="G35" s="147">
        <v>6.0708880000000001</v>
      </c>
      <c r="H35" s="147">
        <v>29.769166666666699</v>
      </c>
      <c r="I35" s="148">
        <v>0.86014596499039198</v>
      </c>
      <c r="J35" s="148">
        <v>0.22527115304852799</v>
      </c>
      <c r="K35" s="147">
        <v>0</v>
      </c>
      <c r="L35" s="147">
        <v>22.388791666666702</v>
      </c>
      <c r="M35" s="123">
        <v>2411</v>
      </c>
    </row>
    <row r="36" spans="1:13">
      <c r="A36" s="126" t="s">
        <v>12</v>
      </c>
      <c r="B36" s="19">
        <v>45781</v>
      </c>
      <c r="C36" s="23"/>
      <c r="D36" s="23"/>
      <c r="E36" s="147">
        <v>15305.29</v>
      </c>
      <c r="F36" s="147">
        <v>7.4880087</v>
      </c>
      <c r="G36" s="147">
        <v>7.2573666000000001</v>
      </c>
      <c r="H36" s="147">
        <v>29.62125</v>
      </c>
      <c r="I36" s="148">
        <v>0.84776993763405195</v>
      </c>
      <c r="J36" s="148">
        <v>0.26450452785842699</v>
      </c>
      <c r="K36" s="147">
        <v>0</v>
      </c>
      <c r="L36" s="147">
        <v>24.7595833333333</v>
      </c>
      <c r="M36" s="123">
        <v>2411</v>
      </c>
    </row>
    <row r="37" spans="1:13">
      <c r="A37" s="126" t="s">
        <v>12</v>
      </c>
      <c r="B37" s="19">
        <v>45782</v>
      </c>
      <c r="C37" s="23"/>
      <c r="D37" s="23"/>
      <c r="E37" s="147">
        <v>13588.35</v>
      </c>
      <c r="F37" s="147">
        <v>6.6023537000000001</v>
      </c>
      <c r="G37" s="147">
        <v>6.3943428999999998</v>
      </c>
      <c r="H37" s="147">
        <v>30.046666666666699</v>
      </c>
      <c r="I37" s="148">
        <v>0.85363207984142997</v>
      </c>
      <c r="J37" s="148">
        <v>0.23483253836582299</v>
      </c>
      <c r="K37" s="147">
        <v>0</v>
      </c>
      <c r="L37" s="147">
        <v>23.9977083333333</v>
      </c>
      <c r="M37" s="123">
        <v>2411</v>
      </c>
    </row>
    <row r="38" spans="1:13">
      <c r="A38" s="126" t="s">
        <v>12</v>
      </c>
      <c r="B38" s="19">
        <v>45783</v>
      </c>
      <c r="C38" s="23"/>
      <c r="D38" s="23"/>
      <c r="E38" s="147">
        <v>14663.8318</v>
      </c>
      <c r="F38" s="147">
        <v>7.1538056000000001</v>
      </c>
      <c r="G38" s="147">
        <v>6.9318815999999996</v>
      </c>
      <c r="H38" s="147">
        <v>30.156666666666698</v>
      </c>
      <c r="I38" s="148">
        <v>0.850184388094405</v>
      </c>
      <c r="J38" s="148">
        <v>0.25341890985759702</v>
      </c>
      <c r="K38" s="147">
        <v>0</v>
      </c>
      <c r="L38" s="147">
        <v>24.7270416666667</v>
      </c>
      <c r="M38" s="123">
        <v>2411</v>
      </c>
    </row>
    <row r="39" spans="1:13">
      <c r="A39" s="126" t="s">
        <v>12</v>
      </c>
      <c r="B39" s="19">
        <v>45784</v>
      </c>
      <c r="C39" s="23"/>
      <c r="D39" s="23"/>
      <c r="E39" s="147">
        <v>13767.88</v>
      </c>
      <c r="F39" s="147">
        <v>6.6460749999999997</v>
      </c>
      <c r="G39" s="147">
        <v>6.4352749999999999</v>
      </c>
      <c r="H39" s="147">
        <v>29.1191666666667</v>
      </c>
      <c r="I39" s="148">
        <v>0.85922048716775301</v>
      </c>
      <c r="J39" s="148">
        <v>0.237935158302226</v>
      </c>
      <c r="K39" s="147">
        <v>0</v>
      </c>
      <c r="L39" s="147">
        <v>22.427875</v>
      </c>
      <c r="M39" s="123">
        <v>2411</v>
      </c>
    </row>
    <row r="40" spans="1:13">
      <c r="A40" s="126" t="s">
        <v>12</v>
      </c>
      <c r="B40" s="19">
        <v>45785</v>
      </c>
      <c r="C40" s="23"/>
      <c r="D40" s="23"/>
      <c r="E40" s="147">
        <v>11710.65</v>
      </c>
      <c r="F40" s="147">
        <v>5.593604</v>
      </c>
      <c r="G40" s="147">
        <v>5.3885019999999999</v>
      </c>
      <c r="H40" s="147">
        <v>28.484999999999999</v>
      </c>
      <c r="I40" s="148">
        <v>0.86834453169603698</v>
      </c>
      <c r="J40" s="148">
        <v>0.20238231024471201</v>
      </c>
      <c r="K40" s="147">
        <v>0</v>
      </c>
      <c r="L40" s="147">
        <v>20.766291666666699</v>
      </c>
      <c r="M40" s="123">
        <v>2411</v>
      </c>
    </row>
    <row r="41" spans="1:13">
      <c r="A41" s="126" t="s">
        <v>12</v>
      </c>
      <c r="B41" s="19">
        <v>45786</v>
      </c>
      <c r="C41" s="23"/>
      <c r="D41" s="23"/>
      <c r="E41" s="147">
        <v>8005.8010000000004</v>
      </c>
      <c r="F41" s="147">
        <v>3.859915</v>
      </c>
      <c r="G41" s="147">
        <v>3.7126769999999998</v>
      </c>
      <c r="H41" s="147">
        <v>28.0995833333333</v>
      </c>
      <c r="I41" s="148">
        <v>0.86026021682009401</v>
      </c>
      <c r="J41" s="148">
        <v>0.138355471450297</v>
      </c>
      <c r="K41" s="147">
        <v>0</v>
      </c>
      <c r="L41" s="147">
        <v>19.795833333333299</v>
      </c>
      <c r="M41" s="123">
        <v>2411</v>
      </c>
    </row>
    <row r="42" spans="1:13">
      <c r="A42" s="126" t="s">
        <v>12</v>
      </c>
      <c r="B42" s="19">
        <v>45787</v>
      </c>
      <c r="C42" s="23"/>
      <c r="D42" s="23"/>
      <c r="E42" s="147">
        <v>13585.8308</v>
      </c>
      <c r="F42" s="147">
        <v>6.5294046000000003</v>
      </c>
      <c r="G42" s="147">
        <v>6.3197964000000004</v>
      </c>
      <c r="H42" s="147">
        <v>28.0370833333333</v>
      </c>
      <c r="I42" s="148">
        <v>0.86300916980020304</v>
      </c>
      <c r="J42" s="148">
        <v>0.23478900179731799</v>
      </c>
      <c r="K42" s="147">
        <v>0</v>
      </c>
      <c r="L42" s="147">
        <v>22.7761666666667</v>
      </c>
      <c r="M42" s="123">
        <v>2411</v>
      </c>
    </row>
    <row r="43" spans="1:13">
      <c r="A43" s="126" t="s">
        <v>12</v>
      </c>
      <c r="B43" s="19">
        <v>45788</v>
      </c>
      <c r="C43" s="23"/>
      <c r="D43" s="23"/>
      <c r="E43" s="147">
        <v>13873.094999999999</v>
      </c>
      <c r="F43" s="147">
        <v>6.6865857000000002</v>
      </c>
      <c r="G43" s="147">
        <v>6.4730727999999997</v>
      </c>
      <c r="H43" s="147">
        <v>28.602916666666701</v>
      </c>
      <c r="I43" s="148">
        <v>0.86054133246166797</v>
      </c>
      <c r="J43" s="148">
        <v>0.23975347366238101</v>
      </c>
      <c r="K43" s="147">
        <v>0</v>
      </c>
      <c r="L43" s="147">
        <v>23.309291666666699</v>
      </c>
      <c r="M43" s="123">
        <v>2411</v>
      </c>
    </row>
    <row r="44" spans="1:13">
      <c r="A44" s="126" t="s">
        <v>12</v>
      </c>
      <c r="B44" s="19">
        <v>45789</v>
      </c>
      <c r="C44" s="23"/>
      <c r="D44" s="23"/>
      <c r="E44" s="147">
        <v>14385.186</v>
      </c>
      <c r="F44" s="147">
        <v>6.9118697999999998</v>
      </c>
      <c r="G44" s="147">
        <v>6.6956869000000001</v>
      </c>
      <c r="H44" s="147">
        <v>27.360416666666701</v>
      </c>
      <c r="I44" s="148">
        <v>0.86322244208977805</v>
      </c>
      <c r="J44" s="148">
        <v>0.24860338034010801</v>
      </c>
      <c r="K44" s="147">
        <v>0</v>
      </c>
      <c r="L44" s="147">
        <v>22.776125</v>
      </c>
      <c r="M44" s="123">
        <v>2411</v>
      </c>
    </row>
    <row r="45" spans="1:13">
      <c r="A45" s="126" t="s">
        <v>12</v>
      </c>
      <c r="B45" s="19">
        <v>45790</v>
      </c>
      <c r="C45" s="23"/>
      <c r="D45" s="23"/>
      <c r="E45" s="147">
        <v>14097.179</v>
      </c>
      <c r="F45" s="147">
        <v>6.8009757999999998</v>
      </c>
      <c r="G45" s="147">
        <v>6.5879856999999999</v>
      </c>
      <c r="H45" s="147">
        <v>28.3029166666667</v>
      </c>
      <c r="I45" s="148">
        <v>0.85973335112745997</v>
      </c>
      <c r="J45" s="148">
        <v>0.24362607147794799</v>
      </c>
      <c r="K45" s="147">
        <v>0</v>
      </c>
      <c r="L45" s="147">
        <v>23.356166666666699</v>
      </c>
      <c r="M45" s="123">
        <v>2411</v>
      </c>
    </row>
    <row r="46" spans="1:13">
      <c r="A46" s="126" t="s">
        <v>12</v>
      </c>
      <c r="B46" s="19">
        <v>45791</v>
      </c>
      <c r="C46" s="23"/>
      <c r="D46" s="23"/>
      <c r="E46" s="147">
        <v>14663.873</v>
      </c>
      <c r="F46" s="147">
        <v>7.0751584000000003</v>
      </c>
      <c r="G46" s="147">
        <v>6.8559964000000004</v>
      </c>
      <c r="H46" s="147">
        <v>27.707916666666701</v>
      </c>
      <c r="I46" s="148">
        <v>0.85963742167629997</v>
      </c>
      <c r="J46" s="148">
        <v>0.25341962187197598</v>
      </c>
      <c r="K46" s="147">
        <v>0</v>
      </c>
      <c r="L46" s="147">
        <v>23.170999999999999</v>
      </c>
      <c r="M46" s="123">
        <v>2411</v>
      </c>
    </row>
    <row r="47" spans="1:13">
      <c r="A47" s="126" t="s">
        <v>12</v>
      </c>
      <c r="B47" s="19">
        <v>45792</v>
      </c>
      <c r="C47" s="23"/>
      <c r="D47" s="23"/>
      <c r="E47" s="147">
        <v>13327.023999999999</v>
      </c>
      <c r="F47" s="147">
        <v>6.4248972000000002</v>
      </c>
      <c r="G47" s="147">
        <v>6.2155598000000003</v>
      </c>
      <c r="H47" s="147">
        <v>29.217500000000001</v>
      </c>
      <c r="I47" s="148">
        <v>0.86033934840126502</v>
      </c>
      <c r="J47" s="148">
        <v>0.23031632794137999</v>
      </c>
      <c r="K47" s="147">
        <v>0</v>
      </c>
      <c r="L47" s="147">
        <v>23.401666666666699</v>
      </c>
      <c r="M47" s="123">
        <v>2411</v>
      </c>
    </row>
    <row r="48" spans="1:13">
      <c r="A48" s="126" t="s">
        <v>12</v>
      </c>
      <c r="B48" s="19">
        <v>45793</v>
      </c>
      <c r="C48" s="23"/>
      <c r="D48" s="23"/>
      <c r="E48" s="147">
        <v>11569.944</v>
      </c>
      <c r="F48" s="147">
        <v>5.5623740000000002</v>
      </c>
      <c r="G48" s="147">
        <v>5.358975</v>
      </c>
      <c r="H48" s="147">
        <v>28.792083333333299</v>
      </c>
      <c r="I48" s="148">
        <v>0.86272793402285697</v>
      </c>
      <c r="J48" s="148">
        <v>0.199950642886769</v>
      </c>
      <c r="K48" s="147">
        <v>0</v>
      </c>
      <c r="L48" s="147">
        <v>21.8817083333333</v>
      </c>
      <c r="M48" s="123">
        <v>2411</v>
      </c>
    </row>
    <row r="49" spans="1:13">
      <c r="A49" s="126" t="s">
        <v>12</v>
      </c>
      <c r="B49" s="19">
        <v>45794</v>
      </c>
      <c r="C49" s="23"/>
      <c r="D49" s="23"/>
      <c r="E49" s="147">
        <v>10596.2513</v>
      </c>
      <c r="F49" s="147">
        <v>5.0497728000000004</v>
      </c>
      <c r="G49" s="147">
        <v>4.8568975999999999</v>
      </c>
      <c r="H49" s="147">
        <v>28.682500000000001</v>
      </c>
      <c r="I49" s="148">
        <v>0.87032849011700097</v>
      </c>
      <c r="J49" s="148">
        <v>0.18312338068574599</v>
      </c>
      <c r="K49" s="147">
        <v>0</v>
      </c>
      <c r="L49" s="147">
        <v>21.400375</v>
      </c>
      <c r="M49" s="123">
        <v>2411</v>
      </c>
    </row>
    <row r="50" spans="1:13">
      <c r="A50" s="126" t="s">
        <v>12</v>
      </c>
      <c r="B50" s="19">
        <v>45795</v>
      </c>
      <c r="C50" s="23"/>
      <c r="D50" s="23"/>
      <c r="E50" s="147">
        <v>13027.672</v>
      </c>
      <c r="F50" s="147">
        <v>6.2517464</v>
      </c>
      <c r="G50" s="147">
        <v>6.0409036</v>
      </c>
      <c r="H50" s="147">
        <v>28.393750000000001</v>
      </c>
      <c r="I50" s="148">
        <v>0.86430744240010104</v>
      </c>
      <c r="J50" s="148">
        <v>0.22514295589658501</v>
      </c>
      <c r="K50" s="147">
        <v>0</v>
      </c>
      <c r="L50" s="147">
        <v>22.623583333333301</v>
      </c>
      <c r="M50" s="123">
        <v>2411</v>
      </c>
    </row>
    <row r="51" spans="1:13">
      <c r="A51" s="126" t="s">
        <v>12</v>
      </c>
      <c r="B51" s="19">
        <v>45796</v>
      </c>
      <c r="C51" s="23"/>
      <c r="D51" s="23"/>
      <c r="E51" s="147">
        <v>13654.705</v>
      </c>
      <c r="F51" s="147">
        <v>6.5734510000000004</v>
      </c>
      <c r="G51" s="147">
        <v>6.3639592</v>
      </c>
      <c r="H51" s="147">
        <v>29.018750000000001</v>
      </c>
      <c r="I51" s="148">
        <v>0.86157220856697203</v>
      </c>
      <c r="J51" s="148">
        <v>0.23597927899903201</v>
      </c>
      <c r="K51" s="147">
        <v>0</v>
      </c>
      <c r="L51" s="147">
        <v>23.377791666666699</v>
      </c>
      <c r="M51" s="123">
        <v>2411</v>
      </c>
    </row>
    <row r="52" spans="1:13">
      <c r="A52" s="126" t="s">
        <v>12</v>
      </c>
      <c r="B52" s="19">
        <v>45797</v>
      </c>
      <c r="C52" s="23"/>
      <c r="D52" s="23"/>
      <c r="E52" s="147">
        <v>14239.362999999999</v>
      </c>
      <c r="F52" s="147">
        <v>6.9642580000000001</v>
      </c>
      <c r="G52" s="147">
        <v>6.7455318999999996</v>
      </c>
      <c r="H52" s="147">
        <v>31.875</v>
      </c>
      <c r="I52" s="148">
        <v>0.84804422175385097</v>
      </c>
      <c r="J52" s="148">
        <v>0.24608328148762601</v>
      </c>
      <c r="K52" s="147">
        <v>0</v>
      </c>
      <c r="L52" s="147">
        <v>25.610041666666699</v>
      </c>
      <c r="M52" s="123">
        <v>2411</v>
      </c>
    </row>
    <row r="53" spans="1:13">
      <c r="A53" s="126" t="s">
        <v>12</v>
      </c>
      <c r="B53" s="19">
        <v>45798</v>
      </c>
      <c r="C53" s="23"/>
      <c r="D53" s="23"/>
      <c r="E53" s="147">
        <v>14394.742</v>
      </c>
      <c r="F53" s="147">
        <v>7.0288440000000003</v>
      </c>
      <c r="G53" s="147">
        <v>6.810778</v>
      </c>
      <c r="H53" s="147">
        <v>31.39</v>
      </c>
      <c r="I53" s="148">
        <v>0.84942056315159897</v>
      </c>
      <c r="J53" s="148">
        <v>0.24876852619936399</v>
      </c>
      <c r="K53" s="147">
        <v>0</v>
      </c>
      <c r="L53" s="147">
        <v>25.257041666666701</v>
      </c>
      <c r="M53" s="123">
        <v>2411</v>
      </c>
    </row>
    <row r="54" spans="1:13">
      <c r="A54" s="126" t="s">
        <v>12</v>
      </c>
      <c r="B54" s="19">
        <v>45799</v>
      </c>
      <c r="C54" s="23"/>
      <c r="D54" s="23"/>
      <c r="E54" s="147">
        <v>13855.023999999999</v>
      </c>
      <c r="F54" s="147">
        <v>6.7061970000000004</v>
      </c>
      <c r="G54" s="147">
        <v>6.4947419999999996</v>
      </c>
      <c r="H54" s="147">
        <v>30.331666666666699</v>
      </c>
      <c r="I54" s="148">
        <v>0.856907146882532</v>
      </c>
      <c r="J54" s="148">
        <v>0.239441172404258</v>
      </c>
      <c r="K54" s="147">
        <v>0</v>
      </c>
      <c r="L54" s="147">
        <v>24.262250000000002</v>
      </c>
      <c r="M54" s="123">
        <v>2411</v>
      </c>
    </row>
    <row r="55" spans="1:13">
      <c r="A55" s="126" t="s">
        <v>12</v>
      </c>
      <c r="B55" s="19">
        <v>45800</v>
      </c>
      <c r="C55" s="23"/>
      <c r="D55" s="23"/>
      <c r="E55" s="147">
        <v>12549.324000000001</v>
      </c>
      <c r="F55" s="147">
        <v>6.0550566999999997</v>
      </c>
      <c r="G55" s="147">
        <v>5.8538625</v>
      </c>
      <c r="H55" s="147">
        <v>30.500416666666698</v>
      </c>
      <c r="I55" s="148">
        <v>0.85961682552540897</v>
      </c>
      <c r="J55" s="148">
        <v>0.21687619245126499</v>
      </c>
      <c r="K55" s="147">
        <v>0</v>
      </c>
      <c r="L55" s="147">
        <v>23.671416666666701</v>
      </c>
      <c r="M55" s="123">
        <v>2411</v>
      </c>
    </row>
    <row r="56" spans="1:13">
      <c r="A56" s="126" t="s">
        <v>12</v>
      </c>
      <c r="B56" s="19">
        <v>45801</v>
      </c>
      <c r="C56" s="23"/>
      <c r="D56" s="23"/>
      <c r="E56" s="147">
        <v>13993.601000000001</v>
      </c>
      <c r="F56" s="147">
        <v>6.7622799999999996</v>
      </c>
      <c r="G56" s="147">
        <v>6.5481059999999998</v>
      </c>
      <c r="H56" s="147">
        <v>29.52375</v>
      </c>
      <c r="I56" s="148">
        <v>0.85830002871933897</v>
      </c>
      <c r="J56" s="148">
        <v>0.241836046592009</v>
      </c>
      <c r="K56" s="147">
        <v>0</v>
      </c>
      <c r="L56" s="147">
        <v>23.882999999999999</v>
      </c>
      <c r="M56" s="123">
        <v>2411</v>
      </c>
    </row>
    <row r="57" spans="1:13">
      <c r="A57" s="126" t="s">
        <v>12</v>
      </c>
      <c r="B57" s="19">
        <v>45802</v>
      </c>
      <c r="C57" s="23"/>
      <c r="D57" s="23"/>
      <c r="E57" s="147">
        <v>14052.744000000001</v>
      </c>
      <c r="F57" s="147">
        <v>6.8035680000000003</v>
      </c>
      <c r="G57" s="147">
        <v>6.5892220000000004</v>
      </c>
      <c r="H57" s="147">
        <v>29.882916666666699</v>
      </c>
      <c r="I57" s="148">
        <v>0.856696898375093</v>
      </c>
      <c r="J57" s="148">
        <v>0.24285815014516801</v>
      </c>
      <c r="K57" s="147">
        <v>0</v>
      </c>
      <c r="L57" s="147">
        <v>24.226875</v>
      </c>
      <c r="M57" s="123">
        <v>2411</v>
      </c>
    </row>
    <row r="58" spans="1:13">
      <c r="A58" s="126" t="s">
        <v>12</v>
      </c>
      <c r="B58" s="19">
        <v>45803</v>
      </c>
      <c r="C58" s="23"/>
      <c r="D58" s="23"/>
      <c r="E58" s="147">
        <v>14770.916999999999</v>
      </c>
      <c r="F58" s="147">
        <v>7.1963100000000004</v>
      </c>
      <c r="G58" s="147">
        <v>6.9714340000000004</v>
      </c>
      <c r="H58" s="147">
        <v>30.254166666666698</v>
      </c>
      <c r="I58" s="148">
        <v>0.85133479518788402</v>
      </c>
      <c r="J58" s="148">
        <v>0.25526954583160499</v>
      </c>
      <c r="K58" s="147">
        <v>0</v>
      </c>
      <c r="L58" s="147">
        <v>24.854624999999999</v>
      </c>
      <c r="M58" s="123">
        <v>2411</v>
      </c>
    </row>
    <row r="59" spans="1:13">
      <c r="A59" s="126" t="s">
        <v>12</v>
      </c>
      <c r="B59" s="19">
        <v>45804</v>
      </c>
      <c r="C59" s="23"/>
      <c r="D59" s="23"/>
      <c r="E59" s="147">
        <v>13513.662</v>
      </c>
      <c r="F59" s="147">
        <v>6.5482310000000004</v>
      </c>
      <c r="G59" s="147">
        <v>6.3339679999999996</v>
      </c>
      <c r="H59" s="147">
        <v>30.710833333333301</v>
      </c>
      <c r="I59" s="148">
        <v>0.85595680777901795</v>
      </c>
      <c r="J59" s="148">
        <v>0.23354178763998301</v>
      </c>
      <c r="K59" s="147">
        <v>0</v>
      </c>
      <c r="L59" s="147">
        <v>24.356083333333299</v>
      </c>
      <c r="M59" s="123">
        <v>2411</v>
      </c>
    </row>
    <row r="60" spans="1:13">
      <c r="A60" s="126" t="s">
        <v>12</v>
      </c>
      <c r="B60" s="19">
        <v>45805</v>
      </c>
      <c r="C60" s="23"/>
      <c r="D60" s="23"/>
      <c r="E60" s="147">
        <v>13825.816999999999</v>
      </c>
      <c r="F60" s="147">
        <v>6.7119730000000004</v>
      </c>
      <c r="G60" s="147">
        <v>6.4978129999999998</v>
      </c>
      <c r="H60" s="147">
        <v>30.907916666666701</v>
      </c>
      <c r="I60" s="148">
        <v>0.854364890494406</v>
      </c>
      <c r="J60" s="148">
        <v>0.23893641988110101</v>
      </c>
      <c r="K60" s="147">
        <v>0</v>
      </c>
      <c r="L60" s="147">
        <v>24.641291666666699</v>
      </c>
      <c r="M60" s="123">
        <v>2411</v>
      </c>
    </row>
    <row r="61" spans="1:13">
      <c r="A61" s="126" t="s">
        <v>12</v>
      </c>
      <c r="B61" s="19">
        <v>45806</v>
      </c>
      <c r="C61" s="23"/>
      <c r="D61" s="23"/>
      <c r="E61" s="147">
        <v>12911.816000000001</v>
      </c>
      <c r="F61" s="147">
        <v>6.2182880000000003</v>
      </c>
      <c r="G61" s="147">
        <v>6.0115990000000004</v>
      </c>
      <c r="H61" s="147">
        <v>29.958749999999998</v>
      </c>
      <c r="I61" s="148">
        <v>0.861230269732424</v>
      </c>
      <c r="J61" s="148">
        <v>0.223140743813079</v>
      </c>
      <c r="K61" s="147">
        <v>0</v>
      </c>
      <c r="L61" s="147">
        <v>23.492833333333301</v>
      </c>
      <c r="M61" s="123">
        <v>2411</v>
      </c>
    </row>
    <row r="62" spans="1:13">
      <c r="A62" s="126" t="s">
        <v>12</v>
      </c>
      <c r="B62" s="19">
        <v>45807</v>
      </c>
      <c r="C62" s="23"/>
      <c r="D62" s="23"/>
      <c r="E62" s="147">
        <v>13010.380999999999</v>
      </c>
      <c r="F62" s="147">
        <v>6.255433</v>
      </c>
      <c r="G62" s="147">
        <v>6.04894</v>
      </c>
      <c r="H62" s="147">
        <v>29.324166666666699</v>
      </c>
      <c r="I62" s="148">
        <v>0.86265159079089804</v>
      </c>
      <c r="J62" s="148">
        <v>0.22484413452232799</v>
      </c>
      <c r="K62" s="147">
        <v>0</v>
      </c>
      <c r="L62" s="147">
        <v>23.135249999999999</v>
      </c>
      <c r="M62" s="123">
        <v>2411</v>
      </c>
    </row>
    <row r="63" spans="1:13">
      <c r="A63" s="126" t="s">
        <v>12</v>
      </c>
      <c r="B63" s="19">
        <v>45808</v>
      </c>
      <c r="C63" s="23"/>
      <c r="D63" s="23"/>
      <c r="E63" s="147">
        <v>6376.6949999999997</v>
      </c>
      <c r="F63" s="147">
        <v>3.0361880000000001</v>
      </c>
      <c r="G63" s="147">
        <v>2.895079</v>
      </c>
      <c r="H63" s="147">
        <v>29.350833333333298</v>
      </c>
      <c r="I63" s="148">
        <v>0.87110353302794097</v>
      </c>
      <c r="J63" s="148">
        <v>0.110201420572377</v>
      </c>
      <c r="K63" s="147">
        <v>0</v>
      </c>
      <c r="L63" s="147">
        <v>18.2769166666667</v>
      </c>
      <c r="M63" s="123">
        <v>2411</v>
      </c>
    </row>
    <row r="64" spans="1:13">
      <c r="A64" s="126" t="s">
        <v>12</v>
      </c>
      <c r="B64" s="19">
        <v>45809</v>
      </c>
      <c r="C64" s="23"/>
      <c r="D64" s="23"/>
      <c r="E64" s="147">
        <v>12453.811</v>
      </c>
      <c r="F64" s="147">
        <v>5.9200119999999998</v>
      </c>
      <c r="G64" s="147">
        <v>5.7174500000000004</v>
      </c>
      <c r="H64" s="147">
        <v>27.3645833333333</v>
      </c>
      <c r="I64" s="148">
        <v>0.872534229085139</v>
      </c>
      <c r="J64" s="148">
        <v>0.21522554610811601</v>
      </c>
      <c r="K64" s="147">
        <v>0</v>
      </c>
      <c r="L64" s="147">
        <v>21.484166666666699</v>
      </c>
      <c r="M64" s="123">
        <v>2411</v>
      </c>
    </row>
    <row r="65" spans="1:13">
      <c r="A65" s="126" t="s">
        <v>12</v>
      </c>
      <c r="B65" s="19">
        <v>45810</v>
      </c>
      <c r="C65" s="23"/>
      <c r="D65" s="23"/>
      <c r="E65" s="147">
        <v>13755.236999999999</v>
      </c>
      <c r="F65" s="147">
        <v>6.6196789999999996</v>
      </c>
      <c r="G65" s="147">
        <v>6.4067949999999998</v>
      </c>
      <c r="H65" s="147">
        <v>28.657083333333301</v>
      </c>
      <c r="I65" s="148">
        <v>0.86185446711945801</v>
      </c>
      <c r="J65" s="148">
        <v>0.23771666321028601</v>
      </c>
      <c r="K65" s="147">
        <v>0</v>
      </c>
      <c r="L65" s="147">
        <v>23.242875000000002</v>
      </c>
      <c r="M65" s="123">
        <v>2411</v>
      </c>
    </row>
    <row r="66" spans="1:13">
      <c r="A66" s="126" t="s">
        <v>12</v>
      </c>
      <c r="B66" s="19">
        <v>45811</v>
      </c>
      <c r="C66" s="23"/>
      <c r="D66" s="23"/>
      <c r="E66" s="147">
        <v>13661.59</v>
      </c>
      <c r="F66" s="147">
        <v>6.5543909999999999</v>
      </c>
      <c r="G66" s="147">
        <v>6.3434499999999998</v>
      </c>
      <c r="H66" s="147">
        <v>28.22</v>
      </c>
      <c r="I66" s="148">
        <v>0.86451332511716195</v>
      </c>
      <c r="J66" s="148">
        <v>0.236098264897</v>
      </c>
      <c r="K66" s="147">
        <v>0</v>
      </c>
      <c r="L66" s="147">
        <v>22.769541666666701</v>
      </c>
      <c r="M66" s="123">
        <v>2411</v>
      </c>
    </row>
    <row r="67" spans="1:13">
      <c r="A67" s="126" t="s">
        <v>12</v>
      </c>
      <c r="B67" s="19">
        <v>45812</v>
      </c>
      <c r="C67" s="23"/>
      <c r="D67" s="23"/>
      <c r="E67" s="147">
        <v>13502.724</v>
      </c>
      <c r="F67" s="147">
        <v>6.4593319999999999</v>
      </c>
      <c r="G67" s="147">
        <v>6.2489439999999998</v>
      </c>
      <c r="H67" s="147">
        <v>28.24</v>
      </c>
      <c r="I67" s="148">
        <v>0.86703488791084304</v>
      </c>
      <c r="J67" s="148">
        <v>0.23335275819162199</v>
      </c>
      <c r="K67" s="147">
        <v>0</v>
      </c>
      <c r="L67" s="147">
        <v>22.756416666666698</v>
      </c>
      <c r="M67" s="123">
        <v>2411</v>
      </c>
    </row>
    <row r="68" spans="1:13">
      <c r="A68" s="126" t="s">
        <v>12</v>
      </c>
      <c r="B68" s="19">
        <v>45813</v>
      </c>
      <c r="C68" s="23"/>
      <c r="D68" s="23"/>
      <c r="E68" s="147">
        <v>11966.46</v>
      </c>
      <c r="F68" s="147">
        <v>5.7139410000000002</v>
      </c>
      <c r="G68" s="147">
        <v>5.511965</v>
      </c>
      <c r="H68" s="147">
        <v>28.736249999999998</v>
      </c>
      <c r="I68" s="148">
        <v>0.86862581337355205</v>
      </c>
      <c r="J68" s="148">
        <v>0.20680319369556199</v>
      </c>
      <c r="K68" s="147">
        <v>0</v>
      </c>
      <c r="L68" s="147">
        <v>22.154624999999999</v>
      </c>
      <c r="M68" s="123">
        <v>2411</v>
      </c>
    </row>
    <row r="69" spans="1:13">
      <c r="A69" s="126" t="s">
        <v>12</v>
      </c>
      <c r="B69" s="19">
        <v>45814</v>
      </c>
      <c r="C69" s="23"/>
      <c r="D69" s="23"/>
      <c r="E69" s="147">
        <v>11212.455</v>
      </c>
      <c r="F69" s="147">
        <v>5.3565379000000002</v>
      </c>
      <c r="G69" s="147">
        <v>5.1591475999999998</v>
      </c>
      <c r="H69" s="147">
        <v>28.473333333333301</v>
      </c>
      <c r="I69" s="148">
        <v>0.86819907858449297</v>
      </c>
      <c r="J69" s="148">
        <v>0.19377255288262099</v>
      </c>
      <c r="K69" s="147">
        <v>0</v>
      </c>
      <c r="L69" s="147">
        <v>21.587666666666699</v>
      </c>
      <c r="M69" s="123">
        <v>2411</v>
      </c>
    </row>
    <row r="70" spans="1:13">
      <c r="A70" s="126" t="s">
        <v>12</v>
      </c>
      <c r="B70" s="19">
        <v>45815</v>
      </c>
      <c r="C70" s="23"/>
      <c r="D70" s="23"/>
      <c r="E70" s="147">
        <v>11452.07</v>
      </c>
      <c r="F70" s="147">
        <v>5.4777509999999996</v>
      </c>
      <c r="G70" s="147">
        <v>5.2831950000000001</v>
      </c>
      <c r="H70" s="147">
        <v>28.092500000000001</v>
      </c>
      <c r="I70" s="148">
        <v>0.86713056912986097</v>
      </c>
      <c r="J70" s="148">
        <v>0.19791355592423601</v>
      </c>
      <c r="K70" s="147">
        <v>0</v>
      </c>
      <c r="L70" s="147">
        <v>20.369375000000002</v>
      </c>
      <c r="M70" s="123">
        <v>2411</v>
      </c>
    </row>
    <row r="71" spans="1:13">
      <c r="A71" s="126" t="s">
        <v>12</v>
      </c>
      <c r="B71" s="19">
        <v>45816</v>
      </c>
      <c r="C71" s="23"/>
      <c r="D71" s="23"/>
      <c r="E71" s="147">
        <v>13319.795</v>
      </c>
      <c r="F71" s="147">
        <v>6.3071529999999996</v>
      </c>
      <c r="G71" s="147">
        <v>6.099634</v>
      </c>
      <c r="H71" s="147">
        <v>26.470833333333299</v>
      </c>
      <c r="I71" s="148">
        <v>0.87592508532070601</v>
      </c>
      <c r="J71" s="148">
        <v>0.230191397068989</v>
      </c>
      <c r="K71" s="147">
        <v>0</v>
      </c>
      <c r="L71" s="147">
        <v>21.408166666666698</v>
      </c>
      <c r="M71" s="123">
        <v>2411</v>
      </c>
    </row>
    <row r="72" spans="1:13">
      <c r="A72" s="126" t="s">
        <v>12</v>
      </c>
      <c r="B72" s="19">
        <v>45817</v>
      </c>
      <c r="C72" s="23"/>
      <c r="D72" s="23"/>
      <c r="E72" s="147">
        <v>12520.929</v>
      </c>
      <c r="F72" s="147">
        <v>5.9566949999999999</v>
      </c>
      <c r="G72" s="147">
        <v>5.7498139999999998</v>
      </c>
      <c r="H72" s="147">
        <v>27.245000000000001</v>
      </c>
      <c r="I72" s="148">
        <v>0.87183435579434398</v>
      </c>
      <c r="J72" s="148">
        <v>0.21638547283284901</v>
      </c>
      <c r="K72" s="147">
        <v>0</v>
      </c>
      <c r="L72" s="147">
        <v>21.675041666666701</v>
      </c>
      <c r="M72" s="123">
        <v>2411</v>
      </c>
    </row>
    <row r="73" spans="1:13">
      <c r="A73" s="126" t="s">
        <v>12</v>
      </c>
      <c r="B73" s="19">
        <v>45818</v>
      </c>
      <c r="C73" s="23"/>
      <c r="D73" s="23"/>
      <c r="E73" s="147">
        <v>12326.332</v>
      </c>
      <c r="F73" s="147">
        <v>5.8663220000000003</v>
      </c>
      <c r="G73" s="147">
        <v>5.6642339000000002</v>
      </c>
      <c r="H73" s="147">
        <v>27.528749999999999</v>
      </c>
      <c r="I73" s="148">
        <v>0.87150674568402897</v>
      </c>
      <c r="J73" s="148">
        <v>0.21302246647310899</v>
      </c>
      <c r="K73" s="147">
        <v>0</v>
      </c>
      <c r="L73" s="147">
        <v>21.571874999999999</v>
      </c>
      <c r="M73" s="123">
        <v>2411</v>
      </c>
    </row>
    <row r="74" spans="1:13">
      <c r="A74" s="126" t="s">
        <v>12</v>
      </c>
      <c r="B74" s="19">
        <v>45819</v>
      </c>
      <c r="C74" s="23"/>
      <c r="D74" s="23"/>
      <c r="E74" s="147">
        <v>12316.303</v>
      </c>
      <c r="F74" s="147">
        <v>5.8970989999999999</v>
      </c>
      <c r="G74" s="147">
        <v>5.7006579999999998</v>
      </c>
      <c r="H74" s="147">
        <v>28.987916666666699</v>
      </c>
      <c r="I74" s="148">
        <v>0.86625296787056205</v>
      </c>
      <c r="J74" s="148">
        <v>0.21284914627402199</v>
      </c>
      <c r="K74" s="147">
        <v>0</v>
      </c>
      <c r="L74" s="147">
        <v>22.596625</v>
      </c>
      <c r="M74" s="123">
        <v>2411</v>
      </c>
    </row>
    <row r="75" spans="1:13">
      <c r="A75" s="126" t="s">
        <v>12</v>
      </c>
      <c r="B75" s="19">
        <v>45820</v>
      </c>
      <c r="C75" s="23"/>
      <c r="D75" s="23"/>
      <c r="E75" s="147">
        <v>11707.969300000001</v>
      </c>
      <c r="F75" s="147">
        <v>5.5444281000000002</v>
      </c>
      <c r="G75" s="147">
        <v>5.3380416999999998</v>
      </c>
      <c r="H75" s="147">
        <v>26.946666666666701</v>
      </c>
      <c r="I75" s="148">
        <v>0.87584571320805504</v>
      </c>
      <c r="J75" s="148">
        <v>0.20233598264896999</v>
      </c>
      <c r="K75" s="147">
        <v>0</v>
      </c>
      <c r="L75" s="147">
        <v>20.7456666666667</v>
      </c>
      <c r="M75" s="123">
        <v>2411</v>
      </c>
    </row>
    <row r="76" spans="1:13">
      <c r="A76" s="126" t="s">
        <v>12</v>
      </c>
      <c r="B76" s="19">
        <v>45821</v>
      </c>
      <c r="C76" s="23"/>
      <c r="D76" s="23"/>
      <c r="E76" s="147">
        <v>11848.365</v>
      </c>
      <c r="F76" s="147">
        <v>5.7204369000000002</v>
      </c>
      <c r="G76" s="147">
        <v>5.5193970999999999</v>
      </c>
      <c r="H76" s="147">
        <v>31.048749999999998</v>
      </c>
      <c r="I76" s="148">
        <v>0.85907684750135305</v>
      </c>
      <c r="J76" s="148">
        <v>0.204762287432601</v>
      </c>
      <c r="K76" s="147">
        <v>0</v>
      </c>
      <c r="L76" s="147">
        <v>23.737500000000001</v>
      </c>
      <c r="M76" s="123">
        <v>2411</v>
      </c>
    </row>
    <row r="77" spans="1:13">
      <c r="A77" s="126" t="s">
        <v>12</v>
      </c>
      <c r="B77" s="19">
        <v>45822</v>
      </c>
      <c r="C77" s="23"/>
      <c r="D77" s="23"/>
      <c r="E77" s="147">
        <v>8671.2443999999996</v>
      </c>
      <c r="F77" s="147">
        <v>4.1205641000000002</v>
      </c>
      <c r="G77" s="147">
        <v>3.9459183000000002</v>
      </c>
      <c r="H77" s="147">
        <v>29.3333333333333</v>
      </c>
      <c r="I77" s="148">
        <v>0.872825733756453</v>
      </c>
      <c r="J77" s="148">
        <v>0.14985559933637499</v>
      </c>
      <c r="K77" s="147">
        <v>0</v>
      </c>
      <c r="L77" s="147">
        <v>20.553958333333298</v>
      </c>
      <c r="M77" s="123">
        <v>2411</v>
      </c>
    </row>
    <row r="78" spans="1:13">
      <c r="A78" s="126" t="s">
        <v>12</v>
      </c>
      <c r="B78" s="19">
        <v>45823</v>
      </c>
      <c r="C78" s="23"/>
      <c r="D78" s="23"/>
      <c r="E78" s="147">
        <v>8628.99</v>
      </c>
      <c r="F78" s="147">
        <v>4.1208859999999996</v>
      </c>
      <c r="G78" s="147">
        <v>3.9607600000000001</v>
      </c>
      <c r="H78" s="147">
        <v>27.759166666666701</v>
      </c>
      <c r="I78" s="148">
        <v>0.86850466382200497</v>
      </c>
      <c r="J78" s="148">
        <v>0.14912536291994999</v>
      </c>
      <c r="K78" s="147">
        <v>0</v>
      </c>
      <c r="L78" s="147">
        <v>18.418125</v>
      </c>
      <c r="M78" s="123">
        <v>2411</v>
      </c>
    </row>
    <row r="79" spans="1:13">
      <c r="A79" s="126" t="s">
        <v>12</v>
      </c>
      <c r="B79" s="19">
        <v>45824</v>
      </c>
      <c r="C79" s="23"/>
      <c r="D79" s="23"/>
      <c r="E79" s="147">
        <v>11371.75</v>
      </c>
      <c r="F79" s="147">
        <v>5.4306799999999997</v>
      </c>
      <c r="G79" s="147">
        <v>5.2284765999999996</v>
      </c>
      <c r="H79" s="147">
        <v>29.116250000000001</v>
      </c>
      <c r="I79" s="148">
        <v>0.86851211350678204</v>
      </c>
      <c r="J79" s="148">
        <v>0.196525473524126</v>
      </c>
      <c r="K79" s="147">
        <v>0</v>
      </c>
      <c r="L79" s="147">
        <v>22.032333333333298</v>
      </c>
      <c r="M79" s="123">
        <v>2411</v>
      </c>
    </row>
    <row r="80" spans="1:13">
      <c r="A80" s="126" t="s">
        <v>12</v>
      </c>
      <c r="B80" s="19">
        <v>45825</v>
      </c>
      <c r="C80" s="23"/>
      <c r="D80" s="23"/>
      <c r="E80" s="147">
        <v>12840.291999999999</v>
      </c>
      <c r="F80" s="147">
        <v>6.1493460000000004</v>
      </c>
      <c r="G80" s="147">
        <v>5.9395819999999997</v>
      </c>
      <c r="H80" s="147">
        <v>29.26</v>
      </c>
      <c r="I80" s="148">
        <v>0.86606155396586304</v>
      </c>
      <c r="J80" s="148">
        <v>0.22190467302640701</v>
      </c>
      <c r="K80" s="147">
        <v>0</v>
      </c>
      <c r="L80" s="147">
        <v>22.9010833333333</v>
      </c>
      <c r="M80" s="123">
        <v>2411</v>
      </c>
    </row>
    <row r="81" spans="1:13">
      <c r="A81" s="126" t="s">
        <v>12</v>
      </c>
      <c r="B81" s="19">
        <v>45826</v>
      </c>
      <c r="C81" s="23"/>
      <c r="D81" s="23"/>
      <c r="E81" s="147">
        <v>9079.15</v>
      </c>
      <c r="F81" s="147">
        <v>4.3273147999999999</v>
      </c>
      <c r="G81" s="147">
        <v>4.1487074000000002</v>
      </c>
      <c r="H81" s="147">
        <v>29.963750000000001</v>
      </c>
      <c r="I81" s="148">
        <v>0.87022086269656096</v>
      </c>
      <c r="J81" s="148">
        <v>0.15690498410065001</v>
      </c>
      <c r="K81" s="147">
        <v>0</v>
      </c>
      <c r="L81" s="147">
        <v>21.124416666666701</v>
      </c>
      <c r="M81" s="123">
        <v>2411</v>
      </c>
    </row>
    <row r="82" spans="1:13">
      <c r="A82" s="126" t="s">
        <v>12</v>
      </c>
      <c r="B82" s="19">
        <v>45827</v>
      </c>
      <c r="C82" s="23"/>
      <c r="D82" s="23"/>
      <c r="E82" s="147">
        <v>6129.085</v>
      </c>
      <c r="F82" s="147">
        <v>2.9437850000000001</v>
      </c>
      <c r="G82" s="147">
        <v>2.8061590000000001</v>
      </c>
      <c r="H82" s="147">
        <v>31.716249999999999</v>
      </c>
      <c r="I82" s="148">
        <v>0.86355965850337002</v>
      </c>
      <c r="J82" s="148">
        <v>0.10592224872113901</v>
      </c>
      <c r="K82" s="147">
        <v>0</v>
      </c>
      <c r="L82" s="147">
        <v>19.338041666666701</v>
      </c>
      <c r="M82" s="123">
        <v>2411</v>
      </c>
    </row>
    <row r="83" spans="1:13">
      <c r="A83" s="126" t="s">
        <v>12</v>
      </c>
      <c r="B83" s="19">
        <v>45828</v>
      </c>
      <c r="C83" s="23"/>
      <c r="D83" s="23"/>
      <c r="E83" s="147">
        <v>9141.23</v>
      </c>
      <c r="F83" s="147">
        <v>4.376214</v>
      </c>
      <c r="G83" s="147">
        <v>4.1968329999999998</v>
      </c>
      <c r="H83" s="147">
        <v>31.399166666666702</v>
      </c>
      <c r="I83" s="148">
        <v>0.86638091062896105</v>
      </c>
      <c r="J83" s="148">
        <v>0.15797784460113401</v>
      </c>
      <c r="K83" s="147">
        <v>0</v>
      </c>
      <c r="L83" s="147">
        <v>20.725124999999998</v>
      </c>
      <c r="M83" s="123">
        <v>2411</v>
      </c>
    </row>
    <row r="84" spans="1:13">
      <c r="A84" s="126" t="s">
        <v>12</v>
      </c>
      <c r="B84" s="19">
        <v>45829</v>
      </c>
      <c r="C84" s="23"/>
      <c r="D84" s="23"/>
      <c r="E84" s="147">
        <v>4860.7309999999998</v>
      </c>
      <c r="F84" s="147">
        <v>2.3318880000000002</v>
      </c>
      <c r="G84" s="147">
        <v>2.220237</v>
      </c>
      <c r="H84" s="147">
        <v>30.571666666666701</v>
      </c>
      <c r="I84" s="148">
        <v>0.86456308736821696</v>
      </c>
      <c r="J84" s="148">
        <v>8.40026786948707E-2</v>
      </c>
      <c r="K84" s="147">
        <v>0</v>
      </c>
      <c r="L84" s="147">
        <v>17.926124999999999</v>
      </c>
      <c r="M84" s="123">
        <v>2411</v>
      </c>
    </row>
    <row r="85" spans="1:13">
      <c r="A85" s="126" t="s">
        <v>12</v>
      </c>
      <c r="B85" s="19">
        <v>45830</v>
      </c>
      <c r="C85" s="23"/>
      <c r="D85" s="23"/>
      <c r="E85" s="147">
        <v>11716.638000000001</v>
      </c>
      <c r="F85" s="147">
        <v>5.6361410000000003</v>
      </c>
      <c r="G85" s="147">
        <v>5.4432042000000003</v>
      </c>
      <c r="H85" s="147">
        <v>30.617916666666702</v>
      </c>
      <c r="I85" s="148">
        <v>0.862231633777369</v>
      </c>
      <c r="J85" s="148">
        <v>0.202485794276234</v>
      </c>
      <c r="K85" s="147">
        <v>0</v>
      </c>
      <c r="L85" s="147">
        <v>23.059166666666702</v>
      </c>
      <c r="M85" s="123">
        <v>2411</v>
      </c>
    </row>
    <row r="86" spans="1:13">
      <c r="A86" s="126" t="s">
        <v>12</v>
      </c>
      <c r="B86" s="19">
        <v>45831</v>
      </c>
      <c r="C86" s="23"/>
      <c r="D86" s="23"/>
      <c r="E86" s="147">
        <v>12440.45</v>
      </c>
      <c r="F86" s="147">
        <v>6.0087679999999999</v>
      </c>
      <c r="G86" s="147">
        <v>5.8028890000000004</v>
      </c>
      <c r="H86" s="147">
        <v>30.4375</v>
      </c>
      <c r="I86" s="148">
        <v>0.85872368889033601</v>
      </c>
      <c r="J86" s="148">
        <v>0.214994642610259</v>
      </c>
      <c r="K86" s="147">
        <v>0</v>
      </c>
      <c r="L86" s="147">
        <v>22.308624999999999</v>
      </c>
      <c r="M86" s="123">
        <v>2411</v>
      </c>
    </row>
    <row r="87" spans="1:13">
      <c r="A87" s="126" t="s">
        <v>12</v>
      </c>
      <c r="B87" s="19">
        <v>45832</v>
      </c>
      <c r="C87" s="23"/>
      <c r="D87" s="23"/>
      <c r="E87" s="147">
        <v>12768.17</v>
      </c>
      <c r="F87" s="147">
        <v>6.1140439999999998</v>
      </c>
      <c r="G87" s="147">
        <v>5.9087759999999996</v>
      </c>
      <c r="H87" s="147">
        <v>29.0995833333333</v>
      </c>
      <c r="I87" s="148">
        <v>0.86616949827160195</v>
      </c>
      <c r="J87" s="148">
        <v>0.220658267662104</v>
      </c>
      <c r="K87" s="147">
        <v>0</v>
      </c>
      <c r="L87" s="147">
        <v>21.590458333333299</v>
      </c>
      <c r="M87" s="123">
        <v>2411</v>
      </c>
    </row>
    <row r="88" spans="1:13">
      <c r="A88" s="126" t="s">
        <v>12</v>
      </c>
      <c r="B88" s="19">
        <v>45833</v>
      </c>
      <c r="C88" s="23"/>
      <c r="D88" s="23"/>
      <c r="E88" s="147">
        <v>11804.614</v>
      </c>
      <c r="F88" s="147">
        <v>5.6375380000000002</v>
      </c>
      <c r="G88" s="147">
        <v>5.4397989999999998</v>
      </c>
      <c r="H88" s="147">
        <v>29.5445833333333</v>
      </c>
      <c r="I88" s="148">
        <v>0.86849055139057996</v>
      </c>
      <c r="J88" s="148">
        <v>0.20400618692105599</v>
      </c>
      <c r="K88" s="147">
        <v>0</v>
      </c>
      <c r="L88" s="147">
        <v>22.493791666666699</v>
      </c>
      <c r="M88" s="123">
        <v>2411</v>
      </c>
    </row>
    <row r="89" spans="1:13">
      <c r="A89" s="126" t="s">
        <v>12</v>
      </c>
      <c r="B89" s="19">
        <v>45834</v>
      </c>
      <c r="C89" s="23"/>
      <c r="D89" s="23"/>
      <c r="E89" s="147">
        <v>6327.1</v>
      </c>
      <c r="F89" s="147">
        <v>3.0086750000000002</v>
      </c>
      <c r="G89" s="147">
        <v>2.8578109999999999</v>
      </c>
      <c r="H89" s="147">
        <v>28.811666666666699</v>
      </c>
      <c r="I89" s="148">
        <v>0.87223239165350497</v>
      </c>
      <c r="J89" s="148">
        <v>0.109344324623255</v>
      </c>
      <c r="K89" s="147">
        <v>0</v>
      </c>
      <c r="L89" s="147">
        <v>17.760750000000002</v>
      </c>
      <c r="M89" s="123">
        <v>2411</v>
      </c>
    </row>
    <row r="90" spans="1:13">
      <c r="A90" s="126" t="s">
        <v>12</v>
      </c>
      <c r="B90" s="19">
        <v>45835</v>
      </c>
      <c r="C90" s="23"/>
      <c r="D90" s="23"/>
      <c r="E90" s="147">
        <v>4319.8760000000002</v>
      </c>
      <c r="F90" s="147">
        <v>2.0632600000000001</v>
      </c>
      <c r="G90" s="147">
        <v>1.960269</v>
      </c>
      <c r="H90" s="147">
        <v>28.322500000000002</v>
      </c>
      <c r="I90" s="148">
        <v>0.86840059374092005</v>
      </c>
      <c r="J90" s="148">
        <v>7.4655675376745501E-2</v>
      </c>
      <c r="K90" s="147">
        <v>0</v>
      </c>
      <c r="L90" s="147">
        <v>16.435625000000002</v>
      </c>
      <c r="M90" s="123">
        <v>2411</v>
      </c>
    </row>
    <row r="91" spans="1:13">
      <c r="A91" s="126" t="s">
        <v>12</v>
      </c>
      <c r="B91" s="19">
        <v>45836</v>
      </c>
      <c r="C91" s="23"/>
      <c r="D91" s="23"/>
      <c r="E91" s="147">
        <v>6107.5069999999996</v>
      </c>
      <c r="F91" s="147">
        <v>2.8911470000000001</v>
      </c>
      <c r="G91" s="147">
        <v>2.7547839999999999</v>
      </c>
      <c r="H91" s="147">
        <v>27.6591666666667</v>
      </c>
      <c r="I91" s="148">
        <v>0.87618656400103001</v>
      </c>
      <c r="J91" s="148">
        <v>0.105549339831329</v>
      </c>
      <c r="K91" s="147">
        <v>0</v>
      </c>
      <c r="L91" s="147">
        <v>17.202958333333299</v>
      </c>
      <c r="M91" s="123">
        <v>2411</v>
      </c>
    </row>
    <row r="92" spans="1:13">
      <c r="A92" s="126" t="s">
        <v>12</v>
      </c>
      <c r="B92" s="19">
        <v>45837</v>
      </c>
      <c r="C92" s="23"/>
      <c r="D92" s="23"/>
      <c r="E92" s="147">
        <v>13411.73</v>
      </c>
      <c r="F92" s="147">
        <v>6.3607616</v>
      </c>
      <c r="G92" s="147">
        <v>6.1505748000000002</v>
      </c>
      <c r="H92" s="147">
        <v>25.677499999999998</v>
      </c>
      <c r="I92" s="148">
        <v>0.87453757272857702</v>
      </c>
      <c r="J92" s="148">
        <v>0.231780208765381</v>
      </c>
      <c r="K92" s="147">
        <v>0</v>
      </c>
      <c r="L92" s="147">
        <v>20.949375</v>
      </c>
      <c r="M92" s="123">
        <v>2411</v>
      </c>
    </row>
    <row r="93" spans="1:13">
      <c r="A93" s="126" t="s">
        <v>12</v>
      </c>
      <c r="B93" s="19">
        <v>45838</v>
      </c>
      <c r="C93" s="23"/>
      <c r="D93" s="23"/>
      <c r="E93" s="147">
        <v>12952.198</v>
      </c>
      <c r="F93" s="147">
        <v>6.2160880000000001</v>
      </c>
      <c r="G93" s="147">
        <v>6.0081230000000003</v>
      </c>
      <c r="H93" s="147">
        <v>28.397083333333299</v>
      </c>
      <c r="I93" s="148">
        <v>0.86422954731193702</v>
      </c>
      <c r="J93" s="148">
        <v>0.223838621595465</v>
      </c>
      <c r="K93" s="147">
        <v>0</v>
      </c>
      <c r="L93" s="147">
        <v>22.628333333333298</v>
      </c>
      <c r="M93" s="123">
        <v>2411</v>
      </c>
    </row>
    <row r="94" spans="1:13">
      <c r="A94" s="126" t="s">
        <v>12</v>
      </c>
      <c r="B94" s="19">
        <v>45839</v>
      </c>
      <c r="C94" s="23"/>
      <c r="D94" s="23"/>
      <c r="E94" s="147">
        <v>12472.7315</v>
      </c>
      <c r="F94" s="147">
        <v>5.9868515000000002</v>
      </c>
      <c r="G94" s="147">
        <v>5.7770858</v>
      </c>
      <c r="H94" s="147">
        <v>29.0879166666667</v>
      </c>
      <c r="I94" s="148">
        <v>0.86410372467325802</v>
      </c>
      <c r="J94" s="148">
        <v>0.21555252834232</v>
      </c>
      <c r="K94" s="147">
        <v>0</v>
      </c>
      <c r="L94" s="147">
        <v>22.4621666666667</v>
      </c>
      <c r="M94" s="123">
        <v>2411</v>
      </c>
    </row>
    <row r="95" spans="1:13">
      <c r="A95" s="126" t="s">
        <v>12</v>
      </c>
      <c r="B95" s="19">
        <v>45840</v>
      </c>
      <c r="C95" s="23"/>
      <c r="D95" s="23"/>
      <c r="E95" s="147">
        <v>13350.351000000001</v>
      </c>
      <c r="F95" s="147">
        <v>6.4241833000000002</v>
      </c>
      <c r="G95" s="147">
        <v>6.2087370999999996</v>
      </c>
      <c r="H95" s="147">
        <v>29.262083333333301</v>
      </c>
      <c r="I95" s="148">
        <v>0.86194102043809495</v>
      </c>
      <c r="J95" s="148">
        <v>0.230719462878474</v>
      </c>
      <c r="K95" s="147">
        <v>0</v>
      </c>
      <c r="L95" s="147">
        <v>23.045083333333299</v>
      </c>
      <c r="M95" s="123">
        <v>2411</v>
      </c>
    </row>
    <row r="96" spans="1:13">
      <c r="A96" s="126" t="s">
        <v>12</v>
      </c>
      <c r="B96" s="19">
        <v>45841</v>
      </c>
      <c r="C96" s="23"/>
      <c r="D96" s="23"/>
      <c r="E96" s="147">
        <v>12448.401</v>
      </c>
      <c r="F96" s="147">
        <v>6.0166380000000004</v>
      </c>
      <c r="G96" s="147">
        <v>5.8080749999999997</v>
      </c>
      <c r="H96" s="147">
        <v>30.859166666666699</v>
      </c>
      <c r="I96" s="148">
        <v>0.85814855811305601</v>
      </c>
      <c r="J96" s="148">
        <v>0.215132051016176</v>
      </c>
      <c r="K96" s="147">
        <v>0</v>
      </c>
      <c r="L96" s="147">
        <v>23.576916666666701</v>
      </c>
      <c r="M96" s="123">
        <v>2411</v>
      </c>
    </row>
    <row r="97" spans="1:13">
      <c r="A97" s="126" t="s">
        <v>12</v>
      </c>
      <c r="B97" s="19">
        <v>45842</v>
      </c>
      <c r="C97" s="23"/>
      <c r="D97" s="23"/>
      <c r="E97" s="147">
        <v>12483.482</v>
      </c>
      <c r="F97" s="147">
        <v>5.9504672000000003</v>
      </c>
      <c r="G97" s="147">
        <v>5.7456221000000003</v>
      </c>
      <c r="H97" s="147">
        <v>28.445833333333301</v>
      </c>
      <c r="I97" s="148">
        <v>0.87013665387746297</v>
      </c>
      <c r="J97" s="148">
        <v>0.215738317433983</v>
      </c>
      <c r="K97" s="147">
        <v>0</v>
      </c>
      <c r="L97" s="147">
        <v>21.9455833333333</v>
      </c>
      <c r="M97" s="123">
        <v>2411</v>
      </c>
    </row>
    <row r="98" spans="1:13">
      <c r="A98" s="126" t="s">
        <v>12</v>
      </c>
      <c r="B98" s="19">
        <v>45843</v>
      </c>
      <c r="C98" s="23"/>
      <c r="D98" s="23"/>
      <c r="E98" s="147">
        <v>8919.4920000000002</v>
      </c>
      <c r="F98" s="147">
        <v>4.2256919999999996</v>
      </c>
      <c r="G98" s="147">
        <v>4.0461140000000002</v>
      </c>
      <c r="H98" s="147">
        <v>28.2129166666667</v>
      </c>
      <c r="I98" s="148">
        <v>0.87547766450698605</v>
      </c>
      <c r="J98" s="148">
        <v>0.15414579012857699</v>
      </c>
      <c r="K98" s="147">
        <v>0</v>
      </c>
      <c r="L98" s="147">
        <v>19.062333333333299</v>
      </c>
      <c r="M98" s="123">
        <v>2411</v>
      </c>
    </row>
    <row r="99" spans="1:13">
      <c r="A99" s="126" t="s">
        <v>12</v>
      </c>
      <c r="B99" s="19">
        <v>45844</v>
      </c>
      <c r="C99" s="23"/>
      <c r="D99" s="23"/>
      <c r="E99" s="147">
        <v>11462.3</v>
      </c>
      <c r="F99" s="147">
        <v>5.4397450000000003</v>
      </c>
      <c r="G99" s="147">
        <v>5.2243560000000002</v>
      </c>
      <c r="H99" s="147">
        <v>27.300416666666699</v>
      </c>
      <c r="I99" s="148">
        <v>0.87396898105644805</v>
      </c>
      <c r="J99" s="148">
        <v>0.198090349785704</v>
      </c>
      <c r="K99" s="147">
        <v>0</v>
      </c>
      <c r="L99" s="147">
        <v>20.921375000000001</v>
      </c>
      <c r="M99" s="123">
        <v>2411</v>
      </c>
    </row>
    <row r="100" spans="1:13">
      <c r="A100" s="126" t="s">
        <v>12</v>
      </c>
      <c r="B100" s="19">
        <v>45845</v>
      </c>
      <c r="C100" s="23"/>
      <c r="D100" s="23"/>
      <c r="E100" s="147">
        <v>10716.088</v>
      </c>
      <c r="F100" s="147">
        <v>5.0854590000000002</v>
      </c>
      <c r="G100" s="147">
        <v>4.8764459999999996</v>
      </c>
      <c r="H100" s="147">
        <v>28.004583333333301</v>
      </c>
      <c r="I100" s="148">
        <v>0.873994910609736</v>
      </c>
      <c r="J100" s="148">
        <v>0.18519438683810299</v>
      </c>
      <c r="K100" s="147">
        <v>0</v>
      </c>
      <c r="L100" s="147">
        <v>20.974250000000001</v>
      </c>
      <c r="M100" s="123">
        <v>2411</v>
      </c>
    </row>
    <row r="101" spans="1:13">
      <c r="A101" s="126" t="s">
        <v>12</v>
      </c>
      <c r="B101" s="19">
        <v>45846</v>
      </c>
      <c r="C101" s="23"/>
      <c r="D101" s="23"/>
      <c r="E101" s="147">
        <v>7517.87</v>
      </c>
      <c r="F101" s="147">
        <v>3.56311</v>
      </c>
      <c r="G101" s="147">
        <v>3.392458</v>
      </c>
      <c r="H101" s="147">
        <v>28.497499999999999</v>
      </c>
      <c r="I101" s="148">
        <v>0.87512153507036095</v>
      </c>
      <c r="J101" s="148">
        <v>0.12992309553435599</v>
      </c>
      <c r="K101" s="147">
        <v>0</v>
      </c>
      <c r="L101" s="147">
        <v>18.220375000000001</v>
      </c>
      <c r="M101" s="123">
        <v>2411</v>
      </c>
    </row>
    <row r="102" spans="1:13">
      <c r="A102" s="126" t="s">
        <v>12</v>
      </c>
      <c r="B102" s="19">
        <v>45847</v>
      </c>
      <c r="C102" s="23"/>
      <c r="D102" s="23"/>
      <c r="E102" s="147">
        <v>8391.4</v>
      </c>
      <c r="F102" s="147">
        <v>4.0378270000000001</v>
      </c>
      <c r="G102" s="147">
        <v>3.8577720000000002</v>
      </c>
      <c r="H102" s="147">
        <v>32.4195833333333</v>
      </c>
      <c r="I102" s="148">
        <v>0.86196474924168198</v>
      </c>
      <c r="J102" s="148">
        <v>0.14501935573067901</v>
      </c>
      <c r="K102" s="147">
        <v>0</v>
      </c>
      <c r="L102" s="147">
        <v>20.911999999999999</v>
      </c>
      <c r="M102" s="123">
        <v>2411</v>
      </c>
    </row>
    <row r="103" spans="1:13">
      <c r="A103" s="126" t="s">
        <v>12</v>
      </c>
      <c r="B103" s="19">
        <v>45848</v>
      </c>
      <c r="C103" s="23"/>
      <c r="D103" s="23"/>
      <c r="E103" s="147">
        <v>3762.2429999999999</v>
      </c>
      <c r="F103" s="147">
        <v>1.8077099999999999</v>
      </c>
      <c r="G103" s="147">
        <v>1.7162029999999999</v>
      </c>
      <c r="H103" s="147">
        <v>28.471250000000001</v>
      </c>
      <c r="I103" s="148">
        <v>0.863218763632977</v>
      </c>
      <c r="J103" s="148">
        <v>6.5018716300290297E-2</v>
      </c>
      <c r="K103" s="147">
        <v>0</v>
      </c>
      <c r="L103" s="147">
        <v>16.101375000000001</v>
      </c>
      <c r="M103" s="123">
        <v>2411</v>
      </c>
    </row>
    <row r="104" spans="1:13">
      <c r="A104" s="126" t="s">
        <v>12</v>
      </c>
      <c r="B104" s="19">
        <v>45849</v>
      </c>
      <c r="C104" s="23"/>
      <c r="D104" s="23"/>
      <c r="E104" s="147">
        <v>5644.8050000000003</v>
      </c>
      <c r="F104" s="147">
        <v>2.6859799999999998</v>
      </c>
      <c r="G104" s="147">
        <v>2.559015</v>
      </c>
      <c r="H104" s="147">
        <v>28.210833333333301</v>
      </c>
      <c r="I104" s="148">
        <v>0.87166369695230095</v>
      </c>
      <c r="J104" s="148">
        <v>9.7552969030830897E-2</v>
      </c>
      <c r="K104" s="147">
        <v>0</v>
      </c>
      <c r="L104" s="147">
        <v>17.063333333333301</v>
      </c>
      <c r="M104" s="123">
        <v>2411</v>
      </c>
    </row>
    <row r="105" spans="1:13">
      <c r="A105" s="126" t="s">
        <v>12</v>
      </c>
      <c r="B105" s="19">
        <v>45850</v>
      </c>
      <c r="C105" s="23"/>
      <c r="D105" s="23"/>
      <c r="E105" s="147">
        <v>3324.6640000000002</v>
      </c>
      <c r="F105" s="147">
        <v>1.6022540000000001</v>
      </c>
      <c r="G105" s="147">
        <v>1.5210300000000001</v>
      </c>
      <c r="H105" s="147">
        <v>27.302499999999998</v>
      </c>
      <c r="I105" s="148">
        <v>0.86063536093901005</v>
      </c>
      <c r="J105" s="148">
        <v>5.74565187335822E-2</v>
      </c>
      <c r="K105" s="147">
        <v>0</v>
      </c>
      <c r="L105" s="147">
        <v>15.456208333333301</v>
      </c>
      <c r="M105" s="123">
        <v>2411</v>
      </c>
    </row>
    <row r="106" spans="1:13">
      <c r="A106" s="126" t="s">
        <v>12</v>
      </c>
      <c r="B106" s="19">
        <v>45851</v>
      </c>
      <c r="C106" s="23"/>
      <c r="D106" s="23"/>
      <c r="E106" s="147">
        <v>7061.1930000000002</v>
      </c>
      <c r="F106" s="147">
        <v>3.346924</v>
      </c>
      <c r="G106" s="147">
        <v>3.186931</v>
      </c>
      <c r="H106" s="147">
        <v>28.02375</v>
      </c>
      <c r="I106" s="148">
        <v>0.87505433547294897</v>
      </c>
      <c r="J106" s="148">
        <v>0.122030848195769</v>
      </c>
      <c r="K106" s="147">
        <v>0</v>
      </c>
      <c r="L106" s="147">
        <v>17.9419583333333</v>
      </c>
      <c r="M106" s="123">
        <v>2411</v>
      </c>
    </row>
    <row r="107" spans="1:13">
      <c r="A107" s="126" t="s">
        <v>12</v>
      </c>
      <c r="B107" s="19">
        <v>45852</v>
      </c>
      <c r="C107" s="23"/>
      <c r="D107" s="23"/>
      <c r="E107" s="147">
        <v>11933.276</v>
      </c>
      <c r="F107" s="147">
        <v>5.6681689000000004</v>
      </c>
      <c r="G107" s="147">
        <v>5.4700879000000002</v>
      </c>
      <c r="H107" s="147">
        <v>26.625</v>
      </c>
      <c r="I107" s="148">
        <v>0.87321199358018498</v>
      </c>
      <c r="J107" s="148">
        <v>0.20622971104659199</v>
      </c>
      <c r="K107" s="147">
        <v>0</v>
      </c>
      <c r="L107" s="147">
        <v>20.7485416666667</v>
      </c>
      <c r="M107" s="123">
        <v>2411</v>
      </c>
    </row>
    <row r="108" spans="1:13">
      <c r="A108" s="126" t="s">
        <v>12</v>
      </c>
      <c r="B108" s="19">
        <v>45853</v>
      </c>
      <c r="C108" s="23"/>
      <c r="D108" s="23"/>
      <c r="E108" s="147">
        <v>12133</v>
      </c>
      <c r="F108" s="147">
        <v>5.7346830000000004</v>
      </c>
      <c r="G108" s="147">
        <v>5.5242069999999996</v>
      </c>
      <c r="H108" s="147">
        <v>26.00375</v>
      </c>
      <c r="I108" s="148">
        <v>0.87752918884574405</v>
      </c>
      <c r="J108" s="148">
        <v>0.20968132171989501</v>
      </c>
      <c r="K108" s="147">
        <v>0</v>
      </c>
      <c r="L108" s="147">
        <v>19.521708333333301</v>
      </c>
      <c r="M108" s="123">
        <v>2411</v>
      </c>
    </row>
    <row r="109" spans="1:13">
      <c r="A109" s="126" t="s">
        <v>12</v>
      </c>
      <c r="B109" s="19">
        <v>45854</v>
      </c>
      <c r="C109" s="23"/>
      <c r="D109" s="23"/>
      <c r="E109" s="147">
        <v>12684.93</v>
      </c>
      <c r="F109" s="147">
        <v>6.0150220000000001</v>
      </c>
      <c r="G109" s="147">
        <v>5.807385</v>
      </c>
      <c r="H109" s="147">
        <v>26.3779166666667</v>
      </c>
      <c r="I109" s="148">
        <v>0.87468895883809406</v>
      </c>
      <c r="J109" s="148">
        <v>0.21921972210700999</v>
      </c>
      <c r="K109" s="147">
        <v>0</v>
      </c>
      <c r="L109" s="147">
        <v>19.9790833333333</v>
      </c>
      <c r="M109" s="123">
        <v>2411</v>
      </c>
    </row>
    <row r="110" spans="1:13">
      <c r="A110" s="126" t="s">
        <v>12</v>
      </c>
      <c r="B110" s="19">
        <v>45855</v>
      </c>
      <c r="C110" s="23"/>
      <c r="D110" s="23"/>
      <c r="E110" s="147">
        <v>12291.44</v>
      </c>
      <c r="F110" s="147">
        <v>5.840014</v>
      </c>
      <c r="G110" s="147">
        <v>5.6354420000000003</v>
      </c>
      <c r="H110" s="147">
        <v>27.157916666666701</v>
      </c>
      <c r="I110" s="148">
        <v>0.87295461826572696</v>
      </c>
      <c r="J110" s="148">
        <v>0.21241946633485401</v>
      </c>
      <c r="K110" s="147">
        <v>0</v>
      </c>
      <c r="L110" s="147">
        <v>20.254750000000001</v>
      </c>
      <c r="M110" s="123">
        <v>2411</v>
      </c>
    </row>
    <row r="111" spans="1:13">
      <c r="A111" s="126" t="s">
        <v>12</v>
      </c>
      <c r="B111" s="19">
        <v>45856</v>
      </c>
      <c r="C111" s="23"/>
      <c r="D111" s="23"/>
      <c r="E111" s="147">
        <v>8446.393</v>
      </c>
      <c r="F111" s="147">
        <v>4.0731000000000002</v>
      </c>
      <c r="G111" s="147">
        <v>3.933694</v>
      </c>
      <c r="H111" s="147">
        <v>27.753333333333298</v>
      </c>
      <c r="I111" s="148">
        <v>0.86010010688023497</v>
      </c>
      <c r="J111" s="148">
        <v>0.145969739388912</v>
      </c>
      <c r="K111" s="147">
        <v>0</v>
      </c>
      <c r="L111" s="147">
        <v>18.343083333333301</v>
      </c>
      <c r="M111" s="123">
        <v>2411</v>
      </c>
    </row>
    <row r="112" spans="1:13">
      <c r="A112" s="126" t="s">
        <v>12</v>
      </c>
      <c r="B112" s="19">
        <v>45857</v>
      </c>
      <c r="C112" s="23"/>
      <c r="D112" s="23"/>
      <c r="E112" s="147">
        <v>8824.5679999999993</v>
      </c>
      <c r="F112" s="147">
        <v>4.1778630000000003</v>
      </c>
      <c r="G112" s="147">
        <v>4.0056130000000003</v>
      </c>
      <c r="H112" s="147">
        <v>27.417916666666699</v>
      </c>
      <c r="I112" s="148">
        <v>0.87607653669411301</v>
      </c>
      <c r="J112" s="148">
        <v>0.15250532282593701</v>
      </c>
      <c r="K112" s="147">
        <v>0</v>
      </c>
      <c r="L112" s="147">
        <v>18.355250000000002</v>
      </c>
      <c r="M112" s="123">
        <v>2411</v>
      </c>
    </row>
    <row r="113" spans="1:13">
      <c r="A113" s="126" t="s">
        <v>12</v>
      </c>
      <c r="B113" s="19">
        <v>45858</v>
      </c>
      <c r="C113" s="23"/>
      <c r="D113" s="23"/>
      <c r="E113" s="147">
        <v>8848.0300000000007</v>
      </c>
      <c r="F113" s="147">
        <v>4.1677799999999996</v>
      </c>
      <c r="G113" s="147">
        <v>3.9824350000000002</v>
      </c>
      <c r="H113" s="147">
        <v>26.487083333333299</v>
      </c>
      <c r="I113" s="148">
        <v>0.88053087727194901</v>
      </c>
      <c r="J113" s="148">
        <v>0.15291079081985301</v>
      </c>
      <c r="K113" s="147">
        <v>0</v>
      </c>
      <c r="L113" s="147">
        <v>17.867166666666702</v>
      </c>
      <c r="M113" s="123">
        <v>2411</v>
      </c>
    </row>
    <row r="114" spans="1:13">
      <c r="A114" s="126" t="s">
        <v>12</v>
      </c>
      <c r="B114" s="19">
        <v>45859</v>
      </c>
      <c r="C114" s="23"/>
      <c r="D114" s="23"/>
      <c r="E114" s="147">
        <v>7487.6859999999997</v>
      </c>
      <c r="F114" s="147">
        <v>3.5598299999999998</v>
      </c>
      <c r="G114" s="147">
        <v>3.3942109999999999</v>
      </c>
      <c r="H114" s="147">
        <v>28.827500000000001</v>
      </c>
      <c r="I114" s="148">
        <v>0.87241104384801704</v>
      </c>
      <c r="J114" s="148">
        <v>0.129401458592562</v>
      </c>
      <c r="K114" s="147">
        <v>0</v>
      </c>
      <c r="L114" s="147">
        <v>18.566791666666699</v>
      </c>
      <c r="M114" s="123">
        <v>2411</v>
      </c>
    </row>
    <row r="115" spans="1:13">
      <c r="A115" s="126" t="s">
        <v>12</v>
      </c>
      <c r="B115" s="19">
        <v>45860</v>
      </c>
      <c r="C115" s="23"/>
      <c r="D115" s="23"/>
      <c r="E115" s="147">
        <v>8507.0300000000007</v>
      </c>
      <c r="F115" s="147">
        <v>4.0392479999999997</v>
      </c>
      <c r="G115" s="147">
        <v>3.8562599999999998</v>
      </c>
      <c r="H115" s="147">
        <v>28.717083333333299</v>
      </c>
      <c r="I115" s="148">
        <v>0.87353484869011899</v>
      </c>
      <c r="J115" s="148">
        <v>0.147017662104244</v>
      </c>
      <c r="K115" s="147">
        <v>0</v>
      </c>
      <c r="L115" s="147">
        <v>18.9114583333333</v>
      </c>
      <c r="M115" s="123">
        <v>2411</v>
      </c>
    </row>
    <row r="116" spans="1:13">
      <c r="A116" s="126" t="s">
        <v>12</v>
      </c>
      <c r="B116" s="19">
        <v>45861</v>
      </c>
      <c r="C116" s="23"/>
      <c r="D116" s="23"/>
      <c r="E116" s="147">
        <v>12392.04</v>
      </c>
      <c r="F116" s="147">
        <v>5.8904500000000004</v>
      </c>
      <c r="G116" s="147">
        <v>5.6744940000000001</v>
      </c>
      <c r="H116" s="147">
        <v>27.6904166666667</v>
      </c>
      <c r="I116" s="148">
        <v>0.87256366103969996</v>
      </c>
      <c r="J116" s="148">
        <v>0.21415802571547099</v>
      </c>
      <c r="K116" s="147">
        <v>0</v>
      </c>
      <c r="L116" s="147">
        <v>20.479416666666701</v>
      </c>
      <c r="M116" s="123">
        <v>2411</v>
      </c>
    </row>
    <row r="117" spans="1:13">
      <c r="A117" s="126" t="s">
        <v>12</v>
      </c>
      <c r="B117" s="19">
        <v>45862</v>
      </c>
      <c r="C117" s="23"/>
      <c r="D117" s="23"/>
      <c r="E117" s="147">
        <v>9127.2330000000002</v>
      </c>
      <c r="F117" s="147">
        <v>4.3105419999999999</v>
      </c>
      <c r="G117" s="147">
        <v>4.1236560000000004</v>
      </c>
      <c r="H117" s="147">
        <v>26.883333333333301</v>
      </c>
      <c r="I117" s="148">
        <v>0.87823359464321005</v>
      </c>
      <c r="J117" s="148">
        <v>0.15773594981335501</v>
      </c>
      <c r="K117" s="147">
        <v>0</v>
      </c>
      <c r="L117" s="147">
        <v>18.341083333333302</v>
      </c>
      <c r="M117" s="123">
        <v>2411</v>
      </c>
    </row>
    <row r="118" spans="1:13">
      <c r="A118" s="126" t="s">
        <v>12</v>
      </c>
      <c r="B118" s="19">
        <v>45863</v>
      </c>
      <c r="C118" s="23"/>
      <c r="D118" s="23"/>
      <c r="E118" s="147">
        <v>10007.709999999999</v>
      </c>
      <c r="F118" s="147">
        <v>4.6943109999999999</v>
      </c>
      <c r="G118" s="147">
        <v>4.4999700000000002</v>
      </c>
      <c r="H118" s="147">
        <v>25.384166666666701</v>
      </c>
      <c r="I118" s="148">
        <v>0.88423080985777303</v>
      </c>
      <c r="J118" s="148">
        <v>0.17295226738559399</v>
      </c>
      <c r="K118" s="147">
        <v>0</v>
      </c>
      <c r="L118" s="147">
        <v>17.904250000000001</v>
      </c>
      <c r="M118" s="123">
        <v>2411</v>
      </c>
    </row>
    <row r="119" spans="1:13">
      <c r="A119" s="126" t="s">
        <v>12</v>
      </c>
      <c r="B119" s="19">
        <v>45864</v>
      </c>
      <c r="C119" s="23"/>
      <c r="D119" s="23"/>
      <c r="E119" s="147">
        <v>3032.0529999999999</v>
      </c>
      <c r="F119" s="147">
        <v>1.4543619999999999</v>
      </c>
      <c r="G119" s="147">
        <v>1.380673</v>
      </c>
      <c r="H119" s="147">
        <v>24.617916666666702</v>
      </c>
      <c r="I119" s="148">
        <v>0.86470318657078304</v>
      </c>
      <c r="J119" s="148">
        <v>5.2399643992810697E-2</v>
      </c>
      <c r="K119" s="147">
        <v>0</v>
      </c>
      <c r="L119" s="147">
        <v>13.9762916666667</v>
      </c>
      <c r="M119" s="123">
        <v>2411</v>
      </c>
    </row>
    <row r="120" spans="1:13">
      <c r="A120" s="126" t="s">
        <v>12</v>
      </c>
      <c r="B120" s="19">
        <v>45865</v>
      </c>
      <c r="C120" s="23"/>
      <c r="D120" s="23"/>
      <c r="E120" s="147">
        <v>3998.4479999999999</v>
      </c>
      <c r="F120" s="147">
        <v>1.9038999999999999</v>
      </c>
      <c r="G120" s="147">
        <v>1.8097129999999999</v>
      </c>
      <c r="H120" s="147">
        <v>25.995833333333302</v>
      </c>
      <c r="I120" s="148">
        <v>0.87106408598874796</v>
      </c>
      <c r="J120" s="148">
        <v>6.9100788054749104E-2</v>
      </c>
      <c r="K120" s="147">
        <v>0</v>
      </c>
      <c r="L120" s="147">
        <v>15.165125</v>
      </c>
      <c r="M120" s="123">
        <v>2411</v>
      </c>
    </row>
    <row r="121" spans="1:13">
      <c r="A121" s="126" t="s">
        <v>12</v>
      </c>
      <c r="B121" s="19">
        <v>45866</v>
      </c>
      <c r="C121" s="23"/>
      <c r="D121" s="23"/>
      <c r="E121" s="147">
        <v>1026.7809999999999</v>
      </c>
      <c r="F121" s="147">
        <v>0.54608219999999996</v>
      </c>
      <c r="G121" s="147">
        <v>0.51772030000000002</v>
      </c>
      <c r="H121" s="147">
        <v>26.2633333333333</v>
      </c>
      <c r="I121" s="148">
        <v>0.77987067967879597</v>
      </c>
      <c r="J121" s="148">
        <v>1.7744729019770498E-2</v>
      </c>
      <c r="K121" s="147">
        <v>0</v>
      </c>
      <c r="L121" s="147">
        <v>13.943875</v>
      </c>
      <c r="M121" s="123">
        <v>2411</v>
      </c>
    </row>
    <row r="122" spans="1:13">
      <c r="A122" s="126" t="s">
        <v>12</v>
      </c>
      <c r="B122" s="19">
        <v>45867</v>
      </c>
      <c r="C122" s="23"/>
      <c r="D122" s="23"/>
      <c r="E122" s="147">
        <v>13106.05</v>
      </c>
      <c r="F122" s="147">
        <v>6.2640269999999996</v>
      </c>
      <c r="G122" s="147">
        <v>6.0538540000000003</v>
      </c>
      <c r="H122" s="147">
        <v>27.8958333333333</v>
      </c>
      <c r="I122" s="148">
        <v>0.86780268415414197</v>
      </c>
      <c r="J122" s="148">
        <v>0.22649747684225099</v>
      </c>
      <c r="K122" s="147">
        <v>0</v>
      </c>
      <c r="L122" s="147">
        <v>21.1019583333333</v>
      </c>
      <c r="M122" s="123">
        <v>2411</v>
      </c>
    </row>
    <row r="123" spans="1:13">
      <c r="A123" s="126" t="s">
        <v>12</v>
      </c>
      <c r="B123" s="19">
        <v>45868</v>
      </c>
      <c r="C123" s="23"/>
      <c r="D123" s="23"/>
      <c r="E123" s="147">
        <v>5459.05</v>
      </c>
      <c r="F123" s="147">
        <v>2.5705689999999999</v>
      </c>
      <c r="G123" s="147">
        <v>2.4461490000000001</v>
      </c>
      <c r="H123" s="147">
        <v>25.667916666666699</v>
      </c>
      <c r="I123" s="148">
        <v>0.88082695389578802</v>
      </c>
      <c r="J123" s="148">
        <v>9.4342769252039299E-2</v>
      </c>
      <c r="K123" s="147">
        <v>0</v>
      </c>
      <c r="L123" s="147">
        <v>15.608083333333299</v>
      </c>
      <c r="M123" s="123">
        <v>2411</v>
      </c>
    </row>
    <row r="124" spans="1:13">
      <c r="A124" s="126" t="s">
        <v>12</v>
      </c>
      <c r="B124" s="19">
        <v>45869</v>
      </c>
      <c r="C124" s="23"/>
      <c r="D124" s="23"/>
      <c r="E124" s="147">
        <v>7804.29</v>
      </c>
      <c r="F124" s="147">
        <v>3.6882290000000002</v>
      </c>
      <c r="G124" s="147">
        <v>3.5139010000000002</v>
      </c>
      <c r="H124" s="147">
        <v>26.973749999999999</v>
      </c>
      <c r="I124" s="148">
        <v>0.87764384272725104</v>
      </c>
      <c r="J124" s="148">
        <v>0.13487297801741999</v>
      </c>
      <c r="K124" s="147">
        <v>0</v>
      </c>
      <c r="L124" s="147">
        <v>17.836749999999999</v>
      </c>
      <c r="M124" s="123">
        <v>2411</v>
      </c>
    </row>
    <row r="125" spans="1:13">
      <c r="A125" s="126" t="s">
        <v>12</v>
      </c>
      <c r="B125" s="19">
        <v>45870</v>
      </c>
      <c r="C125" s="23"/>
      <c r="D125" s="23"/>
      <c r="E125" s="147">
        <v>11184.76</v>
      </c>
      <c r="F125" s="147">
        <v>5.2768660000000001</v>
      </c>
      <c r="G125" s="147">
        <v>5.0714600000000001</v>
      </c>
      <c r="H125" s="147">
        <v>26.495416666666699</v>
      </c>
      <c r="I125" s="148">
        <v>0.87913059272324201</v>
      </c>
      <c r="J125" s="148">
        <v>0.19329393059587999</v>
      </c>
      <c r="K125" s="147">
        <v>0</v>
      </c>
      <c r="L125" s="147">
        <v>19.105333333333299</v>
      </c>
      <c r="M125" s="123">
        <v>2411</v>
      </c>
    </row>
    <row r="126" spans="1:13">
      <c r="A126" s="126" t="s">
        <v>12</v>
      </c>
      <c r="B126" s="19">
        <v>45871</v>
      </c>
      <c r="C126" s="23"/>
      <c r="D126" s="23"/>
      <c r="E126" s="147">
        <v>6841.723</v>
      </c>
      <c r="F126" s="147">
        <v>3.2256230000000001</v>
      </c>
      <c r="G126" s="147">
        <v>3.0729099999999998</v>
      </c>
      <c r="H126" s="147">
        <v>26.255416666666701</v>
      </c>
      <c r="I126" s="148">
        <v>0.87974066959099195</v>
      </c>
      <c r="J126" s="148">
        <v>0.118237989077838</v>
      </c>
      <c r="K126" s="147">
        <v>0</v>
      </c>
      <c r="L126" s="147">
        <v>16.764875</v>
      </c>
      <c r="M126" s="123">
        <v>2411</v>
      </c>
    </row>
    <row r="127" spans="1:13">
      <c r="A127" s="126" t="s">
        <v>12</v>
      </c>
      <c r="B127" s="19">
        <v>45872</v>
      </c>
      <c r="C127" s="23"/>
      <c r="D127" s="23"/>
      <c r="E127" s="147">
        <v>9993.44</v>
      </c>
      <c r="F127" s="147">
        <v>4.69008</v>
      </c>
      <c r="G127" s="147">
        <v>4.5078269999999998</v>
      </c>
      <c r="H127" s="147">
        <v>25.2529166666667</v>
      </c>
      <c r="I127" s="148">
        <v>0.88376652665265898</v>
      </c>
      <c r="J127" s="148">
        <v>0.17270565463846299</v>
      </c>
      <c r="K127" s="147">
        <v>0</v>
      </c>
      <c r="L127" s="147">
        <v>17.736333333333299</v>
      </c>
      <c r="M127" s="123">
        <v>2411</v>
      </c>
    </row>
    <row r="128" spans="1:13">
      <c r="A128" s="126" t="s">
        <v>12</v>
      </c>
      <c r="B128" s="19">
        <v>45873</v>
      </c>
      <c r="C128" s="23"/>
      <c r="D128" s="23"/>
      <c r="E128" s="147">
        <v>4193.4059999999999</v>
      </c>
      <c r="F128" s="147">
        <v>1.9865699999999999</v>
      </c>
      <c r="G128" s="147">
        <v>1.8892960000000001</v>
      </c>
      <c r="H128" s="147">
        <v>24.565000000000001</v>
      </c>
      <c r="I128" s="148">
        <v>0.87551951169607001</v>
      </c>
      <c r="J128" s="148">
        <v>7.2470033181252599E-2</v>
      </c>
      <c r="K128" s="147">
        <v>0</v>
      </c>
      <c r="L128" s="147">
        <v>14.6365</v>
      </c>
      <c r="M128" s="123">
        <v>2411</v>
      </c>
    </row>
    <row r="129" spans="1:13">
      <c r="A129" s="126" t="s">
        <v>12</v>
      </c>
      <c r="B129" s="19">
        <v>45874</v>
      </c>
      <c r="C129" s="23"/>
      <c r="D129" s="23"/>
      <c r="E129" s="147">
        <v>10106.09</v>
      </c>
      <c r="F129" s="147">
        <v>4.7685329999999997</v>
      </c>
      <c r="G129" s="147">
        <v>4.5737860000000001</v>
      </c>
      <c r="H129" s="147">
        <v>26.193750000000001</v>
      </c>
      <c r="I129" s="148">
        <v>0.87902486207594999</v>
      </c>
      <c r="J129" s="148">
        <v>0.17465246094290099</v>
      </c>
      <c r="K129" s="147">
        <v>0</v>
      </c>
      <c r="L129" s="147">
        <v>18.585125000000001</v>
      </c>
      <c r="M129" s="123">
        <v>2411</v>
      </c>
    </row>
    <row r="130" spans="1:13">
      <c r="A130" s="126" t="s">
        <v>12</v>
      </c>
      <c r="B130" s="19">
        <v>45875</v>
      </c>
      <c r="C130" s="23"/>
      <c r="D130" s="23"/>
      <c r="E130" s="147">
        <v>11922.49</v>
      </c>
      <c r="F130" s="147">
        <v>5.6506449999999999</v>
      </c>
      <c r="G130" s="147">
        <v>5.4476690000000003</v>
      </c>
      <c r="H130" s="147">
        <v>25.7916666666667</v>
      </c>
      <c r="I130" s="148">
        <v>0.87512830884570803</v>
      </c>
      <c r="J130" s="148">
        <v>0.20604330844739399</v>
      </c>
      <c r="K130" s="147">
        <v>0</v>
      </c>
      <c r="L130" s="147">
        <v>19.145499999999998</v>
      </c>
      <c r="M130" s="123">
        <v>2411</v>
      </c>
    </row>
    <row r="131" spans="1:13">
      <c r="A131" s="126" t="s">
        <v>12</v>
      </c>
      <c r="B131" s="19">
        <v>45876</v>
      </c>
      <c r="C131" s="23"/>
      <c r="D131" s="23"/>
      <c r="E131" s="147">
        <v>5309.99</v>
      </c>
      <c r="F131" s="147">
        <v>2.5053857000000002</v>
      </c>
      <c r="G131" s="147">
        <v>2.3877193999999999</v>
      </c>
      <c r="H131" s="147">
        <v>25.394166666666699</v>
      </c>
      <c r="I131" s="148">
        <v>0.87906684114799905</v>
      </c>
      <c r="J131" s="148">
        <v>9.1766728881515297E-2</v>
      </c>
      <c r="K131" s="147">
        <v>0</v>
      </c>
      <c r="L131" s="147">
        <v>15.436541666666701</v>
      </c>
      <c r="M131" s="123">
        <v>2411</v>
      </c>
    </row>
    <row r="132" spans="1:13">
      <c r="A132" s="126" t="s">
        <v>12</v>
      </c>
      <c r="B132" s="19">
        <v>45877</v>
      </c>
      <c r="C132" s="23"/>
      <c r="D132" s="23"/>
      <c r="E132" s="147">
        <v>4684.1859999999997</v>
      </c>
      <c r="F132" s="147">
        <v>2.2185079999999999</v>
      </c>
      <c r="G132" s="147">
        <v>2.1103670000000001</v>
      </c>
      <c r="H132" s="147">
        <v>26.1354166666667</v>
      </c>
      <c r="I132" s="148">
        <v>0.87574148287524101</v>
      </c>
      <c r="J132" s="148">
        <v>8.0951645237107697E-2</v>
      </c>
      <c r="K132" s="147">
        <v>0</v>
      </c>
      <c r="L132" s="147">
        <v>15.592916666666699</v>
      </c>
      <c r="M132" s="123">
        <v>2411</v>
      </c>
    </row>
    <row r="133" spans="1:13">
      <c r="A133" s="126" t="s">
        <v>12</v>
      </c>
      <c r="B133" s="19">
        <v>45878</v>
      </c>
      <c r="C133" s="23"/>
      <c r="D133" s="23"/>
      <c r="E133" s="147">
        <v>10891.46</v>
      </c>
      <c r="F133" s="147">
        <v>5.1492519999999997</v>
      </c>
      <c r="G133" s="147">
        <v>4.9451689999999999</v>
      </c>
      <c r="H133" s="147">
        <v>25.997499999999999</v>
      </c>
      <c r="I133" s="148">
        <v>0.87729316160573501</v>
      </c>
      <c r="J133" s="148">
        <v>0.18822514862436099</v>
      </c>
      <c r="K133" s="147">
        <v>0</v>
      </c>
      <c r="L133" s="147">
        <v>18.709499999999998</v>
      </c>
      <c r="M133" s="123">
        <v>2411</v>
      </c>
    </row>
    <row r="134" spans="1:13">
      <c r="A134" s="126" t="s">
        <v>12</v>
      </c>
      <c r="B134" s="19">
        <v>45879</v>
      </c>
      <c r="C134" s="23"/>
      <c r="D134" s="23"/>
      <c r="E134" s="147">
        <v>12735.44</v>
      </c>
      <c r="F134" s="147">
        <v>6.0610350000000004</v>
      </c>
      <c r="G134" s="147">
        <v>5.8548439999999999</v>
      </c>
      <c r="H134" s="147">
        <v>26.612083333333299</v>
      </c>
      <c r="I134" s="148">
        <v>0.87150513797126805</v>
      </c>
      <c r="J134" s="148">
        <v>0.22009263099682</v>
      </c>
      <c r="K134" s="147">
        <v>0</v>
      </c>
      <c r="L134" s="147">
        <v>20.184083333333302</v>
      </c>
      <c r="M134" s="123">
        <v>2411</v>
      </c>
    </row>
    <row r="135" spans="1:13">
      <c r="A135" s="126" t="s">
        <v>12</v>
      </c>
      <c r="B135" s="19">
        <v>45880</v>
      </c>
      <c r="C135" s="23"/>
      <c r="D135" s="23"/>
      <c r="E135" s="147">
        <v>6231.4760999999999</v>
      </c>
      <c r="F135" s="147">
        <v>2.9433582</v>
      </c>
      <c r="G135" s="147">
        <v>2.8119824000000002</v>
      </c>
      <c r="H135" s="147">
        <v>26.827083333333299</v>
      </c>
      <c r="I135" s="148">
        <v>0.87811340162781304</v>
      </c>
      <c r="J135" s="148">
        <v>0.10769176171713001</v>
      </c>
      <c r="K135" s="147">
        <v>0</v>
      </c>
      <c r="L135" s="147">
        <v>16.733958333333302</v>
      </c>
      <c r="M135" s="123">
        <v>2411</v>
      </c>
    </row>
    <row r="136" spans="1:13">
      <c r="A136" s="126" t="s">
        <v>12</v>
      </c>
      <c r="B136" s="19">
        <v>45881</v>
      </c>
      <c r="C136" s="23"/>
      <c r="D136" s="23"/>
      <c r="E136" s="147">
        <v>9466.2800000000007</v>
      </c>
      <c r="F136" s="147">
        <v>4.4857300000000002</v>
      </c>
      <c r="G136" s="147">
        <v>4.301704</v>
      </c>
      <c r="H136" s="147">
        <v>27.255416666666701</v>
      </c>
      <c r="I136" s="148">
        <v>0.87528403344968098</v>
      </c>
      <c r="J136" s="148">
        <v>0.163595326973593</v>
      </c>
      <c r="K136" s="147">
        <v>0</v>
      </c>
      <c r="L136" s="147">
        <v>18.7105833333333</v>
      </c>
      <c r="M136" s="123">
        <v>2411</v>
      </c>
    </row>
    <row r="137" spans="1:13">
      <c r="A137" s="126" t="s">
        <v>12</v>
      </c>
      <c r="B137" s="19">
        <v>45882</v>
      </c>
      <c r="C137" s="23"/>
      <c r="D137" s="23"/>
      <c r="E137" s="147">
        <v>10001.120000000001</v>
      </c>
      <c r="F137" s="147">
        <v>4.7366630000000001</v>
      </c>
      <c r="G137" s="147">
        <v>4.5469559999999998</v>
      </c>
      <c r="H137" s="147">
        <v>26.782083333333301</v>
      </c>
      <c r="I137" s="148">
        <v>0.87574756987608404</v>
      </c>
      <c r="J137" s="148">
        <v>0.172838379648832</v>
      </c>
      <c r="K137" s="147">
        <v>0</v>
      </c>
      <c r="L137" s="147">
        <v>18.745416666666699</v>
      </c>
      <c r="M137" s="123">
        <v>2411</v>
      </c>
    </row>
    <row r="138" spans="1:13">
      <c r="A138" s="126" t="s">
        <v>12</v>
      </c>
      <c r="B138" s="19">
        <v>45883</v>
      </c>
      <c r="C138" s="23"/>
      <c r="D138" s="23"/>
      <c r="E138" s="147">
        <v>11929.51</v>
      </c>
      <c r="F138" s="147">
        <v>5.688898</v>
      </c>
      <c r="G138" s="147">
        <v>5.4844600000000003</v>
      </c>
      <c r="H138" s="147">
        <v>27.344583333333301</v>
      </c>
      <c r="I138" s="148">
        <v>0.86975562888496605</v>
      </c>
      <c r="J138" s="148">
        <v>0.206164627402184</v>
      </c>
      <c r="K138" s="147">
        <v>0</v>
      </c>
      <c r="L138" s="147">
        <v>20.167583333333301</v>
      </c>
      <c r="M138" s="123">
        <v>2411</v>
      </c>
    </row>
    <row r="139" spans="1:13">
      <c r="A139" s="126" t="s">
        <v>12</v>
      </c>
      <c r="B139" s="19">
        <v>45884</v>
      </c>
      <c r="C139" s="23"/>
      <c r="D139" s="23"/>
      <c r="E139" s="147">
        <v>9565.2099999999991</v>
      </c>
      <c r="F139" s="147">
        <v>4.5216390000000004</v>
      </c>
      <c r="G139" s="147">
        <v>4.3298800000000002</v>
      </c>
      <c r="H139" s="147">
        <v>27.082083333333301</v>
      </c>
      <c r="I139" s="148">
        <v>0.87740764219637402</v>
      </c>
      <c r="J139" s="148">
        <v>0.16530502557721599</v>
      </c>
      <c r="K139" s="147">
        <v>0</v>
      </c>
      <c r="L139" s="147">
        <v>18.562083333333302</v>
      </c>
      <c r="M139" s="123">
        <v>2411</v>
      </c>
    </row>
    <row r="140" spans="1:13">
      <c r="A140" s="126" t="s">
        <v>12</v>
      </c>
      <c r="B140" s="19">
        <v>45885</v>
      </c>
      <c r="C140" s="23"/>
      <c r="D140" s="23"/>
      <c r="E140" s="147">
        <v>7942.76</v>
      </c>
      <c r="F140" s="147">
        <v>3.7859050000000001</v>
      </c>
      <c r="G140" s="147">
        <v>3.6148570000000002</v>
      </c>
      <c r="H140" s="147">
        <v>27.1504166666667</v>
      </c>
      <c r="I140" s="148">
        <v>0.870170823884581</v>
      </c>
      <c r="J140" s="148">
        <v>0.13726600304161499</v>
      </c>
      <c r="K140" s="147">
        <v>0</v>
      </c>
      <c r="L140" s="147">
        <v>17.904166666666701</v>
      </c>
      <c r="M140" s="123">
        <v>2411</v>
      </c>
    </row>
    <row r="141" spans="1:13">
      <c r="A141" s="126" t="s">
        <v>12</v>
      </c>
      <c r="B141" s="19">
        <v>45886</v>
      </c>
      <c r="C141" s="23"/>
      <c r="D141" s="23"/>
      <c r="E141" s="147">
        <v>13908.66</v>
      </c>
      <c r="F141" s="147">
        <v>6.6878169999999999</v>
      </c>
      <c r="G141" s="147">
        <v>6.4732099999999999</v>
      </c>
      <c r="H141" s="147">
        <v>27.598749999999999</v>
      </c>
      <c r="I141" s="148">
        <v>0.86258857090478103</v>
      </c>
      <c r="J141" s="148">
        <v>0.24036810452094601</v>
      </c>
      <c r="K141" s="147">
        <v>0</v>
      </c>
      <c r="L141" s="147">
        <v>21.446874999999999</v>
      </c>
      <c r="M141" s="123">
        <v>2411</v>
      </c>
    </row>
    <row r="142" spans="1:13">
      <c r="A142" s="126" t="s">
        <v>12</v>
      </c>
      <c r="B142" s="19">
        <v>45887</v>
      </c>
      <c r="C142" s="23"/>
      <c r="D142" s="23"/>
      <c r="E142" s="147">
        <v>3790.33</v>
      </c>
      <c r="F142" s="147">
        <v>6.9870020000000004</v>
      </c>
      <c r="G142" s="147">
        <v>6.7662430000000002</v>
      </c>
      <c r="H142" s="147">
        <v>28.5029166666667</v>
      </c>
      <c r="I142" s="148">
        <v>0.22500332964359601</v>
      </c>
      <c r="J142" s="148">
        <v>6.5504113092769295E-2</v>
      </c>
      <c r="K142" s="147">
        <v>0</v>
      </c>
      <c r="L142" s="147">
        <v>22.196874999999999</v>
      </c>
      <c r="M142" s="123">
        <v>2411</v>
      </c>
    </row>
    <row r="143" spans="1:13">
      <c r="A143" s="126" t="s">
        <v>12</v>
      </c>
      <c r="B143" s="19">
        <v>45888</v>
      </c>
      <c r="C143" s="23"/>
      <c r="D143" s="23"/>
      <c r="E143" s="147">
        <v>3197.8220000000001</v>
      </c>
      <c r="F143" s="147">
        <v>2.4099729999999999</v>
      </c>
      <c r="G143" s="147">
        <v>2.29352</v>
      </c>
      <c r="H143" s="147">
        <v>28.609583333333301</v>
      </c>
      <c r="I143" s="148">
        <v>0.55035751192631199</v>
      </c>
      <c r="J143" s="148">
        <v>5.5264447670399598E-2</v>
      </c>
      <c r="K143" s="147">
        <v>0</v>
      </c>
      <c r="L143" s="147">
        <v>16.9761666666667</v>
      </c>
      <c r="M143" s="123">
        <v>2411</v>
      </c>
    </row>
    <row r="144" spans="1:13">
      <c r="A144" s="126" t="s">
        <v>12</v>
      </c>
      <c r="B144" s="19">
        <v>45889</v>
      </c>
      <c r="C144" s="23"/>
      <c r="D144" s="23"/>
      <c r="E144" s="147">
        <v>7283.4830000000002</v>
      </c>
      <c r="F144" s="147">
        <v>3.4497749999999998</v>
      </c>
      <c r="G144" s="147">
        <v>3.2888959999999998</v>
      </c>
      <c r="H144" s="147">
        <v>27.852499999999999</v>
      </c>
      <c r="I144" s="148">
        <v>0.875691491382106</v>
      </c>
      <c r="J144" s="148">
        <v>0.12587244227844599</v>
      </c>
      <c r="K144" s="147">
        <v>0</v>
      </c>
      <c r="L144" s="147">
        <v>17.714791666666699</v>
      </c>
      <c r="M144" s="123">
        <v>2411</v>
      </c>
    </row>
    <row r="145" spans="1:13">
      <c r="A145" s="126" t="s">
        <v>12</v>
      </c>
      <c r="B145" s="19">
        <v>45890</v>
      </c>
      <c r="C145" s="23"/>
      <c r="D145" s="23"/>
      <c r="E145" s="147">
        <v>2446.0450000000001</v>
      </c>
      <c r="F145" s="147">
        <v>1.1984220000000001</v>
      </c>
      <c r="G145" s="147">
        <v>1.138056</v>
      </c>
      <c r="H145" s="147">
        <v>26.899166666666702</v>
      </c>
      <c r="I145" s="148">
        <v>0.846559444389128</v>
      </c>
      <c r="J145" s="148">
        <v>4.2272310935987802E-2</v>
      </c>
      <c r="K145" s="147">
        <v>0</v>
      </c>
      <c r="L145" s="147">
        <v>14.779583333333299</v>
      </c>
      <c r="M145" s="123">
        <v>2411</v>
      </c>
    </row>
    <row r="146" spans="1:13">
      <c r="A146" s="126" t="s">
        <v>12</v>
      </c>
      <c r="B146" s="19">
        <v>45891</v>
      </c>
      <c r="C146" s="23"/>
      <c r="D146" s="23"/>
      <c r="E146" s="147">
        <v>5360.2</v>
      </c>
      <c r="F146" s="147">
        <v>2.5504929999999999</v>
      </c>
      <c r="G146" s="147">
        <v>2.4419900000000001</v>
      </c>
      <c r="H146" s="147">
        <v>26.56625</v>
      </c>
      <c r="I146" s="148">
        <v>0.87168515138626201</v>
      </c>
      <c r="J146" s="148">
        <v>9.2634453200608299E-2</v>
      </c>
      <c r="K146" s="147">
        <v>0</v>
      </c>
      <c r="L146" s="147">
        <v>16.226666666666699</v>
      </c>
      <c r="M146" s="123">
        <v>2411</v>
      </c>
    </row>
    <row r="147" spans="1:13">
      <c r="A147" s="126" t="s">
        <v>12</v>
      </c>
      <c r="B147" s="19">
        <v>45892</v>
      </c>
      <c r="C147" s="23"/>
      <c r="D147" s="23"/>
      <c r="E147" s="147">
        <v>8189.9250000000002</v>
      </c>
      <c r="F147" s="147">
        <v>3.9040720000000002</v>
      </c>
      <c r="G147" s="147">
        <v>3.7481119999999999</v>
      </c>
      <c r="H147" s="147">
        <v>26.952916666666699</v>
      </c>
      <c r="I147" s="148">
        <v>0.87009143958177704</v>
      </c>
      <c r="J147" s="148">
        <v>0.141537484446288</v>
      </c>
      <c r="K147" s="147">
        <v>0</v>
      </c>
      <c r="L147" s="147">
        <v>16.8563333333333</v>
      </c>
      <c r="M147" s="123">
        <v>2411</v>
      </c>
    </row>
    <row r="148" spans="1:13">
      <c r="A148" s="126" t="s">
        <v>12</v>
      </c>
      <c r="B148" s="19">
        <v>45893</v>
      </c>
      <c r="C148" s="23"/>
      <c r="D148" s="23"/>
      <c r="E148" s="147">
        <v>13922.03</v>
      </c>
      <c r="F148" s="147">
        <v>6.6964920000000001</v>
      </c>
      <c r="G148" s="147">
        <v>6.4827409999999999</v>
      </c>
      <c r="H148" s="147">
        <v>27.513750000000002</v>
      </c>
      <c r="I148" s="148">
        <v>0.86229923448608403</v>
      </c>
      <c r="J148" s="148">
        <v>0.24059916355592401</v>
      </c>
      <c r="K148" s="147">
        <v>0</v>
      </c>
      <c r="L148" s="147">
        <v>21.384333333333299</v>
      </c>
      <c r="M148" s="123">
        <v>2411</v>
      </c>
    </row>
    <row r="149" spans="1:13">
      <c r="A149" s="126" t="s">
        <v>12</v>
      </c>
      <c r="B149" s="19">
        <v>45894</v>
      </c>
      <c r="C149" s="23"/>
      <c r="D149" s="23"/>
      <c r="E149" s="147">
        <v>12147.01</v>
      </c>
      <c r="F149" s="147">
        <v>5.8139890000000003</v>
      </c>
      <c r="G149" s="147">
        <v>5.6047310000000001</v>
      </c>
      <c r="H149" s="147">
        <v>28.1808333333333</v>
      </c>
      <c r="I149" s="148">
        <v>0.86655867221931504</v>
      </c>
      <c r="J149" s="148">
        <v>0.209923441172404</v>
      </c>
      <c r="K149" s="147">
        <v>0</v>
      </c>
      <c r="L149" s="147">
        <v>20.624708333333299</v>
      </c>
      <c r="M149" s="123">
        <v>2411</v>
      </c>
    </row>
    <row r="150" spans="1:13">
      <c r="A150" s="126" t="s">
        <v>12</v>
      </c>
      <c r="B150" s="19">
        <v>45895</v>
      </c>
      <c r="C150" s="23"/>
      <c r="D150" s="23"/>
      <c r="E150" s="147">
        <v>9202.3060000000005</v>
      </c>
      <c r="F150" s="147">
        <v>4.3644749999999997</v>
      </c>
      <c r="G150" s="147">
        <v>4.1825150000000004</v>
      </c>
      <c r="H150" s="147">
        <v>27.696249999999999</v>
      </c>
      <c r="I150" s="148">
        <v>0.87451537646997402</v>
      </c>
      <c r="J150" s="148">
        <v>0.15903335407161601</v>
      </c>
      <c r="K150" s="147">
        <v>0</v>
      </c>
      <c r="L150" s="147">
        <v>18.729791666666699</v>
      </c>
      <c r="M150" s="123">
        <v>2411</v>
      </c>
    </row>
    <row r="151" spans="1:13">
      <c r="A151" s="126" t="s">
        <v>12</v>
      </c>
      <c r="B151" s="19">
        <v>45896</v>
      </c>
      <c r="C151" s="23"/>
      <c r="D151" s="23"/>
      <c r="E151" s="147">
        <v>11425.48</v>
      </c>
      <c r="F151" s="147">
        <v>5.474075</v>
      </c>
      <c r="G151" s="147">
        <v>5.2717489999999998</v>
      </c>
      <c r="H151" s="147">
        <v>28.328749999999999</v>
      </c>
      <c r="I151" s="148">
        <v>0.86569817244946501</v>
      </c>
      <c r="J151" s="148">
        <v>0.197454030139638</v>
      </c>
      <c r="K151" s="147">
        <v>0</v>
      </c>
      <c r="L151" s="147">
        <v>20.318249999999999</v>
      </c>
      <c r="M151" s="123">
        <v>2411</v>
      </c>
    </row>
    <row r="152" spans="1:13">
      <c r="A152" s="126" t="s">
        <v>12</v>
      </c>
      <c r="B152" s="19">
        <v>45897</v>
      </c>
      <c r="C152" s="23"/>
      <c r="D152" s="23"/>
      <c r="E152" s="147">
        <v>5336.5290000000005</v>
      </c>
      <c r="F152" s="147">
        <v>2.5383830000000001</v>
      </c>
      <c r="G152" s="147">
        <v>2.4162020000000002</v>
      </c>
      <c r="H152" s="147">
        <v>27.958749999999998</v>
      </c>
      <c r="I152" s="148">
        <v>0.87197596223194096</v>
      </c>
      <c r="J152" s="148">
        <v>9.2225373289091694E-2</v>
      </c>
      <c r="K152" s="147">
        <v>0</v>
      </c>
      <c r="L152" s="147">
        <v>16.773541666666699</v>
      </c>
      <c r="M152" s="123">
        <v>2411</v>
      </c>
    </row>
    <row r="153" spans="1:13">
      <c r="A153" s="126" t="s">
        <v>12</v>
      </c>
      <c r="B153" s="19">
        <v>45898</v>
      </c>
      <c r="C153" s="23"/>
      <c r="D153" s="23"/>
      <c r="E153" s="147">
        <v>9050.5400000000009</v>
      </c>
      <c r="F153" s="147">
        <v>4.299029</v>
      </c>
      <c r="G153" s="147">
        <v>4.1220119999999998</v>
      </c>
      <c r="H153" s="147">
        <v>27.779166666666701</v>
      </c>
      <c r="I153" s="148">
        <v>0.87318628763780803</v>
      </c>
      <c r="J153" s="148">
        <v>0.15641054887322001</v>
      </c>
      <c r="K153" s="147">
        <v>0</v>
      </c>
      <c r="L153" s="147">
        <v>18.684208333333299</v>
      </c>
      <c r="M153" s="123">
        <v>2411</v>
      </c>
    </row>
    <row r="154" spans="1:13">
      <c r="A154" s="126" t="s">
        <v>12</v>
      </c>
      <c r="B154" s="19">
        <v>45899</v>
      </c>
      <c r="C154" s="23"/>
      <c r="D154" s="23"/>
      <c r="E154" s="147">
        <v>5557.5159999999996</v>
      </c>
      <c r="F154" s="147">
        <v>2.643656</v>
      </c>
      <c r="G154" s="147">
        <v>2.5172469999999998</v>
      </c>
      <c r="H154" s="147">
        <v>27.886666666666699</v>
      </c>
      <c r="I154" s="148">
        <v>0.87192387257299797</v>
      </c>
      <c r="J154" s="148">
        <v>9.60444490529518E-2</v>
      </c>
      <c r="K154" s="147">
        <v>0</v>
      </c>
      <c r="L154" s="147">
        <v>16.954708333333301</v>
      </c>
      <c r="M154" s="123">
        <v>2411</v>
      </c>
    </row>
    <row r="155" spans="1:13">
      <c r="A155" s="126" t="s">
        <v>12</v>
      </c>
      <c r="B155" s="19">
        <v>45900</v>
      </c>
      <c r="C155" s="23"/>
      <c r="D155" s="23"/>
      <c r="E155" s="147">
        <v>13564.501</v>
      </c>
      <c r="F155" s="147">
        <v>6.5661639999999997</v>
      </c>
      <c r="G155" s="147">
        <v>6.3548390000000001</v>
      </c>
      <c r="H155" s="147">
        <v>29.0870833333333</v>
      </c>
      <c r="I155" s="148">
        <v>0.85683043777407097</v>
      </c>
      <c r="J155" s="148">
        <v>0.23442038227568099</v>
      </c>
      <c r="K155" s="147">
        <v>0</v>
      </c>
      <c r="L155" s="147">
        <v>22.0692083333333</v>
      </c>
      <c r="M155" s="123">
        <v>2411</v>
      </c>
    </row>
    <row r="156" spans="1:13">
      <c r="A156" s="126" t="s">
        <v>12</v>
      </c>
      <c r="B156" s="19">
        <v>45901</v>
      </c>
      <c r="C156" s="23"/>
      <c r="D156" s="23"/>
      <c r="E156" s="147">
        <v>8715.84</v>
      </c>
      <c r="F156" s="147">
        <v>4.1510819999999997</v>
      </c>
      <c r="G156" s="147">
        <v>3.9714860000000001</v>
      </c>
      <c r="H156" s="147">
        <v>28.907916666666701</v>
      </c>
      <c r="I156" s="148">
        <v>0.87086477873101598</v>
      </c>
      <c r="J156" s="148">
        <v>0.150626296142679</v>
      </c>
      <c r="K156" s="147">
        <v>0</v>
      </c>
      <c r="L156" s="147">
        <v>19.109708333333302</v>
      </c>
      <c r="M156" s="123">
        <v>2411</v>
      </c>
    </row>
    <row r="157" spans="1:13">
      <c r="A157" s="126" t="s">
        <v>12</v>
      </c>
      <c r="B157" s="19">
        <v>45902</v>
      </c>
      <c r="C157" s="23"/>
      <c r="D157" s="23"/>
      <c r="E157" s="147">
        <v>11496.102999999999</v>
      </c>
      <c r="F157" s="147">
        <v>5.5259770000000001</v>
      </c>
      <c r="G157" s="147">
        <v>5.3286360000000004</v>
      </c>
      <c r="H157" s="147">
        <v>29.112500000000001</v>
      </c>
      <c r="I157" s="148">
        <v>0.86286799933733305</v>
      </c>
      <c r="J157" s="148">
        <v>0.19867452993225501</v>
      </c>
      <c r="K157" s="147">
        <v>0</v>
      </c>
      <c r="L157" s="147">
        <v>20.832750000000001</v>
      </c>
      <c r="M157" s="123">
        <v>2411</v>
      </c>
    </row>
    <row r="158" spans="1:13">
      <c r="A158" s="126" t="s">
        <v>12</v>
      </c>
      <c r="B158" s="19">
        <v>45903</v>
      </c>
      <c r="C158" s="23"/>
      <c r="D158" s="23"/>
      <c r="E158" s="147">
        <v>9961.5349999999999</v>
      </c>
      <c r="F158" s="147">
        <v>4.7827539999999997</v>
      </c>
      <c r="G158" s="147">
        <v>4.5980629999999998</v>
      </c>
      <c r="H158" s="147">
        <v>29.3058333333333</v>
      </c>
      <c r="I158" s="148">
        <v>0.86387520935085504</v>
      </c>
      <c r="J158" s="148">
        <v>0.172154275542652</v>
      </c>
      <c r="K158" s="147">
        <v>0</v>
      </c>
      <c r="L158" s="147">
        <v>20.247</v>
      </c>
      <c r="M158" s="123">
        <v>2411</v>
      </c>
    </row>
    <row r="159" spans="1:13">
      <c r="A159" s="126" t="s">
        <v>12</v>
      </c>
      <c r="B159" s="19">
        <v>45904</v>
      </c>
      <c r="C159" s="23"/>
      <c r="D159" s="23"/>
      <c r="E159" s="147">
        <v>-23.46</v>
      </c>
      <c r="F159" s="147">
        <v>6.4622979999999997</v>
      </c>
      <c r="G159" s="147">
        <v>6.2599429999999998</v>
      </c>
      <c r="H159" s="147">
        <v>30.2745833333333</v>
      </c>
      <c r="I159" s="148">
        <v>-1.50571860392196E-3</v>
      </c>
      <c r="J159" s="148">
        <v>-4.0543343011198701E-4</v>
      </c>
      <c r="K159" s="147">
        <v>0</v>
      </c>
      <c r="L159" s="147">
        <v>22.7582916666667</v>
      </c>
      <c r="M159" s="123">
        <v>2411</v>
      </c>
    </row>
    <row r="160" spans="1:13">
      <c r="A160" s="126" t="s">
        <v>12</v>
      </c>
      <c r="B160" s="19">
        <v>45905</v>
      </c>
      <c r="C160" s="23"/>
      <c r="D160" s="23"/>
      <c r="E160" s="147">
        <v>14146.609</v>
      </c>
      <c r="F160" s="147">
        <v>6.8925049999999999</v>
      </c>
      <c r="G160" s="147">
        <v>6.6825000000000001</v>
      </c>
      <c r="H160" s="147">
        <v>29.805416666666702</v>
      </c>
      <c r="I160" s="148">
        <v>0.85129101566356802</v>
      </c>
      <c r="J160" s="148">
        <v>0.24448031591317601</v>
      </c>
      <c r="K160" s="147">
        <v>0</v>
      </c>
      <c r="L160" s="147">
        <v>22.845541666666701</v>
      </c>
      <c r="M160" s="123">
        <v>2411</v>
      </c>
    </row>
    <row r="161" spans="1:13">
      <c r="A161" s="126" t="s">
        <v>12</v>
      </c>
      <c r="B161" s="19">
        <v>45906</v>
      </c>
      <c r="C161" s="23"/>
      <c r="D161" s="23"/>
      <c r="E161" s="147">
        <v>7327.1959999999999</v>
      </c>
      <c r="F161" s="147">
        <v>3.4836770000000001</v>
      </c>
      <c r="G161" s="147">
        <v>3.3299020000000001</v>
      </c>
      <c r="H161" s="147">
        <v>28.637916666666701</v>
      </c>
      <c r="I161" s="148">
        <v>0.87237400765478201</v>
      </c>
      <c r="J161" s="148">
        <v>0.12662788607769901</v>
      </c>
      <c r="K161" s="147">
        <v>0</v>
      </c>
      <c r="L161" s="147">
        <v>18.338083333333302</v>
      </c>
      <c r="M161" s="123">
        <v>2411</v>
      </c>
    </row>
    <row r="162" spans="1:13">
      <c r="A162" s="126" t="s">
        <v>12</v>
      </c>
      <c r="B162" s="19">
        <v>45907</v>
      </c>
      <c r="C162" s="23"/>
      <c r="D162" s="23"/>
      <c r="E162" s="147">
        <v>11111.189</v>
      </c>
      <c r="F162" s="147">
        <v>5.283919</v>
      </c>
      <c r="G162" s="147">
        <v>5.0861539999999996</v>
      </c>
      <c r="H162" s="147">
        <v>27.37125</v>
      </c>
      <c r="I162" s="148">
        <v>0.87218210765916004</v>
      </c>
      <c r="J162" s="148">
        <v>0.19202248375501199</v>
      </c>
      <c r="K162" s="147">
        <v>0</v>
      </c>
      <c r="L162" s="147">
        <v>19.8429583333333</v>
      </c>
      <c r="M162" s="123">
        <v>2411</v>
      </c>
    </row>
    <row r="163" spans="1:13">
      <c r="A163" s="126" t="s">
        <v>12</v>
      </c>
      <c r="B163" s="19">
        <v>45908</v>
      </c>
      <c r="C163" s="23"/>
      <c r="D163" s="23"/>
      <c r="E163" s="147">
        <v>13243.706</v>
      </c>
      <c r="F163" s="147">
        <v>6.3072520000000001</v>
      </c>
      <c r="G163" s="147">
        <v>6.1045170000000004</v>
      </c>
      <c r="H163" s="147">
        <v>25.5341666666667</v>
      </c>
      <c r="I163" s="148">
        <v>0.87090771473052997</v>
      </c>
      <c r="J163" s="148">
        <v>0.22887643439789901</v>
      </c>
      <c r="K163" s="147">
        <v>0</v>
      </c>
      <c r="L163" s="147">
        <v>19.8637083333333</v>
      </c>
      <c r="M163" s="123">
        <v>2411</v>
      </c>
    </row>
    <row r="164" spans="1:13">
      <c r="A164" s="126" t="s">
        <v>12</v>
      </c>
      <c r="B164" s="19">
        <v>45909</v>
      </c>
      <c r="C164" s="23"/>
      <c r="D164" s="23"/>
      <c r="E164" s="147">
        <v>13981.83</v>
      </c>
      <c r="F164" s="147">
        <v>6.7323259999999996</v>
      </c>
      <c r="G164" s="147">
        <v>6.5250849999999998</v>
      </c>
      <c r="H164" s="147">
        <v>26.904583333333299</v>
      </c>
      <c r="I164" s="148">
        <v>0.86139365676215296</v>
      </c>
      <c r="J164" s="148">
        <v>0.24163262131895499</v>
      </c>
      <c r="K164" s="147">
        <v>0</v>
      </c>
      <c r="L164" s="147">
        <v>21.330625000000001</v>
      </c>
      <c r="M164" s="123">
        <v>2411</v>
      </c>
    </row>
    <row r="165" spans="1:13">
      <c r="A165" s="126" t="s">
        <v>12</v>
      </c>
      <c r="B165" s="19">
        <v>45910</v>
      </c>
      <c r="C165" s="23"/>
      <c r="D165" s="23"/>
      <c r="E165" s="147">
        <v>13797.941999999999</v>
      </c>
      <c r="F165" s="147">
        <v>6.6383559999999999</v>
      </c>
      <c r="G165" s="147">
        <v>6.43527</v>
      </c>
      <c r="H165" s="147">
        <v>26.757083333333298</v>
      </c>
      <c r="I165" s="148">
        <v>0.86209785742829803</v>
      </c>
      <c r="J165" s="148">
        <v>0.238454686851929</v>
      </c>
      <c r="K165" s="147">
        <v>0</v>
      </c>
      <c r="L165" s="147">
        <v>20.9791666666667</v>
      </c>
      <c r="M165" s="123">
        <v>2411</v>
      </c>
    </row>
    <row r="166" spans="1:13">
      <c r="A166" s="126" t="s">
        <v>12</v>
      </c>
      <c r="B166" s="19">
        <v>45911</v>
      </c>
      <c r="C166" s="23"/>
      <c r="D166" s="23"/>
      <c r="E166" s="147">
        <v>8830.857</v>
      </c>
      <c r="F166" s="147">
        <v>4.1672900000000004</v>
      </c>
      <c r="G166" s="147">
        <v>3.9989789999999998</v>
      </c>
      <c r="H166" s="147">
        <v>25.658333333333299</v>
      </c>
      <c r="I166" s="148">
        <v>0.87892520295969101</v>
      </c>
      <c r="J166" s="148">
        <v>0.15261400871007899</v>
      </c>
      <c r="K166" s="147">
        <v>0</v>
      </c>
      <c r="L166" s="147">
        <v>17.360458333333298</v>
      </c>
      <c r="M166" s="123">
        <v>2411</v>
      </c>
    </row>
    <row r="167" spans="1:13">
      <c r="A167" s="126" t="s">
        <v>12</v>
      </c>
      <c r="B167" s="19">
        <v>45912</v>
      </c>
      <c r="C167" s="23"/>
      <c r="D167" s="23"/>
      <c r="E167" s="147">
        <v>7101.4726000000001</v>
      </c>
      <c r="F167" s="147">
        <v>3.3510906999999999</v>
      </c>
      <c r="G167" s="147">
        <v>3.2035266</v>
      </c>
      <c r="H167" s="147">
        <v>26.229583333333299</v>
      </c>
      <c r="I167" s="148">
        <v>0.87895172502266705</v>
      </c>
      <c r="J167" s="148">
        <v>0.122726956311351</v>
      </c>
      <c r="K167" s="147">
        <v>0</v>
      </c>
      <c r="L167" s="147">
        <v>16.998374999999999</v>
      </c>
      <c r="M167" s="123">
        <v>2411</v>
      </c>
    </row>
    <row r="168" spans="1:13">
      <c r="A168" s="126" t="s">
        <v>12</v>
      </c>
      <c r="B168" s="19">
        <v>45913</v>
      </c>
      <c r="C168" s="23"/>
      <c r="D168" s="23"/>
      <c r="E168" s="147">
        <v>8167.9179999999997</v>
      </c>
      <c r="F168" s="147">
        <v>3.854101</v>
      </c>
      <c r="G168" s="147">
        <v>3.6890128999999998</v>
      </c>
      <c r="H168" s="147">
        <v>26.497499999999999</v>
      </c>
      <c r="I168" s="148">
        <v>0.87900443680340201</v>
      </c>
      <c r="J168" s="148">
        <v>0.141157161620351</v>
      </c>
      <c r="K168" s="147">
        <v>0</v>
      </c>
      <c r="L168" s="147">
        <v>17.695416666666699</v>
      </c>
      <c r="M168" s="123">
        <v>2411</v>
      </c>
    </row>
    <row r="169" spans="1:13">
      <c r="A169" s="126" t="s">
        <v>12</v>
      </c>
      <c r="B169" s="19">
        <v>45914</v>
      </c>
      <c r="C169" s="23"/>
      <c r="D169" s="23"/>
      <c r="E169" s="147">
        <v>12610.324000000001</v>
      </c>
      <c r="F169" s="147">
        <v>6.061299</v>
      </c>
      <c r="G169" s="147">
        <v>5.8631710000000004</v>
      </c>
      <c r="H169" s="147">
        <v>27.504999999999999</v>
      </c>
      <c r="I169" s="148">
        <v>0.86290567812806795</v>
      </c>
      <c r="J169" s="148">
        <v>0.21793038849716601</v>
      </c>
      <c r="K169" s="147">
        <v>0</v>
      </c>
      <c r="L169" s="147">
        <v>20.795833333333299</v>
      </c>
      <c r="M169" s="123">
        <v>2411</v>
      </c>
    </row>
    <row r="170" spans="1:13">
      <c r="A170" s="126" t="s">
        <v>12</v>
      </c>
      <c r="B170" s="19">
        <v>45915</v>
      </c>
      <c r="C170" s="23"/>
      <c r="D170" s="23"/>
      <c r="E170" s="147">
        <v>11469.751</v>
      </c>
      <c r="F170" s="147">
        <v>5.4555899999999999</v>
      </c>
      <c r="G170" s="147">
        <v>5.260866</v>
      </c>
      <c r="H170" s="147">
        <v>26.3333333333333</v>
      </c>
      <c r="I170" s="148">
        <v>0.87199712840778398</v>
      </c>
      <c r="J170" s="148">
        <v>0.19821911724042601</v>
      </c>
      <c r="K170" s="147">
        <v>0</v>
      </c>
      <c r="L170" s="147">
        <v>19.31775</v>
      </c>
      <c r="M170" s="123">
        <v>2411</v>
      </c>
    </row>
    <row r="171" spans="1:13">
      <c r="A171" s="126" t="s">
        <v>12</v>
      </c>
      <c r="B171" s="19">
        <v>45916</v>
      </c>
      <c r="C171" s="23"/>
      <c r="D171" s="23"/>
      <c r="E171" s="147">
        <v>11259.671</v>
      </c>
      <c r="F171" s="147">
        <v>5.4470229999999997</v>
      </c>
      <c r="G171" s="147">
        <v>5.2690679999999999</v>
      </c>
      <c r="H171" s="147">
        <v>27.7916666666667</v>
      </c>
      <c r="I171" s="148">
        <v>0.85737197079264704</v>
      </c>
      <c r="J171" s="148">
        <v>0.19458853518595301</v>
      </c>
      <c r="K171" s="147">
        <v>0</v>
      </c>
      <c r="L171" s="147">
        <v>20.1643333333333</v>
      </c>
      <c r="M171" s="123">
        <v>2411</v>
      </c>
    </row>
    <row r="172" spans="1:13">
      <c r="A172" s="126" t="s">
        <v>12</v>
      </c>
      <c r="B172" s="19">
        <v>45917</v>
      </c>
      <c r="C172" s="23"/>
      <c r="D172" s="23"/>
      <c r="E172" s="147">
        <v>11728.135</v>
      </c>
      <c r="F172" s="147">
        <v>5.5636799999999997</v>
      </c>
      <c r="G172" s="147">
        <v>5.3730700000000002</v>
      </c>
      <c r="H172" s="147">
        <v>26.061250000000001</v>
      </c>
      <c r="I172" s="148">
        <v>0.874318369027835</v>
      </c>
      <c r="J172" s="148">
        <v>0.20268448430803301</v>
      </c>
      <c r="K172" s="147">
        <v>0</v>
      </c>
      <c r="L172" s="147">
        <v>18.112749999999998</v>
      </c>
      <c r="M172" s="123">
        <v>2411</v>
      </c>
    </row>
    <row r="173" spans="1:13">
      <c r="A173" s="126" t="s">
        <v>12</v>
      </c>
      <c r="B173" s="19">
        <v>45918</v>
      </c>
      <c r="C173" s="23"/>
      <c r="D173" s="23"/>
      <c r="E173" s="147">
        <v>11723.311</v>
      </c>
      <c r="F173" s="147">
        <v>5.6170080000000002</v>
      </c>
      <c r="G173" s="147">
        <v>5.4206133000000003</v>
      </c>
      <c r="H173" s="147">
        <v>27.530416666666699</v>
      </c>
      <c r="I173" s="148">
        <v>0.86566136168249497</v>
      </c>
      <c r="J173" s="148">
        <v>0.20260111641089501</v>
      </c>
      <c r="K173" s="147">
        <v>0</v>
      </c>
      <c r="L173" s="147">
        <v>20.451875000000001</v>
      </c>
      <c r="M173" s="123">
        <v>2411</v>
      </c>
    </row>
    <row r="174" spans="1:13">
      <c r="A174" s="126" t="s">
        <v>12</v>
      </c>
      <c r="B174" s="19">
        <v>45919</v>
      </c>
      <c r="C174" s="23"/>
      <c r="D174" s="23"/>
      <c r="E174" s="147">
        <v>13568.1</v>
      </c>
      <c r="F174" s="147">
        <v>6.5301960000000001</v>
      </c>
      <c r="G174" s="147">
        <v>6.3232439999999999</v>
      </c>
      <c r="H174" s="147">
        <v>27.2091666666667</v>
      </c>
      <c r="I174" s="148">
        <v>0.86177840852209298</v>
      </c>
      <c r="J174" s="148">
        <v>0.23448257984238899</v>
      </c>
      <c r="K174" s="147">
        <v>0</v>
      </c>
      <c r="L174" s="147">
        <v>21.111791666666701</v>
      </c>
      <c r="M174" s="123">
        <v>2411</v>
      </c>
    </row>
    <row r="175" spans="1:13">
      <c r="A175" s="126" t="s">
        <v>12</v>
      </c>
      <c r="B175" s="19">
        <v>45920</v>
      </c>
      <c r="C175" s="23"/>
      <c r="D175" s="23"/>
      <c r="E175" s="147">
        <v>14570.258400000001</v>
      </c>
      <c r="F175" s="147">
        <v>7.0542400000000001</v>
      </c>
      <c r="G175" s="147">
        <v>6.8416344999999996</v>
      </c>
      <c r="H175" s="147">
        <v>27.102499999999999</v>
      </c>
      <c r="I175" s="148">
        <v>0.85668233627093004</v>
      </c>
      <c r="J175" s="148">
        <v>0.25180178349232701</v>
      </c>
      <c r="K175" s="147">
        <v>0</v>
      </c>
      <c r="L175" s="147">
        <v>21.670166666666699</v>
      </c>
      <c r="M175" s="123">
        <v>2411</v>
      </c>
    </row>
    <row r="176" spans="1:13">
      <c r="A176" s="126" t="s">
        <v>12</v>
      </c>
      <c r="B176" s="19">
        <v>45921</v>
      </c>
      <c r="C176" s="23"/>
      <c r="D176" s="23"/>
      <c r="E176" s="147">
        <v>11842.025</v>
      </c>
      <c r="F176" s="147">
        <v>5.6964699999999997</v>
      </c>
      <c r="G176" s="147">
        <v>5.5055630000000004</v>
      </c>
      <c r="H176" s="147">
        <v>27.4479166666667</v>
      </c>
      <c r="I176" s="148">
        <v>0.86222964118383405</v>
      </c>
      <c r="J176" s="148">
        <v>0.20465272017143599</v>
      </c>
      <c r="K176" s="147">
        <v>0</v>
      </c>
      <c r="L176" s="147">
        <v>19.115791666666698</v>
      </c>
      <c r="M176" s="123">
        <v>2411</v>
      </c>
    </row>
    <row r="177" spans="1:13">
      <c r="A177" s="126" t="s">
        <v>12</v>
      </c>
      <c r="B177" s="19">
        <v>45922</v>
      </c>
      <c r="C177" s="23"/>
      <c r="D177" s="23"/>
      <c r="E177" s="147">
        <v>13534.125</v>
      </c>
      <c r="F177" s="147">
        <v>6.5279100000000003</v>
      </c>
      <c r="G177" s="147">
        <v>6.32796</v>
      </c>
      <c r="H177" s="147">
        <v>27.287500000000001</v>
      </c>
      <c r="I177" s="148">
        <v>0.85992151439083098</v>
      </c>
      <c r="J177" s="148">
        <v>0.23389542720862699</v>
      </c>
      <c r="K177" s="147">
        <v>0</v>
      </c>
      <c r="L177" s="147">
        <v>19.969625000000001</v>
      </c>
      <c r="M177" s="123">
        <v>2411</v>
      </c>
    </row>
    <row r="178" spans="1:13">
      <c r="A178" s="126" t="s">
        <v>12</v>
      </c>
      <c r="B178" s="19">
        <v>45923</v>
      </c>
      <c r="C178" s="23"/>
      <c r="D178" s="23"/>
      <c r="E178" s="147">
        <v>15419.687599999999</v>
      </c>
      <c r="F178" s="147">
        <v>7.5159672999999998</v>
      </c>
      <c r="G178" s="147">
        <v>7.2953539000000003</v>
      </c>
      <c r="H178" s="147">
        <v>27.130416666666701</v>
      </c>
      <c r="I178" s="148">
        <v>0.85092930944119904</v>
      </c>
      <c r="J178" s="148">
        <v>0.26648153601548502</v>
      </c>
      <c r="K178" s="147">
        <v>0</v>
      </c>
      <c r="L178" s="147">
        <v>22.200749999999999</v>
      </c>
      <c r="M178" s="123">
        <v>2411</v>
      </c>
    </row>
    <row r="179" spans="1:13">
      <c r="A179" s="126" t="s">
        <v>12</v>
      </c>
      <c r="B179" s="19">
        <v>45924</v>
      </c>
      <c r="C179" s="23"/>
      <c r="D179" s="23"/>
      <c r="E179" s="147">
        <v>15151.669099999999</v>
      </c>
      <c r="F179" s="147">
        <v>7.4070260000000001</v>
      </c>
      <c r="G179" s="147">
        <v>7.1869857000000001</v>
      </c>
      <c r="H179" s="147">
        <v>28.331250000000001</v>
      </c>
      <c r="I179" s="148">
        <v>0.84843660532888798</v>
      </c>
      <c r="J179" s="148">
        <v>0.26184966645928398</v>
      </c>
      <c r="K179" s="147">
        <v>0</v>
      </c>
      <c r="L179" s="147">
        <v>22.7820416666667</v>
      </c>
      <c r="M179" s="123">
        <v>2411</v>
      </c>
    </row>
    <row r="180" spans="1:13">
      <c r="A180" s="126" t="s">
        <v>12</v>
      </c>
      <c r="B180" s="19">
        <v>45925</v>
      </c>
      <c r="C180" s="23"/>
      <c r="D180" s="23"/>
      <c r="E180" s="147">
        <v>12545.594999999999</v>
      </c>
      <c r="F180" s="147">
        <v>6.0484666999999996</v>
      </c>
      <c r="G180" s="147">
        <v>5.8503305000000001</v>
      </c>
      <c r="H180" s="147">
        <v>27.922916666666701</v>
      </c>
      <c r="I180" s="148">
        <v>0.86029769457008098</v>
      </c>
      <c r="J180" s="148">
        <v>0.216811748237246</v>
      </c>
      <c r="K180" s="147">
        <v>0</v>
      </c>
      <c r="L180" s="147">
        <v>20.890916666666701</v>
      </c>
      <c r="M180" s="123">
        <v>2411</v>
      </c>
    </row>
    <row r="181" spans="1:13">
      <c r="A181" s="126" t="s">
        <v>12</v>
      </c>
      <c r="B181" s="19">
        <v>45926</v>
      </c>
      <c r="C181" s="23"/>
      <c r="D181" s="23"/>
      <c r="E181" s="147">
        <v>10971.674999999999</v>
      </c>
      <c r="F181" s="147">
        <v>5.2403170000000001</v>
      </c>
      <c r="G181" s="147">
        <v>5.0545150000000003</v>
      </c>
      <c r="H181" s="147">
        <v>27.639583333333299</v>
      </c>
      <c r="I181" s="148">
        <v>0.86839670084715903</v>
      </c>
      <c r="J181" s="148">
        <v>0.18961141642471999</v>
      </c>
      <c r="K181" s="147">
        <v>0</v>
      </c>
      <c r="L181" s="147">
        <v>18.579208333333298</v>
      </c>
      <c r="M181" s="123">
        <v>2411</v>
      </c>
    </row>
    <row r="182" spans="1:13">
      <c r="A182" s="126" t="s">
        <v>12</v>
      </c>
      <c r="B182" s="19">
        <v>45927</v>
      </c>
      <c r="C182" s="23"/>
      <c r="D182" s="23"/>
      <c r="E182" s="147">
        <v>9828.5849999999991</v>
      </c>
      <c r="F182" s="147">
        <v>4.6779250000000001</v>
      </c>
      <c r="G182" s="147">
        <v>4.5051399999999999</v>
      </c>
      <c r="H182" s="147">
        <v>27.7283333333333</v>
      </c>
      <c r="I182" s="148">
        <v>0.87144610460232697</v>
      </c>
      <c r="J182" s="148">
        <v>0.16985664661965999</v>
      </c>
      <c r="K182" s="147">
        <v>0</v>
      </c>
      <c r="L182" s="147">
        <v>18.081541666666698</v>
      </c>
      <c r="M182" s="123">
        <v>2411</v>
      </c>
    </row>
    <row r="183" spans="1:13">
      <c r="A183" s="126" t="s">
        <v>12</v>
      </c>
      <c r="B183" s="19">
        <v>45928</v>
      </c>
      <c r="C183" s="23"/>
      <c r="D183" s="23"/>
      <c r="E183" s="147">
        <v>13138.665000000001</v>
      </c>
      <c r="F183" s="147">
        <v>6.3038600000000002</v>
      </c>
      <c r="G183" s="147">
        <v>6.1114199999999999</v>
      </c>
      <c r="H183" s="147">
        <v>27.020416666666701</v>
      </c>
      <c r="I183" s="148">
        <v>0.86446510965190204</v>
      </c>
      <c r="J183" s="148">
        <v>0.22706112608876</v>
      </c>
      <c r="K183" s="147">
        <v>0</v>
      </c>
      <c r="L183" s="147">
        <v>19.479500000000002</v>
      </c>
      <c r="M183" s="123">
        <v>2411</v>
      </c>
    </row>
    <row r="184" spans="1:13">
      <c r="A184" s="126" t="s">
        <v>12</v>
      </c>
      <c r="B184" s="19">
        <v>45929</v>
      </c>
      <c r="C184" s="23"/>
      <c r="D184" s="23"/>
      <c r="E184" s="147">
        <v>5669.915</v>
      </c>
      <c r="F184" s="147">
        <v>2.673651</v>
      </c>
      <c r="G184" s="147">
        <v>2.550621</v>
      </c>
      <c r="H184" s="147">
        <v>25.64875</v>
      </c>
      <c r="I184" s="148">
        <v>0.87957853227565796</v>
      </c>
      <c r="J184" s="148">
        <v>9.7986917599889395E-2</v>
      </c>
      <c r="K184" s="147">
        <v>0</v>
      </c>
      <c r="L184" s="147">
        <v>14.718</v>
      </c>
      <c r="M184" s="123">
        <v>2411</v>
      </c>
    </row>
    <row r="185" spans="1:13">
      <c r="A185" s="126" t="s">
        <v>12</v>
      </c>
      <c r="B185" s="19">
        <v>45930</v>
      </c>
      <c r="C185" s="23"/>
      <c r="D185" s="23"/>
      <c r="E185" s="147">
        <v>5173.5360000000001</v>
      </c>
      <c r="F185" s="147">
        <v>2.450987</v>
      </c>
      <c r="G185" s="147">
        <v>2.3373740000000001</v>
      </c>
      <c r="H185" s="147">
        <v>26.2120833333333</v>
      </c>
      <c r="I185" s="148">
        <v>0.87548610422699902</v>
      </c>
      <c r="J185" s="148">
        <v>8.9408544172542501E-2</v>
      </c>
      <c r="K185" s="147">
        <v>0</v>
      </c>
      <c r="L185" s="147">
        <v>14.8816666666667</v>
      </c>
      <c r="M185" s="123">
        <v>2411</v>
      </c>
    </row>
    <row r="186" spans="1:13">
      <c r="A186" s="126" t="s">
        <v>12</v>
      </c>
      <c r="B186" s="19">
        <v>45931</v>
      </c>
      <c r="C186" s="23"/>
      <c r="D186" s="23"/>
      <c r="E186" s="147">
        <v>14117.424999999999</v>
      </c>
      <c r="F186" s="147">
        <v>6.8489500000000003</v>
      </c>
      <c r="G186" s="147">
        <v>6.6463299999999998</v>
      </c>
      <c r="H186" s="147">
        <v>26.7754166666667</v>
      </c>
      <c r="I186" s="148">
        <v>0.85493733506165903</v>
      </c>
      <c r="J186" s="148">
        <v>0.24397596087377299</v>
      </c>
      <c r="K186" s="147">
        <v>0</v>
      </c>
      <c r="L186" s="147">
        <v>20.511541666666702</v>
      </c>
      <c r="M186" s="123">
        <v>2411</v>
      </c>
    </row>
    <row r="187" spans="1:13">
      <c r="A187" s="126" t="s">
        <v>12</v>
      </c>
      <c r="B187" s="19">
        <v>45932</v>
      </c>
      <c r="C187" s="23"/>
      <c r="D187" s="23"/>
      <c r="E187" s="147">
        <v>12247.415000000001</v>
      </c>
      <c r="F187" s="147">
        <v>5.8772399999999996</v>
      </c>
      <c r="G187" s="147">
        <v>5.6831399999999999</v>
      </c>
      <c r="H187" s="147">
        <v>26.337499999999999</v>
      </c>
      <c r="I187" s="148">
        <v>0.86431847839620402</v>
      </c>
      <c r="J187" s="148">
        <v>0.211658630582054</v>
      </c>
      <c r="K187" s="147">
        <v>0</v>
      </c>
      <c r="L187" s="147">
        <v>19.151624999999999</v>
      </c>
      <c r="M187" s="123">
        <v>2411</v>
      </c>
    </row>
    <row r="188" spans="1:13">
      <c r="A188" s="126" t="s">
        <v>12</v>
      </c>
      <c r="B188" s="19">
        <v>45933</v>
      </c>
      <c r="C188" s="23"/>
      <c r="D188" s="23"/>
      <c r="E188" s="147">
        <v>11863.7479</v>
      </c>
      <c r="F188" s="147">
        <v>5.6924656999999996</v>
      </c>
      <c r="G188" s="147">
        <v>5.4929582000000003</v>
      </c>
      <c r="H188" s="147">
        <v>27.608750000000001</v>
      </c>
      <c r="I188" s="148">
        <v>0.86441894538138198</v>
      </c>
      <c r="J188" s="148">
        <v>0.20502813320890401</v>
      </c>
      <c r="K188" s="147">
        <v>0</v>
      </c>
      <c r="L188" s="147">
        <v>20.861125000000001</v>
      </c>
      <c r="M188" s="123">
        <v>2411</v>
      </c>
    </row>
    <row r="189" spans="1:13">
      <c r="A189" s="126" t="s">
        <v>12</v>
      </c>
      <c r="B189" s="19">
        <v>45934</v>
      </c>
      <c r="C189" s="23"/>
      <c r="D189" s="23"/>
      <c r="E189" s="147">
        <v>11730.565000000001</v>
      </c>
      <c r="F189" s="147">
        <v>5.6701100000000002</v>
      </c>
      <c r="G189" s="147">
        <v>5.4843400000000004</v>
      </c>
      <c r="H189" s="147">
        <v>28.2320833333333</v>
      </c>
      <c r="I189" s="148">
        <v>0.85808485266428203</v>
      </c>
      <c r="J189" s="148">
        <v>0.20272647933084501</v>
      </c>
      <c r="K189" s="147">
        <v>0</v>
      </c>
      <c r="L189" s="147">
        <v>19.829791666666701</v>
      </c>
      <c r="M189" s="123">
        <v>2411</v>
      </c>
    </row>
    <row r="190" spans="1:13">
      <c r="A190" s="126" t="s">
        <v>12</v>
      </c>
      <c r="B190" s="19">
        <v>45935</v>
      </c>
      <c r="C190" s="23"/>
      <c r="D190" s="23"/>
      <c r="E190" s="147">
        <v>13544.875</v>
      </c>
      <c r="F190" s="147">
        <v>6.6144999999999996</v>
      </c>
      <c r="G190" s="147">
        <v>6.4192600000000004</v>
      </c>
      <c r="H190" s="147">
        <v>28.995833333333302</v>
      </c>
      <c r="I190" s="148">
        <v>0.84933842071572196</v>
      </c>
      <c r="J190" s="148">
        <v>0.23408120765933901</v>
      </c>
      <c r="K190" s="147">
        <v>0</v>
      </c>
      <c r="L190" s="147">
        <v>21.330541666666701</v>
      </c>
      <c r="M190" s="123">
        <v>2411</v>
      </c>
    </row>
    <row r="191" spans="1:13">
      <c r="A191" s="126" t="s">
        <v>12</v>
      </c>
      <c r="B191" s="19">
        <v>45936</v>
      </c>
      <c r="C191" s="23"/>
      <c r="D191" s="23"/>
      <c r="E191" s="147">
        <v>13844.584999999999</v>
      </c>
      <c r="F191" s="147">
        <v>6.7827000000000002</v>
      </c>
      <c r="G191" s="147">
        <v>6.5800999999999998</v>
      </c>
      <c r="H191" s="147">
        <v>29.347083333333298</v>
      </c>
      <c r="I191" s="148">
        <v>0.84660362377881404</v>
      </c>
      <c r="J191" s="148">
        <v>0.23926076662519</v>
      </c>
      <c r="K191" s="147">
        <v>0</v>
      </c>
      <c r="L191" s="147">
        <v>21.697749999999999</v>
      </c>
      <c r="M191" s="123">
        <v>2411</v>
      </c>
    </row>
    <row r="192" spans="1:13">
      <c r="A192" s="126" t="s">
        <v>12</v>
      </c>
      <c r="B192" s="19">
        <v>45937</v>
      </c>
      <c r="C192" s="23"/>
      <c r="D192" s="23"/>
      <c r="E192" s="147">
        <v>14593.495000000001</v>
      </c>
      <c r="F192" s="147">
        <v>7.1976300000000002</v>
      </c>
      <c r="G192" s="147">
        <v>6.9841800000000003</v>
      </c>
      <c r="H192" s="147">
        <v>29.7291666666667</v>
      </c>
      <c r="I192" s="148">
        <v>0.84095466806305197</v>
      </c>
      <c r="J192" s="148">
        <v>0.25220335614544398</v>
      </c>
      <c r="K192" s="147">
        <v>0</v>
      </c>
      <c r="L192" s="147">
        <v>22.3994583333333</v>
      </c>
      <c r="M192" s="123">
        <v>2411</v>
      </c>
    </row>
    <row r="193" spans="1:13">
      <c r="A193" s="126" t="s">
        <v>12</v>
      </c>
      <c r="B193" s="19">
        <v>45938</v>
      </c>
      <c r="C193" s="23"/>
      <c r="D193" s="23"/>
      <c r="E193" s="147">
        <v>13846.555</v>
      </c>
      <c r="F193" s="147">
        <v>6.7748900000000001</v>
      </c>
      <c r="G193" s="147">
        <v>6.5710800000000003</v>
      </c>
      <c r="H193" s="147">
        <v>29.104583333333299</v>
      </c>
      <c r="I193" s="148">
        <v>0.84770018219478804</v>
      </c>
      <c r="J193" s="148">
        <v>0.23929481197290201</v>
      </c>
      <c r="K193" s="147">
        <v>0</v>
      </c>
      <c r="L193" s="147">
        <v>21.4963333333333</v>
      </c>
      <c r="M193" s="123">
        <v>2411</v>
      </c>
    </row>
    <row r="194" spans="1:13">
      <c r="A194" s="126" t="s">
        <v>12</v>
      </c>
      <c r="B194" s="19">
        <v>45939</v>
      </c>
      <c r="C194" s="23"/>
      <c r="D194" s="23"/>
      <c r="E194" s="147">
        <v>11890.385</v>
      </c>
      <c r="F194" s="147">
        <v>5.7704000000000004</v>
      </c>
      <c r="G194" s="147">
        <v>5.5779699999999997</v>
      </c>
      <c r="H194" s="147">
        <v>29.8154166666667</v>
      </c>
      <c r="I194" s="148">
        <v>0.85465883670222398</v>
      </c>
      <c r="J194" s="148">
        <v>0.20548847297110501</v>
      </c>
      <c r="K194" s="147">
        <v>0</v>
      </c>
      <c r="L194" s="147">
        <v>20.618874999999999</v>
      </c>
      <c r="M194" s="123">
        <v>2411</v>
      </c>
    </row>
    <row r="195" spans="1:13">
      <c r="A195" s="126" t="s">
        <v>12</v>
      </c>
      <c r="B195" s="19">
        <v>45940</v>
      </c>
      <c r="C195" s="23"/>
      <c r="D195" s="23"/>
      <c r="E195" s="147">
        <v>13921.514999999999</v>
      </c>
      <c r="F195" s="147">
        <v>6.8891499999999999</v>
      </c>
      <c r="G195" s="147">
        <v>6.6822400000000002</v>
      </c>
      <c r="H195" s="147">
        <v>31.450416666666701</v>
      </c>
      <c r="I195" s="148">
        <v>0.83815366497007904</v>
      </c>
      <c r="J195" s="148">
        <v>0.24059026337619199</v>
      </c>
      <c r="K195" s="147">
        <v>0</v>
      </c>
      <c r="L195" s="147">
        <v>22.808624999999999</v>
      </c>
      <c r="M195" s="123">
        <v>2411</v>
      </c>
    </row>
    <row r="196" spans="1:13">
      <c r="A196" s="126" t="s">
        <v>12</v>
      </c>
      <c r="B196" s="19">
        <v>45941</v>
      </c>
      <c r="C196" s="23"/>
      <c r="D196" s="23"/>
      <c r="E196" s="147">
        <v>-25.414999999999999</v>
      </c>
      <c r="F196" s="147">
        <v>6.5144099999999998</v>
      </c>
      <c r="G196" s="147">
        <v>6.3164600000000002</v>
      </c>
      <c r="H196" s="147">
        <v>31.959583333333299</v>
      </c>
      <c r="I196" s="148">
        <v>-1.6181464143202001E-3</v>
      </c>
      <c r="J196" s="148">
        <v>-4.39219549287986E-4</v>
      </c>
      <c r="K196" s="147">
        <v>0</v>
      </c>
      <c r="L196" s="147">
        <v>22.578125</v>
      </c>
      <c r="M196" s="123">
        <v>2411</v>
      </c>
    </row>
    <row r="197" spans="1:13">
      <c r="A197" s="126" t="s">
        <v>12</v>
      </c>
      <c r="B197" s="19">
        <v>45942</v>
      </c>
      <c r="C197" s="23"/>
      <c r="D197" s="23"/>
      <c r="E197" s="147">
        <v>12163.004999999999</v>
      </c>
      <c r="F197" s="147">
        <v>5.9422699999999997</v>
      </c>
      <c r="G197" s="147">
        <v>5.7516100000000003</v>
      </c>
      <c r="H197" s="147">
        <v>30.900833333333299</v>
      </c>
      <c r="I197" s="148">
        <v>0.84896794740526305</v>
      </c>
      <c r="J197" s="148">
        <v>0.21019986520116099</v>
      </c>
      <c r="K197" s="147">
        <v>0</v>
      </c>
      <c r="L197" s="147">
        <v>21.279458333333299</v>
      </c>
      <c r="M197" s="123">
        <v>2411</v>
      </c>
    </row>
    <row r="198" spans="1:13">
      <c r="A198" s="126" t="s">
        <v>12</v>
      </c>
      <c r="B198" s="19">
        <v>45943</v>
      </c>
      <c r="C198" s="23"/>
      <c r="D198" s="23"/>
      <c r="E198" s="147">
        <v>8763.6149999999998</v>
      </c>
      <c r="F198" s="147">
        <v>4.2213609999999999</v>
      </c>
      <c r="G198" s="147">
        <v>4.056438</v>
      </c>
      <c r="H198" s="147">
        <v>30.624166666666699</v>
      </c>
      <c r="I198" s="148">
        <v>0.86106033971194595</v>
      </c>
      <c r="J198" s="148">
        <v>0.15145193902944801</v>
      </c>
      <c r="K198" s="147">
        <v>0</v>
      </c>
      <c r="L198" s="147">
        <v>19.170249999999999</v>
      </c>
      <c r="M198" s="123">
        <v>2411</v>
      </c>
    </row>
    <row r="199" spans="1:13">
      <c r="A199" s="126" t="s">
        <v>12</v>
      </c>
      <c r="B199" s="19">
        <v>45944</v>
      </c>
      <c r="C199" s="23"/>
      <c r="D199" s="23"/>
      <c r="E199" s="147">
        <v>12008.365</v>
      </c>
      <c r="F199" s="147">
        <v>5.8633600000000001</v>
      </c>
      <c r="G199" s="147">
        <v>5.6736300000000002</v>
      </c>
      <c r="H199" s="147">
        <v>30.422916666666701</v>
      </c>
      <c r="I199" s="148">
        <v>0.84945447722244305</v>
      </c>
      <c r="J199" s="148">
        <v>0.20752739181529101</v>
      </c>
      <c r="K199" s="147">
        <v>0</v>
      </c>
      <c r="L199" s="147">
        <v>21.079499999999999</v>
      </c>
      <c r="M199" s="123">
        <v>2411</v>
      </c>
    </row>
    <row r="200" spans="1:13">
      <c r="A200" s="126" t="s">
        <v>12</v>
      </c>
      <c r="B200" s="19">
        <v>45945</v>
      </c>
      <c r="C200" s="23"/>
      <c r="D200" s="23"/>
      <c r="E200" s="147">
        <v>13753.475</v>
      </c>
      <c r="F200" s="147">
        <v>6.77766</v>
      </c>
      <c r="G200" s="147">
        <v>6.5721100000000003</v>
      </c>
      <c r="H200" s="147">
        <v>30.085000000000001</v>
      </c>
      <c r="I200" s="148">
        <v>0.84165760748673202</v>
      </c>
      <c r="J200" s="148">
        <v>0.23768621249827199</v>
      </c>
      <c r="K200" s="147">
        <v>0</v>
      </c>
      <c r="L200" s="147">
        <v>22.0275416666667</v>
      </c>
      <c r="M200" s="123">
        <v>2411</v>
      </c>
    </row>
    <row r="201" spans="1:13">
      <c r="A201" s="126" t="s">
        <v>12</v>
      </c>
      <c r="B201" s="19">
        <v>45946</v>
      </c>
      <c r="C201" s="23"/>
      <c r="D201" s="23"/>
      <c r="E201" s="147">
        <v>13171.815000000001</v>
      </c>
      <c r="F201" s="147">
        <v>6.4369399999999999</v>
      </c>
      <c r="G201" s="147">
        <v>6.2376500000000004</v>
      </c>
      <c r="H201" s="147">
        <v>29.213333333333299</v>
      </c>
      <c r="I201" s="148">
        <v>0.84872882265069505</v>
      </c>
      <c r="J201" s="148">
        <v>0.22763402115304901</v>
      </c>
      <c r="K201" s="147">
        <v>0</v>
      </c>
      <c r="L201" s="147">
        <v>21.095166666666699</v>
      </c>
      <c r="M201" s="123">
        <v>2411</v>
      </c>
    </row>
    <row r="202" spans="1:13">
      <c r="A202" s="126" t="s">
        <v>12</v>
      </c>
      <c r="B202" s="19">
        <v>45947</v>
      </c>
      <c r="C202" s="23"/>
      <c r="D202" s="23"/>
      <c r="E202" s="147">
        <v>12487.375</v>
      </c>
      <c r="F202" s="147">
        <v>6.0835800000000004</v>
      </c>
      <c r="G202" s="147">
        <v>5.8855899999999997</v>
      </c>
      <c r="H202" s="147">
        <v>29.446666666666701</v>
      </c>
      <c r="I202" s="148">
        <v>0.85136289834601797</v>
      </c>
      <c r="J202" s="148">
        <v>0.21580559587999401</v>
      </c>
      <c r="K202" s="147">
        <v>0</v>
      </c>
      <c r="L202" s="147">
        <v>20.791875000000001</v>
      </c>
      <c r="M202" s="123">
        <v>2411</v>
      </c>
    </row>
    <row r="203" spans="1:13">
      <c r="A203" s="126" t="s">
        <v>12</v>
      </c>
      <c r="B203" s="19">
        <v>45948</v>
      </c>
      <c r="C203" s="23"/>
      <c r="D203" s="23"/>
      <c r="E203" s="147">
        <v>10688.735000000001</v>
      </c>
      <c r="F203" s="147">
        <v>5.1718200000000003</v>
      </c>
      <c r="G203" s="147">
        <v>4.9819699999999996</v>
      </c>
      <c r="H203" s="147">
        <v>29.557916666666699</v>
      </c>
      <c r="I203" s="148">
        <v>0.85720697918479705</v>
      </c>
      <c r="J203" s="148">
        <v>0.18472167496198</v>
      </c>
      <c r="K203" s="147">
        <v>0</v>
      </c>
      <c r="L203" s="147">
        <v>19.8793333333333</v>
      </c>
      <c r="M203" s="123">
        <v>2411</v>
      </c>
    </row>
    <row r="204" spans="1:13">
      <c r="A204" s="126" t="s">
        <v>12</v>
      </c>
      <c r="B204" s="19">
        <v>45949</v>
      </c>
      <c r="C204" s="23"/>
      <c r="D204" s="23"/>
      <c r="E204" s="147">
        <v>13426.055</v>
      </c>
      <c r="F204" s="147">
        <v>6.5734899999999996</v>
      </c>
      <c r="G204" s="147">
        <v>6.3680899999999996</v>
      </c>
      <c r="H204" s="147">
        <v>28.731249999999999</v>
      </c>
      <c r="I204" s="148">
        <v>0.84714003191781695</v>
      </c>
      <c r="J204" s="148">
        <v>0.232027772017144</v>
      </c>
      <c r="K204" s="147">
        <v>0</v>
      </c>
      <c r="L204" s="147">
        <v>21.027208333333299</v>
      </c>
      <c r="M204" s="123">
        <v>2411</v>
      </c>
    </row>
    <row r="205" spans="1:13">
      <c r="A205" s="126" t="s">
        <v>12</v>
      </c>
      <c r="B205" s="19">
        <v>45950</v>
      </c>
      <c r="C205" s="23"/>
      <c r="D205" s="23"/>
      <c r="E205" s="147">
        <v>12387.295</v>
      </c>
      <c r="F205" s="147">
        <v>6.0605799999999999</v>
      </c>
      <c r="G205" s="147">
        <v>5.8643669999999997</v>
      </c>
      <c r="H205" s="147">
        <v>30.185416666666701</v>
      </c>
      <c r="I205" s="148">
        <v>0.84774469673313801</v>
      </c>
      <c r="J205" s="148">
        <v>0.214076023088622</v>
      </c>
      <c r="K205" s="147">
        <v>0</v>
      </c>
      <c r="L205" s="147">
        <v>21.102374999999999</v>
      </c>
      <c r="M205" s="123">
        <v>2411</v>
      </c>
    </row>
    <row r="206" spans="1:13">
      <c r="A206" s="126" t="s">
        <v>12</v>
      </c>
      <c r="B206" s="19">
        <v>45951</v>
      </c>
      <c r="C206" s="23"/>
      <c r="D206" s="23"/>
      <c r="E206" s="147">
        <v>5439.8940000000002</v>
      </c>
      <c r="F206" s="147">
        <v>2.62317</v>
      </c>
      <c r="G206" s="147">
        <v>2.507196</v>
      </c>
      <c r="H206" s="147">
        <v>29.8616666666667</v>
      </c>
      <c r="I206" s="148">
        <v>0.86013533667879705</v>
      </c>
      <c r="J206" s="148">
        <v>9.4011717129821606E-2</v>
      </c>
      <c r="K206" s="147">
        <v>0</v>
      </c>
      <c r="L206" s="147">
        <v>16.783208333333299</v>
      </c>
      <c r="M206" s="123">
        <v>2411</v>
      </c>
    </row>
    <row r="207" spans="1:13">
      <c r="A207" s="126" t="s">
        <v>12</v>
      </c>
      <c r="B207" s="19">
        <v>45952</v>
      </c>
      <c r="C207" s="23"/>
      <c r="D207" s="23"/>
      <c r="E207" s="147">
        <v>12973.555</v>
      </c>
      <c r="F207" s="147">
        <v>6.3459199999999996</v>
      </c>
      <c r="G207" s="147">
        <v>6.1427399999999999</v>
      </c>
      <c r="H207" s="147">
        <v>28.838750000000001</v>
      </c>
      <c r="I207" s="148">
        <v>0.84794404411595703</v>
      </c>
      <c r="J207" s="148">
        <v>0.224207711184847</v>
      </c>
      <c r="K207" s="147">
        <v>0</v>
      </c>
      <c r="L207" s="147">
        <v>20.775791666666699</v>
      </c>
      <c r="M207" s="123">
        <v>2411</v>
      </c>
    </row>
    <row r="208" spans="1:13">
      <c r="A208" s="126" t="s">
        <v>12</v>
      </c>
      <c r="B208" s="19">
        <v>45953</v>
      </c>
      <c r="C208" s="23"/>
      <c r="D208" s="23"/>
      <c r="E208" s="147">
        <v>12923.305</v>
      </c>
      <c r="F208" s="147">
        <v>6.30091</v>
      </c>
      <c r="G208" s="147">
        <v>6.0994299999999999</v>
      </c>
      <c r="H208" s="147">
        <v>28.139583333333299</v>
      </c>
      <c r="I208" s="148">
        <v>0.85069348620307295</v>
      </c>
      <c r="J208" s="148">
        <v>0.22333929558965801</v>
      </c>
      <c r="K208" s="147">
        <v>0</v>
      </c>
      <c r="L208" s="147">
        <v>20.40925</v>
      </c>
      <c r="M208" s="123">
        <v>2411</v>
      </c>
    </row>
    <row r="209" spans="1:13">
      <c r="A209" s="126" t="s">
        <v>12</v>
      </c>
      <c r="B209" s="19">
        <v>45954</v>
      </c>
      <c r="C209" s="23"/>
      <c r="D209" s="23"/>
      <c r="E209" s="147">
        <v>12709.125</v>
      </c>
      <c r="F209" s="147">
        <v>6.2069099999999997</v>
      </c>
      <c r="G209" s="147">
        <v>6.0042799999999996</v>
      </c>
      <c r="H209" s="147">
        <v>28.59375</v>
      </c>
      <c r="I209" s="148">
        <v>0.84926454317029099</v>
      </c>
      <c r="J209" s="148">
        <v>0.21963785773538</v>
      </c>
      <c r="K209" s="147">
        <v>0</v>
      </c>
      <c r="L209" s="147">
        <v>20.5870416666667</v>
      </c>
      <c r="M209" s="123">
        <v>2411</v>
      </c>
    </row>
    <row r="210" spans="1:13">
      <c r="A210" s="126" t="s">
        <v>12</v>
      </c>
      <c r="B210" s="19">
        <v>45955</v>
      </c>
      <c r="C210" s="23"/>
      <c r="D210" s="23"/>
      <c r="E210" s="147">
        <v>12848.805</v>
      </c>
      <c r="F210" s="147">
        <v>6.2643000000000004</v>
      </c>
      <c r="G210" s="147">
        <v>6.0588300000000004</v>
      </c>
      <c r="H210" s="147">
        <v>27.9</v>
      </c>
      <c r="I210" s="148">
        <v>0.85073241266785404</v>
      </c>
      <c r="J210" s="148">
        <v>0.22205179386146801</v>
      </c>
      <c r="K210" s="147">
        <v>0</v>
      </c>
      <c r="L210" s="147">
        <v>20.254041666666701</v>
      </c>
      <c r="M210" s="123">
        <v>2411</v>
      </c>
    </row>
    <row r="211" spans="1:13">
      <c r="A211" s="126" t="s">
        <v>12</v>
      </c>
      <c r="B211" s="19">
        <v>45956</v>
      </c>
      <c r="C211" s="23"/>
      <c r="D211" s="23"/>
      <c r="E211" s="147">
        <v>13166.905000000001</v>
      </c>
      <c r="F211" s="147">
        <v>6.4238999999999997</v>
      </c>
      <c r="G211" s="147">
        <v>6.2124100000000002</v>
      </c>
      <c r="H211" s="147">
        <v>27.4129166666667</v>
      </c>
      <c r="I211" s="148">
        <v>0.85013465469501603</v>
      </c>
      <c r="J211" s="148">
        <v>0.22754916701230499</v>
      </c>
      <c r="K211" s="147">
        <v>0</v>
      </c>
      <c r="L211" s="147">
        <v>20.217124999999999</v>
      </c>
      <c r="M211" s="123">
        <v>2411</v>
      </c>
    </row>
    <row r="212" spans="1:13">
      <c r="A212" s="126" t="s">
        <v>12</v>
      </c>
      <c r="B212" s="19">
        <v>45957</v>
      </c>
      <c r="C212" s="23"/>
      <c r="D212" s="23"/>
      <c r="E212" s="147">
        <v>13308.184999999999</v>
      </c>
      <c r="F212" s="147">
        <v>6.50847</v>
      </c>
      <c r="G212" s="147">
        <v>6.2938900000000002</v>
      </c>
      <c r="H212" s="147">
        <v>27.787500000000001</v>
      </c>
      <c r="I212" s="148">
        <v>0.84809150236127495</v>
      </c>
      <c r="J212" s="148">
        <v>0.22999075418222001</v>
      </c>
      <c r="K212" s="147">
        <v>0</v>
      </c>
      <c r="L212" s="147">
        <v>20.425374999999999</v>
      </c>
      <c r="M212" s="123">
        <v>2411</v>
      </c>
    </row>
    <row r="213" spans="1:13">
      <c r="A213" s="126" t="s">
        <v>12</v>
      </c>
      <c r="B213" s="19">
        <v>45958</v>
      </c>
      <c r="C213" s="23"/>
      <c r="D213" s="23"/>
      <c r="E213" s="147">
        <v>5236.63</v>
      </c>
      <c r="F213" s="147">
        <v>2.503158</v>
      </c>
      <c r="G213" s="147">
        <v>2.386425</v>
      </c>
      <c r="H213" s="147">
        <v>27.13</v>
      </c>
      <c r="I213" s="148">
        <v>0.86769364320160403</v>
      </c>
      <c r="J213" s="148">
        <v>9.04989285220517E-2</v>
      </c>
      <c r="K213" s="147">
        <v>0</v>
      </c>
      <c r="L213" s="147">
        <v>15.430208333333301</v>
      </c>
      <c r="M213" s="123">
        <v>2411</v>
      </c>
    </row>
    <row r="214" spans="1:13">
      <c r="A214" s="126" t="s">
        <v>12</v>
      </c>
      <c r="B214" s="19">
        <v>45959</v>
      </c>
      <c r="C214" s="23"/>
      <c r="D214" s="23"/>
      <c r="E214" s="147">
        <v>12767.905000000001</v>
      </c>
      <c r="F214" s="147">
        <v>6.2464199999999996</v>
      </c>
      <c r="G214" s="147">
        <v>6.0401300000000004</v>
      </c>
      <c r="H214" s="147">
        <v>28.373333333333299</v>
      </c>
      <c r="I214" s="148">
        <v>0.84779577918092097</v>
      </c>
      <c r="J214" s="148">
        <v>0.22065368795797</v>
      </c>
      <c r="K214" s="147">
        <v>0</v>
      </c>
      <c r="L214" s="147">
        <v>20.515875000000001</v>
      </c>
      <c r="M214" s="123">
        <v>2411</v>
      </c>
    </row>
    <row r="215" spans="1:13">
      <c r="A215" s="126" t="s">
        <v>12</v>
      </c>
      <c r="B215" s="19">
        <v>45960</v>
      </c>
      <c r="C215" s="23"/>
      <c r="D215" s="23"/>
      <c r="E215" s="147">
        <v>11557.094999999999</v>
      </c>
      <c r="F215" s="147">
        <v>5.6279000000000003</v>
      </c>
      <c r="G215" s="147">
        <v>5.4228649999999998</v>
      </c>
      <c r="H215" s="147">
        <v>28.465416666666702</v>
      </c>
      <c r="I215" s="148">
        <v>0.851736190293089</v>
      </c>
      <c r="J215" s="148">
        <v>0.199728587722937</v>
      </c>
      <c r="K215" s="147">
        <v>0</v>
      </c>
      <c r="L215" s="147">
        <v>19.7701666666667</v>
      </c>
      <c r="M215" s="123">
        <v>2411</v>
      </c>
    </row>
    <row r="216" spans="1:13">
      <c r="A216" s="126" t="s">
        <v>12</v>
      </c>
      <c r="B216" s="19">
        <v>45961</v>
      </c>
      <c r="C216" s="23"/>
      <c r="D216" s="23"/>
      <c r="E216" s="147">
        <v>11610.415000000001</v>
      </c>
      <c r="F216" s="147">
        <v>5.6398529999999996</v>
      </c>
      <c r="G216" s="147">
        <v>5.4421739999999996</v>
      </c>
      <c r="H216" s="147">
        <v>27.973749999999999</v>
      </c>
      <c r="I216" s="148">
        <v>0.85385229193087797</v>
      </c>
      <c r="J216" s="148">
        <v>0.200650058758468</v>
      </c>
      <c r="K216" s="147">
        <v>0</v>
      </c>
      <c r="L216" s="147">
        <v>19.692125000000001</v>
      </c>
      <c r="M216" s="123">
        <v>2411</v>
      </c>
    </row>
    <row r="217" spans="1:13">
      <c r="A217" s="126" t="s">
        <v>12</v>
      </c>
      <c r="B217" s="19">
        <v>45962</v>
      </c>
      <c r="C217" s="23"/>
      <c r="D217" s="23"/>
      <c r="E217" s="147">
        <v>12086.455</v>
      </c>
      <c r="F217" s="147">
        <v>5.8147500000000001</v>
      </c>
      <c r="G217" s="147">
        <v>5.6121169999999996</v>
      </c>
      <c r="H217" s="147">
        <v>24.230833333333301</v>
      </c>
      <c r="I217" s="148">
        <v>0.86212587880022895</v>
      </c>
      <c r="J217" s="148">
        <v>0.208876935573068</v>
      </c>
      <c r="K217" s="147">
        <v>0</v>
      </c>
      <c r="L217" s="147">
        <v>18.187833333333302</v>
      </c>
      <c r="M217" s="123">
        <v>2411</v>
      </c>
    </row>
    <row r="218" spans="1:13">
      <c r="A218" s="126" t="s">
        <v>12</v>
      </c>
      <c r="B218" s="19">
        <v>45963</v>
      </c>
      <c r="C218" s="23"/>
      <c r="D218" s="23"/>
      <c r="E218" s="147">
        <v>12562.575000000001</v>
      </c>
      <c r="F218" s="147">
        <v>6.1162000000000001</v>
      </c>
      <c r="G218" s="147">
        <v>5.9037709999999999</v>
      </c>
      <c r="H218" s="147">
        <v>25.78</v>
      </c>
      <c r="I218" s="148">
        <v>0.85192189244246697</v>
      </c>
      <c r="J218" s="148">
        <v>0.217105194939859</v>
      </c>
      <c r="K218" s="147">
        <v>0</v>
      </c>
      <c r="L218" s="147">
        <v>19.557541666666701</v>
      </c>
      <c r="M218" s="123">
        <v>2411</v>
      </c>
    </row>
    <row r="219" spans="1:13">
      <c r="A219" s="126" t="s">
        <v>12</v>
      </c>
      <c r="B219" s="19">
        <v>45964</v>
      </c>
      <c r="C219" s="23"/>
      <c r="D219" s="23"/>
      <c r="E219" s="147">
        <v>12682.575000000001</v>
      </c>
      <c r="F219" s="147">
        <v>6.1952600000000002</v>
      </c>
      <c r="G219" s="147">
        <v>5.9713310000000002</v>
      </c>
      <c r="H219" s="147">
        <v>26.374583333333302</v>
      </c>
      <c r="I219" s="148">
        <v>0.84908406708435902</v>
      </c>
      <c r="J219" s="148">
        <v>0.21917902322687699</v>
      </c>
      <c r="K219" s="147">
        <v>0</v>
      </c>
      <c r="L219" s="147">
        <v>19.754249999999999</v>
      </c>
      <c r="M219" s="123">
        <v>2411</v>
      </c>
    </row>
    <row r="220" spans="1:13">
      <c r="A220" s="126" t="s">
        <v>12</v>
      </c>
      <c r="B220" s="19">
        <v>45965</v>
      </c>
      <c r="C220" s="23"/>
      <c r="D220" s="23"/>
      <c r="E220" s="147">
        <v>12085.605</v>
      </c>
      <c r="F220" s="147">
        <v>5.8770800000000003</v>
      </c>
      <c r="G220" s="147">
        <v>5.667484</v>
      </c>
      <c r="H220" s="147">
        <v>26.5654166666667</v>
      </c>
      <c r="I220" s="148">
        <v>0.85292252325046403</v>
      </c>
      <c r="J220" s="148">
        <v>0.208862245956035</v>
      </c>
      <c r="K220" s="147">
        <v>0</v>
      </c>
      <c r="L220" s="147">
        <v>19.469083333333302</v>
      </c>
      <c r="M220" s="123">
        <v>2411</v>
      </c>
    </row>
    <row r="221" spans="1:13">
      <c r="A221" s="126" t="s">
        <v>12</v>
      </c>
      <c r="B221" s="19">
        <v>45966</v>
      </c>
      <c r="C221" s="23"/>
      <c r="D221" s="23"/>
      <c r="E221" s="147">
        <v>13391.754999999999</v>
      </c>
      <c r="F221" s="147">
        <v>6.5878399999999999</v>
      </c>
      <c r="G221" s="147">
        <v>6.3532000000000002</v>
      </c>
      <c r="H221" s="147">
        <v>26.9308333333333</v>
      </c>
      <c r="I221" s="148">
        <v>0.84313524104448601</v>
      </c>
      <c r="J221" s="148">
        <v>0.23143500276510401</v>
      </c>
      <c r="K221" s="147">
        <v>0</v>
      </c>
      <c r="L221" s="147">
        <v>20.3639166666667</v>
      </c>
      <c r="M221" s="123">
        <v>2411</v>
      </c>
    </row>
    <row r="222" spans="1:13">
      <c r="A222" s="126" t="s">
        <v>12</v>
      </c>
      <c r="B222" s="19">
        <v>45967</v>
      </c>
      <c r="C222" s="23"/>
      <c r="D222" s="23"/>
      <c r="E222" s="147">
        <v>4725.7290000000003</v>
      </c>
      <c r="F222" s="147">
        <v>2.2668680000000001</v>
      </c>
      <c r="G222" s="147">
        <v>2.1630370000000001</v>
      </c>
      <c r="H222" s="147">
        <v>27.098333333333301</v>
      </c>
      <c r="I222" s="148">
        <v>0.86466000463904402</v>
      </c>
      <c r="J222" s="148">
        <v>8.1669587308170893E-2</v>
      </c>
      <c r="K222" s="147">
        <v>0</v>
      </c>
      <c r="L222" s="147">
        <v>15.166874999999999</v>
      </c>
      <c r="M222" s="123">
        <v>2411</v>
      </c>
    </row>
    <row r="223" spans="1:13">
      <c r="A223" s="126" t="s">
        <v>12</v>
      </c>
      <c r="B223" s="19">
        <v>45968</v>
      </c>
      <c r="C223" s="23"/>
      <c r="D223" s="23"/>
      <c r="E223" s="147">
        <v>8210.4876000000004</v>
      </c>
      <c r="F223" s="147">
        <v>3.9733024000000001</v>
      </c>
      <c r="G223" s="147">
        <v>3.8012453000000002</v>
      </c>
      <c r="H223" s="147">
        <v>27.7358333333333</v>
      </c>
      <c r="I223" s="148">
        <v>0.85707755015521503</v>
      </c>
      <c r="J223" s="148">
        <v>0.14189284529241</v>
      </c>
      <c r="K223" s="147">
        <v>0</v>
      </c>
      <c r="L223" s="147">
        <v>17.6941666666667</v>
      </c>
      <c r="M223" s="123">
        <v>2411</v>
      </c>
    </row>
    <row r="224" spans="1:13">
      <c r="A224" s="126" t="s">
        <v>12</v>
      </c>
      <c r="B224" s="19">
        <v>45969</v>
      </c>
      <c r="C224" s="23"/>
      <c r="D224" s="23"/>
      <c r="E224" s="147">
        <v>11237.725</v>
      </c>
      <c r="F224" s="147">
        <v>5.4961120000000001</v>
      </c>
      <c r="G224" s="147">
        <v>5.2998190000000003</v>
      </c>
      <c r="H224" s="147">
        <v>29.055416666666702</v>
      </c>
      <c r="I224" s="148">
        <v>0.84805811769219797</v>
      </c>
      <c r="J224" s="148">
        <v>0.19420926655606199</v>
      </c>
      <c r="K224" s="147">
        <v>0</v>
      </c>
      <c r="L224" s="147">
        <v>20.139375000000001</v>
      </c>
      <c r="M224" s="123">
        <v>2411</v>
      </c>
    </row>
    <row r="225" spans="1:13">
      <c r="A225" s="126" t="s">
        <v>12</v>
      </c>
      <c r="B225" s="19">
        <v>45970</v>
      </c>
      <c r="C225" s="23"/>
      <c r="D225" s="23"/>
      <c r="E225" s="147">
        <v>12701.605</v>
      </c>
      <c r="F225" s="147">
        <v>6.3166000000000002</v>
      </c>
      <c r="G225" s="147">
        <v>6.0893110000000004</v>
      </c>
      <c r="H225" s="147">
        <v>30.331250000000001</v>
      </c>
      <c r="I225" s="148">
        <v>0.83402297880274801</v>
      </c>
      <c r="J225" s="148">
        <v>0.21950789782939301</v>
      </c>
      <c r="K225" s="147">
        <v>0</v>
      </c>
      <c r="L225" s="147">
        <v>21.730208333333302</v>
      </c>
      <c r="M225" s="123">
        <v>2411</v>
      </c>
    </row>
    <row r="226" spans="1:13">
      <c r="A226" s="126" t="s">
        <v>12</v>
      </c>
      <c r="B226" s="19">
        <v>45971</v>
      </c>
      <c r="C226" s="23"/>
      <c r="D226" s="23"/>
      <c r="E226" s="147">
        <v>12201.115</v>
      </c>
      <c r="F226" s="147">
        <v>6.05884</v>
      </c>
      <c r="G226" s="147">
        <v>5.8351199999999999</v>
      </c>
      <c r="H226" s="147">
        <v>30.833749999999998</v>
      </c>
      <c r="I226" s="148">
        <v>0.83524296466510495</v>
      </c>
      <c r="J226" s="148">
        <v>0.21085847850131301</v>
      </c>
      <c r="K226" s="147">
        <v>0</v>
      </c>
      <c r="L226" s="147">
        <v>21.604875</v>
      </c>
      <c r="M226" s="123">
        <v>2411</v>
      </c>
    </row>
    <row r="227" spans="1:13">
      <c r="A227" s="126" t="s">
        <v>12</v>
      </c>
      <c r="B227" s="19">
        <v>45972</v>
      </c>
      <c r="C227" s="23"/>
      <c r="D227" s="23"/>
      <c r="E227" s="147">
        <v>11990.275</v>
      </c>
      <c r="F227" s="147">
        <v>5.9792500000000004</v>
      </c>
      <c r="G227" s="147">
        <v>5.755592</v>
      </c>
      <c r="H227" s="147">
        <v>31.871666666666702</v>
      </c>
      <c r="I227" s="148">
        <v>0.83173546729515402</v>
      </c>
      <c r="J227" s="148">
        <v>0.207214762201023</v>
      </c>
      <c r="K227" s="147">
        <v>0</v>
      </c>
      <c r="L227" s="147">
        <v>22.086124999999999</v>
      </c>
      <c r="M227" s="123">
        <v>2411</v>
      </c>
    </row>
    <row r="228" spans="1:13">
      <c r="A228" s="126" t="s">
        <v>12</v>
      </c>
      <c r="B228" s="19">
        <v>45973</v>
      </c>
      <c r="C228" s="23"/>
      <c r="D228" s="23"/>
      <c r="E228" s="147">
        <v>12496.683999999999</v>
      </c>
      <c r="F228" s="147">
        <v>6.1501229999999998</v>
      </c>
      <c r="G228" s="147">
        <v>5.9424380000000001</v>
      </c>
      <c r="H228" s="147">
        <v>28.557916666666699</v>
      </c>
      <c r="I228" s="148">
        <v>0.84277913703915097</v>
      </c>
      <c r="J228" s="148">
        <v>0.21596647310936001</v>
      </c>
      <c r="K228" s="147">
        <v>0</v>
      </c>
      <c r="L228" s="147">
        <v>20.577750000000002</v>
      </c>
      <c r="M228" s="123">
        <v>2411</v>
      </c>
    </row>
    <row r="229" spans="1:13">
      <c r="A229" s="126" t="s">
        <v>12</v>
      </c>
      <c r="B229" s="19">
        <v>45974</v>
      </c>
      <c r="C229" s="23"/>
      <c r="D229" s="23"/>
      <c r="E229" s="147">
        <v>11621.102000000001</v>
      </c>
      <c r="F229" s="147">
        <v>5.640358</v>
      </c>
      <c r="G229" s="147">
        <v>5.4375720000000003</v>
      </c>
      <c r="H229" s="147">
        <v>25.949583333333301</v>
      </c>
      <c r="I229" s="148">
        <v>0.85456171590241403</v>
      </c>
      <c r="J229" s="148">
        <v>0.200834750449329</v>
      </c>
      <c r="K229" s="147">
        <v>0</v>
      </c>
      <c r="L229" s="147">
        <v>18.843</v>
      </c>
      <c r="M229" s="123">
        <v>2411</v>
      </c>
    </row>
    <row r="230" spans="1:13">
      <c r="A230" s="126" t="s">
        <v>12</v>
      </c>
      <c r="B230" s="19">
        <v>45975</v>
      </c>
      <c r="C230" s="23"/>
      <c r="D230" s="23"/>
      <c r="E230" s="147">
        <v>12120.450999999999</v>
      </c>
      <c r="F230" s="147">
        <v>5.9228259999999997</v>
      </c>
      <c r="G230" s="147">
        <v>5.713514</v>
      </c>
      <c r="H230" s="147">
        <v>26.428333333333299</v>
      </c>
      <c r="I230" s="148">
        <v>0.84877503189232995</v>
      </c>
      <c r="J230" s="148">
        <v>0.20946445112678</v>
      </c>
      <c r="K230" s="147">
        <v>0</v>
      </c>
      <c r="L230" s="147">
        <v>19.478916666666699</v>
      </c>
      <c r="M230" s="123">
        <v>2411</v>
      </c>
    </row>
    <row r="231" spans="1:13">
      <c r="A231" s="126" t="s">
        <v>12</v>
      </c>
      <c r="B231" s="19">
        <v>45976</v>
      </c>
      <c r="C231" s="23"/>
      <c r="D231" s="23"/>
      <c r="E231" s="147">
        <v>12968.15</v>
      </c>
      <c r="F231" s="147">
        <v>6.4068740000000002</v>
      </c>
      <c r="G231" s="147">
        <v>6.1856879999999999</v>
      </c>
      <c r="H231" s="147">
        <v>27.3645833333333</v>
      </c>
      <c r="I231" s="148">
        <v>0.83952692999082901</v>
      </c>
      <c r="J231" s="148">
        <v>0.22411430250241901</v>
      </c>
      <c r="K231" s="147">
        <v>0</v>
      </c>
      <c r="L231" s="147">
        <v>20.455916666666699</v>
      </c>
      <c r="M231" s="123">
        <v>2411</v>
      </c>
    </row>
    <row r="232" spans="1:13">
      <c r="A232" s="126" t="s">
        <v>12</v>
      </c>
      <c r="B232" s="19">
        <v>45977</v>
      </c>
      <c r="C232" s="23"/>
      <c r="D232" s="23"/>
      <c r="E232" s="147">
        <v>12924.919</v>
      </c>
      <c r="F232" s="147">
        <v>6.4155759999999997</v>
      </c>
      <c r="G232" s="147">
        <v>6.1923130000000004</v>
      </c>
      <c r="H232" s="147">
        <v>28.3675</v>
      </c>
      <c r="I232" s="148">
        <v>0.83559333190392504</v>
      </c>
      <c r="J232" s="148">
        <v>0.223367188580119</v>
      </c>
      <c r="K232" s="147">
        <v>0</v>
      </c>
      <c r="L232" s="147">
        <v>20.976541666666702</v>
      </c>
      <c r="M232" s="123">
        <v>2411</v>
      </c>
    </row>
    <row r="233" spans="1:13">
      <c r="A233" s="126" t="s">
        <v>12</v>
      </c>
      <c r="B233" s="19">
        <v>45978</v>
      </c>
      <c r="C233" s="23"/>
      <c r="D233" s="23"/>
      <c r="E233" s="147">
        <v>12436.439</v>
      </c>
      <c r="F233" s="147">
        <v>6.1283130000000003</v>
      </c>
      <c r="G233" s="147">
        <v>5.911994</v>
      </c>
      <c r="H233" s="147">
        <v>27.532499999999999</v>
      </c>
      <c r="I233" s="148">
        <v>0.84170110070982995</v>
      </c>
      <c r="J233" s="148">
        <v>0.21492532489976501</v>
      </c>
      <c r="K233" s="147">
        <v>0</v>
      </c>
      <c r="L233" s="147">
        <v>20.089500000000001</v>
      </c>
      <c r="M233" s="123">
        <v>2411</v>
      </c>
    </row>
    <row r="234" spans="1:13">
      <c r="A234" s="126" t="s">
        <v>12</v>
      </c>
      <c r="B234" s="19">
        <v>45979</v>
      </c>
      <c r="C234" s="23"/>
      <c r="D234" s="23"/>
      <c r="E234" s="147">
        <v>11834.882</v>
      </c>
      <c r="F234" s="147">
        <v>5.8188649999999997</v>
      </c>
      <c r="G234" s="147">
        <v>5.6106470000000002</v>
      </c>
      <c r="H234" s="147">
        <v>27.978750000000002</v>
      </c>
      <c r="I234" s="148">
        <v>0.84358420637420595</v>
      </c>
      <c r="J234" s="148">
        <v>0.20452927554265199</v>
      </c>
      <c r="K234" s="147">
        <v>0</v>
      </c>
      <c r="L234" s="147">
        <v>19.937083333333302</v>
      </c>
      <c r="M234" s="123">
        <v>2411</v>
      </c>
    </row>
    <row r="235" spans="1:13">
      <c r="A235" s="126" t="s">
        <v>12</v>
      </c>
      <c r="B235" s="19">
        <v>45980</v>
      </c>
      <c r="C235" s="23"/>
      <c r="D235" s="23"/>
      <c r="E235" s="147">
        <v>11961.018</v>
      </c>
      <c r="F235" s="147">
        <v>5.9919039999999999</v>
      </c>
      <c r="G235" s="147">
        <v>5.7783709999999999</v>
      </c>
      <c r="H235" s="147">
        <v>31.3495833333333</v>
      </c>
      <c r="I235" s="148">
        <v>0.82795376794853504</v>
      </c>
      <c r="J235" s="148">
        <v>0.206709145582746</v>
      </c>
      <c r="K235" s="147">
        <v>0</v>
      </c>
      <c r="L235" s="147">
        <v>21.927875</v>
      </c>
      <c r="M235" s="123">
        <v>2411</v>
      </c>
    </row>
    <row r="236" spans="1:13">
      <c r="A236" s="126" t="s">
        <v>12</v>
      </c>
      <c r="B236" s="19">
        <v>45981</v>
      </c>
      <c r="C236" s="23"/>
      <c r="D236" s="23"/>
      <c r="E236" s="147">
        <v>10615.467000000001</v>
      </c>
      <c r="F236" s="147">
        <v>5.2486569999999997</v>
      </c>
      <c r="G236" s="147">
        <v>5.0456279999999998</v>
      </c>
      <c r="H236" s="147">
        <v>30.553333333333299</v>
      </c>
      <c r="I236" s="148">
        <v>0.83886814263169995</v>
      </c>
      <c r="J236" s="148">
        <v>0.183455464537536</v>
      </c>
      <c r="K236" s="147">
        <v>0</v>
      </c>
      <c r="L236" s="147">
        <v>20.46725</v>
      </c>
      <c r="M236" s="123">
        <v>2411</v>
      </c>
    </row>
    <row r="237" spans="1:13">
      <c r="A237" s="126" t="s">
        <v>12</v>
      </c>
      <c r="B237" s="19">
        <v>45982</v>
      </c>
      <c r="C237" s="23"/>
      <c r="D237" s="23"/>
      <c r="E237" s="147">
        <v>11196.425999999999</v>
      </c>
      <c r="F237" s="147">
        <v>5.4938849999999997</v>
      </c>
      <c r="G237" s="147">
        <v>5.2898129999999997</v>
      </c>
      <c r="H237" s="147">
        <v>28.052499999999998</v>
      </c>
      <c r="I237" s="148">
        <v>0.845283982183899</v>
      </c>
      <c r="J237" s="148">
        <v>0.193495541269183</v>
      </c>
      <c r="K237" s="147">
        <v>0</v>
      </c>
      <c r="L237" s="147">
        <v>19.469958333333299</v>
      </c>
      <c r="M237" s="123">
        <v>2411</v>
      </c>
    </row>
    <row r="238" spans="1:13">
      <c r="A238" s="126" t="s">
        <v>12</v>
      </c>
      <c r="B238" s="19">
        <v>45983</v>
      </c>
      <c r="C238" s="23"/>
      <c r="D238" s="23"/>
      <c r="E238" s="147">
        <v>10243.841</v>
      </c>
      <c r="F238" s="147">
        <v>5.0547529999999998</v>
      </c>
      <c r="G238" s="147">
        <v>4.858257</v>
      </c>
      <c r="H238" s="147">
        <v>29.5216666666667</v>
      </c>
      <c r="I238" s="148">
        <v>0.84055411742227804</v>
      </c>
      <c r="J238" s="148">
        <v>0.17703306027927601</v>
      </c>
      <c r="K238" s="147">
        <v>0</v>
      </c>
      <c r="L238" s="147">
        <v>19.795375</v>
      </c>
      <c r="M238" s="123">
        <v>2411</v>
      </c>
    </row>
    <row r="239" spans="1:13">
      <c r="A239" s="126" t="s">
        <v>12</v>
      </c>
      <c r="B239" s="19">
        <v>45984</v>
      </c>
      <c r="C239" s="23"/>
      <c r="D239" s="23"/>
      <c r="E239" s="147">
        <v>11349.07</v>
      </c>
      <c r="F239" s="147">
        <v>5.6470390000000004</v>
      </c>
      <c r="G239" s="147">
        <v>5.4408219999999998</v>
      </c>
      <c r="H239" s="147">
        <v>30.0483333333333</v>
      </c>
      <c r="I239" s="148">
        <v>0.83357038608536305</v>
      </c>
      <c r="J239" s="148">
        <v>0.19613351997787901</v>
      </c>
      <c r="K239" s="147">
        <v>0</v>
      </c>
      <c r="L239" s="147">
        <v>20.772375</v>
      </c>
      <c r="M239" s="123">
        <v>2411</v>
      </c>
    </row>
    <row r="240" spans="1:13">
      <c r="A240" s="126" t="s">
        <v>12</v>
      </c>
      <c r="B240" s="19">
        <v>45985</v>
      </c>
      <c r="C240" s="23"/>
      <c r="D240" s="23"/>
      <c r="E240" s="147">
        <v>12089.898999999999</v>
      </c>
      <c r="F240" s="147">
        <v>5.9842430000000002</v>
      </c>
      <c r="G240" s="147">
        <v>5.7588290000000004</v>
      </c>
      <c r="H240" s="147">
        <v>26.827500000000001</v>
      </c>
      <c r="I240" s="148">
        <v>0.83794640469608805</v>
      </c>
      <c r="J240" s="148">
        <v>0.208936454444905</v>
      </c>
      <c r="K240" s="147">
        <v>0</v>
      </c>
      <c r="L240" s="147">
        <v>19.486125000000001</v>
      </c>
      <c r="M240" s="123">
        <v>2411</v>
      </c>
    </row>
    <row r="241" spans="1:13">
      <c r="A241" s="126" t="s">
        <v>12</v>
      </c>
      <c r="B241" s="19">
        <v>45986</v>
      </c>
      <c r="C241" s="23"/>
      <c r="D241" s="23"/>
      <c r="E241" s="147">
        <v>13134.744000000001</v>
      </c>
      <c r="F241" s="147">
        <v>6.5966699999999996</v>
      </c>
      <c r="G241" s="147">
        <v>6.3498270000000003</v>
      </c>
      <c r="H241" s="147">
        <v>26.944583333333298</v>
      </c>
      <c r="I241" s="148">
        <v>0.82584709103040699</v>
      </c>
      <c r="J241" s="148">
        <v>0.22699336374948201</v>
      </c>
      <c r="K241" s="147">
        <v>0</v>
      </c>
      <c r="L241" s="147">
        <v>20.456375000000001</v>
      </c>
      <c r="M241" s="123">
        <v>2411</v>
      </c>
    </row>
    <row r="242" spans="1:13">
      <c r="A242" s="126" t="s">
        <v>12</v>
      </c>
      <c r="B242" s="19">
        <v>45987</v>
      </c>
      <c r="C242" s="23"/>
      <c r="D242" s="23"/>
      <c r="E242" s="147">
        <v>12717.611000000001</v>
      </c>
      <c r="F242" s="147">
        <v>6.3968290000000003</v>
      </c>
      <c r="G242" s="147">
        <v>6.1563720000000002</v>
      </c>
      <c r="H242" s="147">
        <v>28.168749999999999</v>
      </c>
      <c r="I242" s="148">
        <v>0.82460048361740401</v>
      </c>
      <c r="J242" s="148">
        <v>0.219784511959076</v>
      </c>
      <c r="K242" s="147">
        <v>0</v>
      </c>
      <c r="L242" s="147">
        <v>20.749666666666698</v>
      </c>
      <c r="M242" s="123">
        <v>2411</v>
      </c>
    </row>
    <row r="243" spans="1:13">
      <c r="A243" s="126" t="s">
        <v>12</v>
      </c>
      <c r="B243" s="19">
        <v>45988</v>
      </c>
      <c r="C243" s="23"/>
      <c r="D243" s="23"/>
      <c r="E243" s="147">
        <v>11587.941000000001</v>
      </c>
      <c r="F243" s="147">
        <v>5.7189199999999998</v>
      </c>
      <c r="G243" s="147">
        <v>5.5242760000000004</v>
      </c>
      <c r="H243" s="147">
        <v>27.5975</v>
      </c>
      <c r="I243" s="148">
        <v>0.84041741566917305</v>
      </c>
      <c r="J243" s="148">
        <v>0.20026166528411399</v>
      </c>
      <c r="K243" s="147">
        <v>0</v>
      </c>
      <c r="L243" s="147">
        <v>19.6287083333333</v>
      </c>
      <c r="M243" s="123">
        <v>2411</v>
      </c>
    </row>
    <row r="244" spans="1:13">
      <c r="A244" s="126" t="s">
        <v>12</v>
      </c>
      <c r="B244" s="19">
        <v>45989</v>
      </c>
      <c r="C244" s="23"/>
      <c r="D244" s="23"/>
      <c r="E244" s="147">
        <v>11714.784</v>
      </c>
      <c r="F244" s="147">
        <v>5.758267</v>
      </c>
      <c r="G244" s="147">
        <v>5.5649439999999997</v>
      </c>
      <c r="H244" s="147">
        <v>26.1741666666667</v>
      </c>
      <c r="I244" s="148">
        <v>0.84381118261810195</v>
      </c>
      <c r="J244" s="148">
        <v>0.20245375362919901</v>
      </c>
      <c r="K244" s="147">
        <v>0</v>
      </c>
      <c r="L244" s="147">
        <v>18.965666666666699</v>
      </c>
      <c r="M244" s="123">
        <v>2411</v>
      </c>
    </row>
    <row r="245" spans="1:13">
      <c r="A245" s="126" t="s">
        <v>12</v>
      </c>
      <c r="B245" s="19">
        <v>45990</v>
      </c>
      <c r="C245" s="23"/>
      <c r="D245" s="23"/>
      <c r="E245" s="147">
        <v>9679.6620000000003</v>
      </c>
      <c r="F245" s="147">
        <v>4.7063040000000003</v>
      </c>
      <c r="G245" s="147">
        <v>4.5167729999999997</v>
      </c>
      <c r="H245" s="147">
        <v>25.003333333333298</v>
      </c>
      <c r="I245" s="148">
        <v>0.85306673195661098</v>
      </c>
      <c r="J245" s="148">
        <v>0.16728297386976401</v>
      </c>
      <c r="K245" s="147">
        <v>0</v>
      </c>
      <c r="L245" s="147">
        <v>16.952750000000002</v>
      </c>
      <c r="M245" s="123">
        <v>2411</v>
      </c>
    </row>
    <row r="246" spans="1:13">
      <c r="A246" s="126" t="s">
        <v>12</v>
      </c>
      <c r="B246" s="19">
        <v>45991</v>
      </c>
      <c r="C246" s="23"/>
      <c r="D246" s="23"/>
      <c r="E246" s="147">
        <v>11309.918</v>
      </c>
      <c r="F246" s="147">
        <v>5.5877869999999996</v>
      </c>
      <c r="G246" s="147">
        <v>5.3666369999999999</v>
      </c>
      <c r="H246" s="147">
        <v>25.6675</v>
      </c>
      <c r="I246" s="148">
        <v>0.83950329073932795</v>
      </c>
      <c r="J246" s="148">
        <v>0.195456898935435</v>
      </c>
      <c r="K246" s="147">
        <v>0</v>
      </c>
      <c r="L246" s="147">
        <v>18.5372916666667</v>
      </c>
      <c r="M246" s="123">
        <v>2411</v>
      </c>
    </row>
    <row r="247" spans="1:13">
      <c r="A247" s="126" t="s">
        <v>12</v>
      </c>
      <c r="B247" s="19">
        <v>45992</v>
      </c>
      <c r="C247" s="23"/>
      <c r="D247" s="23"/>
      <c r="E247" s="147">
        <v>11630.476000000001</v>
      </c>
      <c r="F247" s="147">
        <v>5.792637</v>
      </c>
      <c r="G247" s="147">
        <v>5.5579960000000002</v>
      </c>
      <c r="H247" s="147">
        <v>25.279583333333299</v>
      </c>
      <c r="I247" s="148">
        <v>0.83276787826622101</v>
      </c>
      <c r="J247" s="148">
        <v>0.20099675100235001</v>
      </c>
      <c r="K247" s="147">
        <v>0</v>
      </c>
      <c r="L247" s="147">
        <v>18.839708333333299</v>
      </c>
      <c r="M247" s="123">
        <v>2411</v>
      </c>
    </row>
    <row r="248" spans="1:13">
      <c r="A248" s="126" t="s">
        <v>12</v>
      </c>
      <c r="B248" s="19">
        <v>45993</v>
      </c>
      <c r="C248" s="23"/>
      <c r="D248" s="23"/>
      <c r="E248" s="147">
        <v>11450.71</v>
      </c>
      <c r="F248" s="147">
        <v>5.6520239999999999</v>
      </c>
      <c r="G248" s="147">
        <v>5.4240000000000004</v>
      </c>
      <c r="H248" s="147">
        <v>23.4754166666667</v>
      </c>
      <c r="I248" s="148">
        <v>0.84029389487510997</v>
      </c>
      <c r="J248" s="148">
        <v>0.197890052536983</v>
      </c>
      <c r="K248" s="147">
        <v>0</v>
      </c>
      <c r="L248" s="147">
        <v>17.706458333333298</v>
      </c>
      <c r="M248" s="123">
        <v>2411</v>
      </c>
    </row>
    <row r="249" spans="1:13">
      <c r="A249" s="126" t="s">
        <v>12</v>
      </c>
      <c r="B249" s="19">
        <v>45994</v>
      </c>
      <c r="C249" s="23"/>
      <c r="D249" s="23"/>
      <c r="E249" s="147">
        <v>11579.14</v>
      </c>
      <c r="F249" s="147">
        <v>5.8193840000000003</v>
      </c>
      <c r="G249" s="147">
        <v>5.5829709999999997</v>
      </c>
      <c r="H249" s="147">
        <v>26.6</v>
      </c>
      <c r="I249" s="148">
        <v>0.82528144117451896</v>
      </c>
      <c r="J249" s="148">
        <v>0.200109567261164</v>
      </c>
      <c r="K249" s="147">
        <v>0</v>
      </c>
      <c r="L249" s="147">
        <v>19.6212083333333</v>
      </c>
      <c r="M249" s="123">
        <v>2411</v>
      </c>
    </row>
    <row r="250" spans="1:13">
      <c r="A250" s="126" t="s">
        <v>12</v>
      </c>
      <c r="B250" s="19">
        <v>45995</v>
      </c>
      <c r="C250" s="23"/>
      <c r="D250" s="23"/>
      <c r="E250" s="147">
        <v>9977.5169999999998</v>
      </c>
      <c r="F250" s="147">
        <v>4.8849780000000003</v>
      </c>
      <c r="G250" s="147">
        <v>4.7085169999999996</v>
      </c>
      <c r="H250" s="147">
        <v>26.57375</v>
      </c>
      <c r="I250" s="148">
        <v>0.84715456195714001</v>
      </c>
      <c r="J250" s="148">
        <v>0.17243047490667801</v>
      </c>
      <c r="K250" s="147">
        <v>0</v>
      </c>
      <c r="L250" s="147">
        <v>18.338708333333301</v>
      </c>
      <c r="M250" s="123">
        <v>2411</v>
      </c>
    </row>
    <row r="251" spans="1:13">
      <c r="A251" s="126" t="s">
        <v>12</v>
      </c>
      <c r="B251" s="19">
        <v>45996</v>
      </c>
      <c r="C251" s="23"/>
      <c r="D251" s="23"/>
      <c r="E251" s="147">
        <v>12666.071</v>
      </c>
      <c r="F251" s="147">
        <v>6.3895189999999999</v>
      </c>
      <c r="G251" s="147">
        <v>6.1380850000000002</v>
      </c>
      <c r="H251" s="147">
        <v>24.797499999999999</v>
      </c>
      <c r="I251" s="148">
        <v>0.82219823824535998</v>
      </c>
      <c r="J251" s="148">
        <v>0.21889380270980199</v>
      </c>
      <c r="K251" s="147">
        <v>0</v>
      </c>
      <c r="L251" s="147">
        <v>19.298541666666701</v>
      </c>
      <c r="M251" s="123">
        <v>2411</v>
      </c>
    </row>
    <row r="252" spans="1:13">
      <c r="A252" s="126" t="s">
        <v>12</v>
      </c>
      <c r="B252" s="19">
        <v>45997</v>
      </c>
      <c r="C252" s="23"/>
      <c r="D252" s="23"/>
      <c r="E252" s="147">
        <v>12316.806</v>
      </c>
      <c r="F252" s="147">
        <v>6.1863400000000004</v>
      </c>
      <c r="G252" s="147">
        <v>5.9375260000000001</v>
      </c>
      <c r="H252" s="147">
        <v>24.088333333333299</v>
      </c>
      <c r="I252" s="148">
        <v>0.825785219968867</v>
      </c>
      <c r="J252" s="148">
        <v>0.21285783907092501</v>
      </c>
      <c r="K252" s="147">
        <v>0</v>
      </c>
      <c r="L252" s="147">
        <v>18.716958333333299</v>
      </c>
      <c r="M252" s="123">
        <v>2411</v>
      </c>
    </row>
    <row r="253" spans="1:13">
      <c r="A253" s="126" t="s">
        <v>12</v>
      </c>
      <c r="B253" s="19">
        <v>45998</v>
      </c>
      <c r="C253" s="23"/>
      <c r="D253" s="23"/>
      <c r="E253" s="147">
        <v>11068.04</v>
      </c>
      <c r="F253" s="147">
        <v>5.5031109999999996</v>
      </c>
      <c r="G253" s="147">
        <v>5.2732210000000004</v>
      </c>
      <c r="H253" s="147">
        <v>24.571666666666701</v>
      </c>
      <c r="I253" s="148">
        <v>0.83419049457097505</v>
      </c>
      <c r="J253" s="148">
        <v>0.19127678694870701</v>
      </c>
      <c r="K253" s="147">
        <v>0</v>
      </c>
      <c r="L253" s="147">
        <v>18.1361666666667</v>
      </c>
      <c r="M253" s="123">
        <v>2411</v>
      </c>
    </row>
    <row r="254" spans="1:13">
      <c r="A254" s="126" t="s">
        <v>12</v>
      </c>
      <c r="B254" s="19">
        <v>45999</v>
      </c>
      <c r="C254" s="23"/>
      <c r="D254" s="23"/>
      <c r="E254" s="147">
        <v>12069.222</v>
      </c>
      <c r="F254" s="147">
        <v>6.093045</v>
      </c>
      <c r="G254" s="147">
        <v>5.8460460000000003</v>
      </c>
      <c r="H254" s="147">
        <v>25.4175</v>
      </c>
      <c r="I254" s="148">
        <v>0.82157587826441303</v>
      </c>
      <c r="J254" s="148">
        <v>0.20857911654915001</v>
      </c>
      <c r="K254" s="147">
        <v>0</v>
      </c>
      <c r="L254" s="147">
        <v>19.3014166666667</v>
      </c>
      <c r="M254" s="123">
        <v>2411</v>
      </c>
    </row>
    <row r="255" spans="1:13">
      <c r="A255" s="126" t="s">
        <v>12</v>
      </c>
      <c r="B255" s="19">
        <v>46000</v>
      </c>
      <c r="C255" s="23"/>
      <c r="D255" s="23"/>
      <c r="E255" s="147">
        <v>11845.699000000001</v>
      </c>
      <c r="F255" s="147">
        <v>5.9073000000000002</v>
      </c>
      <c r="G255" s="147">
        <v>5.6681010000000001</v>
      </c>
      <c r="H255" s="147">
        <v>23.703333333333301</v>
      </c>
      <c r="I255" s="148">
        <v>0.83171484995510203</v>
      </c>
      <c r="J255" s="148">
        <v>0.20471621388082401</v>
      </c>
      <c r="K255" s="147">
        <v>0</v>
      </c>
      <c r="L255" s="147">
        <v>18.058250000000001</v>
      </c>
      <c r="M255" s="123">
        <v>2411</v>
      </c>
    </row>
    <row r="256" spans="1:13">
      <c r="A256" s="126" t="s">
        <v>12</v>
      </c>
      <c r="B256" s="19">
        <v>46001</v>
      </c>
      <c r="C256" s="23"/>
      <c r="D256" s="23"/>
      <c r="E256" s="147">
        <v>9570.6029999999992</v>
      </c>
      <c r="F256" s="147">
        <v>4.7549489999999999</v>
      </c>
      <c r="G256" s="147">
        <v>4.5262599999999997</v>
      </c>
      <c r="H256" s="147">
        <v>25.048749999999998</v>
      </c>
      <c r="I256" s="148">
        <v>0.83482650288016802</v>
      </c>
      <c r="J256" s="148">
        <v>0.16539822687681499</v>
      </c>
      <c r="K256" s="147">
        <v>0</v>
      </c>
      <c r="L256" s="147">
        <v>17.474916666666701</v>
      </c>
      <c r="M256" s="123">
        <v>2411</v>
      </c>
    </row>
    <row r="257" spans="1:13">
      <c r="A257" s="126" t="s">
        <v>12</v>
      </c>
      <c r="B257" s="19">
        <v>46002</v>
      </c>
      <c r="C257" s="23"/>
      <c r="D257" s="23"/>
      <c r="E257" s="147">
        <v>9703.518</v>
      </c>
      <c r="F257" s="147">
        <v>4.7300789999999999</v>
      </c>
      <c r="G257" s="147">
        <v>4.5214746000000003</v>
      </c>
      <c r="H257" s="147">
        <v>22.748333333333299</v>
      </c>
      <c r="I257" s="148">
        <v>0.85087078300327401</v>
      </c>
      <c r="J257" s="148">
        <v>0.16769525093322299</v>
      </c>
      <c r="K257" s="147">
        <v>0</v>
      </c>
      <c r="L257" s="147">
        <v>16.091666666666701</v>
      </c>
      <c r="M257" s="123">
        <v>2411</v>
      </c>
    </row>
    <row r="258" spans="1:13">
      <c r="A258" s="126" t="s">
        <v>12</v>
      </c>
      <c r="B258" s="19">
        <v>46003</v>
      </c>
      <c r="C258" s="23"/>
      <c r="D258" s="23"/>
      <c r="E258" s="147">
        <v>11247.064899999999</v>
      </c>
      <c r="F258" s="147">
        <v>5.6323699999999999</v>
      </c>
      <c r="G258" s="147">
        <v>5.4086673999999997</v>
      </c>
      <c r="H258" s="147">
        <v>25.698333333333299</v>
      </c>
      <c r="I258" s="148">
        <v>0.82822972693716601</v>
      </c>
      <c r="J258" s="148">
        <v>0.194370677796212</v>
      </c>
      <c r="K258" s="147">
        <v>0</v>
      </c>
      <c r="L258" s="147">
        <v>18.982333333333301</v>
      </c>
      <c r="M258" s="123">
        <v>2411</v>
      </c>
    </row>
    <row r="259" spans="1:13">
      <c r="A259" s="126" t="s">
        <v>12</v>
      </c>
      <c r="B259" s="19">
        <v>46004</v>
      </c>
      <c r="C259" s="23"/>
      <c r="D259" s="23"/>
      <c r="E259" s="147">
        <v>11601.182000000001</v>
      </c>
      <c r="F259" s="147">
        <v>5.7793950000000001</v>
      </c>
      <c r="G259" s="147">
        <v>5.5494348999999996</v>
      </c>
      <c r="H259" s="147">
        <v>23.984583333333301</v>
      </c>
      <c r="I259" s="148">
        <v>0.832573630784611</v>
      </c>
      <c r="J259" s="148">
        <v>0.20049049495368501</v>
      </c>
      <c r="K259" s="147">
        <v>0</v>
      </c>
      <c r="L259" s="147">
        <v>17.9612083333333</v>
      </c>
      <c r="M259" s="123">
        <v>2411</v>
      </c>
    </row>
    <row r="260" spans="1:13">
      <c r="A260" s="126" t="s">
        <v>12</v>
      </c>
      <c r="B260" s="19">
        <v>46005</v>
      </c>
      <c r="C260" s="23"/>
      <c r="D260" s="23"/>
      <c r="E260" s="147">
        <v>11389.602000000001</v>
      </c>
      <c r="F260" s="147">
        <v>5.7463059999999997</v>
      </c>
      <c r="G260" s="147">
        <v>5.5172942999999997</v>
      </c>
      <c r="H260" s="147">
        <v>26.784583333333298</v>
      </c>
      <c r="I260" s="148">
        <v>0.82209610158160396</v>
      </c>
      <c r="J260" s="148">
        <v>0.19683399004562399</v>
      </c>
      <c r="K260" s="147">
        <v>0</v>
      </c>
      <c r="L260" s="147">
        <v>19.571208333333299</v>
      </c>
      <c r="M260" s="123">
        <v>2411</v>
      </c>
    </row>
    <row r="261" spans="1:13">
      <c r="A261" s="126" t="s">
        <v>12</v>
      </c>
      <c r="B261" s="19">
        <v>46006</v>
      </c>
      <c r="C261" s="23"/>
      <c r="D261" s="23"/>
      <c r="E261" s="147">
        <v>10671.171200000001</v>
      </c>
      <c r="F261" s="147">
        <v>5.3428050000000002</v>
      </c>
      <c r="G261" s="147">
        <v>5.1239926999999996</v>
      </c>
      <c r="H261" s="147">
        <v>27.4120833333333</v>
      </c>
      <c r="I261" s="148">
        <v>0.828410420749777</v>
      </c>
      <c r="J261" s="148">
        <v>0.18441813908474999</v>
      </c>
      <c r="K261" s="147">
        <v>0</v>
      </c>
      <c r="L261" s="147">
        <v>19.076499999999999</v>
      </c>
      <c r="M261" s="123">
        <v>2411</v>
      </c>
    </row>
    <row r="262" spans="1:13">
      <c r="A262" s="126" t="s">
        <v>12</v>
      </c>
      <c r="B262" s="19">
        <v>46007</v>
      </c>
      <c r="C262" s="23"/>
      <c r="D262" s="23"/>
      <c r="E262" s="147">
        <v>10195.195599999999</v>
      </c>
      <c r="F262" s="147">
        <v>5.1369689999999997</v>
      </c>
      <c r="G262" s="147">
        <v>4.9238033999999997</v>
      </c>
      <c r="H262" s="147">
        <v>29.559166666666702</v>
      </c>
      <c r="I262" s="148">
        <v>0.82317354949814803</v>
      </c>
      <c r="J262" s="148">
        <v>0.17619237522466499</v>
      </c>
      <c r="K262" s="147">
        <v>0</v>
      </c>
      <c r="L262" s="147">
        <v>20.096541666666699</v>
      </c>
      <c r="M262" s="123">
        <v>2411</v>
      </c>
    </row>
    <row r="263" spans="1:13">
      <c r="A263" s="126" t="s">
        <v>12</v>
      </c>
      <c r="B263" s="19">
        <v>46008</v>
      </c>
      <c r="C263" s="23"/>
      <c r="D263" s="23"/>
      <c r="E263" s="147">
        <v>10430.890299999999</v>
      </c>
      <c r="F263" s="147">
        <v>5.222156</v>
      </c>
      <c r="G263" s="147">
        <v>4.9948458999999996</v>
      </c>
      <c r="H263" s="147">
        <v>27.098749999999999</v>
      </c>
      <c r="I263" s="148">
        <v>0.82846530677827102</v>
      </c>
      <c r="J263" s="148">
        <v>0.18026562802433299</v>
      </c>
      <c r="K263" s="147">
        <v>0</v>
      </c>
      <c r="L263" s="147">
        <v>18.617000000000001</v>
      </c>
      <c r="M263" s="123">
        <v>2411</v>
      </c>
    </row>
    <row r="264" spans="1:13">
      <c r="A264" s="126" t="s">
        <v>12</v>
      </c>
      <c r="B264" s="19">
        <v>46009</v>
      </c>
      <c r="C264" s="23"/>
      <c r="D264" s="23"/>
      <c r="E264" s="147">
        <v>8919.7189999999991</v>
      </c>
      <c r="F264" s="147">
        <v>4.4544364999999999</v>
      </c>
      <c r="G264" s="147">
        <v>4.2658398999999996</v>
      </c>
      <c r="H264" s="147">
        <v>28.783333333333299</v>
      </c>
      <c r="I264" s="148">
        <v>0.83054121770286504</v>
      </c>
      <c r="J264" s="148">
        <v>0.15414971312042</v>
      </c>
      <c r="K264" s="147">
        <v>0</v>
      </c>
      <c r="L264" s="147">
        <v>18.993166666666699</v>
      </c>
      <c r="M264" s="123">
        <v>2411</v>
      </c>
    </row>
    <row r="265" spans="1:13">
      <c r="A265" s="126" t="s">
        <v>12</v>
      </c>
      <c r="B265" s="19">
        <v>46010</v>
      </c>
      <c r="C265" s="23"/>
      <c r="D265" s="23"/>
      <c r="E265" s="147">
        <v>10895.999900000001</v>
      </c>
      <c r="F265" s="147">
        <v>5.4963579999999999</v>
      </c>
      <c r="G265" s="147">
        <v>5.2692888</v>
      </c>
      <c r="H265" s="147">
        <v>28.074583333333301</v>
      </c>
      <c r="I265" s="148">
        <v>0.822232933442964</v>
      </c>
      <c r="J265" s="148">
        <v>0.18830360673302901</v>
      </c>
      <c r="K265" s="147">
        <v>0</v>
      </c>
      <c r="L265" s="147">
        <v>19.548791666666698</v>
      </c>
      <c r="M265" s="123">
        <v>2411</v>
      </c>
    </row>
    <row r="266" spans="1:13">
      <c r="A266" s="126" t="s">
        <v>12</v>
      </c>
      <c r="B266" s="19">
        <v>46011</v>
      </c>
      <c r="C266" s="23"/>
      <c r="D266" s="23"/>
      <c r="E266" s="147">
        <v>7438.88</v>
      </c>
      <c r="F266" s="147">
        <v>3.6823364000000001</v>
      </c>
      <c r="G266" s="147">
        <v>3.4899700999999999</v>
      </c>
      <c r="H266" s="147">
        <v>27.686666666666699</v>
      </c>
      <c r="I266" s="148">
        <v>0.83788975758603901</v>
      </c>
      <c r="J266" s="148">
        <v>0.128557998064427</v>
      </c>
      <c r="K266" s="147">
        <v>0</v>
      </c>
      <c r="L266" s="147">
        <v>17.333166666666699</v>
      </c>
      <c r="M266" s="123">
        <v>2411</v>
      </c>
    </row>
    <row r="267" spans="1:13">
      <c r="A267" s="126" t="s">
        <v>12</v>
      </c>
      <c r="B267" s="19">
        <v>46012</v>
      </c>
      <c r="C267" s="23"/>
      <c r="D267" s="23"/>
      <c r="E267" s="147">
        <v>10787.6158</v>
      </c>
      <c r="F267" s="147">
        <v>5.2957590000000003</v>
      </c>
      <c r="G267" s="147">
        <v>5.0990250000000001</v>
      </c>
      <c r="H267" s="147">
        <v>23.34</v>
      </c>
      <c r="I267" s="148">
        <v>0.84488976161945895</v>
      </c>
      <c r="J267" s="148">
        <v>0.18643052329600401</v>
      </c>
      <c r="K267" s="147">
        <v>0</v>
      </c>
      <c r="L267" s="147">
        <v>17.0393333333333</v>
      </c>
      <c r="M267" s="123">
        <v>2411</v>
      </c>
    </row>
    <row r="268" spans="1:13">
      <c r="A268" s="126" t="s">
        <v>12</v>
      </c>
      <c r="B268" s="19">
        <v>46013</v>
      </c>
      <c r="C268" s="23"/>
      <c r="D268" s="23"/>
      <c r="E268" s="147">
        <v>10589.41</v>
      </c>
      <c r="F268" s="147">
        <v>5.3084689999999997</v>
      </c>
      <c r="G268" s="147">
        <v>5.0890323999999998</v>
      </c>
      <c r="H268" s="147">
        <v>26.245416666666699</v>
      </c>
      <c r="I268" s="148">
        <v>0.82738047451457397</v>
      </c>
      <c r="J268" s="148">
        <v>0.183005150006913</v>
      </c>
      <c r="K268" s="147">
        <v>0</v>
      </c>
      <c r="L268" s="147">
        <v>18.866541666666699</v>
      </c>
      <c r="M268" s="123">
        <v>2411</v>
      </c>
    </row>
    <row r="269" spans="1:13">
      <c r="A269" s="126" t="s">
        <v>12</v>
      </c>
      <c r="B269" s="19">
        <v>46014</v>
      </c>
      <c r="C269" s="23"/>
      <c r="D269" s="23"/>
      <c r="E269" s="147">
        <v>12467.39</v>
      </c>
      <c r="F269" s="147">
        <v>6.3165455000000001</v>
      </c>
      <c r="G269" s="147">
        <v>6.0632764000000003</v>
      </c>
      <c r="H269" s="147">
        <v>24.389583333333299</v>
      </c>
      <c r="I269" s="148">
        <v>0.818650828915371</v>
      </c>
      <c r="J269" s="148">
        <v>0.21546021706069399</v>
      </c>
      <c r="K269" s="147">
        <v>0</v>
      </c>
      <c r="L269" s="147">
        <v>18.860458333333298</v>
      </c>
      <c r="M269" s="123">
        <v>2411</v>
      </c>
    </row>
    <row r="270" spans="1:13">
      <c r="A270" s="126" t="s">
        <v>12</v>
      </c>
      <c r="B270" s="19">
        <v>46015</v>
      </c>
      <c r="C270" s="23"/>
      <c r="D270" s="23"/>
      <c r="E270" s="147">
        <v>11948.16</v>
      </c>
      <c r="F270" s="147">
        <v>5.9437911000000003</v>
      </c>
      <c r="G270" s="147">
        <v>5.7073115000000003</v>
      </c>
      <c r="H270" s="147">
        <v>21.207083333333301</v>
      </c>
      <c r="I270" s="148">
        <v>0.83375851435340698</v>
      </c>
      <c r="J270" s="148">
        <v>0.20648693488179201</v>
      </c>
      <c r="K270" s="147">
        <v>0</v>
      </c>
      <c r="L270" s="147">
        <v>17.047750000000001</v>
      </c>
      <c r="M270" s="123">
        <v>2411</v>
      </c>
    </row>
    <row r="271" spans="1:13">
      <c r="A271" s="126" t="s">
        <v>12</v>
      </c>
      <c r="B271" s="19">
        <v>46016</v>
      </c>
      <c r="C271" s="23"/>
      <c r="D271" s="23"/>
      <c r="E271" s="147">
        <v>11359.69</v>
      </c>
      <c r="F271" s="147">
        <v>5.6018973000000001</v>
      </c>
      <c r="G271" s="147">
        <v>5.3787871999999997</v>
      </c>
      <c r="H271" s="147">
        <v>20.4970833333333</v>
      </c>
      <c r="I271" s="148">
        <v>0.84107384309789601</v>
      </c>
      <c r="J271" s="148">
        <v>0.19631705378128</v>
      </c>
      <c r="K271" s="147">
        <v>0</v>
      </c>
      <c r="L271" s="147">
        <v>16.381166666666701</v>
      </c>
      <c r="M271" s="123">
        <v>2411</v>
      </c>
    </row>
    <row r="272" spans="1:13">
      <c r="A272" s="126" t="s">
        <v>12</v>
      </c>
      <c r="B272" s="19">
        <v>46017</v>
      </c>
      <c r="C272" s="23"/>
      <c r="D272" s="23"/>
      <c r="E272" s="147">
        <v>11657.02</v>
      </c>
      <c r="F272" s="147">
        <v>5.8019562000000002</v>
      </c>
      <c r="G272" s="147">
        <v>5.5699344000000002</v>
      </c>
      <c r="H272" s="147">
        <v>21.821249999999999</v>
      </c>
      <c r="I272" s="148">
        <v>0.83332782892544499</v>
      </c>
      <c r="J272" s="148">
        <v>0.20145548181943901</v>
      </c>
      <c r="K272" s="147">
        <v>0</v>
      </c>
      <c r="L272" s="147">
        <v>17.251208333333299</v>
      </c>
      <c r="M272" s="123">
        <v>2411</v>
      </c>
    </row>
    <row r="273" spans="1:13">
      <c r="A273" s="126" t="s">
        <v>12</v>
      </c>
      <c r="B273" s="19">
        <v>46018</v>
      </c>
      <c r="C273" s="23"/>
      <c r="D273" s="23"/>
      <c r="E273" s="147">
        <v>11408.73</v>
      </c>
      <c r="F273" s="147">
        <v>5.6651179999999997</v>
      </c>
      <c r="G273" s="147">
        <v>5.4392296</v>
      </c>
      <c r="H273" s="147">
        <v>22.2358333333333</v>
      </c>
      <c r="I273" s="148">
        <v>0.83527817047937902</v>
      </c>
      <c r="J273" s="148">
        <v>0.19716455827457499</v>
      </c>
      <c r="K273" s="147">
        <v>0</v>
      </c>
      <c r="L273" s="147">
        <v>17.183958333333301</v>
      </c>
      <c r="M273" s="123">
        <v>2411</v>
      </c>
    </row>
    <row r="274" spans="1:13">
      <c r="A274" s="126" t="s">
        <v>12</v>
      </c>
      <c r="B274" s="19">
        <v>46019</v>
      </c>
      <c r="C274" s="23"/>
      <c r="D274" s="23"/>
      <c r="E274" s="147">
        <v>10489.2</v>
      </c>
      <c r="F274" s="147">
        <v>5.1170299999999997</v>
      </c>
      <c r="G274" s="147">
        <v>4.9281519999999999</v>
      </c>
      <c r="H274" s="147">
        <v>22.956250000000001</v>
      </c>
      <c r="I274" s="148">
        <v>0.85021192637868004</v>
      </c>
      <c r="J274" s="148">
        <v>0.181273330568229</v>
      </c>
      <c r="K274" s="147">
        <v>0</v>
      </c>
      <c r="L274" s="147">
        <v>16.1100833333333</v>
      </c>
      <c r="M274" s="123">
        <v>2411</v>
      </c>
    </row>
    <row r="275" spans="1:13">
      <c r="A275" s="126" t="s">
        <v>12</v>
      </c>
      <c r="B275" s="19">
        <v>46020</v>
      </c>
      <c r="C275" s="23"/>
      <c r="D275" s="23"/>
      <c r="E275" s="147">
        <v>10916.93</v>
      </c>
      <c r="F275" s="147">
        <v>5.4444129999999999</v>
      </c>
      <c r="G275" s="147">
        <v>5.2338722999999998</v>
      </c>
      <c r="H275" s="147">
        <v>25.942083333333301</v>
      </c>
      <c r="I275" s="148">
        <v>0.83167233056689904</v>
      </c>
      <c r="J275" s="148">
        <v>0.18866531867827999</v>
      </c>
      <c r="K275" s="147">
        <v>0</v>
      </c>
      <c r="L275" s="147">
        <v>18.6756666666667</v>
      </c>
      <c r="M275" s="123">
        <v>2411</v>
      </c>
    </row>
    <row r="276" spans="1:13">
      <c r="A276" s="126" t="s">
        <v>12</v>
      </c>
      <c r="B276" s="19">
        <v>46021</v>
      </c>
      <c r="C276" s="23"/>
      <c r="D276" s="23"/>
      <c r="E276" s="147">
        <v>11577.61</v>
      </c>
      <c r="F276" s="147">
        <v>5.8115610999999996</v>
      </c>
      <c r="G276" s="147">
        <v>5.5899437000000001</v>
      </c>
      <c r="H276" s="147">
        <v>26.182083333333299</v>
      </c>
      <c r="I276" s="148">
        <v>0.82628315183886003</v>
      </c>
      <c r="J276" s="148">
        <v>0.20008312595050501</v>
      </c>
      <c r="K276" s="147">
        <v>0</v>
      </c>
      <c r="L276" s="147">
        <v>19.110749999999999</v>
      </c>
      <c r="M276" s="123">
        <v>2411</v>
      </c>
    </row>
    <row r="277" spans="1:13">
      <c r="A277" s="126" t="s">
        <v>12</v>
      </c>
      <c r="B277" s="19">
        <v>46022</v>
      </c>
      <c r="C277" s="23"/>
      <c r="D277" s="23"/>
      <c r="E277" s="147">
        <v>11627.82</v>
      </c>
      <c r="F277" s="147">
        <v>5.8460700000000001</v>
      </c>
      <c r="G277" s="147">
        <v>5.6274100000000002</v>
      </c>
      <c r="H277" s="147">
        <v>25.591666666666701</v>
      </c>
      <c r="I277" s="148">
        <v>0.82496795393663502</v>
      </c>
      <c r="J277" s="148">
        <v>0.200950850269598</v>
      </c>
      <c r="K277" s="147">
        <v>0</v>
      </c>
      <c r="L277" s="147">
        <v>18.4881666666667</v>
      </c>
      <c r="M277" s="123">
        <v>2411</v>
      </c>
    </row>
    <row r="278" spans="1:13">
      <c r="A278" s="126" t="s">
        <v>12</v>
      </c>
      <c r="B278" s="19">
        <v>46023</v>
      </c>
      <c r="C278" s="23"/>
      <c r="D278" s="23"/>
      <c r="E278" s="147">
        <v>10964.85</v>
      </c>
      <c r="F278" s="147">
        <v>5.4749100000000004</v>
      </c>
      <c r="G278" s="147">
        <v>5.2687999999999997</v>
      </c>
      <c r="H278" s="147">
        <v>27.6704166666667</v>
      </c>
      <c r="I278" s="148">
        <v>0.83066995047982595</v>
      </c>
      <c r="J278" s="148">
        <v>0.18949346744089601</v>
      </c>
      <c r="K278" s="147">
        <v>0</v>
      </c>
      <c r="L278" s="147">
        <v>18.449666666666701</v>
      </c>
      <c r="M278" s="123">
        <v>2411</v>
      </c>
    </row>
    <row r="279" spans="1:13">
      <c r="A279" s="126" t="s">
        <v>12</v>
      </c>
      <c r="B279" s="19">
        <v>46024</v>
      </c>
      <c r="C279" s="23"/>
      <c r="D279" s="23"/>
      <c r="E279" s="147">
        <v>11415.96</v>
      </c>
      <c r="F279" s="147">
        <v>5.6932400000000003</v>
      </c>
      <c r="G279" s="147">
        <v>5.4732900000000004</v>
      </c>
      <c r="H279" s="147">
        <v>25.706250000000001</v>
      </c>
      <c r="I279" s="148">
        <v>0.83167900076104695</v>
      </c>
      <c r="J279" s="148">
        <v>0.197289506428868</v>
      </c>
      <c r="K279" s="147">
        <v>0</v>
      </c>
      <c r="L279" s="147">
        <v>17.725375</v>
      </c>
      <c r="M279" s="123">
        <v>2411</v>
      </c>
    </row>
    <row r="280" spans="1:13">
      <c r="A280" s="126" t="s">
        <v>12</v>
      </c>
      <c r="B280" s="19">
        <v>46025</v>
      </c>
      <c r="C280" s="23"/>
      <c r="D280" s="23"/>
      <c r="E280" s="147">
        <v>10740.81</v>
      </c>
      <c r="F280" s="147">
        <v>5.2979000000000003</v>
      </c>
      <c r="G280" s="147">
        <v>5.1011860000000002</v>
      </c>
      <c r="H280" s="147">
        <v>25.956250000000001</v>
      </c>
      <c r="I280" s="148">
        <v>0.84088395792612303</v>
      </c>
      <c r="J280" s="148">
        <v>0.18562163002903401</v>
      </c>
      <c r="K280" s="147">
        <v>0</v>
      </c>
      <c r="L280" s="147">
        <v>17.614374999999999</v>
      </c>
      <c r="M280" s="123">
        <v>2411</v>
      </c>
    </row>
    <row r="281" spans="1:13">
      <c r="A281" s="126" t="s">
        <v>12</v>
      </c>
      <c r="B281" s="19">
        <v>46026</v>
      </c>
      <c r="C281" s="23"/>
      <c r="D281" s="23"/>
      <c r="E281" s="147">
        <v>11930.7</v>
      </c>
      <c r="F281" s="147">
        <v>5.9438700000000004</v>
      </c>
      <c r="G281" s="147">
        <v>5.7200300000000004</v>
      </c>
      <c r="H281" s="147">
        <v>24.048749999999998</v>
      </c>
      <c r="I281" s="148">
        <v>0.83252908101703704</v>
      </c>
      <c r="J281" s="148">
        <v>0.20618519286603099</v>
      </c>
      <c r="K281" s="147">
        <v>0</v>
      </c>
      <c r="L281" s="147">
        <v>17.415333333333301</v>
      </c>
      <c r="M281" s="123">
        <v>2411</v>
      </c>
    </row>
    <row r="282" spans="1:13">
      <c r="A282" s="126" t="s">
        <v>12</v>
      </c>
      <c r="B282" s="19">
        <v>46027</v>
      </c>
      <c r="C282" s="23"/>
      <c r="D282" s="23"/>
      <c r="E282" s="147">
        <v>12063.18</v>
      </c>
      <c r="F282" s="147">
        <v>5.9970600000000003</v>
      </c>
      <c r="G282" s="147">
        <v>5.7773099999999999</v>
      </c>
      <c r="H282" s="147">
        <v>23.5833333333333</v>
      </c>
      <c r="I282" s="148">
        <v>0.83430760790746805</v>
      </c>
      <c r="J282" s="148">
        <v>0.20847469929489801</v>
      </c>
      <c r="K282" s="147">
        <v>0</v>
      </c>
      <c r="L282" s="147">
        <v>17.395375000000001</v>
      </c>
      <c r="M282" s="123">
        <v>2411</v>
      </c>
    </row>
    <row r="283" spans="1:13">
      <c r="A283" s="126" t="s">
        <v>12</v>
      </c>
      <c r="B283" s="19">
        <v>46028</v>
      </c>
      <c r="C283" s="23"/>
      <c r="D283" s="23"/>
      <c r="E283" s="147">
        <v>11364.48</v>
      </c>
      <c r="F283" s="147">
        <v>5.6121299999999996</v>
      </c>
      <c r="G283" s="147">
        <v>5.3942399999999999</v>
      </c>
      <c r="H283" s="147">
        <v>23.252083333333299</v>
      </c>
      <c r="I283" s="148">
        <v>0.83989430363332396</v>
      </c>
      <c r="J283" s="148">
        <v>0.19639983409373701</v>
      </c>
      <c r="K283" s="147">
        <v>0</v>
      </c>
      <c r="L283" s="147">
        <v>16.717874999999999</v>
      </c>
      <c r="M283" s="123">
        <v>2411</v>
      </c>
    </row>
    <row r="284" spans="1:13">
      <c r="A284" s="126" t="s">
        <v>12</v>
      </c>
      <c r="B284" s="19">
        <v>46029</v>
      </c>
      <c r="C284" s="23"/>
      <c r="D284" s="23"/>
      <c r="E284" s="147">
        <v>11934.03</v>
      </c>
      <c r="F284" s="147">
        <v>5.9223499999999998</v>
      </c>
      <c r="G284" s="147">
        <v>5.70458</v>
      </c>
      <c r="H284" s="147">
        <v>23.385000000000002</v>
      </c>
      <c r="I284" s="148">
        <v>0.83578744897277102</v>
      </c>
      <c r="J284" s="148">
        <v>0.20624274160099501</v>
      </c>
      <c r="K284" s="147">
        <v>0</v>
      </c>
      <c r="L284" s="147">
        <v>17.2605416666667</v>
      </c>
      <c r="M284" s="123">
        <v>2411</v>
      </c>
    </row>
    <row r="285" spans="1:13">
      <c r="A285" s="126" t="s">
        <v>12</v>
      </c>
      <c r="B285" s="19">
        <v>46030</v>
      </c>
      <c r="C285" s="23"/>
      <c r="D285" s="23"/>
      <c r="E285" s="147">
        <v>11965.09</v>
      </c>
      <c r="F285" s="147">
        <v>5.9073799999999999</v>
      </c>
      <c r="G285" s="147">
        <v>5.6921999999999997</v>
      </c>
      <c r="H285" s="147">
        <v>22.623333333333299</v>
      </c>
      <c r="I285" s="148">
        <v>0.84008620060717998</v>
      </c>
      <c r="J285" s="148">
        <v>0.206779517489285</v>
      </c>
      <c r="K285" s="147">
        <v>0</v>
      </c>
      <c r="L285" s="147">
        <v>16.855541666666699</v>
      </c>
      <c r="M285" s="123">
        <v>2411</v>
      </c>
    </row>
    <row r="286" spans="1:13">
      <c r="A286" s="126" t="s">
        <v>12</v>
      </c>
      <c r="B286" s="19">
        <v>46031</v>
      </c>
      <c r="C286" s="23"/>
      <c r="D286" s="23"/>
      <c r="E286" s="147">
        <v>12098.16</v>
      </c>
      <c r="F286" s="147">
        <v>5.9779799999999996</v>
      </c>
      <c r="G286" s="147">
        <v>5.7587299999999999</v>
      </c>
      <c r="H286" s="147">
        <v>22.011666666666699</v>
      </c>
      <c r="I286" s="148">
        <v>0.83939746967596696</v>
      </c>
      <c r="J286" s="148">
        <v>0.209079220240564</v>
      </c>
      <c r="K286" s="147">
        <v>0</v>
      </c>
      <c r="L286" s="147">
        <v>16.720791666666699</v>
      </c>
      <c r="M286" s="123">
        <v>2411</v>
      </c>
    </row>
    <row r="287" spans="1:13">
      <c r="A287" s="126" t="s">
        <v>12</v>
      </c>
      <c r="B287" s="19">
        <v>46032</v>
      </c>
      <c r="C287" s="23"/>
      <c r="D287" s="23"/>
      <c r="E287" s="147">
        <v>12215.07</v>
      </c>
      <c r="F287" s="147">
        <v>6.0417399999999999</v>
      </c>
      <c r="G287" s="147">
        <v>5.8239299999999998</v>
      </c>
      <c r="H287" s="147">
        <v>22.1875</v>
      </c>
      <c r="I287" s="148">
        <v>0.83856497280263398</v>
      </c>
      <c r="J287" s="148">
        <v>0.21109964744919099</v>
      </c>
      <c r="K287" s="147">
        <v>0</v>
      </c>
      <c r="L287" s="147">
        <v>16.915333333333301</v>
      </c>
      <c r="M287" s="123">
        <v>2411</v>
      </c>
    </row>
    <row r="288" spans="1:13">
      <c r="A288" s="126" t="s">
        <v>12</v>
      </c>
      <c r="B288" s="19">
        <v>46033</v>
      </c>
      <c r="C288" s="23"/>
      <c r="D288" s="23"/>
      <c r="E288" s="147">
        <v>12496.59</v>
      </c>
      <c r="F288" s="147">
        <v>6.2081200000000001</v>
      </c>
      <c r="G288" s="147">
        <v>5.9876500000000004</v>
      </c>
      <c r="H288" s="147">
        <v>22.750833333333301</v>
      </c>
      <c r="I288" s="148">
        <v>0.83489951332333201</v>
      </c>
      <c r="J288" s="148">
        <v>0.215964848610535</v>
      </c>
      <c r="K288" s="147">
        <v>0</v>
      </c>
      <c r="L288" s="147">
        <v>17.414999999999999</v>
      </c>
      <c r="M288" s="123">
        <v>2411</v>
      </c>
    </row>
    <row r="289" spans="1:13">
      <c r="A289" s="126" t="s">
        <v>12</v>
      </c>
      <c r="B289" s="19">
        <v>46034</v>
      </c>
      <c r="C289" s="23"/>
      <c r="D289" s="23"/>
      <c r="E289" s="147">
        <v>12282.42</v>
      </c>
      <c r="F289" s="147">
        <v>5.9922399999999998</v>
      </c>
      <c r="G289" s="147">
        <v>5.7778200000000002</v>
      </c>
      <c r="H289" s="147">
        <v>19.420000000000002</v>
      </c>
      <c r="I289" s="148">
        <v>0.85015386663530201</v>
      </c>
      <c r="J289" s="148">
        <v>0.21226358357528</v>
      </c>
      <c r="K289" s="147">
        <v>0</v>
      </c>
      <c r="L289" s="147">
        <v>15.5424583333333</v>
      </c>
      <c r="M289" s="123">
        <v>2411</v>
      </c>
    </row>
    <row r="290" spans="1:13">
      <c r="A290" s="126" t="s">
        <v>12</v>
      </c>
      <c r="B290" s="19">
        <v>46035</v>
      </c>
      <c r="C290" s="23"/>
      <c r="D290" s="23"/>
      <c r="E290" s="147">
        <v>12299.92</v>
      </c>
      <c r="F290" s="147">
        <v>6.0426000000000002</v>
      </c>
      <c r="G290" s="147">
        <v>5.8281299999999998</v>
      </c>
      <c r="H290" s="147">
        <v>20.7595833333333</v>
      </c>
      <c r="I290" s="148">
        <v>0.84426975222773004</v>
      </c>
      <c r="J290" s="148">
        <v>0.212566016867137</v>
      </c>
      <c r="K290" s="147">
        <v>0</v>
      </c>
      <c r="L290" s="147">
        <v>16.430624999999999</v>
      </c>
      <c r="M290" s="123">
        <v>2411</v>
      </c>
    </row>
    <row r="291" spans="1:13">
      <c r="A291" s="126" t="s">
        <v>12</v>
      </c>
      <c r="B291" s="19">
        <v>46036</v>
      </c>
      <c r="C291" s="23"/>
      <c r="D291" s="23"/>
      <c r="E291" s="147">
        <v>12131.14</v>
      </c>
      <c r="F291" s="147">
        <v>5.9460100000000002</v>
      </c>
      <c r="G291" s="147">
        <v>5.7338899999999997</v>
      </c>
      <c r="H291" s="147">
        <v>21.160833333333301</v>
      </c>
      <c r="I291" s="148">
        <v>0.84621119997354699</v>
      </c>
      <c r="J291" s="148">
        <v>0.20964917738144601</v>
      </c>
      <c r="K291" s="147">
        <v>0</v>
      </c>
      <c r="L291" s="147">
        <v>16.332999999999998</v>
      </c>
      <c r="M291" s="123">
        <v>2411</v>
      </c>
    </row>
    <row r="292" spans="1:13">
      <c r="A292" s="126" t="s">
        <v>12</v>
      </c>
      <c r="B292" s="19">
        <v>46037</v>
      </c>
      <c r="C292" s="23"/>
      <c r="D292" s="23"/>
      <c r="E292" s="147">
        <v>12094.93</v>
      </c>
      <c r="F292" s="147">
        <v>5.9058400000000004</v>
      </c>
      <c r="G292" s="147">
        <v>5.6913200000000002</v>
      </c>
      <c r="H292" s="147">
        <v>20.11375</v>
      </c>
      <c r="I292" s="148">
        <v>0.84942389104684901</v>
      </c>
      <c r="J292" s="148">
        <v>0.209023399695839</v>
      </c>
      <c r="K292" s="147">
        <v>0</v>
      </c>
      <c r="L292" s="147">
        <v>15.836625</v>
      </c>
      <c r="M292" s="123">
        <v>2411</v>
      </c>
    </row>
    <row r="293" spans="1:13">
      <c r="A293" s="126" t="s">
        <v>12</v>
      </c>
      <c r="B293" s="19">
        <v>46038</v>
      </c>
      <c r="C293" s="23"/>
      <c r="D293" s="23"/>
      <c r="E293" s="147">
        <v>12183.81</v>
      </c>
      <c r="F293" s="147">
        <v>5.9779099999999996</v>
      </c>
      <c r="G293" s="147">
        <v>5.7640500000000001</v>
      </c>
      <c r="H293" s="147">
        <v>21.452916666666699</v>
      </c>
      <c r="I293" s="148">
        <v>0.84534995748182096</v>
      </c>
      <c r="J293" s="148">
        <v>0.21055941518042301</v>
      </c>
      <c r="K293" s="147">
        <v>0</v>
      </c>
      <c r="L293" s="147">
        <v>16.5765833333333</v>
      </c>
      <c r="M293" s="123">
        <v>2411</v>
      </c>
    </row>
    <row r="294" spans="1:13">
      <c r="A294" s="126" t="s">
        <v>12</v>
      </c>
      <c r="B294" s="19">
        <v>46039</v>
      </c>
      <c r="C294" s="23"/>
      <c r="D294" s="23"/>
      <c r="E294" s="147">
        <v>12507.07</v>
      </c>
      <c r="F294" s="147">
        <v>6.1841900000000001</v>
      </c>
      <c r="G294" s="147">
        <v>5.9662499999999996</v>
      </c>
      <c r="H294" s="147">
        <v>22.962499999999999</v>
      </c>
      <c r="I294" s="148">
        <v>0.83883307445961897</v>
      </c>
      <c r="J294" s="148">
        <v>0.21614596294760099</v>
      </c>
      <c r="K294" s="147">
        <v>0</v>
      </c>
      <c r="L294" s="147">
        <v>17.408166666666698</v>
      </c>
      <c r="M294" s="123">
        <v>2411</v>
      </c>
    </row>
    <row r="295" spans="1:13">
      <c r="A295" s="126" t="s">
        <v>12</v>
      </c>
      <c r="B295" s="19">
        <v>46040</v>
      </c>
      <c r="C295" s="23"/>
      <c r="D295" s="23"/>
      <c r="E295" s="147">
        <v>12650.6</v>
      </c>
      <c r="F295" s="147">
        <v>6.2816099999999997</v>
      </c>
      <c r="G295" s="147">
        <v>6.0628200000000003</v>
      </c>
      <c r="H295" s="147">
        <v>24.113333333333301</v>
      </c>
      <c r="I295" s="148">
        <v>0.835300890305123</v>
      </c>
      <c r="J295" s="148">
        <v>0.218626434397899</v>
      </c>
      <c r="K295" s="147">
        <v>0</v>
      </c>
      <c r="L295" s="147">
        <v>17.9799583333333</v>
      </c>
      <c r="M295" s="123">
        <v>2411</v>
      </c>
    </row>
    <row r="296" spans="1:13">
      <c r="A296" s="126" t="s">
        <v>12</v>
      </c>
      <c r="B296" s="19">
        <v>46041</v>
      </c>
      <c r="C296" s="23"/>
      <c r="D296" s="23"/>
      <c r="E296" s="147">
        <v>12817.27</v>
      </c>
      <c r="F296" s="147">
        <v>6.3905099999999999</v>
      </c>
      <c r="G296" s="147">
        <v>6.1702700000000004</v>
      </c>
      <c r="H296" s="147">
        <v>25.043333333333301</v>
      </c>
      <c r="I296" s="148">
        <v>0.83188406209661203</v>
      </c>
      <c r="J296" s="148">
        <v>0.22150680906954201</v>
      </c>
      <c r="K296" s="147">
        <v>0</v>
      </c>
      <c r="L296" s="147">
        <v>18.506083333333301</v>
      </c>
      <c r="M296" s="123">
        <v>2411</v>
      </c>
    </row>
    <row r="297" spans="1:13">
      <c r="A297" s="126" t="s">
        <v>12</v>
      </c>
      <c r="B297" s="19">
        <v>46042</v>
      </c>
      <c r="C297" s="23"/>
      <c r="D297" s="23"/>
      <c r="E297" s="147">
        <v>12664.92</v>
      </c>
      <c r="F297" s="147">
        <v>6.2696800000000001</v>
      </c>
      <c r="G297" s="147">
        <v>6.0560999999999998</v>
      </c>
      <c r="H297" s="147">
        <v>24.539583333333301</v>
      </c>
      <c r="I297" s="148">
        <v>0.83783763601389305</v>
      </c>
      <c r="J297" s="148">
        <v>0.21887391124014899</v>
      </c>
      <c r="K297" s="147">
        <v>0</v>
      </c>
      <c r="L297" s="147">
        <v>18.051666666666701</v>
      </c>
      <c r="M297" s="123">
        <v>2411</v>
      </c>
    </row>
    <row r="298" spans="1:13">
      <c r="A298" s="126" t="s">
        <v>12</v>
      </c>
      <c r="B298" s="19">
        <v>46043</v>
      </c>
      <c r="C298" s="23"/>
      <c r="D298" s="23"/>
      <c r="E298" s="147">
        <v>12282.75</v>
      </c>
      <c r="F298" s="147">
        <v>6.0959000000000003</v>
      </c>
      <c r="G298" s="147">
        <v>5.8877100000000002</v>
      </c>
      <c r="H298" s="147">
        <v>26.198333333333299</v>
      </c>
      <c r="I298" s="148">
        <v>0.83571956207839104</v>
      </c>
      <c r="J298" s="148">
        <v>0.21226928660306901</v>
      </c>
      <c r="K298" s="147">
        <v>0</v>
      </c>
      <c r="L298" s="147">
        <v>18.685375000000001</v>
      </c>
      <c r="M298" s="123">
        <v>2411</v>
      </c>
    </row>
    <row r="299" spans="1:13">
      <c r="A299" s="126" t="s">
        <v>12</v>
      </c>
      <c r="B299" s="19">
        <v>46044</v>
      </c>
      <c r="C299" s="23"/>
      <c r="D299" s="23"/>
      <c r="E299" s="147">
        <v>12098.69</v>
      </c>
      <c r="F299" s="147">
        <v>5.9913100000000004</v>
      </c>
      <c r="G299" s="147">
        <v>5.7820400000000003</v>
      </c>
      <c r="H299" s="147">
        <v>26.568750000000001</v>
      </c>
      <c r="I299" s="148">
        <v>0.83756659421261204</v>
      </c>
      <c r="J299" s="148">
        <v>0.20908837964883201</v>
      </c>
      <c r="K299" s="147">
        <v>0</v>
      </c>
      <c r="L299" s="147">
        <v>18.492166666666702</v>
      </c>
      <c r="M299" s="123">
        <v>2411</v>
      </c>
    </row>
    <row r="300" spans="1:13">
      <c r="A300" s="126" t="s">
        <v>12</v>
      </c>
      <c r="B300" s="19">
        <v>46045</v>
      </c>
      <c r="C300" s="23"/>
      <c r="D300" s="23"/>
      <c r="E300" s="147">
        <v>4162.9279999999999</v>
      </c>
      <c r="F300" s="147">
        <v>1.988548</v>
      </c>
      <c r="G300" s="147">
        <v>1.885276</v>
      </c>
      <c r="H300" s="147">
        <v>24.936666666666699</v>
      </c>
      <c r="I300" s="148">
        <v>0.86829162215029099</v>
      </c>
      <c r="J300" s="148">
        <v>7.19433153601549E-2</v>
      </c>
      <c r="K300" s="147">
        <v>0</v>
      </c>
      <c r="L300" s="147">
        <v>12.830125000000001</v>
      </c>
      <c r="M300" s="123">
        <v>2411</v>
      </c>
    </row>
    <row r="301" spans="1:13">
      <c r="A301" s="126" t="s">
        <v>12</v>
      </c>
      <c r="B301" s="19">
        <v>46046</v>
      </c>
      <c r="C301" s="23"/>
      <c r="D301" s="23"/>
      <c r="E301" s="147">
        <v>11928.71</v>
      </c>
      <c r="F301" s="147">
        <v>5.7827400000000004</v>
      </c>
      <c r="G301" s="147">
        <v>5.5815200000000003</v>
      </c>
      <c r="H301" s="147">
        <v>21.854583333333299</v>
      </c>
      <c r="I301" s="148">
        <v>0.85558390056037503</v>
      </c>
      <c r="J301" s="148">
        <v>0.20615080188027099</v>
      </c>
      <c r="K301" s="147">
        <v>0</v>
      </c>
      <c r="L301" s="147">
        <v>16.410833333333301</v>
      </c>
      <c r="M301" s="123">
        <v>2411</v>
      </c>
    </row>
    <row r="302" spans="1:13">
      <c r="A302" s="126" t="s">
        <v>12</v>
      </c>
      <c r="B302" s="19">
        <v>46047</v>
      </c>
      <c r="C302" s="23"/>
      <c r="D302" s="23"/>
      <c r="E302" s="147">
        <v>13601</v>
      </c>
      <c r="F302" s="147">
        <v>6.7113100000000001</v>
      </c>
      <c r="G302" s="147">
        <v>6.4911700000000003</v>
      </c>
      <c r="H302" s="147">
        <v>22.297083333333301</v>
      </c>
      <c r="I302" s="148">
        <v>0.84055537687067305</v>
      </c>
      <c r="J302" s="148">
        <v>0.23505115443107999</v>
      </c>
      <c r="K302" s="147">
        <v>0</v>
      </c>
      <c r="L302" s="147">
        <v>17.843125000000001</v>
      </c>
      <c r="M302" s="123">
        <v>2411</v>
      </c>
    </row>
    <row r="303" spans="1:13">
      <c r="A303" s="126" t="s">
        <v>12</v>
      </c>
      <c r="B303" s="19">
        <v>46048</v>
      </c>
      <c r="C303" s="23"/>
      <c r="D303" s="23"/>
      <c r="E303" s="147">
        <v>13097.48</v>
      </c>
      <c r="F303" s="147">
        <v>6.4978600000000002</v>
      </c>
      <c r="G303" s="147">
        <v>6.2835099999999997</v>
      </c>
      <c r="H303" s="147">
        <v>25.353750000000002</v>
      </c>
      <c r="I303" s="148">
        <v>0.83602676920248697</v>
      </c>
      <c r="J303" s="148">
        <v>0.22634937093875299</v>
      </c>
      <c r="K303" s="147">
        <v>0</v>
      </c>
      <c r="L303" s="147">
        <v>18.8615833333333</v>
      </c>
      <c r="M303" s="123">
        <v>2411</v>
      </c>
    </row>
    <row r="304" spans="1:13">
      <c r="A304" s="126" t="s">
        <v>12</v>
      </c>
      <c r="B304" s="19">
        <v>46049</v>
      </c>
      <c r="C304" s="23"/>
      <c r="D304" s="23"/>
      <c r="E304" s="147">
        <v>12511.74</v>
      </c>
      <c r="F304" s="147">
        <v>6.1410799999999997</v>
      </c>
      <c r="G304" s="147">
        <v>5.9397599999999997</v>
      </c>
      <c r="H304" s="147">
        <v>25.282499999999999</v>
      </c>
      <c r="I304" s="148">
        <v>0.845037040123644</v>
      </c>
      <c r="J304" s="148">
        <v>0.21622666943177099</v>
      </c>
      <c r="K304" s="147">
        <v>0</v>
      </c>
      <c r="L304" s="147">
        <v>18.2411666666667</v>
      </c>
      <c r="M304" s="123">
        <v>2411</v>
      </c>
    </row>
    <row r="305" spans="1:13">
      <c r="A305" s="126" t="s">
        <v>12</v>
      </c>
      <c r="B305" s="19">
        <v>46050</v>
      </c>
      <c r="C305" s="23"/>
      <c r="D305" s="23"/>
      <c r="E305" s="147">
        <v>12052.12</v>
      </c>
      <c r="F305" s="147">
        <v>5.8682299999999996</v>
      </c>
      <c r="G305" s="147">
        <v>5.6639600000000003</v>
      </c>
      <c r="H305" s="147">
        <v>23.82375</v>
      </c>
      <c r="I305" s="148">
        <v>0.85184211847638502</v>
      </c>
      <c r="J305" s="148">
        <v>0.20828356145444499</v>
      </c>
      <c r="K305" s="147">
        <v>0</v>
      </c>
      <c r="L305" s="147">
        <v>17.315874999999998</v>
      </c>
      <c r="M305" s="123">
        <v>2411</v>
      </c>
    </row>
    <row r="306" spans="1:13">
      <c r="A306" s="126" t="s">
        <v>12</v>
      </c>
      <c r="B306" s="19">
        <v>46051</v>
      </c>
      <c r="C306" s="23"/>
      <c r="D306" s="23"/>
      <c r="E306" s="147">
        <v>12541.87</v>
      </c>
      <c r="F306" s="147">
        <v>6.1291700000000002</v>
      </c>
      <c r="G306" s="147">
        <v>5.9293899999999997</v>
      </c>
      <c r="H306" s="147">
        <v>24.295000000000002</v>
      </c>
      <c r="I306" s="148">
        <v>0.84871800841224398</v>
      </c>
      <c r="J306" s="148">
        <v>0.216747373150836</v>
      </c>
      <c r="K306" s="147">
        <v>0</v>
      </c>
      <c r="L306" s="147">
        <v>17.93</v>
      </c>
      <c r="M306" s="123">
        <v>2411</v>
      </c>
    </row>
    <row r="307" spans="1:13">
      <c r="A307" s="126" t="s">
        <v>12</v>
      </c>
      <c r="B307" s="19">
        <v>46052</v>
      </c>
      <c r="C307" s="23"/>
      <c r="D307" s="23"/>
      <c r="E307" s="147">
        <v>12167.59</v>
      </c>
      <c r="F307" s="147">
        <v>5.93011</v>
      </c>
      <c r="G307" s="147">
        <v>5.7364499999999996</v>
      </c>
      <c r="H307" s="147">
        <v>24.891249999999999</v>
      </c>
      <c r="I307" s="148">
        <v>0.85102948602421702</v>
      </c>
      <c r="J307" s="148">
        <v>0.21027910272362799</v>
      </c>
      <c r="K307" s="147">
        <v>0</v>
      </c>
      <c r="L307" s="147">
        <v>17.820458333333299</v>
      </c>
      <c r="M307" s="123">
        <v>2411</v>
      </c>
    </row>
    <row r="308" spans="1:13">
      <c r="A308" s="126" t="s">
        <v>12</v>
      </c>
      <c r="B308" s="19">
        <v>46053</v>
      </c>
      <c r="C308" s="23"/>
      <c r="D308" s="23"/>
      <c r="E308" s="147">
        <v>12361.71</v>
      </c>
      <c r="F308" s="147">
        <v>6.0854100000000004</v>
      </c>
      <c r="G308" s="147">
        <v>5.8895299999999997</v>
      </c>
      <c r="H308" s="147">
        <v>27.08</v>
      </c>
      <c r="I308" s="148">
        <v>0.842541878818724</v>
      </c>
      <c r="J308" s="148">
        <v>0.21363386561592701</v>
      </c>
      <c r="K308" s="147">
        <v>0</v>
      </c>
      <c r="L308" s="147">
        <v>19.048166666666699</v>
      </c>
      <c r="M308" s="123">
        <v>2411</v>
      </c>
    </row>
    <row r="309" spans="1:13">
      <c r="A309" s="126" t="s">
        <v>12</v>
      </c>
      <c r="B309" s="19">
        <v>46054</v>
      </c>
      <c r="C309" s="23"/>
      <c r="D309" s="23"/>
      <c r="E309" s="147">
        <v>12137.61</v>
      </c>
      <c r="F309" s="147">
        <v>5.9276099000000002</v>
      </c>
      <c r="G309" s="147">
        <v>5.7312646000000003</v>
      </c>
      <c r="H309" s="147">
        <v>26.254583333333301</v>
      </c>
      <c r="I309" s="148">
        <v>0.84929067126332103</v>
      </c>
      <c r="J309" s="148">
        <v>0.20976099128992101</v>
      </c>
      <c r="K309" s="147">
        <v>0</v>
      </c>
      <c r="L309" s="147">
        <v>19.037333333333301</v>
      </c>
      <c r="M309" s="123">
        <v>2411</v>
      </c>
    </row>
    <row r="310" spans="1:13">
      <c r="A310" s="126" t="s">
        <v>12</v>
      </c>
      <c r="B310" s="19">
        <v>46055</v>
      </c>
      <c r="C310" s="23"/>
      <c r="D310" s="23"/>
      <c r="E310" s="147">
        <v>12711.53</v>
      </c>
      <c r="F310" s="147">
        <v>6.2387671999999998</v>
      </c>
      <c r="G310" s="147">
        <v>6.0378154999999998</v>
      </c>
      <c r="H310" s="147">
        <v>25.966249999999999</v>
      </c>
      <c r="I310" s="148">
        <v>0.84508780790140203</v>
      </c>
      <c r="J310" s="148">
        <v>0.21967942071063201</v>
      </c>
      <c r="K310" s="147">
        <v>0</v>
      </c>
      <c r="L310" s="147">
        <v>20.597791666666701</v>
      </c>
      <c r="M310" s="123">
        <v>2411</v>
      </c>
    </row>
    <row r="311" spans="1:13">
      <c r="A311" s="126" t="s">
        <v>12</v>
      </c>
      <c r="B311" s="19">
        <v>46056</v>
      </c>
      <c r="C311" s="23"/>
      <c r="D311" s="23"/>
      <c r="E311" s="147">
        <v>13104.77</v>
      </c>
      <c r="F311" s="147">
        <v>6.3975166999999997</v>
      </c>
      <c r="G311" s="147">
        <v>6.1982894000000002</v>
      </c>
      <c r="H311" s="147">
        <v>24.5975</v>
      </c>
      <c r="I311" s="148">
        <v>0.84961224785431799</v>
      </c>
      <c r="J311" s="148">
        <v>0.22647535600718899</v>
      </c>
      <c r="K311" s="147">
        <v>0</v>
      </c>
      <c r="L311" s="147">
        <v>19.264333333333301</v>
      </c>
      <c r="M311" s="123">
        <v>2411</v>
      </c>
    </row>
    <row r="312" spans="1:13">
      <c r="A312" s="126" t="s">
        <v>12</v>
      </c>
      <c r="B312" s="19">
        <v>46057</v>
      </c>
      <c r="C312" s="23"/>
      <c r="D312" s="23"/>
      <c r="E312" s="147">
        <v>12818.01</v>
      </c>
      <c r="F312" s="147">
        <v>6.1647328999999997</v>
      </c>
      <c r="G312" s="147">
        <v>5.9702373</v>
      </c>
      <c r="H312" s="147">
        <v>21.57</v>
      </c>
      <c r="I312" s="148">
        <v>0.862400760989255</v>
      </c>
      <c r="J312" s="148">
        <v>0.221519597677312</v>
      </c>
      <c r="K312" s="147">
        <v>0</v>
      </c>
      <c r="L312" s="147">
        <v>17.468624999999999</v>
      </c>
      <c r="M312" s="123">
        <v>2411</v>
      </c>
    </row>
    <row r="313" spans="1:13">
      <c r="A313" s="126" t="s">
        <v>12</v>
      </c>
      <c r="B313" s="19">
        <v>46058</v>
      </c>
      <c r="C313" s="23"/>
      <c r="D313" s="23"/>
      <c r="E313" s="147">
        <v>11463.7302</v>
      </c>
      <c r="F313" s="147">
        <v>5.5187008000000004</v>
      </c>
      <c r="G313" s="147">
        <v>5.3342552000000003</v>
      </c>
      <c r="H313" s="147">
        <v>23.569583333333298</v>
      </c>
      <c r="I313" s="148">
        <v>0.86157263548335905</v>
      </c>
      <c r="J313" s="148">
        <v>0.198115066362505</v>
      </c>
      <c r="K313" s="147">
        <v>0</v>
      </c>
      <c r="L313" s="147">
        <v>18.640166666666701</v>
      </c>
      <c r="M313" s="123">
        <v>2411</v>
      </c>
    </row>
    <row r="314" spans="1:13">
      <c r="A314" s="126" t="s">
        <v>12</v>
      </c>
      <c r="B314" s="19">
        <v>46059</v>
      </c>
      <c r="C314" s="23"/>
      <c r="D314" s="23"/>
      <c r="E314" s="147">
        <v>12876.84</v>
      </c>
      <c r="F314" s="147">
        <v>6.2236396000000003</v>
      </c>
      <c r="G314" s="147">
        <v>6.0271625000000002</v>
      </c>
      <c r="H314" s="147">
        <v>22.952500000000001</v>
      </c>
      <c r="I314" s="148">
        <v>0.85815878668175904</v>
      </c>
      <c r="J314" s="148">
        <v>0.22253629199502301</v>
      </c>
      <c r="K314" s="147">
        <v>0</v>
      </c>
      <c r="L314" s="147">
        <v>18.9256666666667</v>
      </c>
      <c r="M314" s="123">
        <v>2411</v>
      </c>
    </row>
    <row r="315" spans="1:13">
      <c r="A315" s="126" t="s">
        <v>12</v>
      </c>
      <c r="B315" s="19">
        <v>46060</v>
      </c>
      <c r="C315" s="23"/>
      <c r="D315" s="23"/>
      <c r="E315" s="147">
        <v>12980.627</v>
      </c>
      <c r="F315" s="147">
        <v>6.2970509999999997</v>
      </c>
      <c r="G315" s="147">
        <v>6.1009694999999997</v>
      </c>
      <c r="H315" s="147">
        <v>24.029583333333299</v>
      </c>
      <c r="I315" s="148">
        <v>0.85499042189200802</v>
      </c>
      <c r="J315" s="148">
        <v>0.22432992879856201</v>
      </c>
      <c r="K315" s="147">
        <v>0</v>
      </c>
      <c r="L315" s="147">
        <v>19.808250000000001</v>
      </c>
      <c r="M315" s="123">
        <v>2411</v>
      </c>
    </row>
    <row r="316" spans="1:13">
      <c r="A316" s="126" t="s">
        <v>12</v>
      </c>
      <c r="B316" s="19">
        <v>46061</v>
      </c>
      <c r="C316" s="23"/>
      <c r="D316" s="23"/>
      <c r="E316" s="147">
        <v>12971.428</v>
      </c>
      <c r="F316" s="147">
        <v>6.2398056999999998</v>
      </c>
      <c r="G316" s="147">
        <v>6.0448025999999997</v>
      </c>
      <c r="H316" s="147">
        <v>22.490833333333299</v>
      </c>
      <c r="I316" s="148">
        <v>0.86222281919500099</v>
      </c>
      <c r="J316" s="148">
        <v>0.22417095257846001</v>
      </c>
      <c r="K316" s="147">
        <v>0</v>
      </c>
      <c r="L316" s="147">
        <v>18.7716666666667</v>
      </c>
      <c r="M316" s="123">
        <v>2411</v>
      </c>
    </row>
    <row r="317" spans="1:13">
      <c r="A317" s="126" t="s">
        <v>12</v>
      </c>
      <c r="B317" s="19">
        <v>46062</v>
      </c>
      <c r="C317" s="23"/>
      <c r="D317" s="23"/>
      <c r="E317" s="147">
        <v>12787.5183</v>
      </c>
      <c r="F317" s="147">
        <v>6.1380796000000002</v>
      </c>
      <c r="G317" s="147">
        <v>5.9461465999999996</v>
      </c>
      <c r="H317" s="147">
        <v>21.960416666666699</v>
      </c>
      <c r="I317" s="148">
        <v>0.86408515038802103</v>
      </c>
      <c r="J317" s="148">
        <v>0.22099264309415201</v>
      </c>
      <c r="K317" s="147">
        <v>0</v>
      </c>
      <c r="L317" s="147">
        <v>18.512916666666701</v>
      </c>
      <c r="M317" s="123">
        <v>2411</v>
      </c>
    </row>
    <row r="318" spans="1:13">
      <c r="A318" s="126" t="s">
        <v>12</v>
      </c>
      <c r="B318" s="19">
        <v>46063</v>
      </c>
      <c r="C318" s="23"/>
      <c r="D318" s="23"/>
      <c r="E318" s="147">
        <v>13284.713</v>
      </c>
      <c r="F318" s="147">
        <v>6.4215697</v>
      </c>
      <c r="G318" s="147">
        <v>6.2246018000000003</v>
      </c>
      <c r="H318" s="147">
        <v>23.094999999999999</v>
      </c>
      <c r="I318" s="148">
        <v>0.85805231092682999</v>
      </c>
      <c r="J318" s="148">
        <v>0.22958511336928</v>
      </c>
      <c r="K318" s="147">
        <v>0</v>
      </c>
      <c r="L318" s="147">
        <v>19.405291666666699</v>
      </c>
      <c r="M318" s="123">
        <v>2411</v>
      </c>
    </row>
    <row r="319" spans="1:13">
      <c r="A319" s="126" t="s">
        <v>12</v>
      </c>
      <c r="B319" s="19">
        <v>46064</v>
      </c>
      <c r="C319" s="23"/>
      <c r="D319" s="23"/>
      <c r="E319" s="147">
        <v>13146.972100000001</v>
      </c>
      <c r="F319" s="147">
        <v>6.3596006000000003</v>
      </c>
      <c r="G319" s="147">
        <v>6.1638612000000004</v>
      </c>
      <c r="H319" s="147">
        <v>23.842916666666699</v>
      </c>
      <c r="I319" s="148">
        <v>0.85743002884848696</v>
      </c>
      <c r="J319" s="148">
        <v>0.227204688580119</v>
      </c>
      <c r="K319" s="147">
        <v>0</v>
      </c>
      <c r="L319" s="147">
        <v>19.707708333333301</v>
      </c>
      <c r="M319" s="123">
        <v>2411</v>
      </c>
    </row>
    <row r="320" spans="1:13">
      <c r="A320" s="126" t="s">
        <v>12</v>
      </c>
      <c r="B320" s="19">
        <v>46065</v>
      </c>
      <c r="C320" s="23"/>
      <c r="D320" s="23"/>
      <c r="E320" s="147">
        <v>12858.59</v>
      </c>
      <c r="F320" s="147">
        <v>6.1909418000000001</v>
      </c>
      <c r="G320" s="147">
        <v>5.9974166000000002</v>
      </c>
      <c r="H320" s="147">
        <v>23.395416666666701</v>
      </c>
      <c r="I320" s="148">
        <v>0.86146853046380301</v>
      </c>
      <c r="J320" s="148">
        <v>0.22222089727637201</v>
      </c>
      <c r="K320" s="147">
        <v>0</v>
      </c>
      <c r="L320" s="147">
        <v>19.192499999999999</v>
      </c>
      <c r="M320" s="123">
        <v>2411</v>
      </c>
    </row>
    <row r="321" spans="1:13">
      <c r="A321" s="126" t="s">
        <v>12</v>
      </c>
      <c r="B321" s="19">
        <v>46066</v>
      </c>
      <c r="C321" s="23"/>
      <c r="D321" s="23"/>
      <c r="E321" s="147">
        <v>13415.8128</v>
      </c>
      <c r="F321" s="147">
        <v>6.5332248999999996</v>
      </c>
      <c r="G321" s="147">
        <v>6.3376124000000003</v>
      </c>
      <c r="H321" s="147">
        <v>24.942916666666701</v>
      </c>
      <c r="I321" s="148">
        <v>0.85171083205710396</v>
      </c>
      <c r="J321" s="148">
        <v>0.23185076731646601</v>
      </c>
      <c r="K321" s="147">
        <v>0</v>
      </c>
      <c r="L321" s="147">
        <v>20.687666666666701</v>
      </c>
      <c r="M321" s="123">
        <v>2411</v>
      </c>
    </row>
    <row r="322" spans="1:13">
      <c r="A322" s="126" t="s">
        <v>12</v>
      </c>
      <c r="B322" s="19">
        <v>46067</v>
      </c>
      <c r="C322" s="23"/>
      <c r="D322" s="23"/>
      <c r="E322" s="147">
        <v>13425.7981</v>
      </c>
      <c r="F322" s="147">
        <v>6.3784938999999996</v>
      </c>
      <c r="G322" s="147">
        <v>6.1841467000000003</v>
      </c>
      <c r="H322" s="147">
        <v>19.420000000000002</v>
      </c>
      <c r="I322" s="148">
        <v>0.87302113358046196</v>
      </c>
      <c r="J322" s="148">
        <v>0.232023332296419</v>
      </c>
      <c r="K322" s="147">
        <v>0</v>
      </c>
      <c r="L322" s="147">
        <v>17.273125</v>
      </c>
      <c r="M322" s="123">
        <v>2411</v>
      </c>
    </row>
    <row r="323" spans="1:13">
      <c r="A323" s="126" t="s">
        <v>12</v>
      </c>
      <c r="B323" s="19">
        <v>46068</v>
      </c>
      <c r="C323" s="23"/>
      <c r="D323" s="23"/>
      <c r="E323" s="147">
        <v>13587.6736</v>
      </c>
      <c r="F323" s="147">
        <v>6.4997379000000004</v>
      </c>
      <c r="G323" s="147">
        <v>6.3035836999999999</v>
      </c>
      <c r="H323" s="147">
        <v>20.335416666666699</v>
      </c>
      <c r="I323" s="148">
        <v>0.86706578942038404</v>
      </c>
      <c r="J323" s="148">
        <v>0.23482084888704499</v>
      </c>
      <c r="K323" s="147">
        <v>0</v>
      </c>
      <c r="L323" s="147">
        <v>18.204791666666701</v>
      </c>
      <c r="M323" s="123">
        <v>2411</v>
      </c>
    </row>
    <row r="324" spans="1:13">
      <c r="A324" s="126" t="s">
        <v>12</v>
      </c>
      <c r="B324" s="19">
        <v>46069</v>
      </c>
      <c r="C324" s="23"/>
      <c r="D324" s="23"/>
      <c r="E324" s="147">
        <v>11947.316999999999</v>
      </c>
      <c r="F324" s="147">
        <v>5.7476320000000003</v>
      </c>
      <c r="G324" s="147">
        <v>5.5503878000000002</v>
      </c>
      <c r="H324" s="147">
        <v>24.736249999999998</v>
      </c>
      <c r="I324" s="148">
        <v>0.86215275955625104</v>
      </c>
      <c r="J324" s="148">
        <v>0.20647236623807499</v>
      </c>
      <c r="K324" s="147">
        <v>0</v>
      </c>
      <c r="L324" s="147">
        <v>19.5179166666667</v>
      </c>
      <c r="M324" s="123">
        <v>2411</v>
      </c>
    </row>
    <row r="325" spans="1:13">
      <c r="A325" s="126" t="s">
        <v>12</v>
      </c>
      <c r="B325" s="19">
        <v>46070</v>
      </c>
      <c r="C325" s="23"/>
      <c r="D325" s="23"/>
      <c r="E325" s="147">
        <v>14111.475</v>
      </c>
      <c r="F325" s="147">
        <v>6.9026949999999996</v>
      </c>
      <c r="G325" s="147">
        <v>6.6996231000000002</v>
      </c>
      <c r="H325" s="147">
        <v>25.7083333333333</v>
      </c>
      <c r="I325" s="148">
        <v>0.84792319598490196</v>
      </c>
      <c r="J325" s="148">
        <v>0.24387313355454199</v>
      </c>
      <c r="K325" s="147">
        <v>0</v>
      </c>
      <c r="L325" s="147">
        <v>21.359874999999999</v>
      </c>
      <c r="M325" s="123">
        <v>2411</v>
      </c>
    </row>
    <row r="326" spans="1:13">
      <c r="A326" s="126" t="s">
        <v>12</v>
      </c>
      <c r="B326" s="19">
        <v>46071</v>
      </c>
      <c r="C326" s="23"/>
      <c r="D326" s="23"/>
      <c r="E326" s="147">
        <v>14379.643</v>
      </c>
      <c r="F326" s="147">
        <v>7.0035629999999998</v>
      </c>
      <c r="G326" s="147">
        <v>6.8003486000000004</v>
      </c>
      <c r="H326" s="147">
        <v>24.3058333333333</v>
      </c>
      <c r="I326" s="148">
        <v>0.85159255112342103</v>
      </c>
      <c r="J326" s="148">
        <v>0.24850758675515</v>
      </c>
      <c r="K326" s="147">
        <v>0</v>
      </c>
      <c r="L326" s="147">
        <v>20.659083333333299</v>
      </c>
      <c r="M326" s="123">
        <v>2411</v>
      </c>
    </row>
    <row r="327" spans="1:13">
      <c r="A327" s="126" t="s">
        <v>12</v>
      </c>
      <c r="B327" s="19">
        <v>46072</v>
      </c>
      <c r="C327" s="23"/>
      <c r="D327" s="23"/>
      <c r="E327" s="147">
        <v>13701.143</v>
      </c>
      <c r="F327" s="147">
        <v>6.6584700000000003</v>
      </c>
      <c r="G327" s="147">
        <v>6.4600040999999999</v>
      </c>
      <c r="H327" s="147">
        <v>25.185833333333299</v>
      </c>
      <c r="I327" s="148">
        <v>0.85346387136613699</v>
      </c>
      <c r="J327" s="148">
        <v>0.236781815982303</v>
      </c>
      <c r="K327" s="147">
        <v>0</v>
      </c>
      <c r="L327" s="147">
        <v>20.796749999999999</v>
      </c>
      <c r="M327" s="123">
        <v>2411</v>
      </c>
    </row>
    <row r="328" spans="1:13">
      <c r="A328" s="126" t="s">
        <v>12</v>
      </c>
      <c r="B328" s="19">
        <v>46073</v>
      </c>
      <c r="C328" s="23"/>
      <c r="D328" s="23"/>
      <c r="E328" s="147">
        <v>13524.332</v>
      </c>
      <c r="F328" s="147">
        <v>6.5892569999999999</v>
      </c>
      <c r="G328" s="147">
        <v>6.3922660999999996</v>
      </c>
      <c r="H328" s="147">
        <v>26.417083333333299</v>
      </c>
      <c r="I328" s="148">
        <v>0.851299084695603</v>
      </c>
      <c r="J328" s="148">
        <v>0.23372618553850399</v>
      </c>
      <c r="K328" s="147">
        <v>0</v>
      </c>
      <c r="L328" s="147">
        <v>21.233125000000001</v>
      </c>
      <c r="M328" s="123">
        <v>2411</v>
      </c>
    </row>
    <row r="329" spans="1:13">
      <c r="A329" s="126" t="s">
        <v>12</v>
      </c>
      <c r="B329" s="19">
        <v>46074</v>
      </c>
      <c r="C329" s="23"/>
      <c r="D329" s="23"/>
      <c r="E329" s="147">
        <v>13331.062</v>
      </c>
      <c r="F329" s="147">
        <v>6.5448139999999997</v>
      </c>
      <c r="G329" s="147">
        <v>6.3505089999999997</v>
      </c>
      <c r="H329" s="147">
        <v>28.59375</v>
      </c>
      <c r="I329" s="148">
        <v>0.84483175447273395</v>
      </c>
      <c r="J329" s="148">
        <v>0.23038611226323799</v>
      </c>
      <c r="K329" s="147">
        <v>0</v>
      </c>
      <c r="L329" s="147">
        <v>22.382083333333298</v>
      </c>
      <c r="M329" s="123">
        <v>2411</v>
      </c>
    </row>
    <row r="330" spans="1:13">
      <c r="A330" s="126" t="s">
        <v>12</v>
      </c>
      <c r="B330" s="19">
        <v>46075</v>
      </c>
      <c r="C330" s="23"/>
      <c r="D330" s="23"/>
      <c r="E330" s="147">
        <v>13209.79</v>
      </c>
      <c r="F330" s="147">
        <v>6.4937659999999999</v>
      </c>
      <c r="G330" s="147">
        <v>6.3012740000000003</v>
      </c>
      <c r="H330" s="147">
        <v>29.09375</v>
      </c>
      <c r="I330" s="148">
        <v>0.84372723524578297</v>
      </c>
      <c r="J330" s="148">
        <v>0.22829030139637799</v>
      </c>
      <c r="K330" s="147">
        <v>0</v>
      </c>
      <c r="L330" s="147">
        <v>22.615375</v>
      </c>
      <c r="M330" s="123">
        <v>2411</v>
      </c>
    </row>
    <row r="331" spans="1:13">
      <c r="A331" s="126" t="s">
        <v>12</v>
      </c>
      <c r="B331" s="19">
        <v>46076</v>
      </c>
      <c r="C331" s="23"/>
      <c r="D331" s="23"/>
      <c r="E331" s="147">
        <v>12953.812</v>
      </c>
      <c r="F331" s="147">
        <v>6.2910870000000001</v>
      </c>
      <c r="G331" s="147">
        <v>6.1002216999999996</v>
      </c>
      <c r="H331" s="147">
        <v>26.93375</v>
      </c>
      <c r="I331" s="148">
        <v>0.854033070924344</v>
      </c>
      <c r="J331" s="148">
        <v>0.22386651458592599</v>
      </c>
      <c r="K331" s="147">
        <v>0</v>
      </c>
      <c r="L331" s="147">
        <v>21.044958333333302</v>
      </c>
      <c r="M331" s="123">
        <v>2411</v>
      </c>
    </row>
    <row r="332" spans="1:13">
      <c r="A332" s="126" t="s">
        <v>12</v>
      </c>
      <c r="B332" s="19">
        <v>46077</v>
      </c>
      <c r="C332" s="23"/>
      <c r="D332" s="23"/>
      <c r="E332" s="147">
        <v>13134.246999999999</v>
      </c>
      <c r="F332" s="147">
        <v>6.3993450000000003</v>
      </c>
      <c r="G332" s="147">
        <v>6.208888</v>
      </c>
      <c r="H332" s="147">
        <v>27.123333333333299</v>
      </c>
      <c r="I332" s="148">
        <v>0.85128002810534897</v>
      </c>
      <c r="J332" s="148">
        <v>0.226984774643993</v>
      </c>
      <c r="K332" s="147">
        <v>0</v>
      </c>
      <c r="L332" s="147">
        <v>21.4732083333333</v>
      </c>
      <c r="M332" s="123">
        <v>2411</v>
      </c>
    </row>
    <row r="333" spans="1:13">
      <c r="A333" s="126" t="s">
        <v>12</v>
      </c>
      <c r="B333" s="19">
        <v>46078</v>
      </c>
      <c r="C333" s="23"/>
      <c r="D333" s="23"/>
      <c r="E333" s="147">
        <v>13241.027</v>
      </c>
      <c r="F333" s="147">
        <v>6.4370570000000003</v>
      </c>
      <c r="G333" s="147">
        <v>6.2465469999999996</v>
      </c>
      <c r="H333" s="147">
        <v>26.677499999999998</v>
      </c>
      <c r="I333" s="148">
        <v>0.85317300566910903</v>
      </c>
      <c r="J333" s="148">
        <v>0.228830136181391</v>
      </c>
      <c r="K333" s="147">
        <v>0</v>
      </c>
      <c r="L333" s="147">
        <v>21.25825</v>
      </c>
      <c r="M333" s="123">
        <v>2411</v>
      </c>
    </row>
    <row r="334" spans="1:13">
      <c r="A334" s="126" t="s">
        <v>12</v>
      </c>
      <c r="B334" s="19">
        <v>46079</v>
      </c>
      <c r="C334" s="23"/>
      <c r="D334" s="23"/>
      <c r="E334" s="147">
        <v>13476.096</v>
      </c>
      <c r="F334" s="147">
        <v>6.5219490000000002</v>
      </c>
      <c r="G334" s="147">
        <v>6.3308879999999998</v>
      </c>
      <c r="H334" s="147">
        <v>25.493749999999999</v>
      </c>
      <c r="I334" s="148">
        <v>0.85701709974634599</v>
      </c>
      <c r="J334" s="148">
        <v>0.23289257569473201</v>
      </c>
      <c r="K334" s="147">
        <v>0</v>
      </c>
      <c r="L334" s="147">
        <v>20.678750000000001</v>
      </c>
      <c r="M334" s="123">
        <v>2411</v>
      </c>
    </row>
    <row r="335" spans="1:13">
      <c r="A335" s="126" t="s">
        <v>12</v>
      </c>
      <c r="B335" s="19">
        <v>46080</v>
      </c>
      <c r="C335" s="23"/>
      <c r="D335" s="23"/>
      <c r="E335" s="147">
        <v>13278.661</v>
      </c>
      <c r="F335" s="147">
        <v>6.4758370000000003</v>
      </c>
      <c r="G335" s="147">
        <v>6.285698</v>
      </c>
      <c r="H335" s="147">
        <v>27.585416666666699</v>
      </c>
      <c r="I335" s="148">
        <v>0.85047424126087601</v>
      </c>
      <c r="J335" s="148">
        <v>0.22948052329600399</v>
      </c>
      <c r="K335" s="147">
        <v>0</v>
      </c>
      <c r="L335" s="147">
        <v>21.870625</v>
      </c>
      <c r="M335" s="123">
        <v>2411</v>
      </c>
    </row>
    <row r="336" spans="1:13">
      <c r="A336" s="126" t="s">
        <v>12</v>
      </c>
      <c r="B336" s="19">
        <v>46081</v>
      </c>
      <c r="C336" s="23"/>
      <c r="D336" s="23"/>
      <c r="E336" s="147">
        <v>12966.718000000001</v>
      </c>
      <c r="F336" s="147">
        <v>6.3117210000000004</v>
      </c>
      <c r="G336" s="147">
        <v>6.1232810000000004</v>
      </c>
      <c r="H336" s="147">
        <v>28.121666666666702</v>
      </c>
      <c r="I336" s="148">
        <v>0.852089202871398</v>
      </c>
      <c r="J336" s="148">
        <v>0.22408955481819401</v>
      </c>
      <c r="K336" s="147">
        <v>0</v>
      </c>
      <c r="L336" s="147">
        <v>21.793041666666699</v>
      </c>
      <c r="M336" s="123">
        <v>2411</v>
      </c>
    </row>
    <row r="337" spans="1:13">
      <c r="A337" s="126" t="s">
        <v>12</v>
      </c>
      <c r="B337" s="19">
        <v>46082</v>
      </c>
      <c r="C337" s="23"/>
      <c r="D337" s="23"/>
      <c r="E337" s="147">
        <v>13397.986000000001</v>
      </c>
      <c r="F337" s="147">
        <v>6.4884250000000003</v>
      </c>
      <c r="G337" s="147">
        <v>6.2985530000000001</v>
      </c>
      <c r="H337" s="147">
        <v>26.9345833333333</v>
      </c>
      <c r="I337" s="148">
        <v>0.85645198506167297</v>
      </c>
      <c r="J337" s="148">
        <v>0.23154268629890801</v>
      </c>
      <c r="K337" s="147">
        <v>0</v>
      </c>
      <c r="L337" s="147">
        <v>21.185083333333299</v>
      </c>
      <c r="M337" s="123">
        <v>2411</v>
      </c>
    </row>
    <row r="338" spans="1:13">
      <c r="A338" s="126" t="s">
        <v>12</v>
      </c>
      <c r="B338" s="19">
        <v>46083</v>
      </c>
      <c r="C338" s="23"/>
      <c r="D338" s="23"/>
      <c r="E338" s="147">
        <v>12813.275</v>
      </c>
      <c r="F338" s="147">
        <v>6.1883489999999997</v>
      </c>
      <c r="G338" s="147">
        <v>6.0004819999999999</v>
      </c>
      <c r="H338" s="147">
        <v>26.7320833333333</v>
      </c>
      <c r="I338" s="148">
        <v>0.85879229320577899</v>
      </c>
      <c r="J338" s="148">
        <v>0.22143776786948699</v>
      </c>
      <c r="K338" s="147">
        <v>0</v>
      </c>
      <c r="L338" s="147">
        <v>20.857416666666701</v>
      </c>
      <c r="M338" s="123">
        <v>2411</v>
      </c>
    </row>
    <row r="339" spans="1:13">
      <c r="A339" s="126" t="s">
        <v>12</v>
      </c>
      <c r="B339" s="19">
        <v>46084</v>
      </c>
      <c r="C339" s="23"/>
      <c r="D339" s="23"/>
      <c r="E339" s="147">
        <v>13820.683999999999</v>
      </c>
      <c r="F339" s="147">
        <v>6.6848000000000001</v>
      </c>
      <c r="G339" s="147">
        <v>6.4925220000000001</v>
      </c>
      <c r="H339" s="147">
        <v>25.5066666666667</v>
      </c>
      <c r="I339" s="148">
        <v>0.85751931023021799</v>
      </c>
      <c r="J339" s="148">
        <v>0.238847711876123</v>
      </c>
      <c r="K339" s="147">
        <v>0</v>
      </c>
      <c r="L339" s="147">
        <v>20.723624999999998</v>
      </c>
      <c r="M339" s="123">
        <v>2411</v>
      </c>
    </row>
    <row r="340" spans="1:13">
      <c r="A340" s="126" t="s">
        <v>12</v>
      </c>
      <c r="B340" s="19">
        <v>46085</v>
      </c>
      <c r="C340" s="23"/>
      <c r="D340" s="23"/>
      <c r="E340" s="147">
        <v>9436.6190000000006</v>
      </c>
      <c r="F340" s="147">
        <v>4.4624550000000003</v>
      </c>
      <c r="G340" s="147">
        <v>4.2897499999999997</v>
      </c>
      <c r="H340" s="147">
        <v>24.6220833333333</v>
      </c>
      <c r="I340" s="148">
        <v>0.87709242629942297</v>
      </c>
      <c r="J340" s="148">
        <v>0.16308272846675001</v>
      </c>
      <c r="K340" s="147">
        <v>0</v>
      </c>
      <c r="L340" s="147">
        <v>17.459416666666701</v>
      </c>
      <c r="M340" s="123">
        <v>2411</v>
      </c>
    </row>
    <row r="341" spans="1:13">
      <c r="A341" s="126" t="s">
        <v>12</v>
      </c>
      <c r="B341" s="19">
        <v>46086</v>
      </c>
      <c r="C341" s="23"/>
      <c r="D341" s="23"/>
      <c r="E341" s="147">
        <v>10446.459999999999</v>
      </c>
      <c r="F341" s="147">
        <v>5.0124132000000001</v>
      </c>
      <c r="G341" s="147">
        <v>4.8407121999999996</v>
      </c>
      <c r="H341" s="147">
        <v>25.2291666666667</v>
      </c>
      <c r="I341" s="148">
        <v>0.86442052491603505</v>
      </c>
      <c r="J341" s="148">
        <v>0.18053470206000299</v>
      </c>
      <c r="K341" s="147">
        <v>0</v>
      </c>
      <c r="L341" s="147">
        <v>18.672625</v>
      </c>
      <c r="M341" s="123">
        <v>2411</v>
      </c>
    </row>
    <row r="342" spans="1:13">
      <c r="A342" s="126" t="s">
        <v>12</v>
      </c>
      <c r="B342" s="19">
        <v>46087</v>
      </c>
      <c r="C342" s="23"/>
      <c r="D342" s="23"/>
      <c r="E342" s="147">
        <v>9842.6630000000005</v>
      </c>
      <c r="F342" s="147">
        <v>4.7001483000000004</v>
      </c>
      <c r="G342" s="147">
        <v>4.5310772000000004</v>
      </c>
      <c r="H342" s="147">
        <v>26.138750000000002</v>
      </c>
      <c r="I342" s="148">
        <v>0.86856803854396802</v>
      </c>
      <c r="J342" s="148">
        <v>0.17009994124153199</v>
      </c>
      <c r="K342" s="147">
        <v>0</v>
      </c>
      <c r="L342" s="147">
        <v>18.610375000000001</v>
      </c>
      <c r="M342" s="123">
        <v>2411</v>
      </c>
    </row>
    <row r="343" spans="1:13">
      <c r="A343" s="126" t="s">
        <v>12</v>
      </c>
      <c r="B343" s="19">
        <v>46088</v>
      </c>
      <c r="C343" s="23"/>
      <c r="D343" s="23"/>
      <c r="E343" s="147">
        <v>14543.124</v>
      </c>
      <c r="F343" s="147">
        <v>7.0618230000000004</v>
      </c>
      <c r="G343" s="147">
        <v>6.8649789999999999</v>
      </c>
      <c r="H343" s="147">
        <v>25.718333333333302</v>
      </c>
      <c r="I343" s="148">
        <v>0.85416873044843999</v>
      </c>
      <c r="J343" s="148">
        <v>0.25133284944006601</v>
      </c>
      <c r="K343" s="147">
        <v>0</v>
      </c>
      <c r="L343" s="147">
        <v>21.369666666666699</v>
      </c>
      <c r="M343" s="123">
        <v>2411</v>
      </c>
    </row>
    <row r="344" spans="1:13">
      <c r="A344" s="126" t="s">
        <v>12</v>
      </c>
      <c r="B344" s="19">
        <v>46089</v>
      </c>
      <c r="C344" s="23"/>
      <c r="D344" s="23"/>
      <c r="E344" s="147">
        <v>14738.174999999999</v>
      </c>
      <c r="F344" s="147">
        <v>7.0970019999999998</v>
      </c>
      <c r="G344" s="147">
        <v>6.8968619999999996</v>
      </c>
      <c r="H344" s="147">
        <v>23.352499999999999</v>
      </c>
      <c r="I344" s="148">
        <v>0.861333960847667</v>
      </c>
      <c r="J344" s="148">
        <v>0.254703701783492</v>
      </c>
      <c r="K344" s="147">
        <v>0</v>
      </c>
      <c r="L344" s="147">
        <v>20.2187916666667</v>
      </c>
      <c r="M344" s="123">
        <v>2411</v>
      </c>
    </row>
    <row r="345" spans="1:13">
      <c r="A345" s="126" t="s">
        <v>12</v>
      </c>
      <c r="B345" s="19">
        <v>46090</v>
      </c>
      <c r="C345" s="23"/>
      <c r="D345" s="23"/>
      <c r="E345" s="147">
        <v>15219.083000000001</v>
      </c>
      <c r="F345" s="147">
        <v>7.3750520000000002</v>
      </c>
      <c r="G345" s="147">
        <v>7.1727980000000002</v>
      </c>
      <c r="H345" s="147">
        <v>23.832083333333301</v>
      </c>
      <c r="I345" s="148">
        <v>0.85590623165429203</v>
      </c>
      <c r="J345" s="148">
        <v>0.26301470689893502</v>
      </c>
      <c r="K345" s="147">
        <v>0</v>
      </c>
      <c r="L345" s="147">
        <v>20.957000000000001</v>
      </c>
      <c r="M345" s="123">
        <v>2411</v>
      </c>
    </row>
    <row r="346" spans="1:13">
      <c r="A346" s="126" t="s">
        <v>12</v>
      </c>
      <c r="B346" s="19">
        <v>46091</v>
      </c>
      <c r="C346" s="23"/>
      <c r="D346" s="23"/>
      <c r="E346" s="147">
        <v>15287.966</v>
      </c>
      <c r="F346" s="147">
        <v>7.43065</v>
      </c>
      <c r="G346" s="147">
        <v>7.2273630000000004</v>
      </c>
      <c r="H346" s="147">
        <v>24.751666666666701</v>
      </c>
      <c r="I346" s="148">
        <v>0.85334705151680901</v>
      </c>
      <c r="J346" s="148">
        <v>0.26420513618139102</v>
      </c>
      <c r="K346" s="147">
        <v>0</v>
      </c>
      <c r="L346" s="147">
        <v>21.406833333333299</v>
      </c>
      <c r="M346" s="123">
        <v>2411</v>
      </c>
    </row>
    <row r="347" spans="1:13">
      <c r="A347" s="126" t="s">
        <v>12</v>
      </c>
      <c r="B347" s="19">
        <v>46092</v>
      </c>
      <c r="C347" s="23"/>
      <c r="D347" s="23"/>
      <c r="E347" s="147">
        <v>13695.277</v>
      </c>
      <c r="F347" s="147">
        <v>6.615774</v>
      </c>
      <c r="G347" s="147">
        <v>6.4215280000000003</v>
      </c>
      <c r="H347" s="147">
        <v>26.286249999999999</v>
      </c>
      <c r="I347" s="148">
        <v>0.85860408294312196</v>
      </c>
      <c r="J347" s="148">
        <v>0.236680440342873</v>
      </c>
      <c r="K347" s="147">
        <v>0</v>
      </c>
      <c r="L347" s="147">
        <v>21.246500000000001</v>
      </c>
      <c r="M347" s="123">
        <v>2411</v>
      </c>
    </row>
    <row r="348" spans="1:13">
      <c r="A348" s="126" t="s">
        <v>12</v>
      </c>
      <c r="B348" s="19">
        <v>46093</v>
      </c>
      <c r="C348" s="23"/>
      <c r="D348" s="23"/>
      <c r="E348" s="147">
        <v>15656.574000000001</v>
      </c>
      <c r="F348" s="147">
        <v>7.6578119999999998</v>
      </c>
      <c r="G348" s="147">
        <v>7.452045</v>
      </c>
      <c r="H348" s="147">
        <v>25.874166666666699</v>
      </c>
      <c r="I348" s="148">
        <v>0.84799799313401703</v>
      </c>
      <c r="J348" s="148">
        <v>0.27057538365823303</v>
      </c>
      <c r="K348" s="147">
        <v>0</v>
      </c>
      <c r="L348" s="147">
        <v>22.2067083333333</v>
      </c>
      <c r="M348" s="123">
        <v>2411</v>
      </c>
    </row>
    <row r="349" spans="1:13">
      <c r="A349" s="126" t="s">
        <v>12</v>
      </c>
      <c r="B349" s="19">
        <v>46094</v>
      </c>
      <c r="C349" s="23"/>
      <c r="D349" s="23"/>
      <c r="E349" s="147">
        <v>15130.691999999999</v>
      </c>
      <c r="F349" s="147">
        <v>7.3925179999999999</v>
      </c>
      <c r="G349" s="147">
        <v>7.1883039999999996</v>
      </c>
      <c r="H349" s="147">
        <v>26.4754166666667</v>
      </c>
      <c r="I349" s="148">
        <v>0.84892473908766797</v>
      </c>
      <c r="J349" s="148">
        <v>0.26148714226462</v>
      </c>
      <c r="K349" s="147">
        <v>0</v>
      </c>
      <c r="L349" s="147">
        <v>22.254000000000001</v>
      </c>
      <c r="M349" s="123">
        <v>2411</v>
      </c>
    </row>
    <row r="350" spans="1:13">
      <c r="A350" s="126" t="s">
        <v>12</v>
      </c>
      <c r="B350" s="19">
        <v>46095</v>
      </c>
      <c r="C350" s="23"/>
      <c r="D350" s="23"/>
      <c r="E350" s="147">
        <v>13728.38</v>
      </c>
      <c r="F350" s="147">
        <v>6.6574900000000001</v>
      </c>
      <c r="G350" s="147">
        <v>6.4630260000000002</v>
      </c>
      <c r="H350" s="147">
        <v>27.120833333333302</v>
      </c>
      <c r="I350" s="148">
        <v>0.85528638507695598</v>
      </c>
      <c r="J350" s="148">
        <v>0.237252523157749</v>
      </c>
      <c r="K350" s="147">
        <v>0</v>
      </c>
      <c r="L350" s="147">
        <v>21.643083333333301</v>
      </c>
      <c r="M350" s="123">
        <v>2411</v>
      </c>
    </row>
    <row r="351" spans="1:13">
      <c r="A351" s="126" t="s">
        <v>12</v>
      </c>
      <c r="B351" s="19">
        <v>46096</v>
      </c>
      <c r="C351" s="23"/>
      <c r="D351" s="23"/>
      <c r="E351" s="147">
        <v>13972.576999999999</v>
      </c>
      <c r="F351" s="147">
        <v>6.8048299999999999</v>
      </c>
      <c r="G351" s="147">
        <v>6.6092209999999998</v>
      </c>
      <c r="H351" s="147">
        <v>27.7091666666667</v>
      </c>
      <c r="I351" s="148">
        <v>0.85165170695328996</v>
      </c>
      <c r="J351" s="148">
        <v>0.24147271187612299</v>
      </c>
      <c r="K351" s="147">
        <v>0</v>
      </c>
      <c r="L351" s="147">
        <v>22.127583333333298</v>
      </c>
      <c r="M351" s="123">
        <v>2411</v>
      </c>
    </row>
    <row r="352" spans="1:13">
      <c r="A352" s="126" t="s">
        <v>12</v>
      </c>
      <c r="B352" s="19">
        <v>46097</v>
      </c>
      <c r="C352" s="23"/>
      <c r="D352" s="23"/>
      <c r="E352" s="147">
        <v>13857.736999999999</v>
      </c>
      <c r="F352" s="147">
        <v>6.7500689999999999</v>
      </c>
      <c r="G352" s="147">
        <v>6.5545939999999998</v>
      </c>
      <c r="H352" s="147">
        <v>28.046250000000001</v>
      </c>
      <c r="I352" s="148">
        <v>0.85150439157447599</v>
      </c>
      <c r="J352" s="148">
        <v>0.239488058205447</v>
      </c>
      <c r="K352" s="147">
        <v>0</v>
      </c>
      <c r="L352" s="147">
        <v>22.159458333333301</v>
      </c>
      <c r="M352" s="123">
        <v>2411</v>
      </c>
    </row>
    <row r="353" spans="1:13">
      <c r="A353" s="126" t="s">
        <v>12</v>
      </c>
      <c r="B353" s="19">
        <v>46098</v>
      </c>
      <c r="C353" s="23"/>
      <c r="D353" s="23"/>
      <c r="E353" s="147">
        <v>15096.334999999999</v>
      </c>
      <c r="F353" s="147">
        <v>7.5431140000000001</v>
      </c>
      <c r="G353" s="147">
        <v>7.3218240000000003</v>
      </c>
      <c r="H353" s="147">
        <v>31.545833333333299</v>
      </c>
      <c r="I353" s="148">
        <v>0.83008705829707397</v>
      </c>
      <c r="J353" s="148">
        <v>0.26089338794414502</v>
      </c>
      <c r="K353" s="147">
        <v>0</v>
      </c>
      <c r="L353" s="147">
        <v>25.2485</v>
      </c>
      <c r="M353" s="123">
        <v>2411</v>
      </c>
    </row>
    <row r="354" spans="1:13">
      <c r="A354" s="126" t="s">
        <v>12</v>
      </c>
      <c r="B354" s="19">
        <v>46099</v>
      </c>
      <c r="C354" s="23"/>
      <c r="D354" s="23"/>
      <c r="E354" s="147">
        <v>13693.32</v>
      </c>
      <c r="F354" s="147">
        <v>6.6781110000000004</v>
      </c>
      <c r="G354" s="147">
        <v>6.4726749999999997</v>
      </c>
      <c r="H354" s="147">
        <v>29.181249999999999</v>
      </c>
      <c r="I354" s="148">
        <v>0.85046787509782495</v>
      </c>
      <c r="J354" s="148">
        <v>0.236646619659892</v>
      </c>
      <c r="K354" s="147">
        <v>0</v>
      </c>
      <c r="L354" s="147">
        <v>22.584958333333301</v>
      </c>
      <c r="M354" s="123">
        <v>2411</v>
      </c>
    </row>
    <row r="355" spans="1:13">
      <c r="A355" s="126" t="s">
        <v>12</v>
      </c>
      <c r="B355" s="19">
        <v>46100</v>
      </c>
      <c r="C355" s="23"/>
      <c r="D355" s="23"/>
      <c r="E355" s="147">
        <v>13821.853999999999</v>
      </c>
      <c r="F355" s="147">
        <v>6.7501600000000002</v>
      </c>
      <c r="G355" s="147">
        <v>6.5426190000000002</v>
      </c>
      <c r="H355" s="147">
        <v>28.6933333333333</v>
      </c>
      <c r="I355" s="148">
        <v>0.84928807033405496</v>
      </c>
      <c r="J355" s="148">
        <v>0.238867931701922</v>
      </c>
      <c r="K355" s="147">
        <v>0</v>
      </c>
      <c r="L355" s="147">
        <v>22.634541666666699</v>
      </c>
      <c r="M355" s="123">
        <v>2411</v>
      </c>
    </row>
    <row r="356" spans="1:13">
      <c r="A356" s="126" t="s">
        <v>12</v>
      </c>
      <c r="B356" s="19">
        <v>46101</v>
      </c>
      <c r="C356" s="23"/>
      <c r="D356" s="23"/>
      <c r="E356" s="147">
        <v>12498.71</v>
      </c>
      <c r="F356" s="147">
        <v>6.0128389999999996</v>
      </c>
      <c r="G356" s="147">
        <v>5.8143019999999996</v>
      </c>
      <c r="H356" s="147">
        <v>27.339166666666699</v>
      </c>
      <c r="I356" s="148">
        <v>0.86216106399099302</v>
      </c>
      <c r="J356" s="148">
        <v>0.21600148624360599</v>
      </c>
      <c r="K356" s="147">
        <v>0</v>
      </c>
      <c r="L356" s="147">
        <v>20.867083333333301</v>
      </c>
      <c r="M356" s="123">
        <v>2411</v>
      </c>
    </row>
    <row r="357" spans="1:13">
      <c r="A357" s="126" t="s">
        <v>12</v>
      </c>
      <c r="B357" s="19">
        <v>46102</v>
      </c>
      <c r="C357" s="23"/>
      <c r="D357" s="23"/>
      <c r="E357" s="147">
        <v>14175.891</v>
      </c>
      <c r="F357" s="147">
        <v>6.9024989999999997</v>
      </c>
      <c r="G357" s="147">
        <v>6.6916450000000003</v>
      </c>
      <c r="H357" s="147">
        <v>27.506250000000001</v>
      </c>
      <c r="I357" s="148">
        <v>0.85181797924147595</v>
      </c>
      <c r="J357" s="148">
        <v>0.24498636457901299</v>
      </c>
      <c r="K357" s="147">
        <v>0</v>
      </c>
      <c r="L357" s="147">
        <v>22.167833333333299</v>
      </c>
      <c r="M357" s="123">
        <v>2411</v>
      </c>
    </row>
    <row r="358" spans="1:13">
      <c r="A358" s="126" t="s">
        <v>12</v>
      </c>
      <c r="B358" s="19">
        <v>46103</v>
      </c>
      <c r="C358" s="23"/>
      <c r="D358" s="23"/>
      <c r="E358" s="147">
        <v>14586.285</v>
      </c>
      <c r="F358" s="147">
        <v>7.1726619999999999</v>
      </c>
      <c r="G358" s="147">
        <v>6.9581330000000001</v>
      </c>
      <c r="H358" s="147">
        <v>29.043749999999999</v>
      </c>
      <c r="I358" s="148">
        <v>0.84346510223133198</v>
      </c>
      <c r="J358" s="148">
        <v>0.25207875362920001</v>
      </c>
      <c r="K358" s="147">
        <v>0</v>
      </c>
      <c r="L358" s="147">
        <v>23.399249999999999</v>
      </c>
      <c r="M358" s="123">
        <v>2411</v>
      </c>
    </row>
    <row r="359" spans="1:13">
      <c r="A359" s="126" t="s">
        <v>12</v>
      </c>
      <c r="B359" s="19">
        <v>46104</v>
      </c>
      <c r="C359" s="23"/>
      <c r="D359" s="23"/>
      <c r="E359" s="147">
        <v>15196.157999999999</v>
      </c>
      <c r="F359" s="147">
        <v>7.4681300000000004</v>
      </c>
      <c r="G359" s="147">
        <v>7.2446979999999996</v>
      </c>
      <c r="H359" s="147">
        <v>28.200416666666701</v>
      </c>
      <c r="I359" s="148">
        <v>0.84396555267228501</v>
      </c>
      <c r="J359" s="148">
        <v>0.26261851928660301</v>
      </c>
      <c r="K359" s="147">
        <v>0</v>
      </c>
      <c r="L359" s="147">
        <v>23.198875000000001</v>
      </c>
      <c r="M359" s="123">
        <v>2411</v>
      </c>
    </row>
    <row r="360" spans="1:13">
      <c r="A360" s="126" t="s">
        <v>12</v>
      </c>
      <c r="B360" s="19">
        <v>46105</v>
      </c>
      <c r="C360" s="23"/>
      <c r="D360" s="23"/>
      <c r="E360" s="147">
        <v>14874.431</v>
      </c>
      <c r="F360" s="147">
        <v>7.3062769999999997</v>
      </c>
      <c r="G360" s="147">
        <v>7.0914489999999999</v>
      </c>
      <c r="H360" s="147">
        <v>28.540416666666701</v>
      </c>
      <c r="I360" s="148">
        <v>0.84439765317123805</v>
      </c>
      <c r="J360" s="148">
        <v>0.25705846467579202</v>
      </c>
      <c r="K360" s="147">
        <v>0</v>
      </c>
      <c r="L360" s="147">
        <v>23.267624999999999</v>
      </c>
      <c r="M360" s="123">
        <v>2411</v>
      </c>
    </row>
    <row r="361" spans="1:13">
      <c r="A361" s="126" t="s">
        <v>12</v>
      </c>
      <c r="B361" s="19">
        <v>46106</v>
      </c>
      <c r="C361" s="23"/>
      <c r="D361" s="23"/>
      <c r="E361" s="147">
        <v>15041.277</v>
      </c>
      <c r="F361" s="147">
        <v>7.3848849999999997</v>
      </c>
      <c r="G361" s="147">
        <v>7.1671100000000001</v>
      </c>
      <c r="H361" s="147">
        <v>28.37</v>
      </c>
      <c r="I361" s="148">
        <v>0.84478026984768895</v>
      </c>
      <c r="J361" s="148">
        <v>0.25994188096225601</v>
      </c>
      <c r="K361" s="147">
        <v>0</v>
      </c>
      <c r="L361" s="147">
        <v>23.231999999999999</v>
      </c>
      <c r="M361" s="123">
        <v>2411</v>
      </c>
    </row>
    <row r="362" spans="1:13">
      <c r="A362" s="126" t="s">
        <v>12</v>
      </c>
      <c r="B362" s="19">
        <v>46107</v>
      </c>
      <c r="C362" s="23"/>
      <c r="D362" s="23"/>
      <c r="E362" s="147">
        <v>14576.451999999999</v>
      </c>
      <c r="F362" s="147">
        <v>7.1146479999999999</v>
      </c>
      <c r="G362" s="147">
        <v>6.9017600000000003</v>
      </c>
      <c r="H362" s="147">
        <v>27.859583333333301</v>
      </c>
      <c r="I362" s="148">
        <v>0.84976961564247999</v>
      </c>
      <c r="J362" s="148">
        <v>0.25190882068298098</v>
      </c>
      <c r="K362" s="147">
        <v>0</v>
      </c>
      <c r="L362" s="147">
        <v>22.568916666666698</v>
      </c>
      <c r="M362" s="123">
        <v>2411</v>
      </c>
    </row>
    <row r="363" spans="1:13">
      <c r="A363" s="126" t="s">
        <v>12</v>
      </c>
      <c r="B363" s="19">
        <v>46108</v>
      </c>
      <c r="C363" s="23"/>
      <c r="D363" s="23"/>
      <c r="E363" s="147">
        <v>13858.8</v>
      </c>
      <c r="F363" s="147">
        <v>6.8105880000000001</v>
      </c>
      <c r="G363" s="147">
        <v>6.6037049999999997</v>
      </c>
      <c r="H363" s="147">
        <v>30.214166666666699</v>
      </c>
      <c r="I363" s="148">
        <v>0.84400264600127795</v>
      </c>
      <c r="J363" s="148">
        <v>0.23950642886769</v>
      </c>
      <c r="K363" s="147">
        <v>0</v>
      </c>
      <c r="L363" s="147">
        <v>23.595874999999999</v>
      </c>
      <c r="M363" s="123">
        <v>2411</v>
      </c>
    </row>
    <row r="364" spans="1:13">
      <c r="A364" s="126" t="s">
        <v>12</v>
      </c>
      <c r="B364" s="19">
        <v>46109</v>
      </c>
      <c r="C364" s="23"/>
      <c r="D364" s="23"/>
      <c r="E364" s="147">
        <v>14233.957</v>
      </c>
      <c r="F364" s="147">
        <v>6.988575</v>
      </c>
      <c r="G364" s="147">
        <v>6.7770830000000002</v>
      </c>
      <c r="H364" s="147">
        <v>29.8816666666667</v>
      </c>
      <c r="I364" s="148">
        <v>0.84477257989777699</v>
      </c>
      <c r="J364" s="148">
        <v>0.245989855523296</v>
      </c>
      <c r="K364" s="147">
        <v>0</v>
      </c>
      <c r="L364" s="147">
        <v>23.522833333333299</v>
      </c>
      <c r="M364" s="123">
        <v>2411</v>
      </c>
    </row>
    <row r="365" spans="1:13">
      <c r="A365" s="126" t="s">
        <v>12</v>
      </c>
      <c r="B365" s="19">
        <v>46110</v>
      </c>
      <c r="C365" s="23"/>
      <c r="D365" s="23"/>
      <c r="E365" s="147">
        <v>13190.922</v>
      </c>
      <c r="F365" s="147">
        <v>6.4052959999999999</v>
      </c>
      <c r="G365" s="147">
        <v>6.1983920000000001</v>
      </c>
      <c r="H365" s="147">
        <v>28.861249999999998</v>
      </c>
      <c r="I365" s="148">
        <v>0.85415903263318005</v>
      </c>
      <c r="J365" s="148">
        <v>0.227964226462049</v>
      </c>
      <c r="K365" s="147">
        <v>0</v>
      </c>
      <c r="L365" s="147">
        <v>22.257291666666699</v>
      </c>
      <c r="M365" s="123">
        <v>2411</v>
      </c>
    </row>
    <row r="366" spans="1:13">
      <c r="A366" s="126" t="s">
        <v>12</v>
      </c>
      <c r="B366" s="19">
        <v>46111</v>
      </c>
      <c r="C366" s="23"/>
      <c r="D366" s="23"/>
      <c r="E366" s="147">
        <v>14156.897000000001</v>
      </c>
      <c r="F366" s="147">
        <v>6.9356200000000001</v>
      </c>
      <c r="G366" s="147">
        <v>6.7251630000000002</v>
      </c>
      <c r="H366" s="147">
        <v>29.551666666666701</v>
      </c>
      <c r="I366" s="148">
        <v>0.84661424515754702</v>
      </c>
      <c r="J366" s="148">
        <v>0.24465811212498301</v>
      </c>
      <c r="K366" s="147">
        <v>0</v>
      </c>
      <c r="L366" s="147">
        <v>23.354624999999999</v>
      </c>
      <c r="M366" s="123">
        <v>2411</v>
      </c>
    </row>
    <row r="367" spans="1:13">
      <c r="A367" s="149" t="s">
        <v>12</v>
      </c>
      <c r="B367" s="116">
        <v>46112</v>
      </c>
      <c r="C367" s="137"/>
      <c r="D367" s="137"/>
      <c r="E367" s="137">
        <v>14820.857</v>
      </c>
      <c r="F367" s="137">
        <v>7.3481170000000002</v>
      </c>
      <c r="G367" s="137">
        <v>7.1301079999999999</v>
      </c>
      <c r="H367" s="137">
        <v>30.8958333333333</v>
      </c>
      <c r="I367" s="137">
        <v>0.83656568028098299</v>
      </c>
      <c r="J367" s="137">
        <v>0.25613260403705201</v>
      </c>
      <c r="K367" s="137">
        <v>0</v>
      </c>
      <c r="L367" s="137">
        <v>24.667625000000001</v>
      </c>
      <c r="M367" s="139"/>
    </row>
  </sheetData>
  <sheetProtection algorithmName="SHA-512" hashValue="WnbqnWnBtbD7WALDFDA+erSZ5e+6vrJcSuobMbRt8HQdrTfO5uy6hZzkUA+VpbPYkzj96ClDkJ0bmZv8iQNYhg==" saltValue="FaV36GnIATYpfVD6pZdS0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BR733"/>
  <sheetViews>
    <sheetView zoomScale="120" zoomScaleNormal="120" workbookViewId="0">
      <pane xSplit="5" ySplit="1" topLeftCell="T420" activePane="bottomRight" state="frozen"/>
      <selection pane="topRight"/>
      <selection pane="bottomLeft"/>
      <selection pane="bottomRight" activeCell="AA433" sqref="AA433"/>
    </sheetView>
  </sheetViews>
  <sheetFormatPr defaultColWidth="8.75" defaultRowHeight="15"/>
  <cols>
    <col min="1" max="1" width="29.75" style="97" customWidth="1"/>
    <col min="2" max="2" width="6.5" style="97" customWidth="1"/>
    <col min="3" max="3" width="9.5" style="97" customWidth="1"/>
    <col min="4" max="4" width="12.5" style="97" customWidth="1"/>
    <col min="5" max="5" width="14.75" style="97" customWidth="1"/>
    <col min="6" max="6" width="7.625" style="97" customWidth="1"/>
    <col min="7" max="8" width="7.25" style="97" customWidth="1"/>
    <col min="9" max="9" width="8.75" style="97" customWidth="1"/>
    <col min="10" max="12" width="7.25" style="97" customWidth="1"/>
    <col min="13" max="13" width="14.875" style="97" customWidth="1"/>
    <col min="14" max="14" width="14.875" style="117" customWidth="1"/>
    <col min="15" max="15" width="14.25" style="97" customWidth="1"/>
    <col min="16" max="16" width="10.5" style="97" customWidth="1"/>
    <col min="17" max="17" width="15.25" style="97" customWidth="1"/>
    <col min="18" max="18" width="14.5" style="97" customWidth="1"/>
    <col min="19" max="19" width="10.75" style="97" customWidth="1"/>
    <col min="20" max="20" width="11.875" style="118" customWidth="1"/>
    <col min="21" max="21" width="11.375" style="97" customWidth="1"/>
    <col min="22" max="22" width="11" style="97" customWidth="1"/>
    <col min="23" max="23" width="14.25" style="97" customWidth="1"/>
    <col min="24" max="24" width="15.875" style="97" customWidth="1"/>
    <col min="25" max="25" width="16.25" style="97" customWidth="1"/>
    <col min="26" max="26" width="10" style="97" customWidth="1"/>
    <col min="27" max="27" width="13.25" style="97" customWidth="1"/>
    <col min="28" max="28" width="15.75" style="97" customWidth="1"/>
    <col min="29" max="16384" width="8.75" style="97"/>
  </cols>
  <sheetData>
    <row r="1" spans="1:28" ht="14.45" customHeight="1">
      <c r="B1" s="119" t="s">
        <v>2</v>
      </c>
      <c r="C1" s="119" t="s">
        <v>1</v>
      </c>
      <c r="D1" s="119" t="s">
        <v>13</v>
      </c>
      <c r="E1" s="120" t="s">
        <v>14</v>
      </c>
      <c r="F1" s="121" t="s">
        <v>15</v>
      </c>
      <c r="G1" s="119" t="s">
        <v>16</v>
      </c>
      <c r="H1" s="119" t="s">
        <v>17</v>
      </c>
      <c r="I1" s="119" t="s">
        <v>18</v>
      </c>
      <c r="J1" s="119" t="s">
        <v>19</v>
      </c>
      <c r="K1" s="119" t="s">
        <v>20</v>
      </c>
      <c r="L1" s="119" t="s">
        <v>21</v>
      </c>
      <c r="M1" s="122" t="s">
        <v>22</v>
      </c>
      <c r="N1" s="119" t="s">
        <v>23</v>
      </c>
      <c r="O1" s="119" t="s">
        <v>24</v>
      </c>
      <c r="P1" s="119" t="s">
        <v>25</v>
      </c>
      <c r="Q1" s="119" t="s">
        <v>26</v>
      </c>
      <c r="R1" s="119" t="s">
        <v>27</v>
      </c>
      <c r="S1" s="119" t="s">
        <v>28</v>
      </c>
      <c r="T1" s="120" t="s">
        <v>29</v>
      </c>
      <c r="U1" s="121" t="s">
        <v>30</v>
      </c>
      <c r="V1" s="119" t="s">
        <v>31</v>
      </c>
      <c r="W1" s="119" t="s">
        <v>32</v>
      </c>
      <c r="X1" s="119" t="s">
        <v>33</v>
      </c>
      <c r="Y1" s="119" t="s">
        <v>34</v>
      </c>
      <c r="Z1" s="119" t="s">
        <v>35</v>
      </c>
      <c r="AA1" s="119" t="s">
        <v>36</v>
      </c>
      <c r="AB1" s="120" t="s">
        <v>37</v>
      </c>
    </row>
    <row r="2" spans="1:28">
      <c r="A2" s="97">
        <v>4</v>
      </c>
      <c r="B2" s="113">
        <v>45747</v>
      </c>
      <c r="C2" s="19">
        <v>45747</v>
      </c>
      <c r="D2" s="23"/>
      <c r="E2" s="123"/>
      <c r="F2" s="124"/>
      <c r="G2" s="124"/>
      <c r="H2" s="124"/>
      <c r="I2" s="124"/>
      <c r="J2" s="124"/>
      <c r="K2" s="124"/>
      <c r="L2" s="124"/>
      <c r="M2" s="125">
        <f>SUM(F2:L2)</f>
        <v>0</v>
      </c>
      <c r="N2" s="126"/>
      <c r="O2" s="23"/>
      <c r="P2" s="23">
        <f>MAX((O2-N2)*3000,0)</f>
        <v>0</v>
      </c>
      <c r="Q2" s="23"/>
      <c r="R2" s="23"/>
      <c r="S2" s="23">
        <f>MAX((R2-Q2)*3000,0)</f>
        <v>0</v>
      </c>
      <c r="T2" s="123">
        <f>P2-S2</f>
        <v>0</v>
      </c>
      <c r="U2" s="127"/>
      <c r="V2" s="23"/>
      <c r="W2" s="128"/>
      <c r="X2" s="128"/>
      <c r="Y2" s="128"/>
      <c r="Z2" s="23"/>
      <c r="AA2" s="23"/>
      <c r="AB2" s="123"/>
    </row>
    <row r="3" spans="1:28">
      <c r="A3" s="97">
        <f t="shared" ref="A3:A66" si="0">A2+1</f>
        <v>5</v>
      </c>
      <c r="B3" s="113">
        <v>45748</v>
      </c>
      <c r="C3" s="19">
        <v>45748</v>
      </c>
      <c r="D3" s="23"/>
      <c r="E3" s="123"/>
      <c r="F3" s="124">
        <v>1907.18</v>
      </c>
      <c r="G3" s="124">
        <v>1939.32</v>
      </c>
      <c r="H3" s="124">
        <v>1904.51</v>
      </c>
      <c r="I3" s="124">
        <v>2007.77</v>
      </c>
      <c r="J3" s="124">
        <v>2023.7</v>
      </c>
      <c r="K3" s="124">
        <v>2022.23</v>
      </c>
      <c r="L3" s="124">
        <v>2004.7</v>
      </c>
      <c r="M3" s="125">
        <f>SUM(F3:L3)</f>
        <v>13809.41</v>
      </c>
      <c r="N3" s="23">
        <v>106.77</v>
      </c>
      <c r="O3" s="23">
        <v>111.31</v>
      </c>
      <c r="P3" s="23">
        <f t="shared" ref="P3:P66" si="1">MAX((O3-N3)*3000,0)</f>
        <v>13620</v>
      </c>
      <c r="Q3" s="23">
        <v>2.2000000000000002</v>
      </c>
      <c r="R3" s="23">
        <v>2.21</v>
      </c>
      <c r="S3" s="23">
        <f t="shared" ref="S3:S66" si="2">MAX((R3-Q3)*3000,0)</f>
        <v>29.9999999999994</v>
      </c>
      <c r="T3" s="123">
        <f t="shared" ref="T3:T66" si="3">P3-S3</f>
        <v>13590</v>
      </c>
      <c r="U3" s="127"/>
      <c r="V3" s="23">
        <v>5.54</v>
      </c>
      <c r="W3" s="23"/>
      <c r="X3" s="128"/>
      <c r="Y3" s="128"/>
      <c r="Z3" s="23"/>
      <c r="AA3" s="23"/>
      <c r="AB3" s="123"/>
    </row>
    <row r="4" spans="1:28">
      <c r="A4" s="97">
        <f t="shared" si="0"/>
        <v>6</v>
      </c>
      <c r="B4" s="113">
        <v>45749</v>
      </c>
      <c r="C4" s="19">
        <v>45749</v>
      </c>
      <c r="D4" s="23"/>
      <c r="E4" s="123"/>
      <c r="F4" s="124">
        <v>1957.32</v>
      </c>
      <c r="G4" s="124">
        <v>1993</v>
      </c>
      <c r="H4" s="124">
        <v>1956.83</v>
      </c>
      <c r="I4" s="124">
        <v>2061.56</v>
      </c>
      <c r="J4" s="124">
        <v>2070.0500000000002</v>
      </c>
      <c r="K4" s="124">
        <v>2066.2600000000002</v>
      </c>
      <c r="L4" s="124">
        <v>2061.12</v>
      </c>
      <c r="M4" s="125">
        <f t="shared" ref="M4:M67" si="4">SUM(F4:L4)</f>
        <v>14166.14</v>
      </c>
      <c r="N4" s="23">
        <v>111.31</v>
      </c>
      <c r="O4" s="23">
        <v>115.99</v>
      </c>
      <c r="P4" s="23">
        <f t="shared" si="1"/>
        <v>14040</v>
      </c>
      <c r="Q4" s="23">
        <v>2.21</v>
      </c>
      <c r="R4" s="23">
        <v>2.23</v>
      </c>
      <c r="S4" s="23">
        <f t="shared" si="2"/>
        <v>60.000000000000099</v>
      </c>
      <c r="T4" s="123">
        <f t="shared" si="3"/>
        <v>13980</v>
      </c>
      <c r="U4" s="127"/>
      <c r="V4" s="23">
        <v>5.58</v>
      </c>
      <c r="W4" s="23"/>
      <c r="X4" s="128"/>
      <c r="Y4" s="128"/>
      <c r="Z4" s="23"/>
      <c r="AA4" s="23"/>
      <c r="AB4" s="123"/>
    </row>
    <row r="5" spans="1:28">
      <c r="A5" s="97">
        <f t="shared" si="0"/>
        <v>7</v>
      </c>
      <c r="B5" s="113">
        <v>45750</v>
      </c>
      <c r="C5" s="19">
        <v>45750</v>
      </c>
      <c r="D5" s="23"/>
      <c r="E5" s="123"/>
      <c r="F5" s="124">
        <v>1875.34</v>
      </c>
      <c r="G5" s="124">
        <v>1915.98</v>
      </c>
      <c r="H5" s="124">
        <v>1879.63</v>
      </c>
      <c r="I5" s="124">
        <v>1980.41</v>
      </c>
      <c r="J5" s="124">
        <v>1990.28</v>
      </c>
      <c r="K5" s="124">
        <v>1989.18</v>
      </c>
      <c r="L5" s="124">
        <v>1992.85</v>
      </c>
      <c r="M5" s="125">
        <f t="shared" si="4"/>
        <v>13623.67</v>
      </c>
      <c r="N5" s="23">
        <v>115.99</v>
      </c>
      <c r="O5" s="23">
        <v>120.46</v>
      </c>
      <c r="P5" s="23">
        <f t="shared" si="1"/>
        <v>13410</v>
      </c>
      <c r="Q5" s="23">
        <v>2.23</v>
      </c>
      <c r="R5" s="23">
        <v>2.2400000000000002</v>
      </c>
      <c r="S5" s="23">
        <f t="shared" si="2"/>
        <v>30.0000000000007</v>
      </c>
      <c r="T5" s="123">
        <f t="shared" si="3"/>
        <v>13380</v>
      </c>
      <c r="U5" s="127"/>
      <c r="V5" s="23">
        <v>5.37</v>
      </c>
      <c r="W5" s="23"/>
      <c r="X5" s="128"/>
      <c r="Y5" s="128"/>
      <c r="Z5" s="23"/>
      <c r="AA5" s="23"/>
      <c r="AB5" s="123"/>
    </row>
    <row r="6" spans="1:28">
      <c r="A6" s="97">
        <f t="shared" si="0"/>
        <v>8</v>
      </c>
      <c r="B6" s="113">
        <v>45751</v>
      </c>
      <c r="C6" s="19">
        <v>45751</v>
      </c>
      <c r="D6" s="23"/>
      <c r="E6" s="123"/>
      <c r="F6" s="124">
        <v>1902.7</v>
      </c>
      <c r="G6" s="124">
        <v>1935.04</v>
      </c>
      <c r="H6" s="124">
        <v>1901.8</v>
      </c>
      <c r="I6" s="124">
        <v>2009.4</v>
      </c>
      <c r="J6" s="124">
        <v>2021.08</v>
      </c>
      <c r="K6" s="124">
        <v>2009.01</v>
      </c>
      <c r="L6" s="124">
        <v>2014.18</v>
      </c>
      <c r="M6" s="125">
        <f t="shared" si="4"/>
        <v>13793.21</v>
      </c>
      <c r="N6" s="23">
        <v>120.46</v>
      </c>
      <c r="O6" s="23">
        <v>125.04</v>
      </c>
      <c r="P6" s="23">
        <f t="shared" si="1"/>
        <v>13740</v>
      </c>
      <c r="Q6" s="23">
        <v>2.2400000000000002</v>
      </c>
      <c r="R6" s="23">
        <v>2.25</v>
      </c>
      <c r="S6" s="23">
        <f t="shared" si="2"/>
        <v>29.9999999999994</v>
      </c>
      <c r="T6" s="123">
        <f t="shared" si="3"/>
        <v>13710</v>
      </c>
      <c r="U6" s="127"/>
      <c r="V6" s="23">
        <v>5.41</v>
      </c>
      <c r="W6" s="23"/>
      <c r="X6" s="128"/>
      <c r="Y6" s="128"/>
      <c r="Z6" s="23"/>
      <c r="AA6" s="23"/>
      <c r="AB6" s="123"/>
    </row>
    <row r="7" spans="1:28">
      <c r="A7" s="97">
        <f t="shared" si="0"/>
        <v>9</v>
      </c>
      <c r="B7" s="113">
        <v>45752</v>
      </c>
      <c r="C7" s="19">
        <v>45752</v>
      </c>
      <c r="D7" s="23"/>
      <c r="E7" s="123"/>
      <c r="F7" s="124">
        <v>1948.19</v>
      </c>
      <c r="G7" s="124">
        <v>1975.14</v>
      </c>
      <c r="H7" s="124">
        <v>1946</v>
      </c>
      <c r="I7" s="124">
        <v>2050.1</v>
      </c>
      <c r="J7" s="124">
        <v>2061.63</v>
      </c>
      <c r="K7" s="124">
        <v>2056.9</v>
      </c>
      <c r="L7" s="124">
        <v>2058.73</v>
      </c>
      <c r="M7" s="125">
        <f t="shared" si="4"/>
        <v>14096.69</v>
      </c>
      <c r="N7" s="23">
        <v>125.04</v>
      </c>
      <c r="O7" s="23">
        <v>129.79</v>
      </c>
      <c r="P7" s="23">
        <f t="shared" si="1"/>
        <v>14250</v>
      </c>
      <c r="Q7" s="23">
        <v>2.25</v>
      </c>
      <c r="R7" s="23">
        <v>2.2599999999999998</v>
      </c>
      <c r="S7" s="23">
        <f t="shared" si="2"/>
        <v>29.9999999999994</v>
      </c>
      <c r="T7" s="123">
        <f t="shared" si="3"/>
        <v>14220</v>
      </c>
      <c r="U7" s="127"/>
      <c r="V7" s="23">
        <v>5.52</v>
      </c>
      <c r="W7" s="23"/>
      <c r="X7" s="128"/>
      <c r="Y7" s="128"/>
      <c r="Z7" s="23"/>
      <c r="AA7" s="23"/>
      <c r="AB7" s="123"/>
    </row>
    <row r="8" spans="1:28">
      <c r="A8" s="97">
        <f t="shared" si="0"/>
        <v>10</v>
      </c>
      <c r="B8" s="113">
        <v>45753</v>
      </c>
      <c r="C8" s="19">
        <v>45753</v>
      </c>
      <c r="D8" s="23"/>
      <c r="E8" s="123"/>
      <c r="F8" s="124">
        <v>1971.04</v>
      </c>
      <c r="G8" s="124">
        <v>1999.88</v>
      </c>
      <c r="H8" s="124">
        <v>1970.16</v>
      </c>
      <c r="I8" s="124">
        <v>2074.85</v>
      </c>
      <c r="J8" s="124">
        <v>2085.2399999999998</v>
      </c>
      <c r="K8" s="124">
        <v>2070.8000000000002</v>
      </c>
      <c r="L8" s="124">
        <v>2082.29</v>
      </c>
      <c r="M8" s="125">
        <f t="shared" si="4"/>
        <v>14254.26</v>
      </c>
      <c r="N8" s="23">
        <v>129.79</v>
      </c>
      <c r="O8" s="23">
        <v>134.38999999999999</v>
      </c>
      <c r="P8" s="23">
        <f t="shared" si="1"/>
        <v>13800</v>
      </c>
      <c r="Q8" s="23">
        <v>2.2599999999999998</v>
      </c>
      <c r="R8" s="23">
        <v>2.27</v>
      </c>
      <c r="S8" s="23">
        <f t="shared" si="2"/>
        <v>30.0000000000007</v>
      </c>
      <c r="T8" s="123">
        <f t="shared" si="3"/>
        <v>13770</v>
      </c>
      <c r="U8" s="127"/>
      <c r="V8" s="23">
        <v>5.56</v>
      </c>
      <c r="W8" s="23"/>
      <c r="X8" s="128"/>
      <c r="Y8" s="128"/>
      <c r="Z8" s="23"/>
      <c r="AA8" s="23"/>
      <c r="AB8" s="123"/>
    </row>
    <row r="9" spans="1:28">
      <c r="A9" s="97">
        <f t="shared" si="0"/>
        <v>11</v>
      </c>
      <c r="B9" s="113">
        <v>45754</v>
      </c>
      <c r="C9" s="19">
        <v>45754</v>
      </c>
      <c r="D9" s="23"/>
      <c r="E9" s="123"/>
      <c r="F9" s="124">
        <v>1920.52</v>
      </c>
      <c r="G9" s="124">
        <v>1964.16</v>
      </c>
      <c r="H9" s="124">
        <v>1923.6</v>
      </c>
      <c r="I9" s="124">
        <v>2036.21</v>
      </c>
      <c r="J9" s="124">
        <v>2074.9299999999998</v>
      </c>
      <c r="K9" s="124">
        <v>2027.7</v>
      </c>
      <c r="L9" s="124">
        <v>2047.38</v>
      </c>
      <c r="M9" s="125">
        <f t="shared" si="4"/>
        <v>13994.5</v>
      </c>
      <c r="N9" s="23">
        <v>134.38999999999999</v>
      </c>
      <c r="O9" s="23">
        <v>139</v>
      </c>
      <c r="P9" s="23">
        <f t="shared" si="1"/>
        <v>13830</v>
      </c>
      <c r="Q9" s="23">
        <v>2.27</v>
      </c>
      <c r="R9" s="23">
        <v>2.2799999999999998</v>
      </c>
      <c r="S9" s="23">
        <f t="shared" si="2"/>
        <v>29.9999999999994</v>
      </c>
      <c r="T9" s="123">
        <f t="shared" si="3"/>
        <v>13800</v>
      </c>
      <c r="U9" s="127"/>
      <c r="V9" s="23">
        <v>5.45</v>
      </c>
      <c r="W9" s="23"/>
      <c r="X9" s="128"/>
      <c r="Y9" s="128"/>
      <c r="Z9" s="23"/>
      <c r="AA9" s="23"/>
      <c r="AB9" s="123"/>
    </row>
    <row r="10" spans="1:28">
      <c r="A10" s="97">
        <f t="shared" si="0"/>
        <v>12</v>
      </c>
      <c r="B10" s="113">
        <v>45755</v>
      </c>
      <c r="C10" s="19">
        <v>45755</v>
      </c>
      <c r="D10" s="23"/>
      <c r="E10" s="123"/>
      <c r="F10" s="124">
        <v>1903.77</v>
      </c>
      <c r="G10" s="124">
        <v>1964.92</v>
      </c>
      <c r="H10" s="124">
        <v>1901.96</v>
      </c>
      <c r="I10" s="124">
        <v>2034.49</v>
      </c>
      <c r="J10" s="124">
        <v>2053.7399999999998</v>
      </c>
      <c r="K10" s="124">
        <v>2009.58</v>
      </c>
      <c r="L10" s="124">
        <v>2054.4499999999998</v>
      </c>
      <c r="M10" s="125">
        <f t="shared" si="4"/>
        <v>13922.91</v>
      </c>
      <c r="N10" s="23">
        <v>139</v>
      </c>
      <c r="O10" s="23">
        <v>143.61000000000001</v>
      </c>
      <c r="P10" s="23">
        <f t="shared" si="1"/>
        <v>13830</v>
      </c>
      <c r="Q10" s="23">
        <v>2.2799999999999998</v>
      </c>
      <c r="R10" s="23">
        <v>2.29</v>
      </c>
      <c r="S10" s="23">
        <f t="shared" si="2"/>
        <v>30.0000000000007</v>
      </c>
      <c r="T10" s="123">
        <f t="shared" si="3"/>
        <v>13800</v>
      </c>
      <c r="U10" s="127"/>
      <c r="V10" s="23">
        <v>5.49</v>
      </c>
      <c r="W10" s="23"/>
      <c r="X10" s="128"/>
      <c r="Y10" s="128"/>
      <c r="Z10" s="23"/>
      <c r="AA10" s="23"/>
      <c r="AB10" s="123"/>
    </row>
    <row r="11" spans="1:28">
      <c r="A11" s="97">
        <f t="shared" si="0"/>
        <v>13</v>
      </c>
      <c r="B11" s="113">
        <v>45756</v>
      </c>
      <c r="C11" s="19">
        <v>45756</v>
      </c>
      <c r="D11" s="23"/>
      <c r="E11" s="123"/>
      <c r="F11" s="124">
        <v>1897.6</v>
      </c>
      <c r="G11" s="23">
        <v>1946.4</v>
      </c>
      <c r="H11" s="23">
        <v>1892.3</v>
      </c>
      <c r="I11" s="23">
        <v>2009.2</v>
      </c>
      <c r="J11" s="23">
        <v>2028.25</v>
      </c>
      <c r="K11" s="23">
        <v>2003.95</v>
      </c>
      <c r="L11" s="23">
        <v>2029.3</v>
      </c>
      <c r="M11" s="125">
        <f t="shared" si="4"/>
        <v>13807</v>
      </c>
      <c r="N11" s="126">
        <v>143.61000000000001</v>
      </c>
      <c r="O11" s="23">
        <v>148.16</v>
      </c>
      <c r="P11" s="23">
        <f t="shared" si="1"/>
        <v>13649.9999999999</v>
      </c>
      <c r="Q11" s="23">
        <v>2.29</v>
      </c>
      <c r="R11" s="23">
        <v>2.2999999999999998</v>
      </c>
      <c r="S11" s="23">
        <f t="shared" si="2"/>
        <v>29.9999999999994</v>
      </c>
      <c r="T11" s="123">
        <f t="shared" si="3"/>
        <v>13619.9999999999</v>
      </c>
      <c r="U11" s="127"/>
      <c r="V11" s="23">
        <v>5.44</v>
      </c>
      <c r="W11" s="23"/>
      <c r="X11" s="128"/>
      <c r="Y11" s="128"/>
      <c r="Z11" s="23"/>
      <c r="AA11" s="23"/>
      <c r="AB11" s="123"/>
    </row>
    <row r="12" spans="1:28">
      <c r="A12" s="97">
        <f t="shared" si="0"/>
        <v>14</v>
      </c>
      <c r="B12" s="113">
        <v>45757</v>
      </c>
      <c r="C12" s="19">
        <v>45757</v>
      </c>
      <c r="D12" s="23"/>
      <c r="E12" s="123"/>
      <c r="F12" s="124">
        <v>1921.95</v>
      </c>
      <c r="G12" s="23">
        <v>1971.76</v>
      </c>
      <c r="H12" s="23">
        <v>1911.8</v>
      </c>
      <c r="I12" s="23">
        <v>2037.4</v>
      </c>
      <c r="J12" s="23">
        <v>2057.6</v>
      </c>
      <c r="K12" s="23">
        <v>2024.87</v>
      </c>
      <c r="L12" s="23">
        <v>2057.3000000000002</v>
      </c>
      <c r="M12" s="125">
        <f t="shared" si="4"/>
        <v>13982.68</v>
      </c>
      <c r="N12" s="126">
        <f>O11</f>
        <v>148.16</v>
      </c>
      <c r="O12" s="23">
        <v>152.80000000000001</v>
      </c>
      <c r="P12" s="23">
        <f t="shared" si="1"/>
        <v>13920</v>
      </c>
      <c r="Q12" s="23">
        <f>R11</f>
        <v>2.2999999999999998</v>
      </c>
      <c r="R12" s="23">
        <v>2.3199999999999998</v>
      </c>
      <c r="S12" s="23">
        <f t="shared" si="2"/>
        <v>60.000000000000099</v>
      </c>
      <c r="T12" s="123">
        <f t="shared" si="3"/>
        <v>13860</v>
      </c>
      <c r="U12" s="127"/>
      <c r="V12" s="23">
        <v>5.55</v>
      </c>
      <c r="W12" s="23"/>
      <c r="X12" s="128"/>
      <c r="Y12" s="128"/>
      <c r="Z12" s="23"/>
      <c r="AA12" s="23"/>
      <c r="AB12" s="123"/>
    </row>
    <row r="13" spans="1:28">
      <c r="A13" s="97">
        <f t="shared" si="0"/>
        <v>15</v>
      </c>
      <c r="B13" s="113">
        <v>45758</v>
      </c>
      <c r="C13" s="19">
        <v>45758</v>
      </c>
      <c r="D13" s="23"/>
      <c r="E13" s="123"/>
      <c r="F13" s="124">
        <v>1930.15</v>
      </c>
      <c r="G13" s="23">
        <v>1976.35</v>
      </c>
      <c r="H13" s="23">
        <v>1920.76</v>
      </c>
      <c r="I13" s="23">
        <v>2047.35</v>
      </c>
      <c r="J13" s="23">
        <v>2065.1999999999998</v>
      </c>
      <c r="K13" s="23">
        <v>2025.05</v>
      </c>
      <c r="L13" s="23">
        <v>2060.1</v>
      </c>
      <c r="M13" s="125">
        <f t="shared" si="4"/>
        <v>14024.96</v>
      </c>
      <c r="N13" s="126">
        <f t="shared" ref="N13:N76" si="5">O12</f>
        <v>152.80000000000001</v>
      </c>
      <c r="O13" s="23">
        <v>157.43</v>
      </c>
      <c r="P13" s="23">
        <f t="shared" si="1"/>
        <v>13890</v>
      </c>
      <c r="Q13" s="23">
        <f t="shared" ref="Q13:Q76" si="6">R12</f>
        <v>2.3199999999999998</v>
      </c>
      <c r="R13" s="23">
        <v>2.33</v>
      </c>
      <c r="S13" s="23">
        <f t="shared" si="2"/>
        <v>30.0000000000007</v>
      </c>
      <c r="T13" s="123">
        <f t="shared" si="3"/>
        <v>13860</v>
      </c>
      <c r="U13" s="127"/>
      <c r="V13" s="23">
        <v>5.45</v>
      </c>
      <c r="W13" s="23"/>
      <c r="X13" s="23"/>
      <c r="Y13" s="23"/>
      <c r="Z13" s="23"/>
      <c r="AA13" s="23"/>
      <c r="AB13" s="123"/>
    </row>
    <row r="14" spans="1:28">
      <c r="A14" s="97">
        <f t="shared" si="0"/>
        <v>16</v>
      </c>
      <c r="B14" s="113">
        <v>45759</v>
      </c>
      <c r="C14" s="19">
        <v>45759</v>
      </c>
      <c r="D14" s="23"/>
      <c r="E14" s="123"/>
      <c r="F14" s="124">
        <v>1932.2</v>
      </c>
      <c r="G14" s="23">
        <v>1981.9</v>
      </c>
      <c r="H14" s="23">
        <v>1917.1</v>
      </c>
      <c r="I14" s="23">
        <v>2046.3</v>
      </c>
      <c r="J14" s="23">
        <v>2061.39</v>
      </c>
      <c r="K14" s="23">
        <v>2027.4</v>
      </c>
      <c r="L14" s="23">
        <v>2065.25</v>
      </c>
      <c r="M14" s="125">
        <f t="shared" si="4"/>
        <v>14031.54</v>
      </c>
      <c r="N14" s="126">
        <f t="shared" si="5"/>
        <v>157.43</v>
      </c>
      <c r="O14" s="23">
        <v>162.07</v>
      </c>
      <c r="P14" s="23">
        <f t="shared" si="1"/>
        <v>13920</v>
      </c>
      <c r="Q14" s="23">
        <f t="shared" si="6"/>
        <v>2.33</v>
      </c>
      <c r="R14" s="23">
        <v>2.34</v>
      </c>
      <c r="S14" s="23">
        <f t="shared" si="2"/>
        <v>29.9999999999994</v>
      </c>
      <c r="T14" s="123">
        <f t="shared" si="3"/>
        <v>13890</v>
      </c>
      <c r="U14" s="127"/>
      <c r="V14" s="23">
        <v>2.0499999999999998</v>
      </c>
      <c r="W14" s="23"/>
      <c r="X14" s="23"/>
      <c r="Y14" s="23"/>
      <c r="Z14" s="23"/>
      <c r="AA14" s="23"/>
      <c r="AB14" s="123"/>
    </row>
    <row r="15" spans="1:28">
      <c r="A15" s="97">
        <f t="shared" si="0"/>
        <v>17</v>
      </c>
      <c r="B15" s="113">
        <v>45760</v>
      </c>
      <c r="C15" s="19">
        <v>45760</v>
      </c>
      <c r="D15" s="23"/>
      <c r="E15" s="123"/>
      <c r="F15" s="124">
        <v>2030.2</v>
      </c>
      <c r="G15" s="23">
        <v>2077.84</v>
      </c>
      <c r="H15" s="23">
        <v>2018.4</v>
      </c>
      <c r="I15" s="23">
        <v>2147.62</v>
      </c>
      <c r="J15" s="23">
        <v>2166.85</v>
      </c>
      <c r="K15" s="23">
        <v>2120.31</v>
      </c>
      <c r="L15" s="23">
        <v>2161.9499999999998</v>
      </c>
      <c r="M15" s="125">
        <f t="shared" si="4"/>
        <v>14723.17</v>
      </c>
      <c r="N15" s="126">
        <f t="shared" si="5"/>
        <v>162.07</v>
      </c>
      <c r="O15" s="23">
        <v>166.91</v>
      </c>
      <c r="P15" s="23">
        <f t="shared" si="1"/>
        <v>14520</v>
      </c>
      <c r="Q15" s="23">
        <f t="shared" si="6"/>
        <v>2.34</v>
      </c>
      <c r="R15" s="23">
        <v>2.35</v>
      </c>
      <c r="S15" s="23">
        <f t="shared" si="2"/>
        <v>30.0000000000007</v>
      </c>
      <c r="T15" s="123">
        <f t="shared" si="3"/>
        <v>14490</v>
      </c>
      <c r="U15" s="127"/>
      <c r="V15" s="23">
        <v>5.82</v>
      </c>
      <c r="W15" s="23"/>
      <c r="X15" s="23"/>
      <c r="Y15" s="23"/>
      <c r="Z15" s="23"/>
      <c r="AA15" s="23"/>
      <c r="AB15" s="123" t="s">
        <v>38</v>
      </c>
    </row>
    <row r="16" spans="1:28">
      <c r="A16" s="97">
        <f t="shared" si="0"/>
        <v>18</v>
      </c>
      <c r="B16" s="113">
        <v>45761</v>
      </c>
      <c r="C16" s="19">
        <v>45761</v>
      </c>
      <c r="D16" s="23"/>
      <c r="E16" s="123"/>
      <c r="F16" s="124">
        <v>2109.5500000000002</v>
      </c>
      <c r="G16" s="23">
        <v>2135.4899999999998</v>
      </c>
      <c r="H16" s="23">
        <v>2000.86</v>
      </c>
      <c r="I16" s="23">
        <v>2245.16</v>
      </c>
      <c r="J16" s="23">
        <v>2289.4</v>
      </c>
      <c r="K16" s="23">
        <v>2235.85</v>
      </c>
      <c r="L16" s="23">
        <v>2329.39</v>
      </c>
      <c r="M16" s="125">
        <f t="shared" si="4"/>
        <v>15345.7</v>
      </c>
      <c r="N16" s="126">
        <f t="shared" si="5"/>
        <v>166.91</v>
      </c>
      <c r="O16" s="23">
        <v>171.77</v>
      </c>
      <c r="P16" s="23">
        <f t="shared" si="1"/>
        <v>14580</v>
      </c>
      <c r="Q16" s="23">
        <f t="shared" si="6"/>
        <v>2.35</v>
      </c>
      <c r="R16" s="23">
        <v>2.36</v>
      </c>
      <c r="S16" s="23">
        <f t="shared" si="2"/>
        <v>29.9999999999994</v>
      </c>
      <c r="T16" s="123">
        <f t="shared" si="3"/>
        <v>14550</v>
      </c>
      <c r="U16" s="127"/>
      <c r="V16" s="23">
        <v>5.75</v>
      </c>
      <c r="W16" s="23"/>
      <c r="X16" s="23"/>
      <c r="Y16" s="23"/>
      <c r="Z16" s="23"/>
      <c r="AA16" s="23"/>
      <c r="AB16" s="123" t="s">
        <v>38</v>
      </c>
    </row>
    <row r="17" spans="1:28">
      <c r="A17" s="97">
        <f t="shared" si="0"/>
        <v>19</v>
      </c>
      <c r="B17" s="113">
        <v>45762</v>
      </c>
      <c r="C17" s="19">
        <v>45762</v>
      </c>
      <c r="D17" s="23"/>
      <c r="E17" s="123"/>
      <c r="F17" s="124">
        <v>1991.64</v>
      </c>
      <c r="G17" s="23">
        <v>2031.13</v>
      </c>
      <c r="H17" s="23">
        <v>1980.62</v>
      </c>
      <c r="I17" s="23">
        <v>2104.3000000000002</v>
      </c>
      <c r="J17" s="23">
        <v>2120.4499999999998</v>
      </c>
      <c r="K17" s="23">
        <v>2100.17</v>
      </c>
      <c r="L17" s="23">
        <v>2120.0500000000002</v>
      </c>
      <c r="M17" s="125">
        <f t="shared" si="4"/>
        <v>14448.36</v>
      </c>
      <c r="N17" s="126">
        <f t="shared" si="5"/>
        <v>171.77</v>
      </c>
      <c r="O17" s="23">
        <v>176.53</v>
      </c>
      <c r="P17" s="23">
        <f t="shared" si="1"/>
        <v>14280</v>
      </c>
      <c r="Q17" s="23">
        <f t="shared" si="6"/>
        <v>2.36</v>
      </c>
      <c r="R17" s="23">
        <v>2.37</v>
      </c>
      <c r="S17" s="23">
        <f t="shared" si="2"/>
        <v>30.0000000000007</v>
      </c>
      <c r="T17" s="123">
        <f t="shared" si="3"/>
        <v>14250</v>
      </c>
      <c r="U17" s="127"/>
      <c r="V17" s="23">
        <v>5.78</v>
      </c>
      <c r="W17" s="23"/>
      <c r="X17" s="23"/>
      <c r="Y17" s="23"/>
      <c r="Z17" s="23"/>
      <c r="AA17" s="23"/>
      <c r="AB17" s="123" t="s">
        <v>38</v>
      </c>
    </row>
    <row r="18" spans="1:28">
      <c r="A18" s="97">
        <f t="shared" si="0"/>
        <v>20</v>
      </c>
      <c r="B18" s="113">
        <v>45763</v>
      </c>
      <c r="C18" s="19">
        <v>45763</v>
      </c>
      <c r="D18" s="23"/>
      <c r="E18" s="123"/>
      <c r="F18" s="124">
        <v>1978.28</v>
      </c>
      <c r="G18" s="23">
        <v>2020.18</v>
      </c>
      <c r="H18" s="23">
        <v>1968.1</v>
      </c>
      <c r="I18" s="23">
        <v>2089.42</v>
      </c>
      <c r="J18" s="23">
        <v>2102.4899999999998</v>
      </c>
      <c r="K18" s="23">
        <v>2078.15</v>
      </c>
      <c r="L18" s="23">
        <v>2097.84</v>
      </c>
      <c r="M18" s="125">
        <f t="shared" si="4"/>
        <v>14334.46</v>
      </c>
      <c r="N18" s="126">
        <f t="shared" si="5"/>
        <v>176.53</v>
      </c>
      <c r="O18" s="23">
        <v>181.27</v>
      </c>
      <c r="P18" s="23">
        <f t="shared" si="1"/>
        <v>14220</v>
      </c>
      <c r="Q18" s="23">
        <f t="shared" si="6"/>
        <v>2.37</v>
      </c>
      <c r="R18" s="23">
        <v>2.38</v>
      </c>
      <c r="S18" s="23">
        <f t="shared" si="2"/>
        <v>29.9999999999994</v>
      </c>
      <c r="T18" s="123">
        <f t="shared" si="3"/>
        <v>14190</v>
      </c>
      <c r="U18" s="127"/>
      <c r="V18" s="23">
        <v>5.39</v>
      </c>
      <c r="W18" s="23">
        <v>32.04</v>
      </c>
      <c r="X18" s="23"/>
      <c r="Y18" s="23"/>
      <c r="Z18" s="23"/>
      <c r="AA18" s="23"/>
      <c r="AB18" s="123" t="s">
        <v>38</v>
      </c>
    </row>
    <row r="19" spans="1:28">
      <c r="A19" s="97">
        <f t="shared" si="0"/>
        <v>21</v>
      </c>
      <c r="B19" s="113">
        <v>45764</v>
      </c>
      <c r="C19" s="19">
        <v>45764</v>
      </c>
      <c r="D19" s="23"/>
      <c r="E19" s="123"/>
      <c r="F19" s="124">
        <v>2055.86</v>
      </c>
      <c r="G19" s="23">
        <v>2095.44</v>
      </c>
      <c r="H19" s="23">
        <v>2047.4</v>
      </c>
      <c r="I19" s="23">
        <v>2161.11</v>
      </c>
      <c r="J19" s="97">
        <v>2175.87</v>
      </c>
      <c r="K19" s="97">
        <v>2149.63</v>
      </c>
      <c r="L19" s="97">
        <v>2165.4299999999998</v>
      </c>
      <c r="M19" s="125">
        <f t="shared" si="4"/>
        <v>14850.74</v>
      </c>
      <c r="N19" s="126">
        <f t="shared" si="5"/>
        <v>181.27</v>
      </c>
      <c r="O19" s="97">
        <v>186.17</v>
      </c>
      <c r="P19" s="23">
        <f t="shared" si="1"/>
        <v>14699.9999999999</v>
      </c>
      <c r="Q19" s="23">
        <f t="shared" si="6"/>
        <v>2.38</v>
      </c>
      <c r="R19" s="23">
        <v>2.39</v>
      </c>
      <c r="S19" s="23">
        <f t="shared" si="2"/>
        <v>30.0000000000007</v>
      </c>
      <c r="T19" s="123">
        <f t="shared" si="3"/>
        <v>14669.9999999999</v>
      </c>
      <c r="U19" s="127"/>
      <c r="V19" s="23"/>
      <c r="W19" s="23"/>
      <c r="X19" s="23"/>
      <c r="Y19" s="23"/>
      <c r="Z19" s="23"/>
      <c r="AA19" s="23"/>
      <c r="AB19" s="123" t="s">
        <v>38</v>
      </c>
    </row>
    <row r="20" spans="1:28">
      <c r="A20" s="97">
        <f t="shared" si="0"/>
        <v>22</v>
      </c>
      <c r="B20" s="113">
        <v>45765</v>
      </c>
      <c r="C20" s="19">
        <v>45765</v>
      </c>
      <c r="D20" s="23"/>
      <c r="E20" s="123"/>
      <c r="F20" s="124">
        <v>2020.17</v>
      </c>
      <c r="G20" s="23">
        <v>2064.25</v>
      </c>
      <c r="H20" s="23">
        <v>2010.12</v>
      </c>
      <c r="I20" s="23">
        <v>2130.4899999999998</v>
      </c>
      <c r="J20" s="23">
        <v>2147.19</v>
      </c>
      <c r="K20" s="23">
        <v>2112.04</v>
      </c>
      <c r="L20" s="23">
        <v>2137.09</v>
      </c>
      <c r="M20" s="125">
        <f t="shared" si="4"/>
        <v>14621.35</v>
      </c>
      <c r="N20" s="126">
        <f t="shared" si="5"/>
        <v>186.17</v>
      </c>
      <c r="O20" s="23">
        <v>191.01</v>
      </c>
      <c r="P20" s="23">
        <f t="shared" si="1"/>
        <v>14520</v>
      </c>
      <c r="Q20" s="23">
        <f t="shared" si="6"/>
        <v>2.39</v>
      </c>
      <c r="R20" s="23">
        <v>2.4</v>
      </c>
      <c r="S20" s="23">
        <f t="shared" si="2"/>
        <v>29.9999999999994</v>
      </c>
      <c r="T20" s="123">
        <f t="shared" si="3"/>
        <v>14490</v>
      </c>
      <c r="U20" s="23"/>
      <c r="V20" s="23">
        <v>5.74</v>
      </c>
      <c r="W20" s="23">
        <v>32.57</v>
      </c>
      <c r="X20" s="125"/>
      <c r="Y20" s="126"/>
      <c r="Z20" s="23"/>
      <c r="AA20" s="23"/>
      <c r="AB20" s="123" t="s">
        <v>38</v>
      </c>
    </row>
    <row r="21" spans="1:28">
      <c r="A21" s="97">
        <f t="shared" si="0"/>
        <v>23</v>
      </c>
      <c r="B21" s="113">
        <v>45766</v>
      </c>
      <c r="C21" s="19">
        <v>45766</v>
      </c>
      <c r="D21" s="23"/>
      <c r="E21" s="123"/>
      <c r="F21" s="124">
        <v>2022.37</v>
      </c>
      <c r="G21" s="23">
        <v>2062.4499999999998</v>
      </c>
      <c r="H21" s="23">
        <v>2011.8</v>
      </c>
      <c r="I21" s="23">
        <v>2137.56</v>
      </c>
      <c r="J21" s="23">
        <v>2150.1</v>
      </c>
      <c r="K21" s="23">
        <v>2122.31</v>
      </c>
      <c r="L21" s="23">
        <v>2146.1999999999998</v>
      </c>
      <c r="M21" s="125">
        <f t="shared" si="4"/>
        <v>14652.79</v>
      </c>
      <c r="N21" s="126">
        <f t="shared" si="5"/>
        <v>191.01</v>
      </c>
      <c r="O21" s="23">
        <v>195.84</v>
      </c>
      <c r="P21" s="23">
        <f t="shared" si="1"/>
        <v>14490</v>
      </c>
      <c r="Q21" s="23">
        <f t="shared" si="6"/>
        <v>2.4</v>
      </c>
      <c r="R21" s="23">
        <v>2.41</v>
      </c>
      <c r="S21" s="23">
        <f t="shared" si="2"/>
        <v>30.0000000000007</v>
      </c>
      <c r="T21" s="123">
        <f t="shared" si="3"/>
        <v>14460</v>
      </c>
      <c r="U21" s="127"/>
      <c r="V21" s="23">
        <v>5.79</v>
      </c>
      <c r="W21" s="23">
        <v>32.54</v>
      </c>
      <c r="X21" s="23"/>
      <c r="Y21" s="23"/>
      <c r="Z21" s="23"/>
      <c r="AA21" s="23"/>
      <c r="AB21" s="123" t="s">
        <v>38</v>
      </c>
    </row>
    <row r="22" spans="1:28">
      <c r="A22" s="97">
        <f t="shared" si="0"/>
        <v>24</v>
      </c>
      <c r="B22" s="113">
        <v>45767</v>
      </c>
      <c r="C22" s="19">
        <v>45767</v>
      </c>
      <c r="D22" s="23"/>
      <c r="E22" s="123"/>
      <c r="F22" s="124">
        <v>2028.35</v>
      </c>
      <c r="G22" s="23">
        <v>2071.3000000000002</v>
      </c>
      <c r="H22" s="23">
        <v>2019.75</v>
      </c>
      <c r="I22" s="23">
        <v>2145.5700000000002</v>
      </c>
      <c r="J22" s="23">
        <v>2157.59</v>
      </c>
      <c r="K22" s="23">
        <v>2129.9899999999998</v>
      </c>
      <c r="L22" s="23">
        <v>2151.6799999999998</v>
      </c>
      <c r="M22" s="125">
        <f t="shared" si="4"/>
        <v>14704.23</v>
      </c>
      <c r="N22" s="126">
        <f t="shared" si="5"/>
        <v>195.84</v>
      </c>
      <c r="O22" s="23">
        <v>200.7</v>
      </c>
      <c r="P22" s="23">
        <f t="shared" si="1"/>
        <v>14580</v>
      </c>
      <c r="Q22" s="23">
        <f t="shared" si="6"/>
        <v>2.41</v>
      </c>
      <c r="R22" s="23">
        <v>2.42</v>
      </c>
      <c r="S22" s="23">
        <f t="shared" si="2"/>
        <v>29.9999999999994</v>
      </c>
      <c r="T22" s="123">
        <f t="shared" si="3"/>
        <v>14550</v>
      </c>
      <c r="U22" s="127"/>
      <c r="V22" s="23">
        <v>5.79</v>
      </c>
      <c r="W22" s="23">
        <v>32.54</v>
      </c>
      <c r="X22" s="23"/>
      <c r="Y22" s="23"/>
      <c r="Z22" s="23"/>
      <c r="AA22" s="23"/>
      <c r="AB22" s="123" t="s">
        <v>38</v>
      </c>
    </row>
    <row r="23" spans="1:28">
      <c r="A23" s="97">
        <f t="shared" si="0"/>
        <v>25</v>
      </c>
      <c r="B23" s="113">
        <v>45768</v>
      </c>
      <c r="C23" s="19">
        <v>45768</v>
      </c>
      <c r="D23" s="23"/>
      <c r="E23" s="123"/>
      <c r="F23" s="124">
        <v>1952.39</v>
      </c>
      <c r="G23" s="23">
        <v>1992.37</v>
      </c>
      <c r="H23" s="23">
        <v>1946.21</v>
      </c>
      <c r="I23" s="23">
        <v>2065.1</v>
      </c>
      <c r="J23" s="23">
        <v>2075.12</v>
      </c>
      <c r="K23" s="23">
        <v>2048.19</v>
      </c>
      <c r="L23" s="23">
        <v>2072.52</v>
      </c>
      <c r="M23" s="125">
        <f t="shared" si="4"/>
        <v>14151.9</v>
      </c>
      <c r="N23" s="126">
        <f t="shared" si="5"/>
        <v>200.7</v>
      </c>
      <c r="O23" s="23">
        <v>205.37</v>
      </c>
      <c r="P23" s="23">
        <f t="shared" si="1"/>
        <v>14010</v>
      </c>
      <c r="Q23" s="23">
        <f t="shared" si="6"/>
        <v>2.42</v>
      </c>
      <c r="R23" s="23">
        <v>2.4300000000000002</v>
      </c>
      <c r="S23" s="23">
        <f t="shared" si="2"/>
        <v>30.0000000000007</v>
      </c>
      <c r="T23" s="123">
        <f t="shared" si="3"/>
        <v>13980</v>
      </c>
      <c r="U23" s="127"/>
      <c r="V23" s="23">
        <v>5.62</v>
      </c>
      <c r="W23" s="23">
        <v>33.86</v>
      </c>
      <c r="X23" s="23"/>
      <c r="Y23" s="23"/>
      <c r="Z23" s="23"/>
      <c r="AA23" s="23"/>
      <c r="AB23" s="123" t="s">
        <v>38</v>
      </c>
    </row>
    <row r="24" spans="1:28">
      <c r="A24" s="97">
        <f t="shared" si="0"/>
        <v>26</v>
      </c>
      <c r="B24" s="113">
        <v>45769</v>
      </c>
      <c r="C24" s="19">
        <v>45769</v>
      </c>
      <c r="D24" s="23"/>
      <c r="E24" s="123"/>
      <c r="F24" s="124">
        <v>1980.8</v>
      </c>
      <c r="G24" s="23">
        <v>2032.01</v>
      </c>
      <c r="H24" s="23">
        <v>1973.63</v>
      </c>
      <c r="I24" s="23">
        <v>2123.46</v>
      </c>
      <c r="J24" s="23">
        <v>2127.85</v>
      </c>
      <c r="K24" s="23">
        <v>2070.41</v>
      </c>
      <c r="L24" s="23">
        <v>2156.2399999999998</v>
      </c>
      <c r="M24" s="125">
        <f t="shared" si="4"/>
        <v>14464.4</v>
      </c>
      <c r="N24" s="126">
        <f t="shared" si="5"/>
        <v>205.37</v>
      </c>
      <c r="O24" s="23">
        <v>210.15</v>
      </c>
      <c r="P24" s="23">
        <f t="shared" si="1"/>
        <v>14340</v>
      </c>
      <c r="Q24" s="23">
        <f t="shared" si="6"/>
        <v>2.4300000000000002</v>
      </c>
      <c r="R24" s="23">
        <v>2.4500000000000002</v>
      </c>
      <c r="S24" s="23">
        <f t="shared" si="2"/>
        <v>60.000000000000099</v>
      </c>
      <c r="T24" s="123">
        <f t="shared" si="3"/>
        <v>14280</v>
      </c>
      <c r="U24" s="127"/>
      <c r="V24" s="23">
        <v>5.69</v>
      </c>
      <c r="W24" s="23">
        <v>35.880000000000003</v>
      </c>
      <c r="X24" s="23"/>
      <c r="Y24" s="23"/>
      <c r="Z24" s="23"/>
      <c r="AA24" s="23"/>
      <c r="AB24" s="123" t="s">
        <v>38</v>
      </c>
    </row>
    <row r="25" spans="1:28">
      <c r="A25" s="97">
        <f t="shared" si="0"/>
        <v>27</v>
      </c>
      <c r="B25" s="113">
        <v>45770</v>
      </c>
      <c r="C25" s="19">
        <v>45770</v>
      </c>
      <c r="D25" s="23"/>
      <c r="E25" s="123"/>
      <c r="F25" s="124">
        <v>1705.1</v>
      </c>
      <c r="G25" s="23">
        <v>1771.69</v>
      </c>
      <c r="H25" s="23">
        <v>1680.18</v>
      </c>
      <c r="I25" s="23">
        <v>1835.74</v>
      </c>
      <c r="J25" s="23">
        <v>1846.94</v>
      </c>
      <c r="K25" s="23">
        <v>1791.65</v>
      </c>
      <c r="L25" s="23">
        <v>1853.57</v>
      </c>
      <c r="M25" s="125">
        <f t="shared" si="4"/>
        <v>12484.87</v>
      </c>
      <c r="N25" s="126">
        <f t="shared" si="5"/>
        <v>210.15</v>
      </c>
      <c r="O25" s="23">
        <v>214.24</v>
      </c>
      <c r="P25" s="23">
        <f t="shared" si="1"/>
        <v>12270</v>
      </c>
      <c r="Q25" s="23">
        <f t="shared" si="6"/>
        <v>2.4500000000000002</v>
      </c>
      <c r="R25" s="23">
        <v>2.46</v>
      </c>
      <c r="S25" s="23">
        <f t="shared" si="2"/>
        <v>29.9999999999994</v>
      </c>
      <c r="T25" s="123">
        <f t="shared" si="3"/>
        <v>12240</v>
      </c>
      <c r="U25" s="127"/>
      <c r="V25" s="23">
        <v>5.01</v>
      </c>
      <c r="W25" s="23">
        <v>35.880000000000003</v>
      </c>
      <c r="X25" s="23"/>
      <c r="Y25" s="23"/>
      <c r="Z25" s="23"/>
      <c r="AA25" s="23"/>
      <c r="AB25" s="123" t="s">
        <v>38</v>
      </c>
    </row>
    <row r="26" spans="1:28">
      <c r="A26" s="97">
        <f t="shared" si="0"/>
        <v>28</v>
      </c>
      <c r="B26" s="113">
        <v>45771</v>
      </c>
      <c r="C26" s="19">
        <v>45771</v>
      </c>
      <c r="D26" s="23"/>
      <c r="E26" s="123"/>
      <c r="F26" s="124">
        <v>1798.55</v>
      </c>
      <c r="G26" s="23">
        <v>1819.95</v>
      </c>
      <c r="H26" s="23">
        <v>1766.97</v>
      </c>
      <c r="I26" s="23">
        <v>1885.19</v>
      </c>
      <c r="J26" s="23">
        <v>1897.64</v>
      </c>
      <c r="K26" s="23">
        <v>1899.92</v>
      </c>
      <c r="L26" s="23">
        <v>1902.58</v>
      </c>
      <c r="M26" s="125">
        <f t="shared" si="4"/>
        <v>12970.8</v>
      </c>
      <c r="N26" s="126">
        <f t="shared" si="5"/>
        <v>214.24</v>
      </c>
      <c r="O26" s="23">
        <v>218.55</v>
      </c>
      <c r="P26" s="23">
        <f t="shared" si="1"/>
        <v>12930</v>
      </c>
      <c r="Q26" s="23">
        <f t="shared" si="6"/>
        <v>2.46</v>
      </c>
      <c r="R26" s="23">
        <v>2.4700000000000002</v>
      </c>
      <c r="S26" s="23">
        <f t="shared" si="2"/>
        <v>30.0000000000007</v>
      </c>
      <c r="T26" s="123">
        <f t="shared" si="3"/>
        <v>12900</v>
      </c>
      <c r="U26" s="127"/>
      <c r="V26" s="23">
        <v>5.26</v>
      </c>
      <c r="W26" s="23">
        <v>32.75</v>
      </c>
      <c r="X26" s="23"/>
      <c r="Y26" s="23"/>
      <c r="Z26" s="23"/>
      <c r="AA26" s="23"/>
      <c r="AB26" s="123" t="s">
        <v>38</v>
      </c>
    </row>
    <row r="27" spans="1:28">
      <c r="A27" s="97">
        <f t="shared" si="0"/>
        <v>29</v>
      </c>
      <c r="B27" s="113">
        <v>45772</v>
      </c>
      <c r="C27" s="19">
        <v>45772</v>
      </c>
      <c r="D27" s="23"/>
      <c r="E27" s="123"/>
      <c r="F27" s="124">
        <v>2070.27</v>
      </c>
      <c r="G27" s="23">
        <v>2088.85</v>
      </c>
      <c r="H27" s="23">
        <v>2062.27</v>
      </c>
      <c r="I27" s="23">
        <v>2160.9499999999998</v>
      </c>
      <c r="J27" s="23">
        <v>2173.6999999999998</v>
      </c>
      <c r="K27" s="23">
        <v>2168.64</v>
      </c>
      <c r="L27" s="23">
        <v>2170.25</v>
      </c>
      <c r="M27" s="125">
        <f t="shared" si="4"/>
        <v>14894.93</v>
      </c>
      <c r="N27" s="126">
        <f t="shared" si="5"/>
        <v>218.55</v>
      </c>
      <c r="O27" s="23">
        <v>223.48</v>
      </c>
      <c r="P27" s="23">
        <f t="shared" si="1"/>
        <v>14789.9999999999</v>
      </c>
      <c r="Q27" s="23">
        <f t="shared" si="6"/>
        <v>2.4700000000000002</v>
      </c>
      <c r="R27" s="23">
        <v>2.48</v>
      </c>
      <c r="S27" s="23">
        <f t="shared" si="2"/>
        <v>29.9999999999994</v>
      </c>
      <c r="T27" s="123">
        <f t="shared" si="3"/>
        <v>14759.9999999999</v>
      </c>
      <c r="U27" s="127"/>
      <c r="V27" s="23">
        <v>5.61</v>
      </c>
      <c r="W27" s="23">
        <v>31.86</v>
      </c>
      <c r="X27" s="23"/>
      <c r="Y27" s="23"/>
      <c r="Z27" s="23"/>
      <c r="AA27" s="23"/>
      <c r="AB27" s="123" t="s">
        <v>38</v>
      </c>
    </row>
    <row r="28" spans="1:28">
      <c r="A28" s="97">
        <f t="shared" si="0"/>
        <v>30</v>
      </c>
      <c r="B28" s="113">
        <v>45773</v>
      </c>
      <c r="C28" s="19">
        <v>45773</v>
      </c>
      <c r="D28" s="23"/>
      <c r="E28" s="123"/>
      <c r="F28" s="124">
        <v>2100.7600000000002</v>
      </c>
      <c r="G28" s="23">
        <v>2109.04</v>
      </c>
      <c r="H28" s="23">
        <v>2086.42</v>
      </c>
      <c r="I28" s="23">
        <v>2160.9499999999998</v>
      </c>
      <c r="J28" s="23">
        <v>2194.7199999999998</v>
      </c>
      <c r="K28" s="23">
        <v>2202.69</v>
      </c>
      <c r="L28" s="23">
        <v>2195.02</v>
      </c>
      <c r="M28" s="125">
        <f t="shared" si="4"/>
        <v>15049.6</v>
      </c>
      <c r="N28" s="126">
        <f t="shared" si="5"/>
        <v>223.48</v>
      </c>
      <c r="O28" s="23">
        <v>228.46</v>
      </c>
      <c r="P28" s="23">
        <f t="shared" si="1"/>
        <v>14940.0000000001</v>
      </c>
      <c r="Q28" s="23">
        <f t="shared" si="6"/>
        <v>2.48</v>
      </c>
      <c r="R28" s="23">
        <v>2.4900000000000002</v>
      </c>
      <c r="S28" s="23">
        <f t="shared" si="2"/>
        <v>30.0000000000007</v>
      </c>
      <c r="T28" s="123">
        <f t="shared" si="3"/>
        <v>14910.0000000001</v>
      </c>
      <c r="U28" s="127"/>
      <c r="V28" s="23">
        <v>5.68</v>
      </c>
      <c r="W28" s="23">
        <v>32.49</v>
      </c>
      <c r="X28" s="23"/>
      <c r="Y28" s="23"/>
      <c r="Z28" s="23"/>
      <c r="AA28" s="23"/>
      <c r="AB28" s="123" t="s">
        <v>38</v>
      </c>
    </row>
    <row r="29" spans="1:28">
      <c r="A29" s="97">
        <f t="shared" si="0"/>
        <v>31</v>
      </c>
      <c r="B29" s="113">
        <v>45774</v>
      </c>
      <c r="C29" s="19">
        <v>45774</v>
      </c>
      <c r="D29" s="23"/>
      <c r="E29" s="123"/>
      <c r="F29" s="124">
        <v>2078.31</v>
      </c>
      <c r="G29" s="23">
        <v>2080.3200000000002</v>
      </c>
      <c r="H29" s="23">
        <v>2074.81</v>
      </c>
      <c r="I29" s="23">
        <v>2163.6799999999998</v>
      </c>
      <c r="J29" s="23">
        <v>2189.77</v>
      </c>
      <c r="K29" s="23">
        <v>2198.39</v>
      </c>
      <c r="L29" s="23">
        <v>2212.3000000000002</v>
      </c>
      <c r="M29" s="125">
        <f t="shared" si="4"/>
        <v>14997.58</v>
      </c>
      <c r="N29" s="126">
        <f t="shared" si="5"/>
        <v>228.46</v>
      </c>
      <c r="O29" s="23">
        <v>233.33</v>
      </c>
      <c r="P29" s="23">
        <f t="shared" si="1"/>
        <v>14610</v>
      </c>
      <c r="Q29" s="23">
        <f t="shared" si="6"/>
        <v>2.4900000000000002</v>
      </c>
      <c r="R29" s="23">
        <v>2.5</v>
      </c>
      <c r="S29" s="23">
        <f t="shared" si="2"/>
        <v>29.9999999999994</v>
      </c>
      <c r="T29" s="123">
        <f t="shared" si="3"/>
        <v>14580</v>
      </c>
      <c r="U29" s="127"/>
      <c r="V29" s="23">
        <v>5.77</v>
      </c>
      <c r="W29" s="23">
        <v>33.49</v>
      </c>
      <c r="X29" s="23"/>
      <c r="Y29" s="23"/>
      <c r="Z29" s="23"/>
      <c r="AA29" s="23"/>
      <c r="AB29" s="123" t="s">
        <v>38</v>
      </c>
    </row>
    <row r="30" spans="1:28">
      <c r="A30" s="97">
        <f t="shared" si="0"/>
        <v>32</v>
      </c>
      <c r="B30" s="113">
        <v>45775</v>
      </c>
      <c r="C30" s="19">
        <v>45775</v>
      </c>
      <c r="D30" s="129">
        <v>0.29166666666666702</v>
      </c>
      <c r="E30" s="130">
        <v>0.78125</v>
      </c>
      <c r="F30" s="124">
        <v>2044.8</v>
      </c>
      <c r="G30" s="23">
        <v>2058.59</v>
      </c>
      <c r="H30" s="23">
        <v>2034.1</v>
      </c>
      <c r="I30" s="23">
        <v>2130.79</v>
      </c>
      <c r="J30" s="23">
        <v>2144.31</v>
      </c>
      <c r="K30" s="23">
        <v>2141.63</v>
      </c>
      <c r="L30" s="23">
        <v>2139.16</v>
      </c>
      <c r="M30" s="125">
        <f t="shared" si="4"/>
        <v>14693.38</v>
      </c>
      <c r="N30" s="126">
        <f t="shared" si="5"/>
        <v>233.33</v>
      </c>
      <c r="O30" s="23">
        <v>238.21</v>
      </c>
      <c r="P30" s="23">
        <f t="shared" si="1"/>
        <v>14640</v>
      </c>
      <c r="Q30" s="23">
        <f t="shared" si="6"/>
        <v>2.5</v>
      </c>
      <c r="R30" s="23">
        <v>2.5099999999999998</v>
      </c>
      <c r="S30" s="23">
        <f t="shared" si="2"/>
        <v>29.9999999999994</v>
      </c>
      <c r="T30" s="123">
        <f t="shared" si="3"/>
        <v>14610</v>
      </c>
      <c r="U30" s="127"/>
      <c r="V30" s="23">
        <v>5.74</v>
      </c>
      <c r="W30" s="23">
        <v>34.14</v>
      </c>
      <c r="X30" s="23"/>
      <c r="Y30" s="23"/>
      <c r="Z30" s="23"/>
      <c r="AA30" s="23"/>
      <c r="AB30" s="123" t="s">
        <v>38</v>
      </c>
    </row>
    <row r="31" spans="1:28">
      <c r="A31" s="97">
        <f t="shared" si="0"/>
        <v>33</v>
      </c>
      <c r="B31" s="113">
        <v>45776</v>
      </c>
      <c r="C31" s="19">
        <v>45776</v>
      </c>
      <c r="D31" s="129">
        <v>0.28125</v>
      </c>
      <c r="E31" s="130">
        <v>0.78125</v>
      </c>
      <c r="F31" s="124">
        <v>2079.11</v>
      </c>
      <c r="G31" s="23">
        <v>2082.8000000000002</v>
      </c>
      <c r="H31" s="23">
        <v>2064.31</v>
      </c>
      <c r="I31" s="23">
        <v>2148.1</v>
      </c>
      <c r="J31" s="23">
        <v>2166.33</v>
      </c>
      <c r="K31" s="23">
        <v>2152.19</v>
      </c>
      <c r="L31" s="23">
        <v>2154.5500000000002</v>
      </c>
      <c r="M31" s="125">
        <f t="shared" si="4"/>
        <v>14847.39</v>
      </c>
      <c r="N31" s="126">
        <f t="shared" si="5"/>
        <v>238.21</v>
      </c>
      <c r="O31" s="23">
        <v>243.13</v>
      </c>
      <c r="P31" s="23">
        <f t="shared" si="1"/>
        <v>14760</v>
      </c>
      <c r="Q31" s="23">
        <f t="shared" si="6"/>
        <v>2.5099999999999998</v>
      </c>
      <c r="R31" s="23">
        <v>2.52</v>
      </c>
      <c r="S31" s="23">
        <f t="shared" si="2"/>
        <v>30.0000000000007</v>
      </c>
      <c r="T31" s="123">
        <f t="shared" si="3"/>
        <v>14730</v>
      </c>
      <c r="U31" s="127"/>
      <c r="V31" s="23">
        <v>5.55</v>
      </c>
      <c r="W31" s="23">
        <v>37.01</v>
      </c>
      <c r="X31" s="23"/>
      <c r="Y31" s="23"/>
      <c r="Z31" s="23"/>
      <c r="AA31" s="23"/>
      <c r="AB31" s="123" t="s">
        <v>38</v>
      </c>
    </row>
    <row r="32" spans="1:28">
      <c r="A32" s="97">
        <f t="shared" si="0"/>
        <v>34</v>
      </c>
      <c r="B32" s="113">
        <v>45777</v>
      </c>
      <c r="C32" s="19">
        <v>45777</v>
      </c>
      <c r="D32" s="129">
        <v>0.28125</v>
      </c>
      <c r="E32" s="130">
        <v>0.78125</v>
      </c>
      <c r="F32" s="124">
        <v>2053.2600000000002</v>
      </c>
      <c r="G32" s="23">
        <v>2060.77</v>
      </c>
      <c r="H32" s="23">
        <v>2035.98</v>
      </c>
      <c r="I32" s="23">
        <v>2138.23</v>
      </c>
      <c r="J32" s="23">
        <v>2150.81</v>
      </c>
      <c r="K32" s="23">
        <v>2141.1799999999998</v>
      </c>
      <c r="L32" s="23">
        <v>2140.5</v>
      </c>
      <c r="M32" s="125">
        <f t="shared" si="4"/>
        <v>14720.73</v>
      </c>
      <c r="N32" s="126">
        <f t="shared" si="5"/>
        <v>243.13</v>
      </c>
      <c r="O32" s="23">
        <v>248.02</v>
      </c>
      <c r="P32" s="23">
        <f t="shared" si="1"/>
        <v>14670</v>
      </c>
      <c r="Q32" s="23">
        <f t="shared" si="6"/>
        <v>2.52</v>
      </c>
      <c r="R32" s="23">
        <v>2.5299999999999998</v>
      </c>
      <c r="S32" s="23">
        <f t="shared" si="2"/>
        <v>29.9999999999994</v>
      </c>
      <c r="T32" s="123">
        <f t="shared" si="3"/>
        <v>14640</v>
      </c>
      <c r="U32" s="127"/>
      <c r="V32" s="23">
        <v>5.7</v>
      </c>
      <c r="W32" s="23">
        <v>33.92</v>
      </c>
      <c r="X32" s="23"/>
      <c r="Y32" s="23"/>
      <c r="Z32" s="23"/>
      <c r="AA32" s="23"/>
      <c r="AB32" s="123" t="s">
        <v>38</v>
      </c>
    </row>
    <row r="33" spans="1:28">
      <c r="A33" s="97">
        <f t="shared" si="0"/>
        <v>35</v>
      </c>
      <c r="B33" s="113">
        <v>45778</v>
      </c>
      <c r="C33" s="19">
        <v>45778</v>
      </c>
      <c r="D33" s="129">
        <v>0.28125</v>
      </c>
      <c r="E33" s="130">
        <v>0.78125</v>
      </c>
      <c r="F33" s="124">
        <v>2084.71</v>
      </c>
      <c r="G33" s="23">
        <v>2095.7199999999998</v>
      </c>
      <c r="H33" s="23">
        <v>2067.8200000000002</v>
      </c>
      <c r="I33" s="23">
        <v>2170.77</v>
      </c>
      <c r="J33" s="23">
        <v>2184.1999999999998</v>
      </c>
      <c r="K33" s="23">
        <v>2165.94</v>
      </c>
      <c r="L33" s="23">
        <v>2173.35</v>
      </c>
      <c r="M33" s="125">
        <f t="shared" si="4"/>
        <v>14942.51</v>
      </c>
      <c r="N33" s="126">
        <f t="shared" si="5"/>
        <v>248.02</v>
      </c>
      <c r="O33" s="23">
        <v>252.96</v>
      </c>
      <c r="P33" s="131">
        <f t="shared" si="1"/>
        <v>14820</v>
      </c>
      <c r="Q33" s="23">
        <f t="shared" si="6"/>
        <v>2.5299999999999998</v>
      </c>
      <c r="R33" s="23">
        <v>2.54</v>
      </c>
      <c r="S33" s="23">
        <f t="shared" si="2"/>
        <v>30.0000000000007</v>
      </c>
      <c r="T33" s="123">
        <f t="shared" si="3"/>
        <v>14790</v>
      </c>
      <c r="U33" s="127"/>
      <c r="V33" s="23">
        <v>5.76</v>
      </c>
      <c r="W33" s="23">
        <v>34.659999999999997</v>
      </c>
      <c r="X33" s="23"/>
      <c r="Y33" s="23"/>
      <c r="Z33" s="23"/>
      <c r="AA33" s="23"/>
      <c r="AB33" s="123" t="s">
        <v>38</v>
      </c>
    </row>
    <row r="34" spans="1:28">
      <c r="A34" s="97">
        <f t="shared" si="0"/>
        <v>36</v>
      </c>
      <c r="B34" s="113">
        <v>45779</v>
      </c>
      <c r="C34" s="19">
        <v>45779</v>
      </c>
      <c r="D34" s="129">
        <v>0.28125</v>
      </c>
      <c r="E34" s="130">
        <v>0.781944444444444</v>
      </c>
      <c r="F34" s="124">
        <v>2155.08</v>
      </c>
      <c r="G34" s="23">
        <v>2159.61</v>
      </c>
      <c r="H34" s="23">
        <v>2035.18</v>
      </c>
      <c r="I34" s="23">
        <v>2224.39</v>
      </c>
      <c r="J34" s="23">
        <v>2232.17</v>
      </c>
      <c r="K34" s="23">
        <v>2208.1</v>
      </c>
      <c r="L34" s="23">
        <v>2210.4499999999998</v>
      </c>
      <c r="M34" s="125">
        <f t="shared" si="4"/>
        <v>15224.98</v>
      </c>
      <c r="N34" s="126">
        <f t="shared" si="5"/>
        <v>252.96</v>
      </c>
      <c r="O34" s="23">
        <v>257.98</v>
      </c>
      <c r="P34" s="23">
        <f t="shared" si="1"/>
        <v>15060</v>
      </c>
      <c r="Q34" s="23">
        <f t="shared" si="6"/>
        <v>2.54</v>
      </c>
      <c r="R34" s="23">
        <v>2.5499999999999998</v>
      </c>
      <c r="S34" s="23">
        <f t="shared" si="2"/>
        <v>29.9999999999994</v>
      </c>
      <c r="T34" s="123">
        <f t="shared" si="3"/>
        <v>15030</v>
      </c>
      <c r="U34" s="127"/>
      <c r="V34" s="23">
        <v>5.91</v>
      </c>
      <c r="W34" s="23">
        <v>34.33</v>
      </c>
      <c r="X34" s="23"/>
      <c r="Y34" s="23"/>
      <c r="Z34" s="23"/>
      <c r="AA34" s="23"/>
      <c r="AB34" s="123" t="s">
        <v>38</v>
      </c>
    </row>
    <row r="35" spans="1:28">
      <c r="A35" s="97">
        <f t="shared" si="0"/>
        <v>37</v>
      </c>
      <c r="B35" s="113">
        <v>45780</v>
      </c>
      <c r="C35" s="19">
        <v>45780</v>
      </c>
      <c r="D35" s="129">
        <v>0.28125</v>
      </c>
      <c r="E35" s="130">
        <v>0.781944444444444</v>
      </c>
      <c r="F35" s="124">
        <v>1995.5</v>
      </c>
      <c r="G35" s="23">
        <v>2000.39</v>
      </c>
      <c r="H35" s="23">
        <v>1980.27</v>
      </c>
      <c r="I35" s="23">
        <v>2069.52</v>
      </c>
      <c r="J35" s="23">
        <v>2073.16</v>
      </c>
      <c r="K35" s="23">
        <v>2066.69</v>
      </c>
      <c r="L35" s="23">
        <v>2063.5300000000002</v>
      </c>
      <c r="M35" s="125">
        <f t="shared" si="4"/>
        <v>14249.06</v>
      </c>
      <c r="N35" s="126">
        <f t="shared" si="5"/>
        <v>257.98</v>
      </c>
      <c r="O35" s="23">
        <v>262.68</v>
      </c>
      <c r="P35" s="23">
        <f t="shared" si="1"/>
        <v>14100</v>
      </c>
      <c r="Q35" s="23">
        <f t="shared" si="6"/>
        <v>2.5499999999999998</v>
      </c>
      <c r="R35" s="23">
        <v>2.56</v>
      </c>
      <c r="S35" s="23">
        <f t="shared" si="2"/>
        <v>30.0000000000007</v>
      </c>
      <c r="T35" s="123">
        <f t="shared" si="3"/>
        <v>14070</v>
      </c>
      <c r="U35" s="127"/>
      <c r="V35" s="23">
        <v>5.5</v>
      </c>
      <c r="W35" s="23">
        <v>31.78</v>
      </c>
      <c r="X35" s="23"/>
      <c r="Y35" s="23"/>
      <c r="Z35" s="23"/>
      <c r="AA35" s="23"/>
      <c r="AB35" s="123" t="s">
        <v>38</v>
      </c>
    </row>
    <row r="36" spans="1:28">
      <c r="A36" s="97">
        <f t="shared" si="0"/>
        <v>38</v>
      </c>
      <c r="B36" s="113">
        <v>45781</v>
      </c>
      <c r="C36" s="19">
        <v>45781</v>
      </c>
      <c r="D36" s="129">
        <v>0.28125</v>
      </c>
      <c r="E36" s="130">
        <v>0.78125</v>
      </c>
      <c r="F36" s="124">
        <v>1750.09</v>
      </c>
      <c r="G36" s="23">
        <v>1750.71</v>
      </c>
      <c r="H36" s="23">
        <v>1733.4</v>
      </c>
      <c r="I36" s="23">
        <v>1816.52</v>
      </c>
      <c r="J36" s="23">
        <v>1821.93</v>
      </c>
      <c r="K36" s="23">
        <v>1816.66</v>
      </c>
      <c r="L36" s="23">
        <v>1821.7</v>
      </c>
      <c r="M36" s="125">
        <f t="shared" si="4"/>
        <v>12511.01</v>
      </c>
      <c r="N36" s="126">
        <f t="shared" si="5"/>
        <v>262.68</v>
      </c>
      <c r="O36" s="23">
        <v>266.83</v>
      </c>
      <c r="P36" s="23">
        <f t="shared" si="1"/>
        <v>12449.9999999999</v>
      </c>
      <c r="Q36" s="23">
        <f t="shared" si="6"/>
        <v>2.56</v>
      </c>
      <c r="R36" s="23">
        <v>2.57</v>
      </c>
      <c r="S36" s="23">
        <f t="shared" si="2"/>
        <v>29.9999999999994</v>
      </c>
      <c r="T36" s="123">
        <f t="shared" si="3"/>
        <v>12419.9999999999</v>
      </c>
      <c r="U36" s="127"/>
      <c r="V36" s="23">
        <v>5.16</v>
      </c>
      <c r="W36" s="23">
        <v>32.01</v>
      </c>
      <c r="X36" s="23"/>
      <c r="Y36" s="23"/>
      <c r="Z36" s="23"/>
      <c r="AA36" s="23"/>
      <c r="AB36" s="123" t="s">
        <v>38</v>
      </c>
    </row>
    <row r="37" spans="1:28">
      <c r="A37" s="97">
        <f t="shared" si="0"/>
        <v>39</v>
      </c>
      <c r="B37" s="113">
        <v>45782</v>
      </c>
      <c r="C37" s="19">
        <v>45782</v>
      </c>
      <c r="D37" s="129">
        <v>0.28125</v>
      </c>
      <c r="E37" s="130">
        <v>0.78125</v>
      </c>
      <c r="F37" s="124">
        <v>1633.36</v>
      </c>
      <c r="G37" s="23">
        <v>1643.32</v>
      </c>
      <c r="H37" s="23">
        <v>1615.21</v>
      </c>
      <c r="I37" s="23">
        <v>1701.11</v>
      </c>
      <c r="J37" s="23">
        <v>1700.02</v>
      </c>
      <c r="K37" s="23">
        <v>1682.68</v>
      </c>
      <c r="L37" s="23">
        <v>1695.72</v>
      </c>
      <c r="M37" s="125">
        <f t="shared" si="4"/>
        <v>11671.42</v>
      </c>
      <c r="N37" s="126">
        <f t="shared" si="5"/>
        <v>266.83</v>
      </c>
      <c r="O37" s="23">
        <v>270.69</v>
      </c>
      <c r="P37" s="23">
        <f t="shared" si="1"/>
        <v>11580</v>
      </c>
      <c r="Q37" s="23">
        <f t="shared" si="6"/>
        <v>2.57</v>
      </c>
      <c r="R37" s="23">
        <v>2.58</v>
      </c>
      <c r="S37" s="23">
        <f t="shared" si="2"/>
        <v>30.0000000000007</v>
      </c>
      <c r="T37" s="123">
        <f t="shared" si="3"/>
        <v>11550</v>
      </c>
      <c r="U37" s="127"/>
      <c r="V37" s="23">
        <v>4.2300000000000004</v>
      </c>
      <c r="W37" s="23">
        <v>31.68</v>
      </c>
      <c r="X37" s="23"/>
      <c r="Y37" s="23"/>
      <c r="Z37" s="23"/>
      <c r="AA37" s="23"/>
      <c r="AB37" s="123" t="s">
        <v>39</v>
      </c>
    </row>
    <row r="38" spans="1:28">
      <c r="A38" s="97">
        <f t="shared" si="0"/>
        <v>40</v>
      </c>
      <c r="B38" s="113">
        <v>45783</v>
      </c>
      <c r="C38" s="19">
        <v>45783</v>
      </c>
      <c r="D38" s="129">
        <v>0.58333333333333304</v>
      </c>
      <c r="E38" s="130">
        <v>0.79166666666666696</v>
      </c>
      <c r="F38" s="124">
        <v>386.75</v>
      </c>
      <c r="G38" s="23">
        <v>389.76</v>
      </c>
      <c r="H38" s="23">
        <v>383.31</v>
      </c>
      <c r="I38" s="23">
        <v>404.43</v>
      </c>
      <c r="J38" s="23">
        <v>403.57</v>
      </c>
      <c r="K38" s="23">
        <v>399.1</v>
      </c>
      <c r="L38" s="23">
        <v>402.66</v>
      </c>
      <c r="M38" s="125">
        <f t="shared" si="4"/>
        <v>2769.58</v>
      </c>
      <c r="N38" s="126">
        <f t="shared" si="5"/>
        <v>270.69</v>
      </c>
      <c r="O38" s="23">
        <v>271.63</v>
      </c>
      <c r="P38" s="23">
        <f t="shared" si="1"/>
        <v>2819.99999999999</v>
      </c>
      <c r="Q38" s="23">
        <f t="shared" si="6"/>
        <v>2.58</v>
      </c>
      <c r="R38" s="23">
        <v>2.59</v>
      </c>
      <c r="S38" s="23">
        <f t="shared" si="2"/>
        <v>29.9999999999994</v>
      </c>
      <c r="T38" s="123">
        <f t="shared" si="3"/>
        <v>2789.99999999999</v>
      </c>
      <c r="U38" s="127"/>
      <c r="V38" s="23">
        <v>1.44</v>
      </c>
      <c r="W38" s="23">
        <v>30.36</v>
      </c>
      <c r="X38" s="23"/>
      <c r="Y38" s="23"/>
      <c r="Z38" s="23"/>
      <c r="AA38" s="23"/>
      <c r="AB38" s="123" t="s">
        <v>40</v>
      </c>
    </row>
    <row r="39" spans="1:28">
      <c r="A39" s="97">
        <f t="shared" si="0"/>
        <v>41</v>
      </c>
      <c r="B39" s="113">
        <v>45784</v>
      </c>
      <c r="C39" s="19">
        <v>45784</v>
      </c>
      <c r="D39" s="129">
        <v>0.28125</v>
      </c>
      <c r="E39" s="130">
        <v>0.78125</v>
      </c>
      <c r="F39" s="124">
        <v>956.61</v>
      </c>
      <c r="G39" s="23">
        <v>988.23</v>
      </c>
      <c r="H39" s="23">
        <v>978.43</v>
      </c>
      <c r="I39" s="23">
        <v>1053.5899999999999</v>
      </c>
      <c r="J39" s="23">
        <v>1041.57</v>
      </c>
      <c r="K39" s="23">
        <v>1066.45</v>
      </c>
      <c r="L39" s="23">
        <v>1069.71</v>
      </c>
      <c r="M39" s="125">
        <f t="shared" si="4"/>
        <v>7154.59</v>
      </c>
      <c r="N39" s="126">
        <f t="shared" si="5"/>
        <v>271.63</v>
      </c>
      <c r="O39" s="23">
        <v>273.99</v>
      </c>
      <c r="P39" s="23">
        <f t="shared" si="1"/>
        <v>7080.00000000004</v>
      </c>
      <c r="Q39" s="23">
        <f t="shared" si="6"/>
        <v>2.59</v>
      </c>
      <c r="R39" s="128">
        <v>2.6</v>
      </c>
      <c r="S39" s="132">
        <f t="shared" si="2"/>
        <v>30.0000000000007</v>
      </c>
      <c r="T39" s="123">
        <f t="shared" si="3"/>
        <v>7050.00000000004</v>
      </c>
      <c r="U39" s="127"/>
      <c r="V39" s="23">
        <v>3.33</v>
      </c>
      <c r="W39" s="23">
        <v>28.95</v>
      </c>
      <c r="X39" s="23"/>
      <c r="Y39" s="23"/>
      <c r="Z39" s="23"/>
      <c r="AA39" s="23"/>
      <c r="AB39" s="123" t="s">
        <v>41</v>
      </c>
    </row>
    <row r="40" spans="1:28">
      <c r="A40" s="97">
        <f t="shared" si="0"/>
        <v>42</v>
      </c>
      <c r="B40" s="113">
        <v>45785</v>
      </c>
      <c r="C40" s="19">
        <v>45785</v>
      </c>
      <c r="D40" s="129">
        <v>0.28125</v>
      </c>
      <c r="E40" s="130">
        <v>0.79166666666666696</v>
      </c>
      <c r="F40" s="124">
        <v>1410.35</v>
      </c>
      <c r="G40" s="23">
        <v>1419.42</v>
      </c>
      <c r="H40" s="23">
        <v>1398.2</v>
      </c>
      <c r="I40" s="23">
        <v>1474.59</v>
      </c>
      <c r="J40" s="23">
        <v>1475.25</v>
      </c>
      <c r="K40" s="23">
        <v>1473.4</v>
      </c>
      <c r="L40" s="23">
        <v>1479.5</v>
      </c>
      <c r="M40" s="125">
        <f t="shared" si="4"/>
        <v>10130.709999999999</v>
      </c>
      <c r="N40" s="126">
        <f t="shared" si="5"/>
        <v>273.99</v>
      </c>
      <c r="O40" s="23">
        <v>277.97000000000003</v>
      </c>
      <c r="P40" s="23">
        <f t="shared" si="1"/>
        <v>11940.0000000001</v>
      </c>
      <c r="Q40" s="23">
        <f t="shared" si="6"/>
        <v>2.6</v>
      </c>
      <c r="R40" s="23">
        <v>2.62</v>
      </c>
      <c r="S40" s="23">
        <f t="shared" si="2"/>
        <v>60.000000000000099</v>
      </c>
      <c r="T40" s="123">
        <f t="shared" si="3"/>
        <v>11880.0000000001</v>
      </c>
      <c r="U40" s="127"/>
      <c r="V40" s="23">
        <v>4.03</v>
      </c>
      <c r="W40" s="23">
        <v>30.19</v>
      </c>
      <c r="X40" s="23"/>
      <c r="Y40" s="23"/>
      <c r="Z40" s="23"/>
      <c r="AA40" s="23"/>
      <c r="AB40" s="123" t="s">
        <v>41</v>
      </c>
    </row>
    <row r="41" spans="1:28">
      <c r="A41" s="97">
        <f t="shared" si="0"/>
        <v>43</v>
      </c>
      <c r="B41" s="113">
        <v>45786</v>
      </c>
      <c r="C41" s="19">
        <v>45786</v>
      </c>
      <c r="D41" s="129">
        <v>0.28125</v>
      </c>
      <c r="E41" s="130">
        <v>0.76041666666666696</v>
      </c>
      <c r="F41" s="124">
        <v>1255.0999999999999</v>
      </c>
      <c r="G41" s="23">
        <v>1260.55</v>
      </c>
      <c r="H41" s="23">
        <v>1245.4000000000001</v>
      </c>
      <c r="I41" s="23">
        <v>1307.29</v>
      </c>
      <c r="J41" s="23">
        <v>1309.0999999999999</v>
      </c>
      <c r="K41" s="23">
        <v>1314.07</v>
      </c>
      <c r="L41" s="23">
        <v>1311.66</v>
      </c>
      <c r="M41" s="125">
        <f t="shared" si="4"/>
        <v>9003.17</v>
      </c>
      <c r="N41" s="126">
        <f t="shared" si="5"/>
        <v>277.97000000000003</v>
      </c>
      <c r="O41" s="23">
        <v>280.89999999999998</v>
      </c>
      <c r="P41" s="23">
        <f t="shared" si="1"/>
        <v>8789.9999999998508</v>
      </c>
      <c r="Q41" s="23">
        <f t="shared" si="6"/>
        <v>2.62</v>
      </c>
      <c r="R41" s="23">
        <v>2.63</v>
      </c>
      <c r="S41" s="23">
        <f t="shared" si="2"/>
        <v>29.9999999999994</v>
      </c>
      <c r="T41" s="123">
        <f t="shared" si="3"/>
        <v>8759.9999999998508</v>
      </c>
      <c r="U41" s="127"/>
      <c r="V41" s="23">
        <v>3.41</v>
      </c>
      <c r="W41" s="23">
        <v>29.47</v>
      </c>
      <c r="X41" s="23"/>
      <c r="Y41" s="23"/>
      <c r="Z41" s="23"/>
      <c r="AA41" s="23"/>
      <c r="AB41" s="123" t="s">
        <v>40</v>
      </c>
    </row>
    <row r="42" spans="1:28">
      <c r="A42" s="97">
        <f t="shared" si="0"/>
        <v>44</v>
      </c>
      <c r="B42" s="113">
        <v>45787</v>
      </c>
      <c r="C42" s="19">
        <v>45787</v>
      </c>
      <c r="D42" s="129">
        <v>0.28125</v>
      </c>
      <c r="E42" s="130">
        <v>0.73958333333333304</v>
      </c>
      <c r="F42" s="124">
        <v>1582.1</v>
      </c>
      <c r="G42" s="23">
        <v>1587.44</v>
      </c>
      <c r="H42" s="23">
        <v>1576.2</v>
      </c>
      <c r="I42" s="23">
        <v>1651.77</v>
      </c>
      <c r="J42" s="23">
        <v>1660.92</v>
      </c>
      <c r="K42" s="23">
        <v>1667.9</v>
      </c>
      <c r="L42" s="23">
        <v>1666.8</v>
      </c>
      <c r="M42" s="125">
        <f t="shared" si="4"/>
        <v>11393.13</v>
      </c>
      <c r="N42" s="126">
        <f t="shared" si="5"/>
        <v>280.89999999999998</v>
      </c>
      <c r="O42" s="23">
        <v>284.74</v>
      </c>
      <c r="P42" s="23">
        <f t="shared" si="1"/>
        <v>11520.0000000001</v>
      </c>
      <c r="Q42" s="23">
        <f t="shared" si="6"/>
        <v>2.63</v>
      </c>
      <c r="R42" s="23">
        <v>2.64</v>
      </c>
      <c r="S42" s="23">
        <f t="shared" si="2"/>
        <v>30.0000000000007</v>
      </c>
      <c r="T42" s="123">
        <f t="shared" si="3"/>
        <v>11490.0000000001</v>
      </c>
      <c r="U42" s="127"/>
      <c r="V42" s="23">
        <v>4.21</v>
      </c>
      <c r="W42" s="23">
        <v>30.8</v>
      </c>
      <c r="X42" s="23"/>
      <c r="Y42" s="23"/>
      <c r="Z42" s="23"/>
      <c r="AA42" s="23"/>
      <c r="AB42" s="123" t="s">
        <v>41</v>
      </c>
    </row>
    <row r="43" spans="1:28">
      <c r="A43" s="97">
        <f t="shared" si="0"/>
        <v>45</v>
      </c>
      <c r="B43" s="113">
        <v>45788</v>
      </c>
      <c r="C43" s="19">
        <v>45788</v>
      </c>
      <c r="D43" s="129">
        <v>0.28125</v>
      </c>
      <c r="E43" s="130">
        <v>0.78125</v>
      </c>
      <c r="F43" s="124">
        <v>1398.1</v>
      </c>
      <c r="G43" s="23">
        <v>1405.75</v>
      </c>
      <c r="H43" s="23">
        <v>1381.19</v>
      </c>
      <c r="I43" s="23">
        <v>1456.46</v>
      </c>
      <c r="J43" s="23">
        <v>1457.36</v>
      </c>
      <c r="K43" s="23">
        <v>1452.25</v>
      </c>
      <c r="L43" s="23">
        <v>1455.9</v>
      </c>
      <c r="M43" s="125">
        <f t="shared" si="4"/>
        <v>10007.01</v>
      </c>
      <c r="N43" s="126">
        <f t="shared" si="5"/>
        <v>284.74</v>
      </c>
      <c r="O43" s="23">
        <v>288.05</v>
      </c>
      <c r="P43" s="23">
        <f t="shared" si="1"/>
        <v>9930.0000000000091</v>
      </c>
      <c r="Q43" s="23">
        <f t="shared" si="6"/>
        <v>2.64</v>
      </c>
      <c r="R43" s="23">
        <v>2.65</v>
      </c>
      <c r="S43" s="23">
        <f t="shared" si="2"/>
        <v>29.9999999999994</v>
      </c>
      <c r="T43" s="123">
        <f t="shared" si="3"/>
        <v>9900.0000000000091</v>
      </c>
      <c r="U43" s="127"/>
      <c r="V43" s="23">
        <v>3.68</v>
      </c>
      <c r="W43" s="23">
        <v>29.45</v>
      </c>
      <c r="X43" s="23"/>
      <c r="Y43" s="23"/>
      <c r="Z43" s="23"/>
      <c r="AA43" s="23"/>
      <c r="AB43" s="123" t="s">
        <v>40</v>
      </c>
    </row>
    <row r="44" spans="1:28">
      <c r="A44" s="97">
        <f t="shared" si="0"/>
        <v>46</v>
      </c>
      <c r="B44" s="113">
        <v>45789</v>
      </c>
      <c r="C44" s="19">
        <v>45789</v>
      </c>
      <c r="D44" s="129">
        <v>0.28125</v>
      </c>
      <c r="E44" s="130">
        <v>0.78125</v>
      </c>
      <c r="F44" s="124">
        <v>1783.51</v>
      </c>
      <c r="G44" s="23">
        <v>1791.6</v>
      </c>
      <c r="H44" s="23">
        <v>1775.5</v>
      </c>
      <c r="I44" s="23">
        <v>1863.78</v>
      </c>
      <c r="J44" s="23">
        <v>1874.11</v>
      </c>
      <c r="K44" s="23">
        <v>1870.37</v>
      </c>
      <c r="L44" s="23">
        <v>1843.6</v>
      </c>
      <c r="M44" s="125">
        <f t="shared" si="4"/>
        <v>12802.47</v>
      </c>
      <c r="N44" s="126">
        <f t="shared" si="5"/>
        <v>288.05</v>
      </c>
      <c r="O44" s="23">
        <v>292.29000000000002</v>
      </c>
      <c r="P44" s="23">
        <f t="shared" si="1"/>
        <v>12720</v>
      </c>
      <c r="Q44" s="23">
        <f t="shared" si="6"/>
        <v>2.65</v>
      </c>
      <c r="R44" s="23">
        <v>2.66</v>
      </c>
      <c r="S44" s="23">
        <f t="shared" si="2"/>
        <v>30.0000000000007</v>
      </c>
      <c r="T44" s="123">
        <f t="shared" si="3"/>
        <v>12690</v>
      </c>
      <c r="U44" s="127"/>
      <c r="V44" s="23">
        <v>5.08</v>
      </c>
      <c r="W44" s="23">
        <v>31.8</v>
      </c>
      <c r="X44" s="23"/>
      <c r="Y44" s="23"/>
      <c r="Z44" s="23"/>
      <c r="AA44" s="23"/>
      <c r="AB44" s="123" t="s">
        <v>40</v>
      </c>
    </row>
    <row r="45" spans="1:28">
      <c r="A45" s="97">
        <f t="shared" si="0"/>
        <v>47</v>
      </c>
      <c r="B45" s="113">
        <v>45790</v>
      </c>
      <c r="C45" s="19">
        <v>45790</v>
      </c>
      <c r="D45" s="129">
        <v>0.28125</v>
      </c>
      <c r="E45" s="130">
        <v>0.78125</v>
      </c>
      <c r="F45" s="124">
        <v>1927.39</v>
      </c>
      <c r="G45" s="23">
        <v>1930.35</v>
      </c>
      <c r="H45" s="23">
        <v>1922.86</v>
      </c>
      <c r="I45" s="23">
        <v>2005.43</v>
      </c>
      <c r="J45" s="23">
        <v>2020.04</v>
      </c>
      <c r="K45" s="23">
        <v>2032.81</v>
      </c>
      <c r="L45" s="23">
        <v>2028.81</v>
      </c>
      <c r="M45" s="125">
        <f t="shared" si="4"/>
        <v>13867.69</v>
      </c>
      <c r="N45" s="126">
        <f t="shared" si="5"/>
        <v>292.29000000000002</v>
      </c>
      <c r="O45" s="23">
        <v>296.86</v>
      </c>
      <c r="P45" s="23">
        <f t="shared" si="1"/>
        <v>13710</v>
      </c>
      <c r="Q45" s="23">
        <f t="shared" si="6"/>
        <v>2.66</v>
      </c>
      <c r="R45" s="23">
        <v>2.67</v>
      </c>
      <c r="S45" s="23">
        <f t="shared" si="2"/>
        <v>29.9999999999994</v>
      </c>
      <c r="T45" s="123">
        <f t="shared" si="3"/>
        <v>13680</v>
      </c>
      <c r="U45" s="127"/>
      <c r="V45" s="131"/>
      <c r="W45" s="131"/>
      <c r="X45" s="23"/>
      <c r="Y45" s="23"/>
      <c r="Z45" s="23"/>
      <c r="AA45" s="23"/>
      <c r="AB45" s="123" t="s">
        <v>40</v>
      </c>
    </row>
    <row r="46" spans="1:28">
      <c r="A46" s="97">
        <f t="shared" si="0"/>
        <v>48</v>
      </c>
      <c r="B46" s="113">
        <v>45791</v>
      </c>
      <c r="C46" s="19">
        <v>45791</v>
      </c>
      <c r="D46" s="23"/>
      <c r="E46" s="123"/>
      <c r="F46" s="124">
        <v>2007.85</v>
      </c>
      <c r="G46" s="23">
        <v>2004.35</v>
      </c>
      <c r="H46" s="23">
        <v>2002.96</v>
      </c>
      <c r="I46" s="23">
        <v>2081.7600000000002</v>
      </c>
      <c r="J46" s="23">
        <v>2098.12</v>
      </c>
      <c r="K46" s="23">
        <v>2113.1999999999998</v>
      </c>
      <c r="L46" s="23">
        <v>2103.5500000000002</v>
      </c>
      <c r="M46" s="125">
        <f t="shared" si="4"/>
        <v>14411.79</v>
      </c>
      <c r="N46" s="126">
        <f t="shared" si="5"/>
        <v>296.86</v>
      </c>
      <c r="O46" s="23">
        <v>301.62</v>
      </c>
      <c r="P46" s="23">
        <f t="shared" si="1"/>
        <v>14280</v>
      </c>
      <c r="Q46" s="23">
        <f t="shared" si="6"/>
        <v>2.67</v>
      </c>
      <c r="R46" s="23">
        <v>2.68</v>
      </c>
      <c r="S46" s="23">
        <f t="shared" si="2"/>
        <v>30.0000000000007</v>
      </c>
      <c r="T46" s="123">
        <f t="shared" si="3"/>
        <v>14250</v>
      </c>
      <c r="U46" s="127"/>
      <c r="V46" s="131"/>
      <c r="W46" s="131"/>
      <c r="X46" s="23"/>
      <c r="Y46" s="23"/>
      <c r="Z46" s="23"/>
      <c r="AA46" s="23"/>
      <c r="AB46" s="123" t="s">
        <v>38</v>
      </c>
    </row>
    <row r="47" spans="1:28">
      <c r="A47" s="97">
        <f t="shared" si="0"/>
        <v>49</v>
      </c>
      <c r="B47" s="113">
        <v>45792</v>
      </c>
      <c r="C47" s="19">
        <v>45792</v>
      </c>
      <c r="D47" s="23"/>
      <c r="E47" s="123"/>
      <c r="F47" s="124">
        <v>1996.64</v>
      </c>
      <c r="G47" s="23">
        <v>2001.36</v>
      </c>
      <c r="H47" s="23">
        <v>1988.12</v>
      </c>
      <c r="I47" s="23">
        <v>2074.3000000000002</v>
      </c>
      <c r="J47" s="23">
        <v>2086.14</v>
      </c>
      <c r="K47" s="23">
        <v>2100.4299999999998</v>
      </c>
      <c r="L47" s="23">
        <v>2093.63</v>
      </c>
      <c r="M47" s="125">
        <f t="shared" si="4"/>
        <v>14340.62</v>
      </c>
      <c r="N47" s="126">
        <f t="shared" si="5"/>
        <v>301.62</v>
      </c>
      <c r="O47" s="23">
        <v>306.37</v>
      </c>
      <c r="P47" s="23">
        <f t="shared" si="1"/>
        <v>14250</v>
      </c>
      <c r="Q47" s="23">
        <f t="shared" si="6"/>
        <v>2.68</v>
      </c>
      <c r="R47" s="23">
        <v>2.69</v>
      </c>
      <c r="S47" s="23">
        <f t="shared" si="2"/>
        <v>29.9999999999994</v>
      </c>
      <c r="T47" s="123">
        <f t="shared" si="3"/>
        <v>14220</v>
      </c>
      <c r="U47" s="127"/>
      <c r="V47" s="131"/>
      <c r="W47" s="131"/>
      <c r="X47" s="23"/>
      <c r="Y47" s="23"/>
      <c r="Z47" s="23"/>
      <c r="AA47" s="23"/>
      <c r="AB47" s="123" t="s">
        <v>38</v>
      </c>
    </row>
    <row r="48" spans="1:28">
      <c r="A48" s="97">
        <f t="shared" si="0"/>
        <v>50</v>
      </c>
      <c r="B48" s="113">
        <v>45793</v>
      </c>
      <c r="C48" s="19">
        <v>45793</v>
      </c>
      <c r="D48" s="129">
        <v>0.27083333333333298</v>
      </c>
      <c r="E48" s="130">
        <v>0.79166666666666696</v>
      </c>
      <c r="F48" s="124">
        <v>2007.79</v>
      </c>
      <c r="G48" s="23">
        <v>2009.75</v>
      </c>
      <c r="H48" s="23">
        <v>1993.29</v>
      </c>
      <c r="I48" s="23">
        <v>2085.7399999999998</v>
      </c>
      <c r="J48" s="23">
        <v>2091.3000000000002</v>
      </c>
      <c r="K48" s="23">
        <v>2102.54</v>
      </c>
      <c r="L48" s="23">
        <v>2095.38</v>
      </c>
      <c r="M48" s="125">
        <f t="shared" si="4"/>
        <v>14385.79</v>
      </c>
      <c r="N48" s="126">
        <f t="shared" si="5"/>
        <v>306.37</v>
      </c>
      <c r="O48" s="23">
        <v>311.13</v>
      </c>
      <c r="P48" s="23">
        <f t="shared" si="1"/>
        <v>14280</v>
      </c>
      <c r="Q48" s="23">
        <f t="shared" si="6"/>
        <v>2.69</v>
      </c>
      <c r="R48" s="23">
        <v>2.7</v>
      </c>
      <c r="S48" s="23">
        <f t="shared" si="2"/>
        <v>30.0000000000007</v>
      </c>
      <c r="T48" s="123">
        <f t="shared" si="3"/>
        <v>14250</v>
      </c>
      <c r="U48" s="127"/>
      <c r="V48" s="23">
        <v>5.35</v>
      </c>
      <c r="W48" s="23">
        <v>32.479999999999997</v>
      </c>
      <c r="X48" s="23"/>
      <c r="Y48" s="23"/>
      <c r="Z48" s="23"/>
      <c r="AA48" s="23"/>
      <c r="AB48" s="123" t="s">
        <v>40</v>
      </c>
    </row>
    <row r="49" spans="1:28">
      <c r="A49" s="97">
        <f t="shared" si="0"/>
        <v>51</v>
      </c>
      <c r="B49" s="113">
        <v>45794</v>
      </c>
      <c r="C49" s="19">
        <v>45794</v>
      </c>
      <c r="D49" s="129">
        <v>0.27083333333333298</v>
      </c>
      <c r="E49" s="130">
        <v>0.79166666666666696</v>
      </c>
      <c r="F49" s="124">
        <v>1917.51</v>
      </c>
      <c r="G49" s="23">
        <v>1920.53</v>
      </c>
      <c r="H49" s="23">
        <v>1919.45</v>
      </c>
      <c r="I49" s="23">
        <v>1997.27</v>
      </c>
      <c r="J49" s="23">
        <v>2006.11</v>
      </c>
      <c r="K49" s="23">
        <v>2019.89</v>
      </c>
      <c r="L49" s="23">
        <v>2012.33</v>
      </c>
      <c r="M49" s="125">
        <f t="shared" si="4"/>
        <v>13793.09</v>
      </c>
      <c r="N49" s="126">
        <f t="shared" si="5"/>
        <v>311.13</v>
      </c>
      <c r="O49" s="23">
        <v>315.66000000000003</v>
      </c>
      <c r="P49" s="23">
        <f t="shared" si="1"/>
        <v>13590.0000000001</v>
      </c>
      <c r="Q49" s="23">
        <f t="shared" si="6"/>
        <v>2.7</v>
      </c>
      <c r="R49" s="23">
        <v>2.71</v>
      </c>
      <c r="S49" s="23">
        <f t="shared" si="2"/>
        <v>29.9999999999994</v>
      </c>
      <c r="T49" s="123">
        <f t="shared" si="3"/>
        <v>13560.0000000001</v>
      </c>
      <c r="U49" s="127"/>
      <c r="V49" s="23">
        <v>5.2</v>
      </c>
      <c r="W49" s="23">
        <v>32.71</v>
      </c>
      <c r="X49" s="23"/>
      <c r="Y49" s="23"/>
      <c r="Z49" s="23"/>
      <c r="AA49" s="23"/>
      <c r="AB49" s="123" t="s">
        <v>38</v>
      </c>
    </row>
    <row r="50" spans="1:28">
      <c r="A50" s="97">
        <f t="shared" si="0"/>
        <v>52</v>
      </c>
      <c r="B50" s="113">
        <v>45795</v>
      </c>
      <c r="C50" s="19">
        <v>45795</v>
      </c>
      <c r="D50" s="129">
        <v>0.28125</v>
      </c>
      <c r="E50" s="130">
        <v>0.78125</v>
      </c>
      <c r="F50" s="124">
        <v>1865.09</v>
      </c>
      <c r="G50" s="23">
        <v>1822.8</v>
      </c>
      <c r="H50" s="23">
        <v>1799.89</v>
      </c>
      <c r="I50" s="23">
        <v>1890.87</v>
      </c>
      <c r="J50" s="23">
        <v>1894.11</v>
      </c>
      <c r="K50" s="23">
        <v>1864.91</v>
      </c>
      <c r="L50" s="23">
        <v>1853.28</v>
      </c>
      <c r="M50" s="125">
        <f t="shared" si="4"/>
        <v>12990.95</v>
      </c>
      <c r="N50" s="126">
        <f t="shared" si="5"/>
        <v>315.66000000000003</v>
      </c>
      <c r="O50" s="23">
        <v>319.95999999999998</v>
      </c>
      <c r="P50" s="23">
        <f t="shared" si="1"/>
        <v>12899.9999999999</v>
      </c>
      <c r="Q50" s="23">
        <f t="shared" si="6"/>
        <v>2.71</v>
      </c>
      <c r="R50" s="23">
        <v>2.72</v>
      </c>
      <c r="S50" s="23">
        <f t="shared" si="2"/>
        <v>30.0000000000007</v>
      </c>
      <c r="T50" s="123">
        <f t="shared" si="3"/>
        <v>12869.9999999999</v>
      </c>
      <c r="U50" s="127"/>
      <c r="V50" s="23">
        <v>5.65</v>
      </c>
      <c r="W50" s="23">
        <v>33.94</v>
      </c>
      <c r="X50" s="23"/>
      <c r="Y50" s="23"/>
      <c r="Z50" s="23"/>
      <c r="AA50" s="23"/>
      <c r="AB50" s="123" t="s">
        <v>38</v>
      </c>
    </row>
    <row r="51" spans="1:28">
      <c r="A51" s="97">
        <f t="shared" si="0"/>
        <v>53</v>
      </c>
      <c r="B51" s="113">
        <v>45796</v>
      </c>
      <c r="C51" s="19">
        <v>45796</v>
      </c>
      <c r="D51" s="129">
        <v>0.28125</v>
      </c>
      <c r="E51" s="130">
        <v>0.78125</v>
      </c>
      <c r="F51" s="124">
        <v>1906.48</v>
      </c>
      <c r="G51" s="23">
        <v>1914.89</v>
      </c>
      <c r="H51" s="23">
        <v>1891.43</v>
      </c>
      <c r="I51" s="23">
        <v>1987.36</v>
      </c>
      <c r="J51" s="23">
        <v>1995.43</v>
      </c>
      <c r="K51" s="23">
        <v>2000.83</v>
      </c>
      <c r="L51" s="23">
        <v>1997.49</v>
      </c>
      <c r="M51" s="125">
        <f t="shared" si="4"/>
        <v>13693.91</v>
      </c>
      <c r="N51" s="126">
        <f t="shared" si="5"/>
        <v>319.95999999999998</v>
      </c>
      <c r="O51" s="23">
        <v>324.49</v>
      </c>
      <c r="P51" s="23">
        <f t="shared" si="1"/>
        <v>13590.0000000001</v>
      </c>
      <c r="Q51" s="23">
        <f t="shared" si="6"/>
        <v>2.72</v>
      </c>
      <c r="R51" s="23">
        <v>2.73</v>
      </c>
      <c r="S51" s="23">
        <f t="shared" si="2"/>
        <v>29.9999999999994</v>
      </c>
      <c r="T51" s="123">
        <f t="shared" si="3"/>
        <v>13560.0000000001</v>
      </c>
      <c r="U51" s="127"/>
      <c r="V51" s="23">
        <v>5.43</v>
      </c>
      <c r="W51" s="23">
        <v>36</v>
      </c>
      <c r="X51" s="23"/>
      <c r="Y51" s="23"/>
      <c r="Z51" s="23"/>
      <c r="AA51" s="23"/>
      <c r="AB51" s="123" t="s">
        <v>38</v>
      </c>
    </row>
    <row r="52" spans="1:28">
      <c r="A52" s="97">
        <f t="shared" si="0"/>
        <v>54</v>
      </c>
      <c r="B52" s="113">
        <v>45797</v>
      </c>
      <c r="C52" s="19">
        <v>45797</v>
      </c>
      <c r="D52" s="129">
        <v>0.28125</v>
      </c>
      <c r="E52" s="130">
        <v>0.80208333333333304</v>
      </c>
      <c r="F52" s="124">
        <v>1870.65</v>
      </c>
      <c r="G52" s="23">
        <v>1872.55</v>
      </c>
      <c r="H52" s="23">
        <v>1860.19</v>
      </c>
      <c r="I52" s="23">
        <v>1946.45</v>
      </c>
      <c r="J52" s="23">
        <v>1957.39</v>
      </c>
      <c r="K52" s="23">
        <v>1969.36</v>
      </c>
      <c r="L52" s="23">
        <v>1970.14</v>
      </c>
      <c r="M52" s="125">
        <f t="shared" si="4"/>
        <v>13446.73</v>
      </c>
      <c r="N52" s="126">
        <f t="shared" si="5"/>
        <v>324.49</v>
      </c>
      <c r="O52" s="23">
        <v>328.92</v>
      </c>
      <c r="P52" s="23">
        <f t="shared" si="1"/>
        <v>13290</v>
      </c>
      <c r="Q52" s="23">
        <f t="shared" si="6"/>
        <v>2.73</v>
      </c>
      <c r="R52" s="23">
        <v>2.74</v>
      </c>
      <c r="S52" s="23">
        <f t="shared" si="2"/>
        <v>30.0000000000007</v>
      </c>
      <c r="T52" s="123">
        <f t="shared" si="3"/>
        <v>13260</v>
      </c>
      <c r="U52" s="127"/>
      <c r="V52" s="23">
        <v>5.61</v>
      </c>
      <c r="W52" s="23">
        <v>36</v>
      </c>
      <c r="X52" s="23"/>
      <c r="Y52" s="23"/>
      <c r="Z52" s="23"/>
      <c r="AA52" s="23"/>
      <c r="AB52" s="123" t="s">
        <v>38</v>
      </c>
    </row>
    <row r="53" spans="1:28">
      <c r="A53" s="97">
        <f t="shared" si="0"/>
        <v>55</v>
      </c>
      <c r="B53" s="113">
        <v>45798</v>
      </c>
      <c r="C53" s="19">
        <v>45798</v>
      </c>
      <c r="D53" s="129">
        <v>0.28125</v>
      </c>
      <c r="E53" s="130">
        <v>0.79166666666666696</v>
      </c>
      <c r="F53" s="124">
        <v>1014.89</v>
      </c>
      <c r="G53" s="23">
        <v>1017.18</v>
      </c>
      <c r="H53" s="23">
        <v>1005.76</v>
      </c>
      <c r="I53" s="23">
        <v>1056.3</v>
      </c>
      <c r="J53" s="23">
        <v>1061.22</v>
      </c>
      <c r="K53" s="23">
        <v>1062.48</v>
      </c>
      <c r="L53" s="23">
        <v>1063.54</v>
      </c>
      <c r="M53" s="125">
        <f t="shared" si="4"/>
        <v>7281.37</v>
      </c>
      <c r="N53" s="126">
        <f t="shared" si="5"/>
        <v>328.92</v>
      </c>
      <c r="O53" s="23">
        <v>331.38</v>
      </c>
      <c r="P53" s="23">
        <f t="shared" si="1"/>
        <v>7379.99999999994</v>
      </c>
      <c r="Q53" s="23">
        <f t="shared" si="6"/>
        <v>2.74</v>
      </c>
      <c r="R53" s="23">
        <v>2.75</v>
      </c>
      <c r="S53" s="23">
        <f t="shared" si="2"/>
        <v>29.9999999999994</v>
      </c>
      <c r="T53" s="123">
        <f t="shared" si="3"/>
        <v>7349.99999999994</v>
      </c>
      <c r="U53" s="127"/>
      <c r="V53" s="23">
        <v>3.17</v>
      </c>
      <c r="W53" s="23">
        <v>36</v>
      </c>
      <c r="X53" s="23"/>
      <c r="Y53" s="23"/>
      <c r="Z53" s="23"/>
      <c r="AA53" s="23"/>
      <c r="AB53" s="123" t="s">
        <v>40</v>
      </c>
    </row>
    <row r="54" spans="1:28">
      <c r="A54" s="97">
        <f t="shared" si="0"/>
        <v>56</v>
      </c>
      <c r="B54" s="113">
        <v>45799</v>
      </c>
      <c r="C54" s="19">
        <v>45799</v>
      </c>
      <c r="D54" s="129">
        <v>0.27083333333333298</v>
      </c>
      <c r="E54" s="130">
        <v>0.78125</v>
      </c>
      <c r="F54" s="124">
        <v>1699.08</v>
      </c>
      <c r="G54" s="23">
        <v>1707.43</v>
      </c>
      <c r="H54" s="23">
        <v>1699.46</v>
      </c>
      <c r="I54" s="23">
        <v>1782.23</v>
      </c>
      <c r="J54" s="23">
        <v>1790.25</v>
      </c>
      <c r="K54" s="23">
        <v>1801.13</v>
      </c>
      <c r="L54" s="23">
        <v>1795.83</v>
      </c>
      <c r="M54" s="125">
        <f t="shared" si="4"/>
        <v>12275.41</v>
      </c>
      <c r="N54" s="126">
        <f t="shared" si="5"/>
        <v>331.38</v>
      </c>
      <c r="O54" s="23">
        <v>335.43</v>
      </c>
      <c r="P54" s="23">
        <f t="shared" si="1"/>
        <v>12150</v>
      </c>
      <c r="Q54" s="23">
        <f t="shared" si="6"/>
        <v>2.75</v>
      </c>
      <c r="R54" s="23">
        <v>2.77</v>
      </c>
      <c r="S54" s="23">
        <f t="shared" si="2"/>
        <v>60.000000000000099</v>
      </c>
      <c r="T54" s="123">
        <f t="shared" si="3"/>
        <v>12090</v>
      </c>
      <c r="U54" s="127"/>
      <c r="V54" s="23">
        <v>5.41</v>
      </c>
      <c r="W54" s="23">
        <v>36</v>
      </c>
      <c r="X54" s="23"/>
      <c r="Y54" s="23"/>
      <c r="Z54" s="23"/>
      <c r="AA54" s="23"/>
      <c r="AB54" s="123" t="s">
        <v>38</v>
      </c>
    </row>
    <row r="55" spans="1:28">
      <c r="A55" s="97">
        <f t="shared" si="0"/>
        <v>57</v>
      </c>
      <c r="B55" s="113">
        <v>45800</v>
      </c>
      <c r="C55" s="19">
        <v>45800</v>
      </c>
      <c r="D55" s="129">
        <v>0.28125</v>
      </c>
      <c r="E55" s="130">
        <v>0.80208333333333304</v>
      </c>
      <c r="F55" s="124">
        <v>1728.4</v>
      </c>
      <c r="G55" s="23">
        <v>1728.82</v>
      </c>
      <c r="H55" s="23">
        <v>1725.55</v>
      </c>
      <c r="I55" s="23">
        <v>1800.81</v>
      </c>
      <c r="J55" s="23">
        <v>1815.78</v>
      </c>
      <c r="K55" s="23">
        <v>1831.9</v>
      </c>
      <c r="L55" s="23">
        <v>1826.82</v>
      </c>
      <c r="M55" s="125">
        <f t="shared" si="4"/>
        <v>12458.08</v>
      </c>
      <c r="N55" s="126">
        <f t="shared" si="5"/>
        <v>335.43</v>
      </c>
      <c r="O55" s="23">
        <v>339.57</v>
      </c>
      <c r="P55" s="23">
        <f t="shared" si="1"/>
        <v>12420</v>
      </c>
      <c r="Q55" s="23">
        <f t="shared" si="6"/>
        <v>2.77</v>
      </c>
      <c r="R55" s="23">
        <v>2.78</v>
      </c>
      <c r="S55" s="23">
        <f t="shared" si="2"/>
        <v>29.9999999999994</v>
      </c>
      <c r="T55" s="123">
        <f t="shared" si="3"/>
        <v>12390</v>
      </c>
      <c r="U55" s="127"/>
      <c r="V55" s="23">
        <v>5.33</v>
      </c>
      <c r="W55" s="23">
        <v>36</v>
      </c>
      <c r="X55" s="23"/>
      <c r="Y55" s="23"/>
      <c r="Z55" s="23"/>
      <c r="AA55" s="23"/>
      <c r="AB55" s="123" t="s">
        <v>40</v>
      </c>
    </row>
    <row r="56" spans="1:28">
      <c r="A56" s="97">
        <f t="shared" si="0"/>
        <v>58</v>
      </c>
      <c r="B56" s="113">
        <v>45801</v>
      </c>
      <c r="C56" s="19">
        <v>45801</v>
      </c>
      <c r="D56" s="129">
        <v>0.28125</v>
      </c>
      <c r="E56" s="130">
        <v>0.79166666666666696</v>
      </c>
      <c r="F56" s="124">
        <v>1860.99</v>
      </c>
      <c r="G56" s="23">
        <v>1864.32</v>
      </c>
      <c r="H56" s="23">
        <v>1568.85</v>
      </c>
      <c r="I56" s="23">
        <v>1937.79</v>
      </c>
      <c r="J56" s="23">
        <v>1952.61</v>
      </c>
      <c r="K56" s="23">
        <v>1958.35</v>
      </c>
      <c r="L56" s="23">
        <v>1962.88</v>
      </c>
      <c r="M56" s="125">
        <f t="shared" si="4"/>
        <v>13105.79</v>
      </c>
      <c r="N56" s="126">
        <f t="shared" si="5"/>
        <v>339.57</v>
      </c>
      <c r="O56" s="23">
        <v>343.9</v>
      </c>
      <c r="P56" s="23">
        <f t="shared" si="1"/>
        <v>12990</v>
      </c>
      <c r="Q56" s="23">
        <f t="shared" si="6"/>
        <v>2.78</v>
      </c>
      <c r="R56" s="23">
        <v>2.79</v>
      </c>
      <c r="S56" s="23">
        <f t="shared" si="2"/>
        <v>30.0000000000007</v>
      </c>
      <c r="T56" s="123">
        <f t="shared" si="3"/>
        <v>12960</v>
      </c>
      <c r="U56" s="127"/>
      <c r="V56" s="23">
        <v>5.64</v>
      </c>
      <c r="W56" s="23">
        <v>33.380000000000003</v>
      </c>
      <c r="X56" s="23"/>
      <c r="Y56" s="23"/>
      <c r="Z56" s="23"/>
      <c r="AA56" s="23"/>
      <c r="AB56" s="123" t="s">
        <v>38</v>
      </c>
    </row>
    <row r="57" spans="1:28">
      <c r="A57" s="97">
        <f t="shared" si="0"/>
        <v>59</v>
      </c>
      <c r="B57" s="113">
        <v>45802</v>
      </c>
      <c r="C57" s="19">
        <v>45802</v>
      </c>
      <c r="D57" s="129">
        <v>0.28125</v>
      </c>
      <c r="E57" s="130">
        <v>0.79166666666666696</v>
      </c>
      <c r="F57" s="124">
        <v>1922.89</v>
      </c>
      <c r="G57" s="23">
        <v>1925.23</v>
      </c>
      <c r="H57" s="23">
        <v>1880.65</v>
      </c>
      <c r="I57" s="23">
        <v>1994.65</v>
      </c>
      <c r="J57" s="23">
        <v>2006.55</v>
      </c>
      <c r="K57" s="23">
        <v>2012.26</v>
      </c>
      <c r="L57" s="23">
        <v>2008.11</v>
      </c>
      <c r="M57" s="125">
        <f t="shared" si="4"/>
        <v>13750.34</v>
      </c>
      <c r="N57" s="126">
        <f t="shared" si="5"/>
        <v>343.9</v>
      </c>
      <c r="O57" s="23">
        <v>348.46</v>
      </c>
      <c r="P57" s="23">
        <f t="shared" si="1"/>
        <v>13680</v>
      </c>
      <c r="Q57" s="23">
        <f t="shared" si="6"/>
        <v>2.79</v>
      </c>
      <c r="R57" s="23">
        <v>2.8</v>
      </c>
      <c r="S57" s="23">
        <f t="shared" si="2"/>
        <v>29.9999999999994</v>
      </c>
      <c r="T57" s="123">
        <f t="shared" si="3"/>
        <v>13650</v>
      </c>
      <c r="U57" s="127"/>
      <c r="V57" s="23">
        <v>5.61</v>
      </c>
      <c r="W57" s="23">
        <v>33.64</v>
      </c>
      <c r="X57" s="23"/>
      <c r="Y57" s="23"/>
      <c r="Z57" s="23"/>
      <c r="AA57" s="23"/>
      <c r="AB57" s="123" t="s">
        <v>38</v>
      </c>
    </row>
    <row r="58" spans="1:28">
      <c r="A58" s="97">
        <f t="shared" si="0"/>
        <v>60</v>
      </c>
      <c r="B58" s="113">
        <v>45803</v>
      </c>
      <c r="C58" s="19">
        <v>45803</v>
      </c>
      <c r="D58" s="129">
        <v>0.29166666666666702</v>
      </c>
      <c r="E58" s="130">
        <v>0.79166666666666696</v>
      </c>
      <c r="F58" s="124">
        <v>1445.61</v>
      </c>
      <c r="G58" s="23">
        <v>1452.47</v>
      </c>
      <c r="H58" s="23">
        <v>1438.01</v>
      </c>
      <c r="I58" s="23">
        <v>1508.79</v>
      </c>
      <c r="J58" s="23">
        <v>1520.45</v>
      </c>
      <c r="K58" s="23">
        <v>1522.42</v>
      </c>
      <c r="L58" s="23">
        <v>1525.42</v>
      </c>
      <c r="M58" s="125">
        <f t="shared" si="4"/>
        <v>10413.17</v>
      </c>
      <c r="N58" s="126">
        <f t="shared" si="5"/>
        <v>348.46</v>
      </c>
      <c r="O58" s="23">
        <v>351.92</v>
      </c>
      <c r="P58" s="23">
        <f t="shared" si="1"/>
        <v>10380.0000000001</v>
      </c>
      <c r="Q58" s="23">
        <f t="shared" si="6"/>
        <v>2.8</v>
      </c>
      <c r="R58" s="23">
        <v>2.81</v>
      </c>
      <c r="S58" s="23">
        <f t="shared" si="2"/>
        <v>30.0000000000007</v>
      </c>
      <c r="T58" s="123">
        <f t="shared" si="3"/>
        <v>10350.0000000001</v>
      </c>
      <c r="U58" s="127"/>
      <c r="V58" s="23">
        <v>4.33</v>
      </c>
      <c r="W58" s="23">
        <v>30</v>
      </c>
      <c r="X58" s="23"/>
      <c r="Y58" s="23"/>
      <c r="Z58" s="23"/>
      <c r="AA58" s="23"/>
      <c r="AB58" s="123" t="s">
        <v>40</v>
      </c>
    </row>
    <row r="59" spans="1:28">
      <c r="A59" s="97">
        <f t="shared" si="0"/>
        <v>61</v>
      </c>
      <c r="B59" s="113">
        <v>45804</v>
      </c>
      <c r="C59" s="19">
        <v>45804</v>
      </c>
      <c r="D59" s="129">
        <v>0.28125</v>
      </c>
      <c r="E59" s="130">
        <v>0.78125</v>
      </c>
      <c r="F59" s="124">
        <v>831.6</v>
      </c>
      <c r="G59" s="23">
        <v>835.7</v>
      </c>
      <c r="H59" s="23">
        <v>824.87</v>
      </c>
      <c r="I59" s="23">
        <v>870.83</v>
      </c>
      <c r="J59" s="23">
        <v>875.35</v>
      </c>
      <c r="K59" s="23">
        <v>878.11</v>
      </c>
      <c r="L59" s="23">
        <v>878.8</v>
      </c>
      <c r="M59" s="125">
        <f t="shared" si="4"/>
        <v>5995.26</v>
      </c>
      <c r="N59" s="126">
        <f t="shared" si="5"/>
        <v>351.92</v>
      </c>
      <c r="O59" s="23">
        <v>353.9</v>
      </c>
      <c r="P59" s="23">
        <f t="shared" si="1"/>
        <v>5939.9999999998799</v>
      </c>
      <c r="Q59" s="23">
        <f t="shared" si="6"/>
        <v>2.81</v>
      </c>
      <c r="R59" s="23">
        <v>2.82</v>
      </c>
      <c r="S59" s="23">
        <f t="shared" si="2"/>
        <v>29.9999999999994</v>
      </c>
      <c r="T59" s="123">
        <f t="shared" si="3"/>
        <v>5909.9999999998799</v>
      </c>
      <c r="U59" s="127"/>
      <c r="V59" s="23">
        <v>2.58</v>
      </c>
      <c r="W59" s="23">
        <v>30</v>
      </c>
      <c r="X59" s="23"/>
      <c r="Y59" s="23"/>
      <c r="Z59" s="23"/>
      <c r="AA59" s="23"/>
      <c r="AB59" s="123" t="s">
        <v>40</v>
      </c>
    </row>
    <row r="60" spans="1:28">
      <c r="A60" s="97">
        <f t="shared" si="0"/>
        <v>62</v>
      </c>
      <c r="B60" s="113">
        <v>45805</v>
      </c>
      <c r="C60" s="19">
        <v>45805</v>
      </c>
      <c r="D60" s="129">
        <v>0.28125</v>
      </c>
      <c r="E60" s="130">
        <v>0.79166666666666696</v>
      </c>
      <c r="F60" s="124">
        <v>1430.42</v>
      </c>
      <c r="G60" s="23">
        <v>1439.62</v>
      </c>
      <c r="H60" s="23">
        <v>1420.72</v>
      </c>
      <c r="I60" s="23">
        <v>1498.06</v>
      </c>
      <c r="J60" s="23">
        <v>1506.17</v>
      </c>
      <c r="K60" s="23">
        <v>1508.2</v>
      </c>
      <c r="L60" s="23">
        <v>1512.1</v>
      </c>
      <c r="M60" s="125">
        <f t="shared" si="4"/>
        <v>10315.290000000001</v>
      </c>
      <c r="N60" s="126">
        <f t="shared" si="5"/>
        <v>353.9</v>
      </c>
      <c r="O60" s="23">
        <v>357.33</v>
      </c>
      <c r="P60" s="23">
        <f t="shared" si="1"/>
        <v>10290</v>
      </c>
      <c r="Q60" s="23">
        <f t="shared" si="6"/>
        <v>2.82</v>
      </c>
      <c r="R60" s="23">
        <v>2.83</v>
      </c>
      <c r="S60" s="23">
        <f t="shared" si="2"/>
        <v>30.0000000000007</v>
      </c>
      <c r="T60" s="123">
        <f t="shared" si="3"/>
        <v>10260</v>
      </c>
      <c r="U60" s="127"/>
      <c r="V60" s="23">
        <v>4.63</v>
      </c>
      <c r="W60" s="23">
        <v>30</v>
      </c>
      <c r="X60" s="23"/>
      <c r="Y60" s="23"/>
      <c r="Z60" s="23"/>
      <c r="AA60" s="23"/>
      <c r="AB60" s="123" t="s">
        <v>40</v>
      </c>
    </row>
    <row r="61" spans="1:28">
      <c r="A61" s="97">
        <f t="shared" si="0"/>
        <v>63</v>
      </c>
      <c r="B61" s="113">
        <v>45806</v>
      </c>
      <c r="C61" s="19">
        <v>45806</v>
      </c>
      <c r="D61" s="129">
        <v>0.281944444444444</v>
      </c>
      <c r="E61" s="130">
        <v>0.79236111111111096</v>
      </c>
      <c r="F61" s="124">
        <v>1666.51</v>
      </c>
      <c r="G61" s="23">
        <v>1680.78</v>
      </c>
      <c r="H61" s="23">
        <v>1654.25</v>
      </c>
      <c r="I61" s="23">
        <v>1738.44</v>
      </c>
      <c r="J61" s="23">
        <v>1744.07</v>
      </c>
      <c r="K61" s="23">
        <v>1752.1</v>
      </c>
      <c r="L61" s="23">
        <v>1758.68</v>
      </c>
      <c r="M61" s="125">
        <f t="shared" si="4"/>
        <v>11994.83</v>
      </c>
      <c r="N61" s="126">
        <f t="shared" si="5"/>
        <v>357.33</v>
      </c>
      <c r="O61" s="23">
        <v>361.28</v>
      </c>
      <c r="P61" s="23">
        <f t="shared" si="1"/>
        <v>11850</v>
      </c>
      <c r="Q61" s="23">
        <f t="shared" si="6"/>
        <v>2.83</v>
      </c>
      <c r="R61" s="23">
        <v>2.84</v>
      </c>
      <c r="S61" s="23">
        <f t="shared" si="2"/>
        <v>29.9999999999994</v>
      </c>
      <c r="T61" s="123">
        <f t="shared" si="3"/>
        <v>11820</v>
      </c>
      <c r="U61" s="127"/>
      <c r="V61" s="23">
        <v>5.09</v>
      </c>
      <c r="W61" s="23">
        <v>30</v>
      </c>
      <c r="X61" s="23"/>
      <c r="Y61" s="23"/>
      <c r="Z61" s="23"/>
      <c r="AA61" s="23"/>
      <c r="AB61" s="123" t="s">
        <v>40</v>
      </c>
    </row>
    <row r="62" spans="1:28">
      <c r="A62" s="97">
        <f t="shared" si="0"/>
        <v>64</v>
      </c>
      <c r="B62" s="113">
        <v>45807</v>
      </c>
      <c r="C62" s="19">
        <v>45807</v>
      </c>
      <c r="D62" s="129">
        <v>0.27083333333333298</v>
      </c>
      <c r="E62" s="130">
        <v>0.79166666666666696</v>
      </c>
      <c r="F62" s="124">
        <v>1698.1</v>
      </c>
      <c r="G62" s="23">
        <v>1713.32</v>
      </c>
      <c r="H62" s="23">
        <v>1691.22</v>
      </c>
      <c r="I62" s="23">
        <v>1778.11</v>
      </c>
      <c r="J62" s="23">
        <v>1786.44</v>
      </c>
      <c r="K62" s="23">
        <v>1791.68</v>
      </c>
      <c r="L62" s="23">
        <v>1791.1</v>
      </c>
      <c r="M62" s="125">
        <f t="shared" si="4"/>
        <v>12249.97</v>
      </c>
      <c r="N62" s="126">
        <f t="shared" si="5"/>
        <v>361.28</v>
      </c>
      <c r="O62" s="23">
        <v>365.32</v>
      </c>
      <c r="P62" s="23">
        <f t="shared" si="1"/>
        <v>12120.0000000001</v>
      </c>
      <c r="Q62" s="23">
        <f t="shared" si="6"/>
        <v>2.84</v>
      </c>
      <c r="R62" s="23">
        <v>2.85</v>
      </c>
      <c r="S62" s="23">
        <f t="shared" si="2"/>
        <v>30.0000000000007</v>
      </c>
      <c r="T62" s="123">
        <f t="shared" si="3"/>
        <v>12090.0000000001</v>
      </c>
      <c r="U62" s="127"/>
      <c r="V62" s="23">
        <v>4.7300000000000004</v>
      </c>
      <c r="W62" s="23">
        <v>30</v>
      </c>
      <c r="X62" s="23"/>
      <c r="Y62" s="23"/>
      <c r="Z62" s="23"/>
      <c r="AA62" s="23"/>
      <c r="AB62" s="123" t="s">
        <v>38</v>
      </c>
    </row>
    <row r="63" spans="1:28">
      <c r="A63" s="97">
        <f t="shared" si="0"/>
        <v>65</v>
      </c>
      <c r="B63" s="113">
        <v>45808</v>
      </c>
      <c r="C63" s="19">
        <v>45808</v>
      </c>
      <c r="D63" s="129">
        <v>0.28125</v>
      </c>
      <c r="E63" s="130">
        <v>0.78125</v>
      </c>
      <c r="F63" s="124">
        <v>1761.91</v>
      </c>
      <c r="G63" s="23">
        <v>1767.1</v>
      </c>
      <c r="H63" s="23">
        <v>1737.12</v>
      </c>
      <c r="I63" s="23">
        <v>1833.42</v>
      </c>
      <c r="J63" s="23">
        <v>1837.6</v>
      </c>
      <c r="K63" s="23">
        <v>1840.49</v>
      </c>
      <c r="L63" s="23">
        <v>1839.16</v>
      </c>
      <c r="M63" s="125">
        <f t="shared" si="4"/>
        <v>12616.8</v>
      </c>
      <c r="N63" s="126">
        <f t="shared" si="5"/>
        <v>365.32</v>
      </c>
      <c r="O63" s="23">
        <v>369.5</v>
      </c>
      <c r="P63" s="23">
        <f t="shared" si="1"/>
        <v>12540</v>
      </c>
      <c r="Q63" s="23">
        <f t="shared" si="6"/>
        <v>2.85</v>
      </c>
      <c r="R63" s="23">
        <v>2.86</v>
      </c>
      <c r="S63" s="23">
        <f t="shared" si="2"/>
        <v>29.9999999999994</v>
      </c>
      <c r="T63" s="123">
        <f t="shared" si="3"/>
        <v>12510</v>
      </c>
      <c r="U63" s="127"/>
      <c r="V63" s="23">
        <v>4.84</v>
      </c>
      <c r="W63" s="23">
        <v>30</v>
      </c>
      <c r="X63" s="23"/>
      <c r="Y63" s="23"/>
      <c r="Z63" s="23"/>
      <c r="AA63" s="23"/>
      <c r="AB63" s="123" t="s">
        <v>38</v>
      </c>
    </row>
    <row r="64" spans="1:28">
      <c r="A64" s="97">
        <f t="shared" si="0"/>
        <v>66</v>
      </c>
      <c r="B64" s="113">
        <v>45809</v>
      </c>
      <c r="C64" s="19">
        <v>45809</v>
      </c>
      <c r="D64" s="129">
        <v>0.27152777777777798</v>
      </c>
      <c r="E64" s="130">
        <v>0.79166666666666696</v>
      </c>
      <c r="F64" s="124">
        <v>1680.2</v>
      </c>
      <c r="G64" s="23">
        <v>1681.24</v>
      </c>
      <c r="H64" s="23">
        <v>1669.32</v>
      </c>
      <c r="I64" s="23">
        <v>1741.9</v>
      </c>
      <c r="J64" s="23">
        <v>1748.28</v>
      </c>
      <c r="K64" s="23">
        <v>1760.59</v>
      </c>
      <c r="L64" s="23">
        <v>1750.26</v>
      </c>
      <c r="M64" s="125">
        <f t="shared" si="4"/>
        <v>12031.79</v>
      </c>
      <c r="N64" s="126">
        <f t="shared" si="5"/>
        <v>369.5</v>
      </c>
      <c r="O64" s="23">
        <v>373.49</v>
      </c>
      <c r="P64" s="23">
        <f t="shared" si="1"/>
        <v>11970</v>
      </c>
      <c r="Q64" s="23">
        <f t="shared" si="6"/>
        <v>2.86</v>
      </c>
      <c r="R64" s="23">
        <v>2.87</v>
      </c>
      <c r="S64" s="23">
        <f t="shared" si="2"/>
        <v>30.0000000000007</v>
      </c>
      <c r="T64" s="123">
        <f t="shared" si="3"/>
        <v>11940</v>
      </c>
      <c r="U64" s="127"/>
      <c r="V64" s="23">
        <v>4.41</v>
      </c>
      <c r="W64" s="23">
        <v>30</v>
      </c>
      <c r="X64" s="23"/>
      <c r="Y64" s="23"/>
      <c r="Z64" s="23"/>
      <c r="AA64" s="23"/>
      <c r="AB64" s="123" t="s">
        <v>38</v>
      </c>
    </row>
    <row r="65" spans="1:28">
      <c r="A65" s="97">
        <f t="shared" si="0"/>
        <v>67</v>
      </c>
      <c r="B65" s="113">
        <v>45810</v>
      </c>
      <c r="C65" s="19">
        <v>45810</v>
      </c>
      <c r="D65" s="129">
        <v>0.27083333333333298</v>
      </c>
      <c r="E65" s="130">
        <v>0.79166666666666696</v>
      </c>
      <c r="F65" s="124">
        <v>1683.9</v>
      </c>
      <c r="G65" s="23">
        <v>1682.73</v>
      </c>
      <c r="H65" s="23">
        <v>1670.33</v>
      </c>
      <c r="I65" s="23">
        <v>1748.2</v>
      </c>
      <c r="J65" s="23">
        <v>1757.95</v>
      </c>
      <c r="K65" s="23">
        <v>1759.41</v>
      </c>
      <c r="L65" s="23">
        <v>1760.26</v>
      </c>
      <c r="M65" s="125">
        <f t="shared" si="4"/>
        <v>12062.78</v>
      </c>
      <c r="N65" s="126">
        <f t="shared" si="5"/>
        <v>373.49</v>
      </c>
      <c r="O65" s="23">
        <v>377.5</v>
      </c>
      <c r="P65" s="131">
        <f t="shared" si="1"/>
        <v>12030</v>
      </c>
      <c r="Q65" s="23">
        <f t="shared" si="6"/>
        <v>2.87</v>
      </c>
      <c r="R65" s="23">
        <v>2.88</v>
      </c>
      <c r="S65" s="23">
        <f t="shared" si="2"/>
        <v>29.9999999999994</v>
      </c>
      <c r="T65" s="123">
        <f t="shared" si="3"/>
        <v>12000</v>
      </c>
      <c r="U65" s="127"/>
      <c r="V65" s="23">
        <v>4.8899999999999997</v>
      </c>
      <c r="W65" s="23">
        <v>32.229999999999997</v>
      </c>
      <c r="X65" s="23"/>
      <c r="Y65" s="23"/>
      <c r="Z65" s="23"/>
      <c r="AA65" s="23"/>
      <c r="AB65" s="123" t="s">
        <v>38</v>
      </c>
    </row>
    <row r="66" spans="1:28">
      <c r="A66" s="97">
        <f t="shared" si="0"/>
        <v>68</v>
      </c>
      <c r="B66" s="113">
        <v>45811</v>
      </c>
      <c r="C66" s="19">
        <v>45811</v>
      </c>
      <c r="D66" s="129">
        <v>0.27083333333333298</v>
      </c>
      <c r="E66" s="130">
        <v>0.79166666666666696</v>
      </c>
      <c r="F66" s="124">
        <v>1687.1</v>
      </c>
      <c r="G66" s="23">
        <v>1689.75</v>
      </c>
      <c r="H66" s="23">
        <v>1673.91</v>
      </c>
      <c r="I66" s="23">
        <v>1751.67</v>
      </c>
      <c r="J66" s="23">
        <v>1754.2</v>
      </c>
      <c r="K66" s="23">
        <v>1757.33</v>
      </c>
      <c r="L66" s="23">
        <v>1754.82</v>
      </c>
      <c r="M66" s="125">
        <f t="shared" si="4"/>
        <v>12068.78</v>
      </c>
      <c r="N66" s="126">
        <f t="shared" si="5"/>
        <v>377.5</v>
      </c>
      <c r="O66" s="23">
        <v>381.48</v>
      </c>
      <c r="P66" s="23">
        <f t="shared" si="1"/>
        <v>11940.0000000001</v>
      </c>
      <c r="Q66" s="23">
        <f t="shared" si="6"/>
        <v>2.88</v>
      </c>
      <c r="R66" s="23">
        <v>2.89</v>
      </c>
      <c r="S66" s="23">
        <f t="shared" si="2"/>
        <v>30.0000000000007</v>
      </c>
      <c r="T66" s="123">
        <f t="shared" si="3"/>
        <v>11910.0000000001</v>
      </c>
      <c r="U66" s="127"/>
      <c r="V66" s="23">
        <v>4.59</v>
      </c>
      <c r="W66" s="23">
        <v>32.380000000000003</v>
      </c>
      <c r="X66" s="23"/>
      <c r="Y66" s="23"/>
      <c r="Z66" s="23"/>
      <c r="AA66" s="23"/>
      <c r="AB66" s="123" t="s">
        <v>38</v>
      </c>
    </row>
    <row r="67" spans="1:28">
      <c r="A67" s="97">
        <f t="shared" ref="A67:A130" si="7">A66+1</f>
        <v>69</v>
      </c>
      <c r="B67" s="113">
        <v>45812</v>
      </c>
      <c r="C67" s="19">
        <v>45812</v>
      </c>
      <c r="D67" s="129">
        <v>0.27083333333333298</v>
      </c>
      <c r="E67" s="130">
        <v>0.79166666666666696</v>
      </c>
      <c r="F67" s="124">
        <v>1619.89</v>
      </c>
      <c r="G67" s="23">
        <v>1630.19</v>
      </c>
      <c r="H67" s="23">
        <v>1618.1</v>
      </c>
      <c r="I67" s="23">
        <v>1689.48</v>
      </c>
      <c r="J67" s="23">
        <v>1690.7</v>
      </c>
      <c r="K67" s="23">
        <v>1691.78</v>
      </c>
      <c r="L67" s="23">
        <v>1697.6</v>
      </c>
      <c r="M67" s="125">
        <f t="shared" si="4"/>
        <v>11637.74</v>
      </c>
      <c r="N67" s="126">
        <f t="shared" si="5"/>
        <v>381.48</v>
      </c>
      <c r="O67" s="23">
        <v>385.34</v>
      </c>
      <c r="P67" s="23">
        <f t="shared" ref="P67:P130" si="8">MAX((O67-N67)*3000,0)</f>
        <v>11579.9999999999</v>
      </c>
      <c r="Q67" s="23">
        <f t="shared" si="6"/>
        <v>2.89</v>
      </c>
      <c r="R67" s="23">
        <v>2.9</v>
      </c>
      <c r="S67" s="23">
        <f t="shared" ref="S67:S130" si="9">MAX((R67-Q67)*3000,0)</f>
        <v>29.9999999999994</v>
      </c>
      <c r="T67" s="123">
        <f t="shared" ref="T67:T130" si="10">P67-S67</f>
        <v>11549.9999999999</v>
      </c>
      <c r="U67" s="127"/>
      <c r="V67" s="23">
        <v>5.08</v>
      </c>
      <c r="W67" s="23">
        <v>32.31</v>
      </c>
      <c r="X67" s="23"/>
      <c r="Y67" s="23"/>
      <c r="Z67" s="23"/>
      <c r="AA67" s="23"/>
      <c r="AB67" s="123" t="s">
        <v>38</v>
      </c>
    </row>
    <row r="68" spans="1:28">
      <c r="A68" s="97">
        <f t="shared" si="7"/>
        <v>70</v>
      </c>
      <c r="B68" s="113">
        <v>45813</v>
      </c>
      <c r="C68" s="19">
        <v>45813</v>
      </c>
      <c r="D68" s="129">
        <v>0.27083333333333298</v>
      </c>
      <c r="E68" s="130">
        <v>0.79166666666666696</v>
      </c>
      <c r="F68" s="124">
        <v>1789.52</v>
      </c>
      <c r="G68" s="23">
        <v>1793.49</v>
      </c>
      <c r="H68" s="23">
        <v>1771.52</v>
      </c>
      <c r="I68" s="23">
        <v>1861.45</v>
      </c>
      <c r="J68" s="23">
        <v>1869.68</v>
      </c>
      <c r="K68" s="23">
        <v>1863.48</v>
      </c>
      <c r="L68" s="23">
        <v>1872.37</v>
      </c>
      <c r="M68" s="125">
        <f t="shared" ref="M68:M131" si="11">SUM(F68:L68)</f>
        <v>12821.51</v>
      </c>
      <c r="N68" s="126">
        <f t="shared" si="5"/>
        <v>385.34</v>
      </c>
      <c r="O68" s="23">
        <v>389.59</v>
      </c>
      <c r="P68" s="23">
        <f t="shared" si="8"/>
        <v>12750</v>
      </c>
      <c r="Q68" s="23">
        <f t="shared" si="6"/>
        <v>2.9</v>
      </c>
      <c r="R68" s="23">
        <v>2.91</v>
      </c>
      <c r="S68" s="23">
        <f t="shared" si="9"/>
        <v>30.0000000000007</v>
      </c>
      <c r="T68" s="123">
        <f t="shared" si="10"/>
        <v>12720</v>
      </c>
      <c r="U68" s="127"/>
      <c r="V68" s="23">
        <v>5.24</v>
      </c>
      <c r="W68" s="23">
        <v>33.299999999999997</v>
      </c>
      <c r="X68" s="23"/>
      <c r="Y68" s="23"/>
      <c r="Z68" s="23"/>
      <c r="AA68" s="23"/>
      <c r="AB68" s="123" t="s">
        <v>38</v>
      </c>
    </row>
    <row r="69" spans="1:28">
      <c r="A69" s="97">
        <f t="shared" si="7"/>
        <v>71</v>
      </c>
      <c r="B69" s="113">
        <v>45814</v>
      </c>
      <c r="C69" s="19">
        <v>45814</v>
      </c>
      <c r="D69" s="129">
        <v>0.27083333333333298</v>
      </c>
      <c r="E69" s="130">
        <v>0.80208333333333304</v>
      </c>
      <c r="F69" s="124">
        <v>1684.1</v>
      </c>
      <c r="G69" s="23">
        <v>1692.48</v>
      </c>
      <c r="H69" s="97">
        <v>1675.55</v>
      </c>
      <c r="I69" s="23">
        <v>1756.1</v>
      </c>
      <c r="J69" s="23">
        <v>1766.9</v>
      </c>
      <c r="K69" s="23">
        <v>1755.45</v>
      </c>
      <c r="L69" s="23">
        <v>1770.27</v>
      </c>
      <c r="M69" s="125">
        <f t="shared" si="11"/>
        <v>12100.85</v>
      </c>
      <c r="N69" s="126">
        <f t="shared" si="5"/>
        <v>389.59</v>
      </c>
      <c r="O69" s="23">
        <v>393.6</v>
      </c>
      <c r="P69" s="23">
        <f t="shared" si="8"/>
        <v>12030.0000000001</v>
      </c>
      <c r="Q69" s="23">
        <f t="shared" si="6"/>
        <v>2.91</v>
      </c>
      <c r="R69" s="23">
        <v>2.92</v>
      </c>
      <c r="S69" s="23">
        <f t="shared" si="9"/>
        <v>29.9999999999994</v>
      </c>
      <c r="T69" s="123">
        <f t="shared" si="10"/>
        <v>12000.0000000001</v>
      </c>
      <c r="U69" s="127"/>
      <c r="V69" s="23">
        <v>4.9800000000000004</v>
      </c>
      <c r="W69" s="23">
        <v>33.090000000000003</v>
      </c>
      <c r="X69" s="23"/>
      <c r="Y69" s="23"/>
      <c r="Z69" s="23"/>
      <c r="AA69" s="23"/>
      <c r="AB69" s="123" t="s">
        <v>38</v>
      </c>
    </row>
    <row r="70" spans="1:28">
      <c r="A70" s="97">
        <f t="shared" si="7"/>
        <v>72</v>
      </c>
      <c r="B70" s="113">
        <v>45815</v>
      </c>
      <c r="C70" s="19">
        <v>45815</v>
      </c>
      <c r="D70" s="129">
        <v>0.27083333333333298</v>
      </c>
      <c r="E70" s="130">
        <v>0.79166666666666696</v>
      </c>
      <c r="F70" s="124">
        <v>1723.52</v>
      </c>
      <c r="G70" s="23">
        <v>1728.89</v>
      </c>
      <c r="H70" s="23">
        <v>1712.3</v>
      </c>
      <c r="I70" s="23">
        <v>1795</v>
      </c>
      <c r="J70" s="23">
        <v>1806.28</v>
      </c>
      <c r="K70" s="23">
        <v>1795.51</v>
      </c>
      <c r="L70" s="23">
        <v>1807.99</v>
      </c>
      <c r="M70" s="125">
        <f t="shared" si="11"/>
        <v>12369.49</v>
      </c>
      <c r="N70" s="126">
        <f t="shared" si="5"/>
        <v>393.6</v>
      </c>
      <c r="O70" s="23">
        <v>397.68</v>
      </c>
      <c r="P70" s="23">
        <f t="shared" si="8"/>
        <v>12240</v>
      </c>
      <c r="Q70" s="23">
        <f t="shared" si="6"/>
        <v>2.92</v>
      </c>
      <c r="R70" s="23">
        <v>2.93</v>
      </c>
      <c r="S70" s="23">
        <f t="shared" si="9"/>
        <v>30.0000000000007</v>
      </c>
      <c r="T70" s="123">
        <f t="shared" si="10"/>
        <v>12210</v>
      </c>
      <c r="U70" s="127"/>
      <c r="V70" s="23">
        <v>5.29</v>
      </c>
      <c r="W70" s="23">
        <v>32.799999999999997</v>
      </c>
      <c r="X70" s="23"/>
      <c r="Y70" s="23"/>
      <c r="Z70" s="23"/>
      <c r="AA70" s="23"/>
      <c r="AB70" s="123" t="s">
        <v>38</v>
      </c>
    </row>
    <row r="71" spans="1:28">
      <c r="A71" s="97">
        <f t="shared" si="7"/>
        <v>73</v>
      </c>
      <c r="B71" s="113">
        <v>45816</v>
      </c>
      <c r="C71" s="19">
        <v>45816</v>
      </c>
      <c r="D71" s="129">
        <v>0.28125</v>
      </c>
      <c r="E71" s="130">
        <v>0.79166666666666696</v>
      </c>
      <c r="F71" s="124">
        <v>1572.15</v>
      </c>
      <c r="G71" s="23">
        <v>1575.5</v>
      </c>
      <c r="H71" s="23">
        <v>1564.04</v>
      </c>
      <c r="I71" s="23">
        <v>1634.19</v>
      </c>
      <c r="J71" s="23">
        <v>1641.51</v>
      </c>
      <c r="K71" s="23">
        <v>1633.1</v>
      </c>
      <c r="L71" s="23">
        <v>1640.2</v>
      </c>
      <c r="M71" s="125">
        <f t="shared" si="11"/>
        <v>11260.69</v>
      </c>
      <c r="N71" s="126">
        <f t="shared" si="5"/>
        <v>397.68</v>
      </c>
      <c r="O71" s="23">
        <v>401.43</v>
      </c>
      <c r="P71" s="23">
        <f t="shared" si="8"/>
        <v>11250</v>
      </c>
      <c r="Q71" s="23">
        <f t="shared" si="6"/>
        <v>2.93</v>
      </c>
      <c r="R71" s="23">
        <v>2.94</v>
      </c>
      <c r="S71" s="23">
        <f t="shared" si="9"/>
        <v>29.9999999999994</v>
      </c>
      <c r="T71" s="123">
        <f t="shared" si="10"/>
        <v>11220</v>
      </c>
      <c r="U71" s="127"/>
      <c r="V71" s="23">
        <v>4.92</v>
      </c>
      <c r="W71" s="23">
        <v>32.700000000000003</v>
      </c>
      <c r="X71" s="23"/>
      <c r="Y71" s="23"/>
      <c r="Z71" s="23"/>
      <c r="AA71" s="23"/>
      <c r="AB71" s="123" t="s">
        <v>38</v>
      </c>
    </row>
    <row r="72" spans="1:28">
      <c r="A72" s="97">
        <f t="shared" si="7"/>
        <v>74</v>
      </c>
      <c r="B72" s="113">
        <v>45817</v>
      </c>
      <c r="C72" s="19">
        <v>45817</v>
      </c>
      <c r="D72" s="129">
        <v>0.28125</v>
      </c>
      <c r="E72" s="130">
        <v>0.79166666666666696</v>
      </c>
      <c r="F72" s="124">
        <v>1841.75</v>
      </c>
      <c r="G72" s="23">
        <v>1848.04</v>
      </c>
      <c r="H72" s="23">
        <v>1825.05</v>
      </c>
      <c r="I72" s="23">
        <v>1913.07</v>
      </c>
      <c r="J72" s="23">
        <v>1921.5</v>
      </c>
      <c r="K72" s="23">
        <v>1901.1</v>
      </c>
      <c r="L72" s="23">
        <v>1921.77</v>
      </c>
      <c r="M72" s="125">
        <f t="shared" si="11"/>
        <v>13172.28</v>
      </c>
      <c r="N72" s="126">
        <f t="shared" si="5"/>
        <v>401.43</v>
      </c>
      <c r="O72" s="23">
        <v>405.78</v>
      </c>
      <c r="P72" s="23">
        <f t="shared" si="8"/>
        <v>13049.9999999999</v>
      </c>
      <c r="Q72" s="23">
        <f t="shared" si="6"/>
        <v>2.94</v>
      </c>
      <c r="R72" s="23">
        <v>2.95</v>
      </c>
      <c r="S72" s="23">
        <f t="shared" si="9"/>
        <v>30.0000000000007</v>
      </c>
      <c r="T72" s="123">
        <f t="shared" si="10"/>
        <v>13019.9999999999</v>
      </c>
      <c r="U72" s="127"/>
      <c r="V72" s="23">
        <v>5.52</v>
      </c>
      <c r="W72" s="23">
        <v>32.78</v>
      </c>
      <c r="X72" s="23"/>
      <c r="Y72" s="23"/>
      <c r="Z72" s="23"/>
      <c r="AA72" s="23"/>
      <c r="AB72" s="123" t="s">
        <v>38</v>
      </c>
    </row>
    <row r="73" spans="1:28">
      <c r="A73" s="97">
        <f t="shared" si="7"/>
        <v>75</v>
      </c>
      <c r="B73" s="113">
        <v>45818</v>
      </c>
      <c r="C73" s="19">
        <v>45818</v>
      </c>
      <c r="D73" s="129">
        <v>0.28125</v>
      </c>
      <c r="E73" s="130">
        <v>0.79166666666666696</v>
      </c>
      <c r="F73" s="124">
        <v>1655.1</v>
      </c>
      <c r="G73" s="23">
        <v>1639.21</v>
      </c>
      <c r="H73" s="23">
        <v>1638</v>
      </c>
      <c r="I73" s="23">
        <v>1721.1</v>
      </c>
      <c r="J73" s="23">
        <v>1727.4</v>
      </c>
      <c r="K73" s="23">
        <v>1703.7</v>
      </c>
      <c r="L73" s="23">
        <v>1730.35</v>
      </c>
      <c r="M73" s="125">
        <f t="shared" si="11"/>
        <v>11814.86</v>
      </c>
      <c r="N73" s="126">
        <f t="shared" si="5"/>
        <v>405.78</v>
      </c>
      <c r="O73" s="23">
        <v>409.69</v>
      </c>
      <c r="P73" s="23">
        <f t="shared" si="8"/>
        <v>11730.0000000001</v>
      </c>
      <c r="Q73" s="23">
        <f t="shared" si="6"/>
        <v>2.95</v>
      </c>
      <c r="R73" s="23">
        <v>2.96</v>
      </c>
      <c r="S73" s="23">
        <f t="shared" si="9"/>
        <v>29.9999999999994</v>
      </c>
      <c r="T73" s="123">
        <f t="shared" si="10"/>
        <v>11700.0000000001</v>
      </c>
      <c r="U73" s="127"/>
      <c r="V73" s="23">
        <v>4.71</v>
      </c>
      <c r="W73" s="23">
        <v>32.64</v>
      </c>
      <c r="X73" s="23"/>
      <c r="Y73" s="23"/>
      <c r="Z73" s="23"/>
      <c r="AA73" s="23"/>
      <c r="AB73" s="123" t="s">
        <v>38</v>
      </c>
    </row>
    <row r="74" spans="1:28">
      <c r="A74" s="97">
        <f t="shared" si="7"/>
        <v>76</v>
      </c>
      <c r="B74" s="113">
        <v>45819</v>
      </c>
      <c r="C74" s="19">
        <v>45819</v>
      </c>
      <c r="D74" s="129">
        <v>0.28125</v>
      </c>
      <c r="E74" s="130">
        <v>0.77083333333333304</v>
      </c>
      <c r="F74" s="124">
        <v>1522.52</v>
      </c>
      <c r="G74" s="23">
        <v>1545.01</v>
      </c>
      <c r="H74" s="23">
        <v>1506.61</v>
      </c>
      <c r="I74" s="23">
        <v>1624.11</v>
      </c>
      <c r="J74" s="23">
        <v>1525.79</v>
      </c>
      <c r="K74" s="23">
        <v>1571.75</v>
      </c>
      <c r="L74" s="23">
        <v>1669.5</v>
      </c>
      <c r="M74" s="125">
        <f t="shared" si="11"/>
        <v>10965.29</v>
      </c>
      <c r="N74" s="126">
        <f t="shared" si="5"/>
        <v>409.69</v>
      </c>
      <c r="O74" s="23">
        <v>413.3</v>
      </c>
      <c r="P74" s="23">
        <f t="shared" si="8"/>
        <v>10830</v>
      </c>
      <c r="Q74" s="23">
        <f t="shared" si="6"/>
        <v>2.96</v>
      </c>
      <c r="R74" s="23">
        <v>2.97</v>
      </c>
      <c r="S74" s="23">
        <f t="shared" si="9"/>
        <v>30.0000000000007</v>
      </c>
      <c r="T74" s="123">
        <f t="shared" si="10"/>
        <v>10800</v>
      </c>
      <c r="U74" s="127"/>
      <c r="V74" s="23">
        <v>4.3600000000000003</v>
      </c>
      <c r="W74" s="23">
        <v>32.869999999999997</v>
      </c>
      <c r="X74" s="23"/>
      <c r="Y74" s="23"/>
      <c r="Z74" s="23"/>
      <c r="AA74" s="23"/>
      <c r="AB74" s="123" t="s">
        <v>38</v>
      </c>
    </row>
    <row r="75" spans="1:28">
      <c r="A75" s="97">
        <f t="shared" si="7"/>
        <v>77</v>
      </c>
      <c r="B75" s="113">
        <v>45820</v>
      </c>
      <c r="C75" s="19">
        <v>45820</v>
      </c>
      <c r="D75" s="129">
        <v>0.28125</v>
      </c>
      <c r="E75" s="130">
        <v>0.79166666666666696</v>
      </c>
      <c r="F75" s="124">
        <v>1612.51</v>
      </c>
      <c r="G75" s="23">
        <v>1662.58</v>
      </c>
      <c r="H75" s="23">
        <v>1608.34</v>
      </c>
      <c r="I75" s="23">
        <v>1723.79</v>
      </c>
      <c r="J75" s="23">
        <v>1735.56</v>
      </c>
      <c r="K75" s="23">
        <v>1716.45</v>
      </c>
      <c r="L75" s="23">
        <v>1739.1</v>
      </c>
      <c r="M75" s="125">
        <f t="shared" si="11"/>
        <v>11798.33</v>
      </c>
      <c r="N75" s="126">
        <f t="shared" si="5"/>
        <v>413.3</v>
      </c>
      <c r="O75" s="23">
        <v>417.21</v>
      </c>
      <c r="P75" s="23">
        <f t="shared" si="8"/>
        <v>11729.9999999999</v>
      </c>
      <c r="Q75" s="23">
        <f t="shared" si="6"/>
        <v>2.97</v>
      </c>
      <c r="R75" s="23">
        <v>2.98</v>
      </c>
      <c r="S75" s="23">
        <f t="shared" si="9"/>
        <v>29.9999999999994</v>
      </c>
      <c r="T75" s="123">
        <f t="shared" si="10"/>
        <v>11699.9999999999</v>
      </c>
      <c r="U75" s="127"/>
      <c r="V75" s="23">
        <v>4.9400000000000004</v>
      </c>
      <c r="W75" s="23">
        <v>33.03</v>
      </c>
      <c r="X75" s="23"/>
      <c r="Y75" s="23"/>
      <c r="Z75" s="23"/>
      <c r="AA75" s="23"/>
      <c r="AB75" s="123" t="s">
        <v>38</v>
      </c>
    </row>
    <row r="76" spans="1:28">
      <c r="A76" s="97">
        <f t="shared" si="7"/>
        <v>78</v>
      </c>
      <c r="B76" s="113">
        <v>45821</v>
      </c>
      <c r="C76" s="19">
        <v>45821</v>
      </c>
      <c r="D76" s="129">
        <v>0.28125</v>
      </c>
      <c r="E76" s="130">
        <v>0.79166666666666696</v>
      </c>
      <c r="F76" s="124">
        <v>1163.0899999999999</v>
      </c>
      <c r="G76" s="23">
        <v>1170.5</v>
      </c>
      <c r="H76" s="23">
        <v>1157.83</v>
      </c>
      <c r="I76" s="23">
        <v>1216.78</v>
      </c>
      <c r="J76" s="23">
        <v>1221.8499999999999</v>
      </c>
      <c r="K76" s="23">
        <v>1227.95</v>
      </c>
      <c r="L76" s="23">
        <v>1227.9000000000001</v>
      </c>
      <c r="M76" s="125">
        <f t="shared" si="11"/>
        <v>8385.9</v>
      </c>
      <c r="N76" s="126">
        <f t="shared" si="5"/>
        <v>417.21</v>
      </c>
      <c r="O76" s="23">
        <v>420.01</v>
      </c>
      <c r="P76" s="23">
        <f t="shared" si="8"/>
        <v>8400.0000000000291</v>
      </c>
      <c r="Q76" s="23">
        <f t="shared" si="6"/>
        <v>2.98</v>
      </c>
      <c r="R76" s="23">
        <v>2.99</v>
      </c>
      <c r="S76" s="23">
        <f t="shared" si="9"/>
        <v>30.0000000000007</v>
      </c>
      <c r="T76" s="123">
        <f t="shared" si="10"/>
        <v>8370.0000000000291</v>
      </c>
      <c r="U76" s="127"/>
      <c r="V76" s="23">
        <v>3.59</v>
      </c>
      <c r="W76" s="23">
        <v>31.75</v>
      </c>
      <c r="X76" s="23"/>
      <c r="Y76" s="23"/>
      <c r="Z76" s="23"/>
      <c r="AA76" s="23"/>
      <c r="AB76" s="123" t="s">
        <v>38</v>
      </c>
    </row>
    <row r="77" spans="1:28">
      <c r="A77" s="97">
        <f t="shared" si="7"/>
        <v>79</v>
      </c>
      <c r="B77" s="113">
        <v>45822</v>
      </c>
      <c r="C77" s="19">
        <v>45822</v>
      </c>
      <c r="D77" s="129">
        <v>0.28125</v>
      </c>
      <c r="E77" s="130">
        <v>0.78125</v>
      </c>
      <c r="F77" s="124">
        <v>1551.69</v>
      </c>
      <c r="G77" s="23">
        <v>1556.2</v>
      </c>
      <c r="H77" s="23">
        <v>1539.25</v>
      </c>
      <c r="I77" s="23">
        <v>1613.51</v>
      </c>
      <c r="J77" s="23">
        <v>1617.85</v>
      </c>
      <c r="K77" s="23">
        <v>1616.65</v>
      </c>
      <c r="L77" s="23">
        <v>1622.12</v>
      </c>
      <c r="M77" s="125">
        <f t="shared" si="11"/>
        <v>11117.27</v>
      </c>
      <c r="N77" s="126">
        <f t="shared" ref="N77:N140" si="12">O76</f>
        <v>420.01</v>
      </c>
      <c r="O77" s="23">
        <v>423.72</v>
      </c>
      <c r="P77" s="23">
        <f t="shared" si="8"/>
        <v>11130.0000000001</v>
      </c>
      <c r="Q77" s="23">
        <f t="shared" ref="Q77:Q140" si="13">R76</f>
        <v>2.99</v>
      </c>
      <c r="R77" s="23">
        <v>3</v>
      </c>
      <c r="S77" s="23">
        <f t="shared" si="9"/>
        <v>29.9999999999994</v>
      </c>
      <c r="T77" s="123">
        <f t="shared" si="10"/>
        <v>11100.0000000001</v>
      </c>
      <c r="U77" s="127"/>
      <c r="V77" s="23">
        <v>4.8</v>
      </c>
      <c r="W77" s="23">
        <v>32.78</v>
      </c>
      <c r="X77" s="23"/>
      <c r="Y77" s="23"/>
      <c r="Z77" s="23"/>
      <c r="AA77" s="23"/>
      <c r="AB77" s="123" t="s">
        <v>38</v>
      </c>
    </row>
    <row r="78" spans="1:28">
      <c r="A78" s="97">
        <f t="shared" si="7"/>
        <v>80</v>
      </c>
      <c r="B78" s="113">
        <v>45823</v>
      </c>
      <c r="C78" s="19">
        <v>45823</v>
      </c>
      <c r="D78" s="129">
        <v>0.28125</v>
      </c>
      <c r="E78" s="130">
        <v>0.77083333333333304</v>
      </c>
      <c r="F78" s="124">
        <v>1068.96</v>
      </c>
      <c r="G78" s="23">
        <v>1073.95</v>
      </c>
      <c r="H78" s="23">
        <v>1060.57</v>
      </c>
      <c r="I78" s="23">
        <v>1115.8499999999999</v>
      </c>
      <c r="J78" s="23">
        <v>1118.5999999999999</v>
      </c>
      <c r="K78" s="23">
        <v>1119.55</v>
      </c>
      <c r="L78" s="23">
        <v>1122.5</v>
      </c>
      <c r="M78" s="125">
        <f t="shared" si="11"/>
        <v>7679.98</v>
      </c>
      <c r="N78" s="126">
        <f t="shared" si="12"/>
        <v>423.72</v>
      </c>
      <c r="O78" s="23">
        <v>426.28</v>
      </c>
      <c r="P78" s="23">
        <f t="shared" si="8"/>
        <v>7679.9999999998399</v>
      </c>
      <c r="Q78" s="23">
        <f t="shared" si="13"/>
        <v>3</v>
      </c>
      <c r="R78" s="23">
        <v>3.01</v>
      </c>
      <c r="S78" s="23">
        <f t="shared" si="9"/>
        <v>29.9999999999994</v>
      </c>
      <c r="T78" s="123">
        <f t="shared" si="10"/>
        <v>7649.9999999998399</v>
      </c>
      <c r="U78" s="127"/>
      <c r="V78" s="23">
        <v>4.5599999999999996</v>
      </c>
      <c r="W78" s="23">
        <v>32.79</v>
      </c>
      <c r="X78" s="23"/>
      <c r="Y78" s="23"/>
      <c r="Z78" s="23"/>
      <c r="AA78" s="23"/>
      <c r="AB78" s="123" t="s">
        <v>41</v>
      </c>
    </row>
    <row r="79" spans="1:28">
      <c r="A79" s="97">
        <f t="shared" si="7"/>
        <v>81</v>
      </c>
      <c r="B79" s="113">
        <v>45824</v>
      </c>
      <c r="C79" s="19">
        <v>45824</v>
      </c>
      <c r="D79" s="129">
        <v>0.3125</v>
      </c>
      <c r="E79" s="130">
        <v>0.70833333333333304</v>
      </c>
      <c r="F79" s="124">
        <v>196.42</v>
      </c>
      <c r="G79" s="23">
        <v>190.12</v>
      </c>
      <c r="H79" s="23">
        <v>188.27</v>
      </c>
      <c r="I79" s="23">
        <v>211.23</v>
      </c>
      <c r="J79" s="23">
        <v>219.59</v>
      </c>
      <c r="K79" s="23">
        <v>223.39</v>
      </c>
      <c r="L79" s="23">
        <v>225.27</v>
      </c>
      <c r="M79" s="125">
        <f t="shared" si="11"/>
        <v>1454.29</v>
      </c>
      <c r="N79" s="126">
        <f t="shared" si="12"/>
        <v>426.28</v>
      </c>
      <c r="O79" s="23">
        <v>426.71</v>
      </c>
      <c r="P79" s="23">
        <f t="shared" si="8"/>
        <v>1290.00000000002</v>
      </c>
      <c r="Q79" s="23">
        <f t="shared" si="13"/>
        <v>3.01</v>
      </c>
      <c r="R79" s="23">
        <v>3.02</v>
      </c>
      <c r="S79" s="23">
        <f t="shared" si="9"/>
        <v>30.0000000000007</v>
      </c>
      <c r="T79" s="123">
        <f t="shared" si="10"/>
        <v>1260.00000000002</v>
      </c>
      <c r="U79" s="127"/>
      <c r="V79" s="23">
        <v>0.46</v>
      </c>
      <c r="W79" s="23">
        <v>25.87</v>
      </c>
      <c r="X79" s="23"/>
      <c r="Y79" s="23"/>
      <c r="Z79" s="23"/>
      <c r="AA79" s="23"/>
      <c r="AB79" s="123" t="s">
        <v>41</v>
      </c>
    </row>
    <row r="80" spans="1:28">
      <c r="A80" s="97">
        <f t="shared" si="7"/>
        <v>82</v>
      </c>
      <c r="B80" s="113">
        <v>45825</v>
      </c>
      <c r="C80" s="19">
        <v>45825</v>
      </c>
      <c r="D80" s="129">
        <v>0.29166666666666702</v>
      </c>
      <c r="E80" s="130">
        <v>0.77083333333333304</v>
      </c>
      <c r="F80" s="124">
        <v>560.88</v>
      </c>
      <c r="G80" s="23">
        <v>564.12</v>
      </c>
      <c r="H80" s="23">
        <v>556.86</v>
      </c>
      <c r="I80" s="23">
        <v>581.38</v>
      </c>
      <c r="J80" s="23">
        <v>579.14</v>
      </c>
      <c r="K80" s="23">
        <v>589.91999999999996</v>
      </c>
      <c r="L80" s="23">
        <v>588.64</v>
      </c>
      <c r="M80" s="125">
        <f t="shared" si="11"/>
        <v>4020.94</v>
      </c>
      <c r="N80" s="126">
        <f t="shared" si="12"/>
        <v>426.71</v>
      </c>
      <c r="O80" s="23">
        <v>428.08</v>
      </c>
      <c r="P80" s="23">
        <f t="shared" si="8"/>
        <v>4110.00000000001</v>
      </c>
      <c r="Q80" s="23">
        <f t="shared" si="13"/>
        <v>3.02</v>
      </c>
      <c r="R80" s="23">
        <v>3.03</v>
      </c>
      <c r="S80" s="23">
        <f t="shared" si="9"/>
        <v>29.9999999999994</v>
      </c>
      <c r="T80" s="123">
        <f t="shared" si="10"/>
        <v>4080.00000000001</v>
      </c>
      <c r="U80" s="127"/>
      <c r="V80" s="23">
        <v>1.52</v>
      </c>
      <c r="W80" s="23">
        <v>26.83</v>
      </c>
      <c r="X80" s="23"/>
      <c r="Y80" s="23"/>
      <c r="Z80" s="23"/>
      <c r="AA80" s="23"/>
      <c r="AB80" s="123" t="s">
        <v>41</v>
      </c>
    </row>
    <row r="81" spans="1:28">
      <c r="A81" s="97">
        <f t="shared" si="7"/>
        <v>83</v>
      </c>
      <c r="B81" s="113">
        <v>45826</v>
      </c>
      <c r="C81" s="19">
        <v>45826</v>
      </c>
      <c r="D81" s="129">
        <v>0.29166666666666702</v>
      </c>
      <c r="E81" s="130">
        <v>0.78125</v>
      </c>
      <c r="F81" s="124">
        <v>447.86</v>
      </c>
      <c r="G81" s="23">
        <v>444.89</v>
      </c>
      <c r="H81" s="23">
        <v>443.46</v>
      </c>
      <c r="I81" s="23">
        <v>455.36</v>
      </c>
      <c r="J81" s="23">
        <v>449.34</v>
      </c>
      <c r="K81" s="23">
        <v>452.13</v>
      </c>
      <c r="L81" s="23">
        <v>469.07</v>
      </c>
      <c r="M81" s="125">
        <f t="shared" si="11"/>
        <v>3162.11</v>
      </c>
      <c r="N81" s="126">
        <f t="shared" si="12"/>
        <v>428.08</v>
      </c>
      <c r="O81" s="23">
        <v>429.1</v>
      </c>
      <c r="P81" s="23">
        <f t="shared" si="8"/>
        <v>3060.0000000001201</v>
      </c>
      <c r="Q81" s="23">
        <f t="shared" si="13"/>
        <v>3.03</v>
      </c>
      <c r="R81" s="23">
        <v>3.04</v>
      </c>
      <c r="S81" s="23">
        <f t="shared" si="9"/>
        <v>30.0000000000007</v>
      </c>
      <c r="T81" s="123">
        <f t="shared" si="10"/>
        <v>3030.0000000001201</v>
      </c>
      <c r="U81" s="127"/>
      <c r="V81" s="23">
        <v>1.22</v>
      </c>
      <c r="W81" s="23">
        <v>27.47</v>
      </c>
      <c r="X81" s="23"/>
      <c r="Y81" s="23"/>
      <c r="Z81" s="23"/>
      <c r="AA81" s="23"/>
      <c r="AB81" s="123" t="s">
        <v>41</v>
      </c>
    </row>
    <row r="82" spans="1:28">
      <c r="A82" s="97">
        <f t="shared" si="7"/>
        <v>84</v>
      </c>
      <c r="B82" s="113">
        <v>45827</v>
      </c>
      <c r="C82" s="19">
        <v>45827</v>
      </c>
      <c r="D82" s="129">
        <v>0.28125</v>
      </c>
      <c r="E82" s="130">
        <v>0.79166666666666696</v>
      </c>
      <c r="F82" s="124">
        <v>1243.2</v>
      </c>
      <c r="G82" s="23">
        <v>1244.5999999999999</v>
      </c>
      <c r="H82" s="23">
        <v>1235.55</v>
      </c>
      <c r="I82" s="23">
        <v>1294.33</v>
      </c>
      <c r="J82" s="23">
        <v>1296.3599999999999</v>
      </c>
      <c r="K82" s="23">
        <v>1302.53</v>
      </c>
      <c r="L82" s="23">
        <v>1301.48</v>
      </c>
      <c r="M82" s="125">
        <f t="shared" si="11"/>
        <v>8918.0499999999993</v>
      </c>
      <c r="N82" s="126">
        <f t="shared" si="12"/>
        <v>429.1</v>
      </c>
      <c r="O82" s="23">
        <v>432.06</v>
      </c>
      <c r="P82" s="23">
        <f t="shared" si="8"/>
        <v>8879.99999999994</v>
      </c>
      <c r="Q82" s="23">
        <f t="shared" si="13"/>
        <v>3.04</v>
      </c>
      <c r="R82" s="23">
        <v>3.06</v>
      </c>
      <c r="S82" s="23">
        <f t="shared" si="9"/>
        <v>60.000000000000099</v>
      </c>
      <c r="T82" s="123">
        <f t="shared" si="10"/>
        <v>8819.99999999994</v>
      </c>
      <c r="U82" s="127"/>
      <c r="V82" s="23">
        <v>3.34</v>
      </c>
      <c r="W82" s="23">
        <v>29.76</v>
      </c>
      <c r="X82" s="23"/>
      <c r="Y82" s="23"/>
      <c r="Z82" s="23"/>
      <c r="AA82" s="23"/>
      <c r="AB82" s="123" t="s">
        <v>40</v>
      </c>
    </row>
    <row r="83" spans="1:28">
      <c r="A83" s="97">
        <f t="shared" si="7"/>
        <v>85</v>
      </c>
      <c r="B83" s="113">
        <v>45828</v>
      </c>
      <c r="C83" s="19">
        <v>45828</v>
      </c>
      <c r="D83" s="129">
        <v>0.28125</v>
      </c>
      <c r="E83" s="130">
        <v>0.80208333333333304</v>
      </c>
      <c r="F83" s="124">
        <v>1348.55</v>
      </c>
      <c r="G83" s="23">
        <v>1350.91</v>
      </c>
      <c r="H83" s="23">
        <v>1340.7</v>
      </c>
      <c r="I83" s="23">
        <v>1400.12</v>
      </c>
      <c r="J83" s="23">
        <v>1405.35</v>
      </c>
      <c r="K83" s="23">
        <v>1409.51</v>
      </c>
      <c r="L83" s="23">
        <v>1410.76</v>
      </c>
      <c r="M83" s="125">
        <f t="shared" si="11"/>
        <v>9665.9</v>
      </c>
      <c r="N83" s="126">
        <f t="shared" si="12"/>
        <v>432.06</v>
      </c>
      <c r="O83" s="23">
        <v>435.28</v>
      </c>
      <c r="P83" s="23">
        <f t="shared" si="8"/>
        <v>9659.9999999999109</v>
      </c>
      <c r="Q83" s="23">
        <f t="shared" si="13"/>
        <v>3.06</v>
      </c>
      <c r="R83" s="23">
        <v>3.07</v>
      </c>
      <c r="S83" s="23">
        <f t="shared" si="9"/>
        <v>29.9999999999994</v>
      </c>
      <c r="T83" s="123">
        <f t="shared" si="10"/>
        <v>9629.9999999999109</v>
      </c>
      <c r="U83" s="127"/>
      <c r="V83" s="23">
        <v>3.87</v>
      </c>
      <c r="W83" s="23">
        <v>30.66</v>
      </c>
      <c r="X83" s="23"/>
      <c r="Y83" s="23"/>
      <c r="Z83" s="23"/>
      <c r="AA83" s="23"/>
      <c r="AB83" s="123" t="s">
        <v>40</v>
      </c>
    </row>
    <row r="84" spans="1:28">
      <c r="A84" s="97">
        <f t="shared" si="7"/>
        <v>86</v>
      </c>
      <c r="B84" s="113">
        <v>45829</v>
      </c>
      <c r="C84" s="19">
        <v>45829</v>
      </c>
      <c r="D84" s="129">
        <v>0.30208333333333298</v>
      </c>
      <c r="E84" s="130">
        <v>0.79166666666666696</v>
      </c>
      <c r="F84" s="124">
        <v>906.88</v>
      </c>
      <c r="G84" s="23">
        <v>901.49</v>
      </c>
      <c r="H84" s="23">
        <v>898.57</v>
      </c>
      <c r="I84" s="23">
        <v>945.33</v>
      </c>
      <c r="J84" s="23">
        <v>949.51</v>
      </c>
      <c r="K84" s="23">
        <v>954.67</v>
      </c>
      <c r="L84" s="23">
        <v>955.53</v>
      </c>
      <c r="M84" s="125">
        <f t="shared" si="11"/>
        <v>6511.98</v>
      </c>
      <c r="N84" s="126">
        <f t="shared" si="12"/>
        <v>435.28</v>
      </c>
      <c r="O84" s="23">
        <v>437.48</v>
      </c>
      <c r="P84" s="23">
        <f t="shared" si="8"/>
        <v>6600.0000000001401</v>
      </c>
      <c r="Q84" s="23">
        <f t="shared" si="13"/>
        <v>3.07</v>
      </c>
      <c r="R84" s="23">
        <v>3.08</v>
      </c>
      <c r="S84" s="23">
        <f t="shared" si="9"/>
        <v>30.0000000000007</v>
      </c>
      <c r="T84" s="123">
        <f t="shared" si="10"/>
        <v>6570.0000000001401</v>
      </c>
      <c r="U84" s="127"/>
      <c r="V84" s="23">
        <v>2.64</v>
      </c>
      <c r="W84" s="23">
        <v>29.97</v>
      </c>
      <c r="X84" s="23"/>
      <c r="Y84" s="23"/>
      <c r="Z84" s="23"/>
      <c r="AA84" s="23"/>
      <c r="AB84" s="123" t="s">
        <v>40</v>
      </c>
    </row>
    <row r="85" spans="1:28">
      <c r="A85" s="97">
        <f t="shared" si="7"/>
        <v>87</v>
      </c>
      <c r="B85" s="113">
        <v>45830</v>
      </c>
      <c r="C85" s="19">
        <v>45830</v>
      </c>
      <c r="D85" s="129">
        <v>0.30208333333333298</v>
      </c>
      <c r="E85" s="130">
        <v>0.70833333333333304</v>
      </c>
      <c r="F85" s="124">
        <v>381.52</v>
      </c>
      <c r="G85" s="23">
        <v>379.89</v>
      </c>
      <c r="H85" s="23">
        <v>378.66</v>
      </c>
      <c r="I85" s="23">
        <v>400.85</v>
      </c>
      <c r="J85" s="23">
        <v>399.79</v>
      </c>
      <c r="K85" s="23">
        <v>402.33</v>
      </c>
      <c r="L85" s="23">
        <v>401.04</v>
      </c>
      <c r="M85" s="125">
        <f t="shared" si="11"/>
        <v>2744.08</v>
      </c>
      <c r="N85" s="126">
        <f t="shared" si="12"/>
        <v>437.48</v>
      </c>
      <c r="O85" s="23">
        <v>438.39</v>
      </c>
      <c r="P85" s="23">
        <f t="shared" si="8"/>
        <v>2729.9999999999</v>
      </c>
      <c r="Q85" s="23">
        <f t="shared" si="13"/>
        <v>3.08</v>
      </c>
      <c r="R85" s="23">
        <v>3.09</v>
      </c>
      <c r="S85" s="23">
        <f t="shared" si="9"/>
        <v>29.9999999999994</v>
      </c>
      <c r="T85" s="123">
        <f t="shared" si="10"/>
        <v>2699.9999999999</v>
      </c>
      <c r="U85" s="127"/>
      <c r="V85" s="23">
        <v>0.78</v>
      </c>
      <c r="W85" s="23">
        <v>25.8</v>
      </c>
      <c r="X85" s="23"/>
      <c r="Y85" s="23"/>
      <c r="Z85" s="23"/>
      <c r="AA85" s="23"/>
      <c r="AB85" s="123" t="s">
        <v>41</v>
      </c>
    </row>
    <row r="86" spans="1:28">
      <c r="A86" s="97">
        <f t="shared" si="7"/>
        <v>88</v>
      </c>
      <c r="B86" s="113">
        <v>45831</v>
      </c>
      <c r="C86" s="19">
        <v>45831</v>
      </c>
      <c r="D86" s="129">
        <v>0.29166666666666702</v>
      </c>
      <c r="E86" s="130">
        <v>0.77083333333333304</v>
      </c>
      <c r="F86" s="124">
        <v>560.30999999999995</v>
      </c>
      <c r="G86" s="23">
        <v>0</v>
      </c>
      <c r="H86" s="23">
        <v>681.68</v>
      </c>
      <c r="I86" s="23">
        <v>716.84</v>
      </c>
      <c r="J86" s="23">
        <v>718.93</v>
      </c>
      <c r="K86" s="23">
        <v>723.61</v>
      </c>
      <c r="L86" s="23">
        <v>721.39</v>
      </c>
      <c r="M86" s="125">
        <f t="shared" si="11"/>
        <v>4122.76</v>
      </c>
      <c r="N86" s="126">
        <f t="shared" si="12"/>
        <v>438.39</v>
      </c>
      <c r="O86" s="23">
        <v>439.75</v>
      </c>
      <c r="P86" s="23">
        <f t="shared" si="8"/>
        <v>4080.00000000004</v>
      </c>
      <c r="Q86" s="23">
        <f t="shared" si="13"/>
        <v>3.09</v>
      </c>
      <c r="R86" s="23">
        <v>3.1</v>
      </c>
      <c r="S86" s="23">
        <f t="shared" si="9"/>
        <v>30.0000000000007</v>
      </c>
      <c r="T86" s="123">
        <f t="shared" si="10"/>
        <v>4050.00000000004</v>
      </c>
      <c r="U86" s="127"/>
      <c r="V86" s="23">
        <v>1.6</v>
      </c>
      <c r="W86" s="23">
        <v>28.25</v>
      </c>
      <c r="X86" s="23"/>
      <c r="Y86" s="23"/>
      <c r="Z86" s="23"/>
      <c r="AA86" s="23"/>
      <c r="AB86" s="123" t="s">
        <v>41</v>
      </c>
    </row>
    <row r="87" spans="1:28">
      <c r="A87" s="97">
        <f t="shared" si="7"/>
        <v>89</v>
      </c>
      <c r="B87" s="113">
        <v>45832</v>
      </c>
      <c r="C87" s="19">
        <v>45832</v>
      </c>
      <c r="D87" s="129">
        <v>0.29166666666666702</v>
      </c>
      <c r="E87" s="130">
        <v>0.78125</v>
      </c>
      <c r="F87" s="124">
        <v>871.13</v>
      </c>
      <c r="G87" s="23">
        <v>0</v>
      </c>
      <c r="H87" s="23">
        <v>863.45</v>
      </c>
      <c r="I87" s="23">
        <v>907.98</v>
      </c>
      <c r="J87" s="23">
        <v>907.3</v>
      </c>
      <c r="K87" s="23">
        <v>849.34</v>
      </c>
      <c r="L87" s="23">
        <v>914.75</v>
      </c>
      <c r="M87" s="125">
        <f t="shared" si="11"/>
        <v>5313.95</v>
      </c>
      <c r="N87" s="126">
        <f t="shared" si="12"/>
        <v>439.75</v>
      </c>
      <c r="O87" s="23">
        <v>441.52</v>
      </c>
      <c r="P87" s="23">
        <f t="shared" si="8"/>
        <v>5309.99999999995</v>
      </c>
      <c r="Q87" s="23">
        <f t="shared" si="13"/>
        <v>3.1</v>
      </c>
      <c r="R87" s="23">
        <v>3.11</v>
      </c>
      <c r="S87" s="23">
        <f t="shared" si="9"/>
        <v>29.9999999999994</v>
      </c>
      <c r="T87" s="123">
        <f t="shared" si="10"/>
        <v>5279.99999999995</v>
      </c>
      <c r="U87" s="127"/>
      <c r="V87" s="23">
        <v>2.52</v>
      </c>
      <c r="W87" s="23">
        <v>29.02</v>
      </c>
      <c r="X87" s="23"/>
      <c r="Y87" s="23"/>
      <c r="Z87" s="23"/>
      <c r="AA87" s="23"/>
      <c r="AB87" s="123" t="s">
        <v>40</v>
      </c>
    </row>
    <row r="88" spans="1:28">
      <c r="A88" s="97">
        <f t="shared" si="7"/>
        <v>90</v>
      </c>
      <c r="B88" s="113">
        <v>45833</v>
      </c>
      <c r="C88" s="19">
        <v>45833</v>
      </c>
      <c r="D88" s="129">
        <v>0.3125</v>
      </c>
      <c r="E88" s="130">
        <v>0.77083333333333304</v>
      </c>
      <c r="F88" s="124">
        <v>600.75</v>
      </c>
      <c r="G88" s="23">
        <v>0</v>
      </c>
      <c r="H88" s="23">
        <v>593.33000000000004</v>
      </c>
      <c r="I88" s="23">
        <v>624.77</v>
      </c>
      <c r="J88" s="23">
        <v>623.11</v>
      </c>
      <c r="K88" s="23">
        <v>629.08000000000004</v>
      </c>
      <c r="L88" s="23">
        <v>626.77</v>
      </c>
      <c r="M88" s="125">
        <f t="shared" si="11"/>
        <v>3697.81</v>
      </c>
      <c r="N88" s="126">
        <f t="shared" si="12"/>
        <v>441.52</v>
      </c>
      <c r="O88" s="23">
        <v>442.76</v>
      </c>
      <c r="P88" s="23">
        <f t="shared" si="8"/>
        <v>3720.00000000003</v>
      </c>
      <c r="Q88" s="23">
        <f t="shared" si="13"/>
        <v>3.11</v>
      </c>
      <c r="R88" s="23">
        <v>3.13</v>
      </c>
      <c r="S88" s="23">
        <f t="shared" si="9"/>
        <v>60.000000000000099</v>
      </c>
      <c r="T88" s="123">
        <f t="shared" si="10"/>
        <v>3660.00000000003</v>
      </c>
      <c r="U88" s="127"/>
      <c r="V88" s="23">
        <v>1.68</v>
      </c>
      <c r="W88" s="23">
        <v>26.75</v>
      </c>
      <c r="X88" s="23"/>
      <c r="Y88" s="23"/>
      <c r="Z88" s="23"/>
      <c r="AA88" s="23"/>
      <c r="AB88" s="123" t="s">
        <v>41</v>
      </c>
    </row>
    <row r="89" spans="1:28">
      <c r="A89" s="97">
        <f t="shared" si="7"/>
        <v>91</v>
      </c>
      <c r="B89" s="113">
        <v>45834</v>
      </c>
      <c r="C89" s="19">
        <v>45834</v>
      </c>
      <c r="D89" s="129">
        <v>0.29166666666666702</v>
      </c>
      <c r="E89" s="130">
        <v>0.76041666666666696</v>
      </c>
      <c r="F89" s="124">
        <v>199.68</v>
      </c>
      <c r="G89" s="23">
        <v>0</v>
      </c>
      <c r="H89" s="23">
        <v>327.73</v>
      </c>
      <c r="I89" s="23">
        <v>348.39</v>
      </c>
      <c r="J89" s="23">
        <v>338.48</v>
      </c>
      <c r="K89" s="23">
        <v>348.36</v>
      </c>
      <c r="L89" s="23">
        <v>347.03</v>
      </c>
      <c r="M89" s="125">
        <f t="shared" si="11"/>
        <v>1909.67</v>
      </c>
      <c r="N89" s="126">
        <f t="shared" si="12"/>
        <v>442.76</v>
      </c>
      <c r="O89" s="23">
        <v>443.39</v>
      </c>
      <c r="P89" s="23">
        <f t="shared" si="8"/>
        <v>1889.99999999999</v>
      </c>
      <c r="Q89" s="23">
        <f t="shared" si="13"/>
        <v>3.13</v>
      </c>
      <c r="R89" s="23">
        <v>3.14</v>
      </c>
      <c r="S89" s="23">
        <f t="shared" si="9"/>
        <v>30.0000000000007</v>
      </c>
      <c r="T89" s="123">
        <f t="shared" si="10"/>
        <v>1859.99999999999</v>
      </c>
      <c r="U89" s="127"/>
      <c r="V89" s="23">
        <v>0.71</v>
      </c>
      <c r="W89" s="23">
        <v>26.1</v>
      </c>
      <c r="X89" s="23"/>
      <c r="Y89" s="23"/>
      <c r="Z89" s="23"/>
      <c r="AA89" s="23"/>
      <c r="AB89" s="123" t="s">
        <v>41</v>
      </c>
    </row>
    <row r="90" spans="1:28">
      <c r="A90" s="97">
        <f t="shared" si="7"/>
        <v>92</v>
      </c>
      <c r="B90" s="113">
        <v>45835</v>
      </c>
      <c r="C90" s="19">
        <v>45835</v>
      </c>
      <c r="D90" s="129">
        <v>0.32291666666666702</v>
      </c>
      <c r="E90" s="130">
        <v>0.78125</v>
      </c>
      <c r="F90" s="124">
        <v>579.54999999999995</v>
      </c>
      <c r="G90" s="23">
        <v>0</v>
      </c>
      <c r="H90" s="23">
        <v>582.09</v>
      </c>
      <c r="I90" s="23">
        <v>617.14</v>
      </c>
      <c r="J90" s="23">
        <v>615.75</v>
      </c>
      <c r="K90" s="23">
        <v>618.91999999999996</v>
      </c>
      <c r="L90" s="23">
        <v>618.11</v>
      </c>
      <c r="M90" s="125">
        <f t="shared" si="11"/>
        <v>3631.56</v>
      </c>
      <c r="N90" s="126">
        <f t="shared" si="12"/>
        <v>443.39</v>
      </c>
      <c r="O90" s="23">
        <v>444.59</v>
      </c>
      <c r="P90" s="23">
        <f t="shared" si="8"/>
        <v>3599.99999999997</v>
      </c>
      <c r="Q90" s="23">
        <f t="shared" si="13"/>
        <v>3.14</v>
      </c>
      <c r="R90" s="23">
        <v>3.15</v>
      </c>
      <c r="S90" s="23">
        <f t="shared" si="9"/>
        <v>29.9999999999994</v>
      </c>
      <c r="T90" s="123">
        <f t="shared" si="10"/>
        <v>3569.99999999997</v>
      </c>
      <c r="U90" s="127"/>
      <c r="V90" s="23">
        <v>1.01</v>
      </c>
      <c r="W90" s="23">
        <v>25.93</v>
      </c>
      <c r="X90" s="23"/>
      <c r="Y90" s="23"/>
      <c r="Z90" s="23"/>
      <c r="AA90" s="23"/>
      <c r="AB90" s="123" t="s">
        <v>41</v>
      </c>
    </row>
    <row r="91" spans="1:28">
      <c r="A91" s="97">
        <f t="shared" si="7"/>
        <v>93</v>
      </c>
      <c r="B91" s="113">
        <v>45836</v>
      </c>
      <c r="C91" s="19">
        <v>45836</v>
      </c>
      <c r="D91" s="129">
        <v>0.29166666666666702</v>
      </c>
      <c r="E91" s="130">
        <v>0.77083333333333304</v>
      </c>
      <c r="F91" s="124">
        <v>1027.8499999999999</v>
      </c>
      <c r="G91" s="23">
        <v>21.1</v>
      </c>
      <c r="H91" s="23">
        <v>1018.76</v>
      </c>
      <c r="I91" s="23">
        <v>1066.32</v>
      </c>
      <c r="J91" s="23">
        <v>1067.19</v>
      </c>
      <c r="K91" s="23">
        <v>1074.3399999999999</v>
      </c>
      <c r="L91" s="23">
        <v>1072.8699999999999</v>
      </c>
      <c r="M91" s="125">
        <f t="shared" si="11"/>
        <v>6348.43</v>
      </c>
      <c r="N91" s="126">
        <f t="shared" si="12"/>
        <v>444.59</v>
      </c>
      <c r="O91" s="23">
        <v>446.69</v>
      </c>
      <c r="P91" s="23">
        <f t="shared" si="8"/>
        <v>6300.00000000007</v>
      </c>
      <c r="Q91" s="23">
        <f t="shared" si="13"/>
        <v>3.15</v>
      </c>
      <c r="R91" s="23">
        <v>3.16</v>
      </c>
      <c r="S91" s="23">
        <f t="shared" si="9"/>
        <v>30.0000000000007</v>
      </c>
      <c r="T91" s="123">
        <f t="shared" si="10"/>
        <v>6270.00000000007</v>
      </c>
      <c r="U91" s="127"/>
      <c r="V91" s="23">
        <v>2.29</v>
      </c>
      <c r="W91" s="23">
        <v>27.33</v>
      </c>
      <c r="X91" s="23"/>
      <c r="Y91" s="23"/>
      <c r="Z91" s="23"/>
      <c r="AA91" s="23"/>
      <c r="AB91" s="123" t="s">
        <v>41</v>
      </c>
    </row>
    <row r="92" spans="1:28">
      <c r="A92" s="97">
        <f t="shared" si="7"/>
        <v>94</v>
      </c>
      <c r="B92" s="113">
        <v>45837</v>
      </c>
      <c r="C92" s="19">
        <v>45837</v>
      </c>
      <c r="D92" s="129">
        <v>0.28125</v>
      </c>
      <c r="E92" s="130">
        <v>0.77083333333333304</v>
      </c>
      <c r="F92" s="124">
        <v>1332.59</v>
      </c>
      <c r="G92" s="23">
        <v>1324</v>
      </c>
      <c r="H92" s="23">
        <v>1319.57</v>
      </c>
      <c r="I92" s="23">
        <v>1382.49</v>
      </c>
      <c r="J92" s="23">
        <v>1375.89</v>
      </c>
      <c r="K92" s="23">
        <v>1379.6</v>
      </c>
      <c r="L92" s="23">
        <v>1379.64</v>
      </c>
      <c r="M92" s="125">
        <f t="shared" si="11"/>
        <v>9493.7800000000007</v>
      </c>
      <c r="N92" s="126">
        <f t="shared" si="12"/>
        <v>446.69</v>
      </c>
      <c r="O92" s="23">
        <v>449.84</v>
      </c>
      <c r="P92" s="23">
        <f t="shared" si="8"/>
        <v>9449.9999999999309</v>
      </c>
      <c r="Q92" s="23">
        <f t="shared" si="13"/>
        <v>3.16</v>
      </c>
      <c r="R92" s="23">
        <v>3.17</v>
      </c>
      <c r="S92" s="23">
        <f t="shared" si="9"/>
        <v>29.9999999999994</v>
      </c>
      <c r="T92" s="123">
        <f t="shared" si="10"/>
        <v>9419.9999999999309</v>
      </c>
      <c r="U92" s="127"/>
      <c r="V92" s="23">
        <v>3.61</v>
      </c>
      <c r="W92" s="23">
        <v>29.25</v>
      </c>
      <c r="X92" s="23"/>
      <c r="Y92" s="23"/>
      <c r="Z92" s="23"/>
      <c r="AA92" s="23"/>
      <c r="AB92" s="123" t="s">
        <v>40</v>
      </c>
    </row>
    <row r="93" spans="1:28">
      <c r="A93" s="97">
        <f t="shared" si="7"/>
        <v>95</v>
      </c>
      <c r="B93" s="113">
        <v>45838</v>
      </c>
      <c r="C93" s="19">
        <v>45838</v>
      </c>
      <c r="D93" s="129">
        <v>0.28125</v>
      </c>
      <c r="E93" s="130">
        <v>0.625</v>
      </c>
      <c r="F93" s="124">
        <v>483.3</v>
      </c>
      <c r="G93" s="23">
        <v>487.01</v>
      </c>
      <c r="H93" s="23">
        <v>483.39</v>
      </c>
      <c r="I93" s="23">
        <v>509.68</v>
      </c>
      <c r="J93" s="23">
        <v>509.04</v>
      </c>
      <c r="K93" s="23">
        <v>511.87</v>
      </c>
      <c r="L93" s="23">
        <v>511.27</v>
      </c>
      <c r="M93" s="125">
        <f t="shared" si="11"/>
        <v>3495.56</v>
      </c>
      <c r="N93" s="126">
        <f t="shared" si="12"/>
        <v>449.84</v>
      </c>
      <c r="O93" s="23">
        <v>450.99</v>
      </c>
      <c r="P93" s="23">
        <f t="shared" si="8"/>
        <v>3450.0000000001</v>
      </c>
      <c r="Q93" s="23">
        <f t="shared" si="13"/>
        <v>3.17</v>
      </c>
      <c r="R93" s="23">
        <v>3.18</v>
      </c>
      <c r="S93" s="23">
        <f t="shared" si="9"/>
        <v>30.0000000000007</v>
      </c>
      <c r="T93" s="123">
        <f t="shared" si="10"/>
        <v>3420.0000000001</v>
      </c>
      <c r="U93" s="127"/>
      <c r="V93" s="23">
        <v>1.23</v>
      </c>
      <c r="W93" s="23">
        <v>27.06</v>
      </c>
      <c r="X93" s="23"/>
      <c r="Y93" s="23"/>
      <c r="Z93" s="23"/>
      <c r="AA93" s="23"/>
      <c r="AB93" s="123" t="s">
        <v>41</v>
      </c>
    </row>
    <row r="94" spans="1:28">
      <c r="A94" s="97">
        <f t="shared" si="7"/>
        <v>96</v>
      </c>
      <c r="B94" s="113">
        <v>45839</v>
      </c>
      <c r="C94" s="19">
        <v>45839</v>
      </c>
      <c r="D94" s="129">
        <v>0.29166666666666702</v>
      </c>
      <c r="E94" s="130">
        <v>0.79166666666666696</v>
      </c>
      <c r="F94" s="124">
        <v>1160.78</v>
      </c>
      <c r="G94" s="23">
        <v>1169.8499999999999</v>
      </c>
      <c r="H94" s="23">
        <v>1151.9100000000001</v>
      </c>
      <c r="I94" s="23">
        <v>1206.81</v>
      </c>
      <c r="J94" s="23">
        <v>1204.32</v>
      </c>
      <c r="K94" s="23">
        <v>1211.43</v>
      </c>
      <c r="L94" s="23">
        <v>1211.3900000000001</v>
      </c>
      <c r="M94" s="125">
        <f t="shared" si="11"/>
        <v>8316.49</v>
      </c>
      <c r="N94" s="126">
        <f t="shared" si="12"/>
        <v>450.99</v>
      </c>
      <c r="O94" s="23">
        <v>453.74</v>
      </c>
      <c r="P94" s="23">
        <f t="shared" si="8"/>
        <v>8250</v>
      </c>
      <c r="Q94" s="23">
        <f t="shared" si="13"/>
        <v>3.18</v>
      </c>
      <c r="R94" s="23">
        <v>3.19</v>
      </c>
      <c r="S94" s="23">
        <f t="shared" si="9"/>
        <v>29.9999999999994</v>
      </c>
      <c r="T94" s="123">
        <f t="shared" si="10"/>
        <v>8220</v>
      </c>
      <c r="U94" s="127"/>
      <c r="V94" s="23">
        <v>3.07</v>
      </c>
      <c r="W94" s="23">
        <v>28.95</v>
      </c>
      <c r="X94" s="23"/>
      <c r="Y94" s="23"/>
      <c r="Z94" s="23"/>
      <c r="AA94" s="23"/>
      <c r="AB94" s="123" t="s">
        <v>40</v>
      </c>
    </row>
    <row r="95" spans="1:28">
      <c r="A95" s="97">
        <f t="shared" si="7"/>
        <v>97</v>
      </c>
      <c r="B95" s="113">
        <v>45840</v>
      </c>
      <c r="C95" s="19">
        <v>45840</v>
      </c>
      <c r="D95" s="129">
        <v>0.32291666666666702</v>
      </c>
      <c r="E95" s="130">
        <v>0.79166666666666696</v>
      </c>
      <c r="F95" s="124">
        <v>933.51</v>
      </c>
      <c r="G95" s="23">
        <v>930.16</v>
      </c>
      <c r="H95" s="23">
        <v>925.78</v>
      </c>
      <c r="I95" s="23">
        <v>972.11</v>
      </c>
      <c r="J95" s="23">
        <v>975.89</v>
      </c>
      <c r="K95" s="23">
        <v>978.63</v>
      </c>
      <c r="L95" s="23">
        <v>979.44</v>
      </c>
      <c r="M95" s="125">
        <f t="shared" si="11"/>
        <v>6695.52</v>
      </c>
      <c r="N95" s="126">
        <f t="shared" si="12"/>
        <v>453.74</v>
      </c>
      <c r="O95" s="23">
        <v>456</v>
      </c>
      <c r="P95" s="23">
        <f t="shared" si="8"/>
        <v>6779.99999999997</v>
      </c>
      <c r="Q95" s="23">
        <f t="shared" si="13"/>
        <v>3.19</v>
      </c>
      <c r="R95" s="23">
        <v>3.21</v>
      </c>
      <c r="S95" s="23">
        <f t="shared" si="9"/>
        <v>60.000000000000099</v>
      </c>
      <c r="T95" s="123">
        <f t="shared" si="10"/>
        <v>6719.99999999997</v>
      </c>
      <c r="U95" s="127"/>
      <c r="V95" s="23">
        <v>2.41</v>
      </c>
      <c r="W95" s="23">
        <v>28.45</v>
      </c>
      <c r="X95" s="23"/>
      <c r="Y95" s="23"/>
      <c r="Z95" s="23"/>
      <c r="AA95" s="23"/>
      <c r="AB95" s="123" t="s">
        <v>41</v>
      </c>
    </row>
    <row r="96" spans="1:28">
      <c r="A96" s="97">
        <f t="shared" si="7"/>
        <v>98</v>
      </c>
      <c r="B96" s="113">
        <v>45841</v>
      </c>
      <c r="C96" s="19">
        <v>45841</v>
      </c>
      <c r="D96" s="129">
        <v>0.29166666666666702</v>
      </c>
      <c r="E96" s="130">
        <v>0.77083333333333304</v>
      </c>
      <c r="F96" s="124">
        <v>279.77999999999997</v>
      </c>
      <c r="G96" s="23">
        <v>275.69</v>
      </c>
      <c r="H96" s="23">
        <v>275.44</v>
      </c>
      <c r="I96" s="23">
        <v>292.89999999999998</v>
      </c>
      <c r="J96" s="23">
        <v>290.58999999999997</v>
      </c>
      <c r="K96" s="23">
        <v>292.77999999999997</v>
      </c>
      <c r="L96" s="23">
        <v>292.33999999999997</v>
      </c>
      <c r="M96" s="125">
        <f t="shared" si="11"/>
        <v>1999.52</v>
      </c>
      <c r="N96" s="126">
        <f t="shared" si="12"/>
        <v>456</v>
      </c>
      <c r="O96" s="23">
        <v>456.64</v>
      </c>
      <c r="P96" s="23">
        <f t="shared" si="8"/>
        <v>1919.99999999996</v>
      </c>
      <c r="Q96" s="23">
        <f t="shared" si="13"/>
        <v>3.21</v>
      </c>
      <c r="R96" s="23">
        <v>3.22</v>
      </c>
      <c r="S96" s="23">
        <f t="shared" si="9"/>
        <v>30.0000000000007</v>
      </c>
      <c r="T96" s="123">
        <f t="shared" si="10"/>
        <v>1889.99999999996</v>
      </c>
      <c r="U96" s="127"/>
      <c r="V96" s="23">
        <v>0.41</v>
      </c>
      <c r="W96" s="23">
        <v>25.7</v>
      </c>
      <c r="X96" s="23"/>
      <c r="Y96" s="23"/>
      <c r="Z96" s="23"/>
      <c r="AA96" s="23"/>
      <c r="AB96" s="123" t="s">
        <v>41</v>
      </c>
    </row>
    <row r="97" spans="1:28">
      <c r="A97" s="97">
        <f t="shared" si="7"/>
        <v>99</v>
      </c>
      <c r="B97" s="113">
        <v>45842</v>
      </c>
      <c r="C97" s="19">
        <v>45842</v>
      </c>
      <c r="D97" s="129">
        <v>0.29166666666666702</v>
      </c>
      <c r="E97" s="130">
        <v>0.75</v>
      </c>
      <c r="F97" s="124">
        <v>768.62</v>
      </c>
      <c r="G97" s="23">
        <v>775.05</v>
      </c>
      <c r="H97" s="23">
        <v>770.87</v>
      </c>
      <c r="I97" s="23">
        <v>807.95</v>
      </c>
      <c r="J97" s="23">
        <v>807.26</v>
      </c>
      <c r="K97" s="23">
        <v>817.41</v>
      </c>
      <c r="L97" s="23">
        <v>816.9</v>
      </c>
      <c r="M97" s="125">
        <f t="shared" si="11"/>
        <v>5564.06</v>
      </c>
      <c r="N97" s="126">
        <f t="shared" si="12"/>
        <v>456.64</v>
      </c>
      <c r="O97" s="23">
        <v>458.49</v>
      </c>
      <c r="P97" s="23">
        <f t="shared" si="8"/>
        <v>5550.00000000007</v>
      </c>
      <c r="Q97" s="23">
        <f t="shared" si="13"/>
        <v>3.22</v>
      </c>
      <c r="R97" s="23">
        <v>3.23</v>
      </c>
      <c r="S97" s="23">
        <f t="shared" si="9"/>
        <v>29.9999999999994</v>
      </c>
      <c r="T97" s="123">
        <f t="shared" si="10"/>
        <v>5520.00000000007</v>
      </c>
      <c r="U97" s="127"/>
      <c r="V97" s="23">
        <v>0.86</v>
      </c>
      <c r="W97" s="23">
        <v>27</v>
      </c>
      <c r="X97" s="23"/>
      <c r="Y97" s="23"/>
      <c r="Z97" s="23"/>
      <c r="AA97" s="23"/>
      <c r="AB97" s="123" t="s">
        <v>41</v>
      </c>
    </row>
    <row r="98" spans="1:28">
      <c r="A98" s="97">
        <f t="shared" si="7"/>
        <v>100</v>
      </c>
      <c r="B98" s="113">
        <v>45843</v>
      </c>
      <c r="C98" s="19">
        <v>45843</v>
      </c>
      <c r="D98" s="129">
        <v>0.30208333333333298</v>
      </c>
      <c r="E98" s="130">
        <v>0.78125</v>
      </c>
      <c r="F98" s="124">
        <v>687.09</v>
      </c>
      <c r="G98" s="23">
        <v>758.55</v>
      </c>
      <c r="H98" s="23">
        <v>750.31</v>
      </c>
      <c r="I98" s="23">
        <v>789.16</v>
      </c>
      <c r="J98" s="23">
        <v>784.73</v>
      </c>
      <c r="K98" s="23">
        <v>793.99</v>
      </c>
      <c r="L98" s="23">
        <v>793.6</v>
      </c>
      <c r="M98" s="125">
        <f t="shared" si="11"/>
        <v>5357.43</v>
      </c>
      <c r="N98" s="126">
        <f t="shared" si="12"/>
        <v>458.49</v>
      </c>
      <c r="O98" s="23">
        <v>460.25</v>
      </c>
      <c r="P98" s="23">
        <f t="shared" si="8"/>
        <v>5279.99999999997</v>
      </c>
      <c r="Q98" s="23">
        <f t="shared" si="13"/>
        <v>3.23</v>
      </c>
      <c r="R98" s="23">
        <v>3.24</v>
      </c>
      <c r="S98" s="23">
        <f t="shared" si="9"/>
        <v>30.0000000000007</v>
      </c>
      <c r="T98" s="123">
        <f t="shared" si="10"/>
        <v>5249.99999999997</v>
      </c>
      <c r="U98" s="127"/>
      <c r="V98" s="23">
        <v>1.08</v>
      </c>
      <c r="W98" s="23">
        <v>27.22</v>
      </c>
      <c r="X98" s="23"/>
      <c r="Y98" s="23"/>
      <c r="Z98" s="23"/>
      <c r="AA98" s="23"/>
      <c r="AB98" s="123" t="s">
        <v>40</v>
      </c>
    </row>
    <row r="99" spans="1:28">
      <c r="A99" s="97">
        <f t="shared" si="7"/>
        <v>101</v>
      </c>
      <c r="B99" s="113">
        <v>45844</v>
      </c>
      <c r="C99" s="19">
        <v>45844</v>
      </c>
      <c r="D99" s="129">
        <v>0.29166666666666702</v>
      </c>
      <c r="E99" s="130">
        <v>0.79166666666666696</v>
      </c>
      <c r="F99" s="124">
        <v>939.63</v>
      </c>
      <c r="G99" s="23">
        <v>939.01</v>
      </c>
      <c r="H99" s="23">
        <v>932.43</v>
      </c>
      <c r="I99" s="23">
        <v>976.01</v>
      </c>
      <c r="J99" s="23">
        <v>975.31</v>
      </c>
      <c r="K99" s="23">
        <v>983.55</v>
      </c>
      <c r="L99" s="23">
        <v>982.52</v>
      </c>
      <c r="M99" s="125">
        <f t="shared" si="11"/>
        <v>6728.46</v>
      </c>
      <c r="N99" s="126">
        <f t="shared" si="12"/>
        <v>460.25</v>
      </c>
      <c r="O99" s="23">
        <v>462.49</v>
      </c>
      <c r="P99" s="23">
        <f t="shared" si="8"/>
        <v>6720.00000000003</v>
      </c>
      <c r="Q99" s="23">
        <f t="shared" si="13"/>
        <v>3.24</v>
      </c>
      <c r="R99" s="23">
        <v>3.25</v>
      </c>
      <c r="S99" s="23">
        <f t="shared" si="9"/>
        <v>29.9999999999994</v>
      </c>
      <c r="T99" s="123">
        <f t="shared" si="10"/>
        <v>6690.00000000003</v>
      </c>
      <c r="U99" s="127"/>
      <c r="V99" s="23">
        <v>0.48</v>
      </c>
      <c r="W99" s="23">
        <v>28.32</v>
      </c>
      <c r="X99" s="23"/>
      <c r="Y99" s="23"/>
      <c r="Z99" s="23"/>
      <c r="AA99" s="23"/>
      <c r="AB99" s="123" t="s">
        <v>41</v>
      </c>
    </row>
    <row r="100" spans="1:28">
      <c r="A100" s="97">
        <f t="shared" si="7"/>
        <v>102</v>
      </c>
      <c r="B100" s="113">
        <v>45845</v>
      </c>
      <c r="C100" s="19">
        <v>45845</v>
      </c>
      <c r="D100" s="129">
        <v>0.28125</v>
      </c>
      <c r="E100" s="130">
        <v>0.78125</v>
      </c>
      <c r="F100" s="124">
        <v>475.14</v>
      </c>
      <c r="G100" s="23">
        <v>535.29999999999995</v>
      </c>
      <c r="H100" s="23">
        <v>531.74</v>
      </c>
      <c r="I100" s="23">
        <v>558.55999999999995</v>
      </c>
      <c r="J100" s="23">
        <v>556.69000000000005</v>
      </c>
      <c r="K100" s="23">
        <v>562.35</v>
      </c>
      <c r="L100" s="23">
        <v>560.97</v>
      </c>
      <c r="M100" s="125">
        <f t="shared" si="11"/>
        <v>3780.75</v>
      </c>
      <c r="N100" s="126">
        <f t="shared" si="12"/>
        <v>462.49</v>
      </c>
      <c r="O100" s="23">
        <v>463.74</v>
      </c>
      <c r="P100" s="23">
        <f t="shared" si="8"/>
        <v>3750</v>
      </c>
      <c r="Q100" s="23">
        <f t="shared" si="13"/>
        <v>3.25</v>
      </c>
      <c r="R100" s="23">
        <v>3.26</v>
      </c>
      <c r="S100" s="23">
        <f t="shared" si="9"/>
        <v>29.9999999999994</v>
      </c>
      <c r="T100" s="123">
        <f t="shared" si="10"/>
        <v>3720</v>
      </c>
      <c r="U100" s="127"/>
      <c r="V100" s="23">
        <v>0.27</v>
      </c>
      <c r="W100" s="23">
        <v>0</v>
      </c>
      <c r="X100" s="23"/>
      <c r="Y100" s="23"/>
      <c r="Z100" s="23"/>
      <c r="AA100" s="23"/>
      <c r="AB100" s="123" t="s">
        <v>41</v>
      </c>
    </row>
    <row r="101" spans="1:28">
      <c r="A101" s="97">
        <f t="shared" si="7"/>
        <v>103</v>
      </c>
      <c r="B101" s="113">
        <v>45846</v>
      </c>
      <c r="C101" s="19">
        <v>45846</v>
      </c>
      <c r="D101" s="129">
        <v>0.29166666666666702</v>
      </c>
      <c r="E101" s="130">
        <v>0.77083333333333304</v>
      </c>
      <c r="F101" s="124">
        <v>1030.79</v>
      </c>
      <c r="G101" s="23">
        <v>1032.46</v>
      </c>
      <c r="H101" s="23">
        <v>1028.25</v>
      </c>
      <c r="I101" s="23">
        <v>1076.69</v>
      </c>
      <c r="J101" s="23">
        <v>1078.56</v>
      </c>
      <c r="K101" s="23">
        <v>1082.43</v>
      </c>
      <c r="L101" s="23">
        <v>1077.8499999999999</v>
      </c>
      <c r="M101" s="125">
        <f t="shared" si="11"/>
        <v>7407.03</v>
      </c>
      <c r="N101" s="126">
        <f t="shared" si="12"/>
        <v>463.74</v>
      </c>
      <c r="O101" s="23">
        <v>466.21</v>
      </c>
      <c r="P101" s="23">
        <f t="shared" si="8"/>
        <v>7409.99999999991</v>
      </c>
      <c r="Q101" s="23">
        <f t="shared" si="13"/>
        <v>3.26</v>
      </c>
      <c r="R101" s="23">
        <v>3.28</v>
      </c>
      <c r="S101" s="23">
        <f t="shared" si="9"/>
        <v>60.000000000000099</v>
      </c>
      <c r="T101" s="123">
        <f t="shared" si="10"/>
        <v>7349.99999999991</v>
      </c>
      <c r="U101" s="127"/>
      <c r="V101" s="23">
        <v>0.36</v>
      </c>
      <c r="W101" s="23">
        <v>28.49</v>
      </c>
      <c r="X101" s="23"/>
      <c r="Y101" s="23"/>
      <c r="Z101" s="23"/>
      <c r="AA101" s="23"/>
      <c r="AB101" s="123" t="s">
        <v>40</v>
      </c>
    </row>
    <row r="102" spans="1:28">
      <c r="A102" s="97">
        <f t="shared" si="7"/>
        <v>104</v>
      </c>
      <c r="B102" s="113">
        <v>45847</v>
      </c>
      <c r="C102" s="19">
        <v>45847</v>
      </c>
      <c r="D102" s="129">
        <v>0.28125</v>
      </c>
      <c r="E102" s="130">
        <v>0.78125</v>
      </c>
      <c r="F102" s="124">
        <v>1555.13</v>
      </c>
      <c r="G102" s="23">
        <v>1551.39</v>
      </c>
      <c r="H102" s="23">
        <v>1542.34</v>
      </c>
      <c r="I102" s="23">
        <v>1610.62</v>
      </c>
      <c r="J102" s="23">
        <v>1606.36</v>
      </c>
      <c r="K102" s="23">
        <v>1623.62</v>
      </c>
      <c r="L102" s="23">
        <v>1618.42</v>
      </c>
      <c r="M102" s="125">
        <f t="shared" si="11"/>
        <v>11107.88</v>
      </c>
      <c r="N102" s="126">
        <f t="shared" si="12"/>
        <v>466.21</v>
      </c>
      <c r="O102" s="23">
        <v>469.88</v>
      </c>
      <c r="P102" s="23">
        <f t="shared" si="8"/>
        <v>11010</v>
      </c>
      <c r="Q102" s="23">
        <f t="shared" si="13"/>
        <v>3.28</v>
      </c>
      <c r="R102" s="23">
        <v>3.29</v>
      </c>
      <c r="S102" s="23">
        <f t="shared" si="9"/>
        <v>30.0000000000007</v>
      </c>
      <c r="T102" s="123">
        <f t="shared" si="10"/>
        <v>10980</v>
      </c>
      <c r="U102" s="127"/>
      <c r="V102" s="23">
        <v>0</v>
      </c>
      <c r="W102" s="23">
        <v>29.73</v>
      </c>
      <c r="X102" s="23"/>
      <c r="Y102" s="23"/>
      <c r="Z102" s="23"/>
      <c r="AA102" s="23"/>
      <c r="AB102" s="123" t="s">
        <v>40</v>
      </c>
    </row>
    <row r="103" spans="1:28">
      <c r="A103" s="97">
        <f t="shared" si="7"/>
        <v>105</v>
      </c>
      <c r="B103" s="113">
        <v>45848</v>
      </c>
      <c r="C103" s="19">
        <v>45848</v>
      </c>
      <c r="D103" s="129">
        <v>0.28125</v>
      </c>
      <c r="E103" s="130">
        <v>0.80208333333333304</v>
      </c>
      <c r="F103" s="124">
        <v>1389.73</v>
      </c>
      <c r="G103" s="23">
        <v>1383.44</v>
      </c>
      <c r="H103" s="23">
        <v>1373.66</v>
      </c>
      <c r="I103" s="23">
        <v>1442.85</v>
      </c>
      <c r="J103" s="23">
        <v>1444.63</v>
      </c>
      <c r="K103" s="23">
        <v>1446.12</v>
      </c>
      <c r="L103" s="23">
        <v>1451.6</v>
      </c>
      <c r="M103" s="125">
        <f t="shared" si="11"/>
        <v>9932.0300000000007</v>
      </c>
      <c r="N103" s="126">
        <f t="shared" si="12"/>
        <v>469.88</v>
      </c>
      <c r="O103" s="23">
        <v>473.18</v>
      </c>
      <c r="P103" s="23">
        <f t="shared" si="8"/>
        <v>9900.0000000000291</v>
      </c>
      <c r="Q103" s="23">
        <f t="shared" si="13"/>
        <v>3.29</v>
      </c>
      <c r="R103" s="23">
        <v>3.3</v>
      </c>
      <c r="S103" s="23">
        <f t="shared" si="9"/>
        <v>29.9999999999994</v>
      </c>
      <c r="T103" s="123">
        <f t="shared" si="10"/>
        <v>9870.0000000000291</v>
      </c>
      <c r="U103" s="127"/>
      <c r="V103" s="23">
        <v>0</v>
      </c>
      <c r="W103" s="23">
        <v>29.1</v>
      </c>
      <c r="X103" s="23"/>
      <c r="Y103" s="23"/>
      <c r="Z103" s="23"/>
      <c r="AA103" s="23"/>
      <c r="AB103" s="123" t="s">
        <v>40</v>
      </c>
    </row>
    <row r="104" spans="1:28">
      <c r="A104" s="97">
        <f t="shared" si="7"/>
        <v>106</v>
      </c>
      <c r="B104" s="113">
        <v>45849</v>
      </c>
      <c r="C104" s="19">
        <v>45849</v>
      </c>
      <c r="D104" s="129">
        <v>0.28125</v>
      </c>
      <c r="E104" s="130">
        <v>0.78125</v>
      </c>
      <c r="F104" s="124">
        <v>962.42</v>
      </c>
      <c r="G104" s="23">
        <v>965.4</v>
      </c>
      <c r="H104" s="23">
        <v>955.1</v>
      </c>
      <c r="I104" s="23">
        <v>1000.83</v>
      </c>
      <c r="J104" s="23">
        <v>996.67</v>
      </c>
      <c r="K104" s="23">
        <v>1010.83</v>
      </c>
      <c r="L104" s="23">
        <v>1008.87</v>
      </c>
      <c r="M104" s="125">
        <f t="shared" si="11"/>
        <v>6900.12</v>
      </c>
      <c r="N104" s="126">
        <f t="shared" si="12"/>
        <v>473.18</v>
      </c>
      <c r="O104" s="23">
        <v>475.46</v>
      </c>
      <c r="P104" s="23">
        <f t="shared" si="8"/>
        <v>6839.99999999992</v>
      </c>
      <c r="Q104" s="23">
        <f t="shared" si="13"/>
        <v>3.3</v>
      </c>
      <c r="R104" s="23">
        <v>3.31</v>
      </c>
      <c r="S104" s="23">
        <f t="shared" si="9"/>
        <v>30.0000000000007</v>
      </c>
      <c r="T104" s="123">
        <f t="shared" si="10"/>
        <v>6809.99999999992</v>
      </c>
      <c r="U104" s="127"/>
      <c r="V104" s="23">
        <v>1.61</v>
      </c>
      <c r="W104" s="23">
        <v>28.75</v>
      </c>
      <c r="X104" s="23"/>
      <c r="Y104" s="23"/>
      <c r="Z104" s="23"/>
      <c r="AA104" s="23"/>
      <c r="AB104" s="123" t="s">
        <v>40</v>
      </c>
    </row>
    <row r="105" spans="1:28">
      <c r="A105" s="97">
        <f t="shared" si="7"/>
        <v>107</v>
      </c>
      <c r="B105" s="113">
        <v>45850</v>
      </c>
      <c r="C105" s="19">
        <v>45850</v>
      </c>
      <c r="D105" s="129">
        <v>0.29166666666666702</v>
      </c>
      <c r="E105" s="130">
        <v>0.80208333333333304</v>
      </c>
      <c r="F105" s="124">
        <v>1210.97</v>
      </c>
      <c r="G105" s="23">
        <v>1210.94</v>
      </c>
      <c r="H105" s="23">
        <v>1198.18</v>
      </c>
      <c r="I105" s="23">
        <v>1252.6300000000001</v>
      </c>
      <c r="J105" s="23">
        <v>1244.8800000000001</v>
      </c>
      <c r="K105" s="23">
        <v>1263</v>
      </c>
      <c r="L105" s="23">
        <v>1258.24</v>
      </c>
      <c r="M105" s="125">
        <f t="shared" si="11"/>
        <v>8638.84</v>
      </c>
      <c r="N105" s="126">
        <f t="shared" si="12"/>
        <v>475.46</v>
      </c>
      <c r="O105" s="23">
        <v>478.25</v>
      </c>
      <c r="P105" s="23">
        <f t="shared" si="8"/>
        <v>8370.00000000006</v>
      </c>
      <c r="Q105" s="23">
        <f t="shared" si="13"/>
        <v>3.31</v>
      </c>
      <c r="R105" s="23">
        <v>3.32</v>
      </c>
      <c r="S105" s="23">
        <f t="shared" si="9"/>
        <v>29.9999999999994</v>
      </c>
      <c r="T105" s="123">
        <f t="shared" si="10"/>
        <v>8340.00000000006</v>
      </c>
      <c r="U105" s="127"/>
      <c r="V105" s="23">
        <v>3.27</v>
      </c>
      <c r="W105" s="23">
        <v>28.62</v>
      </c>
      <c r="X105" s="23"/>
      <c r="Y105" s="23"/>
      <c r="Z105" s="23"/>
      <c r="AA105" s="23"/>
      <c r="AB105" s="123" t="s">
        <v>40</v>
      </c>
    </row>
    <row r="106" spans="1:28">
      <c r="A106" s="97">
        <f t="shared" si="7"/>
        <v>108</v>
      </c>
      <c r="B106" s="113">
        <v>45851</v>
      </c>
      <c r="C106" s="19">
        <v>45851</v>
      </c>
      <c r="D106" s="129">
        <v>0.29166666666666702</v>
      </c>
      <c r="E106" s="130">
        <v>0.80208333333333304</v>
      </c>
      <c r="F106" s="124">
        <v>1551.71</v>
      </c>
      <c r="G106" s="23">
        <v>1537.82</v>
      </c>
      <c r="H106" s="23">
        <v>1542.99</v>
      </c>
      <c r="I106" s="23">
        <v>1598.34</v>
      </c>
      <c r="J106" s="23">
        <v>1590.7</v>
      </c>
      <c r="K106" s="23">
        <v>1613.95</v>
      </c>
      <c r="L106" s="23">
        <v>1604.52</v>
      </c>
      <c r="M106" s="125">
        <f t="shared" si="11"/>
        <v>11040.03</v>
      </c>
      <c r="N106" s="126">
        <f t="shared" si="12"/>
        <v>478.25</v>
      </c>
      <c r="O106" s="23">
        <v>481.97</v>
      </c>
      <c r="P106" s="23">
        <f t="shared" si="8"/>
        <v>11160.0000000001</v>
      </c>
      <c r="Q106" s="23">
        <f t="shared" si="13"/>
        <v>3.32</v>
      </c>
      <c r="R106" s="23">
        <v>3.33</v>
      </c>
      <c r="S106" s="23">
        <f t="shared" si="9"/>
        <v>30.0000000000007</v>
      </c>
      <c r="T106" s="123">
        <f t="shared" si="10"/>
        <v>11130.0000000001</v>
      </c>
      <c r="U106" s="127"/>
      <c r="V106" s="23">
        <v>3.36</v>
      </c>
      <c r="W106" s="23">
        <v>29.84</v>
      </c>
      <c r="X106" s="23"/>
      <c r="Y106" s="23"/>
      <c r="Z106" s="23"/>
      <c r="AA106" s="23"/>
      <c r="AB106" s="123" t="s">
        <v>40</v>
      </c>
    </row>
    <row r="107" spans="1:28">
      <c r="A107" s="97">
        <f t="shared" si="7"/>
        <v>109</v>
      </c>
      <c r="B107" s="113">
        <v>45852</v>
      </c>
      <c r="C107" s="19">
        <v>45852</v>
      </c>
      <c r="D107" s="129">
        <v>0.28125</v>
      </c>
      <c r="E107" s="130">
        <v>0.80208333333333304</v>
      </c>
      <c r="F107" s="124">
        <v>1421.21</v>
      </c>
      <c r="G107" s="23">
        <v>1414.38</v>
      </c>
      <c r="H107" s="23">
        <v>1414.3</v>
      </c>
      <c r="I107" s="23">
        <v>1468.55</v>
      </c>
      <c r="J107" s="23">
        <v>1471.71</v>
      </c>
      <c r="K107" s="23">
        <v>1478.45</v>
      </c>
      <c r="L107" s="23">
        <v>1472.06</v>
      </c>
      <c r="M107" s="125">
        <f t="shared" si="11"/>
        <v>10140.66</v>
      </c>
      <c r="N107" s="126">
        <f t="shared" si="12"/>
        <v>481.97</v>
      </c>
      <c r="O107" s="23">
        <v>485.33</v>
      </c>
      <c r="P107" s="23">
        <f t="shared" si="8"/>
        <v>10079.9999999999</v>
      </c>
      <c r="Q107" s="23">
        <f t="shared" si="13"/>
        <v>3.33</v>
      </c>
      <c r="R107" s="23">
        <v>3.34</v>
      </c>
      <c r="S107" s="23">
        <f t="shared" si="9"/>
        <v>29.9999999999994</v>
      </c>
      <c r="T107" s="123">
        <f t="shared" si="10"/>
        <v>10049.9999999999</v>
      </c>
      <c r="U107" s="127"/>
      <c r="V107" s="23">
        <v>3.38</v>
      </c>
      <c r="W107" s="23">
        <v>29.88</v>
      </c>
      <c r="X107" s="23"/>
      <c r="Y107" s="23"/>
      <c r="Z107" s="23"/>
      <c r="AA107" s="23"/>
      <c r="AB107" s="123" t="s">
        <v>40</v>
      </c>
    </row>
    <row r="108" spans="1:28">
      <c r="A108" s="97">
        <f t="shared" si="7"/>
        <v>110</v>
      </c>
      <c r="B108" s="113">
        <v>45853</v>
      </c>
      <c r="C108" s="19">
        <v>45853</v>
      </c>
      <c r="D108" s="129">
        <v>0.29166666666666702</v>
      </c>
      <c r="E108" s="130">
        <v>0.79166666666666696</v>
      </c>
      <c r="F108" s="124">
        <v>1412.89</v>
      </c>
      <c r="G108" s="23">
        <v>1418.02</v>
      </c>
      <c r="H108" s="23">
        <v>1402.55</v>
      </c>
      <c r="I108" s="23">
        <v>1472.01</v>
      </c>
      <c r="J108" s="23">
        <v>1473.83</v>
      </c>
      <c r="K108" s="23">
        <v>1478.96</v>
      </c>
      <c r="L108" s="23">
        <v>1479.67</v>
      </c>
      <c r="M108" s="125">
        <f t="shared" si="11"/>
        <v>10137.93</v>
      </c>
      <c r="N108" s="126">
        <f t="shared" si="12"/>
        <v>485.33</v>
      </c>
      <c r="O108" s="23">
        <v>488.71</v>
      </c>
      <c r="P108" s="23">
        <f t="shared" si="8"/>
        <v>10140</v>
      </c>
      <c r="Q108" s="23">
        <f t="shared" si="13"/>
        <v>3.34</v>
      </c>
      <c r="R108" s="23">
        <v>3.36</v>
      </c>
      <c r="S108" s="23">
        <f t="shared" si="9"/>
        <v>60.000000000000099</v>
      </c>
      <c r="T108" s="123">
        <f t="shared" si="10"/>
        <v>10080</v>
      </c>
      <c r="U108" s="127"/>
      <c r="V108" s="23">
        <v>3.31</v>
      </c>
      <c r="W108" s="23">
        <v>29.69</v>
      </c>
      <c r="X108" s="23"/>
      <c r="Y108" s="23"/>
      <c r="Z108" s="23"/>
      <c r="AA108" s="23"/>
      <c r="AB108" s="123" t="s">
        <v>40</v>
      </c>
    </row>
    <row r="109" spans="1:28">
      <c r="A109" s="97">
        <f t="shared" si="7"/>
        <v>111</v>
      </c>
      <c r="B109" s="113">
        <v>45854</v>
      </c>
      <c r="C109" s="19">
        <v>45854</v>
      </c>
      <c r="D109" s="129">
        <v>0.28125</v>
      </c>
      <c r="E109" s="130">
        <v>0.79166666666666696</v>
      </c>
      <c r="F109" s="124">
        <v>1544.58</v>
      </c>
      <c r="G109" s="23">
        <v>1542.39</v>
      </c>
      <c r="H109" s="23">
        <v>1525.8</v>
      </c>
      <c r="I109" s="23">
        <v>1609.89</v>
      </c>
      <c r="J109" s="23">
        <v>1610.65</v>
      </c>
      <c r="K109" s="23">
        <v>1612.46</v>
      </c>
      <c r="L109" s="23">
        <v>1613.98</v>
      </c>
      <c r="M109" s="125">
        <f t="shared" si="11"/>
        <v>11059.75</v>
      </c>
      <c r="N109" s="126">
        <f t="shared" si="12"/>
        <v>488.71</v>
      </c>
      <c r="O109" s="23">
        <v>492.34</v>
      </c>
      <c r="P109" s="23">
        <f t="shared" si="8"/>
        <v>10890</v>
      </c>
      <c r="Q109" s="23">
        <f t="shared" si="13"/>
        <v>3.36</v>
      </c>
      <c r="R109" s="23">
        <v>3.37</v>
      </c>
      <c r="S109" s="23">
        <f t="shared" si="9"/>
        <v>30.0000000000007</v>
      </c>
      <c r="T109" s="123">
        <f t="shared" si="10"/>
        <v>10860</v>
      </c>
      <c r="U109" s="127"/>
      <c r="V109" s="23">
        <v>3.32</v>
      </c>
      <c r="W109" s="23">
        <v>30.36</v>
      </c>
      <c r="X109" s="23"/>
      <c r="Y109" s="23"/>
      <c r="Z109" s="23"/>
      <c r="AA109" s="23"/>
      <c r="AB109" s="123" t="s">
        <v>40</v>
      </c>
    </row>
    <row r="110" spans="1:28">
      <c r="A110" s="97">
        <f t="shared" si="7"/>
        <v>112</v>
      </c>
      <c r="B110" s="113">
        <v>45855</v>
      </c>
      <c r="C110" s="19">
        <v>45855</v>
      </c>
      <c r="D110" s="129">
        <v>0.29166666666666702</v>
      </c>
      <c r="E110" s="130">
        <v>0.79166666666666696</v>
      </c>
      <c r="F110" s="124">
        <v>1721.94</v>
      </c>
      <c r="G110" s="23">
        <v>1719.31</v>
      </c>
      <c r="H110" s="23">
        <v>1711.73</v>
      </c>
      <c r="I110" s="23">
        <v>1781.11</v>
      </c>
      <c r="J110" s="23">
        <v>1785.5</v>
      </c>
      <c r="K110" s="23">
        <v>1793.87</v>
      </c>
      <c r="L110" s="23">
        <v>1793.75</v>
      </c>
      <c r="M110" s="125">
        <f t="shared" si="11"/>
        <v>12307.21</v>
      </c>
      <c r="N110" s="126">
        <f t="shared" si="12"/>
        <v>492.34</v>
      </c>
      <c r="O110" s="23">
        <v>496.45</v>
      </c>
      <c r="P110" s="23">
        <f t="shared" si="8"/>
        <v>12330</v>
      </c>
      <c r="Q110" s="23">
        <f t="shared" si="13"/>
        <v>3.37</v>
      </c>
      <c r="R110" s="23">
        <v>3.38</v>
      </c>
      <c r="S110" s="23">
        <f t="shared" si="9"/>
        <v>29.9999999999994</v>
      </c>
      <c r="T110" s="123">
        <f t="shared" si="10"/>
        <v>12300</v>
      </c>
      <c r="U110" s="127"/>
      <c r="V110" s="23">
        <v>1.82</v>
      </c>
      <c r="W110" s="23">
        <v>30.23</v>
      </c>
      <c r="X110" s="23"/>
      <c r="Y110" s="23"/>
      <c r="Z110" s="23"/>
      <c r="AA110" s="23"/>
      <c r="AB110" s="123" t="s">
        <v>40</v>
      </c>
    </row>
    <row r="111" spans="1:28">
      <c r="A111" s="97">
        <f t="shared" si="7"/>
        <v>113</v>
      </c>
      <c r="B111" s="113">
        <v>45856</v>
      </c>
      <c r="C111" s="19">
        <v>45856</v>
      </c>
      <c r="D111" s="129">
        <v>0.28125</v>
      </c>
      <c r="E111" s="130">
        <v>0.79166666666666696</v>
      </c>
      <c r="F111" s="124">
        <v>1610.61</v>
      </c>
      <c r="G111" s="23">
        <v>1608.1</v>
      </c>
      <c r="H111" s="23">
        <v>1600.3</v>
      </c>
      <c r="I111" s="23">
        <v>1669.49</v>
      </c>
      <c r="J111" s="23">
        <v>1671.85</v>
      </c>
      <c r="K111" s="23">
        <v>1675.63</v>
      </c>
      <c r="L111" s="23">
        <v>1675.4</v>
      </c>
      <c r="M111" s="125">
        <f t="shared" si="11"/>
        <v>11511.38</v>
      </c>
      <c r="N111" s="126">
        <f t="shared" si="12"/>
        <v>496.45</v>
      </c>
      <c r="O111" s="23">
        <v>500.22</v>
      </c>
      <c r="P111" s="23">
        <f t="shared" si="8"/>
        <v>11310.0000000001</v>
      </c>
      <c r="Q111" s="23">
        <f t="shared" si="13"/>
        <v>3.38</v>
      </c>
      <c r="R111" s="23">
        <v>3.39</v>
      </c>
      <c r="S111" s="23">
        <f t="shared" si="9"/>
        <v>30.0000000000007</v>
      </c>
      <c r="T111" s="123">
        <f t="shared" si="10"/>
        <v>11280.0000000001</v>
      </c>
      <c r="U111" s="127"/>
      <c r="V111" s="23">
        <v>0</v>
      </c>
      <c r="W111" s="23">
        <v>30.52</v>
      </c>
      <c r="X111" s="23"/>
      <c r="Y111" s="23"/>
      <c r="Z111" s="23"/>
      <c r="AA111" s="23"/>
      <c r="AB111" s="123" t="s">
        <v>40</v>
      </c>
    </row>
    <row r="112" spans="1:28">
      <c r="A112" s="97">
        <f t="shared" si="7"/>
        <v>114</v>
      </c>
      <c r="B112" s="113">
        <v>45857</v>
      </c>
      <c r="C112" s="19">
        <v>45857</v>
      </c>
      <c r="D112" s="129">
        <v>0.29166666666666702</v>
      </c>
      <c r="E112" s="130">
        <v>0.72916666666666696</v>
      </c>
      <c r="F112" s="124">
        <v>935.91</v>
      </c>
      <c r="G112" s="23">
        <v>938.54</v>
      </c>
      <c r="H112" s="23">
        <v>932.39</v>
      </c>
      <c r="I112" s="23">
        <v>976.18</v>
      </c>
      <c r="J112" s="23">
        <v>979.58</v>
      </c>
      <c r="K112" s="23">
        <v>983.93</v>
      </c>
      <c r="L112" s="23">
        <v>984.86</v>
      </c>
      <c r="M112" s="125">
        <f t="shared" si="11"/>
        <v>6731.39</v>
      </c>
      <c r="N112" s="126">
        <f t="shared" si="12"/>
        <v>500.22</v>
      </c>
      <c r="O112" s="23">
        <v>502.49</v>
      </c>
      <c r="P112" s="23">
        <f t="shared" si="8"/>
        <v>6809.99999999995</v>
      </c>
      <c r="Q112" s="23">
        <f t="shared" si="13"/>
        <v>3.39</v>
      </c>
      <c r="R112" s="23">
        <v>3.4</v>
      </c>
      <c r="S112" s="23">
        <f t="shared" si="9"/>
        <v>29.9999999999994</v>
      </c>
      <c r="T112" s="123">
        <f t="shared" si="10"/>
        <v>6779.99999999995</v>
      </c>
      <c r="U112" s="127"/>
      <c r="V112" s="23">
        <v>0</v>
      </c>
      <c r="W112" s="23">
        <v>28.69</v>
      </c>
      <c r="X112" s="23"/>
      <c r="Y112" s="23"/>
      <c r="Z112" s="23"/>
      <c r="AA112" s="23"/>
      <c r="AB112" s="123" t="s">
        <v>40</v>
      </c>
    </row>
    <row r="113" spans="1:28">
      <c r="A113" s="97">
        <f t="shared" si="7"/>
        <v>115</v>
      </c>
      <c r="B113" s="113">
        <v>45858</v>
      </c>
      <c r="C113" s="19">
        <v>45858</v>
      </c>
      <c r="D113" s="129">
        <v>0.30208333333333298</v>
      </c>
      <c r="E113" s="130">
        <v>0.78125</v>
      </c>
      <c r="F113" s="124">
        <v>816.75</v>
      </c>
      <c r="G113" s="23">
        <v>813.98</v>
      </c>
      <c r="H113" s="23">
        <v>805.8</v>
      </c>
      <c r="I113" s="23">
        <v>845.34</v>
      </c>
      <c r="J113" s="23">
        <v>846.63</v>
      </c>
      <c r="K113" s="23">
        <v>848.53</v>
      </c>
      <c r="L113" s="23">
        <v>846.51</v>
      </c>
      <c r="M113" s="125">
        <f t="shared" si="11"/>
        <v>5823.54</v>
      </c>
      <c r="N113" s="126">
        <f t="shared" si="12"/>
        <v>502.49</v>
      </c>
      <c r="O113" s="23">
        <v>504.41</v>
      </c>
      <c r="P113" s="23">
        <f t="shared" si="8"/>
        <v>5760.00000000005</v>
      </c>
      <c r="Q113" s="23">
        <f t="shared" si="13"/>
        <v>3.4</v>
      </c>
      <c r="R113" s="23">
        <v>3.41</v>
      </c>
      <c r="S113" s="23">
        <f t="shared" si="9"/>
        <v>30.0000000000007</v>
      </c>
      <c r="T113" s="123">
        <f t="shared" si="10"/>
        <v>5730.00000000005</v>
      </c>
      <c r="U113" s="127"/>
      <c r="V113" s="23">
        <v>0</v>
      </c>
      <c r="W113" s="23">
        <v>27.93</v>
      </c>
      <c r="X113" s="23"/>
      <c r="Y113" s="23"/>
      <c r="Z113" s="23"/>
      <c r="AA113" s="23"/>
      <c r="AB113" s="123" t="s">
        <v>40</v>
      </c>
    </row>
    <row r="114" spans="1:28">
      <c r="A114" s="97">
        <f t="shared" si="7"/>
        <v>116</v>
      </c>
      <c r="B114" s="113">
        <v>45859</v>
      </c>
      <c r="C114" s="19">
        <v>45859</v>
      </c>
      <c r="D114" s="129">
        <v>0.29166666666666702</v>
      </c>
      <c r="E114" s="130">
        <v>0.77083333333333304</v>
      </c>
      <c r="F114" s="124">
        <v>910.96</v>
      </c>
      <c r="G114" s="23">
        <v>911.16</v>
      </c>
      <c r="H114" s="23">
        <v>908.88</v>
      </c>
      <c r="I114" s="23">
        <v>953.85</v>
      </c>
      <c r="J114" s="23">
        <v>957.19</v>
      </c>
      <c r="K114" s="23">
        <v>960.48</v>
      </c>
      <c r="L114" s="23">
        <v>958.37699999999995</v>
      </c>
      <c r="M114" s="125">
        <f t="shared" si="11"/>
        <v>6560.8969999999999</v>
      </c>
      <c r="N114" s="126">
        <f t="shared" si="12"/>
        <v>504.41</v>
      </c>
      <c r="O114" s="23">
        <v>506.59</v>
      </c>
      <c r="P114" s="23">
        <f t="shared" si="8"/>
        <v>6539.9999999998499</v>
      </c>
      <c r="Q114" s="23">
        <f t="shared" si="13"/>
        <v>3.41</v>
      </c>
      <c r="R114" s="23">
        <v>3.43</v>
      </c>
      <c r="S114" s="23">
        <f t="shared" si="9"/>
        <v>60.000000000000099</v>
      </c>
      <c r="T114" s="123">
        <f t="shared" si="10"/>
        <v>6479.9999999998499</v>
      </c>
      <c r="U114" s="127"/>
      <c r="V114" s="23">
        <v>0</v>
      </c>
      <c r="W114" s="23">
        <v>28.04</v>
      </c>
      <c r="X114" s="23"/>
      <c r="Y114" s="23"/>
      <c r="Z114" s="23"/>
      <c r="AA114" s="23"/>
      <c r="AB114" s="123" t="s">
        <v>40</v>
      </c>
    </row>
    <row r="115" spans="1:28">
      <c r="A115" s="97">
        <f t="shared" si="7"/>
        <v>117</v>
      </c>
      <c r="B115" s="113">
        <v>45860</v>
      </c>
      <c r="C115" s="19">
        <v>45860</v>
      </c>
      <c r="D115" s="129">
        <v>0.29166666666666702</v>
      </c>
      <c r="E115" s="130">
        <v>0.79166666666666696</v>
      </c>
      <c r="F115" s="124">
        <v>1023.69</v>
      </c>
      <c r="G115" s="23">
        <v>1029.4100000000001</v>
      </c>
      <c r="H115" s="23">
        <v>1021.66</v>
      </c>
      <c r="I115" s="23">
        <v>1083.78</v>
      </c>
      <c r="J115" s="23">
        <v>1083.8499999999999</v>
      </c>
      <c r="K115" s="23">
        <v>1083.05</v>
      </c>
      <c r="L115" s="23">
        <v>1085.45</v>
      </c>
      <c r="M115" s="125">
        <f t="shared" si="11"/>
        <v>7410.89</v>
      </c>
      <c r="N115" s="126">
        <f t="shared" si="12"/>
        <v>506.59</v>
      </c>
      <c r="O115" s="23">
        <v>509.08</v>
      </c>
      <c r="P115" s="23">
        <f t="shared" si="8"/>
        <v>7470.00000000003</v>
      </c>
      <c r="Q115" s="23">
        <f t="shared" si="13"/>
        <v>3.43</v>
      </c>
      <c r="R115" s="23">
        <v>3.44</v>
      </c>
      <c r="S115" s="23">
        <f t="shared" si="9"/>
        <v>29.9999999999994</v>
      </c>
      <c r="T115" s="123">
        <f t="shared" si="10"/>
        <v>7440.00000000003</v>
      </c>
      <c r="U115" s="127"/>
      <c r="V115" s="23">
        <v>0</v>
      </c>
      <c r="W115" s="23">
        <v>28.06</v>
      </c>
      <c r="X115" s="23"/>
      <c r="Y115" s="23"/>
      <c r="Z115" s="23"/>
      <c r="AA115" s="23"/>
      <c r="AB115" s="123" t="s">
        <v>40</v>
      </c>
    </row>
    <row r="116" spans="1:28">
      <c r="A116" s="97">
        <f t="shared" si="7"/>
        <v>118</v>
      </c>
      <c r="B116" s="113">
        <v>45861</v>
      </c>
      <c r="C116" s="19">
        <v>45861</v>
      </c>
      <c r="D116" s="129">
        <v>0.28125</v>
      </c>
      <c r="E116" s="130">
        <v>0.78125</v>
      </c>
      <c r="F116" s="124">
        <v>1149.54</v>
      </c>
      <c r="G116" s="23">
        <v>1143.0999999999999</v>
      </c>
      <c r="H116" s="23">
        <v>1141.81</v>
      </c>
      <c r="I116" s="23">
        <v>1188.29</v>
      </c>
      <c r="J116" s="23">
        <v>1190.43</v>
      </c>
      <c r="K116" s="23">
        <v>1194.8599999999999</v>
      </c>
      <c r="L116" s="23">
        <v>1195.8399999999999</v>
      </c>
      <c r="M116" s="125">
        <f t="shared" si="11"/>
        <v>8203.8700000000008</v>
      </c>
      <c r="N116" s="126">
        <f t="shared" si="12"/>
        <v>509.08</v>
      </c>
      <c r="O116" s="23">
        <v>511.78</v>
      </c>
      <c r="P116" s="23">
        <f t="shared" si="8"/>
        <v>8099.99999999997</v>
      </c>
      <c r="Q116" s="23">
        <f t="shared" si="13"/>
        <v>3.44</v>
      </c>
      <c r="R116" s="23">
        <v>3.45</v>
      </c>
      <c r="S116" s="23">
        <f t="shared" si="9"/>
        <v>30.0000000000007</v>
      </c>
      <c r="T116" s="123">
        <f t="shared" si="10"/>
        <v>8069.99999999996</v>
      </c>
      <c r="U116" s="127"/>
      <c r="V116" s="23">
        <v>0</v>
      </c>
      <c r="W116" s="23">
        <v>28.14</v>
      </c>
      <c r="X116" s="23"/>
      <c r="Y116" s="23"/>
      <c r="Z116" s="23"/>
      <c r="AA116" s="23"/>
      <c r="AB116" s="123" t="s">
        <v>40</v>
      </c>
    </row>
    <row r="117" spans="1:28">
      <c r="A117" s="97">
        <f t="shared" si="7"/>
        <v>119</v>
      </c>
      <c r="B117" s="113">
        <v>45862</v>
      </c>
      <c r="C117" s="19">
        <v>45862</v>
      </c>
      <c r="D117" s="129">
        <v>0.28125</v>
      </c>
      <c r="E117" s="130">
        <v>0.78125</v>
      </c>
      <c r="F117" s="124">
        <v>1093.8699999999999</v>
      </c>
      <c r="G117" s="23">
        <v>1091.44</v>
      </c>
      <c r="H117" s="23">
        <v>1089.1500000000001</v>
      </c>
      <c r="I117" s="23">
        <v>1138.3900000000001</v>
      </c>
      <c r="J117" s="23">
        <v>1140.8399999999999</v>
      </c>
      <c r="K117" s="23">
        <v>1146</v>
      </c>
      <c r="L117" s="23">
        <v>1145.8900000000001</v>
      </c>
      <c r="M117" s="125">
        <f t="shared" si="11"/>
        <v>7845.58</v>
      </c>
      <c r="N117" s="126">
        <f t="shared" si="12"/>
        <v>511.78</v>
      </c>
      <c r="O117" s="23">
        <v>514.38</v>
      </c>
      <c r="P117" s="23">
        <f t="shared" si="8"/>
        <v>7800.00000000007</v>
      </c>
      <c r="Q117" s="23">
        <f t="shared" si="13"/>
        <v>3.45</v>
      </c>
      <c r="R117" s="23">
        <v>3.46</v>
      </c>
      <c r="S117" s="23">
        <f t="shared" si="9"/>
        <v>29.9999999999994</v>
      </c>
      <c r="T117" s="123">
        <f t="shared" si="10"/>
        <v>7770.00000000007</v>
      </c>
      <c r="U117" s="127"/>
      <c r="V117" s="23">
        <v>0</v>
      </c>
      <c r="W117" s="23">
        <v>27.91</v>
      </c>
      <c r="X117" s="23"/>
      <c r="Y117" s="23"/>
      <c r="Z117" s="23"/>
      <c r="AA117" s="23"/>
      <c r="AB117" s="123" t="s">
        <v>40</v>
      </c>
    </row>
    <row r="118" spans="1:28">
      <c r="A118" s="97">
        <f t="shared" si="7"/>
        <v>120</v>
      </c>
      <c r="B118" s="113">
        <v>45863</v>
      </c>
      <c r="C118" s="19">
        <v>45863</v>
      </c>
      <c r="D118" s="129">
        <v>0.29166666666666702</v>
      </c>
      <c r="E118" s="130">
        <v>0.375</v>
      </c>
      <c r="F118" s="124">
        <v>1271.0999999999999</v>
      </c>
      <c r="G118" s="23">
        <v>1260.53</v>
      </c>
      <c r="H118" s="23">
        <v>1260.8499999999999</v>
      </c>
      <c r="I118" s="23">
        <v>1324.44</v>
      </c>
      <c r="J118" s="23">
        <v>1328.23</v>
      </c>
      <c r="K118" s="23">
        <v>1330.1</v>
      </c>
      <c r="L118" s="23">
        <v>1329.8</v>
      </c>
      <c r="M118" s="125">
        <f t="shared" si="11"/>
        <v>9105.0499999999993</v>
      </c>
      <c r="N118" s="126">
        <f t="shared" si="12"/>
        <v>514.38</v>
      </c>
      <c r="O118" s="23">
        <v>517.41999999999996</v>
      </c>
      <c r="P118" s="23">
        <f t="shared" si="8"/>
        <v>9119.9999999998909</v>
      </c>
      <c r="Q118" s="23">
        <f t="shared" si="13"/>
        <v>3.46</v>
      </c>
      <c r="R118" s="23">
        <v>3.47</v>
      </c>
      <c r="S118" s="23">
        <f t="shared" si="9"/>
        <v>30.0000000000007</v>
      </c>
      <c r="T118" s="123">
        <f t="shared" si="10"/>
        <v>9089.9999999998909</v>
      </c>
      <c r="U118" s="127"/>
      <c r="V118" s="23">
        <v>0</v>
      </c>
      <c r="W118" s="23">
        <v>28.87</v>
      </c>
      <c r="X118" s="23"/>
      <c r="Y118" s="23"/>
      <c r="Z118" s="23"/>
      <c r="AA118" s="23"/>
      <c r="AB118" s="123" t="s">
        <v>40</v>
      </c>
    </row>
    <row r="119" spans="1:28">
      <c r="A119" s="97">
        <f t="shared" si="7"/>
        <v>121</v>
      </c>
      <c r="B119" s="113">
        <v>45864</v>
      </c>
      <c r="C119" s="19">
        <v>45864</v>
      </c>
      <c r="D119" s="129">
        <v>0.30208333333333298</v>
      </c>
      <c r="E119" s="130">
        <v>0.78125</v>
      </c>
      <c r="F119" s="124">
        <v>891.34</v>
      </c>
      <c r="G119" s="23">
        <v>888.97</v>
      </c>
      <c r="H119" s="23">
        <v>883.64</v>
      </c>
      <c r="I119" s="23">
        <v>925.87</v>
      </c>
      <c r="J119" s="23">
        <v>927.1</v>
      </c>
      <c r="K119" s="23">
        <v>932.28</v>
      </c>
      <c r="L119" s="23">
        <v>928.74</v>
      </c>
      <c r="M119" s="125">
        <f t="shared" si="11"/>
        <v>6377.94</v>
      </c>
      <c r="N119" s="126">
        <f t="shared" si="12"/>
        <v>517.41999999999996</v>
      </c>
      <c r="O119" s="23">
        <v>519.53</v>
      </c>
      <c r="P119" s="23">
        <f t="shared" si="8"/>
        <v>6330.00000000004</v>
      </c>
      <c r="Q119" s="23">
        <f t="shared" si="13"/>
        <v>3.47</v>
      </c>
      <c r="R119" s="23">
        <v>3.48</v>
      </c>
      <c r="S119" s="23">
        <f t="shared" si="9"/>
        <v>29.9999999999994</v>
      </c>
      <c r="T119" s="123">
        <f t="shared" si="10"/>
        <v>6300.00000000004</v>
      </c>
      <c r="U119" s="127"/>
      <c r="V119" s="23">
        <v>0</v>
      </c>
      <c r="W119" s="23">
        <v>27.97</v>
      </c>
      <c r="X119" s="23"/>
      <c r="Y119" s="23"/>
      <c r="Z119" s="23"/>
      <c r="AA119" s="23"/>
      <c r="AB119" s="123" t="s">
        <v>40</v>
      </c>
    </row>
    <row r="120" spans="1:28">
      <c r="A120" s="97">
        <f t="shared" si="7"/>
        <v>122</v>
      </c>
      <c r="B120" s="113">
        <v>45865</v>
      </c>
      <c r="C120" s="19">
        <v>45865</v>
      </c>
      <c r="D120" s="129">
        <v>0.33333333333333298</v>
      </c>
      <c r="E120" s="130">
        <v>0.78125</v>
      </c>
      <c r="F120" s="124">
        <v>545.78</v>
      </c>
      <c r="G120" s="23">
        <v>543.29999999999995</v>
      </c>
      <c r="H120" s="23">
        <v>539.66999999999996</v>
      </c>
      <c r="I120" s="23">
        <v>566.71</v>
      </c>
      <c r="J120" s="23">
        <v>567.6</v>
      </c>
      <c r="K120" s="23">
        <v>570.45000000000005</v>
      </c>
      <c r="L120" s="23">
        <v>568.71</v>
      </c>
      <c r="M120" s="125">
        <f t="shared" si="11"/>
        <v>3902.22</v>
      </c>
      <c r="N120" s="126">
        <f t="shared" si="12"/>
        <v>519.53</v>
      </c>
      <c r="O120" s="23">
        <v>520.83000000000004</v>
      </c>
      <c r="P120" s="23">
        <f t="shared" si="8"/>
        <v>3900.0000000002001</v>
      </c>
      <c r="Q120" s="23">
        <f t="shared" si="13"/>
        <v>3.48</v>
      </c>
      <c r="R120" s="23">
        <v>3.5</v>
      </c>
      <c r="S120" s="23">
        <f t="shared" si="9"/>
        <v>60.000000000000099</v>
      </c>
      <c r="T120" s="123">
        <f t="shared" si="10"/>
        <v>3840.0000000002001</v>
      </c>
      <c r="U120" s="127"/>
      <c r="V120" s="23">
        <v>0</v>
      </c>
      <c r="W120" s="23">
        <v>28.86</v>
      </c>
      <c r="X120" s="23"/>
      <c r="Y120" s="23"/>
      <c r="Z120" s="23"/>
      <c r="AA120" s="23"/>
      <c r="AB120" s="123" t="s">
        <v>41</v>
      </c>
    </row>
    <row r="121" spans="1:28">
      <c r="A121" s="97">
        <f t="shared" si="7"/>
        <v>123</v>
      </c>
      <c r="B121" s="113">
        <v>45866</v>
      </c>
      <c r="C121" s="19">
        <v>45866</v>
      </c>
      <c r="D121" s="129">
        <v>0.30208333333333298</v>
      </c>
      <c r="E121" s="130">
        <v>0.78125</v>
      </c>
      <c r="F121" s="124">
        <v>744.83</v>
      </c>
      <c r="G121" s="23">
        <v>742.41</v>
      </c>
      <c r="H121" s="23">
        <v>737.67</v>
      </c>
      <c r="I121" s="23">
        <v>775.95</v>
      </c>
      <c r="J121" s="23">
        <v>776.18</v>
      </c>
      <c r="K121" s="23">
        <v>780.52</v>
      </c>
      <c r="L121" s="23">
        <v>779.11</v>
      </c>
      <c r="M121" s="125">
        <f t="shared" si="11"/>
        <v>5336.67</v>
      </c>
      <c r="N121" s="126">
        <f t="shared" si="12"/>
        <v>520.83000000000004</v>
      </c>
      <c r="O121" s="23">
        <v>522.6</v>
      </c>
      <c r="P121" s="23">
        <f t="shared" si="8"/>
        <v>5309.99999999995</v>
      </c>
      <c r="Q121" s="23">
        <f t="shared" si="13"/>
        <v>3.5</v>
      </c>
      <c r="R121" s="23">
        <v>3.51</v>
      </c>
      <c r="S121" s="23">
        <f t="shared" si="9"/>
        <v>29.9999999999994</v>
      </c>
      <c r="T121" s="123">
        <f t="shared" si="10"/>
        <v>5279.99999999995</v>
      </c>
      <c r="U121" s="127"/>
      <c r="V121" s="23">
        <v>0</v>
      </c>
      <c r="W121" s="23">
        <v>27.53</v>
      </c>
      <c r="X121" s="23"/>
      <c r="Y121" s="23"/>
      <c r="Z121" s="23"/>
      <c r="AA121" s="23"/>
      <c r="AB121" s="123" t="s">
        <v>40</v>
      </c>
    </row>
    <row r="122" spans="1:28">
      <c r="A122" s="97">
        <f t="shared" si="7"/>
        <v>124</v>
      </c>
      <c r="B122" s="113">
        <v>45867</v>
      </c>
      <c r="C122" s="19">
        <v>45867</v>
      </c>
      <c r="D122" s="129">
        <v>0.32291666666666702</v>
      </c>
      <c r="E122" s="130">
        <v>0.75</v>
      </c>
      <c r="F122" s="124">
        <v>566.77</v>
      </c>
      <c r="G122" s="23">
        <v>563.53</v>
      </c>
      <c r="H122" s="23">
        <v>560.83000000000004</v>
      </c>
      <c r="I122" s="23">
        <v>587.16999999999996</v>
      </c>
      <c r="J122" s="23">
        <v>588.47</v>
      </c>
      <c r="K122" s="23">
        <v>591.94000000000005</v>
      </c>
      <c r="L122" s="23">
        <v>588.6</v>
      </c>
      <c r="M122" s="125">
        <f t="shared" si="11"/>
        <v>4047.31</v>
      </c>
      <c r="N122" s="126">
        <f t="shared" si="12"/>
        <v>522.6</v>
      </c>
      <c r="O122" s="23">
        <v>523.98</v>
      </c>
      <c r="P122" s="23">
        <f t="shared" si="8"/>
        <v>4139.99999999999</v>
      </c>
      <c r="Q122" s="23">
        <f t="shared" si="13"/>
        <v>3.51</v>
      </c>
      <c r="R122" s="23">
        <v>3.52</v>
      </c>
      <c r="S122" s="23">
        <f t="shared" si="9"/>
        <v>30.0000000000007</v>
      </c>
      <c r="T122" s="123">
        <f t="shared" si="10"/>
        <v>4109.99999999999</v>
      </c>
      <c r="U122" s="127"/>
      <c r="V122" s="23">
        <v>0</v>
      </c>
      <c r="W122" s="23">
        <v>26.5</v>
      </c>
      <c r="X122" s="23"/>
      <c r="Y122" s="23"/>
      <c r="Z122" s="23"/>
      <c r="AA122" s="23"/>
      <c r="AB122" s="123" t="s">
        <v>40</v>
      </c>
    </row>
    <row r="123" spans="1:28">
      <c r="A123" s="97">
        <f t="shared" si="7"/>
        <v>125</v>
      </c>
      <c r="B123" s="113">
        <v>45868</v>
      </c>
      <c r="C123" s="19">
        <v>45868</v>
      </c>
      <c r="D123" s="129">
        <v>0.3125</v>
      </c>
      <c r="E123" s="130">
        <v>0.75</v>
      </c>
      <c r="F123" s="124">
        <v>1053.8599999999999</v>
      </c>
      <c r="G123" s="23">
        <v>1051.3</v>
      </c>
      <c r="H123" s="23">
        <v>1047.99</v>
      </c>
      <c r="I123" s="23">
        <v>1091.57</v>
      </c>
      <c r="J123" s="23">
        <v>1096.49</v>
      </c>
      <c r="K123" s="23">
        <v>1108.8499999999999</v>
      </c>
      <c r="L123" s="23">
        <v>1102.9000000000001</v>
      </c>
      <c r="M123" s="125">
        <f t="shared" si="11"/>
        <v>7552.96</v>
      </c>
      <c r="N123" s="126">
        <f t="shared" si="12"/>
        <v>523.98</v>
      </c>
      <c r="O123" s="23">
        <v>526.47</v>
      </c>
      <c r="P123" s="23">
        <f t="shared" si="8"/>
        <v>7470.00000000003</v>
      </c>
      <c r="Q123" s="23">
        <f t="shared" si="13"/>
        <v>3.52</v>
      </c>
      <c r="R123" s="23">
        <v>3.53</v>
      </c>
      <c r="S123" s="23">
        <f t="shared" si="9"/>
        <v>29.9999999999994</v>
      </c>
      <c r="T123" s="123">
        <f t="shared" si="10"/>
        <v>7440.00000000003</v>
      </c>
      <c r="U123" s="127"/>
      <c r="V123" s="23">
        <v>0</v>
      </c>
      <c r="W123" s="23">
        <v>26.5</v>
      </c>
      <c r="X123" s="23"/>
      <c r="Y123" s="23"/>
      <c r="Z123" s="23"/>
      <c r="AA123" s="23"/>
      <c r="AB123" s="123" t="s">
        <v>40</v>
      </c>
    </row>
    <row r="124" spans="1:28">
      <c r="A124" s="97">
        <f t="shared" si="7"/>
        <v>126</v>
      </c>
      <c r="B124" s="113">
        <v>45869</v>
      </c>
      <c r="C124" s="19">
        <v>45869</v>
      </c>
      <c r="D124" s="129">
        <v>0.3125</v>
      </c>
      <c r="E124" s="130">
        <v>0.73958333333333304</v>
      </c>
      <c r="F124" s="124">
        <v>848.79</v>
      </c>
      <c r="G124" s="23">
        <v>847.97</v>
      </c>
      <c r="H124" s="23">
        <v>840.55</v>
      </c>
      <c r="I124" s="23">
        <v>879.23</v>
      </c>
      <c r="J124" s="23">
        <v>881.31</v>
      </c>
      <c r="K124" s="23">
        <v>890.1</v>
      </c>
      <c r="L124" s="23">
        <v>886.65</v>
      </c>
      <c r="M124" s="125">
        <f t="shared" si="11"/>
        <v>6074.6</v>
      </c>
      <c r="N124" s="126">
        <f t="shared" si="12"/>
        <v>526.47</v>
      </c>
      <c r="O124" s="23">
        <v>528.48</v>
      </c>
      <c r="P124" s="23">
        <f t="shared" si="8"/>
        <v>6029.99999999997</v>
      </c>
      <c r="Q124" s="23">
        <f t="shared" si="13"/>
        <v>3.53</v>
      </c>
      <c r="R124" s="23">
        <v>3.54</v>
      </c>
      <c r="S124" s="23">
        <f t="shared" si="9"/>
        <v>30.0000000000007</v>
      </c>
      <c r="T124" s="123">
        <f t="shared" si="10"/>
        <v>5999.99999999997</v>
      </c>
      <c r="U124" s="127"/>
      <c r="V124" s="23">
        <v>2.2599999999999998</v>
      </c>
      <c r="W124" s="23">
        <v>27.76</v>
      </c>
      <c r="X124" s="23"/>
      <c r="Y124" s="23"/>
      <c r="Z124" s="23"/>
      <c r="AA124" s="23"/>
      <c r="AB124" s="123" t="s">
        <v>40</v>
      </c>
    </row>
    <row r="125" spans="1:28">
      <c r="A125" s="97">
        <f t="shared" si="7"/>
        <v>127</v>
      </c>
      <c r="B125" s="113">
        <v>45870</v>
      </c>
      <c r="C125" s="19">
        <v>45870</v>
      </c>
      <c r="D125" s="129">
        <v>0.29166666666666702</v>
      </c>
      <c r="E125" s="130">
        <v>0.78263888888888899</v>
      </c>
      <c r="F125" s="124">
        <v>1013.01</v>
      </c>
      <c r="G125" s="23">
        <v>1011.77</v>
      </c>
      <c r="H125" s="23">
        <v>1005.55</v>
      </c>
      <c r="I125" s="23">
        <v>1048.4000000000001</v>
      </c>
      <c r="J125" s="23">
        <v>1051.9100000000001</v>
      </c>
      <c r="K125" s="23">
        <v>1064.19</v>
      </c>
      <c r="L125" s="23">
        <v>1057.97</v>
      </c>
      <c r="M125" s="125">
        <f t="shared" si="11"/>
        <v>7252.8</v>
      </c>
      <c r="N125" s="126">
        <f t="shared" si="12"/>
        <v>528.48</v>
      </c>
      <c r="O125" s="23">
        <v>530.88</v>
      </c>
      <c r="P125" s="23">
        <f t="shared" si="8"/>
        <v>7199.99999999993</v>
      </c>
      <c r="Q125" s="23">
        <f t="shared" si="13"/>
        <v>3.54</v>
      </c>
      <c r="R125" s="23">
        <v>3.55</v>
      </c>
      <c r="S125" s="23">
        <f t="shared" si="9"/>
        <v>29.9999999999994</v>
      </c>
      <c r="T125" s="123">
        <f t="shared" si="10"/>
        <v>7169.99999999993</v>
      </c>
      <c r="U125" s="127"/>
      <c r="V125" s="23">
        <v>3.01</v>
      </c>
      <c r="W125" s="23">
        <v>27.95</v>
      </c>
      <c r="X125" s="23"/>
      <c r="Y125" s="23"/>
      <c r="Z125" s="23"/>
      <c r="AA125" s="23"/>
      <c r="AB125" s="123" t="s">
        <v>40</v>
      </c>
    </row>
    <row r="126" spans="1:28">
      <c r="A126" s="97">
        <f t="shared" si="7"/>
        <v>128</v>
      </c>
      <c r="B126" s="113">
        <v>45871</v>
      </c>
      <c r="C126" s="19">
        <v>45871</v>
      </c>
      <c r="D126" s="129">
        <v>0.29166666666666702</v>
      </c>
      <c r="E126" s="130">
        <v>0.79166666666666696</v>
      </c>
      <c r="F126" s="124">
        <v>1081.1199999999999</v>
      </c>
      <c r="G126" s="23">
        <v>1079.08</v>
      </c>
      <c r="H126" s="23">
        <v>1070.49</v>
      </c>
      <c r="I126" s="23">
        <v>1123.73</v>
      </c>
      <c r="J126" s="23">
        <v>1125.8900000000001</v>
      </c>
      <c r="K126" s="23">
        <v>1132.56</v>
      </c>
      <c r="L126" s="23">
        <v>1128.32</v>
      </c>
      <c r="M126" s="125">
        <f t="shared" si="11"/>
        <v>7741.19</v>
      </c>
      <c r="N126" s="126">
        <f t="shared" si="12"/>
        <v>530.88</v>
      </c>
      <c r="O126" s="23">
        <v>533.44000000000005</v>
      </c>
      <c r="P126" s="23">
        <f t="shared" si="8"/>
        <v>7680.0000000001801</v>
      </c>
      <c r="Q126" s="23">
        <f t="shared" si="13"/>
        <v>3.55</v>
      </c>
      <c r="R126" s="23">
        <v>3.57</v>
      </c>
      <c r="S126" s="23">
        <f t="shared" si="9"/>
        <v>60.000000000000099</v>
      </c>
      <c r="T126" s="123">
        <f t="shared" si="10"/>
        <v>7620.0000000001801</v>
      </c>
      <c r="U126" s="127"/>
      <c r="V126" s="23">
        <v>3.38</v>
      </c>
      <c r="W126" s="23">
        <v>28.22</v>
      </c>
      <c r="X126" s="23"/>
      <c r="Y126" s="23"/>
      <c r="Z126" s="23"/>
      <c r="AA126" s="23"/>
      <c r="AB126" s="123" t="s">
        <v>40</v>
      </c>
    </row>
    <row r="127" spans="1:28">
      <c r="A127" s="97">
        <f t="shared" si="7"/>
        <v>129</v>
      </c>
      <c r="B127" s="113">
        <v>45872</v>
      </c>
      <c r="C127" s="19">
        <v>45872</v>
      </c>
      <c r="D127" s="129">
        <v>0.28125</v>
      </c>
      <c r="E127" s="130">
        <v>0.79166666666666696</v>
      </c>
      <c r="F127" s="124">
        <v>1057.42</v>
      </c>
      <c r="G127" s="23">
        <v>1054.18</v>
      </c>
      <c r="H127" s="23">
        <v>1049.93</v>
      </c>
      <c r="I127" s="23">
        <v>1093.54</v>
      </c>
      <c r="J127" s="23">
        <v>1097.25</v>
      </c>
      <c r="K127" s="23">
        <v>1107.8900000000001</v>
      </c>
      <c r="L127" s="23">
        <v>1102.29</v>
      </c>
      <c r="M127" s="125">
        <f t="shared" si="11"/>
        <v>7562.5</v>
      </c>
      <c r="N127" s="126">
        <f t="shared" si="12"/>
        <v>533.44000000000005</v>
      </c>
      <c r="O127" s="23">
        <v>535.95000000000005</v>
      </c>
      <c r="P127" s="23">
        <f t="shared" si="8"/>
        <v>7529.99999999997</v>
      </c>
      <c r="Q127" s="23">
        <f t="shared" si="13"/>
        <v>3.57</v>
      </c>
      <c r="R127" s="23">
        <v>3.58</v>
      </c>
      <c r="S127" s="23">
        <f t="shared" si="9"/>
        <v>30.0000000000007</v>
      </c>
      <c r="T127" s="123">
        <f t="shared" si="10"/>
        <v>7499.99999999997</v>
      </c>
      <c r="U127" s="127"/>
      <c r="V127" s="23">
        <v>3.8</v>
      </c>
      <c r="W127" s="23">
        <v>27.92</v>
      </c>
      <c r="X127" s="23"/>
      <c r="Y127" s="23"/>
      <c r="Z127" s="23"/>
      <c r="AA127" s="23"/>
      <c r="AB127" s="123" t="s">
        <v>40</v>
      </c>
    </row>
    <row r="128" spans="1:28">
      <c r="A128" s="97">
        <f t="shared" si="7"/>
        <v>130</v>
      </c>
      <c r="B128" s="113">
        <v>45873</v>
      </c>
      <c r="C128" s="19">
        <v>45873</v>
      </c>
      <c r="D128" s="129">
        <v>0.33333333333333298</v>
      </c>
      <c r="E128" s="130">
        <v>0.78125</v>
      </c>
      <c r="F128" s="124">
        <v>1234.1199999999999</v>
      </c>
      <c r="G128" s="23">
        <v>1238.07</v>
      </c>
      <c r="H128" s="23">
        <v>1224.3800000000001</v>
      </c>
      <c r="I128" s="23">
        <v>1283.1099999999999</v>
      </c>
      <c r="J128" s="23">
        <v>1287.44</v>
      </c>
      <c r="K128" s="23">
        <v>1289.24</v>
      </c>
      <c r="L128" s="23">
        <v>1291.93</v>
      </c>
      <c r="M128" s="125">
        <f t="shared" si="11"/>
        <v>8848.2900000000009</v>
      </c>
      <c r="N128" s="126">
        <f t="shared" si="12"/>
        <v>535.95000000000005</v>
      </c>
      <c r="O128" s="23">
        <v>538.87</v>
      </c>
      <c r="P128" s="23">
        <f t="shared" si="8"/>
        <v>8759.9999999998799</v>
      </c>
      <c r="Q128" s="23">
        <f t="shared" si="13"/>
        <v>3.58</v>
      </c>
      <c r="R128" s="23">
        <v>3.59</v>
      </c>
      <c r="S128" s="23">
        <f t="shared" si="9"/>
        <v>29.9999999999994</v>
      </c>
      <c r="T128" s="123">
        <f t="shared" si="10"/>
        <v>8729.9999999998799</v>
      </c>
      <c r="U128" s="127"/>
      <c r="V128" s="23">
        <v>3.85</v>
      </c>
      <c r="W128" s="23">
        <v>26.72</v>
      </c>
      <c r="X128" s="23"/>
      <c r="Y128" s="23"/>
      <c r="Z128" s="23"/>
      <c r="AA128" s="23"/>
      <c r="AB128" s="123" t="s">
        <v>40</v>
      </c>
    </row>
    <row r="129" spans="1:28">
      <c r="A129" s="97">
        <f t="shared" si="7"/>
        <v>131</v>
      </c>
      <c r="B129" s="113">
        <v>45874</v>
      </c>
      <c r="C129" s="19">
        <v>45874</v>
      </c>
      <c r="D129" s="129">
        <v>0.30208333333333298</v>
      </c>
      <c r="E129" s="130">
        <v>0.78125</v>
      </c>
      <c r="F129" s="124">
        <v>1361.85</v>
      </c>
      <c r="G129" s="23">
        <v>1363.79</v>
      </c>
      <c r="H129" s="23">
        <v>1350.12</v>
      </c>
      <c r="I129" s="23">
        <v>1411.39</v>
      </c>
      <c r="J129" s="23">
        <v>1416.18</v>
      </c>
      <c r="K129" s="23">
        <v>1418.52</v>
      </c>
      <c r="L129" s="23">
        <v>1420.38</v>
      </c>
      <c r="M129" s="125">
        <f t="shared" si="11"/>
        <v>9742.23</v>
      </c>
      <c r="N129" s="126">
        <f t="shared" si="12"/>
        <v>538.87</v>
      </c>
      <c r="O129" s="23">
        <v>542.1</v>
      </c>
      <c r="P129" s="23">
        <f t="shared" si="8"/>
        <v>9690.0000000000491</v>
      </c>
      <c r="Q129" s="23">
        <f t="shared" si="13"/>
        <v>3.59</v>
      </c>
      <c r="R129" s="23">
        <v>3.6</v>
      </c>
      <c r="S129" s="23">
        <f t="shared" si="9"/>
        <v>30.0000000000007</v>
      </c>
      <c r="T129" s="123">
        <f t="shared" si="10"/>
        <v>9660.0000000000491</v>
      </c>
      <c r="U129" s="127"/>
      <c r="V129" s="23">
        <v>3.78</v>
      </c>
      <c r="W129" s="23">
        <v>28.49</v>
      </c>
      <c r="X129" s="23"/>
      <c r="Y129" s="23"/>
      <c r="Z129" s="23"/>
      <c r="AA129" s="23"/>
      <c r="AB129" s="123" t="s">
        <v>40</v>
      </c>
    </row>
    <row r="130" spans="1:28">
      <c r="A130" s="97">
        <f t="shared" si="7"/>
        <v>132</v>
      </c>
      <c r="B130" s="113">
        <v>45875</v>
      </c>
      <c r="C130" s="19">
        <v>45875</v>
      </c>
      <c r="D130" s="129">
        <v>0.29166666666666702</v>
      </c>
      <c r="E130" s="130">
        <v>0.79166666666666696</v>
      </c>
      <c r="F130" s="124">
        <v>1119.6300000000001</v>
      </c>
      <c r="G130" s="23">
        <v>1123.43</v>
      </c>
      <c r="H130" s="23">
        <v>1115.51</v>
      </c>
      <c r="I130" s="23">
        <v>1171.8900000000001</v>
      </c>
      <c r="J130" s="23">
        <v>1174.43</v>
      </c>
      <c r="K130" s="23">
        <v>1176.21</v>
      </c>
      <c r="L130" s="23">
        <v>1182.1500000000001</v>
      </c>
      <c r="M130" s="125">
        <f t="shared" si="11"/>
        <v>8063.25</v>
      </c>
      <c r="N130" s="126">
        <f t="shared" si="12"/>
        <v>542.1</v>
      </c>
      <c r="O130" s="23">
        <v>544.77</v>
      </c>
      <c r="P130" s="23">
        <f t="shared" si="8"/>
        <v>8009.9999999998799</v>
      </c>
      <c r="Q130" s="23">
        <f t="shared" si="13"/>
        <v>3.6</v>
      </c>
      <c r="R130" s="23">
        <v>3.61</v>
      </c>
      <c r="S130" s="23">
        <f t="shared" si="9"/>
        <v>29.9999999999994</v>
      </c>
      <c r="T130" s="123">
        <f t="shared" si="10"/>
        <v>7979.9999999998799</v>
      </c>
      <c r="U130" s="127"/>
      <c r="V130" s="23">
        <v>3.68</v>
      </c>
      <c r="W130" s="23">
        <v>27.87</v>
      </c>
      <c r="X130" s="23"/>
      <c r="Y130" s="23"/>
      <c r="Z130" s="23"/>
      <c r="AA130" s="23"/>
      <c r="AB130" s="123" t="s">
        <v>40</v>
      </c>
    </row>
    <row r="131" spans="1:28">
      <c r="A131" s="97">
        <f t="shared" ref="A131:A194" si="14">A130+1</f>
        <v>133</v>
      </c>
      <c r="B131" s="113">
        <v>45876</v>
      </c>
      <c r="C131" s="19">
        <v>45876</v>
      </c>
      <c r="D131" s="129">
        <v>0.29166666666666702</v>
      </c>
      <c r="E131" s="130">
        <v>0.79166666666666696</v>
      </c>
      <c r="F131" s="124">
        <v>1242.74</v>
      </c>
      <c r="G131" s="23">
        <v>1245.7</v>
      </c>
      <c r="H131" s="23">
        <v>1232.69</v>
      </c>
      <c r="I131" s="23">
        <v>1289.8699999999999</v>
      </c>
      <c r="J131" s="23">
        <v>1295.57</v>
      </c>
      <c r="K131" s="23">
        <v>1295.9100000000001</v>
      </c>
      <c r="L131" s="23">
        <v>1300.6500000000001</v>
      </c>
      <c r="M131" s="125">
        <f t="shared" si="11"/>
        <v>8903.1299999999992</v>
      </c>
      <c r="N131" s="126">
        <f t="shared" si="12"/>
        <v>544.77</v>
      </c>
      <c r="O131" s="23">
        <v>547.73</v>
      </c>
      <c r="P131" s="23">
        <f t="shared" ref="P131:P194" si="15">MAX((O131-N131)*3000,0)</f>
        <v>8880.0000000001091</v>
      </c>
      <c r="Q131" s="23">
        <f t="shared" si="13"/>
        <v>3.61</v>
      </c>
      <c r="R131" s="23">
        <v>3.62</v>
      </c>
      <c r="S131" s="23">
        <f t="shared" ref="S131:S196" si="16">MAX((R131-Q131)*3000,0)</f>
        <v>30.0000000000007</v>
      </c>
      <c r="T131" s="123">
        <f t="shared" ref="T131:T188" si="17">P131-S131</f>
        <v>8850.0000000001091</v>
      </c>
      <c r="U131" s="127"/>
      <c r="V131" s="23">
        <v>3.3</v>
      </c>
      <c r="W131" s="23">
        <v>30.02</v>
      </c>
      <c r="X131" s="23"/>
      <c r="Y131" s="23"/>
      <c r="Z131" s="23"/>
      <c r="AA131" s="23"/>
      <c r="AB131" s="123" t="s">
        <v>40</v>
      </c>
    </row>
    <row r="132" spans="1:28">
      <c r="A132" s="97">
        <f t="shared" si="14"/>
        <v>134</v>
      </c>
      <c r="B132" s="113">
        <v>45877</v>
      </c>
      <c r="C132" s="19">
        <v>45877</v>
      </c>
      <c r="D132" s="129">
        <v>0.29166666666666702</v>
      </c>
      <c r="E132" s="130">
        <v>0.79166666666666696</v>
      </c>
      <c r="F132" s="124">
        <v>1559.25</v>
      </c>
      <c r="G132" s="23">
        <v>1557.01</v>
      </c>
      <c r="H132" s="23">
        <v>1554.96</v>
      </c>
      <c r="I132" s="23">
        <v>1613.44</v>
      </c>
      <c r="J132" s="23">
        <v>1626.44</v>
      </c>
      <c r="K132" s="23">
        <v>1641.62</v>
      </c>
      <c r="L132" s="23">
        <v>1635.39</v>
      </c>
      <c r="M132" s="125">
        <f t="shared" ref="M132:M195" si="18">SUM(F132:L132)</f>
        <v>11188.11</v>
      </c>
      <c r="N132" s="126">
        <f t="shared" si="12"/>
        <v>547.73</v>
      </c>
      <c r="O132" s="23">
        <v>551.42999999999995</v>
      </c>
      <c r="P132" s="23">
        <f t="shared" si="15"/>
        <v>11099.9999999998</v>
      </c>
      <c r="Q132" s="23">
        <f t="shared" si="13"/>
        <v>3.62</v>
      </c>
      <c r="R132" s="23">
        <v>3.63</v>
      </c>
      <c r="S132" s="23">
        <f t="shared" si="16"/>
        <v>29.9999999999994</v>
      </c>
      <c r="T132" s="123">
        <f t="shared" si="17"/>
        <v>11069.9999999998</v>
      </c>
      <c r="U132" s="127"/>
      <c r="V132" s="23">
        <v>4.26</v>
      </c>
      <c r="W132" s="23">
        <v>0</v>
      </c>
      <c r="X132" s="23"/>
      <c r="Y132" s="23"/>
      <c r="Z132" s="23"/>
      <c r="AA132" s="23"/>
      <c r="AB132" s="123" t="s">
        <v>40</v>
      </c>
    </row>
    <row r="133" spans="1:28">
      <c r="A133" s="97">
        <f t="shared" si="14"/>
        <v>135</v>
      </c>
      <c r="B133" s="113">
        <v>45878</v>
      </c>
      <c r="C133" s="19">
        <v>45878</v>
      </c>
      <c r="D133" s="129">
        <v>0.29166666666666702</v>
      </c>
      <c r="E133" s="130">
        <v>0.79166666666666696</v>
      </c>
      <c r="F133" s="124">
        <v>1143.79</v>
      </c>
      <c r="G133" s="23">
        <v>1145.6300000000001</v>
      </c>
      <c r="H133" s="23">
        <v>1135.78</v>
      </c>
      <c r="I133" s="23">
        <v>1193.58</v>
      </c>
      <c r="J133" s="23">
        <v>1195.96</v>
      </c>
      <c r="K133" s="23">
        <v>1204.22</v>
      </c>
      <c r="L133" s="23">
        <v>1202.3399999999999</v>
      </c>
      <c r="M133" s="125">
        <f t="shared" si="18"/>
        <v>8221.2999999999993</v>
      </c>
      <c r="N133" s="126">
        <f t="shared" si="12"/>
        <v>551.42999999999995</v>
      </c>
      <c r="O133" s="23">
        <v>554.15</v>
      </c>
      <c r="P133" s="23">
        <f t="shared" si="15"/>
        <v>8160.00000000008</v>
      </c>
      <c r="Q133" s="23">
        <f t="shared" si="13"/>
        <v>3.63</v>
      </c>
      <c r="R133" s="23">
        <v>3.64</v>
      </c>
      <c r="S133" s="23">
        <f t="shared" si="16"/>
        <v>30.0000000000007</v>
      </c>
      <c r="T133" s="123">
        <f t="shared" si="17"/>
        <v>8130.00000000008</v>
      </c>
      <c r="U133" s="127"/>
      <c r="V133" s="23">
        <v>3.37</v>
      </c>
      <c r="W133" s="23">
        <v>0</v>
      </c>
      <c r="X133" s="23"/>
      <c r="Y133" s="23"/>
      <c r="Z133" s="23"/>
      <c r="AA133" s="23"/>
      <c r="AB133" s="123" t="s">
        <v>40</v>
      </c>
    </row>
    <row r="134" spans="1:28">
      <c r="A134" s="97">
        <f t="shared" si="14"/>
        <v>136</v>
      </c>
      <c r="B134" s="113">
        <v>45879</v>
      </c>
      <c r="C134" s="19">
        <v>45879</v>
      </c>
      <c r="D134" s="129">
        <v>0.29166666666666702</v>
      </c>
      <c r="E134" s="130">
        <v>0.78125</v>
      </c>
      <c r="F134" s="124">
        <v>1081.6400000000001</v>
      </c>
      <c r="G134" s="23">
        <v>1079.8900000000001</v>
      </c>
      <c r="H134" s="23">
        <v>1073.42</v>
      </c>
      <c r="I134" s="23">
        <v>1131.8800000000001</v>
      </c>
      <c r="J134" s="23">
        <v>1134.21</v>
      </c>
      <c r="K134" s="23">
        <v>1137.3900000000001</v>
      </c>
      <c r="L134" s="23">
        <v>1145.6600000000001</v>
      </c>
      <c r="M134" s="125">
        <f t="shared" si="18"/>
        <v>7784.09</v>
      </c>
      <c r="N134" s="126">
        <f t="shared" si="12"/>
        <v>554.15</v>
      </c>
      <c r="O134" s="23">
        <v>556.78</v>
      </c>
      <c r="P134" s="23">
        <f t="shared" si="15"/>
        <v>7889.99999999999</v>
      </c>
      <c r="Q134" s="23">
        <f t="shared" si="13"/>
        <v>3.64</v>
      </c>
      <c r="R134" s="23">
        <v>3.66</v>
      </c>
      <c r="S134" s="23">
        <f t="shared" si="16"/>
        <v>60.000000000000099</v>
      </c>
      <c r="T134" s="123">
        <f t="shared" si="17"/>
        <v>7829.99999999999</v>
      </c>
      <c r="U134" s="127"/>
      <c r="V134" s="23">
        <v>3.26</v>
      </c>
      <c r="W134" s="23">
        <v>0</v>
      </c>
      <c r="X134" s="23"/>
      <c r="Y134" s="23"/>
      <c r="Z134" s="23"/>
      <c r="AA134" s="23"/>
      <c r="AB134" s="123" t="s">
        <v>40</v>
      </c>
    </row>
    <row r="135" spans="1:28">
      <c r="A135" s="97">
        <f t="shared" si="14"/>
        <v>137</v>
      </c>
      <c r="B135" s="113">
        <v>45880</v>
      </c>
      <c r="C135" s="19">
        <v>45880</v>
      </c>
      <c r="D135" s="129">
        <v>0.3125</v>
      </c>
      <c r="E135" s="130">
        <v>0.78125</v>
      </c>
      <c r="F135" s="124">
        <v>1387.67</v>
      </c>
      <c r="G135" s="23">
        <v>1390.85</v>
      </c>
      <c r="H135" s="23">
        <v>1378.1</v>
      </c>
      <c r="I135" s="23">
        <v>1444.62</v>
      </c>
      <c r="J135" s="23">
        <v>1449.25</v>
      </c>
      <c r="K135" s="23">
        <v>1447.35</v>
      </c>
      <c r="L135" s="23">
        <v>1455.23</v>
      </c>
      <c r="M135" s="125">
        <f t="shared" si="18"/>
        <v>9953.07</v>
      </c>
      <c r="N135" s="126">
        <f t="shared" si="12"/>
        <v>556.78</v>
      </c>
      <c r="O135" s="23">
        <v>560.08000000000004</v>
      </c>
      <c r="P135" s="23">
        <f t="shared" si="15"/>
        <v>9900.0000000002001</v>
      </c>
      <c r="Q135" s="23">
        <f t="shared" si="13"/>
        <v>3.66</v>
      </c>
      <c r="R135" s="23">
        <v>3.67</v>
      </c>
      <c r="S135" s="23">
        <f t="shared" si="16"/>
        <v>29.9999999999994</v>
      </c>
      <c r="T135" s="123">
        <f t="shared" si="17"/>
        <v>9870.0000000002001</v>
      </c>
      <c r="U135" s="127"/>
      <c r="V135" s="23">
        <v>3.95</v>
      </c>
      <c r="W135" s="23">
        <v>28.81</v>
      </c>
      <c r="X135" s="23"/>
      <c r="Y135" s="23"/>
      <c r="Z135" s="23"/>
      <c r="AA135" s="23"/>
      <c r="AB135" s="123" t="s">
        <v>40</v>
      </c>
    </row>
    <row r="136" spans="1:28">
      <c r="A136" s="97">
        <f t="shared" si="14"/>
        <v>138</v>
      </c>
      <c r="B136" s="113">
        <v>45881</v>
      </c>
      <c r="C136" s="19">
        <v>45881</v>
      </c>
      <c r="D136" s="129">
        <v>0.3125</v>
      </c>
      <c r="E136" s="130">
        <v>0.78125</v>
      </c>
      <c r="F136" s="124">
        <v>1408.97</v>
      </c>
      <c r="G136" s="23">
        <v>1407.11</v>
      </c>
      <c r="H136" s="23">
        <v>1401.01</v>
      </c>
      <c r="I136" s="23">
        <v>1464.01</v>
      </c>
      <c r="J136" s="23">
        <v>1476.27</v>
      </c>
      <c r="K136" s="23">
        <v>1468.29</v>
      </c>
      <c r="L136" s="23">
        <v>1485.98</v>
      </c>
      <c r="M136" s="125">
        <f t="shared" si="18"/>
        <v>10111.64</v>
      </c>
      <c r="N136" s="126">
        <f t="shared" si="12"/>
        <v>560.08000000000004</v>
      </c>
      <c r="O136" s="23">
        <v>563.41</v>
      </c>
      <c r="P136" s="23">
        <f t="shared" si="15"/>
        <v>9989.9999999997799</v>
      </c>
      <c r="Q136" s="23">
        <f t="shared" si="13"/>
        <v>3.67</v>
      </c>
      <c r="R136" s="23">
        <v>3.68</v>
      </c>
      <c r="S136" s="23">
        <f t="shared" si="16"/>
        <v>30.0000000000007</v>
      </c>
      <c r="T136" s="123">
        <f t="shared" si="17"/>
        <v>9959.9999999997799</v>
      </c>
      <c r="U136" s="127"/>
      <c r="V136" s="23">
        <v>4.13</v>
      </c>
      <c r="W136" s="23">
        <v>27.19</v>
      </c>
      <c r="X136" s="23"/>
      <c r="Y136" s="23"/>
      <c r="Z136" s="23"/>
      <c r="AA136" s="23"/>
      <c r="AB136" s="123" t="s">
        <v>40</v>
      </c>
    </row>
    <row r="137" spans="1:28">
      <c r="A137" s="97">
        <f t="shared" si="14"/>
        <v>139</v>
      </c>
      <c r="B137" s="113">
        <v>45882</v>
      </c>
      <c r="C137" s="19">
        <v>45882</v>
      </c>
      <c r="D137" s="129">
        <v>0.29166666666666702</v>
      </c>
      <c r="E137" s="130">
        <v>0.78125</v>
      </c>
      <c r="F137" s="124">
        <v>1231.1400000000001</v>
      </c>
      <c r="G137" s="23">
        <v>1218.54</v>
      </c>
      <c r="H137" s="23">
        <v>1224.45</v>
      </c>
      <c r="I137" s="23">
        <v>1265.1500000000001</v>
      </c>
      <c r="J137" s="23">
        <v>1278.32</v>
      </c>
      <c r="K137" s="23">
        <v>1284.0999999999999</v>
      </c>
      <c r="L137" s="23">
        <v>1280.8499999999999</v>
      </c>
      <c r="M137" s="125">
        <f t="shared" si="18"/>
        <v>8782.5499999999993</v>
      </c>
      <c r="N137" s="126">
        <f t="shared" si="12"/>
        <v>563.41</v>
      </c>
      <c r="O137" s="23">
        <v>566.30999999999995</v>
      </c>
      <c r="P137" s="23">
        <f t="shared" si="15"/>
        <v>8699.9999999999309</v>
      </c>
      <c r="Q137" s="23">
        <f t="shared" si="13"/>
        <v>3.68</v>
      </c>
      <c r="R137" s="23">
        <v>3.69</v>
      </c>
      <c r="S137" s="23">
        <f t="shared" si="16"/>
        <v>29.9999999999994</v>
      </c>
      <c r="T137" s="123">
        <f t="shared" si="17"/>
        <v>8669.9999999999309</v>
      </c>
      <c r="U137" s="127"/>
      <c r="V137" s="23">
        <v>3.79</v>
      </c>
      <c r="W137" s="23">
        <v>26</v>
      </c>
      <c r="X137" s="23"/>
      <c r="Y137" s="23"/>
      <c r="Z137" s="23"/>
      <c r="AA137" s="23"/>
      <c r="AB137" s="123" t="s">
        <v>40</v>
      </c>
    </row>
    <row r="138" spans="1:28">
      <c r="A138" s="97">
        <f t="shared" si="14"/>
        <v>140</v>
      </c>
      <c r="B138" s="113">
        <v>45883</v>
      </c>
      <c r="C138" s="19">
        <v>45883</v>
      </c>
      <c r="D138" s="129">
        <v>0.29166666666666702</v>
      </c>
      <c r="E138" s="130">
        <v>0.77083333333333304</v>
      </c>
      <c r="F138" s="124">
        <v>571.19000000000005</v>
      </c>
      <c r="G138" s="23">
        <v>566.85</v>
      </c>
      <c r="H138" s="23">
        <v>560.04</v>
      </c>
      <c r="I138" s="23">
        <v>583.46</v>
      </c>
      <c r="J138" s="23">
        <v>586.84</v>
      </c>
      <c r="K138" s="23">
        <v>592.29999999999995</v>
      </c>
      <c r="L138" s="23">
        <v>587.51</v>
      </c>
      <c r="M138" s="125">
        <f t="shared" si="18"/>
        <v>4048.19</v>
      </c>
      <c r="N138" s="126">
        <f t="shared" si="12"/>
        <v>566.30999999999995</v>
      </c>
      <c r="O138" s="23">
        <v>567.66999999999996</v>
      </c>
      <c r="P138" s="23">
        <f t="shared" si="15"/>
        <v>4080.00000000004</v>
      </c>
      <c r="Q138" s="23">
        <f t="shared" si="13"/>
        <v>3.69</v>
      </c>
      <c r="R138" s="23">
        <v>3.7</v>
      </c>
      <c r="S138" s="23">
        <f t="shared" si="16"/>
        <v>30.0000000000007</v>
      </c>
      <c r="T138" s="123">
        <f t="shared" si="17"/>
        <v>4050.00000000004</v>
      </c>
      <c r="U138" s="127"/>
      <c r="V138" s="23">
        <v>1.54</v>
      </c>
      <c r="W138" s="23">
        <v>26</v>
      </c>
      <c r="X138" s="23"/>
      <c r="Y138" s="23"/>
      <c r="Z138" s="23"/>
      <c r="AA138" s="23"/>
      <c r="AB138" s="123" t="s">
        <v>41</v>
      </c>
    </row>
    <row r="139" spans="1:28">
      <c r="A139" s="97">
        <f t="shared" si="14"/>
        <v>141</v>
      </c>
      <c r="B139" s="113">
        <v>45884</v>
      </c>
      <c r="C139" s="19">
        <v>45884</v>
      </c>
      <c r="D139" s="129">
        <v>0.29166666666666702</v>
      </c>
      <c r="E139" s="130">
        <v>0.79166666666666696</v>
      </c>
      <c r="F139" s="124">
        <v>1173.56</v>
      </c>
      <c r="G139" s="23">
        <v>1186.49</v>
      </c>
      <c r="H139" s="23">
        <v>1170.42</v>
      </c>
      <c r="I139" s="23">
        <v>1222.76</v>
      </c>
      <c r="J139" s="23">
        <v>1229.3900000000001</v>
      </c>
      <c r="K139" s="23">
        <v>1236.1199999999999</v>
      </c>
      <c r="L139" s="23">
        <v>1234.79</v>
      </c>
      <c r="M139" s="125">
        <f t="shared" si="18"/>
        <v>8453.5300000000007</v>
      </c>
      <c r="N139" s="126">
        <f t="shared" si="12"/>
        <v>567.66999999999996</v>
      </c>
      <c r="O139" s="23">
        <v>570.47</v>
      </c>
      <c r="P139" s="23">
        <f t="shared" si="15"/>
        <v>8400.0000000002001</v>
      </c>
      <c r="Q139" s="23">
        <f t="shared" si="13"/>
        <v>3.7</v>
      </c>
      <c r="R139" s="23">
        <v>3.71</v>
      </c>
      <c r="S139" s="23">
        <f t="shared" si="16"/>
        <v>29.9999999999994</v>
      </c>
      <c r="T139" s="123">
        <f t="shared" si="17"/>
        <v>8370.0000000002001</v>
      </c>
      <c r="U139" s="127"/>
      <c r="V139" s="23">
        <v>3.34</v>
      </c>
      <c r="W139" s="23">
        <v>0</v>
      </c>
      <c r="X139" s="23"/>
      <c r="Y139" s="23"/>
      <c r="Z139" s="23"/>
      <c r="AA139" s="23"/>
      <c r="AB139" s="123" t="s">
        <v>40</v>
      </c>
    </row>
    <row r="140" spans="1:28">
      <c r="A140" s="97">
        <f t="shared" si="14"/>
        <v>142</v>
      </c>
      <c r="B140" s="113">
        <v>45885</v>
      </c>
      <c r="C140" s="19">
        <v>45885</v>
      </c>
      <c r="D140" s="129">
        <v>0.29166666666666702</v>
      </c>
      <c r="E140" s="130">
        <v>0.76041666666666696</v>
      </c>
      <c r="F140" s="124">
        <v>1069.79</v>
      </c>
      <c r="G140" s="23">
        <v>1066.44</v>
      </c>
      <c r="H140" s="23">
        <v>1061.0899999999999</v>
      </c>
      <c r="I140" s="23">
        <v>1101.92</v>
      </c>
      <c r="J140" s="23">
        <v>1113.45</v>
      </c>
      <c r="K140" s="23">
        <v>1117.6300000000001</v>
      </c>
      <c r="L140" s="23">
        <v>1115.44</v>
      </c>
      <c r="M140" s="125">
        <f t="shared" si="18"/>
        <v>7645.76</v>
      </c>
      <c r="N140" s="126">
        <f t="shared" si="12"/>
        <v>570.47</v>
      </c>
      <c r="O140" s="23">
        <v>572.96</v>
      </c>
      <c r="P140" s="23">
        <f t="shared" si="15"/>
        <v>7470.00000000003</v>
      </c>
      <c r="Q140" s="23">
        <f t="shared" si="13"/>
        <v>3.71</v>
      </c>
      <c r="R140" s="23">
        <v>3.72</v>
      </c>
      <c r="S140" s="23">
        <f t="shared" si="16"/>
        <v>30.0000000000007</v>
      </c>
      <c r="T140" s="123">
        <f t="shared" si="17"/>
        <v>7440.00000000003</v>
      </c>
      <c r="U140" s="127"/>
      <c r="V140" s="23">
        <v>3.05</v>
      </c>
      <c r="W140" s="23">
        <v>0</v>
      </c>
      <c r="X140" s="23"/>
      <c r="Y140" s="23"/>
      <c r="Z140" s="23"/>
      <c r="AA140" s="23"/>
      <c r="AB140" s="123" t="s">
        <v>41</v>
      </c>
    </row>
    <row r="141" spans="1:28">
      <c r="A141" s="97">
        <f t="shared" si="14"/>
        <v>143</v>
      </c>
      <c r="B141" s="113">
        <v>45886</v>
      </c>
      <c r="C141" s="19">
        <v>45886</v>
      </c>
      <c r="D141" s="129">
        <v>0.30208333333333298</v>
      </c>
      <c r="E141" s="130">
        <v>0.77083333333333304</v>
      </c>
      <c r="F141" s="124">
        <v>1051.9100000000001</v>
      </c>
      <c r="G141" s="23">
        <v>1079.72</v>
      </c>
      <c r="H141" s="23">
        <v>1061.81</v>
      </c>
      <c r="I141" s="23">
        <v>1116.71</v>
      </c>
      <c r="J141" s="23">
        <v>1125.28</v>
      </c>
      <c r="K141" s="23">
        <v>1114.23</v>
      </c>
      <c r="L141" s="23">
        <v>1122.6199999999999</v>
      </c>
      <c r="M141" s="125">
        <f t="shared" si="18"/>
        <v>7672.28</v>
      </c>
      <c r="N141" s="126">
        <f t="shared" ref="N141:N204" si="19">O140</f>
        <v>572.96</v>
      </c>
      <c r="O141" s="23">
        <v>575.54999999999995</v>
      </c>
      <c r="P141" s="23">
        <f t="shared" si="15"/>
        <v>7769.9999999997499</v>
      </c>
      <c r="Q141" s="23">
        <f t="shared" ref="Q141:Q204" si="20">R140</f>
        <v>3.72</v>
      </c>
      <c r="R141" s="23">
        <v>3.73</v>
      </c>
      <c r="S141" s="23">
        <f t="shared" si="16"/>
        <v>29.9999999999994</v>
      </c>
      <c r="T141" s="123">
        <f t="shared" si="17"/>
        <v>7739.9999999997599</v>
      </c>
      <c r="U141" s="127"/>
      <c r="V141" s="23">
        <v>3.32</v>
      </c>
      <c r="W141" s="23">
        <v>0</v>
      </c>
      <c r="X141" s="23"/>
      <c r="Y141" s="23"/>
      <c r="Z141" s="23"/>
      <c r="AA141" s="23"/>
      <c r="AB141" s="123" t="s">
        <v>41</v>
      </c>
    </row>
    <row r="142" spans="1:28">
      <c r="A142" s="97">
        <f t="shared" si="14"/>
        <v>144</v>
      </c>
      <c r="B142" s="113">
        <v>45887</v>
      </c>
      <c r="C142" s="19">
        <v>45887</v>
      </c>
      <c r="D142" s="129">
        <v>0.32291666666666702</v>
      </c>
      <c r="E142" s="130">
        <v>0.78125</v>
      </c>
      <c r="F142" s="124">
        <v>1200.6300000000001</v>
      </c>
      <c r="G142" s="23">
        <v>1183.8499999999999</v>
      </c>
      <c r="H142" s="23">
        <v>1178.29</v>
      </c>
      <c r="I142" s="23">
        <v>1228.1500000000001</v>
      </c>
      <c r="J142" s="23">
        <v>1231.08</v>
      </c>
      <c r="K142" s="23">
        <v>1216.6400000000001</v>
      </c>
      <c r="L142" s="23">
        <v>1231.6300000000001</v>
      </c>
      <c r="M142" s="125">
        <f t="shared" si="18"/>
        <v>8470.27</v>
      </c>
      <c r="N142" s="126">
        <f t="shared" si="19"/>
        <v>575.54999999999995</v>
      </c>
      <c r="O142" s="23">
        <v>578.36</v>
      </c>
      <c r="P142" s="23">
        <f t="shared" si="15"/>
        <v>8430.0000000001801</v>
      </c>
      <c r="Q142" s="23">
        <f t="shared" si="20"/>
        <v>3.73</v>
      </c>
      <c r="R142" s="23">
        <v>3.75</v>
      </c>
      <c r="S142" s="23">
        <f t="shared" si="16"/>
        <v>60.000000000000099</v>
      </c>
      <c r="T142" s="123">
        <f t="shared" si="17"/>
        <v>8370.0000000001801</v>
      </c>
      <c r="U142" s="127"/>
      <c r="V142" s="23">
        <v>4</v>
      </c>
      <c r="W142" s="23">
        <v>0</v>
      </c>
      <c r="X142" s="23"/>
      <c r="Y142" s="23"/>
      <c r="Z142" s="23"/>
      <c r="AA142" s="23"/>
      <c r="AB142" s="123" t="s">
        <v>41</v>
      </c>
    </row>
    <row r="143" spans="1:28">
      <c r="A143" s="97">
        <f t="shared" si="14"/>
        <v>145</v>
      </c>
      <c r="B143" s="113">
        <v>45888</v>
      </c>
      <c r="C143" s="19">
        <v>45888</v>
      </c>
      <c r="D143" s="23"/>
      <c r="E143" s="123"/>
      <c r="F143" s="124">
        <v>1090.8699999999999</v>
      </c>
      <c r="G143" s="23">
        <v>1085.42</v>
      </c>
      <c r="H143" s="23">
        <v>1077.3800000000001</v>
      </c>
      <c r="I143" s="23">
        <v>1127.23</v>
      </c>
      <c r="J143" s="23">
        <v>1130.52</v>
      </c>
      <c r="K143" s="23">
        <v>1132.5999999999999</v>
      </c>
      <c r="L143" s="23">
        <v>1142.3</v>
      </c>
      <c r="M143" s="125">
        <f t="shared" si="18"/>
        <v>7786.32</v>
      </c>
      <c r="N143" s="126">
        <f t="shared" si="19"/>
        <v>578.36</v>
      </c>
      <c r="O143" s="23">
        <v>580.92999999999995</v>
      </c>
      <c r="P143" s="23">
        <f t="shared" si="15"/>
        <v>7709.9999999998099</v>
      </c>
      <c r="Q143" s="23">
        <f t="shared" si="20"/>
        <v>3.75</v>
      </c>
      <c r="R143" s="23">
        <v>3.76</v>
      </c>
      <c r="S143" s="23">
        <f t="shared" si="16"/>
        <v>29.9999999999994</v>
      </c>
      <c r="T143" s="123">
        <f t="shared" si="17"/>
        <v>7679.9999999998099</v>
      </c>
      <c r="U143" s="127"/>
      <c r="V143" s="23"/>
      <c r="W143" s="23"/>
      <c r="X143" s="23"/>
      <c r="Y143" s="23"/>
      <c r="Z143" s="23"/>
      <c r="AA143" s="23"/>
      <c r="AB143" s="123"/>
    </row>
    <row r="144" spans="1:28">
      <c r="A144" s="97">
        <f t="shared" si="14"/>
        <v>146</v>
      </c>
      <c r="B144" s="113">
        <v>45889</v>
      </c>
      <c r="C144" s="19">
        <v>45889</v>
      </c>
      <c r="D144" s="23"/>
      <c r="E144" s="123"/>
      <c r="F144" s="124">
        <v>171.37</v>
      </c>
      <c r="G144" s="23">
        <v>165.42</v>
      </c>
      <c r="H144" s="23">
        <v>176.65</v>
      </c>
      <c r="I144" s="23">
        <v>180.85</v>
      </c>
      <c r="J144" s="23">
        <v>182.66</v>
      </c>
      <c r="K144" s="23">
        <v>183.78</v>
      </c>
      <c r="L144" s="23">
        <v>181.44</v>
      </c>
      <c r="M144" s="125">
        <f t="shared" si="18"/>
        <v>1242.17</v>
      </c>
      <c r="N144" s="126">
        <f t="shared" si="19"/>
        <v>580.92999999999995</v>
      </c>
      <c r="O144" s="23">
        <v>581.29999999999995</v>
      </c>
      <c r="P144" s="23">
        <f t="shared" si="15"/>
        <v>1110.00000000001</v>
      </c>
      <c r="Q144" s="23">
        <f t="shared" si="20"/>
        <v>3.76</v>
      </c>
      <c r="R144" s="23">
        <v>3.78</v>
      </c>
      <c r="S144" s="23">
        <f t="shared" si="16"/>
        <v>60.000000000000099</v>
      </c>
      <c r="T144" s="123">
        <f t="shared" si="17"/>
        <v>1050.00000000001</v>
      </c>
      <c r="U144" s="127"/>
      <c r="V144" s="23"/>
      <c r="W144" s="23"/>
      <c r="X144" s="23"/>
      <c r="Y144" s="23"/>
      <c r="Z144" s="23"/>
      <c r="AA144" s="23"/>
      <c r="AB144" s="123"/>
    </row>
    <row r="145" spans="1:28">
      <c r="A145" s="97">
        <f t="shared" si="14"/>
        <v>147</v>
      </c>
      <c r="B145" s="113">
        <v>45890</v>
      </c>
      <c r="C145" s="19">
        <v>45890</v>
      </c>
      <c r="D145" s="23"/>
      <c r="E145" s="123"/>
      <c r="F145" s="124">
        <v>1573.81</v>
      </c>
      <c r="G145" s="23">
        <v>1570.21</v>
      </c>
      <c r="H145" s="23">
        <v>1566.31</v>
      </c>
      <c r="I145" s="23">
        <v>1640.23</v>
      </c>
      <c r="J145" s="23">
        <v>1641.54</v>
      </c>
      <c r="K145" s="23">
        <v>1637.02</v>
      </c>
      <c r="L145" s="23">
        <v>1644.3</v>
      </c>
      <c r="M145" s="125">
        <f t="shared" si="18"/>
        <v>11273.42</v>
      </c>
      <c r="N145" s="126">
        <f t="shared" si="19"/>
        <v>581.29999999999995</v>
      </c>
      <c r="O145" s="23">
        <v>584.99</v>
      </c>
      <c r="P145" s="23">
        <f t="shared" si="15"/>
        <v>11070.0000000002</v>
      </c>
      <c r="Q145" s="23">
        <f t="shared" si="20"/>
        <v>3.78</v>
      </c>
      <c r="R145" s="23">
        <v>3.79</v>
      </c>
      <c r="S145" s="23">
        <f t="shared" si="16"/>
        <v>30.0000000000007</v>
      </c>
      <c r="T145" s="123">
        <f t="shared" si="17"/>
        <v>11040.0000000002</v>
      </c>
      <c r="U145" s="127"/>
      <c r="V145" s="23"/>
      <c r="W145" s="23"/>
      <c r="X145" s="23"/>
      <c r="Y145" s="23"/>
      <c r="Z145" s="23"/>
      <c r="AA145" s="23"/>
      <c r="AB145" s="123"/>
    </row>
    <row r="146" spans="1:28">
      <c r="A146" s="97">
        <f t="shared" si="14"/>
        <v>148</v>
      </c>
      <c r="B146" s="113">
        <v>45891</v>
      </c>
      <c r="C146" s="19">
        <v>45891</v>
      </c>
      <c r="D146" s="23"/>
      <c r="E146" s="123"/>
      <c r="F146" s="124">
        <v>1427.67</v>
      </c>
      <c r="G146" s="23">
        <v>1421.06</v>
      </c>
      <c r="H146" s="23">
        <v>1418.98</v>
      </c>
      <c r="I146" s="23">
        <v>1476.15</v>
      </c>
      <c r="J146" s="23">
        <v>1484.82</v>
      </c>
      <c r="K146" s="23">
        <v>1489.61</v>
      </c>
      <c r="L146" s="23">
        <v>1493.6</v>
      </c>
      <c r="M146" s="125">
        <f t="shared" si="18"/>
        <v>10211.89</v>
      </c>
      <c r="N146" s="126">
        <f t="shared" si="19"/>
        <v>584.99</v>
      </c>
      <c r="O146" s="23">
        <v>588.37</v>
      </c>
      <c r="P146" s="23">
        <f t="shared" si="15"/>
        <v>10140</v>
      </c>
      <c r="Q146" s="23">
        <f t="shared" si="20"/>
        <v>3.79</v>
      </c>
      <c r="R146" s="23">
        <v>3.8</v>
      </c>
      <c r="S146" s="23">
        <f t="shared" si="16"/>
        <v>29.9999999999994</v>
      </c>
      <c r="T146" s="123">
        <f t="shared" si="17"/>
        <v>10110</v>
      </c>
      <c r="U146" s="127"/>
      <c r="V146" s="23"/>
      <c r="W146" s="23"/>
      <c r="X146" s="23"/>
      <c r="Y146" s="23"/>
      <c r="Z146" s="23"/>
      <c r="AA146" s="23"/>
      <c r="AB146" s="123"/>
    </row>
    <row r="147" spans="1:28">
      <c r="A147" s="97">
        <f t="shared" si="14"/>
        <v>149</v>
      </c>
      <c r="B147" s="113">
        <v>45892</v>
      </c>
      <c r="C147" s="19">
        <v>45892</v>
      </c>
      <c r="D147" s="23"/>
      <c r="E147" s="123"/>
      <c r="F147" s="124">
        <v>922.22</v>
      </c>
      <c r="G147" s="23">
        <v>921.86</v>
      </c>
      <c r="H147" s="23">
        <v>915.12</v>
      </c>
      <c r="I147" s="23">
        <v>957.7</v>
      </c>
      <c r="J147" s="23">
        <v>963.8</v>
      </c>
      <c r="K147" s="23">
        <v>64.86</v>
      </c>
      <c r="L147" s="23">
        <v>969.4</v>
      </c>
      <c r="M147" s="125">
        <f t="shared" si="18"/>
        <v>5714.96</v>
      </c>
      <c r="N147" s="126">
        <f t="shared" si="19"/>
        <v>588.37</v>
      </c>
      <c r="O147" s="23">
        <v>590.55999999999995</v>
      </c>
      <c r="P147" s="23">
        <f t="shared" si="15"/>
        <v>6569.9999999998199</v>
      </c>
      <c r="Q147" s="23">
        <f t="shared" si="20"/>
        <v>3.8</v>
      </c>
      <c r="R147" s="23">
        <v>3.81</v>
      </c>
      <c r="S147" s="23">
        <f t="shared" si="16"/>
        <v>30.0000000000007</v>
      </c>
      <c r="T147" s="123">
        <f t="shared" si="17"/>
        <v>6539.9999999998199</v>
      </c>
      <c r="U147" s="127"/>
      <c r="V147" s="23"/>
      <c r="W147" s="23"/>
      <c r="X147" s="23"/>
      <c r="Y147" s="23"/>
      <c r="Z147" s="23"/>
      <c r="AA147" s="23"/>
      <c r="AB147" s="123"/>
    </row>
    <row r="148" spans="1:28">
      <c r="A148" s="97">
        <f t="shared" si="14"/>
        <v>150</v>
      </c>
      <c r="B148" s="113">
        <v>45893</v>
      </c>
      <c r="C148" s="19">
        <v>45893</v>
      </c>
      <c r="D148" s="23"/>
      <c r="E148" s="123"/>
      <c r="F148" s="124">
        <v>442.37</v>
      </c>
      <c r="G148" s="23">
        <v>444.21</v>
      </c>
      <c r="H148" s="23">
        <v>438.82</v>
      </c>
      <c r="I148" s="23">
        <v>460.43</v>
      </c>
      <c r="J148" s="23">
        <v>462.84</v>
      </c>
      <c r="K148" s="23">
        <v>463.93</v>
      </c>
      <c r="L148" s="23">
        <v>464.47</v>
      </c>
      <c r="M148" s="125">
        <f t="shared" si="18"/>
        <v>3177.07</v>
      </c>
      <c r="N148" s="126">
        <f t="shared" si="19"/>
        <v>590.55999999999995</v>
      </c>
      <c r="O148" s="23">
        <v>591.59</v>
      </c>
      <c r="P148" s="23">
        <f t="shared" si="15"/>
        <v>3090.0000000002601</v>
      </c>
      <c r="Q148" s="23">
        <f t="shared" si="20"/>
        <v>3.81</v>
      </c>
      <c r="R148" s="23">
        <v>3.82</v>
      </c>
      <c r="S148" s="23">
        <f t="shared" si="16"/>
        <v>29.9999999999994</v>
      </c>
      <c r="T148" s="123">
        <f t="shared" si="17"/>
        <v>3060.0000000002601</v>
      </c>
      <c r="U148" s="127"/>
      <c r="V148" s="23"/>
      <c r="W148" s="23"/>
      <c r="X148" s="23"/>
      <c r="Y148" s="23"/>
      <c r="Z148" s="23"/>
      <c r="AA148" s="23"/>
      <c r="AB148" s="123"/>
    </row>
    <row r="149" spans="1:28">
      <c r="A149" s="97">
        <f t="shared" si="14"/>
        <v>151</v>
      </c>
      <c r="B149" s="113">
        <v>45894</v>
      </c>
      <c r="C149" s="19">
        <v>45894</v>
      </c>
      <c r="D149" s="23"/>
      <c r="E149" s="123"/>
      <c r="F149" s="124">
        <v>1011.11</v>
      </c>
      <c r="G149" s="23">
        <v>1009.96</v>
      </c>
      <c r="H149" s="23">
        <v>1001.53</v>
      </c>
      <c r="I149" s="23">
        <v>1059.8699999999999</v>
      </c>
      <c r="J149" s="23">
        <v>1061.08</v>
      </c>
      <c r="K149" s="23">
        <v>1062.4100000000001</v>
      </c>
      <c r="L149" s="23">
        <v>1067.3499999999999</v>
      </c>
      <c r="M149" s="125">
        <f t="shared" si="18"/>
        <v>7273.31</v>
      </c>
      <c r="N149" s="126">
        <f t="shared" si="19"/>
        <v>591.59</v>
      </c>
      <c r="O149" s="23">
        <v>593.99</v>
      </c>
      <c r="P149" s="23">
        <f t="shared" si="15"/>
        <v>7199.99999999993</v>
      </c>
      <c r="Q149" s="23">
        <f t="shared" si="20"/>
        <v>3.82</v>
      </c>
      <c r="R149" s="23">
        <v>3.83</v>
      </c>
      <c r="S149" s="23">
        <f t="shared" si="16"/>
        <v>30.0000000000007</v>
      </c>
      <c r="T149" s="123">
        <f t="shared" si="17"/>
        <v>7169.99999999993</v>
      </c>
      <c r="U149" s="127"/>
      <c r="V149" s="23"/>
      <c r="W149" s="23"/>
      <c r="X149" s="23"/>
      <c r="Y149" s="23"/>
      <c r="Z149" s="23"/>
      <c r="AA149" s="23"/>
      <c r="AB149" s="123"/>
    </row>
    <row r="150" spans="1:28">
      <c r="A150" s="97">
        <f t="shared" si="14"/>
        <v>152</v>
      </c>
      <c r="B150" s="113">
        <v>45895</v>
      </c>
      <c r="C150" s="19">
        <v>45895</v>
      </c>
      <c r="D150" s="23"/>
      <c r="E150" s="123"/>
      <c r="F150" s="124">
        <v>837.46</v>
      </c>
      <c r="G150" s="23">
        <v>835.3</v>
      </c>
      <c r="H150" s="23">
        <v>828.16</v>
      </c>
      <c r="I150" s="23">
        <v>865.45</v>
      </c>
      <c r="J150" s="23">
        <v>875.36</v>
      </c>
      <c r="K150" s="23">
        <v>835.3</v>
      </c>
      <c r="L150" s="23">
        <v>877.46</v>
      </c>
      <c r="M150" s="125">
        <f t="shared" si="18"/>
        <v>5954.49</v>
      </c>
      <c r="N150" s="126">
        <f t="shared" si="19"/>
        <v>593.99</v>
      </c>
      <c r="O150" s="23">
        <v>595.98</v>
      </c>
      <c r="P150" s="23">
        <f t="shared" si="15"/>
        <v>5970.00000000003</v>
      </c>
      <c r="Q150" s="23">
        <f t="shared" si="20"/>
        <v>3.83</v>
      </c>
      <c r="R150" s="23">
        <v>3.85</v>
      </c>
      <c r="S150" s="23">
        <f t="shared" si="16"/>
        <v>60.000000000000099</v>
      </c>
      <c r="T150" s="123">
        <f t="shared" si="17"/>
        <v>5910.00000000003</v>
      </c>
      <c r="U150" s="127"/>
      <c r="V150" s="23"/>
      <c r="W150" s="23"/>
      <c r="X150" s="23"/>
      <c r="Y150" s="23"/>
      <c r="Z150" s="23"/>
      <c r="AA150" s="23"/>
      <c r="AB150" s="123"/>
    </row>
    <row r="151" spans="1:28">
      <c r="A151" s="97">
        <f t="shared" si="14"/>
        <v>153</v>
      </c>
      <c r="B151" s="113">
        <v>45896</v>
      </c>
      <c r="C151" s="19">
        <v>45896</v>
      </c>
      <c r="D151" s="23"/>
      <c r="E151" s="123"/>
      <c r="F151" s="124">
        <v>1210.1600000000001</v>
      </c>
      <c r="G151" s="23">
        <v>1211.3</v>
      </c>
      <c r="H151" s="23">
        <v>1197.3</v>
      </c>
      <c r="I151" s="23">
        <v>1255.03</v>
      </c>
      <c r="J151" s="23">
        <v>1270.02</v>
      </c>
      <c r="K151" s="23">
        <v>1272.31</v>
      </c>
      <c r="L151" s="23">
        <v>1274.78</v>
      </c>
      <c r="M151" s="125">
        <f t="shared" si="18"/>
        <v>8690.9</v>
      </c>
      <c r="N151" s="126">
        <f t="shared" si="19"/>
        <v>595.98</v>
      </c>
      <c r="O151" s="23">
        <v>598.85</v>
      </c>
      <c r="P151" s="23">
        <f t="shared" si="15"/>
        <v>8610.0000000000091</v>
      </c>
      <c r="Q151" s="23">
        <f t="shared" si="20"/>
        <v>3.85</v>
      </c>
      <c r="R151" s="23">
        <v>3.86</v>
      </c>
      <c r="S151" s="23">
        <f t="shared" si="16"/>
        <v>29.9999999999994</v>
      </c>
      <c r="T151" s="123">
        <f t="shared" si="17"/>
        <v>8580.0000000000091</v>
      </c>
      <c r="U151" s="127"/>
      <c r="V151" s="23"/>
      <c r="W151" s="23"/>
      <c r="X151" s="23"/>
      <c r="Y151" s="23"/>
      <c r="Z151" s="23"/>
      <c r="AA151" s="23"/>
      <c r="AB151" s="123"/>
    </row>
    <row r="152" spans="1:28">
      <c r="A152" s="97">
        <f t="shared" si="14"/>
        <v>154</v>
      </c>
      <c r="B152" s="113">
        <v>45897</v>
      </c>
      <c r="C152" s="19">
        <v>45897</v>
      </c>
      <c r="D152" s="23"/>
      <c r="E152" s="123"/>
      <c r="F152" s="124">
        <v>1202.48</v>
      </c>
      <c r="G152" s="23">
        <v>1199.74</v>
      </c>
      <c r="H152" s="23">
        <v>1191.04</v>
      </c>
      <c r="I152" s="23">
        <v>1249.1500000000001</v>
      </c>
      <c r="J152" s="23">
        <v>1264.55</v>
      </c>
      <c r="K152" s="23">
        <v>1258.46</v>
      </c>
      <c r="L152" s="23">
        <v>1273.23</v>
      </c>
      <c r="M152" s="125">
        <f t="shared" si="18"/>
        <v>8638.65</v>
      </c>
      <c r="N152" s="126">
        <f t="shared" si="19"/>
        <v>598.85</v>
      </c>
      <c r="O152" s="23">
        <v>601.71</v>
      </c>
      <c r="P152" s="23">
        <f t="shared" si="15"/>
        <v>8580.00000000004</v>
      </c>
      <c r="Q152" s="23">
        <f t="shared" si="20"/>
        <v>3.86</v>
      </c>
      <c r="R152" s="23">
        <v>3.87</v>
      </c>
      <c r="S152" s="23">
        <f t="shared" si="16"/>
        <v>30.0000000000007</v>
      </c>
      <c r="T152" s="123">
        <f t="shared" si="17"/>
        <v>8550.00000000004</v>
      </c>
      <c r="U152" s="127"/>
      <c r="V152" s="23"/>
      <c r="W152" s="23"/>
      <c r="X152" s="23"/>
      <c r="Y152" s="23"/>
      <c r="Z152" s="23"/>
      <c r="AA152" s="23"/>
      <c r="AB152" s="123"/>
    </row>
    <row r="153" spans="1:28">
      <c r="A153" s="97">
        <f t="shared" si="14"/>
        <v>155</v>
      </c>
      <c r="B153" s="113">
        <v>45898</v>
      </c>
      <c r="C153" s="19">
        <v>45898</v>
      </c>
      <c r="D153" s="23"/>
      <c r="E153" s="123"/>
      <c r="F153" s="124">
        <v>976</v>
      </c>
      <c r="G153" s="23">
        <v>976.06</v>
      </c>
      <c r="H153" s="23">
        <v>961.3</v>
      </c>
      <c r="I153" s="23">
        <v>1009.54</v>
      </c>
      <c r="J153" s="23">
        <v>1018.35</v>
      </c>
      <c r="K153" s="23">
        <v>1025.02</v>
      </c>
      <c r="L153" s="23">
        <v>1024.4000000000001</v>
      </c>
      <c r="M153" s="125">
        <f t="shared" si="18"/>
        <v>6990.67</v>
      </c>
      <c r="N153" s="126">
        <f t="shared" si="19"/>
        <v>601.71</v>
      </c>
      <c r="O153" s="23">
        <v>604.02</v>
      </c>
      <c r="P153" s="23">
        <f t="shared" si="15"/>
        <v>6929.9999999998399</v>
      </c>
      <c r="Q153" s="23">
        <f t="shared" si="20"/>
        <v>3.87</v>
      </c>
      <c r="R153" s="23">
        <v>3.89</v>
      </c>
      <c r="S153" s="23">
        <f t="shared" si="16"/>
        <v>60.000000000000099</v>
      </c>
      <c r="T153" s="123">
        <f t="shared" si="17"/>
        <v>6869.9999999998399</v>
      </c>
      <c r="U153" s="127"/>
      <c r="V153" s="23"/>
      <c r="W153" s="23"/>
      <c r="X153" s="23"/>
      <c r="Y153" s="23"/>
      <c r="Z153" s="23"/>
      <c r="AA153" s="23"/>
      <c r="AB153" s="123"/>
    </row>
    <row r="154" spans="1:28">
      <c r="A154" s="97">
        <f t="shared" si="14"/>
        <v>156</v>
      </c>
      <c r="B154" s="113">
        <v>45899</v>
      </c>
      <c r="C154" s="19">
        <v>45899</v>
      </c>
      <c r="D154" s="23"/>
      <c r="E154" s="123"/>
      <c r="F154" s="124">
        <v>1000.41</v>
      </c>
      <c r="G154" s="23">
        <v>1000.89</v>
      </c>
      <c r="H154" s="23">
        <v>991.85</v>
      </c>
      <c r="I154" s="23">
        <v>1046.3900000000001</v>
      </c>
      <c r="J154" s="23">
        <v>1047.52</v>
      </c>
      <c r="K154" s="23">
        <v>1048.1300000000001</v>
      </c>
      <c r="L154" s="23">
        <v>1045.28</v>
      </c>
      <c r="M154" s="125">
        <f t="shared" si="18"/>
        <v>7180.47</v>
      </c>
      <c r="N154" s="126">
        <f t="shared" si="19"/>
        <v>604.02</v>
      </c>
      <c r="O154" s="23">
        <v>606.39</v>
      </c>
      <c r="P154" s="23">
        <f t="shared" si="15"/>
        <v>7110.00000000001</v>
      </c>
      <c r="Q154" s="23">
        <f t="shared" si="20"/>
        <v>3.89</v>
      </c>
      <c r="R154" s="23">
        <v>3.9</v>
      </c>
      <c r="S154" s="23">
        <f t="shared" si="16"/>
        <v>29.9999999999994</v>
      </c>
      <c r="T154" s="123">
        <f t="shared" si="17"/>
        <v>7080.00000000001</v>
      </c>
      <c r="U154" s="127"/>
      <c r="V154" s="23"/>
      <c r="W154" s="23"/>
      <c r="X154" s="23"/>
      <c r="Y154" s="23"/>
      <c r="Z154" s="23"/>
      <c r="AA154" s="23"/>
      <c r="AB154" s="123"/>
    </row>
    <row r="155" spans="1:28">
      <c r="A155" s="97">
        <f t="shared" si="14"/>
        <v>157</v>
      </c>
      <c r="B155" s="113">
        <v>45900</v>
      </c>
      <c r="C155" s="19">
        <v>45900</v>
      </c>
      <c r="D155" s="23"/>
      <c r="E155" s="123"/>
      <c r="F155" s="124">
        <v>1169.51</v>
      </c>
      <c r="G155" s="23">
        <v>1171.8599999999999</v>
      </c>
      <c r="H155" s="23">
        <v>1162.0999999999999</v>
      </c>
      <c r="I155" s="23">
        <v>1218.53</v>
      </c>
      <c r="J155" s="23">
        <v>1219.98</v>
      </c>
      <c r="K155" s="23">
        <v>1223.31</v>
      </c>
      <c r="L155" s="23">
        <v>1220.9100000000001</v>
      </c>
      <c r="M155" s="125">
        <f t="shared" si="18"/>
        <v>8386.2000000000007</v>
      </c>
      <c r="N155" s="126">
        <f t="shared" si="19"/>
        <v>606.39</v>
      </c>
      <c r="O155" s="23">
        <v>609.16</v>
      </c>
      <c r="P155" s="23">
        <f t="shared" si="15"/>
        <v>8309.9999999999509</v>
      </c>
      <c r="Q155" s="23">
        <f t="shared" si="20"/>
        <v>3.9</v>
      </c>
      <c r="R155" s="23">
        <v>3.91</v>
      </c>
      <c r="S155" s="23">
        <f t="shared" si="16"/>
        <v>30.0000000000007</v>
      </c>
      <c r="T155" s="123">
        <f t="shared" si="17"/>
        <v>8279.9999999999509</v>
      </c>
      <c r="U155" s="127"/>
      <c r="V155" s="23"/>
      <c r="W155" s="23"/>
      <c r="X155" s="23"/>
      <c r="Y155" s="23"/>
      <c r="Z155" s="23"/>
      <c r="AA155" s="23"/>
      <c r="AB155" s="123"/>
    </row>
    <row r="156" spans="1:28">
      <c r="A156" s="97">
        <f t="shared" si="14"/>
        <v>158</v>
      </c>
      <c r="B156" s="113">
        <v>45901</v>
      </c>
      <c r="C156" s="19">
        <v>45901</v>
      </c>
      <c r="D156" s="23"/>
      <c r="E156" s="123"/>
      <c r="F156" s="124">
        <v>838.18</v>
      </c>
      <c r="G156" s="23">
        <v>837.18</v>
      </c>
      <c r="H156" s="23">
        <v>829.01</v>
      </c>
      <c r="I156" s="23">
        <v>867.26</v>
      </c>
      <c r="J156" s="23">
        <v>877.38</v>
      </c>
      <c r="K156" s="23">
        <v>880.51</v>
      </c>
      <c r="L156" s="23">
        <v>880.84</v>
      </c>
      <c r="M156" s="125">
        <f t="shared" si="18"/>
        <v>6010.36</v>
      </c>
      <c r="N156" s="126">
        <f t="shared" si="19"/>
        <v>609.16</v>
      </c>
      <c r="O156" s="23">
        <v>611.19000000000005</v>
      </c>
      <c r="P156" s="23">
        <f t="shared" si="15"/>
        <v>6090.0000000002601</v>
      </c>
      <c r="Q156" s="23">
        <f t="shared" si="20"/>
        <v>3.91</v>
      </c>
      <c r="R156" s="23">
        <v>3.92</v>
      </c>
      <c r="S156" s="23">
        <f t="shared" si="16"/>
        <v>29.9999999999994</v>
      </c>
      <c r="T156" s="123">
        <f t="shared" si="17"/>
        <v>6060.0000000002601</v>
      </c>
      <c r="U156" s="127"/>
      <c r="V156" s="23"/>
      <c r="W156" s="23"/>
      <c r="X156" s="23"/>
      <c r="Y156" s="23"/>
      <c r="Z156" s="23"/>
      <c r="AA156" s="23"/>
      <c r="AB156" s="123"/>
    </row>
    <row r="157" spans="1:28">
      <c r="A157" s="97">
        <f t="shared" si="14"/>
        <v>159</v>
      </c>
      <c r="B157" s="113">
        <v>45902</v>
      </c>
      <c r="C157" s="19">
        <v>45902</v>
      </c>
      <c r="D157" s="23"/>
      <c r="E157" s="123"/>
      <c r="F157" s="124">
        <v>1372.37</v>
      </c>
      <c r="G157" s="23">
        <v>1357.89</v>
      </c>
      <c r="H157" s="23">
        <v>1362.1</v>
      </c>
      <c r="I157" s="23">
        <v>1407.4</v>
      </c>
      <c r="J157" s="23" t="s">
        <v>42</v>
      </c>
      <c r="K157" s="23">
        <v>1435.63</v>
      </c>
      <c r="L157" s="23">
        <v>1429.63</v>
      </c>
      <c r="M157" s="125">
        <f t="shared" si="18"/>
        <v>8365.02</v>
      </c>
      <c r="N157" s="126">
        <f t="shared" si="19"/>
        <v>611.19000000000005</v>
      </c>
      <c r="O157" s="23">
        <v>614.38</v>
      </c>
      <c r="P157" s="23">
        <f t="shared" si="15"/>
        <v>9569.9999999998199</v>
      </c>
      <c r="Q157" s="23">
        <f t="shared" si="20"/>
        <v>3.92</v>
      </c>
      <c r="R157" s="23">
        <v>3.93</v>
      </c>
      <c r="S157" s="23">
        <f t="shared" si="16"/>
        <v>30.0000000000007</v>
      </c>
      <c r="T157" s="123">
        <f t="shared" si="17"/>
        <v>9539.9999999998199</v>
      </c>
      <c r="U157" s="127"/>
      <c r="V157" s="23"/>
      <c r="W157" s="23"/>
      <c r="X157" s="23"/>
      <c r="Y157" s="23"/>
      <c r="Z157" s="23"/>
      <c r="AA157" s="23"/>
      <c r="AB157" s="123"/>
    </row>
    <row r="158" spans="1:28">
      <c r="A158" s="97">
        <f t="shared" si="14"/>
        <v>160</v>
      </c>
      <c r="B158" s="113">
        <v>45903</v>
      </c>
      <c r="C158" s="19">
        <v>45903</v>
      </c>
      <c r="D158" s="23"/>
      <c r="E158" s="123"/>
      <c r="F158" s="124">
        <v>1498.19</v>
      </c>
      <c r="G158" s="23">
        <v>1491.35</v>
      </c>
      <c r="H158" s="23">
        <v>1483.3</v>
      </c>
      <c r="I158" s="23">
        <v>1543.29</v>
      </c>
      <c r="J158" s="23">
        <v>1556.2</v>
      </c>
      <c r="K158" s="23">
        <v>1559.05</v>
      </c>
      <c r="L158" s="23">
        <v>1561.51</v>
      </c>
      <c r="M158" s="125">
        <f t="shared" si="18"/>
        <v>10692.89</v>
      </c>
      <c r="N158" s="126">
        <f t="shared" si="19"/>
        <v>614.38</v>
      </c>
      <c r="O158" s="23">
        <v>617.9</v>
      </c>
      <c r="P158" s="23">
        <f t="shared" si="15"/>
        <v>10559.9999999999</v>
      </c>
      <c r="Q158" s="23">
        <f t="shared" si="20"/>
        <v>3.93</v>
      </c>
      <c r="R158" s="23">
        <v>3.94</v>
      </c>
      <c r="S158" s="23">
        <f t="shared" si="16"/>
        <v>29.9999999999994</v>
      </c>
      <c r="T158" s="123">
        <f t="shared" si="17"/>
        <v>10529.9999999999</v>
      </c>
      <c r="U158" s="127"/>
      <c r="V158" s="23"/>
      <c r="W158" s="23"/>
      <c r="X158" s="23"/>
      <c r="Y158" s="23"/>
      <c r="Z158" s="23"/>
      <c r="AA158" s="23"/>
      <c r="AB158" s="123"/>
    </row>
    <row r="159" spans="1:28">
      <c r="A159" s="97">
        <f t="shared" si="14"/>
        <v>161</v>
      </c>
      <c r="B159" s="113">
        <v>45904</v>
      </c>
      <c r="C159" s="19">
        <v>45904</v>
      </c>
      <c r="D159" s="23"/>
      <c r="E159" s="123"/>
      <c r="F159" s="124">
        <v>1054.99</v>
      </c>
      <c r="G159" s="23">
        <v>1059.3699999999999</v>
      </c>
      <c r="H159" s="23">
        <v>1043.0899999999999</v>
      </c>
      <c r="I159" s="23">
        <v>1088.8900000000001</v>
      </c>
      <c r="J159" s="23">
        <v>1103.52</v>
      </c>
      <c r="K159" s="23">
        <v>1110.58</v>
      </c>
      <c r="L159" s="23">
        <v>1111.1110000000001</v>
      </c>
      <c r="M159" s="125">
        <f t="shared" si="18"/>
        <v>7571.5510000000004</v>
      </c>
      <c r="N159" s="126">
        <f t="shared" si="19"/>
        <v>617.9</v>
      </c>
      <c r="O159" s="23">
        <v>620.41</v>
      </c>
      <c r="P159" s="23">
        <f t="shared" si="15"/>
        <v>7529.99999999997</v>
      </c>
      <c r="Q159" s="23">
        <f t="shared" si="20"/>
        <v>3.94</v>
      </c>
      <c r="R159" s="23">
        <v>3.95</v>
      </c>
      <c r="S159" s="23">
        <f t="shared" si="16"/>
        <v>30.0000000000007</v>
      </c>
      <c r="T159" s="123">
        <f t="shared" si="17"/>
        <v>7499.99999999997</v>
      </c>
      <c r="U159" s="127"/>
      <c r="V159" s="23"/>
      <c r="W159" s="23"/>
      <c r="X159" s="23"/>
      <c r="Y159" s="23"/>
      <c r="Z159" s="23"/>
      <c r="AA159" s="23"/>
      <c r="AB159" s="123"/>
    </row>
    <row r="160" spans="1:28">
      <c r="A160" s="97">
        <f t="shared" si="14"/>
        <v>162</v>
      </c>
      <c r="B160" s="113">
        <v>45905</v>
      </c>
      <c r="C160" s="19">
        <v>45905</v>
      </c>
      <c r="D160" s="23"/>
      <c r="E160" s="123"/>
      <c r="F160" s="124">
        <v>687.79</v>
      </c>
      <c r="G160" s="23">
        <v>690.76</v>
      </c>
      <c r="H160" s="23">
        <v>680.01</v>
      </c>
      <c r="I160" s="23">
        <v>712.56</v>
      </c>
      <c r="J160" s="23">
        <v>723.89</v>
      </c>
      <c r="K160" s="23">
        <v>728.39</v>
      </c>
      <c r="L160" s="23">
        <v>728.91</v>
      </c>
      <c r="M160" s="125">
        <f t="shared" si="18"/>
        <v>4952.3100000000004</v>
      </c>
      <c r="N160" s="126">
        <f t="shared" si="19"/>
        <v>620.41</v>
      </c>
      <c r="O160" s="23">
        <v>622.05999999999995</v>
      </c>
      <c r="P160" s="23">
        <f t="shared" si="15"/>
        <v>4949.99999999993</v>
      </c>
      <c r="Q160" s="23">
        <f t="shared" si="20"/>
        <v>3.95</v>
      </c>
      <c r="R160" s="23">
        <v>3.96</v>
      </c>
      <c r="S160" s="23">
        <f t="shared" si="16"/>
        <v>29.9999999999994</v>
      </c>
      <c r="T160" s="123">
        <f t="shared" si="17"/>
        <v>4919.99999999993</v>
      </c>
      <c r="U160" s="127"/>
      <c r="V160" s="23"/>
      <c r="W160" s="23"/>
      <c r="X160" s="23"/>
      <c r="Y160" s="23"/>
      <c r="Z160" s="23"/>
      <c r="AA160" s="23"/>
      <c r="AB160" s="123"/>
    </row>
    <row r="161" spans="1:28">
      <c r="A161" s="97">
        <f t="shared" si="14"/>
        <v>163</v>
      </c>
      <c r="B161" s="113">
        <v>45906</v>
      </c>
      <c r="C161" s="19">
        <v>45906</v>
      </c>
      <c r="D161" s="23"/>
      <c r="E161" s="123"/>
      <c r="F161" s="124">
        <v>345.01</v>
      </c>
      <c r="G161" s="23">
        <v>433.75</v>
      </c>
      <c r="H161" s="23">
        <v>427.06</v>
      </c>
      <c r="I161" s="23">
        <v>449.31</v>
      </c>
      <c r="J161" s="23">
        <v>456.66</v>
      </c>
      <c r="K161" s="23">
        <v>457.7</v>
      </c>
      <c r="L161" s="23">
        <v>458.12</v>
      </c>
      <c r="M161" s="125">
        <f t="shared" si="18"/>
        <v>3027.61</v>
      </c>
      <c r="N161" s="126">
        <f t="shared" si="19"/>
        <v>622.05999999999995</v>
      </c>
      <c r="O161" s="23">
        <v>623.04999999999995</v>
      </c>
      <c r="P161" s="23">
        <f t="shared" si="15"/>
        <v>2970.00000000003</v>
      </c>
      <c r="Q161" s="23">
        <f t="shared" si="20"/>
        <v>3.96</v>
      </c>
      <c r="R161" s="23">
        <v>3.98</v>
      </c>
      <c r="S161" s="23">
        <f t="shared" si="16"/>
        <v>60.000000000000099</v>
      </c>
      <c r="T161" s="123">
        <f t="shared" si="17"/>
        <v>2910.00000000003</v>
      </c>
      <c r="U161" s="127"/>
      <c r="V161" s="23"/>
      <c r="W161" s="23"/>
      <c r="X161" s="23"/>
      <c r="Y161" s="23"/>
      <c r="Z161" s="23"/>
      <c r="AA161" s="23"/>
      <c r="AB161" s="123"/>
    </row>
    <row r="162" spans="1:28">
      <c r="A162" s="97">
        <f t="shared" si="14"/>
        <v>164</v>
      </c>
      <c r="B162" s="113">
        <v>45907</v>
      </c>
      <c r="C162" s="19">
        <v>45907</v>
      </c>
      <c r="D162" s="23"/>
      <c r="E162" s="123"/>
      <c r="F162" s="124">
        <v>78.48</v>
      </c>
      <c r="G162" s="23">
        <v>604.37</v>
      </c>
      <c r="H162" s="23">
        <v>599.53</v>
      </c>
      <c r="I162" s="23">
        <v>627.11</v>
      </c>
      <c r="J162" s="23">
        <v>632.54</v>
      </c>
      <c r="K162" s="23">
        <v>635.14</v>
      </c>
      <c r="L162" s="23">
        <v>634.11</v>
      </c>
      <c r="M162" s="125">
        <f t="shared" si="18"/>
        <v>3811.28</v>
      </c>
      <c r="N162" s="126">
        <f t="shared" si="19"/>
        <v>623.04999999999995</v>
      </c>
      <c r="O162" s="23">
        <v>624.30999999999995</v>
      </c>
      <c r="P162" s="23">
        <f t="shared" si="15"/>
        <v>3779.99999999997</v>
      </c>
      <c r="Q162" s="23">
        <f t="shared" si="20"/>
        <v>3.98</v>
      </c>
      <c r="R162" s="23">
        <v>3.99</v>
      </c>
      <c r="S162" s="23">
        <f t="shared" si="16"/>
        <v>30.0000000000007</v>
      </c>
      <c r="T162" s="123">
        <f t="shared" si="17"/>
        <v>3749.99999999997</v>
      </c>
      <c r="U162" s="127"/>
      <c r="V162" s="23"/>
      <c r="W162" s="23"/>
      <c r="X162" s="23"/>
      <c r="Y162" s="23"/>
      <c r="Z162" s="23"/>
      <c r="AA162" s="23"/>
      <c r="AB162" s="123"/>
    </row>
    <row r="163" spans="1:28">
      <c r="A163" s="97">
        <f t="shared" si="14"/>
        <v>165</v>
      </c>
      <c r="B163" s="113">
        <v>45908</v>
      </c>
      <c r="C163" s="19">
        <v>45908</v>
      </c>
      <c r="D163" s="23"/>
      <c r="E163" s="123"/>
      <c r="F163" s="124">
        <v>638.44000000000005</v>
      </c>
      <c r="G163" s="23">
        <v>638.08000000000004</v>
      </c>
      <c r="H163" s="23">
        <v>630.98</v>
      </c>
      <c r="I163" s="23">
        <v>661.85</v>
      </c>
      <c r="J163" s="23">
        <v>664.81</v>
      </c>
      <c r="K163" s="23">
        <v>666.23</v>
      </c>
      <c r="L163" s="23">
        <v>666.86</v>
      </c>
      <c r="M163" s="125">
        <f t="shared" si="18"/>
        <v>4567.25</v>
      </c>
      <c r="N163" s="126">
        <f t="shared" si="19"/>
        <v>624.30999999999995</v>
      </c>
      <c r="O163" s="23">
        <v>625.82000000000005</v>
      </c>
      <c r="P163" s="23">
        <f t="shared" si="15"/>
        <v>4530.0000000003101</v>
      </c>
      <c r="Q163" s="23">
        <f t="shared" si="20"/>
        <v>3.99</v>
      </c>
      <c r="R163" s="23">
        <v>4</v>
      </c>
      <c r="S163" s="23">
        <f t="shared" si="16"/>
        <v>29.9999999999994</v>
      </c>
      <c r="T163" s="123">
        <f t="shared" si="17"/>
        <v>4500.0000000003101</v>
      </c>
      <c r="U163" s="127"/>
      <c r="V163" s="23"/>
      <c r="W163" s="23"/>
      <c r="X163" s="23"/>
      <c r="Y163" s="23"/>
      <c r="Z163" s="23"/>
      <c r="AA163" s="23"/>
      <c r="AB163" s="123"/>
    </row>
    <row r="164" spans="1:28">
      <c r="A164" s="97">
        <f t="shared" si="14"/>
        <v>166</v>
      </c>
      <c r="B164" s="113">
        <v>45909</v>
      </c>
      <c r="C164" s="19">
        <v>45909</v>
      </c>
      <c r="D164" s="23"/>
      <c r="E164" s="123"/>
      <c r="F164" s="124">
        <v>1700.35</v>
      </c>
      <c r="G164" s="23">
        <v>1690.01</v>
      </c>
      <c r="H164" s="23">
        <v>1689.25</v>
      </c>
      <c r="I164" s="23">
        <v>1756.37</v>
      </c>
      <c r="J164" s="23">
        <v>1769.45</v>
      </c>
      <c r="K164" s="23">
        <v>1768.4</v>
      </c>
      <c r="L164" s="23">
        <v>1767.46</v>
      </c>
      <c r="M164" s="125">
        <f t="shared" si="18"/>
        <v>12141.29</v>
      </c>
      <c r="N164" s="126">
        <f t="shared" si="19"/>
        <v>625.82000000000005</v>
      </c>
      <c r="O164" s="23">
        <v>629.82000000000005</v>
      </c>
      <c r="P164" s="23">
        <f t="shared" si="15"/>
        <v>12000</v>
      </c>
      <c r="Q164" s="23">
        <f t="shared" si="20"/>
        <v>4</v>
      </c>
      <c r="R164" s="23">
        <v>4.01</v>
      </c>
      <c r="S164" s="23">
        <f t="shared" si="16"/>
        <v>29.9999999999994</v>
      </c>
      <c r="T164" s="123">
        <f t="shared" si="17"/>
        <v>11970</v>
      </c>
      <c r="U164" s="127"/>
      <c r="V164" s="23"/>
      <c r="W164" s="23"/>
      <c r="X164" s="23"/>
      <c r="Y164" s="23"/>
      <c r="Z164" s="23"/>
      <c r="AA164" s="23"/>
      <c r="AB164" s="123"/>
    </row>
    <row r="165" spans="1:28">
      <c r="A165" s="97">
        <f t="shared" si="14"/>
        <v>167</v>
      </c>
      <c r="B165" s="113">
        <v>45910</v>
      </c>
      <c r="C165" s="19">
        <v>45910</v>
      </c>
      <c r="D165" s="23"/>
      <c r="E165" s="123"/>
      <c r="F165" s="124">
        <v>1701.76</v>
      </c>
      <c r="G165" s="23">
        <v>1699.02</v>
      </c>
      <c r="H165" s="23">
        <v>1696.45</v>
      </c>
      <c r="I165" s="23">
        <v>1779.69</v>
      </c>
      <c r="J165" s="23">
        <v>1781.76</v>
      </c>
      <c r="K165" s="23">
        <v>1782.04</v>
      </c>
      <c r="L165" s="23">
        <v>1780.85</v>
      </c>
      <c r="M165" s="125">
        <f t="shared" si="18"/>
        <v>12221.57</v>
      </c>
      <c r="N165" s="126">
        <f t="shared" si="19"/>
        <v>629.82000000000005</v>
      </c>
      <c r="O165" s="23">
        <v>633.87</v>
      </c>
      <c r="P165" s="23">
        <f t="shared" si="15"/>
        <v>12149.9999999999</v>
      </c>
      <c r="Q165" s="23">
        <f t="shared" si="20"/>
        <v>4.01</v>
      </c>
      <c r="R165" s="23">
        <v>4.0199999999999996</v>
      </c>
      <c r="S165" s="23">
        <f t="shared" si="16"/>
        <v>29.9999999999994</v>
      </c>
      <c r="T165" s="123">
        <f t="shared" si="17"/>
        <v>12119.9999999999</v>
      </c>
      <c r="U165" s="127"/>
      <c r="V165" s="23"/>
      <c r="W165" s="23"/>
      <c r="X165" s="23"/>
      <c r="Y165" s="23"/>
      <c r="Z165" s="23"/>
      <c r="AA165" s="23"/>
      <c r="AB165" s="123"/>
    </row>
    <row r="166" spans="1:28">
      <c r="A166" s="97">
        <f t="shared" si="14"/>
        <v>168</v>
      </c>
      <c r="B166" s="113">
        <v>45911</v>
      </c>
      <c r="C166" s="19">
        <v>45911</v>
      </c>
      <c r="D166" s="23"/>
      <c r="E166" s="123"/>
      <c r="F166" s="124">
        <v>1903.64</v>
      </c>
      <c r="G166" s="23">
        <v>1863.65</v>
      </c>
      <c r="H166" s="23">
        <v>1832.68</v>
      </c>
      <c r="I166" s="23">
        <v>1957.05</v>
      </c>
      <c r="J166" s="23">
        <v>1979.96</v>
      </c>
      <c r="K166" s="23">
        <v>1963.64</v>
      </c>
      <c r="L166" s="23">
        <v>1977.23</v>
      </c>
      <c r="M166" s="125">
        <f t="shared" si="18"/>
        <v>13477.85</v>
      </c>
      <c r="N166" s="126">
        <f t="shared" si="19"/>
        <v>633.87</v>
      </c>
      <c r="O166" s="23">
        <v>638.29</v>
      </c>
      <c r="P166" s="23">
        <f t="shared" si="15"/>
        <v>13259.9999999999</v>
      </c>
      <c r="Q166" s="23">
        <f t="shared" si="20"/>
        <v>4.0199999999999996</v>
      </c>
      <c r="R166" s="23">
        <v>4.04</v>
      </c>
      <c r="S166" s="23">
        <f t="shared" si="16"/>
        <v>60.0000000000014</v>
      </c>
      <c r="T166" s="123">
        <f t="shared" si="17"/>
        <v>13199.9999999999</v>
      </c>
      <c r="U166" s="127"/>
      <c r="V166" s="23"/>
      <c r="W166" s="23"/>
      <c r="X166" s="23"/>
      <c r="Y166" s="23"/>
      <c r="Z166" s="23"/>
      <c r="AA166" s="23"/>
      <c r="AB166" s="123"/>
    </row>
    <row r="167" spans="1:28">
      <c r="A167" s="97">
        <f t="shared" si="14"/>
        <v>169</v>
      </c>
      <c r="B167" s="113">
        <v>45912</v>
      </c>
      <c r="C167" s="19">
        <v>45912</v>
      </c>
      <c r="D167" s="23"/>
      <c r="E167" s="123"/>
      <c r="F167" s="124">
        <v>1441.41</v>
      </c>
      <c r="G167" s="23">
        <v>1413.33</v>
      </c>
      <c r="H167" s="23">
        <v>1429.64</v>
      </c>
      <c r="I167" s="23">
        <v>1461.21</v>
      </c>
      <c r="J167" s="23">
        <v>1480.86</v>
      </c>
      <c r="K167" s="23">
        <v>1474.29</v>
      </c>
      <c r="L167" s="23">
        <v>1472.87</v>
      </c>
      <c r="M167" s="125">
        <f t="shared" si="18"/>
        <v>10173.61</v>
      </c>
      <c r="N167" s="126">
        <f t="shared" si="19"/>
        <v>638.29</v>
      </c>
      <c r="O167" s="23">
        <v>641.64</v>
      </c>
      <c r="P167" s="23">
        <f t="shared" si="15"/>
        <v>10050.0000000001</v>
      </c>
      <c r="Q167" s="23">
        <f t="shared" si="20"/>
        <v>4.04</v>
      </c>
      <c r="R167" s="23">
        <v>4.05</v>
      </c>
      <c r="S167" s="23">
        <f t="shared" si="16"/>
        <v>29.9999999999994</v>
      </c>
      <c r="T167" s="123">
        <f t="shared" si="17"/>
        <v>10020.0000000001</v>
      </c>
      <c r="U167" s="127"/>
      <c r="V167" s="23"/>
      <c r="W167" s="23"/>
      <c r="X167" s="23"/>
      <c r="Y167" s="23"/>
      <c r="Z167" s="23"/>
      <c r="AA167" s="23"/>
      <c r="AB167" s="123"/>
    </row>
    <row r="168" spans="1:28">
      <c r="A168" s="97">
        <f t="shared" si="14"/>
        <v>170</v>
      </c>
      <c r="B168" s="113">
        <v>45913</v>
      </c>
      <c r="C168" s="19">
        <v>45913</v>
      </c>
      <c r="D168" s="23"/>
      <c r="E168" s="123"/>
      <c r="F168" s="124">
        <v>1601.07</v>
      </c>
      <c r="G168" s="23">
        <v>1580.19</v>
      </c>
      <c r="H168" s="23">
        <v>1581.12</v>
      </c>
      <c r="I168" s="23">
        <v>1641.71</v>
      </c>
      <c r="J168" s="23">
        <v>1647.22</v>
      </c>
      <c r="K168" s="23">
        <v>1633.09</v>
      </c>
      <c r="L168" s="23">
        <v>1641.51</v>
      </c>
      <c r="M168" s="125">
        <f t="shared" si="18"/>
        <v>11325.91</v>
      </c>
      <c r="N168" s="126">
        <f t="shared" si="19"/>
        <v>641.64</v>
      </c>
      <c r="O168" s="23">
        <v>645.37</v>
      </c>
      <c r="P168" s="23">
        <f t="shared" si="15"/>
        <v>11190.0000000001</v>
      </c>
      <c r="Q168" s="23">
        <f t="shared" si="20"/>
        <v>4.05</v>
      </c>
      <c r="R168" s="23">
        <v>4.0599999999999996</v>
      </c>
      <c r="S168" s="23">
        <f t="shared" si="16"/>
        <v>29.9999999999994</v>
      </c>
      <c r="T168" s="123">
        <f t="shared" si="17"/>
        <v>11160.0000000001</v>
      </c>
      <c r="U168" s="127"/>
      <c r="V168" s="23"/>
      <c r="W168" s="23"/>
      <c r="X168" s="23"/>
      <c r="Y168" s="23"/>
      <c r="Z168" s="23"/>
      <c r="AA168" s="23"/>
      <c r="AB168" s="123"/>
    </row>
    <row r="169" spans="1:28">
      <c r="A169" s="97">
        <f t="shared" si="14"/>
        <v>171</v>
      </c>
      <c r="B169" s="113">
        <v>45914</v>
      </c>
      <c r="C169" s="19">
        <v>45914</v>
      </c>
      <c r="D169" s="23"/>
      <c r="E169" s="123"/>
      <c r="F169" s="124">
        <v>1000.85</v>
      </c>
      <c r="G169" s="23">
        <v>996.16</v>
      </c>
      <c r="H169" s="23">
        <v>995.89</v>
      </c>
      <c r="I169" s="23">
        <v>1047.29</v>
      </c>
      <c r="J169" s="23">
        <v>1053.1199999999999</v>
      </c>
      <c r="K169" s="23">
        <v>1046.3900000000001</v>
      </c>
      <c r="L169" s="23">
        <v>1041.8399999999999</v>
      </c>
      <c r="M169" s="125">
        <f t="shared" si="18"/>
        <v>7181.54</v>
      </c>
      <c r="N169" s="126">
        <f t="shared" si="19"/>
        <v>645.37</v>
      </c>
      <c r="O169" s="23">
        <v>647.73</v>
      </c>
      <c r="P169" s="23">
        <f t="shared" si="15"/>
        <v>7080.00000000004</v>
      </c>
      <c r="Q169" s="23">
        <f t="shared" si="20"/>
        <v>4.0599999999999996</v>
      </c>
      <c r="R169" s="23">
        <v>4.07</v>
      </c>
      <c r="S169" s="23">
        <f t="shared" si="16"/>
        <v>30.000000000002</v>
      </c>
      <c r="T169" s="123">
        <f t="shared" si="17"/>
        <v>7050.00000000004</v>
      </c>
      <c r="U169" s="127"/>
      <c r="V169" s="23"/>
      <c r="W169" s="23"/>
      <c r="X169" s="23"/>
      <c r="Y169" s="23"/>
      <c r="Z169" s="23"/>
      <c r="AA169" s="23"/>
      <c r="AB169" s="123"/>
    </row>
    <row r="170" spans="1:28">
      <c r="A170" s="97">
        <f t="shared" si="14"/>
        <v>172</v>
      </c>
      <c r="B170" s="113">
        <v>45915</v>
      </c>
      <c r="C170" s="19">
        <v>45915</v>
      </c>
      <c r="D170" s="23"/>
      <c r="E170" s="123"/>
      <c r="F170" s="124">
        <v>1557.15</v>
      </c>
      <c r="G170" s="23">
        <v>1560.66</v>
      </c>
      <c r="H170" s="23">
        <v>1554.7</v>
      </c>
      <c r="I170" s="23">
        <v>1629.84</v>
      </c>
      <c r="J170" s="23">
        <v>1636.19</v>
      </c>
      <c r="K170" s="23">
        <v>1630.5</v>
      </c>
      <c r="L170" s="23">
        <v>1629.97</v>
      </c>
      <c r="M170" s="125">
        <f t="shared" ref="M170" si="21">SUM(F170:L170)</f>
        <v>11199.01</v>
      </c>
      <c r="N170" s="126">
        <f t="shared" ref="N170" si="22">O169</f>
        <v>647.73</v>
      </c>
      <c r="O170" s="23">
        <v>651.41999999999996</v>
      </c>
      <c r="P170" s="23">
        <f t="shared" ref="P170" si="23">MAX((O170-N170)*3000,0)</f>
        <v>11069.9999999998</v>
      </c>
      <c r="Q170" s="23">
        <f t="shared" ref="Q170" si="24">R169</f>
        <v>4.07</v>
      </c>
      <c r="R170" s="23">
        <v>4.08</v>
      </c>
      <c r="S170" s="23">
        <f t="shared" si="16"/>
        <v>29.9999999999994</v>
      </c>
      <c r="T170" s="123">
        <f t="shared" si="17"/>
        <v>11039.9999999998</v>
      </c>
      <c r="U170" s="127"/>
      <c r="V170" s="23"/>
      <c r="W170" s="23"/>
      <c r="X170" s="23"/>
      <c r="Y170" s="23"/>
      <c r="Z170" s="23"/>
      <c r="AA170" s="23"/>
      <c r="AB170" s="123"/>
    </row>
    <row r="171" spans="1:28">
      <c r="A171" s="97">
        <f t="shared" si="14"/>
        <v>173</v>
      </c>
      <c r="B171" s="113">
        <v>45916</v>
      </c>
      <c r="C171" s="19">
        <v>45916</v>
      </c>
      <c r="D171" s="23"/>
      <c r="E171" s="123"/>
      <c r="F171" s="124">
        <v>1661.67</v>
      </c>
      <c r="G171" s="23">
        <v>1630.86</v>
      </c>
      <c r="H171" s="23">
        <v>1655.7</v>
      </c>
      <c r="I171" s="23">
        <v>1687.52</v>
      </c>
      <c r="J171" s="23">
        <v>1706.87</v>
      </c>
      <c r="K171" s="23">
        <v>1712.55</v>
      </c>
      <c r="L171" s="23">
        <v>1706.92</v>
      </c>
      <c r="M171" s="125">
        <f t="shared" si="18"/>
        <v>11762.09</v>
      </c>
      <c r="N171" s="126">
        <f t="shared" si="19"/>
        <v>651.41999999999996</v>
      </c>
      <c r="O171" s="23">
        <v>655.29999999999995</v>
      </c>
      <c r="P171" s="23">
        <f t="shared" si="15"/>
        <v>11640</v>
      </c>
      <c r="Q171" s="23">
        <f t="shared" si="20"/>
        <v>4.08</v>
      </c>
      <c r="R171" s="23">
        <v>4.09</v>
      </c>
      <c r="S171" s="23">
        <f t="shared" si="16"/>
        <v>29.9999999999994</v>
      </c>
      <c r="T171" s="123">
        <f t="shared" si="17"/>
        <v>11610</v>
      </c>
      <c r="U171" s="127"/>
      <c r="V171" s="23"/>
      <c r="W171" s="23"/>
      <c r="X171" s="23"/>
      <c r="Y171" s="23"/>
      <c r="Z171" s="23"/>
      <c r="AA171" s="23"/>
      <c r="AB171" s="123"/>
    </row>
    <row r="172" spans="1:28">
      <c r="A172" s="97">
        <f t="shared" si="14"/>
        <v>174</v>
      </c>
      <c r="B172" s="113">
        <v>45917</v>
      </c>
      <c r="C172" s="19">
        <v>45917</v>
      </c>
      <c r="D172" s="23"/>
      <c r="E172" s="123"/>
      <c r="F172" s="124">
        <v>1674.13</v>
      </c>
      <c r="G172" s="23">
        <v>1655.31</v>
      </c>
      <c r="H172" s="23">
        <v>1670.55</v>
      </c>
      <c r="I172" s="23">
        <v>1735.91</v>
      </c>
      <c r="J172" s="23">
        <v>1743.53</v>
      </c>
      <c r="K172" s="23">
        <v>1747.63</v>
      </c>
      <c r="L172" s="23">
        <v>1751.09</v>
      </c>
      <c r="M172" s="125">
        <f t="shared" si="18"/>
        <v>11978.15</v>
      </c>
      <c r="N172" s="126">
        <f t="shared" si="19"/>
        <v>655.29999999999995</v>
      </c>
      <c r="O172" s="23">
        <v>659.26</v>
      </c>
      <c r="P172" s="23">
        <f t="shared" si="15"/>
        <v>11880.0000000001</v>
      </c>
      <c r="Q172" s="23">
        <f t="shared" si="20"/>
        <v>4.09</v>
      </c>
      <c r="R172" s="23">
        <v>4.0999999999999996</v>
      </c>
      <c r="S172" s="23">
        <f t="shared" si="16"/>
        <v>29.9999999999994</v>
      </c>
      <c r="T172" s="123">
        <f t="shared" si="17"/>
        <v>11850.0000000001</v>
      </c>
      <c r="U172" s="127"/>
      <c r="V172" s="23"/>
      <c r="W172" s="23"/>
      <c r="X172" s="23"/>
      <c r="Y172" s="23"/>
      <c r="Z172" s="23"/>
      <c r="AA172" s="23"/>
      <c r="AB172" s="123"/>
    </row>
    <row r="173" spans="1:28">
      <c r="A173" s="97">
        <f t="shared" si="14"/>
        <v>175</v>
      </c>
      <c r="B173" s="113">
        <v>45918</v>
      </c>
      <c r="C173" s="19">
        <v>45918</v>
      </c>
      <c r="D173" s="23"/>
      <c r="E173" s="123"/>
      <c r="F173" s="124">
        <v>1535.23</v>
      </c>
      <c r="G173" s="23">
        <v>1523.91</v>
      </c>
      <c r="H173" s="23">
        <v>1527.11</v>
      </c>
      <c r="I173" s="23">
        <v>1587.12</v>
      </c>
      <c r="J173" s="23">
        <v>1614.71</v>
      </c>
      <c r="K173" s="23">
        <v>1602.73</v>
      </c>
      <c r="L173" s="23">
        <v>1624.02</v>
      </c>
      <c r="M173" s="125">
        <f t="shared" si="18"/>
        <v>11014.83</v>
      </c>
      <c r="N173" s="126">
        <f t="shared" si="19"/>
        <v>659.26</v>
      </c>
      <c r="O173" s="23">
        <v>662.88</v>
      </c>
      <c r="P173" s="23">
        <f t="shared" si="15"/>
        <v>10860</v>
      </c>
      <c r="Q173" s="23">
        <f t="shared" si="20"/>
        <v>4.0999999999999996</v>
      </c>
      <c r="R173" s="23">
        <v>4.12</v>
      </c>
      <c r="S173" s="23">
        <f t="shared" si="16"/>
        <v>60.0000000000014</v>
      </c>
      <c r="T173" s="123">
        <f t="shared" si="17"/>
        <v>10800</v>
      </c>
      <c r="U173" s="127"/>
      <c r="V173" s="23"/>
      <c r="W173" s="23"/>
      <c r="X173" s="23"/>
      <c r="Y173" s="23"/>
      <c r="Z173" s="23"/>
      <c r="AA173" s="23"/>
      <c r="AB173" s="123"/>
    </row>
    <row r="174" spans="1:28">
      <c r="A174" s="97">
        <f t="shared" si="14"/>
        <v>176</v>
      </c>
      <c r="B174" s="113">
        <v>45919</v>
      </c>
      <c r="C174" s="19">
        <v>45919</v>
      </c>
      <c r="D174" s="23"/>
      <c r="E174" s="123"/>
      <c r="F174" s="124">
        <v>1627.81</v>
      </c>
      <c r="G174" s="23">
        <v>1613.14</v>
      </c>
      <c r="H174" s="23">
        <v>1626.72</v>
      </c>
      <c r="I174" s="23">
        <v>1676.5</v>
      </c>
      <c r="J174" s="23">
        <v>1700.09</v>
      </c>
      <c r="K174" s="23">
        <v>1698.22</v>
      </c>
      <c r="L174" s="23">
        <v>1707.9</v>
      </c>
      <c r="M174" s="125">
        <f t="shared" si="18"/>
        <v>11650.38</v>
      </c>
      <c r="N174" s="126">
        <f t="shared" si="19"/>
        <v>662.88</v>
      </c>
      <c r="O174" s="23">
        <v>666.74</v>
      </c>
      <c r="P174" s="23">
        <f t="shared" si="15"/>
        <v>11580</v>
      </c>
      <c r="Q174" s="23">
        <f t="shared" si="20"/>
        <v>4.12</v>
      </c>
      <c r="R174" s="23">
        <v>4.13</v>
      </c>
      <c r="S174" s="23">
        <f t="shared" si="16"/>
        <v>29.9999999999994</v>
      </c>
      <c r="T174" s="123">
        <f t="shared" si="17"/>
        <v>11550</v>
      </c>
      <c r="U174" s="127"/>
      <c r="V174" s="23"/>
      <c r="W174" s="23"/>
      <c r="X174" s="23"/>
      <c r="Y174" s="23"/>
      <c r="Z174" s="23"/>
      <c r="AA174" s="23"/>
      <c r="AB174" s="123"/>
    </row>
    <row r="175" spans="1:28">
      <c r="A175" s="97">
        <f t="shared" si="14"/>
        <v>177</v>
      </c>
      <c r="B175" s="113">
        <v>45920</v>
      </c>
      <c r="C175" s="19">
        <v>45920</v>
      </c>
      <c r="D175" s="23"/>
      <c r="E175" s="123"/>
      <c r="F175" s="124">
        <v>1445.83</v>
      </c>
      <c r="G175" s="23">
        <v>1433.73</v>
      </c>
      <c r="H175" s="23">
        <v>1447.9</v>
      </c>
      <c r="I175" s="23">
        <v>1490.31</v>
      </c>
      <c r="J175" s="23">
        <v>1510.14</v>
      </c>
      <c r="K175" s="23">
        <v>1508.86</v>
      </c>
      <c r="L175" s="23">
        <v>1516.54</v>
      </c>
      <c r="M175" s="125">
        <f t="shared" si="18"/>
        <v>10353.31</v>
      </c>
      <c r="N175" s="126">
        <f t="shared" si="19"/>
        <v>666.74</v>
      </c>
      <c r="O175" s="23">
        <v>670.16</v>
      </c>
      <c r="P175" s="23">
        <f t="shared" si="15"/>
        <v>10259.9999999999</v>
      </c>
      <c r="Q175" s="23">
        <f t="shared" si="20"/>
        <v>4.13</v>
      </c>
      <c r="R175" s="23">
        <v>4.1399999999999997</v>
      </c>
      <c r="S175" s="23">
        <f t="shared" si="16"/>
        <v>29.9999999999994</v>
      </c>
      <c r="T175" s="123">
        <f t="shared" si="17"/>
        <v>10229.9999999999</v>
      </c>
      <c r="U175" s="127"/>
      <c r="V175" s="23"/>
      <c r="W175" s="23"/>
      <c r="X175" s="23"/>
      <c r="Y175" s="23"/>
      <c r="Z175" s="23"/>
      <c r="AA175" s="23"/>
      <c r="AB175" s="123"/>
    </row>
    <row r="176" spans="1:28">
      <c r="A176" s="97">
        <f t="shared" si="14"/>
        <v>178</v>
      </c>
      <c r="B176" s="113">
        <v>45921</v>
      </c>
      <c r="C176" s="19">
        <v>45921</v>
      </c>
      <c r="D176" s="23"/>
      <c r="E176" s="123"/>
      <c r="F176" s="124">
        <v>1169.51</v>
      </c>
      <c r="G176" s="23">
        <v>1171.29</v>
      </c>
      <c r="H176" s="23">
        <v>1163.0999999999999</v>
      </c>
      <c r="I176" s="23">
        <v>1217.81</v>
      </c>
      <c r="J176" s="23">
        <v>1224.6300000000001</v>
      </c>
      <c r="K176" s="23">
        <v>1222.31</v>
      </c>
      <c r="L176" s="23">
        <v>1219.0999999999999</v>
      </c>
      <c r="M176" s="125">
        <f t="shared" si="18"/>
        <v>8387.75</v>
      </c>
      <c r="N176" s="126">
        <f t="shared" si="19"/>
        <v>670.16</v>
      </c>
      <c r="O176" s="23">
        <v>673.38</v>
      </c>
      <c r="P176" s="23">
        <f t="shared" si="15"/>
        <v>9660.00000000008</v>
      </c>
      <c r="Q176" s="23">
        <f t="shared" si="20"/>
        <v>4.1399999999999997</v>
      </c>
      <c r="R176" s="23">
        <v>4.1500000000000004</v>
      </c>
      <c r="S176" s="23">
        <f t="shared" si="16"/>
        <v>30.000000000002</v>
      </c>
      <c r="T176" s="123">
        <f t="shared" si="17"/>
        <v>9630.00000000008</v>
      </c>
      <c r="U176" s="127"/>
      <c r="V176" s="23"/>
      <c r="W176" s="23"/>
      <c r="X176" s="23"/>
      <c r="Y176" s="23"/>
      <c r="Z176" s="23"/>
      <c r="AA176" s="23"/>
      <c r="AB176" s="123"/>
    </row>
    <row r="177" spans="1:28">
      <c r="A177" s="97">
        <f t="shared" si="14"/>
        <v>179</v>
      </c>
      <c r="B177" s="113">
        <v>45922</v>
      </c>
      <c r="C177" s="19">
        <v>45922</v>
      </c>
      <c r="D177" s="23"/>
      <c r="E177" s="123"/>
      <c r="F177" s="124">
        <v>1050.74</v>
      </c>
      <c r="G177" s="23">
        <v>1044.6099999999999</v>
      </c>
      <c r="H177" s="23">
        <v>1055.53</v>
      </c>
      <c r="I177" s="23">
        <v>1109.8900000000001</v>
      </c>
      <c r="J177" s="23">
        <v>1121.8499999999999</v>
      </c>
      <c r="K177" s="23">
        <v>1111.07</v>
      </c>
      <c r="L177" s="23">
        <v>1129.6099999999999</v>
      </c>
      <c r="M177" s="125">
        <f t="shared" si="18"/>
        <v>7623.3</v>
      </c>
      <c r="N177" s="126">
        <f t="shared" si="19"/>
        <v>673.38</v>
      </c>
      <c r="O177" s="23">
        <v>675.9</v>
      </c>
      <c r="P177" s="23">
        <f t="shared" si="15"/>
        <v>7559.99999999995</v>
      </c>
      <c r="Q177" s="23">
        <f t="shared" si="20"/>
        <v>4.1500000000000004</v>
      </c>
      <c r="R177" s="23">
        <v>4.16</v>
      </c>
      <c r="S177" s="23">
        <f t="shared" si="16"/>
        <v>29.9999999999994</v>
      </c>
      <c r="T177" s="123">
        <f t="shared" si="17"/>
        <v>7529.99999999995</v>
      </c>
      <c r="U177" s="127"/>
      <c r="V177" s="23"/>
      <c r="W177" s="23"/>
      <c r="X177" s="23"/>
      <c r="Y177" s="23"/>
      <c r="Z177" s="23"/>
      <c r="AA177" s="23"/>
      <c r="AB177" s="123"/>
    </row>
    <row r="178" spans="1:28">
      <c r="A178" s="97">
        <f t="shared" si="14"/>
        <v>180</v>
      </c>
      <c r="B178" s="113">
        <v>45923</v>
      </c>
      <c r="C178" s="19">
        <v>45923</v>
      </c>
      <c r="D178" s="129">
        <v>0.29166666666666702</v>
      </c>
      <c r="E178" s="130">
        <v>0.76041666666666696</v>
      </c>
      <c r="F178" s="124">
        <v>1311.89</v>
      </c>
      <c r="G178" s="23">
        <v>1314.2</v>
      </c>
      <c r="H178" s="23">
        <v>1305.7</v>
      </c>
      <c r="I178" s="23">
        <v>1348.42</v>
      </c>
      <c r="J178" s="23">
        <v>1364.49</v>
      </c>
      <c r="K178" s="23">
        <v>1369.36</v>
      </c>
      <c r="L178" s="23">
        <v>1376.28</v>
      </c>
      <c r="M178" s="125">
        <f t="shared" si="18"/>
        <v>9390.34</v>
      </c>
      <c r="N178" s="126">
        <f t="shared" si="19"/>
        <v>675.9</v>
      </c>
      <c r="O178" s="23">
        <v>678.95</v>
      </c>
      <c r="P178" s="23">
        <f t="shared" si="15"/>
        <v>9150.0000000002001</v>
      </c>
      <c r="Q178" s="23">
        <f t="shared" si="20"/>
        <v>4.16</v>
      </c>
      <c r="R178" s="23">
        <v>4.17</v>
      </c>
      <c r="S178" s="23">
        <f t="shared" si="16"/>
        <v>29.9999999999994</v>
      </c>
      <c r="T178" s="123">
        <f t="shared" si="17"/>
        <v>9120.0000000002001</v>
      </c>
      <c r="U178" s="127"/>
      <c r="V178" s="23">
        <v>3.65</v>
      </c>
      <c r="W178" s="23">
        <v>30.41</v>
      </c>
      <c r="X178" s="23"/>
      <c r="Y178" s="23"/>
      <c r="Z178" s="23"/>
      <c r="AA178" s="23"/>
      <c r="AB178" s="123"/>
    </row>
    <row r="179" spans="1:28">
      <c r="A179" s="97">
        <f t="shared" si="14"/>
        <v>181</v>
      </c>
      <c r="B179" s="113">
        <v>45924</v>
      </c>
      <c r="C179" s="19">
        <v>45924</v>
      </c>
      <c r="D179" s="129">
        <v>0.29166666666666702</v>
      </c>
      <c r="E179" s="130">
        <v>0.76041666666666696</v>
      </c>
      <c r="F179" s="124">
        <v>714.39</v>
      </c>
      <c r="G179" s="23">
        <v>719.61</v>
      </c>
      <c r="H179" s="23">
        <v>711.45</v>
      </c>
      <c r="I179" s="23">
        <v>729.71</v>
      </c>
      <c r="J179" s="23">
        <v>735.9</v>
      </c>
      <c r="K179" s="23">
        <v>744.86</v>
      </c>
      <c r="L179" s="23">
        <v>740.93</v>
      </c>
      <c r="M179" s="125">
        <f t="shared" si="18"/>
        <v>5096.8500000000004</v>
      </c>
      <c r="N179" s="126">
        <f t="shared" si="19"/>
        <v>678.95</v>
      </c>
      <c r="O179" s="23">
        <v>680.66</v>
      </c>
      <c r="P179" s="23">
        <f t="shared" si="15"/>
        <v>5129.9999999997699</v>
      </c>
      <c r="Q179" s="23">
        <f t="shared" si="20"/>
        <v>4.17</v>
      </c>
      <c r="R179" s="23">
        <v>4.18</v>
      </c>
      <c r="S179" s="23">
        <f t="shared" si="16"/>
        <v>29.9999999999994</v>
      </c>
      <c r="T179" s="123">
        <f t="shared" si="17"/>
        <v>5099.9999999997699</v>
      </c>
      <c r="U179" s="127"/>
      <c r="V179" s="23">
        <v>2.06</v>
      </c>
      <c r="W179" s="23">
        <v>0</v>
      </c>
      <c r="X179" s="23"/>
      <c r="Y179" s="23"/>
      <c r="Z179" s="23"/>
      <c r="AA179" s="23"/>
      <c r="AB179" s="123" t="s">
        <v>38</v>
      </c>
    </row>
    <row r="180" spans="1:28">
      <c r="A180" s="97">
        <f t="shared" si="14"/>
        <v>182</v>
      </c>
      <c r="B180" s="113">
        <v>45925</v>
      </c>
      <c r="C180" s="19">
        <v>45925</v>
      </c>
      <c r="D180" s="129">
        <v>0.29166666666666702</v>
      </c>
      <c r="E180" s="130">
        <v>0.77083333333333304</v>
      </c>
      <c r="F180" s="124">
        <v>1555.73</v>
      </c>
      <c r="G180" s="23">
        <v>1549.61</v>
      </c>
      <c r="H180" s="23">
        <v>1558.56</v>
      </c>
      <c r="I180" s="23">
        <v>1626.51</v>
      </c>
      <c r="J180" s="23">
        <v>1633.41</v>
      </c>
      <c r="K180" s="23">
        <v>1628.78</v>
      </c>
      <c r="L180" s="23">
        <v>1639.84</v>
      </c>
      <c r="M180" s="125">
        <f t="shared" si="18"/>
        <v>11192.44</v>
      </c>
      <c r="N180" s="126">
        <f t="shared" si="19"/>
        <v>680.66</v>
      </c>
      <c r="O180" s="23">
        <v>684.35</v>
      </c>
      <c r="P180" s="23">
        <f t="shared" si="15"/>
        <v>11070.0000000002</v>
      </c>
      <c r="Q180" s="23">
        <f t="shared" si="20"/>
        <v>4.18</v>
      </c>
      <c r="R180" s="23">
        <v>4.2</v>
      </c>
      <c r="S180" s="23">
        <f t="shared" si="16"/>
        <v>60.0000000000014</v>
      </c>
      <c r="T180" s="123">
        <f t="shared" si="17"/>
        <v>11010.0000000002</v>
      </c>
      <c r="U180" s="127"/>
      <c r="V180" s="23">
        <v>4.1100000000000003</v>
      </c>
      <c r="W180" s="23">
        <v>0</v>
      </c>
      <c r="X180" s="23"/>
      <c r="Y180" s="23"/>
      <c r="Z180" s="23"/>
      <c r="AA180" s="23"/>
      <c r="AB180" s="123" t="s">
        <v>38</v>
      </c>
    </row>
    <row r="181" spans="1:28">
      <c r="A181" s="97">
        <f t="shared" si="14"/>
        <v>183</v>
      </c>
      <c r="B181" s="113">
        <v>45926</v>
      </c>
      <c r="C181" s="19">
        <v>45926</v>
      </c>
      <c r="D181" s="129">
        <v>0.29166666666666702</v>
      </c>
      <c r="E181" s="130">
        <v>0.76041666666666696</v>
      </c>
      <c r="F181" s="124">
        <v>1698.11</v>
      </c>
      <c r="G181" s="23">
        <v>1669.15</v>
      </c>
      <c r="H181" s="23">
        <v>1682.32</v>
      </c>
      <c r="I181" s="23">
        <v>1720.4</v>
      </c>
      <c r="J181" s="23">
        <v>1743.48</v>
      </c>
      <c r="K181" s="23">
        <v>1734.11</v>
      </c>
      <c r="L181" s="23">
        <v>1750.89</v>
      </c>
      <c r="M181" s="125">
        <f t="shared" si="18"/>
        <v>11998.46</v>
      </c>
      <c r="N181" s="126">
        <f t="shared" si="19"/>
        <v>684.35</v>
      </c>
      <c r="O181" s="23">
        <v>688.3</v>
      </c>
      <c r="P181" s="23">
        <f t="shared" si="15"/>
        <v>11849.9999999998</v>
      </c>
      <c r="Q181" s="23">
        <f t="shared" si="20"/>
        <v>4.2</v>
      </c>
      <c r="R181" s="23">
        <v>4.21</v>
      </c>
      <c r="S181" s="23">
        <f t="shared" si="16"/>
        <v>29.9999999999994</v>
      </c>
      <c r="T181" s="123">
        <f t="shared" si="17"/>
        <v>11819.9999999998</v>
      </c>
      <c r="U181" s="127"/>
      <c r="V181" s="23">
        <v>4.82</v>
      </c>
      <c r="W181" s="23">
        <v>0</v>
      </c>
      <c r="X181" s="23"/>
      <c r="Y181" s="23"/>
      <c r="Z181" s="23"/>
      <c r="AA181" s="23"/>
      <c r="AB181" s="123" t="s">
        <v>38</v>
      </c>
    </row>
    <row r="182" spans="1:28">
      <c r="A182" s="97">
        <f t="shared" si="14"/>
        <v>184</v>
      </c>
      <c r="B182" s="113">
        <v>45927</v>
      </c>
      <c r="C182" s="19">
        <v>45927</v>
      </c>
      <c r="D182" s="129">
        <v>0.29166666666666702</v>
      </c>
      <c r="E182" s="130">
        <v>0.76041666666666696</v>
      </c>
      <c r="F182" s="124">
        <v>1475.46</v>
      </c>
      <c r="G182" s="23">
        <v>1464.31</v>
      </c>
      <c r="H182" s="23">
        <v>1470.8</v>
      </c>
      <c r="I182" s="23">
        <v>1535.82</v>
      </c>
      <c r="J182" s="23">
        <v>1555.39</v>
      </c>
      <c r="K182" s="23">
        <v>1541.39</v>
      </c>
      <c r="L182" s="23">
        <v>1559.91</v>
      </c>
      <c r="M182" s="125">
        <f t="shared" si="18"/>
        <v>10603.08</v>
      </c>
      <c r="N182" s="126">
        <f t="shared" si="19"/>
        <v>688.3</v>
      </c>
      <c r="O182" s="23">
        <v>691.79</v>
      </c>
      <c r="P182" s="23">
        <f t="shared" si="15"/>
        <v>10470</v>
      </c>
      <c r="Q182" s="23">
        <f t="shared" si="20"/>
        <v>4.21</v>
      </c>
      <c r="R182" s="23">
        <v>4.22</v>
      </c>
      <c r="S182" s="23">
        <f t="shared" si="16"/>
        <v>29.9999999999994</v>
      </c>
      <c r="T182" s="123">
        <f t="shared" si="17"/>
        <v>10440</v>
      </c>
      <c r="U182" s="127"/>
      <c r="V182" s="23">
        <v>3.86</v>
      </c>
      <c r="W182" s="23">
        <v>0</v>
      </c>
      <c r="X182" s="23"/>
      <c r="Y182" s="23"/>
      <c r="Z182" s="23"/>
      <c r="AA182" s="23"/>
      <c r="AB182" s="123" t="s">
        <v>38</v>
      </c>
    </row>
    <row r="183" spans="1:28">
      <c r="A183" s="97">
        <f t="shared" si="14"/>
        <v>185</v>
      </c>
      <c r="B183" s="113">
        <v>45928</v>
      </c>
      <c r="C183" s="19">
        <v>45928</v>
      </c>
      <c r="D183" s="129">
        <v>0.29166666666666702</v>
      </c>
      <c r="E183" s="130">
        <v>0.75</v>
      </c>
      <c r="F183" s="124">
        <v>609.47</v>
      </c>
      <c r="G183" s="23">
        <v>607.34</v>
      </c>
      <c r="H183" s="23">
        <v>599.6</v>
      </c>
      <c r="I183" s="23">
        <v>619.57000000000005</v>
      </c>
      <c r="J183" s="23">
        <v>630.48</v>
      </c>
      <c r="K183" s="23">
        <v>637.57000000000005</v>
      </c>
      <c r="L183" s="23">
        <v>638.11</v>
      </c>
      <c r="M183" s="125">
        <f t="shared" si="18"/>
        <v>4342.1400000000003</v>
      </c>
      <c r="N183" s="126">
        <f t="shared" si="19"/>
        <v>691.79</v>
      </c>
      <c r="O183" s="23">
        <v>693.21</v>
      </c>
      <c r="P183" s="23">
        <f t="shared" si="15"/>
        <v>4260.0000000002201</v>
      </c>
      <c r="Q183" s="23">
        <f t="shared" si="20"/>
        <v>4.22</v>
      </c>
      <c r="R183" s="23">
        <v>4.24</v>
      </c>
      <c r="S183" s="23">
        <f t="shared" si="16"/>
        <v>60.0000000000014</v>
      </c>
      <c r="T183" s="123">
        <f t="shared" si="17"/>
        <v>4200.0000000002201</v>
      </c>
      <c r="U183" s="127"/>
      <c r="V183" s="23">
        <v>1.75</v>
      </c>
      <c r="W183" s="23">
        <v>0</v>
      </c>
      <c r="X183" s="23"/>
      <c r="Y183" s="23"/>
      <c r="Z183" s="23"/>
      <c r="AA183" s="23"/>
      <c r="AB183" s="123" t="s">
        <v>40</v>
      </c>
    </row>
    <row r="184" spans="1:28">
      <c r="A184" s="97">
        <f t="shared" si="14"/>
        <v>186</v>
      </c>
      <c r="B184" s="113">
        <v>45929</v>
      </c>
      <c r="C184" s="19">
        <v>45929</v>
      </c>
      <c r="D184" s="129">
        <v>0.39583333333333298</v>
      </c>
      <c r="E184" s="130">
        <v>0.71875</v>
      </c>
      <c r="F184" s="124">
        <v>545.63</v>
      </c>
      <c r="G184" s="23">
        <v>554.86</v>
      </c>
      <c r="H184" s="23">
        <v>543.17999999999995</v>
      </c>
      <c r="I184" s="23">
        <v>565.36</v>
      </c>
      <c r="J184" s="23">
        <v>569.80999999999995</v>
      </c>
      <c r="K184" s="23">
        <v>570.30999999999995</v>
      </c>
      <c r="L184" s="23">
        <v>573.94000000000005</v>
      </c>
      <c r="M184" s="125">
        <f t="shared" si="18"/>
        <v>3923.09</v>
      </c>
      <c r="N184" s="126">
        <f t="shared" si="19"/>
        <v>693.21</v>
      </c>
      <c r="O184" s="23">
        <v>694.53</v>
      </c>
      <c r="P184" s="23">
        <f t="shared" si="15"/>
        <v>3959.9999999998099</v>
      </c>
      <c r="Q184" s="23">
        <f t="shared" si="20"/>
        <v>4.24</v>
      </c>
      <c r="R184" s="23">
        <v>4.25</v>
      </c>
      <c r="S184" s="23">
        <f t="shared" si="16"/>
        <v>29.9999999999994</v>
      </c>
      <c r="T184" s="123">
        <f t="shared" si="17"/>
        <v>3929.9999999998099</v>
      </c>
      <c r="U184" s="127"/>
      <c r="V184" s="23">
        <v>1.5</v>
      </c>
      <c r="W184" s="23">
        <v>0</v>
      </c>
      <c r="X184" s="23"/>
      <c r="Y184" s="23"/>
      <c r="Z184" s="23"/>
      <c r="AA184" s="23"/>
      <c r="AB184" s="123" t="s">
        <v>41</v>
      </c>
    </row>
    <row r="185" spans="1:28">
      <c r="A185" s="97">
        <f t="shared" si="14"/>
        <v>187</v>
      </c>
      <c r="B185" s="113">
        <v>45930</v>
      </c>
      <c r="C185" s="19">
        <v>45930</v>
      </c>
      <c r="D185" s="129">
        <v>0.29166666666666702</v>
      </c>
      <c r="E185" s="130">
        <v>0.70833333333333304</v>
      </c>
      <c r="F185" s="124">
        <v>504.35</v>
      </c>
      <c r="G185" s="23">
        <v>502.9</v>
      </c>
      <c r="H185" s="23">
        <v>499.17</v>
      </c>
      <c r="I185" s="23">
        <v>520.85</v>
      </c>
      <c r="J185" s="23">
        <v>525.77</v>
      </c>
      <c r="K185" s="23">
        <v>528.86</v>
      </c>
      <c r="L185" s="23">
        <v>529.78</v>
      </c>
      <c r="M185" s="125">
        <f t="shared" si="18"/>
        <v>3611.68</v>
      </c>
      <c r="N185" s="126">
        <f t="shared" si="19"/>
        <v>694.53</v>
      </c>
      <c r="O185" s="23">
        <v>695.7</v>
      </c>
      <c r="P185" s="23">
        <f t="shared" si="15"/>
        <v>3510.0000000002201</v>
      </c>
      <c r="Q185" s="23">
        <f t="shared" si="20"/>
        <v>4.25</v>
      </c>
      <c r="R185" s="23">
        <v>4.26</v>
      </c>
      <c r="S185" s="23">
        <f t="shared" si="16"/>
        <v>29.9999999999994</v>
      </c>
      <c r="T185" s="123">
        <f t="shared" si="17"/>
        <v>3480.0000000002201</v>
      </c>
      <c r="U185" s="127"/>
      <c r="V185" s="23">
        <v>1.23</v>
      </c>
      <c r="W185" s="23"/>
      <c r="X185" s="23"/>
      <c r="Y185" s="23"/>
      <c r="Z185" s="23"/>
      <c r="AA185" s="23"/>
      <c r="AB185" s="123" t="s">
        <v>38</v>
      </c>
    </row>
    <row r="186" spans="1:28">
      <c r="A186" s="97">
        <f t="shared" si="14"/>
        <v>188</v>
      </c>
      <c r="B186" s="113">
        <v>45931</v>
      </c>
      <c r="C186" s="19">
        <v>45931</v>
      </c>
      <c r="D186" s="129">
        <v>0.28125</v>
      </c>
      <c r="E186" s="130">
        <v>0.75</v>
      </c>
      <c r="F186" s="124">
        <v>587.69000000000005</v>
      </c>
      <c r="G186" s="23">
        <v>584.15</v>
      </c>
      <c r="H186" s="23">
        <v>579.29999999999995</v>
      </c>
      <c r="I186" s="23">
        <v>604.21</v>
      </c>
      <c r="J186" s="23">
        <v>608.53</v>
      </c>
      <c r="K186" s="23">
        <v>611.20000000000005</v>
      </c>
      <c r="L186" s="23">
        <v>612.73</v>
      </c>
      <c r="M186" s="125">
        <f t="shared" si="18"/>
        <v>4187.8100000000004</v>
      </c>
      <c r="N186" s="126">
        <f t="shared" si="19"/>
        <v>695.7</v>
      </c>
      <c r="O186" s="23">
        <v>697.09</v>
      </c>
      <c r="P186" s="23">
        <f t="shared" si="15"/>
        <v>4169.99999999996</v>
      </c>
      <c r="Q186" s="23">
        <f t="shared" si="20"/>
        <v>4.26</v>
      </c>
      <c r="R186" s="23">
        <v>4.2699999999999996</v>
      </c>
      <c r="S186" s="23">
        <f t="shared" si="16"/>
        <v>29.9999999999994</v>
      </c>
      <c r="T186" s="123">
        <f t="shared" si="17"/>
        <v>4139.99999999996</v>
      </c>
      <c r="U186" s="127" t="s">
        <v>43</v>
      </c>
      <c r="V186" s="23" t="s">
        <v>44</v>
      </c>
      <c r="W186" s="23"/>
      <c r="X186" s="23"/>
      <c r="Y186" s="23"/>
      <c r="Z186" s="23"/>
      <c r="AA186" s="23"/>
      <c r="AB186" s="123" t="s">
        <v>38</v>
      </c>
    </row>
    <row r="187" spans="1:28">
      <c r="A187" s="97">
        <f t="shared" si="14"/>
        <v>189</v>
      </c>
      <c r="B187" s="113">
        <v>45932</v>
      </c>
      <c r="C187" s="19">
        <v>45932</v>
      </c>
      <c r="D187" s="129">
        <v>0.32291666666666702</v>
      </c>
      <c r="E187" s="133">
        <v>0.75</v>
      </c>
      <c r="F187" s="101">
        <v>690.26</v>
      </c>
      <c r="G187" s="23">
        <v>691.63</v>
      </c>
      <c r="H187" s="23">
        <v>686.9</v>
      </c>
      <c r="I187" s="23">
        <v>710.95</v>
      </c>
      <c r="J187" s="23">
        <v>721.28</v>
      </c>
      <c r="K187" s="23">
        <v>628.04999999999995</v>
      </c>
      <c r="L187" s="23">
        <v>728.84</v>
      </c>
      <c r="M187" s="125">
        <f t="shared" si="18"/>
        <v>4857.91</v>
      </c>
      <c r="N187" s="126">
        <f t="shared" si="19"/>
        <v>697.09</v>
      </c>
      <c r="O187" s="23">
        <v>698.73</v>
      </c>
      <c r="P187" s="23">
        <f t="shared" si="15"/>
        <v>4919.99999999996</v>
      </c>
      <c r="Q187" s="23">
        <f t="shared" si="20"/>
        <v>4.2699999999999996</v>
      </c>
      <c r="R187" s="23">
        <v>4.28</v>
      </c>
      <c r="S187" s="23">
        <f t="shared" si="16"/>
        <v>30.000000000002</v>
      </c>
      <c r="T187" s="123">
        <f t="shared" si="17"/>
        <v>4889.99999999996</v>
      </c>
      <c r="U187" s="127"/>
      <c r="V187" s="23"/>
      <c r="W187" s="23"/>
      <c r="X187" s="23"/>
      <c r="Y187" s="23"/>
      <c r="Z187" s="23"/>
      <c r="AA187" s="23"/>
      <c r="AB187" s="123" t="s">
        <v>38</v>
      </c>
    </row>
    <row r="188" spans="1:28">
      <c r="A188" s="97">
        <f t="shared" si="14"/>
        <v>190</v>
      </c>
      <c r="B188" s="113">
        <v>45933</v>
      </c>
      <c r="C188" s="19">
        <v>45933</v>
      </c>
      <c r="D188" s="129">
        <v>0.30208333333333298</v>
      </c>
      <c r="E188" s="133">
        <v>0.75</v>
      </c>
      <c r="F188" s="101">
        <v>1539.21</v>
      </c>
      <c r="G188" s="23">
        <v>1534.83</v>
      </c>
      <c r="H188" s="23">
        <v>1530.09</v>
      </c>
      <c r="I188" s="23">
        <v>1601.61</v>
      </c>
      <c r="J188" s="23">
        <v>1607.34</v>
      </c>
      <c r="K188" s="23">
        <v>1609.35</v>
      </c>
      <c r="L188" s="23">
        <v>1616.33</v>
      </c>
      <c r="M188" s="125">
        <f t="shared" si="18"/>
        <v>11038.76</v>
      </c>
      <c r="N188" s="126">
        <f t="shared" si="19"/>
        <v>698.73</v>
      </c>
      <c r="O188" s="23">
        <v>702.36</v>
      </c>
      <c r="P188" s="23">
        <f t="shared" si="15"/>
        <v>10890</v>
      </c>
      <c r="Q188" s="23">
        <f t="shared" si="20"/>
        <v>4.28</v>
      </c>
      <c r="R188" s="23">
        <v>4.3</v>
      </c>
      <c r="S188" s="23">
        <f t="shared" si="16"/>
        <v>59.9999999999987</v>
      </c>
      <c r="T188" s="123">
        <f t="shared" si="17"/>
        <v>10830</v>
      </c>
      <c r="U188" s="127"/>
      <c r="V188" s="23">
        <v>4.33</v>
      </c>
      <c r="W188" s="23">
        <v>0</v>
      </c>
      <c r="X188" s="23"/>
      <c r="Y188" s="23"/>
      <c r="Z188" s="23"/>
      <c r="AA188" s="23"/>
      <c r="AB188" s="123" t="s">
        <v>38</v>
      </c>
    </row>
    <row r="189" spans="1:28">
      <c r="A189" s="97">
        <f t="shared" si="14"/>
        <v>191</v>
      </c>
      <c r="B189" s="113">
        <v>45934</v>
      </c>
      <c r="C189" s="19">
        <v>45934</v>
      </c>
      <c r="D189" s="129">
        <v>0.30208333333333298</v>
      </c>
      <c r="E189" s="133">
        <v>0.75</v>
      </c>
      <c r="F189" s="124">
        <v>1681.98</v>
      </c>
      <c r="G189" s="23">
        <v>1679.47</v>
      </c>
      <c r="H189" s="23">
        <v>1690.98</v>
      </c>
      <c r="I189" s="23">
        <v>1727.02</v>
      </c>
      <c r="J189" s="23">
        <v>1757.05</v>
      </c>
      <c r="K189" s="23">
        <v>1770.87</v>
      </c>
      <c r="L189" s="23">
        <v>1778.2</v>
      </c>
      <c r="M189" s="125">
        <f t="shared" si="18"/>
        <v>12085.57</v>
      </c>
      <c r="N189" s="126">
        <f t="shared" si="19"/>
        <v>702.36</v>
      </c>
      <c r="O189" s="23">
        <v>706.34</v>
      </c>
      <c r="P189" s="23">
        <f t="shared" si="15"/>
        <v>11940.0000000001</v>
      </c>
      <c r="Q189" s="23">
        <f t="shared" si="20"/>
        <v>4.3</v>
      </c>
      <c r="R189" s="23">
        <v>4.3099999999999996</v>
      </c>
      <c r="S189" s="23">
        <f t="shared" si="16"/>
        <v>29.9999999999994</v>
      </c>
      <c r="T189" s="123">
        <f t="shared" ref="T189:T196" si="25">P189-S189</f>
        <v>11910.0000000001</v>
      </c>
      <c r="U189" s="127"/>
      <c r="V189" s="23">
        <v>5.15</v>
      </c>
      <c r="W189" s="23">
        <v>0</v>
      </c>
      <c r="X189" s="23"/>
      <c r="Y189" s="23"/>
      <c r="Z189" s="23"/>
      <c r="AA189" s="23"/>
      <c r="AB189" s="123" t="s">
        <v>38</v>
      </c>
    </row>
    <row r="190" spans="1:28">
      <c r="A190" s="97">
        <f t="shared" si="14"/>
        <v>192</v>
      </c>
      <c r="B190" s="113">
        <v>45935</v>
      </c>
      <c r="C190" s="19">
        <v>45935</v>
      </c>
      <c r="D190" s="129">
        <v>0.29166666666666702</v>
      </c>
      <c r="E190" s="133">
        <v>0.75</v>
      </c>
      <c r="F190" s="124">
        <v>1699.81</v>
      </c>
      <c r="G190" s="23">
        <v>1695.63</v>
      </c>
      <c r="H190" s="23">
        <v>1712.23</v>
      </c>
      <c r="I190" s="23">
        <v>1749.62</v>
      </c>
      <c r="J190" s="23">
        <v>1771.03</v>
      </c>
      <c r="K190" s="23">
        <v>1774.25</v>
      </c>
      <c r="L190" s="23">
        <v>1773.85</v>
      </c>
      <c r="M190" s="125">
        <f t="shared" si="18"/>
        <v>12176.42</v>
      </c>
      <c r="N190" s="126">
        <f t="shared" si="19"/>
        <v>706.34</v>
      </c>
      <c r="O190" s="23">
        <v>710.36</v>
      </c>
      <c r="P190" s="23">
        <f t="shared" si="15"/>
        <v>12059.9999999999</v>
      </c>
      <c r="Q190" s="23">
        <f t="shared" si="20"/>
        <v>4.3099999999999996</v>
      </c>
      <c r="R190" s="23">
        <v>4.32</v>
      </c>
      <c r="S190" s="23">
        <f t="shared" si="16"/>
        <v>30.000000000002</v>
      </c>
      <c r="T190" s="123">
        <f t="shared" si="25"/>
        <v>12029.9999999999</v>
      </c>
      <c r="U190" s="127"/>
      <c r="V190" s="23">
        <v>4.5999999999999996</v>
      </c>
      <c r="W190" s="23">
        <v>0</v>
      </c>
      <c r="X190" s="23"/>
      <c r="Y190" s="23"/>
      <c r="Z190" s="23"/>
      <c r="AA190" s="23"/>
      <c r="AB190" s="123" t="s">
        <v>38</v>
      </c>
    </row>
    <row r="191" spans="1:28">
      <c r="A191" s="97">
        <f t="shared" si="14"/>
        <v>193</v>
      </c>
      <c r="B191" s="113">
        <v>45936</v>
      </c>
      <c r="C191" s="19">
        <v>45936</v>
      </c>
      <c r="D191" s="129">
        <v>0.29166666666666702</v>
      </c>
      <c r="E191" s="130">
        <v>0.76041666666666696</v>
      </c>
      <c r="F191" s="124">
        <v>1713.34</v>
      </c>
      <c r="G191" s="23">
        <v>1694.88</v>
      </c>
      <c r="H191" s="23">
        <v>1709.67</v>
      </c>
      <c r="I191" s="23">
        <v>1726.5</v>
      </c>
      <c r="J191" s="23">
        <v>1765.81</v>
      </c>
      <c r="K191" s="23">
        <v>1780.57</v>
      </c>
      <c r="L191" s="23">
        <v>1775.75</v>
      </c>
      <c r="M191" s="125">
        <f t="shared" si="18"/>
        <v>12166.52</v>
      </c>
      <c r="N191" s="126">
        <f t="shared" si="19"/>
        <v>710.36</v>
      </c>
      <c r="O191" s="23">
        <v>714.36</v>
      </c>
      <c r="P191" s="23">
        <f t="shared" si="15"/>
        <v>12000</v>
      </c>
      <c r="Q191" s="23">
        <f t="shared" si="20"/>
        <v>4.32</v>
      </c>
      <c r="R191" s="23">
        <v>4.33</v>
      </c>
      <c r="S191" s="23">
        <f t="shared" si="16"/>
        <v>29.9999999999994</v>
      </c>
      <c r="T191" s="123">
        <f t="shared" si="25"/>
        <v>11970</v>
      </c>
      <c r="U191" s="127"/>
      <c r="V191" s="23">
        <v>4.83</v>
      </c>
      <c r="W191" s="23">
        <v>0</v>
      </c>
      <c r="X191" s="23"/>
      <c r="Y191" s="23"/>
      <c r="Z191" s="23"/>
      <c r="AA191" s="23"/>
      <c r="AB191" s="123" t="s">
        <v>38</v>
      </c>
    </row>
    <row r="192" spans="1:28">
      <c r="A192" s="97">
        <f t="shared" si="14"/>
        <v>194</v>
      </c>
      <c r="B192" s="113">
        <v>45937</v>
      </c>
      <c r="C192" s="19">
        <v>45937</v>
      </c>
      <c r="D192" s="129">
        <v>0.29166666666666702</v>
      </c>
      <c r="E192" s="130">
        <v>0.75</v>
      </c>
      <c r="F192" s="124">
        <v>1812.1</v>
      </c>
      <c r="G192" s="23" t="s">
        <v>45</v>
      </c>
      <c r="H192" s="23">
        <v>1806.87</v>
      </c>
      <c r="I192" s="23">
        <v>1835.74</v>
      </c>
      <c r="J192" s="23">
        <v>1877.23</v>
      </c>
      <c r="K192" s="23">
        <v>1897.92</v>
      </c>
      <c r="L192" s="23">
        <v>1890.35</v>
      </c>
      <c r="M192" s="125">
        <f t="shared" si="18"/>
        <v>11120.21</v>
      </c>
      <c r="N192" s="126">
        <f t="shared" si="19"/>
        <v>714.36</v>
      </c>
      <c r="O192" s="23">
        <v>718.62</v>
      </c>
      <c r="P192" s="23">
        <f t="shared" si="15"/>
        <v>12780</v>
      </c>
      <c r="Q192" s="23">
        <f t="shared" si="20"/>
        <v>4.33</v>
      </c>
      <c r="R192" s="23">
        <v>4.3499999999999996</v>
      </c>
      <c r="S192" s="23">
        <f t="shared" si="16"/>
        <v>59.9999999999987</v>
      </c>
      <c r="T192" s="123">
        <f t="shared" si="25"/>
        <v>12720</v>
      </c>
      <c r="U192" s="127"/>
      <c r="V192" s="23">
        <v>5.09</v>
      </c>
      <c r="W192" s="23">
        <v>0</v>
      </c>
      <c r="X192" s="23"/>
      <c r="Y192" s="23"/>
      <c r="Z192" s="23"/>
      <c r="AA192" s="23"/>
      <c r="AB192" s="123" t="s">
        <v>38</v>
      </c>
    </row>
    <row r="193" spans="1:70">
      <c r="A193" s="97">
        <f t="shared" si="14"/>
        <v>195</v>
      </c>
      <c r="B193" s="113">
        <v>45938</v>
      </c>
      <c r="C193" s="19">
        <v>45938</v>
      </c>
      <c r="D193" s="129">
        <v>0.30208333333333298</v>
      </c>
      <c r="E193" s="130">
        <v>0.76041666666666696</v>
      </c>
      <c r="F193" s="124">
        <v>1813.89</v>
      </c>
      <c r="G193" s="23">
        <v>1808.94</v>
      </c>
      <c r="H193" s="23">
        <v>1809.55</v>
      </c>
      <c r="I193" s="23">
        <v>1834.74</v>
      </c>
      <c r="J193" s="23">
        <v>1878.04</v>
      </c>
      <c r="K193" s="23">
        <v>1902.36</v>
      </c>
      <c r="L193" s="23">
        <v>1894.45</v>
      </c>
      <c r="M193" s="125">
        <f t="shared" si="18"/>
        <v>12941.97</v>
      </c>
      <c r="N193" s="126">
        <f t="shared" si="19"/>
        <v>718.62</v>
      </c>
      <c r="O193" s="23">
        <v>722.89</v>
      </c>
      <c r="P193" s="23">
        <f t="shared" si="15"/>
        <v>12809.9999999999</v>
      </c>
      <c r="Q193" s="23">
        <f t="shared" si="20"/>
        <v>4.3499999999999996</v>
      </c>
      <c r="R193" s="23">
        <v>4.3600000000000003</v>
      </c>
      <c r="S193" s="23">
        <f t="shared" si="16"/>
        <v>30.000000000002</v>
      </c>
      <c r="T193" s="123">
        <f t="shared" si="25"/>
        <v>12779.9999999999</v>
      </c>
      <c r="U193" s="127"/>
      <c r="V193" s="23">
        <v>4.8499999999999996</v>
      </c>
      <c r="W193" s="23">
        <v>0</v>
      </c>
      <c r="X193" s="23"/>
      <c r="Y193" s="23"/>
      <c r="Z193" s="23"/>
      <c r="AA193" s="23"/>
      <c r="AB193" s="123" t="s">
        <v>38</v>
      </c>
    </row>
    <row r="194" spans="1:70">
      <c r="A194" s="97">
        <f t="shared" si="14"/>
        <v>196</v>
      </c>
      <c r="B194" s="113">
        <v>45939</v>
      </c>
      <c r="C194" s="19">
        <v>45939</v>
      </c>
      <c r="D194" s="129">
        <v>0.30208333333333298</v>
      </c>
      <c r="E194" s="130">
        <v>0.75</v>
      </c>
      <c r="F194" s="124">
        <v>1792.83</v>
      </c>
      <c r="G194" s="23">
        <v>1787.51</v>
      </c>
      <c r="H194" s="23">
        <v>1788.71</v>
      </c>
      <c r="I194" s="23">
        <v>1872.25</v>
      </c>
      <c r="J194" s="23">
        <v>1879.21</v>
      </c>
      <c r="K194" s="23">
        <v>1885.01</v>
      </c>
      <c r="L194" s="23">
        <v>1881.87</v>
      </c>
      <c r="M194" s="125">
        <f t="shared" si="18"/>
        <v>12887.39</v>
      </c>
      <c r="N194" s="126">
        <f t="shared" si="19"/>
        <v>722.89</v>
      </c>
      <c r="O194" s="23">
        <v>727.13</v>
      </c>
      <c r="P194" s="23">
        <f t="shared" si="15"/>
        <v>12720</v>
      </c>
      <c r="Q194" s="23">
        <f t="shared" si="20"/>
        <v>4.3600000000000003</v>
      </c>
      <c r="R194" s="23">
        <v>4.37</v>
      </c>
      <c r="S194" s="23">
        <f t="shared" si="16"/>
        <v>29.9999999999994</v>
      </c>
      <c r="T194" s="123">
        <f t="shared" si="25"/>
        <v>12690</v>
      </c>
      <c r="U194" s="127"/>
      <c r="V194" s="23">
        <v>4.95</v>
      </c>
      <c r="W194" s="23">
        <v>0</v>
      </c>
      <c r="X194" s="23"/>
      <c r="Y194" s="23"/>
      <c r="Z194" s="23"/>
      <c r="AA194" s="23"/>
      <c r="AB194" s="123" t="s">
        <v>38</v>
      </c>
    </row>
    <row r="195" spans="1:70">
      <c r="A195" s="97">
        <f t="shared" ref="A195:A258" si="26">A194+1</f>
        <v>197</v>
      </c>
      <c r="B195" s="113">
        <v>45940</v>
      </c>
      <c r="C195" s="19">
        <v>45940</v>
      </c>
      <c r="D195" s="129">
        <v>0.30208333333333298</v>
      </c>
      <c r="E195" s="130">
        <v>0.75</v>
      </c>
      <c r="F195" s="124">
        <v>1816.44</v>
      </c>
      <c r="G195" s="23">
        <v>1800.7</v>
      </c>
      <c r="H195" s="23">
        <v>1800.04</v>
      </c>
      <c r="I195" s="23">
        <v>1834.25</v>
      </c>
      <c r="J195" s="23">
        <v>1871.73</v>
      </c>
      <c r="K195" s="23">
        <v>1897.17</v>
      </c>
      <c r="L195" s="23">
        <v>1883.73</v>
      </c>
      <c r="M195" s="125">
        <f t="shared" si="18"/>
        <v>12904.06</v>
      </c>
      <c r="N195" s="126">
        <f t="shared" si="19"/>
        <v>727.13</v>
      </c>
      <c r="O195" s="23">
        <v>731.38</v>
      </c>
      <c r="P195" s="23">
        <f t="shared" ref="P195:P258" si="27">MAX((O195-N195)*3000,0)</f>
        <v>12750</v>
      </c>
      <c r="Q195" s="23">
        <f t="shared" si="20"/>
        <v>4.37</v>
      </c>
      <c r="R195" s="23">
        <v>4.38</v>
      </c>
      <c r="S195" s="23">
        <f t="shared" si="16"/>
        <v>29.9999999999994</v>
      </c>
      <c r="T195" s="123">
        <f t="shared" si="25"/>
        <v>12720</v>
      </c>
      <c r="U195" s="127"/>
      <c r="V195" s="23">
        <v>3.92</v>
      </c>
      <c r="W195" s="23">
        <v>0</v>
      </c>
      <c r="X195" s="23"/>
      <c r="Y195" s="23"/>
      <c r="Z195" s="23"/>
      <c r="AA195" s="23"/>
      <c r="AB195" s="123" t="s">
        <v>38</v>
      </c>
      <c r="BJ195" s="97" t="s">
        <v>46</v>
      </c>
    </row>
    <row r="196" spans="1:70">
      <c r="A196" s="97">
        <f t="shared" si="26"/>
        <v>198</v>
      </c>
      <c r="B196" s="113">
        <v>45941</v>
      </c>
      <c r="C196" s="19">
        <v>45941</v>
      </c>
      <c r="D196" s="129">
        <v>0.30208333333333298</v>
      </c>
      <c r="E196" s="130">
        <v>0.75</v>
      </c>
      <c r="F196" s="124">
        <v>1787.44</v>
      </c>
      <c r="G196" s="23">
        <v>1775.32</v>
      </c>
      <c r="H196" s="23">
        <v>1774.44</v>
      </c>
      <c r="I196" s="23">
        <v>1807.9</v>
      </c>
      <c r="J196" s="23">
        <v>1842.33</v>
      </c>
      <c r="K196" s="23">
        <v>1875.4</v>
      </c>
      <c r="L196" s="23">
        <v>1856.03</v>
      </c>
      <c r="M196" s="125">
        <f t="shared" ref="M196:M259" si="28">SUM(F196:L196)</f>
        <v>12718.86</v>
      </c>
      <c r="N196" s="126">
        <f t="shared" si="19"/>
        <v>731.38</v>
      </c>
      <c r="O196" s="23">
        <v>735.57</v>
      </c>
      <c r="P196" s="23">
        <f t="shared" si="27"/>
        <v>12570.0000000002</v>
      </c>
      <c r="Q196" s="23">
        <f t="shared" si="20"/>
        <v>4.38</v>
      </c>
      <c r="R196" s="23">
        <v>4.3899999999999997</v>
      </c>
      <c r="S196" s="23">
        <f t="shared" si="16"/>
        <v>29.9999999999994</v>
      </c>
      <c r="T196" s="123">
        <f t="shared" si="25"/>
        <v>12540.0000000002</v>
      </c>
      <c r="U196" s="127"/>
      <c r="V196" s="23">
        <v>3.47</v>
      </c>
      <c r="W196" s="23">
        <v>0</v>
      </c>
      <c r="X196" s="23"/>
      <c r="Y196" s="23"/>
      <c r="Z196" s="23"/>
      <c r="AA196" s="23"/>
      <c r="AB196" s="123" t="s">
        <v>38</v>
      </c>
    </row>
    <row r="197" spans="1:70">
      <c r="A197" s="97">
        <f t="shared" si="26"/>
        <v>199</v>
      </c>
      <c r="B197" s="113">
        <v>45942</v>
      </c>
      <c r="C197" s="19">
        <v>45942</v>
      </c>
      <c r="D197" s="129">
        <v>0.30208333333333298</v>
      </c>
      <c r="E197" s="130">
        <v>0.75</v>
      </c>
      <c r="F197" s="124">
        <v>1867.67</v>
      </c>
      <c r="G197" s="23">
        <v>1861.09</v>
      </c>
      <c r="H197" s="23">
        <v>1856.38</v>
      </c>
      <c r="I197" s="23">
        <v>1887.57</v>
      </c>
      <c r="J197" s="23">
        <v>1928.33</v>
      </c>
      <c r="K197" s="23">
        <v>1952.53</v>
      </c>
      <c r="L197" s="23">
        <v>1930.04</v>
      </c>
      <c r="M197" s="125">
        <f t="shared" si="28"/>
        <v>13283.61</v>
      </c>
      <c r="N197" s="126">
        <f t="shared" si="19"/>
        <v>735.57</v>
      </c>
      <c r="O197" s="23">
        <v>739.95</v>
      </c>
      <c r="P197" s="23">
        <f t="shared" si="27"/>
        <v>13140</v>
      </c>
      <c r="Q197" s="23">
        <f t="shared" si="20"/>
        <v>4.3899999999999997</v>
      </c>
      <c r="R197" s="23">
        <v>4.4000000000000004</v>
      </c>
      <c r="S197" s="23">
        <f t="shared" ref="S197:S260" si="29">MAX((R197-Q197)*3000,0)</f>
        <v>30.000000000002</v>
      </c>
      <c r="T197" s="123">
        <f t="shared" ref="T197:T258" si="30">P197-S197</f>
        <v>13110</v>
      </c>
      <c r="U197" s="127"/>
      <c r="V197" s="23">
        <v>3.56</v>
      </c>
      <c r="W197" s="23">
        <v>0</v>
      </c>
      <c r="X197" s="23"/>
      <c r="Y197" s="23"/>
      <c r="Z197" s="23"/>
      <c r="AA197" s="23"/>
      <c r="AB197" s="123" t="s">
        <v>38</v>
      </c>
    </row>
    <row r="198" spans="1:70">
      <c r="A198" s="97">
        <f t="shared" si="26"/>
        <v>200</v>
      </c>
      <c r="B198" s="113">
        <v>45943</v>
      </c>
      <c r="C198" s="19">
        <v>45943</v>
      </c>
      <c r="D198" s="129">
        <v>0.30208333333333298</v>
      </c>
      <c r="E198" s="130">
        <v>0.75</v>
      </c>
      <c r="F198" s="124">
        <v>1867.82</v>
      </c>
      <c r="G198" s="23">
        <v>1858.71</v>
      </c>
      <c r="H198" s="23">
        <v>1852.03</v>
      </c>
      <c r="I198" s="23">
        <v>1889.9</v>
      </c>
      <c r="J198" s="23">
        <v>1925.7</v>
      </c>
      <c r="K198" s="23">
        <v>1944.57</v>
      </c>
      <c r="L198" s="23">
        <v>1930.21</v>
      </c>
      <c r="M198" s="125">
        <f t="shared" si="28"/>
        <v>13268.94</v>
      </c>
      <c r="N198" s="126">
        <f t="shared" si="19"/>
        <v>739.95</v>
      </c>
      <c r="O198" s="23">
        <v>744.33</v>
      </c>
      <c r="P198" s="23">
        <f t="shared" si="27"/>
        <v>13140</v>
      </c>
      <c r="Q198" s="23">
        <f t="shared" si="20"/>
        <v>4.4000000000000004</v>
      </c>
      <c r="R198" s="23">
        <v>4.42</v>
      </c>
      <c r="S198" s="23">
        <f t="shared" si="29"/>
        <v>59.9999999999987</v>
      </c>
      <c r="T198" s="123">
        <f t="shared" si="30"/>
        <v>13080</v>
      </c>
      <c r="U198" s="127"/>
      <c r="V198" s="23">
        <v>3.54</v>
      </c>
      <c r="W198" s="23">
        <v>0</v>
      </c>
      <c r="X198" s="23"/>
      <c r="Y198" s="23"/>
      <c r="Z198" s="23"/>
      <c r="AA198" s="23"/>
      <c r="AB198" s="123" t="s">
        <v>38</v>
      </c>
      <c r="BO198" s="97" t="s">
        <v>47</v>
      </c>
    </row>
    <row r="199" spans="1:70">
      <c r="A199" s="97">
        <f t="shared" si="26"/>
        <v>201</v>
      </c>
      <c r="B199" s="113">
        <v>45944</v>
      </c>
      <c r="C199" s="19">
        <v>45944</v>
      </c>
      <c r="D199" s="129">
        <v>0.30208333333333298</v>
      </c>
      <c r="E199" s="130">
        <v>0.75</v>
      </c>
      <c r="F199" s="124">
        <v>1763.81</v>
      </c>
      <c r="G199" s="23">
        <v>1759.32</v>
      </c>
      <c r="H199" s="23">
        <v>1754.68</v>
      </c>
      <c r="I199" s="23">
        <v>1829.96</v>
      </c>
      <c r="J199" s="23">
        <v>1839.21</v>
      </c>
      <c r="K199" s="23">
        <v>1845.26</v>
      </c>
      <c r="L199" s="23">
        <v>1830.99</v>
      </c>
      <c r="M199" s="125">
        <f t="shared" si="28"/>
        <v>12623.23</v>
      </c>
      <c r="N199" s="126">
        <f t="shared" si="19"/>
        <v>744.33</v>
      </c>
      <c r="O199" s="23">
        <v>748.47</v>
      </c>
      <c r="P199" s="23">
        <f t="shared" si="27"/>
        <v>12420</v>
      </c>
      <c r="Q199" s="23">
        <f t="shared" si="20"/>
        <v>4.42</v>
      </c>
      <c r="R199" s="23">
        <v>4.43</v>
      </c>
      <c r="S199" s="23">
        <f t="shared" si="29"/>
        <v>29.9999999999994</v>
      </c>
      <c r="T199" s="123">
        <f t="shared" si="30"/>
        <v>12390</v>
      </c>
      <c r="U199" s="127"/>
      <c r="V199" s="23">
        <v>3.55</v>
      </c>
      <c r="W199" s="23">
        <v>0</v>
      </c>
      <c r="X199" s="23"/>
      <c r="Y199" s="23"/>
      <c r="Z199" s="23"/>
      <c r="AA199" s="23"/>
      <c r="AB199" s="123" t="s">
        <v>38</v>
      </c>
    </row>
    <row r="200" spans="1:70">
      <c r="A200" s="97">
        <f t="shared" si="26"/>
        <v>202</v>
      </c>
      <c r="B200" s="113">
        <v>45945</v>
      </c>
      <c r="C200" s="19">
        <v>45945</v>
      </c>
      <c r="D200" s="129">
        <v>0.30208333333333298</v>
      </c>
      <c r="E200" s="130">
        <v>0.75</v>
      </c>
      <c r="F200" s="124">
        <v>1867.19</v>
      </c>
      <c r="G200" s="23">
        <v>1863.4</v>
      </c>
      <c r="H200" s="23">
        <v>1849.38</v>
      </c>
      <c r="I200" s="23">
        <v>1884.27</v>
      </c>
      <c r="J200" s="23">
        <v>1926.33</v>
      </c>
      <c r="K200" s="23">
        <v>1944.73</v>
      </c>
      <c r="L200" s="23">
        <v>1929.07</v>
      </c>
      <c r="M200" s="125">
        <f t="shared" si="28"/>
        <v>13264.37</v>
      </c>
      <c r="N200" s="126">
        <f t="shared" si="19"/>
        <v>748.47</v>
      </c>
      <c r="O200" s="23">
        <v>752.85</v>
      </c>
      <c r="P200" s="23">
        <f t="shared" si="27"/>
        <v>13140</v>
      </c>
      <c r="Q200" s="23">
        <f t="shared" si="20"/>
        <v>4.43</v>
      </c>
      <c r="R200" s="23">
        <v>4.4400000000000004</v>
      </c>
      <c r="S200" s="23">
        <f t="shared" si="29"/>
        <v>30.000000000002</v>
      </c>
      <c r="T200" s="123">
        <f t="shared" si="30"/>
        <v>13110</v>
      </c>
      <c r="U200" s="127"/>
      <c r="V200" s="23">
        <v>3.55</v>
      </c>
      <c r="W200" s="23">
        <v>0</v>
      </c>
      <c r="X200" s="23"/>
      <c r="Y200" s="23"/>
      <c r="Z200" s="23"/>
      <c r="AA200" s="23"/>
      <c r="AB200" s="123" t="s">
        <v>38</v>
      </c>
      <c r="AS200" s="97" t="s">
        <v>48</v>
      </c>
      <c r="AT200" s="97" t="s">
        <v>43</v>
      </c>
      <c r="BQ200" s="97" t="s">
        <v>49</v>
      </c>
      <c r="BR200" s="97" t="s">
        <v>50</v>
      </c>
    </row>
    <row r="201" spans="1:70">
      <c r="A201" s="97">
        <f t="shared" si="26"/>
        <v>203</v>
      </c>
      <c r="B201" s="113">
        <v>45946</v>
      </c>
      <c r="C201" s="19">
        <v>45946</v>
      </c>
      <c r="D201" s="129">
        <v>0.30208333333333298</v>
      </c>
      <c r="E201" s="130">
        <v>0.75</v>
      </c>
      <c r="F201" s="124">
        <v>1573.87</v>
      </c>
      <c r="G201" s="23">
        <v>1569.51</v>
      </c>
      <c r="H201" s="23">
        <v>1564.28</v>
      </c>
      <c r="I201" s="23">
        <v>1618.25</v>
      </c>
      <c r="J201" s="23">
        <v>1629.43</v>
      </c>
      <c r="K201" s="23">
        <v>1654.59</v>
      </c>
      <c r="L201" s="23">
        <v>1634.81</v>
      </c>
      <c r="M201" s="125">
        <f t="shared" si="28"/>
        <v>11244.74</v>
      </c>
      <c r="N201" s="126">
        <f t="shared" si="19"/>
        <v>752.85</v>
      </c>
      <c r="O201" s="23">
        <v>756.56</v>
      </c>
      <c r="P201" s="23">
        <f t="shared" si="27"/>
        <v>11129.9999999998</v>
      </c>
      <c r="Q201" s="23">
        <f t="shared" si="20"/>
        <v>4.4400000000000004</v>
      </c>
      <c r="R201" s="23">
        <v>4.46</v>
      </c>
      <c r="S201" s="23">
        <f t="shared" si="29"/>
        <v>59.9999999999987</v>
      </c>
      <c r="T201" s="123">
        <f t="shared" si="30"/>
        <v>11069.9999999998</v>
      </c>
      <c r="U201" s="127"/>
      <c r="V201" s="23">
        <v>3.35</v>
      </c>
      <c r="W201" s="23">
        <v>0</v>
      </c>
      <c r="X201" s="23"/>
      <c r="Y201" s="23"/>
      <c r="Z201" s="23"/>
      <c r="AA201" s="23"/>
      <c r="AB201" s="123" t="s">
        <v>38</v>
      </c>
    </row>
    <row r="202" spans="1:70">
      <c r="A202" s="97">
        <f t="shared" si="26"/>
        <v>204</v>
      </c>
      <c r="B202" s="113">
        <v>45947</v>
      </c>
      <c r="C202" s="19">
        <v>45947</v>
      </c>
      <c r="D202" s="129">
        <v>0.30208333333333298</v>
      </c>
      <c r="E202" s="130">
        <v>0.75</v>
      </c>
      <c r="F202" s="124">
        <v>1478.59</v>
      </c>
      <c r="G202" s="23">
        <v>1470.41</v>
      </c>
      <c r="H202" s="23">
        <v>1469.79</v>
      </c>
      <c r="I202" s="23">
        <v>1497.26</v>
      </c>
      <c r="J202" s="23">
        <v>1523.35</v>
      </c>
      <c r="K202" s="23">
        <v>1549.72</v>
      </c>
      <c r="L202" s="23">
        <v>1525.77</v>
      </c>
      <c r="M202" s="125">
        <f t="shared" si="28"/>
        <v>10514.89</v>
      </c>
      <c r="N202" s="126">
        <f t="shared" si="19"/>
        <v>756.56</v>
      </c>
      <c r="O202" s="23">
        <v>760.03</v>
      </c>
      <c r="P202" s="23">
        <f t="shared" si="27"/>
        <v>10410.0000000001</v>
      </c>
      <c r="Q202" s="23">
        <f t="shared" si="20"/>
        <v>4.46</v>
      </c>
      <c r="R202" s="23">
        <v>4.47</v>
      </c>
      <c r="S202" s="23">
        <f t="shared" si="29"/>
        <v>29.9999999999994</v>
      </c>
      <c r="T202" s="123">
        <f t="shared" si="30"/>
        <v>10380.0000000001</v>
      </c>
      <c r="U202" s="127"/>
      <c r="V202" s="23">
        <v>3.25</v>
      </c>
      <c r="W202" s="23">
        <v>0</v>
      </c>
      <c r="X202" s="23"/>
      <c r="Y202" s="23"/>
      <c r="Z202" s="23"/>
      <c r="AA202" s="23"/>
      <c r="AB202" s="123" t="s">
        <v>38</v>
      </c>
    </row>
    <row r="203" spans="1:70">
      <c r="A203" s="97">
        <f t="shared" si="26"/>
        <v>205</v>
      </c>
      <c r="B203" s="113">
        <v>45948</v>
      </c>
      <c r="C203" s="19">
        <v>45948</v>
      </c>
      <c r="D203" s="129">
        <v>0.30208333333333298</v>
      </c>
      <c r="E203" s="130">
        <v>0.75</v>
      </c>
      <c r="F203" s="124">
        <v>1853.81</v>
      </c>
      <c r="G203" s="23">
        <v>1844.61</v>
      </c>
      <c r="H203" s="23">
        <v>1843.7</v>
      </c>
      <c r="I203" s="23">
        <v>1906.49</v>
      </c>
      <c r="J203" s="23">
        <v>1924.97</v>
      </c>
      <c r="K203" s="23">
        <v>1938</v>
      </c>
      <c r="L203" s="23">
        <v>1926.83</v>
      </c>
      <c r="M203" s="125">
        <f t="shared" si="28"/>
        <v>13238.41</v>
      </c>
      <c r="N203" s="126">
        <f t="shared" si="19"/>
        <v>760.03</v>
      </c>
      <c r="O203" s="23">
        <v>764.4</v>
      </c>
      <c r="P203" s="23">
        <f t="shared" si="27"/>
        <v>13110</v>
      </c>
      <c r="Q203" s="23">
        <f t="shared" si="20"/>
        <v>4.47</v>
      </c>
      <c r="R203" s="23">
        <v>4.4800000000000004</v>
      </c>
      <c r="S203" s="23">
        <f t="shared" si="29"/>
        <v>30.000000000002</v>
      </c>
      <c r="T203" s="123">
        <f t="shared" si="30"/>
        <v>13080</v>
      </c>
      <c r="U203" s="127"/>
      <c r="V203" s="23">
        <v>3.95</v>
      </c>
      <c r="W203" s="23">
        <v>0</v>
      </c>
      <c r="X203" s="23"/>
      <c r="Y203" s="23"/>
      <c r="Z203" s="23"/>
      <c r="AA203" s="23"/>
      <c r="AB203" s="123" t="s">
        <v>38</v>
      </c>
    </row>
    <row r="204" spans="1:70">
      <c r="A204" s="97">
        <f t="shared" si="26"/>
        <v>206</v>
      </c>
      <c r="B204" s="113">
        <v>45949</v>
      </c>
      <c r="C204" s="19">
        <v>45949</v>
      </c>
      <c r="D204" s="129">
        <v>0.30208333333333298</v>
      </c>
      <c r="E204" s="130">
        <v>0.75</v>
      </c>
      <c r="F204" s="124">
        <v>1787.52</v>
      </c>
      <c r="G204" s="23">
        <v>1799.64</v>
      </c>
      <c r="H204" s="23">
        <v>1775.64</v>
      </c>
      <c r="I204" s="23">
        <v>1819.43</v>
      </c>
      <c r="J204" s="23">
        <v>1850.56</v>
      </c>
      <c r="K204" s="23">
        <v>1879.6</v>
      </c>
      <c r="L204" s="23">
        <v>1851.16</v>
      </c>
      <c r="M204" s="125">
        <f t="shared" si="28"/>
        <v>12763.55</v>
      </c>
      <c r="N204" s="126">
        <f t="shared" si="19"/>
        <v>764.4</v>
      </c>
      <c r="O204" s="23">
        <v>768.61</v>
      </c>
      <c r="P204" s="23">
        <f t="shared" si="27"/>
        <v>12630.0000000001</v>
      </c>
      <c r="Q204" s="23">
        <f t="shared" si="20"/>
        <v>4.4800000000000004</v>
      </c>
      <c r="R204" s="23">
        <v>4.49</v>
      </c>
      <c r="S204" s="23">
        <f t="shared" si="29"/>
        <v>29.9999999999994</v>
      </c>
      <c r="T204" s="123">
        <f t="shared" si="30"/>
        <v>12600.0000000001</v>
      </c>
      <c r="U204" s="127"/>
      <c r="V204" s="23">
        <v>4.43</v>
      </c>
      <c r="W204" s="23">
        <v>0</v>
      </c>
      <c r="X204" s="23"/>
      <c r="Y204" s="23"/>
      <c r="Z204" s="23"/>
      <c r="AA204" s="23"/>
      <c r="AB204" s="123" t="s">
        <v>38</v>
      </c>
    </row>
    <row r="205" spans="1:70">
      <c r="A205" s="97">
        <f t="shared" si="26"/>
        <v>207</v>
      </c>
      <c r="B205" s="113">
        <v>45950</v>
      </c>
      <c r="C205" s="19">
        <v>45950</v>
      </c>
      <c r="D205" s="129">
        <v>0.30208333333333298</v>
      </c>
      <c r="E205" s="130">
        <v>0.75</v>
      </c>
      <c r="F205" s="124">
        <v>1641.97</v>
      </c>
      <c r="G205" s="23">
        <v>1656.35</v>
      </c>
      <c r="H205" s="23">
        <v>1631.13</v>
      </c>
      <c r="I205" s="23">
        <v>1675.09</v>
      </c>
      <c r="J205" s="23">
        <v>1701.17</v>
      </c>
      <c r="K205" s="23">
        <v>1721.09</v>
      </c>
      <c r="L205" s="23">
        <v>1702.08</v>
      </c>
      <c r="M205" s="125">
        <f t="shared" si="28"/>
        <v>11728.88</v>
      </c>
      <c r="N205" s="126">
        <f t="shared" ref="N205:N268" si="31">O204</f>
        <v>768.61</v>
      </c>
      <c r="O205" s="23">
        <v>772.48</v>
      </c>
      <c r="P205" s="23">
        <f t="shared" si="27"/>
        <v>11610</v>
      </c>
      <c r="Q205" s="23">
        <f t="shared" ref="Q205:Q268" si="32">R204</f>
        <v>4.49</v>
      </c>
      <c r="R205" s="23">
        <v>4.51</v>
      </c>
      <c r="S205" s="23">
        <f t="shared" si="29"/>
        <v>59.9999999999987</v>
      </c>
      <c r="T205" s="123">
        <f t="shared" si="30"/>
        <v>11550</v>
      </c>
      <c r="U205" s="127"/>
      <c r="V205" s="23">
        <v>4.1500000000000004</v>
      </c>
      <c r="W205" s="23">
        <v>0</v>
      </c>
      <c r="X205" s="23"/>
      <c r="Y205" s="23"/>
      <c r="Z205" s="23"/>
      <c r="AA205" s="23"/>
      <c r="AB205" s="123" t="s">
        <v>38</v>
      </c>
    </row>
    <row r="206" spans="1:70">
      <c r="A206" s="97">
        <f t="shared" si="26"/>
        <v>208</v>
      </c>
      <c r="B206" s="113">
        <v>45951</v>
      </c>
      <c r="C206" s="19">
        <v>45951</v>
      </c>
      <c r="D206" s="129">
        <v>0.30208333333333298</v>
      </c>
      <c r="E206" s="130">
        <v>0.75</v>
      </c>
      <c r="F206" s="124">
        <v>1419.78</v>
      </c>
      <c r="G206" s="23">
        <v>1429.54</v>
      </c>
      <c r="H206" s="23">
        <v>1413.87</v>
      </c>
      <c r="I206" s="23">
        <v>1461.34</v>
      </c>
      <c r="J206" s="23">
        <v>1482.62</v>
      </c>
      <c r="K206" s="23">
        <v>1499.97</v>
      </c>
      <c r="L206" s="23">
        <v>1481.5</v>
      </c>
      <c r="M206" s="125">
        <f t="shared" si="28"/>
        <v>10188.620000000001</v>
      </c>
      <c r="N206" s="126">
        <f t="shared" si="31"/>
        <v>772.48</v>
      </c>
      <c r="O206" s="23">
        <v>775.85</v>
      </c>
      <c r="P206" s="23">
        <f t="shared" si="27"/>
        <v>10110</v>
      </c>
      <c r="Q206" s="23">
        <f t="shared" si="32"/>
        <v>4.51</v>
      </c>
      <c r="R206" s="23">
        <v>4.5199999999999996</v>
      </c>
      <c r="S206" s="23">
        <f t="shared" si="29"/>
        <v>29.9999999999994</v>
      </c>
      <c r="T206" s="123">
        <f t="shared" si="30"/>
        <v>10080</v>
      </c>
      <c r="U206" s="127"/>
      <c r="V206" s="23">
        <v>3.82</v>
      </c>
      <c r="W206" s="23">
        <v>0</v>
      </c>
      <c r="X206" s="23"/>
      <c r="Y206" s="23"/>
      <c r="Z206" s="23"/>
      <c r="AA206" s="23"/>
      <c r="AB206" s="123" t="s">
        <v>38</v>
      </c>
    </row>
    <row r="207" spans="1:70">
      <c r="A207" s="97">
        <f t="shared" si="26"/>
        <v>209</v>
      </c>
      <c r="B207" s="113">
        <v>45952</v>
      </c>
      <c r="C207" s="19">
        <v>45952</v>
      </c>
      <c r="D207" s="129">
        <v>0.30208333333333298</v>
      </c>
      <c r="E207" s="130">
        <v>0.73958333333333304</v>
      </c>
      <c r="F207" s="124">
        <v>1536.51</v>
      </c>
      <c r="G207" s="23">
        <v>1546.35</v>
      </c>
      <c r="H207" s="23">
        <v>1537.21</v>
      </c>
      <c r="I207" s="23">
        <v>1596.83</v>
      </c>
      <c r="J207" s="23">
        <v>1607.52</v>
      </c>
      <c r="K207" s="23">
        <v>1626.34</v>
      </c>
      <c r="L207" s="23">
        <v>1605.1</v>
      </c>
      <c r="M207" s="125">
        <f t="shared" si="28"/>
        <v>11055.86</v>
      </c>
      <c r="N207" s="126">
        <f t="shared" si="31"/>
        <v>775.85</v>
      </c>
      <c r="O207" s="23">
        <v>779.5</v>
      </c>
      <c r="P207" s="23">
        <f t="shared" si="27"/>
        <v>10949.9999999999</v>
      </c>
      <c r="Q207" s="23">
        <f t="shared" si="32"/>
        <v>4.5199999999999996</v>
      </c>
      <c r="R207" s="23">
        <v>4.53</v>
      </c>
      <c r="S207" s="23">
        <f t="shared" si="29"/>
        <v>30.000000000002</v>
      </c>
      <c r="T207" s="123">
        <f t="shared" si="30"/>
        <v>10919.9999999999</v>
      </c>
      <c r="U207" s="127"/>
      <c r="V207" s="23">
        <v>4.22</v>
      </c>
      <c r="W207" s="23">
        <v>0</v>
      </c>
      <c r="X207" s="23"/>
      <c r="Y207" s="23"/>
      <c r="Z207" s="23"/>
      <c r="AA207" s="23"/>
      <c r="AB207" s="123" t="s">
        <v>38</v>
      </c>
    </row>
    <row r="208" spans="1:70">
      <c r="A208" s="97">
        <f t="shared" si="26"/>
        <v>210</v>
      </c>
      <c r="B208" s="113">
        <v>45953</v>
      </c>
      <c r="C208" s="19">
        <v>45953</v>
      </c>
      <c r="D208" s="129">
        <v>0.30208333333333298</v>
      </c>
      <c r="E208" s="130">
        <v>0.75</v>
      </c>
      <c r="F208" s="124">
        <v>1379.63</v>
      </c>
      <c r="G208" s="23">
        <v>1386.31</v>
      </c>
      <c r="H208" s="23">
        <v>1380.12</v>
      </c>
      <c r="I208" s="23">
        <v>1419.56</v>
      </c>
      <c r="J208" s="23">
        <v>1445.07</v>
      </c>
      <c r="K208" s="23">
        <v>1460.34</v>
      </c>
      <c r="L208" s="23">
        <v>1443.78</v>
      </c>
      <c r="M208" s="125">
        <f t="shared" si="28"/>
        <v>9914.81</v>
      </c>
      <c r="N208" s="126">
        <f t="shared" si="31"/>
        <v>779.5</v>
      </c>
      <c r="O208" s="23">
        <v>782.78</v>
      </c>
      <c r="P208" s="23">
        <f t="shared" si="27"/>
        <v>9839.99999999992</v>
      </c>
      <c r="Q208" s="23">
        <f t="shared" si="32"/>
        <v>4.53</v>
      </c>
      <c r="R208" s="23">
        <v>4.55</v>
      </c>
      <c r="S208" s="23">
        <f t="shared" si="29"/>
        <v>59.9999999999987</v>
      </c>
      <c r="T208" s="123">
        <f t="shared" si="30"/>
        <v>9779.99999999992</v>
      </c>
      <c r="U208" s="127"/>
      <c r="V208" s="23">
        <v>3.88</v>
      </c>
      <c r="W208" s="23">
        <v>0</v>
      </c>
      <c r="X208" s="23"/>
      <c r="Y208" s="23"/>
      <c r="Z208" s="23"/>
      <c r="AA208" s="23"/>
      <c r="AB208" s="123" t="s">
        <v>38</v>
      </c>
    </row>
    <row r="209" spans="1:28">
      <c r="A209" s="97">
        <f t="shared" si="26"/>
        <v>211</v>
      </c>
      <c r="B209" s="113">
        <v>45954</v>
      </c>
      <c r="C209" s="19">
        <v>45954</v>
      </c>
      <c r="D209" s="129">
        <v>0.30208333333333298</v>
      </c>
      <c r="E209" s="130">
        <v>0.70833333333333304</v>
      </c>
      <c r="F209" s="124">
        <v>1305.75</v>
      </c>
      <c r="G209" s="23">
        <v>1316.59</v>
      </c>
      <c r="H209" s="23">
        <v>1296.78</v>
      </c>
      <c r="I209" s="23">
        <v>1336.74</v>
      </c>
      <c r="J209" s="23">
        <v>1356.1</v>
      </c>
      <c r="K209" s="23">
        <v>1372.09</v>
      </c>
      <c r="L209" s="23">
        <v>1352.61</v>
      </c>
      <c r="M209" s="125">
        <f t="shared" si="28"/>
        <v>9336.66</v>
      </c>
      <c r="N209" s="126">
        <f t="shared" si="31"/>
        <v>782.78</v>
      </c>
      <c r="O209" s="23">
        <v>785.86</v>
      </c>
      <c r="P209" s="23">
        <f t="shared" si="27"/>
        <v>9240.0000000001201</v>
      </c>
      <c r="Q209" s="23">
        <f t="shared" si="32"/>
        <v>4.55</v>
      </c>
      <c r="R209" s="23">
        <v>4.5599999999999996</v>
      </c>
      <c r="S209" s="23">
        <f t="shared" si="29"/>
        <v>29.9999999999994</v>
      </c>
      <c r="T209" s="123">
        <f t="shared" si="30"/>
        <v>9210.0000000001201</v>
      </c>
      <c r="U209" s="127"/>
      <c r="V209" s="23">
        <v>3.94</v>
      </c>
      <c r="W209" s="23">
        <v>0</v>
      </c>
      <c r="X209" s="23"/>
      <c r="Y209" s="23"/>
      <c r="Z209" s="23"/>
      <c r="AA209" s="23"/>
      <c r="AB209" s="123" t="s">
        <v>38</v>
      </c>
    </row>
    <row r="210" spans="1:28">
      <c r="A210" s="97">
        <f t="shared" si="26"/>
        <v>212</v>
      </c>
      <c r="B210" s="113">
        <v>45955</v>
      </c>
      <c r="C210" s="19">
        <v>45955</v>
      </c>
      <c r="D210" s="129">
        <v>0.30208333333333298</v>
      </c>
      <c r="E210" s="130">
        <v>0.72916666666666696</v>
      </c>
      <c r="F210" s="124">
        <v>1275.53</v>
      </c>
      <c r="G210" s="23">
        <v>1279.1300000000001</v>
      </c>
      <c r="H210" s="23">
        <v>1271.31</v>
      </c>
      <c r="I210" s="23">
        <v>1300.58</v>
      </c>
      <c r="J210" s="23">
        <v>1320.34</v>
      </c>
      <c r="K210" s="23">
        <v>1341.78</v>
      </c>
      <c r="L210" s="23">
        <v>1314.19</v>
      </c>
      <c r="M210" s="125">
        <f t="shared" si="28"/>
        <v>9102.86</v>
      </c>
      <c r="N210" s="126">
        <f t="shared" si="31"/>
        <v>785.86</v>
      </c>
      <c r="O210" s="23">
        <v>788.87</v>
      </c>
      <c r="P210" s="23">
        <f t="shared" si="27"/>
        <v>9029.9999999999709</v>
      </c>
      <c r="Q210" s="23">
        <f t="shared" si="32"/>
        <v>4.5599999999999996</v>
      </c>
      <c r="R210" s="23">
        <v>4.57</v>
      </c>
      <c r="S210" s="23">
        <f t="shared" si="29"/>
        <v>30.000000000002</v>
      </c>
      <c r="T210" s="123">
        <f t="shared" si="30"/>
        <v>8999.9999999999709</v>
      </c>
      <c r="U210" s="127"/>
      <c r="V210" s="23">
        <v>3.46</v>
      </c>
      <c r="W210" s="23">
        <v>32.880000000000003</v>
      </c>
      <c r="X210" s="23"/>
      <c r="Y210" s="23"/>
      <c r="Z210" s="23"/>
      <c r="AA210" s="23"/>
      <c r="AB210" s="123" t="s">
        <v>38</v>
      </c>
    </row>
    <row r="211" spans="1:28">
      <c r="A211" s="97">
        <f t="shared" si="26"/>
        <v>213</v>
      </c>
      <c r="B211" s="113">
        <v>45956</v>
      </c>
      <c r="C211" s="19">
        <v>45956</v>
      </c>
      <c r="D211" s="129">
        <v>0.32291666666666702</v>
      </c>
      <c r="E211" s="130">
        <v>0.70833333333333304</v>
      </c>
      <c r="F211" s="124">
        <v>203.78</v>
      </c>
      <c r="G211" s="23">
        <v>206.96</v>
      </c>
      <c r="H211" s="23">
        <v>199.83</v>
      </c>
      <c r="I211" s="23">
        <v>220.96</v>
      </c>
      <c r="J211" s="23">
        <v>245.37</v>
      </c>
      <c r="K211" s="23">
        <v>260.08999999999997</v>
      </c>
      <c r="L211" s="23">
        <v>243.63</v>
      </c>
      <c r="M211" s="125">
        <f t="shared" si="28"/>
        <v>1580.62</v>
      </c>
      <c r="N211" s="126">
        <f t="shared" si="31"/>
        <v>788.87</v>
      </c>
      <c r="O211" s="23">
        <v>789.43</v>
      </c>
      <c r="P211" s="23">
        <f t="shared" si="27"/>
        <v>1679.9999999998399</v>
      </c>
      <c r="Q211" s="23">
        <f t="shared" si="32"/>
        <v>4.57</v>
      </c>
      <c r="R211" s="23">
        <v>4.59</v>
      </c>
      <c r="S211" s="23">
        <f t="shared" si="29"/>
        <v>59.9999999999987</v>
      </c>
      <c r="T211" s="123">
        <f t="shared" si="30"/>
        <v>1619.9999999998399</v>
      </c>
      <c r="U211" s="127"/>
      <c r="V211" s="23">
        <v>0.69</v>
      </c>
      <c r="W211" s="23">
        <v>25.81</v>
      </c>
      <c r="X211" s="23"/>
      <c r="Y211" s="23"/>
      <c r="Z211" s="23"/>
      <c r="AA211" s="23"/>
      <c r="AB211" s="123" t="s">
        <v>40</v>
      </c>
    </row>
    <row r="212" spans="1:28">
      <c r="A212" s="97">
        <f t="shared" si="26"/>
        <v>214</v>
      </c>
      <c r="B212" s="113">
        <v>45957</v>
      </c>
      <c r="C212" s="19">
        <v>45957</v>
      </c>
      <c r="D212" s="129">
        <v>0.3125</v>
      </c>
      <c r="E212" s="130">
        <v>0.72916666666666696</v>
      </c>
      <c r="F212" s="124">
        <v>502.72</v>
      </c>
      <c r="G212" s="23">
        <v>502.09</v>
      </c>
      <c r="H212" s="23">
        <v>503.21</v>
      </c>
      <c r="I212" s="23">
        <v>513.89</v>
      </c>
      <c r="J212" s="23">
        <v>520.91</v>
      </c>
      <c r="K212" s="23">
        <v>561.39</v>
      </c>
      <c r="L212" s="23">
        <v>529.85</v>
      </c>
      <c r="M212" s="125">
        <f t="shared" si="28"/>
        <v>3634.06</v>
      </c>
      <c r="N212" s="126">
        <f t="shared" si="31"/>
        <v>789.43</v>
      </c>
      <c r="O212" s="23">
        <v>790.63</v>
      </c>
      <c r="P212" s="23">
        <f t="shared" si="27"/>
        <v>3600.0000000001401</v>
      </c>
      <c r="Q212" s="23">
        <f t="shared" si="32"/>
        <v>4.59</v>
      </c>
      <c r="R212" s="23">
        <v>4.5999999999999996</v>
      </c>
      <c r="S212" s="23">
        <f t="shared" si="29"/>
        <v>29.9999999999994</v>
      </c>
      <c r="T212" s="123">
        <f t="shared" si="30"/>
        <v>3570.0000000001401</v>
      </c>
      <c r="U212" s="127"/>
      <c r="V212" s="23">
        <v>1.36</v>
      </c>
      <c r="W212" s="23">
        <v>25.82</v>
      </c>
      <c r="X212" s="23"/>
      <c r="Y212" s="23"/>
      <c r="Z212" s="23"/>
      <c r="AA212" s="23"/>
      <c r="AB212" s="123" t="s">
        <v>41</v>
      </c>
    </row>
    <row r="213" spans="1:28">
      <c r="A213" s="97">
        <f t="shared" si="26"/>
        <v>215</v>
      </c>
      <c r="B213" s="113">
        <v>45958</v>
      </c>
      <c r="C213" s="19">
        <v>45958</v>
      </c>
      <c r="D213" s="129">
        <v>0.38541666666666702</v>
      </c>
      <c r="E213" s="130">
        <v>0.72916666666666696</v>
      </c>
      <c r="F213" s="124">
        <v>224.63</v>
      </c>
      <c r="G213" s="23">
        <v>223.52</v>
      </c>
      <c r="H213" s="23">
        <v>221.89</v>
      </c>
      <c r="I213" s="23">
        <v>228.67</v>
      </c>
      <c r="J213" s="23">
        <v>232.86</v>
      </c>
      <c r="K213" s="23">
        <v>236.39</v>
      </c>
      <c r="L213" s="23">
        <v>231.9</v>
      </c>
      <c r="M213" s="125">
        <f t="shared" si="28"/>
        <v>1599.86</v>
      </c>
      <c r="N213" s="126">
        <f t="shared" si="31"/>
        <v>790.63</v>
      </c>
      <c r="O213" s="23">
        <v>791.15</v>
      </c>
      <c r="P213" s="23">
        <f t="shared" si="27"/>
        <v>1559.99999999995</v>
      </c>
      <c r="Q213" s="23">
        <f t="shared" si="32"/>
        <v>4.5999999999999996</v>
      </c>
      <c r="R213" s="23">
        <v>4.6100000000000003</v>
      </c>
      <c r="S213" s="23">
        <f t="shared" si="29"/>
        <v>30.000000000002</v>
      </c>
      <c r="T213" s="123">
        <f t="shared" si="30"/>
        <v>1529.99999999994</v>
      </c>
      <c r="U213" s="127"/>
      <c r="V213" s="23">
        <v>0.56000000000000005</v>
      </c>
      <c r="W213" s="23">
        <v>24.32</v>
      </c>
      <c r="X213" s="23"/>
      <c r="Y213" s="23"/>
      <c r="Z213" s="23"/>
      <c r="AA213" s="23"/>
      <c r="AB213" s="123" t="s">
        <v>41</v>
      </c>
    </row>
    <row r="214" spans="1:28">
      <c r="A214" s="97">
        <f t="shared" si="26"/>
        <v>216</v>
      </c>
      <c r="B214" s="113">
        <v>45959</v>
      </c>
      <c r="C214" s="19">
        <v>45959</v>
      </c>
      <c r="D214" s="129">
        <v>0.3125</v>
      </c>
      <c r="E214" s="130">
        <v>0.73958333333333304</v>
      </c>
      <c r="F214" s="124">
        <v>469.53</v>
      </c>
      <c r="G214" s="23">
        <v>466.83</v>
      </c>
      <c r="H214" s="23">
        <v>463.03</v>
      </c>
      <c r="I214" s="23">
        <v>479.31</v>
      </c>
      <c r="J214" s="23">
        <v>486.71</v>
      </c>
      <c r="K214" s="23">
        <v>491.98</v>
      </c>
      <c r="L214" s="23">
        <v>482.39</v>
      </c>
      <c r="M214" s="125">
        <f t="shared" si="28"/>
        <v>3339.78</v>
      </c>
      <c r="N214" s="126">
        <f t="shared" si="31"/>
        <v>791.15</v>
      </c>
      <c r="O214" s="23">
        <v>792.24</v>
      </c>
      <c r="P214" s="23">
        <f t="shared" si="27"/>
        <v>3270.0000000001</v>
      </c>
      <c r="Q214" s="23">
        <f t="shared" si="32"/>
        <v>4.6100000000000003</v>
      </c>
      <c r="R214" s="23">
        <v>4.62</v>
      </c>
      <c r="S214" s="23">
        <f t="shared" si="29"/>
        <v>29.9999999999994</v>
      </c>
      <c r="T214" s="123">
        <f t="shared" si="30"/>
        <v>3240.0000000001</v>
      </c>
      <c r="U214" s="127"/>
      <c r="V214" s="23">
        <v>1.34</v>
      </c>
      <c r="W214" s="23">
        <v>25.14</v>
      </c>
      <c r="X214" s="23"/>
      <c r="Y214" s="23"/>
      <c r="Z214" s="23"/>
      <c r="AA214" s="23"/>
      <c r="AB214" s="123" t="s">
        <v>40</v>
      </c>
    </row>
    <row r="215" spans="1:28">
      <c r="A215" s="97">
        <f t="shared" si="26"/>
        <v>217</v>
      </c>
      <c r="B215" s="113">
        <v>45960</v>
      </c>
      <c r="C215" s="19">
        <v>45960</v>
      </c>
      <c r="D215" s="129">
        <v>0.32291666666666702</v>
      </c>
      <c r="E215" s="130">
        <v>0.72916666666666696</v>
      </c>
      <c r="F215" s="124">
        <v>573.27</v>
      </c>
      <c r="G215" s="23">
        <v>572.67999999999995</v>
      </c>
      <c r="H215" s="23">
        <v>567.66</v>
      </c>
      <c r="I215" s="23">
        <v>588.46</v>
      </c>
      <c r="J215" s="23">
        <v>596.62</v>
      </c>
      <c r="K215" s="23">
        <v>602.36</v>
      </c>
      <c r="L215" s="23">
        <v>591.89</v>
      </c>
      <c r="M215" s="125">
        <f t="shared" si="28"/>
        <v>4092.94</v>
      </c>
      <c r="N215" s="126">
        <f t="shared" si="31"/>
        <v>792.24</v>
      </c>
      <c r="O215" s="23">
        <v>793.61</v>
      </c>
      <c r="P215" s="23">
        <f t="shared" si="27"/>
        <v>4110.00000000001</v>
      </c>
      <c r="Q215" s="23">
        <f t="shared" si="32"/>
        <v>4.62</v>
      </c>
      <c r="R215" s="23">
        <v>4.63</v>
      </c>
      <c r="S215" s="23">
        <f t="shared" si="29"/>
        <v>29.9999999999994</v>
      </c>
      <c r="T215" s="123">
        <f t="shared" si="30"/>
        <v>4080.00000000001</v>
      </c>
      <c r="U215" s="127"/>
      <c r="V215" s="23">
        <v>1.62</v>
      </c>
      <c r="W215" s="23">
        <v>26.17</v>
      </c>
      <c r="X215" s="23"/>
      <c r="Y215" s="23"/>
      <c r="Z215" s="23"/>
      <c r="AA215" s="23"/>
      <c r="AB215" s="123" t="s">
        <v>41</v>
      </c>
    </row>
    <row r="216" spans="1:28">
      <c r="A216" s="97">
        <f t="shared" si="26"/>
        <v>218</v>
      </c>
      <c r="B216" s="113">
        <v>45961</v>
      </c>
      <c r="C216" s="19">
        <v>45961</v>
      </c>
      <c r="D216" s="129">
        <v>0.34375</v>
      </c>
      <c r="E216" s="130">
        <v>0.71875</v>
      </c>
      <c r="F216" s="124">
        <v>560.83000000000004</v>
      </c>
      <c r="G216" s="23">
        <v>563.39</v>
      </c>
      <c r="H216" s="23">
        <v>553.32000000000005</v>
      </c>
      <c r="I216" s="23">
        <v>577.26</v>
      </c>
      <c r="J216" s="23">
        <v>584.13</v>
      </c>
      <c r="K216" s="23">
        <v>590.11</v>
      </c>
      <c r="L216" s="23">
        <v>579.22</v>
      </c>
      <c r="M216" s="125">
        <f t="shared" si="28"/>
        <v>4008.26</v>
      </c>
      <c r="N216" s="126">
        <f t="shared" si="31"/>
        <v>793.61</v>
      </c>
      <c r="O216" s="23">
        <v>794.92</v>
      </c>
      <c r="P216" s="23">
        <f t="shared" si="27"/>
        <v>3929.9999999998399</v>
      </c>
      <c r="Q216" s="23">
        <f t="shared" si="32"/>
        <v>4.63</v>
      </c>
      <c r="R216" s="23">
        <v>4.6399999999999997</v>
      </c>
      <c r="S216" s="23">
        <f t="shared" si="29"/>
        <v>29.9999999999994</v>
      </c>
      <c r="T216" s="123">
        <f t="shared" si="30"/>
        <v>3899.9999999998399</v>
      </c>
      <c r="U216" s="127"/>
      <c r="V216" s="23">
        <v>1.47</v>
      </c>
      <c r="W216" s="23">
        <v>25.59</v>
      </c>
      <c r="X216" s="23"/>
      <c r="Y216" s="23"/>
      <c r="Z216" s="23"/>
      <c r="AA216" s="23"/>
      <c r="AB216" s="123" t="s">
        <v>40</v>
      </c>
    </row>
    <row r="217" spans="1:28">
      <c r="A217" s="97">
        <f t="shared" si="26"/>
        <v>219</v>
      </c>
      <c r="B217" s="113">
        <v>45962</v>
      </c>
      <c r="C217" s="19">
        <v>45962</v>
      </c>
      <c r="D217" s="129">
        <v>0.30208333333333298</v>
      </c>
      <c r="E217" s="130">
        <v>0.73958333333333304</v>
      </c>
      <c r="F217" s="124">
        <v>956.83</v>
      </c>
      <c r="G217" s="23">
        <v>958.91</v>
      </c>
      <c r="H217" s="23">
        <v>950.73</v>
      </c>
      <c r="I217" s="23">
        <v>973.5</v>
      </c>
      <c r="J217" s="23">
        <v>987.6</v>
      </c>
      <c r="K217" s="23">
        <v>996.87</v>
      </c>
      <c r="L217" s="23">
        <v>976.59</v>
      </c>
      <c r="M217" s="125">
        <f t="shared" si="28"/>
        <v>6801.03</v>
      </c>
      <c r="N217" s="126">
        <f t="shared" si="31"/>
        <v>794.92</v>
      </c>
      <c r="O217" s="23">
        <v>797.11800000000005</v>
      </c>
      <c r="P217" s="23">
        <f t="shared" si="27"/>
        <v>6594.0000000002801</v>
      </c>
      <c r="Q217" s="23">
        <f t="shared" si="32"/>
        <v>4.6399999999999997</v>
      </c>
      <c r="R217" s="23">
        <v>4.67</v>
      </c>
      <c r="S217" s="23">
        <f t="shared" si="29"/>
        <v>90.000000000000696</v>
      </c>
      <c r="T217" s="123">
        <f t="shared" si="30"/>
        <v>6504.0000000002801</v>
      </c>
      <c r="U217" s="127"/>
      <c r="V217" s="23">
        <v>2.54</v>
      </c>
      <c r="W217" s="23">
        <v>28.52</v>
      </c>
      <c r="X217" s="23"/>
      <c r="Y217" s="23"/>
      <c r="Z217" s="23"/>
      <c r="AA217" s="23"/>
      <c r="AB217" s="123" t="s">
        <v>40</v>
      </c>
    </row>
    <row r="218" spans="1:28">
      <c r="A218" s="97">
        <f t="shared" si="26"/>
        <v>220</v>
      </c>
      <c r="B218" s="113">
        <v>45963</v>
      </c>
      <c r="C218" s="19">
        <v>45963</v>
      </c>
      <c r="D218" s="129">
        <v>0.3125</v>
      </c>
      <c r="E218" s="130">
        <v>0.73958333333333304</v>
      </c>
      <c r="F218" s="124">
        <v>1078.0899999999999</v>
      </c>
      <c r="G218" s="23">
        <v>1081.4100000000001</v>
      </c>
      <c r="H218" s="23">
        <v>1066.19</v>
      </c>
      <c r="I218" s="23">
        <v>1097.51</v>
      </c>
      <c r="J218" s="23">
        <v>1108.21</v>
      </c>
      <c r="K218" s="23">
        <v>1119.33</v>
      </c>
      <c r="L218" s="23">
        <v>1092.96</v>
      </c>
      <c r="M218" s="125">
        <f t="shared" si="28"/>
        <v>7643.7</v>
      </c>
      <c r="N218" s="126">
        <f t="shared" si="31"/>
        <v>797.11800000000005</v>
      </c>
      <c r="O218" s="23">
        <v>799.7</v>
      </c>
      <c r="P218" s="23">
        <f t="shared" si="27"/>
        <v>7745.99999999998</v>
      </c>
      <c r="Q218" s="23">
        <f t="shared" si="32"/>
        <v>4.67</v>
      </c>
      <c r="R218" s="23">
        <v>4.68</v>
      </c>
      <c r="S218" s="23">
        <f t="shared" si="29"/>
        <v>29.9999999999994</v>
      </c>
      <c r="T218" s="123">
        <f t="shared" si="30"/>
        <v>7715.99999999998</v>
      </c>
      <c r="U218" s="127"/>
      <c r="V218" s="23">
        <v>3.05</v>
      </c>
      <c r="W218" s="23">
        <v>29.54</v>
      </c>
      <c r="X218" s="23"/>
      <c r="Y218" s="23"/>
      <c r="Z218" s="23"/>
      <c r="AA218" s="23"/>
      <c r="AB218" s="123" t="s">
        <v>38</v>
      </c>
    </row>
    <row r="219" spans="1:28">
      <c r="A219" s="97">
        <f t="shared" si="26"/>
        <v>221</v>
      </c>
      <c r="B219" s="113">
        <v>45964</v>
      </c>
      <c r="C219" s="19">
        <v>45964</v>
      </c>
      <c r="D219" s="129">
        <v>0.30208333333333298</v>
      </c>
      <c r="E219" s="130">
        <v>0.73958333333333304</v>
      </c>
      <c r="F219" s="124">
        <v>1580.86</v>
      </c>
      <c r="G219" s="23">
        <v>1578.53</v>
      </c>
      <c r="H219" s="23">
        <v>1570.97</v>
      </c>
      <c r="I219" s="23">
        <v>1608.96</v>
      </c>
      <c r="J219" s="23">
        <v>1640.08</v>
      </c>
      <c r="K219" s="23">
        <v>1660.55</v>
      </c>
      <c r="L219" s="23">
        <v>1632.04</v>
      </c>
      <c r="M219" s="125">
        <f t="shared" si="28"/>
        <v>11271.99</v>
      </c>
      <c r="N219" s="126">
        <f t="shared" si="31"/>
        <v>799.7</v>
      </c>
      <c r="O219" s="23">
        <v>803.41</v>
      </c>
      <c r="P219" s="23">
        <f t="shared" si="27"/>
        <v>11129.9999999998</v>
      </c>
      <c r="Q219" s="23">
        <f t="shared" si="32"/>
        <v>4.68</v>
      </c>
      <c r="R219" s="23">
        <v>4.6900000000000004</v>
      </c>
      <c r="S219" s="23">
        <f t="shared" si="29"/>
        <v>30.000000000002</v>
      </c>
      <c r="T219" s="123">
        <f t="shared" si="30"/>
        <v>11099.9999999998</v>
      </c>
      <c r="U219" s="127"/>
      <c r="V219" s="23">
        <v>4.05</v>
      </c>
      <c r="W219" s="23">
        <v>29.37</v>
      </c>
      <c r="X219" s="23"/>
      <c r="Y219" s="23"/>
      <c r="Z219" s="23"/>
      <c r="AA219" s="23"/>
      <c r="AB219" s="123" t="s">
        <v>38</v>
      </c>
    </row>
    <row r="220" spans="1:28">
      <c r="A220" s="97">
        <f t="shared" si="26"/>
        <v>222</v>
      </c>
      <c r="B220" s="113">
        <v>45965</v>
      </c>
      <c r="C220" s="19">
        <v>45965</v>
      </c>
      <c r="D220" s="129">
        <v>0.3125</v>
      </c>
      <c r="E220" s="130">
        <v>0.73958333333333304</v>
      </c>
      <c r="F220" s="124">
        <v>1623.17</v>
      </c>
      <c r="G220" s="23">
        <v>1642.81</v>
      </c>
      <c r="H220" s="23">
        <v>1628.6</v>
      </c>
      <c r="I220" s="23">
        <v>1663.62</v>
      </c>
      <c r="J220" s="23">
        <v>1697.85</v>
      </c>
      <c r="K220" s="23">
        <v>1721.34</v>
      </c>
      <c r="L220" s="23">
        <v>1686.66</v>
      </c>
      <c r="M220" s="125">
        <f t="shared" si="28"/>
        <v>11664.05</v>
      </c>
      <c r="N220" s="126">
        <f t="shared" si="31"/>
        <v>803.41</v>
      </c>
      <c r="O220" s="23">
        <v>807.25</v>
      </c>
      <c r="P220" s="23">
        <f t="shared" si="27"/>
        <v>11520.0000000001</v>
      </c>
      <c r="Q220" s="23">
        <f t="shared" si="32"/>
        <v>4.6900000000000004</v>
      </c>
      <c r="R220" s="23">
        <v>4.7</v>
      </c>
      <c r="S220" s="23">
        <f t="shared" si="29"/>
        <v>29.9999999999994</v>
      </c>
      <c r="T220" s="123">
        <f t="shared" si="30"/>
        <v>11490.0000000001</v>
      </c>
      <c r="U220" s="127"/>
      <c r="V220" s="23">
        <v>3.87</v>
      </c>
      <c r="W220" s="23">
        <v>28.3</v>
      </c>
      <c r="X220" s="23"/>
      <c r="Y220" s="23"/>
      <c r="Z220" s="23"/>
      <c r="AA220" s="23"/>
      <c r="AB220" s="123" t="s">
        <v>38</v>
      </c>
    </row>
    <row r="221" spans="1:28">
      <c r="A221" s="97">
        <f t="shared" si="26"/>
        <v>223</v>
      </c>
      <c r="B221" s="113">
        <v>45966</v>
      </c>
      <c r="C221" s="19">
        <v>45966</v>
      </c>
      <c r="D221" s="129">
        <v>0.30208333333333298</v>
      </c>
      <c r="E221" s="130">
        <v>0.73958333333333304</v>
      </c>
      <c r="F221" s="124">
        <v>1755.14</v>
      </c>
      <c r="G221" s="23">
        <v>1778.75</v>
      </c>
      <c r="H221" s="23">
        <v>1755.27</v>
      </c>
      <c r="I221" s="23">
        <v>1793.38</v>
      </c>
      <c r="J221" s="23">
        <v>1827.31</v>
      </c>
      <c r="K221" s="23">
        <v>1858.25</v>
      </c>
      <c r="L221" s="23">
        <v>1817</v>
      </c>
      <c r="M221" s="125">
        <f t="shared" si="28"/>
        <v>12585.1</v>
      </c>
      <c r="N221" s="126">
        <f t="shared" si="31"/>
        <v>807.25</v>
      </c>
      <c r="O221" s="23">
        <v>811.41</v>
      </c>
      <c r="P221" s="23">
        <f t="shared" si="27"/>
        <v>12479.9999999999</v>
      </c>
      <c r="Q221" s="23">
        <f t="shared" si="32"/>
        <v>4.7</v>
      </c>
      <c r="R221" s="23">
        <v>4.71</v>
      </c>
      <c r="S221" s="23">
        <f t="shared" si="29"/>
        <v>29.9999999999994</v>
      </c>
      <c r="T221" s="123">
        <f t="shared" si="30"/>
        <v>12449.9999999999</v>
      </c>
      <c r="U221" s="127"/>
      <c r="V221" s="23">
        <v>4.47</v>
      </c>
      <c r="W221" s="23">
        <v>30.34</v>
      </c>
      <c r="X221" s="23"/>
      <c r="Y221" s="23"/>
      <c r="Z221" s="23"/>
      <c r="AA221" s="23"/>
      <c r="AB221" s="123" t="s">
        <v>38</v>
      </c>
    </row>
    <row r="222" spans="1:28">
      <c r="A222" s="97">
        <f t="shared" si="26"/>
        <v>224</v>
      </c>
      <c r="B222" s="113">
        <v>45967</v>
      </c>
      <c r="C222" s="19">
        <v>45967</v>
      </c>
      <c r="D222" s="129">
        <v>0.30208333333333298</v>
      </c>
      <c r="E222" s="130">
        <v>0.73958333333333304</v>
      </c>
      <c r="F222" s="124">
        <v>1748.68</v>
      </c>
      <c r="G222" s="23">
        <v>1775.92</v>
      </c>
      <c r="H222" s="23">
        <v>1748.8</v>
      </c>
      <c r="I222" s="23">
        <v>1786.6</v>
      </c>
      <c r="J222" s="23">
        <v>1821.46</v>
      </c>
      <c r="K222" s="23">
        <v>1850.3</v>
      </c>
      <c r="L222" s="23">
        <v>1818.07</v>
      </c>
      <c r="M222" s="125">
        <f t="shared" si="28"/>
        <v>12549.83</v>
      </c>
      <c r="N222" s="126">
        <f t="shared" si="31"/>
        <v>811.41</v>
      </c>
      <c r="O222" s="23">
        <v>815.54</v>
      </c>
      <c r="P222" s="23">
        <f t="shared" si="27"/>
        <v>12390</v>
      </c>
      <c r="Q222" s="23">
        <f t="shared" si="32"/>
        <v>4.71</v>
      </c>
      <c r="R222" s="23">
        <v>4.72</v>
      </c>
      <c r="S222" s="23">
        <f t="shared" si="29"/>
        <v>29.9999999999994</v>
      </c>
      <c r="T222" s="123">
        <f t="shared" si="30"/>
        <v>12360</v>
      </c>
      <c r="U222" s="127"/>
      <c r="V222" s="23">
        <v>4.3899999999999997</v>
      </c>
      <c r="W222" s="23">
        <v>30.55</v>
      </c>
      <c r="X222" s="23"/>
      <c r="Y222" s="23"/>
      <c r="Z222" s="23"/>
      <c r="AA222" s="23"/>
      <c r="AB222" s="123" t="s">
        <v>38</v>
      </c>
    </row>
    <row r="223" spans="1:28">
      <c r="A223" s="97">
        <f t="shared" si="26"/>
        <v>225</v>
      </c>
      <c r="B223" s="113">
        <v>45968</v>
      </c>
      <c r="C223" s="19">
        <v>45968</v>
      </c>
      <c r="D223" s="129">
        <v>0.30208333333333298</v>
      </c>
      <c r="E223" s="130">
        <v>0.73958333333333304</v>
      </c>
      <c r="F223" s="124">
        <v>1683.12</v>
      </c>
      <c r="G223" s="23">
        <v>1705.78</v>
      </c>
      <c r="H223" s="23">
        <v>1683.36</v>
      </c>
      <c r="I223" s="23">
        <v>1720.01</v>
      </c>
      <c r="J223" s="23">
        <v>1748.1</v>
      </c>
      <c r="K223" s="23">
        <v>1781.32</v>
      </c>
      <c r="L223" s="23">
        <v>1751.35</v>
      </c>
      <c r="M223" s="125">
        <f t="shared" si="28"/>
        <v>12073.04</v>
      </c>
      <c r="N223" s="126">
        <f t="shared" si="31"/>
        <v>815.54</v>
      </c>
      <c r="O223" s="23">
        <v>819.52</v>
      </c>
      <c r="P223" s="23">
        <f t="shared" si="27"/>
        <v>11940.0000000001</v>
      </c>
      <c r="Q223" s="23">
        <f t="shared" si="32"/>
        <v>4.72</v>
      </c>
      <c r="R223" s="23">
        <v>4.74</v>
      </c>
      <c r="S223" s="23">
        <f t="shared" si="29"/>
        <v>60.0000000000014</v>
      </c>
      <c r="T223" s="123">
        <f t="shared" si="30"/>
        <v>11880.0000000001</v>
      </c>
      <c r="U223" s="127"/>
      <c r="V223" s="23">
        <v>4.2699999999999996</v>
      </c>
      <c r="W223" s="23">
        <v>30.83</v>
      </c>
      <c r="X223" s="23"/>
      <c r="Y223" s="23"/>
      <c r="Z223" s="23"/>
      <c r="AA223" s="23"/>
      <c r="AB223" s="123" t="s">
        <v>38</v>
      </c>
    </row>
    <row r="224" spans="1:28">
      <c r="A224" s="97">
        <f t="shared" si="26"/>
        <v>226</v>
      </c>
      <c r="B224" s="113">
        <v>45969</v>
      </c>
      <c r="C224" s="19">
        <v>45969</v>
      </c>
      <c r="D224" s="129">
        <v>0.30208333333333298</v>
      </c>
      <c r="E224" s="130">
        <v>0.73958333333333304</v>
      </c>
      <c r="F224" s="124" t="s">
        <v>51</v>
      </c>
      <c r="G224" s="23">
        <v>1776.22</v>
      </c>
      <c r="H224" s="23">
        <v>1750.32</v>
      </c>
      <c r="I224" s="23">
        <v>1796.97</v>
      </c>
      <c r="J224" s="23">
        <v>1825.08</v>
      </c>
      <c r="K224" s="23">
        <v>1852.73</v>
      </c>
      <c r="L224" s="23">
        <v>1822.32</v>
      </c>
      <c r="M224" s="125">
        <f t="shared" si="28"/>
        <v>10823.64</v>
      </c>
      <c r="N224" s="126">
        <f t="shared" si="31"/>
        <v>819.52</v>
      </c>
      <c r="O224" s="23">
        <v>823.67</v>
      </c>
      <c r="P224" s="23">
        <f t="shared" si="27"/>
        <v>12449.9999999999</v>
      </c>
      <c r="Q224" s="23">
        <f t="shared" si="32"/>
        <v>4.74</v>
      </c>
      <c r="R224" s="23">
        <v>4.75</v>
      </c>
      <c r="S224" s="23">
        <f t="shared" si="29"/>
        <v>29.9999999999994</v>
      </c>
      <c r="T224" s="123">
        <f t="shared" si="30"/>
        <v>12419.9999999999</v>
      </c>
      <c r="U224" s="127"/>
      <c r="V224" s="23">
        <v>4.47</v>
      </c>
      <c r="W224" s="23">
        <v>29.83</v>
      </c>
      <c r="X224" s="23"/>
      <c r="Y224" s="23"/>
      <c r="Z224" s="23"/>
      <c r="AA224" s="23"/>
      <c r="AB224" s="123" t="s">
        <v>38</v>
      </c>
    </row>
    <row r="225" spans="1:28">
      <c r="A225" s="97">
        <f t="shared" si="26"/>
        <v>227</v>
      </c>
      <c r="B225" s="113">
        <v>45970</v>
      </c>
      <c r="C225" s="19">
        <v>45970</v>
      </c>
      <c r="D225" s="129">
        <v>0.30208333333333298</v>
      </c>
      <c r="E225" s="130">
        <v>0.73958333333333304</v>
      </c>
      <c r="F225" s="124">
        <v>1729.56</v>
      </c>
      <c r="G225" s="23">
        <v>1739.81</v>
      </c>
      <c r="H225" s="23">
        <v>1725.11</v>
      </c>
      <c r="I225" s="23">
        <v>1770.39</v>
      </c>
      <c r="J225" s="23">
        <v>1825.08</v>
      </c>
      <c r="K225" s="23">
        <v>1827.9</v>
      </c>
      <c r="L225" s="23">
        <v>1796.09</v>
      </c>
      <c r="M225" s="125">
        <f t="shared" si="28"/>
        <v>12413.94</v>
      </c>
      <c r="N225" s="126">
        <f t="shared" si="31"/>
        <v>823.67</v>
      </c>
      <c r="O225" s="23">
        <v>827.75</v>
      </c>
      <c r="P225" s="23">
        <f t="shared" si="27"/>
        <v>12240.0000000001</v>
      </c>
      <c r="Q225" s="23">
        <f t="shared" si="32"/>
        <v>4.75</v>
      </c>
      <c r="R225" s="23">
        <v>4.7699999999999996</v>
      </c>
      <c r="S225" s="23">
        <f t="shared" si="29"/>
        <v>59.9999999999987</v>
      </c>
      <c r="T225" s="123">
        <f t="shared" si="30"/>
        <v>12180.0000000001</v>
      </c>
      <c r="U225" s="127"/>
      <c r="V225" s="23">
        <v>4.46</v>
      </c>
      <c r="W225" s="23">
        <v>29.37</v>
      </c>
      <c r="X225" s="23"/>
      <c r="Y225" s="23"/>
      <c r="Z225" s="23"/>
      <c r="AA225" s="23"/>
      <c r="AB225" s="123" t="s">
        <v>38</v>
      </c>
    </row>
    <row r="226" spans="1:28">
      <c r="A226" s="97">
        <f t="shared" si="26"/>
        <v>228</v>
      </c>
      <c r="B226" s="113">
        <v>45971</v>
      </c>
      <c r="C226" s="19">
        <v>45971</v>
      </c>
      <c r="D226" s="129">
        <v>0.30208333333333298</v>
      </c>
      <c r="E226" s="130">
        <v>0.73958333333333304</v>
      </c>
      <c r="F226" s="124">
        <v>1724.81</v>
      </c>
      <c r="G226" s="23">
        <v>1730.51</v>
      </c>
      <c r="H226" s="23">
        <v>1719.17</v>
      </c>
      <c r="I226" s="23">
        <v>1763.84</v>
      </c>
      <c r="J226" s="23">
        <v>1810.91</v>
      </c>
      <c r="K226" s="23">
        <v>1821.61</v>
      </c>
      <c r="L226" s="23">
        <v>1786.84</v>
      </c>
      <c r="M226" s="125">
        <f t="shared" si="28"/>
        <v>12357.69</v>
      </c>
      <c r="N226" s="126">
        <f t="shared" si="31"/>
        <v>827.75</v>
      </c>
      <c r="O226" s="23">
        <v>831.82</v>
      </c>
      <c r="P226" s="23">
        <f t="shared" si="27"/>
        <v>12210.0000000001</v>
      </c>
      <c r="Q226" s="23">
        <f t="shared" si="32"/>
        <v>4.7699999999999996</v>
      </c>
      <c r="R226" s="23">
        <v>4.78</v>
      </c>
      <c r="S226" s="23">
        <f t="shared" si="29"/>
        <v>30.000000000002</v>
      </c>
      <c r="T226" s="123">
        <f t="shared" si="30"/>
        <v>12180.0000000001</v>
      </c>
      <c r="U226" s="127"/>
      <c r="V226" s="23">
        <v>4.43</v>
      </c>
      <c r="W226" s="23">
        <v>29.04</v>
      </c>
      <c r="X226" s="23"/>
      <c r="Y226" s="23"/>
      <c r="Z226" s="23"/>
      <c r="AA226" s="23"/>
      <c r="AB226" s="123" t="s">
        <v>38</v>
      </c>
    </row>
    <row r="227" spans="1:28">
      <c r="A227" s="97">
        <f t="shared" si="26"/>
        <v>229</v>
      </c>
      <c r="B227" s="113">
        <v>45972</v>
      </c>
      <c r="C227" s="19">
        <v>45972</v>
      </c>
      <c r="D227" s="129">
        <v>0.30208333333333298</v>
      </c>
      <c r="E227" s="130">
        <v>0.73958333333333304</v>
      </c>
      <c r="F227" s="124">
        <v>1673.89</v>
      </c>
      <c r="G227" s="23">
        <v>1687.39</v>
      </c>
      <c r="H227" s="23">
        <v>1671.19</v>
      </c>
      <c r="I227" s="23">
        <v>1719.42</v>
      </c>
      <c r="J227" s="23">
        <v>1740.81</v>
      </c>
      <c r="K227" s="23">
        <v>1773.61</v>
      </c>
      <c r="L227" s="23">
        <v>1735.45</v>
      </c>
      <c r="M227" s="125">
        <f t="shared" si="28"/>
        <v>12001.76</v>
      </c>
      <c r="N227" s="126">
        <f t="shared" si="31"/>
        <v>831.82</v>
      </c>
      <c r="O227" s="23">
        <v>835.77</v>
      </c>
      <c r="P227" s="23">
        <f t="shared" si="27"/>
        <v>11849.9999999998</v>
      </c>
      <c r="Q227" s="23">
        <f t="shared" si="32"/>
        <v>4.78</v>
      </c>
      <c r="R227" s="23">
        <v>4.79</v>
      </c>
      <c r="S227" s="23">
        <f t="shared" si="29"/>
        <v>29.9999999999994</v>
      </c>
      <c r="T227" s="123">
        <f t="shared" si="30"/>
        <v>11819.9999999998</v>
      </c>
      <c r="U227" s="127"/>
      <c r="V227" s="23">
        <v>4.34</v>
      </c>
      <c r="W227" s="23">
        <v>28.97</v>
      </c>
      <c r="X227" s="23"/>
      <c r="Y227" s="23"/>
      <c r="Z227" s="23"/>
      <c r="AA227" s="23"/>
      <c r="AB227" s="123" t="s">
        <v>38</v>
      </c>
    </row>
    <row r="228" spans="1:28">
      <c r="A228" s="97">
        <f t="shared" si="26"/>
        <v>230</v>
      </c>
      <c r="B228" s="113">
        <v>45973</v>
      </c>
      <c r="C228" s="19">
        <v>45973</v>
      </c>
      <c r="D228" s="129">
        <v>0.30208333333333298</v>
      </c>
      <c r="E228" s="130">
        <v>0.73958333333333304</v>
      </c>
      <c r="F228" s="124">
        <v>1634.01</v>
      </c>
      <c r="G228" s="23">
        <v>1666.68</v>
      </c>
      <c r="H228" s="23">
        <v>1631.75</v>
      </c>
      <c r="I228" s="23">
        <v>1681.6</v>
      </c>
      <c r="J228" s="23">
        <v>1705.89</v>
      </c>
      <c r="K228" s="23">
        <v>1740.85</v>
      </c>
      <c r="L228" s="23">
        <v>1706.12</v>
      </c>
      <c r="M228" s="125">
        <f t="shared" si="28"/>
        <v>11766.9</v>
      </c>
      <c r="N228" s="126">
        <f t="shared" si="31"/>
        <v>835.77</v>
      </c>
      <c r="O228" s="23">
        <v>839.65</v>
      </c>
      <c r="P228" s="23">
        <f t="shared" si="27"/>
        <v>11640</v>
      </c>
      <c r="Q228" s="23">
        <f t="shared" si="32"/>
        <v>4.79</v>
      </c>
      <c r="R228" s="23">
        <v>4.8</v>
      </c>
      <c r="S228" s="23">
        <f t="shared" si="29"/>
        <v>29.9999999999994</v>
      </c>
      <c r="T228" s="123">
        <f t="shared" si="30"/>
        <v>11610</v>
      </c>
      <c r="U228" s="127"/>
      <c r="V228" s="23">
        <v>4.29</v>
      </c>
      <c r="W228" s="23">
        <v>29.42</v>
      </c>
      <c r="X228" s="23"/>
      <c r="Y228" s="23"/>
      <c r="Z228" s="23"/>
      <c r="AA228" s="23"/>
      <c r="AB228" s="123" t="s">
        <v>38</v>
      </c>
    </row>
    <row r="229" spans="1:28">
      <c r="A229" s="97">
        <f t="shared" si="26"/>
        <v>231</v>
      </c>
      <c r="B229" s="113">
        <v>45974</v>
      </c>
      <c r="C229" s="19">
        <v>45974</v>
      </c>
      <c r="D229" s="129">
        <v>0.3125</v>
      </c>
      <c r="E229" s="130">
        <v>0.73958333333333304</v>
      </c>
      <c r="F229" s="124">
        <v>1593.84</v>
      </c>
      <c r="G229" s="23">
        <v>1601.11</v>
      </c>
      <c r="H229" s="23">
        <v>1590.79</v>
      </c>
      <c r="I229" s="23">
        <v>1643.56</v>
      </c>
      <c r="J229" s="23">
        <v>1664.25</v>
      </c>
      <c r="K229" s="23">
        <v>1696.89</v>
      </c>
      <c r="L229" s="23">
        <v>1650.1</v>
      </c>
      <c r="M229" s="125">
        <f t="shared" si="28"/>
        <v>11440.54</v>
      </c>
      <c r="N229" s="126">
        <f t="shared" si="31"/>
        <v>839.65</v>
      </c>
      <c r="O229" s="23">
        <v>843.44</v>
      </c>
      <c r="P229" s="23">
        <f t="shared" si="27"/>
        <v>11370.0000000002</v>
      </c>
      <c r="Q229" s="23">
        <f t="shared" si="32"/>
        <v>4.8</v>
      </c>
      <c r="R229" s="23">
        <v>4.82</v>
      </c>
      <c r="S229" s="23">
        <f t="shared" si="29"/>
        <v>60.0000000000014</v>
      </c>
      <c r="T229" s="123">
        <f t="shared" si="30"/>
        <v>11310.0000000002</v>
      </c>
      <c r="U229" s="127"/>
      <c r="V229" s="23">
        <v>4.24</v>
      </c>
      <c r="W229" s="23">
        <v>28.88</v>
      </c>
      <c r="X229" s="23"/>
      <c r="Y229" s="23"/>
      <c r="Z229" s="23"/>
      <c r="AA229" s="23"/>
      <c r="AB229" s="123" t="s">
        <v>38</v>
      </c>
    </row>
    <row r="230" spans="1:28">
      <c r="A230" s="97">
        <f t="shared" si="26"/>
        <v>232</v>
      </c>
      <c r="B230" s="113">
        <v>45975</v>
      </c>
      <c r="C230" s="19">
        <v>45975</v>
      </c>
      <c r="D230" s="129">
        <v>0.3125</v>
      </c>
      <c r="E230" s="130">
        <v>0.73958333333333304</v>
      </c>
      <c r="F230" s="124">
        <v>1591.67</v>
      </c>
      <c r="G230" s="23">
        <v>1603.94</v>
      </c>
      <c r="H230" s="23">
        <v>1588.65</v>
      </c>
      <c r="I230" s="23">
        <v>1640.49</v>
      </c>
      <c r="J230" s="23">
        <v>1662.63</v>
      </c>
      <c r="K230" s="23">
        <v>1694.53</v>
      </c>
      <c r="L230" s="23">
        <v>1663.82</v>
      </c>
      <c r="M230" s="125">
        <f t="shared" si="28"/>
        <v>11445.73</v>
      </c>
      <c r="N230" s="126">
        <f t="shared" si="31"/>
        <v>843.44</v>
      </c>
      <c r="O230" s="23">
        <v>847.23</v>
      </c>
      <c r="P230" s="23">
        <f t="shared" si="27"/>
        <v>11369.9999999999</v>
      </c>
      <c r="Q230" s="23">
        <f t="shared" si="32"/>
        <v>4.82</v>
      </c>
      <c r="R230" s="23">
        <v>4.83</v>
      </c>
      <c r="S230" s="23">
        <f t="shared" si="29"/>
        <v>29.9999999999994</v>
      </c>
      <c r="T230" s="123">
        <f t="shared" si="30"/>
        <v>11339.9999999999</v>
      </c>
      <c r="U230" s="127"/>
      <c r="V230" s="23">
        <v>4.2699999999999996</v>
      </c>
      <c r="W230" s="23">
        <v>29.49</v>
      </c>
      <c r="X230" s="23"/>
      <c r="Y230" s="23"/>
      <c r="Z230" s="23"/>
      <c r="AA230" s="23"/>
      <c r="AB230" s="123" t="s">
        <v>38</v>
      </c>
    </row>
    <row r="231" spans="1:28">
      <c r="A231" s="97">
        <f t="shared" si="26"/>
        <v>233</v>
      </c>
      <c r="B231" s="113">
        <v>45976</v>
      </c>
      <c r="C231" s="19">
        <v>45976</v>
      </c>
      <c r="D231" s="129">
        <v>0.3125</v>
      </c>
      <c r="E231" s="130">
        <v>0.73958333333333304</v>
      </c>
      <c r="F231" s="124">
        <v>1553.14</v>
      </c>
      <c r="G231" s="23">
        <v>1572.25</v>
      </c>
      <c r="H231" s="23">
        <v>1552.73</v>
      </c>
      <c r="I231" s="23">
        <v>1597.62</v>
      </c>
      <c r="J231" s="23">
        <v>1624.97</v>
      </c>
      <c r="K231" s="23">
        <v>1653.99</v>
      </c>
      <c r="L231" s="23">
        <v>1626.87</v>
      </c>
      <c r="M231" s="125">
        <f t="shared" si="28"/>
        <v>11181.57</v>
      </c>
      <c r="N231" s="126">
        <f t="shared" si="31"/>
        <v>847.23</v>
      </c>
      <c r="O231" s="23">
        <v>850.93</v>
      </c>
      <c r="P231" s="23">
        <f t="shared" si="27"/>
        <v>11099.9999999998</v>
      </c>
      <c r="Q231" s="23">
        <f t="shared" si="32"/>
        <v>4.83</v>
      </c>
      <c r="R231" s="23">
        <v>4.84</v>
      </c>
      <c r="S231" s="23">
        <f t="shared" si="29"/>
        <v>29.9999999999994</v>
      </c>
      <c r="T231" s="123">
        <f t="shared" si="30"/>
        <v>11069.9999999998</v>
      </c>
      <c r="U231" s="127"/>
      <c r="V231" s="23">
        <v>4.17</v>
      </c>
      <c r="W231" s="23">
        <v>28.69</v>
      </c>
      <c r="X231" s="23"/>
      <c r="Y231" s="23"/>
      <c r="Z231" s="23"/>
      <c r="AA231" s="23"/>
      <c r="AB231" s="123" t="s">
        <v>38</v>
      </c>
    </row>
    <row r="232" spans="1:28">
      <c r="A232" s="97">
        <f t="shared" si="26"/>
        <v>234</v>
      </c>
      <c r="B232" s="113">
        <v>45977</v>
      </c>
      <c r="C232" s="19">
        <v>45977</v>
      </c>
      <c r="D232" s="129">
        <v>0.3125</v>
      </c>
      <c r="E232" s="130">
        <v>0.73958333333333304</v>
      </c>
      <c r="F232" s="124">
        <v>1474.28</v>
      </c>
      <c r="G232" s="23">
        <v>1510.21</v>
      </c>
      <c r="H232" s="23">
        <v>1470.09</v>
      </c>
      <c r="I232" s="23">
        <v>1522.7</v>
      </c>
      <c r="J232" s="23">
        <v>1541.43</v>
      </c>
      <c r="K232" s="23">
        <v>1568.45</v>
      </c>
      <c r="L232" s="23">
        <v>1544.55</v>
      </c>
      <c r="M232" s="125">
        <f t="shared" si="28"/>
        <v>10631.71</v>
      </c>
      <c r="N232" s="126">
        <f t="shared" si="31"/>
        <v>850.93</v>
      </c>
      <c r="O232" s="23">
        <v>854.44</v>
      </c>
      <c r="P232" s="23">
        <f t="shared" si="27"/>
        <v>10530.0000000003</v>
      </c>
      <c r="Q232" s="23">
        <f t="shared" si="32"/>
        <v>4.84</v>
      </c>
      <c r="R232" s="23">
        <v>4.8499999999999996</v>
      </c>
      <c r="S232" s="23">
        <f t="shared" si="29"/>
        <v>29.9999999999994</v>
      </c>
      <c r="T232" s="123">
        <f t="shared" si="30"/>
        <v>10500.0000000003</v>
      </c>
      <c r="U232" s="127"/>
      <c r="V232" s="23">
        <v>4.0199999999999996</v>
      </c>
      <c r="W232" s="23">
        <v>28.07</v>
      </c>
      <c r="X232" s="23"/>
      <c r="Y232" s="23"/>
      <c r="Z232" s="23"/>
      <c r="AA232" s="23"/>
      <c r="AB232" s="123" t="s">
        <v>38</v>
      </c>
    </row>
    <row r="233" spans="1:28">
      <c r="A233" s="97">
        <f t="shared" si="26"/>
        <v>235</v>
      </c>
      <c r="B233" s="113">
        <v>45978</v>
      </c>
      <c r="C233" s="19">
        <v>45978</v>
      </c>
      <c r="D233" s="129">
        <v>0.3125</v>
      </c>
      <c r="E233" s="130">
        <v>0.73958333333333304</v>
      </c>
      <c r="F233" s="124">
        <v>1548.12</v>
      </c>
      <c r="G233" s="23">
        <v>1569.51</v>
      </c>
      <c r="H233" s="23">
        <v>1541.96</v>
      </c>
      <c r="I233" s="23">
        <v>1600.76</v>
      </c>
      <c r="J233" s="23">
        <v>1618.83</v>
      </c>
      <c r="K233" s="23">
        <v>1646.9</v>
      </c>
      <c r="L233" s="23">
        <v>1620.21</v>
      </c>
      <c r="M233" s="125">
        <f t="shared" si="28"/>
        <v>11146.29</v>
      </c>
      <c r="N233" s="126">
        <f t="shared" si="31"/>
        <v>854.44</v>
      </c>
      <c r="O233" s="23">
        <v>858.12</v>
      </c>
      <c r="P233" s="23">
        <f t="shared" si="27"/>
        <v>11039.9999999999</v>
      </c>
      <c r="Q233" s="23">
        <f t="shared" si="32"/>
        <v>4.8499999999999996</v>
      </c>
      <c r="R233" s="23">
        <v>4.87</v>
      </c>
      <c r="S233" s="23">
        <f t="shared" si="29"/>
        <v>60.0000000000014</v>
      </c>
      <c r="T233" s="123">
        <f t="shared" si="30"/>
        <v>10979.9999999998</v>
      </c>
      <c r="U233" s="127"/>
      <c r="V233" s="23">
        <v>4.21</v>
      </c>
      <c r="W233" s="23">
        <v>27.21</v>
      </c>
      <c r="X233" s="23"/>
      <c r="Y233" s="23"/>
      <c r="Z233" s="23"/>
      <c r="AA233" s="23"/>
      <c r="AB233" s="123" t="s">
        <v>38</v>
      </c>
    </row>
    <row r="234" spans="1:28">
      <c r="A234" s="97">
        <f t="shared" si="26"/>
        <v>236</v>
      </c>
      <c r="B234" s="113">
        <v>45979</v>
      </c>
      <c r="C234" s="19">
        <v>45979</v>
      </c>
      <c r="D234" s="129">
        <v>0.313194444444444</v>
      </c>
      <c r="E234" s="130">
        <v>0.73958333333333304</v>
      </c>
      <c r="F234" s="124">
        <v>1539.34</v>
      </c>
      <c r="G234" s="23">
        <v>1580.07</v>
      </c>
      <c r="H234" s="23">
        <v>1537.89</v>
      </c>
      <c r="I234" s="23">
        <v>1590.76</v>
      </c>
      <c r="J234" s="23">
        <v>1619.54</v>
      </c>
      <c r="K234" s="23">
        <v>1642.87</v>
      </c>
      <c r="L234" s="23">
        <v>1621.61</v>
      </c>
      <c r="M234" s="125">
        <f t="shared" si="28"/>
        <v>11132.08</v>
      </c>
      <c r="N234" s="126">
        <f t="shared" si="31"/>
        <v>858.12</v>
      </c>
      <c r="O234" s="23">
        <v>861.79</v>
      </c>
      <c r="P234" s="23">
        <f t="shared" si="27"/>
        <v>11009.9999999999</v>
      </c>
      <c r="Q234" s="23">
        <f t="shared" si="32"/>
        <v>4.87</v>
      </c>
      <c r="R234" s="23">
        <v>4.88</v>
      </c>
      <c r="S234" s="23">
        <f t="shared" si="29"/>
        <v>29.9999999999994</v>
      </c>
      <c r="T234" s="123">
        <f t="shared" si="30"/>
        <v>10979.9999999999</v>
      </c>
      <c r="U234" s="127"/>
      <c r="V234" s="23">
        <v>4.22</v>
      </c>
      <c r="W234" s="23">
        <v>25.45</v>
      </c>
      <c r="X234" s="23"/>
      <c r="Y234" s="23"/>
      <c r="Z234" s="23"/>
      <c r="AA234" s="23"/>
      <c r="AB234" s="123" t="s">
        <v>38</v>
      </c>
    </row>
    <row r="235" spans="1:28">
      <c r="A235" s="97">
        <f t="shared" si="26"/>
        <v>237</v>
      </c>
      <c r="B235" s="113">
        <v>45980</v>
      </c>
      <c r="C235" s="19">
        <v>45980</v>
      </c>
      <c r="D235" s="129">
        <v>0.3125</v>
      </c>
      <c r="E235" s="130">
        <v>0.73958333333333304</v>
      </c>
      <c r="F235" s="124">
        <v>1443.56</v>
      </c>
      <c r="G235" s="23">
        <v>1469.48</v>
      </c>
      <c r="H235" s="23">
        <v>1441.21</v>
      </c>
      <c r="I235" s="23">
        <v>1488.51</v>
      </c>
      <c r="J235" s="23">
        <v>1513.62</v>
      </c>
      <c r="K235" s="23">
        <v>1541.1</v>
      </c>
      <c r="L235" s="23">
        <v>1515.87</v>
      </c>
      <c r="M235" s="125">
        <f t="shared" si="28"/>
        <v>10413.35</v>
      </c>
      <c r="N235" s="126">
        <f t="shared" si="31"/>
        <v>861.79</v>
      </c>
      <c r="O235" s="23">
        <v>865.23</v>
      </c>
      <c r="P235" s="23">
        <f t="shared" si="27"/>
        <v>10320.0000000002</v>
      </c>
      <c r="Q235" s="23">
        <f t="shared" si="32"/>
        <v>4.88</v>
      </c>
      <c r="R235" s="23">
        <v>4.8899999999999997</v>
      </c>
      <c r="S235" s="23">
        <f t="shared" si="29"/>
        <v>29.9999999999994</v>
      </c>
      <c r="T235" s="123">
        <f t="shared" si="30"/>
        <v>10290.0000000002</v>
      </c>
      <c r="U235" s="127"/>
      <c r="V235" s="23">
        <v>3.97</v>
      </c>
      <c r="W235" s="23">
        <v>27.31</v>
      </c>
      <c r="X235" s="23"/>
      <c r="Y235" s="23"/>
      <c r="Z235" s="23"/>
      <c r="AA235" s="23"/>
      <c r="AB235" s="123" t="s">
        <v>38</v>
      </c>
    </row>
    <row r="236" spans="1:28">
      <c r="A236" s="97">
        <f t="shared" si="26"/>
        <v>238</v>
      </c>
      <c r="B236" s="113">
        <v>45981</v>
      </c>
      <c r="C236" s="19">
        <v>45981</v>
      </c>
      <c r="D236" s="129">
        <v>0.3125</v>
      </c>
      <c r="E236" s="130">
        <v>0.73958333333333304</v>
      </c>
      <c r="F236" s="124">
        <v>1435.7</v>
      </c>
      <c r="G236" s="23">
        <v>1486.11</v>
      </c>
      <c r="H236" s="23">
        <v>1437.26</v>
      </c>
      <c r="I236" s="23">
        <v>1501.93</v>
      </c>
      <c r="J236" s="23">
        <v>1516.19</v>
      </c>
      <c r="K236" s="23">
        <v>1549.23</v>
      </c>
      <c r="L236" s="23">
        <v>1511.44</v>
      </c>
      <c r="M236" s="125">
        <f t="shared" si="28"/>
        <v>10437.86</v>
      </c>
      <c r="N236" s="126">
        <f t="shared" si="31"/>
        <v>865.23</v>
      </c>
      <c r="O236" s="23">
        <v>868.68</v>
      </c>
      <c r="P236" s="23">
        <f t="shared" si="27"/>
        <v>10349.9999999998</v>
      </c>
      <c r="Q236" s="23">
        <f t="shared" si="32"/>
        <v>4.8899999999999997</v>
      </c>
      <c r="R236" s="23">
        <v>4.9000000000000004</v>
      </c>
      <c r="S236" s="23">
        <f t="shared" si="29"/>
        <v>30.000000000002</v>
      </c>
      <c r="T236" s="123">
        <f t="shared" si="30"/>
        <v>10319.9999999998</v>
      </c>
      <c r="U236" s="127"/>
      <c r="V236" s="23">
        <v>3.95</v>
      </c>
      <c r="W236" s="23">
        <v>26.95</v>
      </c>
      <c r="X236" s="23"/>
      <c r="Y236" s="23"/>
      <c r="Z236" s="23"/>
      <c r="AA236" s="23"/>
      <c r="AB236" s="123" t="s">
        <v>38</v>
      </c>
    </row>
    <row r="237" spans="1:28">
      <c r="A237" s="97">
        <f t="shared" si="26"/>
        <v>239</v>
      </c>
      <c r="B237" s="113">
        <v>45982</v>
      </c>
      <c r="C237" s="19">
        <v>45982</v>
      </c>
      <c r="D237" s="129">
        <v>0.3125</v>
      </c>
      <c r="E237" s="130">
        <v>0.73958333333333304</v>
      </c>
      <c r="F237" s="124">
        <v>1360.07</v>
      </c>
      <c r="G237" s="23">
        <v>1429.84</v>
      </c>
      <c r="H237" s="23">
        <v>1360.44</v>
      </c>
      <c r="I237" s="23">
        <v>1452.98</v>
      </c>
      <c r="J237" s="23">
        <v>1469.03</v>
      </c>
      <c r="K237" s="23">
        <v>1476.85</v>
      </c>
      <c r="L237" s="23">
        <v>1450.43</v>
      </c>
      <c r="M237" s="125">
        <f t="shared" si="28"/>
        <v>9999.64</v>
      </c>
      <c r="N237" s="126">
        <f t="shared" si="31"/>
        <v>868.68</v>
      </c>
      <c r="O237" s="23">
        <v>871.99</v>
      </c>
      <c r="P237" s="23">
        <f t="shared" si="27"/>
        <v>9930.0000000001801</v>
      </c>
      <c r="Q237" s="23">
        <f t="shared" si="32"/>
        <v>4.9000000000000004</v>
      </c>
      <c r="R237" s="23">
        <v>4.92</v>
      </c>
      <c r="S237" s="23">
        <f t="shared" si="29"/>
        <v>59.9999999999987</v>
      </c>
      <c r="T237" s="123">
        <f t="shared" si="30"/>
        <v>9870.0000000001801</v>
      </c>
      <c r="U237" s="127"/>
      <c r="V237" s="23">
        <v>3.78</v>
      </c>
      <c r="W237" s="23">
        <v>27.3</v>
      </c>
      <c r="X237" s="23"/>
      <c r="Y237" s="23"/>
      <c r="Z237" s="23"/>
      <c r="AA237" s="23"/>
      <c r="AB237" s="123" t="s">
        <v>38</v>
      </c>
    </row>
    <row r="238" spans="1:28">
      <c r="A238" s="97">
        <f t="shared" si="26"/>
        <v>240</v>
      </c>
      <c r="B238" s="113">
        <v>45983</v>
      </c>
      <c r="C238" s="19">
        <v>45983</v>
      </c>
      <c r="D238" s="129">
        <v>0.3125</v>
      </c>
      <c r="E238" s="130">
        <v>0.73958333333333304</v>
      </c>
      <c r="F238" s="124">
        <v>1429.49</v>
      </c>
      <c r="G238" s="23">
        <v>1484.27</v>
      </c>
      <c r="H238" s="23">
        <v>1424.17</v>
      </c>
      <c r="I238" s="23">
        <v>1510.39</v>
      </c>
      <c r="J238" s="23">
        <v>1519.81</v>
      </c>
      <c r="K238" s="23">
        <v>1542.94</v>
      </c>
      <c r="L238" s="23">
        <v>1520.61</v>
      </c>
      <c r="M238" s="125">
        <f t="shared" si="28"/>
        <v>10431.68</v>
      </c>
      <c r="N238" s="126">
        <f t="shared" si="31"/>
        <v>871.99</v>
      </c>
      <c r="O238" s="23">
        <v>875.44</v>
      </c>
      <c r="P238" s="23">
        <f t="shared" si="27"/>
        <v>10350.0000000001</v>
      </c>
      <c r="Q238" s="23">
        <f t="shared" si="32"/>
        <v>4.92</v>
      </c>
      <c r="R238" s="23">
        <v>4.93</v>
      </c>
      <c r="S238" s="23">
        <f t="shared" si="29"/>
        <v>29.9999999999994</v>
      </c>
      <c r="T238" s="123">
        <f t="shared" si="30"/>
        <v>10320.0000000001</v>
      </c>
      <c r="U238" s="127"/>
      <c r="V238" s="23">
        <v>3.93</v>
      </c>
      <c r="W238" s="23">
        <v>27.83</v>
      </c>
      <c r="X238" s="23"/>
      <c r="Y238" s="23"/>
      <c r="Z238" s="23"/>
      <c r="AA238" s="23"/>
      <c r="AB238" s="123" t="s">
        <v>38</v>
      </c>
    </row>
    <row r="239" spans="1:28">
      <c r="A239" s="97">
        <f t="shared" si="26"/>
        <v>241</v>
      </c>
      <c r="B239" s="113">
        <v>45984</v>
      </c>
      <c r="C239" s="19">
        <v>45984</v>
      </c>
      <c r="D239" s="129">
        <v>0.3125</v>
      </c>
      <c r="E239" s="130">
        <v>0.73958333333333304</v>
      </c>
      <c r="F239" s="124">
        <v>1466.1</v>
      </c>
      <c r="G239" s="23">
        <v>1491.31</v>
      </c>
      <c r="H239" s="23">
        <v>1463.58</v>
      </c>
      <c r="I239" s="23">
        <v>1534.12</v>
      </c>
      <c r="J239" s="23">
        <v>1557.56</v>
      </c>
      <c r="K239" s="23">
        <v>1583.22</v>
      </c>
      <c r="L239" s="23">
        <v>1558.19</v>
      </c>
      <c r="M239" s="125">
        <f t="shared" si="28"/>
        <v>10654.08</v>
      </c>
      <c r="N239" s="126">
        <f t="shared" si="31"/>
        <v>875.44</v>
      </c>
      <c r="O239" s="23">
        <v>878.99</v>
      </c>
      <c r="P239" s="23">
        <f t="shared" si="27"/>
        <v>10649.9999999999</v>
      </c>
      <c r="Q239" s="23">
        <f t="shared" si="32"/>
        <v>4.93</v>
      </c>
      <c r="R239" s="23">
        <v>4.9400000000000004</v>
      </c>
      <c r="S239" s="23">
        <f t="shared" si="29"/>
        <v>30.000000000002</v>
      </c>
      <c r="T239" s="123">
        <f t="shared" si="30"/>
        <v>10619.9999999999</v>
      </c>
      <c r="U239" s="127"/>
      <c r="V239" s="23">
        <v>4.03</v>
      </c>
      <c r="W239" s="23">
        <v>27.69</v>
      </c>
      <c r="X239" s="23"/>
      <c r="Y239" s="23"/>
      <c r="Z239" s="23"/>
      <c r="AA239" s="23"/>
      <c r="AB239" s="123" t="s">
        <v>38</v>
      </c>
    </row>
    <row r="240" spans="1:28">
      <c r="A240" s="97">
        <f t="shared" si="26"/>
        <v>242</v>
      </c>
      <c r="B240" s="113">
        <v>45985</v>
      </c>
      <c r="C240" s="19">
        <v>45985</v>
      </c>
      <c r="D240" s="129">
        <v>0.3125</v>
      </c>
      <c r="E240" s="130">
        <v>0.73958333333333304</v>
      </c>
      <c r="F240" s="124">
        <v>1525.17</v>
      </c>
      <c r="G240" s="23">
        <v>1610.6</v>
      </c>
      <c r="H240" s="23">
        <v>1529.75</v>
      </c>
      <c r="I240" s="23">
        <v>1632.2</v>
      </c>
      <c r="J240" s="23">
        <v>1648.27</v>
      </c>
      <c r="K240" s="23">
        <v>1654.46</v>
      </c>
      <c r="L240" s="23">
        <v>1624.45</v>
      </c>
      <c r="M240" s="125">
        <f t="shared" si="28"/>
        <v>11224.9</v>
      </c>
      <c r="N240" s="126">
        <f t="shared" si="31"/>
        <v>878.99</v>
      </c>
      <c r="O240" s="23">
        <v>882.7</v>
      </c>
      <c r="P240" s="23">
        <f t="shared" si="27"/>
        <v>11130.0000000001</v>
      </c>
      <c r="Q240" s="23">
        <f t="shared" si="32"/>
        <v>4.9400000000000004</v>
      </c>
      <c r="R240" s="23">
        <v>4.95</v>
      </c>
      <c r="S240" s="23">
        <f t="shared" si="29"/>
        <v>29.9999999999994</v>
      </c>
      <c r="T240" s="123">
        <f t="shared" si="30"/>
        <v>11100.0000000001</v>
      </c>
      <c r="U240" s="127"/>
      <c r="V240" s="23">
        <v>4.16</v>
      </c>
      <c r="W240" s="23">
        <v>27.52</v>
      </c>
      <c r="X240" s="23"/>
      <c r="Y240" s="23"/>
      <c r="Z240" s="23"/>
      <c r="AA240" s="23"/>
      <c r="AB240" s="123" t="s">
        <v>38</v>
      </c>
    </row>
    <row r="241" spans="1:28">
      <c r="A241" s="97">
        <f t="shared" si="26"/>
        <v>243</v>
      </c>
      <c r="B241" s="113">
        <v>45986</v>
      </c>
      <c r="C241" s="19">
        <v>45986</v>
      </c>
      <c r="D241" s="129">
        <v>0.3125</v>
      </c>
      <c r="E241" s="130">
        <v>0.73958333333333304</v>
      </c>
      <c r="F241" s="124">
        <v>1440.87</v>
      </c>
      <c r="G241" s="23">
        <v>1509.56</v>
      </c>
      <c r="H241" s="23">
        <v>1444.32</v>
      </c>
      <c r="I241" s="23">
        <v>1519.46</v>
      </c>
      <c r="J241" s="23">
        <v>1536.31</v>
      </c>
      <c r="K241" s="23">
        <v>1562.16</v>
      </c>
      <c r="L241" s="23">
        <v>1527.51</v>
      </c>
      <c r="M241" s="125">
        <f t="shared" si="28"/>
        <v>10540.19</v>
      </c>
      <c r="N241" s="126">
        <f t="shared" si="31"/>
        <v>882.7</v>
      </c>
      <c r="O241" s="23">
        <v>886.21</v>
      </c>
      <c r="P241" s="23">
        <f t="shared" si="27"/>
        <v>10530</v>
      </c>
      <c r="Q241" s="23">
        <f t="shared" si="32"/>
        <v>4.95</v>
      </c>
      <c r="R241" s="23">
        <v>4.97</v>
      </c>
      <c r="S241" s="23">
        <f t="shared" si="29"/>
        <v>59.9999999999987</v>
      </c>
      <c r="T241" s="123">
        <f t="shared" si="30"/>
        <v>10470</v>
      </c>
      <c r="U241" s="127">
        <v>3.9</v>
      </c>
      <c r="V241" s="23">
        <v>3.9</v>
      </c>
      <c r="W241" s="23">
        <v>27.02</v>
      </c>
      <c r="X241" s="23"/>
      <c r="Y241" s="23"/>
      <c r="Z241" s="23"/>
      <c r="AA241" s="23"/>
      <c r="AB241" s="123" t="s">
        <v>38</v>
      </c>
    </row>
    <row r="242" spans="1:28">
      <c r="A242" s="97">
        <f t="shared" si="26"/>
        <v>244</v>
      </c>
      <c r="B242" s="113">
        <v>45987</v>
      </c>
      <c r="C242" s="19">
        <v>45987</v>
      </c>
      <c r="D242" s="129">
        <v>0.3125</v>
      </c>
      <c r="E242" s="130">
        <v>0.73958333333333304</v>
      </c>
      <c r="F242" s="124">
        <v>1338.61</v>
      </c>
      <c r="G242" s="23">
        <v>1410.11</v>
      </c>
      <c r="H242" s="23">
        <v>1341.4</v>
      </c>
      <c r="I242" s="23">
        <v>1332.21</v>
      </c>
      <c r="J242" s="23">
        <v>1448.48</v>
      </c>
      <c r="K242" s="23">
        <v>1450.8</v>
      </c>
      <c r="L242" s="23">
        <v>1427.57</v>
      </c>
      <c r="M242" s="125">
        <f t="shared" si="28"/>
        <v>9749.18</v>
      </c>
      <c r="N242" s="126">
        <f t="shared" si="31"/>
        <v>886.21</v>
      </c>
      <c r="O242" s="23">
        <v>889.47</v>
      </c>
      <c r="P242" s="23">
        <f t="shared" si="27"/>
        <v>9779.9999999999709</v>
      </c>
      <c r="Q242" s="23">
        <f t="shared" si="32"/>
        <v>4.97</v>
      </c>
      <c r="R242" s="23">
        <v>4.9800000000000004</v>
      </c>
      <c r="S242" s="23">
        <f t="shared" si="29"/>
        <v>30.000000000002</v>
      </c>
      <c r="T242" s="123">
        <f t="shared" si="30"/>
        <v>9749.9999999999709</v>
      </c>
      <c r="U242" s="127" t="s">
        <v>52</v>
      </c>
      <c r="V242" s="23">
        <v>3.7</v>
      </c>
      <c r="W242" s="23">
        <v>27.75</v>
      </c>
      <c r="X242" s="23"/>
      <c r="Y242" s="23"/>
      <c r="Z242" s="23"/>
      <c r="AA242" s="23"/>
      <c r="AB242" s="123" t="s">
        <v>38</v>
      </c>
    </row>
    <row r="243" spans="1:28">
      <c r="A243" s="97">
        <f t="shared" si="26"/>
        <v>245</v>
      </c>
      <c r="B243" s="113">
        <v>45988</v>
      </c>
      <c r="C243" s="19">
        <v>45988</v>
      </c>
      <c r="D243" s="129">
        <v>0.3125</v>
      </c>
      <c r="E243" s="130">
        <v>0.72916666666666696</v>
      </c>
      <c r="F243" s="124">
        <v>1256.53</v>
      </c>
      <c r="G243" s="23">
        <v>1320.49</v>
      </c>
      <c r="H243" s="23">
        <v>1250.8</v>
      </c>
      <c r="I243" s="23">
        <v>1341.97</v>
      </c>
      <c r="J243" s="23">
        <v>1354.81</v>
      </c>
      <c r="K243" s="23">
        <v>1354.48</v>
      </c>
      <c r="L243" s="23">
        <v>1341.45</v>
      </c>
      <c r="M243" s="125">
        <f t="shared" si="28"/>
        <v>9220.5300000000007</v>
      </c>
      <c r="N243" s="126">
        <f t="shared" si="31"/>
        <v>889.47</v>
      </c>
      <c r="O243" s="23">
        <v>892.51</v>
      </c>
      <c r="P243" s="23">
        <f t="shared" si="27"/>
        <v>9119.9999999998909</v>
      </c>
      <c r="Q243" s="23">
        <f t="shared" si="32"/>
        <v>4.9800000000000004</v>
      </c>
      <c r="R243" s="23">
        <v>4.99</v>
      </c>
      <c r="S243" s="23">
        <f t="shared" si="29"/>
        <v>29.9999999999994</v>
      </c>
      <c r="T243" s="123">
        <f t="shared" si="30"/>
        <v>9089.9999999998909</v>
      </c>
      <c r="U243" s="127"/>
      <c r="V243" s="23">
        <v>3.43</v>
      </c>
      <c r="W243" s="23">
        <v>28.17</v>
      </c>
      <c r="X243" s="23"/>
      <c r="Y243" s="23"/>
      <c r="Z243" s="23"/>
      <c r="AA243" s="23"/>
      <c r="AB243" s="123" t="s">
        <v>38</v>
      </c>
    </row>
    <row r="244" spans="1:28">
      <c r="A244" s="97">
        <f t="shared" si="26"/>
        <v>246</v>
      </c>
      <c r="B244" s="113">
        <v>45989</v>
      </c>
      <c r="C244" s="19">
        <v>45989</v>
      </c>
      <c r="D244" s="129">
        <v>0.3125</v>
      </c>
      <c r="E244" s="130">
        <v>0.72916666666666696</v>
      </c>
      <c r="F244" s="124">
        <v>1095.1199999999999</v>
      </c>
      <c r="G244" s="23">
        <v>1146.5899999999999</v>
      </c>
      <c r="H244" s="23">
        <v>1090.55</v>
      </c>
      <c r="I244" s="23">
        <v>1170.03</v>
      </c>
      <c r="J244" s="23">
        <v>1181.3699999999999</v>
      </c>
      <c r="K244" s="23">
        <v>1181.4000000000001</v>
      </c>
      <c r="L244" s="23">
        <v>1172.82</v>
      </c>
      <c r="M244" s="125">
        <f t="shared" si="28"/>
        <v>8037.88</v>
      </c>
      <c r="N244" s="126">
        <f t="shared" si="31"/>
        <v>892.51</v>
      </c>
      <c r="O244" s="23">
        <v>895.17</v>
      </c>
      <c r="P244" s="23">
        <f t="shared" si="27"/>
        <v>7979.9999999999</v>
      </c>
      <c r="Q244" s="23">
        <f t="shared" si="32"/>
        <v>4.99</v>
      </c>
      <c r="R244" s="23">
        <v>5</v>
      </c>
      <c r="S244" s="23">
        <f t="shared" si="29"/>
        <v>29.9999999999994</v>
      </c>
      <c r="T244" s="123">
        <f t="shared" si="30"/>
        <v>7949.99999999991</v>
      </c>
      <c r="U244" s="127"/>
      <c r="V244" s="23">
        <v>3.16</v>
      </c>
      <c r="W244" s="23">
        <v>28.4</v>
      </c>
      <c r="X244" s="23"/>
      <c r="Y244" s="23"/>
      <c r="Z244" s="23"/>
      <c r="AA244" s="23"/>
      <c r="AB244" s="123" t="s">
        <v>38</v>
      </c>
    </row>
    <row r="245" spans="1:28">
      <c r="A245" s="97">
        <f t="shared" si="26"/>
        <v>247</v>
      </c>
      <c r="B245" s="113">
        <v>45990</v>
      </c>
      <c r="C245" s="19">
        <v>45990</v>
      </c>
      <c r="D245" s="129">
        <v>0.32291666666666702</v>
      </c>
      <c r="E245" s="130">
        <v>0.72916666666666696</v>
      </c>
      <c r="F245" s="124">
        <v>1167.51</v>
      </c>
      <c r="G245" s="23">
        <v>1214.73</v>
      </c>
      <c r="H245" s="23">
        <v>1163.49</v>
      </c>
      <c r="I245" s="23">
        <v>1239.24</v>
      </c>
      <c r="J245" s="23">
        <v>1255.94</v>
      </c>
      <c r="K245" s="23">
        <v>1257.3699999999999</v>
      </c>
      <c r="L245" s="23">
        <v>1245.71</v>
      </c>
      <c r="M245" s="125">
        <f t="shared" si="28"/>
        <v>8543.99</v>
      </c>
      <c r="N245" s="126">
        <f t="shared" si="31"/>
        <v>895.17</v>
      </c>
      <c r="O245" s="23">
        <v>898.01</v>
      </c>
      <c r="P245" s="23">
        <f t="shared" si="27"/>
        <v>8520.0000000000891</v>
      </c>
      <c r="Q245" s="23">
        <f t="shared" si="32"/>
        <v>5</v>
      </c>
      <c r="R245" s="23">
        <v>5.0199999999999996</v>
      </c>
      <c r="S245" s="23">
        <f t="shared" si="29"/>
        <v>59.9999999999987</v>
      </c>
      <c r="T245" s="123">
        <f t="shared" si="30"/>
        <v>8460.0000000001</v>
      </c>
      <c r="U245" s="127"/>
      <c r="V245" s="23">
        <v>3.34</v>
      </c>
      <c r="W245" s="23">
        <v>28.77</v>
      </c>
      <c r="X245" s="23"/>
      <c r="Y245" s="23"/>
      <c r="Z245" s="23"/>
      <c r="AA245" s="23"/>
      <c r="AB245" s="123" t="s">
        <v>38</v>
      </c>
    </row>
    <row r="246" spans="1:28">
      <c r="A246" s="97">
        <f t="shared" si="26"/>
        <v>248</v>
      </c>
      <c r="B246" s="113">
        <v>45991</v>
      </c>
      <c r="C246" s="19">
        <v>45991</v>
      </c>
      <c r="D246" s="129">
        <v>0.3125</v>
      </c>
      <c r="E246" s="130">
        <v>0.73958333333333304</v>
      </c>
      <c r="F246" s="124">
        <v>1354.12</v>
      </c>
      <c r="G246" s="23">
        <v>1418.09</v>
      </c>
      <c r="H246" s="23">
        <v>1346.52</v>
      </c>
      <c r="I246" s="23">
        <v>1451.36</v>
      </c>
      <c r="J246" s="23">
        <v>1456.61</v>
      </c>
      <c r="K246" s="23">
        <v>1459.96</v>
      </c>
      <c r="L246" s="23">
        <v>1449.24</v>
      </c>
      <c r="M246" s="125">
        <f t="shared" si="28"/>
        <v>9935.9</v>
      </c>
      <c r="N246" s="126">
        <f t="shared" si="31"/>
        <v>898.01</v>
      </c>
      <c r="O246" s="23">
        <v>901.29</v>
      </c>
      <c r="P246" s="23">
        <f t="shared" si="27"/>
        <v>9839.99999999992</v>
      </c>
      <c r="Q246" s="23">
        <f t="shared" si="32"/>
        <v>5.0199999999999996</v>
      </c>
      <c r="R246" s="23">
        <v>5.03</v>
      </c>
      <c r="S246" s="23">
        <f t="shared" si="29"/>
        <v>30.000000000002</v>
      </c>
      <c r="T246" s="123">
        <f t="shared" si="30"/>
        <v>9809.99999999992</v>
      </c>
      <c r="U246" s="127"/>
      <c r="V246" s="23">
        <v>3.71</v>
      </c>
      <c r="W246" s="23">
        <v>28.42</v>
      </c>
      <c r="X246" s="23"/>
      <c r="Y246" s="23"/>
      <c r="Z246" s="23"/>
      <c r="AA246" s="23"/>
      <c r="AB246" s="123" t="s">
        <v>38</v>
      </c>
    </row>
    <row r="247" spans="1:28">
      <c r="A247" s="97">
        <f t="shared" si="26"/>
        <v>249</v>
      </c>
      <c r="B247" s="113">
        <v>45992</v>
      </c>
      <c r="C247" s="19">
        <v>45992</v>
      </c>
      <c r="D247" s="129">
        <v>0.313194444444444</v>
      </c>
      <c r="E247" s="130">
        <v>0.72916666666666696</v>
      </c>
      <c r="F247" s="124">
        <v>1406.26</v>
      </c>
      <c r="G247" s="23">
        <v>1501.42</v>
      </c>
      <c r="H247" s="23">
        <v>1400.54</v>
      </c>
      <c r="I247" s="23">
        <v>1510.34</v>
      </c>
      <c r="J247" s="23">
        <v>1512.98</v>
      </c>
      <c r="K247" s="23">
        <v>1516.83</v>
      </c>
      <c r="L247" s="23">
        <v>1498.09</v>
      </c>
      <c r="M247" s="125">
        <f t="shared" si="28"/>
        <v>10346.459999999999</v>
      </c>
      <c r="N247" s="126">
        <f t="shared" si="31"/>
        <v>901.29</v>
      </c>
      <c r="O247" s="23">
        <v>904.7</v>
      </c>
      <c r="P247" s="23">
        <f t="shared" si="27"/>
        <v>10230.0000000002</v>
      </c>
      <c r="Q247" s="23">
        <f t="shared" si="32"/>
        <v>5.03</v>
      </c>
      <c r="R247" s="23">
        <v>5.05</v>
      </c>
      <c r="S247" s="23">
        <f t="shared" si="29"/>
        <v>59.9999999999987</v>
      </c>
      <c r="T247" s="123">
        <f t="shared" si="30"/>
        <v>10170.0000000002</v>
      </c>
      <c r="U247" s="127"/>
      <c r="V247" s="23">
        <v>3.81</v>
      </c>
      <c r="W247" s="23">
        <v>28.74</v>
      </c>
      <c r="X247" s="23"/>
      <c r="Y247" s="23"/>
      <c r="Z247" s="23"/>
      <c r="AA247" s="23"/>
      <c r="AB247" s="123" t="s">
        <v>38</v>
      </c>
    </row>
    <row r="248" spans="1:28">
      <c r="A248" s="97">
        <f t="shared" si="26"/>
        <v>250</v>
      </c>
      <c r="B248" s="113">
        <v>45993</v>
      </c>
      <c r="C248" s="19">
        <v>45993</v>
      </c>
      <c r="D248" s="129">
        <v>0.32291666666666702</v>
      </c>
      <c r="E248" s="130">
        <v>0.73958333333333304</v>
      </c>
      <c r="F248" s="124">
        <v>1266.3399999999999</v>
      </c>
      <c r="G248" s="23">
        <v>1330.09</v>
      </c>
      <c r="H248" s="23">
        <v>1260.5</v>
      </c>
      <c r="I248" s="23">
        <v>1366.33</v>
      </c>
      <c r="J248" s="23">
        <v>1363.87</v>
      </c>
      <c r="K248" s="23">
        <v>1360.99</v>
      </c>
      <c r="L248" s="23">
        <v>1350.68</v>
      </c>
      <c r="M248" s="125">
        <f t="shared" si="28"/>
        <v>9298.7999999999993</v>
      </c>
      <c r="N248" s="126">
        <f t="shared" si="31"/>
        <v>904.7</v>
      </c>
      <c r="O248" s="23">
        <v>907.77</v>
      </c>
      <c r="P248" s="23">
        <f t="shared" si="27"/>
        <v>9209.9999999998108</v>
      </c>
      <c r="Q248" s="23">
        <f t="shared" si="32"/>
        <v>5.05</v>
      </c>
      <c r="R248" s="23">
        <v>5.0599999999999996</v>
      </c>
      <c r="S248" s="23">
        <f t="shared" si="29"/>
        <v>29.9999999999994</v>
      </c>
      <c r="T248" s="123">
        <f t="shared" si="30"/>
        <v>9179.9999999998108</v>
      </c>
      <c r="U248" s="127"/>
      <c r="V248" s="23">
        <v>3.48</v>
      </c>
      <c r="W248" s="23">
        <v>26.87</v>
      </c>
      <c r="X248" s="23"/>
      <c r="Y248" s="23"/>
      <c r="Z248" s="23"/>
      <c r="AA248" s="23"/>
      <c r="AB248" s="123" t="s">
        <v>38</v>
      </c>
    </row>
    <row r="249" spans="1:28">
      <c r="A249" s="97">
        <f t="shared" si="26"/>
        <v>251</v>
      </c>
      <c r="B249" s="113">
        <v>45994</v>
      </c>
      <c r="C249" s="19">
        <v>45994</v>
      </c>
      <c r="D249" s="129">
        <v>0.3125</v>
      </c>
      <c r="E249" s="130">
        <v>0.72916666666666696</v>
      </c>
      <c r="F249" s="124">
        <v>1397.59</v>
      </c>
      <c r="G249" s="23">
        <v>1498.84</v>
      </c>
      <c r="H249" s="23">
        <v>1390.02</v>
      </c>
      <c r="I249" s="23">
        <v>1509.97</v>
      </c>
      <c r="J249" s="23">
        <v>1510.32</v>
      </c>
      <c r="K249" s="23">
        <v>1504.2</v>
      </c>
      <c r="L249" s="23">
        <v>1501.45</v>
      </c>
      <c r="M249" s="125">
        <f t="shared" si="28"/>
        <v>10312.39</v>
      </c>
      <c r="N249" s="126">
        <f t="shared" si="31"/>
        <v>907.77</v>
      </c>
      <c r="O249" s="23">
        <v>911.18</v>
      </c>
      <c r="P249" s="23">
        <f t="shared" si="27"/>
        <v>10229.9999999999</v>
      </c>
      <c r="Q249" s="23">
        <f t="shared" si="32"/>
        <v>5.0599999999999996</v>
      </c>
      <c r="R249" s="23">
        <v>5.07</v>
      </c>
      <c r="S249" s="23">
        <f t="shared" si="29"/>
        <v>30.000000000002</v>
      </c>
      <c r="T249" s="123">
        <f t="shared" si="30"/>
        <v>10199.9999999999</v>
      </c>
      <c r="U249" s="127"/>
      <c r="V249" s="23">
        <v>3.8</v>
      </c>
      <c r="W249" s="23">
        <v>26.14</v>
      </c>
      <c r="X249" s="23"/>
      <c r="Y249" s="23"/>
      <c r="Z249" s="23"/>
      <c r="AA249" s="23"/>
      <c r="AB249" s="123" t="s">
        <v>38</v>
      </c>
    </row>
    <row r="250" spans="1:28">
      <c r="A250" s="97">
        <f t="shared" si="26"/>
        <v>252</v>
      </c>
      <c r="B250" s="113">
        <v>45995</v>
      </c>
      <c r="C250" s="19">
        <v>45995</v>
      </c>
      <c r="D250" s="129">
        <v>0.32291666666666702</v>
      </c>
      <c r="E250" s="130">
        <v>0.72916666666666696</v>
      </c>
      <c r="F250" s="124">
        <v>1319.64</v>
      </c>
      <c r="G250" s="23">
        <v>1403.78</v>
      </c>
      <c r="H250" s="23">
        <v>1317.84</v>
      </c>
      <c r="I250" s="23">
        <v>1423.59</v>
      </c>
      <c r="J250" s="23">
        <v>1429.45</v>
      </c>
      <c r="K250" s="23">
        <v>1427.37</v>
      </c>
      <c r="L250" s="23">
        <v>1428.08</v>
      </c>
      <c r="M250" s="125">
        <f t="shared" si="28"/>
        <v>9749.75</v>
      </c>
      <c r="N250" s="126">
        <f t="shared" si="31"/>
        <v>911.18</v>
      </c>
      <c r="O250" s="23">
        <v>914.4</v>
      </c>
      <c r="P250" s="23">
        <f t="shared" si="27"/>
        <v>9660.00000000008</v>
      </c>
      <c r="Q250" s="23">
        <f t="shared" si="32"/>
        <v>5.07</v>
      </c>
      <c r="R250" s="23">
        <v>5.08</v>
      </c>
      <c r="S250" s="23">
        <f t="shared" si="29"/>
        <v>29.9999999999994</v>
      </c>
      <c r="T250" s="123">
        <f t="shared" si="30"/>
        <v>9630.00000000008</v>
      </c>
      <c r="U250" s="127"/>
      <c r="V250" s="23">
        <v>3.65</v>
      </c>
      <c r="W250" s="23">
        <v>26.7</v>
      </c>
      <c r="X250" s="23"/>
      <c r="Y250" s="23"/>
      <c r="Z250" s="23"/>
      <c r="AA250" s="23"/>
      <c r="AB250" s="123" t="s">
        <v>38</v>
      </c>
    </row>
    <row r="251" spans="1:28">
      <c r="A251" s="97">
        <f t="shared" si="26"/>
        <v>253</v>
      </c>
      <c r="B251" s="113">
        <v>45996</v>
      </c>
      <c r="C251" s="19">
        <v>45996</v>
      </c>
      <c r="D251" s="129">
        <v>0.32291666666666702</v>
      </c>
      <c r="E251" s="130">
        <v>0.72916666666666696</v>
      </c>
      <c r="F251" s="23">
        <v>1353.31</v>
      </c>
      <c r="G251" s="23">
        <v>1436.93</v>
      </c>
      <c r="H251" s="23">
        <v>1350.59</v>
      </c>
      <c r="I251" s="23">
        <v>1465.88</v>
      </c>
      <c r="J251" s="23">
        <v>1464.19</v>
      </c>
      <c r="K251" s="23">
        <v>1460.31</v>
      </c>
      <c r="L251" s="23">
        <v>1460.1</v>
      </c>
      <c r="M251" s="125">
        <f t="shared" si="28"/>
        <v>9991.31</v>
      </c>
      <c r="N251" s="126">
        <f t="shared" si="31"/>
        <v>914.4</v>
      </c>
      <c r="O251" s="23">
        <v>917.7</v>
      </c>
      <c r="P251" s="23">
        <f t="shared" si="27"/>
        <v>9900.0000000002001</v>
      </c>
      <c r="Q251" s="23">
        <f t="shared" si="32"/>
        <v>5.08</v>
      </c>
      <c r="R251" s="23">
        <v>5.0999999999999996</v>
      </c>
      <c r="S251" s="23">
        <f t="shared" si="29"/>
        <v>59.9999999999987</v>
      </c>
      <c r="T251" s="123">
        <f t="shared" si="30"/>
        <v>9840.0000000002092</v>
      </c>
      <c r="U251" s="127"/>
      <c r="V251" s="23">
        <v>3.71</v>
      </c>
      <c r="W251" s="23">
        <v>26.85</v>
      </c>
      <c r="X251" s="23"/>
      <c r="Y251" s="23"/>
      <c r="Z251" s="23"/>
      <c r="AA251" s="23"/>
      <c r="AB251" s="123" t="s">
        <v>38</v>
      </c>
    </row>
    <row r="252" spans="1:28">
      <c r="A252" s="97">
        <f t="shared" si="26"/>
        <v>254</v>
      </c>
      <c r="B252" s="113">
        <v>45997</v>
      </c>
      <c r="C252" s="19">
        <v>45997</v>
      </c>
      <c r="D252" s="129">
        <v>0.32291666666666702</v>
      </c>
      <c r="E252" s="130">
        <v>0.73958333333333304</v>
      </c>
      <c r="F252" s="124">
        <v>1238.54</v>
      </c>
      <c r="G252" s="23">
        <v>1302.21</v>
      </c>
      <c r="H252" s="23">
        <v>1232.26</v>
      </c>
      <c r="I252" s="23">
        <v>1337.99</v>
      </c>
      <c r="J252" s="23">
        <v>1336.8</v>
      </c>
      <c r="K252" s="23">
        <v>1335.26</v>
      </c>
      <c r="L252" s="23">
        <v>1332.88</v>
      </c>
      <c r="M252" s="125">
        <f t="shared" si="28"/>
        <v>9115.94</v>
      </c>
      <c r="N252" s="126">
        <f t="shared" si="31"/>
        <v>917.7</v>
      </c>
      <c r="O252" s="23">
        <v>920.71</v>
      </c>
      <c r="P252" s="23">
        <f t="shared" si="27"/>
        <v>9029.9999999999709</v>
      </c>
      <c r="Q252" s="23">
        <f t="shared" si="32"/>
        <v>5.0999999999999996</v>
      </c>
      <c r="R252" s="23">
        <v>5.1100000000000003</v>
      </c>
      <c r="S252" s="23">
        <f t="shared" si="29"/>
        <v>30.000000000002</v>
      </c>
      <c r="T252" s="123">
        <f t="shared" si="30"/>
        <v>8999.9999999999709</v>
      </c>
      <c r="U252" s="127"/>
      <c r="V252" s="23">
        <v>3.39</v>
      </c>
      <c r="W252" s="23">
        <v>26.19</v>
      </c>
      <c r="X252" s="23"/>
      <c r="Y252" s="23"/>
      <c r="Z252" s="23"/>
      <c r="AA252" s="23"/>
      <c r="AB252" s="123" t="s">
        <v>38</v>
      </c>
    </row>
    <row r="253" spans="1:28">
      <c r="A253" s="97">
        <f t="shared" si="26"/>
        <v>255</v>
      </c>
      <c r="B253" s="113">
        <v>45998</v>
      </c>
      <c r="C253" s="19">
        <v>45998</v>
      </c>
      <c r="D253" s="129">
        <v>0.32291666666666702</v>
      </c>
      <c r="E253" s="130">
        <v>0.73958333333333304</v>
      </c>
      <c r="F253" s="124">
        <v>1406.24</v>
      </c>
      <c r="G253" s="23">
        <v>1499.09</v>
      </c>
      <c r="H253" s="23">
        <v>1402.49</v>
      </c>
      <c r="I253" s="23">
        <v>1516.75</v>
      </c>
      <c r="J253" s="23">
        <v>1519.53</v>
      </c>
      <c r="K253" s="23">
        <v>1517.6</v>
      </c>
      <c r="L253" s="23">
        <v>1513.96</v>
      </c>
      <c r="M253" s="125">
        <f t="shared" si="28"/>
        <v>10375.66</v>
      </c>
      <c r="N253" s="126">
        <f t="shared" si="31"/>
        <v>920.71</v>
      </c>
      <c r="O253" s="23">
        <v>924.14</v>
      </c>
      <c r="P253" s="23">
        <f t="shared" si="27"/>
        <v>10289.9999999999</v>
      </c>
      <c r="Q253" s="23">
        <f t="shared" si="32"/>
        <v>5.1100000000000003</v>
      </c>
      <c r="R253" s="23">
        <v>5.12</v>
      </c>
      <c r="S253" s="23">
        <f t="shared" si="29"/>
        <v>29.9999999999994</v>
      </c>
      <c r="T253" s="123">
        <f t="shared" si="30"/>
        <v>10259.9999999999</v>
      </c>
      <c r="U253" s="127"/>
      <c r="V253" s="23">
        <v>3.81</v>
      </c>
      <c r="W253" s="23">
        <v>26.92</v>
      </c>
      <c r="X253" s="23"/>
      <c r="Y253" s="23"/>
      <c r="Z253" s="23"/>
      <c r="AA253" s="23"/>
      <c r="AB253" s="123" t="s">
        <v>38</v>
      </c>
    </row>
    <row r="254" spans="1:28">
      <c r="A254" s="97">
        <f t="shared" si="26"/>
        <v>256</v>
      </c>
      <c r="B254" s="113">
        <v>45999</v>
      </c>
      <c r="C254" s="19">
        <v>45999</v>
      </c>
      <c r="D254" s="129">
        <v>0.32291666666666702</v>
      </c>
      <c r="E254" s="130">
        <v>0.73958333333333304</v>
      </c>
      <c r="F254" s="124">
        <v>1409.84</v>
      </c>
      <c r="G254" s="23">
        <v>1502.64</v>
      </c>
      <c r="H254" s="23">
        <v>1406.09</v>
      </c>
      <c r="I254" s="23">
        <v>1519.97</v>
      </c>
      <c r="J254" s="23">
        <v>1529.47</v>
      </c>
      <c r="K254" s="23">
        <v>1522.36</v>
      </c>
      <c r="L254" s="23">
        <v>1529.18</v>
      </c>
      <c r="M254" s="125">
        <f t="shared" si="28"/>
        <v>10419.549999999999</v>
      </c>
      <c r="N254" s="126">
        <f t="shared" si="31"/>
        <v>924.14</v>
      </c>
      <c r="O254" s="23">
        <v>927.58</v>
      </c>
      <c r="P254" s="23">
        <f t="shared" si="27"/>
        <v>10320.0000000002</v>
      </c>
      <c r="Q254" s="23">
        <f t="shared" si="32"/>
        <v>5.12</v>
      </c>
      <c r="R254" s="23">
        <v>5.14</v>
      </c>
      <c r="S254" s="23">
        <f t="shared" si="29"/>
        <v>59.9999999999987</v>
      </c>
      <c r="T254" s="123">
        <f t="shared" si="30"/>
        <v>10260.0000000002</v>
      </c>
      <c r="U254" s="127"/>
      <c r="V254" s="23">
        <v>3.82</v>
      </c>
      <c r="W254" s="23">
        <v>26.78</v>
      </c>
      <c r="X254" s="23"/>
      <c r="Y254" s="23"/>
      <c r="Z254" s="23"/>
      <c r="AA254" s="23"/>
      <c r="AB254" s="123" t="s">
        <v>38</v>
      </c>
    </row>
    <row r="255" spans="1:28">
      <c r="A255" s="97">
        <f t="shared" si="26"/>
        <v>257</v>
      </c>
      <c r="B255" s="113">
        <v>46000</v>
      </c>
      <c r="C255" s="19">
        <v>46000</v>
      </c>
      <c r="D255" s="129">
        <v>0.3125</v>
      </c>
      <c r="E255" s="130">
        <v>0.73958333333333304</v>
      </c>
      <c r="F255" s="124">
        <v>1529.26</v>
      </c>
      <c r="G255" s="23">
        <v>1621.68</v>
      </c>
      <c r="H255" s="23">
        <v>1517.24</v>
      </c>
      <c r="I255" s="23">
        <v>1724.27</v>
      </c>
      <c r="J255" s="23">
        <v>1687.2</v>
      </c>
      <c r="K255" s="23">
        <v>1633.68</v>
      </c>
      <c r="L255" s="23">
        <v>1786.16</v>
      </c>
      <c r="M255" s="125">
        <f t="shared" si="28"/>
        <v>11499.49</v>
      </c>
      <c r="N255" s="126">
        <f t="shared" si="31"/>
        <v>927.58</v>
      </c>
      <c r="O255" s="23">
        <v>931.37</v>
      </c>
      <c r="P255" s="23">
        <f t="shared" si="27"/>
        <v>11369.9999999999</v>
      </c>
      <c r="Q255" s="23">
        <f t="shared" si="32"/>
        <v>5.14</v>
      </c>
      <c r="R255" s="23">
        <v>5.15</v>
      </c>
      <c r="S255" s="23">
        <f t="shared" si="29"/>
        <v>30.000000000002</v>
      </c>
      <c r="T255" s="123">
        <f t="shared" si="30"/>
        <v>11339.9999999999</v>
      </c>
      <c r="U255" s="127"/>
      <c r="V255" s="23">
        <v>4.13</v>
      </c>
      <c r="W255" s="23">
        <v>27.06</v>
      </c>
      <c r="X255" s="23"/>
      <c r="Y255" s="23"/>
      <c r="Z255" s="23"/>
      <c r="AA255" s="23"/>
      <c r="AB255" s="123" t="s">
        <v>38</v>
      </c>
    </row>
    <row r="256" spans="1:28">
      <c r="A256" s="97">
        <f t="shared" si="26"/>
        <v>258</v>
      </c>
      <c r="B256" s="113">
        <v>46001</v>
      </c>
      <c r="C256" s="19">
        <v>46001</v>
      </c>
      <c r="D256" s="129">
        <v>0.32291666666666702</v>
      </c>
      <c r="E256" s="130">
        <v>0.73958333333333304</v>
      </c>
      <c r="F256" s="124">
        <v>1218.83</v>
      </c>
      <c r="G256" s="23">
        <v>1411.68</v>
      </c>
      <c r="H256" s="23">
        <v>1210.97</v>
      </c>
      <c r="I256" s="23">
        <v>1403.25</v>
      </c>
      <c r="J256" s="23">
        <v>1370.91</v>
      </c>
      <c r="K256" s="23">
        <v>1308.8699999999999</v>
      </c>
      <c r="L256" s="23">
        <v>1442.6</v>
      </c>
      <c r="M256" s="125">
        <f t="shared" si="28"/>
        <v>9367.11</v>
      </c>
      <c r="N256" s="126">
        <f t="shared" si="31"/>
        <v>931.37</v>
      </c>
      <c r="O256" s="23">
        <v>934.43</v>
      </c>
      <c r="P256" s="23">
        <f t="shared" si="27"/>
        <v>9179.9999999998399</v>
      </c>
      <c r="Q256" s="23">
        <f t="shared" si="32"/>
        <v>5.15</v>
      </c>
      <c r="R256" s="23">
        <v>5.16</v>
      </c>
      <c r="S256" s="23">
        <f t="shared" si="29"/>
        <v>29.9999999999994</v>
      </c>
      <c r="T256" s="123">
        <f t="shared" si="30"/>
        <v>9149.9999999998399</v>
      </c>
      <c r="U256" s="127"/>
      <c r="V256" s="23">
        <v>3.48</v>
      </c>
      <c r="W256" s="23">
        <v>28.35</v>
      </c>
      <c r="X256" s="23"/>
      <c r="Y256" s="23"/>
      <c r="Z256" s="23"/>
      <c r="AA256" s="23"/>
      <c r="AB256" s="123" t="s">
        <v>38</v>
      </c>
    </row>
    <row r="257" spans="1:28">
      <c r="A257" s="97">
        <f t="shared" si="26"/>
        <v>259</v>
      </c>
      <c r="B257" s="113">
        <v>46002</v>
      </c>
      <c r="C257" s="19">
        <v>46002</v>
      </c>
      <c r="D257" s="129">
        <v>0.32291666666666702</v>
      </c>
      <c r="E257" s="130">
        <v>0.73958333333333304</v>
      </c>
      <c r="F257" s="124">
        <v>1568.24</v>
      </c>
      <c r="G257" s="23">
        <v>1730.95</v>
      </c>
      <c r="H257" s="23">
        <v>1559.04</v>
      </c>
      <c r="I257" s="23">
        <v>1803.13</v>
      </c>
      <c r="J257" s="23">
        <v>1780.41</v>
      </c>
      <c r="K257" s="23">
        <v>1710.16</v>
      </c>
      <c r="L257" s="23">
        <v>1808.14</v>
      </c>
      <c r="M257" s="125">
        <f t="shared" si="28"/>
        <v>11960.07</v>
      </c>
      <c r="N257" s="126">
        <f t="shared" si="31"/>
        <v>934.43</v>
      </c>
      <c r="O257" s="23">
        <v>938.37</v>
      </c>
      <c r="P257" s="23">
        <f t="shared" si="27"/>
        <v>11820.0000000002</v>
      </c>
      <c r="Q257" s="23">
        <f t="shared" si="32"/>
        <v>5.16</v>
      </c>
      <c r="R257" s="23">
        <v>5.17</v>
      </c>
      <c r="S257" s="23">
        <f t="shared" si="29"/>
        <v>29.9999999999994</v>
      </c>
      <c r="T257" s="123">
        <f t="shared" si="30"/>
        <v>11790.0000000002</v>
      </c>
      <c r="U257" s="127"/>
      <c r="V257" s="23">
        <v>4.1100000000000003</v>
      </c>
      <c r="W257" s="23">
        <v>27.7</v>
      </c>
      <c r="X257" s="23"/>
      <c r="Y257" s="23"/>
      <c r="Z257" s="23"/>
      <c r="AA257" s="23"/>
      <c r="AB257" s="123" t="s">
        <v>38</v>
      </c>
    </row>
    <row r="258" spans="1:28">
      <c r="A258" s="97">
        <f t="shared" si="26"/>
        <v>260</v>
      </c>
      <c r="B258" s="113">
        <v>46003</v>
      </c>
      <c r="C258" s="19">
        <v>46003</v>
      </c>
      <c r="D258" s="129">
        <v>0.32291666666666702</v>
      </c>
      <c r="E258" s="130">
        <v>0.73958333333333304</v>
      </c>
      <c r="F258" s="124">
        <v>1616.58</v>
      </c>
      <c r="G258" s="23">
        <v>1727.66</v>
      </c>
      <c r="H258" s="23">
        <v>1608.4</v>
      </c>
      <c r="I258" s="23">
        <v>1799.29</v>
      </c>
      <c r="J258" s="23">
        <v>1776.06</v>
      </c>
      <c r="K258" s="23">
        <v>1749.95</v>
      </c>
      <c r="L258" s="23">
        <v>1798.41</v>
      </c>
      <c r="M258" s="125">
        <f t="shared" si="28"/>
        <v>12076.35</v>
      </c>
      <c r="N258" s="126">
        <f t="shared" si="31"/>
        <v>938.37</v>
      </c>
      <c r="O258" s="23">
        <v>942.35</v>
      </c>
      <c r="P258" s="23">
        <f t="shared" si="27"/>
        <v>11940.0000000001</v>
      </c>
      <c r="Q258" s="23">
        <f t="shared" si="32"/>
        <v>5.17</v>
      </c>
      <c r="R258" s="23">
        <v>5.18</v>
      </c>
      <c r="S258" s="23">
        <f t="shared" si="29"/>
        <v>29.9999999999994</v>
      </c>
      <c r="T258" s="123">
        <f t="shared" si="30"/>
        <v>11910.0000000001</v>
      </c>
      <c r="U258" s="127"/>
      <c r="V258" s="23">
        <v>4.1500000000000004</v>
      </c>
      <c r="W258" s="23">
        <v>27.48</v>
      </c>
      <c r="X258" s="23"/>
      <c r="Y258" s="23"/>
      <c r="Z258" s="23"/>
      <c r="AA258" s="23"/>
      <c r="AB258" s="123" t="s">
        <v>38</v>
      </c>
    </row>
    <row r="259" spans="1:28">
      <c r="A259" s="97">
        <f t="shared" ref="A259:A322" si="33">A258+1</f>
        <v>261</v>
      </c>
      <c r="B259" s="113">
        <v>46004</v>
      </c>
      <c r="C259" s="19">
        <v>46004</v>
      </c>
      <c r="D259" s="129">
        <v>0.32291666666666702</v>
      </c>
      <c r="E259" s="130">
        <v>0.73958333333333304</v>
      </c>
      <c r="F259" s="124">
        <v>1566.48</v>
      </c>
      <c r="G259" s="23">
        <v>1699.78</v>
      </c>
      <c r="H259" s="23">
        <v>1562.79</v>
      </c>
      <c r="I259" s="23">
        <v>1752.97</v>
      </c>
      <c r="J259" s="23">
        <v>1729.54</v>
      </c>
      <c r="K259" s="23">
        <v>1704.4</v>
      </c>
      <c r="L259" s="23">
        <v>1750.58</v>
      </c>
      <c r="M259" s="125">
        <f t="shared" si="28"/>
        <v>11766.54</v>
      </c>
      <c r="N259" s="126">
        <f t="shared" si="31"/>
        <v>942.35</v>
      </c>
      <c r="O259" s="23">
        <v>946.23</v>
      </c>
      <c r="P259" s="23">
        <f t="shared" ref="P259:P321" si="34">MAX((O259-N259)*3000,0)</f>
        <v>11640</v>
      </c>
      <c r="Q259" s="23">
        <f t="shared" si="32"/>
        <v>5.18</v>
      </c>
      <c r="R259" s="23">
        <v>5.2</v>
      </c>
      <c r="S259" s="23">
        <f t="shared" si="29"/>
        <v>60.0000000000014</v>
      </c>
      <c r="T259" s="123">
        <f t="shared" ref="T259:T322" si="35">P259-S259</f>
        <v>11580</v>
      </c>
      <c r="U259" s="127"/>
      <c r="V259" s="23">
        <v>4.0199999999999996</v>
      </c>
      <c r="W259" s="23">
        <v>27.29</v>
      </c>
      <c r="X259" s="23"/>
      <c r="Y259" s="23"/>
      <c r="Z259" s="23"/>
      <c r="AA259" s="23"/>
      <c r="AB259" s="123" t="s">
        <v>38</v>
      </c>
    </row>
    <row r="260" spans="1:28">
      <c r="A260" s="97">
        <f t="shared" si="33"/>
        <v>262</v>
      </c>
      <c r="B260" s="113">
        <v>46005</v>
      </c>
      <c r="C260" s="19">
        <v>46005</v>
      </c>
      <c r="D260" s="129">
        <v>0.32291666666666702</v>
      </c>
      <c r="E260" s="130">
        <v>0.73958333333333304</v>
      </c>
      <c r="F260" s="124">
        <v>1525.28</v>
      </c>
      <c r="G260" s="23">
        <v>1631.82</v>
      </c>
      <c r="H260" s="23">
        <v>1517.51</v>
      </c>
      <c r="I260" s="23">
        <v>1701.12</v>
      </c>
      <c r="J260" s="23">
        <v>1677.61</v>
      </c>
      <c r="K260" s="23">
        <v>1653.45</v>
      </c>
      <c r="L260" s="23">
        <v>1697.02</v>
      </c>
      <c r="M260" s="125">
        <f t="shared" ref="M260:M323" si="36">SUM(F260:L260)</f>
        <v>11403.81</v>
      </c>
      <c r="N260" s="126">
        <f t="shared" si="31"/>
        <v>946.23</v>
      </c>
      <c r="O260" s="23">
        <v>949.99</v>
      </c>
      <c r="P260" s="23">
        <f t="shared" si="34"/>
        <v>11280</v>
      </c>
      <c r="Q260" s="23">
        <f t="shared" si="32"/>
        <v>5.2</v>
      </c>
      <c r="R260" s="23">
        <v>5.21</v>
      </c>
      <c r="S260" s="23">
        <f t="shared" si="29"/>
        <v>29.9999999999994</v>
      </c>
      <c r="T260" s="123">
        <f t="shared" si="35"/>
        <v>11250</v>
      </c>
      <c r="U260" s="127"/>
      <c r="V260" s="23">
        <v>3.91</v>
      </c>
      <c r="W260" s="23">
        <v>31</v>
      </c>
      <c r="X260" s="23"/>
      <c r="Y260" s="23"/>
      <c r="Z260" s="23"/>
      <c r="AA260" s="23"/>
      <c r="AB260" s="123" t="s">
        <v>38</v>
      </c>
    </row>
    <row r="261" spans="1:28">
      <c r="A261" s="97">
        <f t="shared" si="33"/>
        <v>263</v>
      </c>
      <c r="B261" s="113">
        <v>46006</v>
      </c>
      <c r="C261" s="19">
        <v>46006</v>
      </c>
      <c r="D261" s="129">
        <v>0.32291666666666702</v>
      </c>
      <c r="E261" s="130">
        <v>0.72916666666666696</v>
      </c>
      <c r="F261" s="124">
        <v>1553.49</v>
      </c>
      <c r="G261" s="23">
        <v>1696.54</v>
      </c>
      <c r="H261" s="23">
        <v>1547.86</v>
      </c>
      <c r="I261" s="23">
        <v>1730.11</v>
      </c>
      <c r="J261" s="23">
        <v>1708.66</v>
      </c>
      <c r="K261" s="23">
        <v>1685.56</v>
      </c>
      <c r="L261" s="23">
        <v>1735.72</v>
      </c>
      <c r="M261" s="125">
        <f t="shared" si="36"/>
        <v>11657.94</v>
      </c>
      <c r="N261" s="126">
        <f t="shared" si="31"/>
        <v>949.99</v>
      </c>
      <c r="O261" s="23">
        <v>953.82</v>
      </c>
      <c r="P261" s="23">
        <f t="shared" si="34"/>
        <v>11490.0000000001</v>
      </c>
      <c r="Q261" s="23">
        <f t="shared" si="32"/>
        <v>5.21</v>
      </c>
      <c r="R261" s="23">
        <v>5.22</v>
      </c>
      <c r="S261" s="23">
        <f t="shared" ref="S261:S324" si="37">MAX((R261-Q261)*3000,0)</f>
        <v>29.9999999999994</v>
      </c>
      <c r="T261" s="123">
        <f t="shared" si="35"/>
        <v>11460.0000000001</v>
      </c>
      <c r="U261" s="127"/>
      <c r="V261" s="23">
        <v>4.01</v>
      </c>
      <c r="W261" s="23">
        <v>31</v>
      </c>
      <c r="X261" s="23"/>
      <c r="Y261" s="23"/>
      <c r="Z261" s="23"/>
      <c r="AA261" s="23"/>
      <c r="AB261" s="123" t="s">
        <v>38</v>
      </c>
    </row>
    <row r="262" spans="1:28">
      <c r="A262" s="97">
        <f t="shared" si="33"/>
        <v>264</v>
      </c>
      <c r="B262" s="113">
        <v>46007</v>
      </c>
      <c r="C262" s="19">
        <v>46007</v>
      </c>
      <c r="D262" s="129">
        <v>0.32291666666666702</v>
      </c>
      <c r="E262" s="130">
        <v>0.72916666666666696</v>
      </c>
      <c r="F262" s="124">
        <v>1517.59</v>
      </c>
      <c r="G262" s="23">
        <v>1680.97</v>
      </c>
      <c r="H262" s="23">
        <v>1510.87</v>
      </c>
      <c r="I262" s="23">
        <v>1694.02</v>
      </c>
      <c r="J262" s="23">
        <v>1670.96</v>
      </c>
      <c r="K262" s="23">
        <v>1645.46</v>
      </c>
      <c r="L262" s="23">
        <v>1696.25</v>
      </c>
      <c r="M262" s="125">
        <f t="shared" si="36"/>
        <v>11416.12</v>
      </c>
      <c r="N262" s="126">
        <f t="shared" si="31"/>
        <v>953.82</v>
      </c>
      <c r="O262" s="23">
        <v>957.57</v>
      </c>
      <c r="P262" s="23">
        <f t="shared" si="34"/>
        <v>11250</v>
      </c>
      <c r="Q262" s="23">
        <f t="shared" si="32"/>
        <v>5.22</v>
      </c>
      <c r="R262" s="23">
        <v>5.25</v>
      </c>
      <c r="S262" s="23">
        <f t="shared" si="37"/>
        <v>90.000000000000696</v>
      </c>
      <c r="T262" s="123">
        <f t="shared" si="35"/>
        <v>11160</v>
      </c>
      <c r="U262" s="127"/>
      <c r="V262" s="23">
        <v>3.7</v>
      </c>
      <c r="W262" s="23" t="s">
        <v>53</v>
      </c>
      <c r="X262" s="23"/>
      <c r="Y262" s="23"/>
      <c r="Z262" s="23"/>
      <c r="AA262" s="23"/>
      <c r="AB262" s="123" t="s">
        <v>38</v>
      </c>
    </row>
    <row r="263" spans="1:28">
      <c r="A263" s="97">
        <f t="shared" si="33"/>
        <v>265</v>
      </c>
      <c r="B263" s="113">
        <v>46008</v>
      </c>
      <c r="C263" s="19">
        <v>46008</v>
      </c>
      <c r="D263" s="129">
        <v>0.32291666666666702</v>
      </c>
      <c r="E263" s="130">
        <v>0.74027777777777803</v>
      </c>
      <c r="F263" s="124">
        <v>1394.63</v>
      </c>
      <c r="G263" s="23">
        <v>1421.84</v>
      </c>
      <c r="H263" s="23">
        <v>1388.45</v>
      </c>
      <c r="I263" s="23">
        <v>1557.61</v>
      </c>
      <c r="J263" s="23">
        <v>1541.59</v>
      </c>
      <c r="K263" s="23">
        <v>1513.22</v>
      </c>
      <c r="L263" s="23">
        <v>1558.17</v>
      </c>
      <c r="M263" s="125">
        <f t="shared" si="36"/>
        <v>10375.51</v>
      </c>
      <c r="N263" s="126">
        <f t="shared" si="31"/>
        <v>957.57</v>
      </c>
      <c r="O263" s="23">
        <v>961.03</v>
      </c>
      <c r="P263" s="23">
        <f t="shared" si="34"/>
        <v>10379.9999999998</v>
      </c>
      <c r="Q263" s="23">
        <f t="shared" si="32"/>
        <v>5.25</v>
      </c>
      <c r="R263" s="23">
        <v>5.25</v>
      </c>
      <c r="S263" s="23">
        <f t="shared" si="37"/>
        <v>0</v>
      </c>
      <c r="T263" s="123">
        <f t="shared" si="35"/>
        <v>10379.9999999998</v>
      </c>
      <c r="U263" s="127"/>
      <c r="V263" s="23">
        <v>3.62</v>
      </c>
      <c r="W263" s="23" t="s">
        <v>53</v>
      </c>
      <c r="X263" s="23"/>
      <c r="Y263" s="23"/>
      <c r="Z263" s="23"/>
      <c r="AA263" s="23"/>
      <c r="AB263" s="123" t="s">
        <v>38</v>
      </c>
    </row>
    <row r="264" spans="1:28">
      <c r="A264" s="97">
        <f t="shared" si="33"/>
        <v>266</v>
      </c>
      <c r="B264" s="113">
        <v>46009</v>
      </c>
      <c r="C264" s="19">
        <v>46009</v>
      </c>
      <c r="D264" s="129">
        <v>0.32291666666666702</v>
      </c>
      <c r="E264" s="130">
        <v>0.74027777777777803</v>
      </c>
      <c r="F264" s="124">
        <v>1445.86</v>
      </c>
      <c r="G264" s="23">
        <v>1543.6</v>
      </c>
      <c r="H264" s="23">
        <v>1433.82</v>
      </c>
      <c r="I264" s="23">
        <v>1607.74</v>
      </c>
      <c r="J264" s="23">
        <v>1589.07</v>
      </c>
      <c r="K264" s="23">
        <v>1566.09</v>
      </c>
      <c r="L264" s="23">
        <v>1609.97</v>
      </c>
      <c r="M264" s="125">
        <f t="shared" si="36"/>
        <v>10796.15</v>
      </c>
      <c r="N264" s="126">
        <f t="shared" si="31"/>
        <v>961.03</v>
      </c>
      <c r="O264" s="23">
        <v>964.59</v>
      </c>
      <c r="P264" s="23">
        <f t="shared" si="34"/>
        <v>10680.0000000002</v>
      </c>
      <c r="Q264" s="23">
        <f t="shared" si="32"/>
        <v>5.25</v>
      </c>
      <c r="R264" s="23">
        <v>5.26</v>
      </c>
      <c r="S264" s="23">
        <f t="shared" si="37"/>
        <v>29.9999999999994</v>
      </c>
      <c r="T264" s="123">
        <f t="shared" si="35"/>
        <v>10650.0000000002</v>
      </c>
      <c r="U264" s="127"/>
      <c r="V264" s="23">
        <v>3.73</v>
      </c>
      <c r="W264" s="23"/>
      <c r="X264" s="23"/>
      <c r="Y264" s="23"/>
      <c r="Z264" s="23"/>
      <c r="AA264" s="23"/>
      <c r="AB264" s="123" t="s">
        <v>38</v>
      </c>
    </row>
    <row r="265" spans="1:28">
      <c r="A265" s="97">
        <f t="shared" si="33"/>
        <v>267</v>
      </c>
      <c r="B265" s="113">
        <v>46010</v>
      </c>
      <c r="C265" s="19">
        <v>46010</v>
      </c>
      <c r="D265" s="129">
        <v>0.32291666666666702</v>
      </c>
      <c r="E265" s="130">
        <v>0.73958333333333304</v>
      </c>
      <c r="F265" s="124">
        <v>1591.82</v>
      </c>
      <c r="G265" s="23">
        <v>1694.56</v>
      </c>
      <c r="H265" s="23">
        <v>1577.96</v>
      </c>
      <c r="I265" s="23">
        <v>1769.26</v>
      </c>
      <c r="J265" s="23">
        <v>1747.04</v>
      </c>
      <c r="K265" s="23">
        <v>1717.27</v>
      </c>
      <c r="L265" s="23">
        <v>1771.29</v>
      </c>
      <c r="M265" s="125">
        <f t="shared" si="36"/>
        <v>11869.2</v>
      </c>
      <c r="N265" s="126">
        <f t="shared" si="31"/>
        <v>964.59</v>
      </c>
      <c r="O265" s="23">
        <v>968.5</v>
      </c>
      <c r="P265" s="23">
        <f t="shared" si="34"/>
        <v>11729.9999999999</v>
      </c>
      <c r="Q265" s="23">
        <f t="shared" si="32"/>
        <v>5.26</v>
      </c>
      <c r="R265" s="23">
        <v>5.28</v>
      </c>
      <c r="S265" s="23">
        <f t="shared" si="37"/>
        <v>60.0000000000014</v>
      </c>
      <c r="T265" s="123">
        <f t="shared" si="35"/>
        <v>11669.9999999999</v>
      </c>
      <c r="U265" s="127"/>
      <c r="V265" s="23">
        <v>4.1100000000000003</v>
      </c>
      <c r="W265" s="23"/>
      <c r="X265" s="23"/>
      <c r="Y265" s="23"/>
      <c r="Z265" s="23"/>
      <c r="AA265" s="23"/>
      <c r="AB265" s="123" t="s">
        <v>38</v>
      </c>
    </row>
    <row r="266" spans="1:28">
      <c r="A266" s="97">
        <f t="shared" si="33"/>
        <v>268</v>
      </c>
      <c r="B266" s="113">
        <v>46011</v>
      </c>
      <c r="C266" s="19">
        <v>46011</v>
      </c>
      <c r="D266" s="129">
        <v>0.32291666666666702</v>
      </c>
      <c r="E266" s="130">
        <v>0.73958333333333304</v>
      </c>
      <c r="F266" s="124">
        <v>1592.81</v>
      </c>
      <c r="G266" s="23">
        <v>1692.55</v>
      </c>
      <c r="H266" s="23">
        <v>1579.61</v>
      </c>
      <c r="I266" s="23">
        <v>1768.3</v>
      </c>
      <c r="J266" s="23">
        <v>1749.32</v>
      </c>
      <c r="K266" s="23">
        <v>1715.16</v>
      </c>
      <c r="L266" s="23">
        <v>1768.25</v>
      </c>
      <c r="M266" s="125">
        <f t="shared" si="36"/>
        <v>11866</v>
      </c>
      <c r="N266" s="126">
        <f t="shared" si="31"/>
        <v>968.5</v>
      </c>
      <c r="O266" s="23">
        <v>972.42</v>
      </c>
      <c r="P266" s="23">
        <f t="shared" si="34"/>
        <v>11759.9999999999</v>
      </c>
      <c r="Q266" s="23">
        <f t="shared" si="32"/>
        <v>5.28</v>
      </c>
      <c r="R266" s="23">
        <v>5.29</v>
      </c>
      <c r="S266" s="23">
        <f t="shared" si="37"/>
        <v>29.9999999999994</v>
      </c>
      <c r="T266" s="123">
        <f t="shared" si="35"/>
        <v>11729.9999999999</v>
      </c>
      <c r="U266" s="127"/>
      <c r="V266" s="23">
        <v>4.0999999999999996</v>
      </c>
      <c r="W266" s="23"/>
      <c r="X266" s="23"/>
      <c r="Y266" s="23"/>
      <c r="Z266" s="23"/>
      <c r="AA266" s="23"/>
      <c r="AB266" s="123" t="s">
        <v>38</v>
      </c>
    </row>
    <row r="267" spans="1:28">
      <c r="A267" s="97">
        <f t="shared" si="33"/>
        <v>269</v>
      </c>
      <c r="B267" s="113">
        <v>46012</v>
      </c>
      <c r="C267" s="19">
        <v>46012</v>
      </c>
      <c r="D267" s="129">
        <v>0.32291666666666702</v>
      </c>
      <c r="E267" s="130">
        <v>0.73958333333333304</v>
      </c>
      <c r="F267" s="124">
        <v>1335.63</v>
      </c>
      <c r="G267" s="23">
        <v>1419.26</v>
      </c>
      <c r="H267" s="23">
        <v>1326.49</v>
      </c>
      <c r="I267" s="23">
        <v>1483.11</v>
      </c>
      <c r="J267" s="23">
        <v>1465.83</v>
      </c>
      <c r="K267" s="23">
        <v>1336.5</v>
      </c>
      <c r="L267" s="23">
        <v>1481.25</v>
      </c>
      <c r="M267" s="125">
        <f t="shared" si="36"/>
        <v>9848.07</v>
      </c>
      <c r="N267" s="126">
        <f t="shared" si="31"/>
        <v>972.42</v>
      </c>
      <c r="O267" s="23">
        <v>975.7</v>
      </c>
      <c r="P267" s="23">
        <f t="shared" si="34"/>
        <v>9840.0000000002601</v>
      </c>
      <c r="Q267" s="23">
        <f t="shared" si="32"/>
        <v>5.29</v>
      </c>
      <c r="R267" s="23">
        <v>5.29</v>
      </c>
      <c r="S267" s="23">
        <f t="shared" si="37"/>
        <v>0</v>
      </c>
      <c r="T267" s="123">
        <f t="shared" si="35"/>
        <v>9840.0000000002601</v>
      </c>
      <c r="U267" s="127"/>
      <c r="V267" s="23">
        <v>3.4</v>
      </c>
      <c r="W267" s="23"/>
      <c r="X267" s="23"/>
      <c r="Y267" s="23"/>
      <c r="Z267" s="23"/>
      <c r="AA267" s="23"/>
      <c r="AB267" s="123" t="s">
        <v>38</v>
      </c>
    </row>
    <row r="268" spans="1:28">
      <c r="A268" s="97">
        <f t="shared" si="33"/>
        <v>270</v>
      </c>
      <c r="B268" s="113">
        <v>46013</v>
      </c>
      <c r="C268" s="19">
        <v>46013</v>
      </c>
      <c r="D268" s="129">
        <v>0.32291666666666702</v>
      </c>
      <c r="E268" s="130">
        <v>0.74027777777777803</v>
      </c>
      <c r="F268" s="124">
        <v>1498.36</v>
      </c>
      <c r="G268" s="23">
        <v>1597.45</v>
      </c>
      <c r="H268" s="23">
        <v>1487.5</v>
      </c>
      <c r="I268" s="23">
        <v>1663.79</v>
      </c>
      <c r="J268" s="23">
        <v>1644.9</v>
      </c>
      <c r="K268" s="23">
        <v>1618.31</v>
      </c>
      <c r="L268" s="23">
        <v>1664.28</v>
      </c>
      <c r="M268" s="125">
        <f t="shared" si="36"/>
        <v>11174.59</v>
      </c>
      <c r="N268" s="126">
        <f t="shared" si="31"/>
        <v>975.7</v>
      </c>
      <c r="O268" s="23">
        <v>979.39</v>
      </c>
      <c r="P268" s="23">
        <f t="shared" si="34"/>
        <v>11069.9999999998</v>
      </c>
      <c r="Q268" s="23">
        <f t="shared" si="32"/>
        <v>5.29</v>
      </c>
      <c r="R268" s="23">
        <v>5.3</v>
      </c>
      <c r="S268" s="23">
        <f t="shared" si="37"/>
        <v>29.9999999999994</v>
      </c>
      <c r="T268" s="123">
        <f t="shared" si="35"/>
        <v>11039.9999999998</v>
      </c>
      <c r="U268" s="127"/>
      <c r="V268" s="23">
        <v>3.82</v>
      </c>
      <c r="W268" s="23"/>
      <c r="X268" s="23"/>
      <c r="Y268" s="23"/>
      <c r="Z268" s="23"/>
      <c r="AA268" s="23"/>
      <c r="AB268" s="123" t="s">
        <v>38</v>
      </c>
    </row>
    <row r="269" spans="1:28">
      <c r="A269" s="97">
        <f t="shared" si="33"/>
        <v>271</v>
      </c>
      <c r="B269" s="113">
        <v>46014</v>
      </c>
      <c r="C269" s="19">
        <v>46014</v>
      </c>
      <c r="D269" s="129">
        <v>0.32291666666666702</v>
      </c>
      <c r="E269" s="130">
        <v>0.74027777777777803</v>
      </c>
      <c r="F269" s="124">
        <v>1510.46</v>
      </c>
      <c r="G269" s="23">
        <v>1611.67</v>
      </c>
      <c r="H269" s="23">
        <v>1500.13</v>
      </c>
      <c r="I269" s="23">
        <v>1679.58</v>
      </c>
      <c r="J269" s="23">
        <v>1657.31</v>
      </c>
      <c r="K269" s="23">
        <v>1634.92</v>
      </c>
      <c r="L269" s="23">
        <v>1667</v>
      </c>
      <c r="M269" s="125">
        <f t="shared" si="36"/>
        <v>11261.07</v>
      </c>
      <c r="N269" s="126">
        <f t="shared" ref="N269:N332" si="38">O268</f>
        <v>979.39</v>
      </c>
      <c r="O269" s="23">
        <v>983.1</v>
      </c>
      <c r="P269" s="23">
        <f t="shared" si="34"/>
        <v>11130.0000000001</v>
      </c>
      <c r="Q269" s="23">
        <f t="shared" ref="Q269:Q332" si="39">R268</f>
        <v>5.3</v>
      </c>
      <c r="R269" s="23">
        <v>5.31</v>
      </c>
      <c r="S269" s="23">
        <f t="shared" si="37"/>
        <v>29.9999999999994</v>
      </c>
      <c r="T269" s="123">
        <f t="shared" si="35"/>
        <v>11100.0000000001</v>
      </c>
      <c r="U269" s="127"/>
      <c r="V269" s="23">
        <v>3.85</v>
      </c>
      <c r="W269" s="23">
        <v>26.75</v>
      </c>
      <c r="X269" s="23"/>
      <c r="Y269" s="23"/>
      <c r="Z269" s="23"/>
      <c r="AA269" s="23"/>
      <c r="AB269" s="123" t="s">
        <v>38</v>
      </c>
    </row>
    <row r="270" spans="1:28">
      <c r="A270" s="97">
        <f t="shared" si="33"/>
        <v>272</v>
      </c>
      <c r="B270" s="113">
        <v>46015</v>
      </c>
      <c r="C270" s="19">
        <v>46015</v>
      </c>
      <c r="D270" s="129">
        <v>0.32291666666666702</v>
      </c>
      <c r="E270" s="130">
        <v>0.74027777777777803</v>
      </c>
      <c r="F270" s="124">
        <v>1510.46</v>
      </c>
      <c r="G270" s="23">
        <v>1611.67</v>
      </c>
      <c r="H270" s="23">
        <v>1500.13</v>
      </c>
      <c r="I270" s="23">
        <v>1679.58</v>
      </c>
      <c r="J270" s="23">
        <v>1657.31</v>
      </c>
      <c r="K270" s="23">
        <v>1634.92</v>
      </c>
      <c r="L270" s="23">
        <v>1667</v>
      </c>
      <c r="M270" s="125">
        <f t="shared" si="36"/>
        <v>11261.07</v>
      </c>
      <c r="N270" s="126">
        <f t="shared" si="38"/>
        <v>983.1</v>
      </c>
      <c r="O270" s="23">
        <v>986.86</v>
      </c>
      <c r="P270" s="23">
        <f t="shared" si="34"/>
        <v>11280</v>
      </c>
      <c r="Q270" s="23">
        <f t="shared" si="39"/>
        <v>5.31</v>
      </c>
      <c r="R270" s="23">
        <v>5.32</v>
      </c>
      <c r="S270" s="23">
        <f t="shared" si="37"/>
        <v>30.000000000002</v>
      </c>
      <c r="T270" s="123">
        <f t="shared" si="35"/>
        <v>11250</v>
      </c>
      <c r="U270" s="127"/>
      <c r="V270" s="23">
        <v>3.91</v>
      </c>
      <c r="W270" s="23">
        <v>26.53</v>
      </c>
      <c r="X270" s="23"/>
      <c r="Y270" s="23"/>
      <c r="Z270" s="23"/>
      <c r="AA270" s="23"/>
      <c r="AB270" s="123" t="s">
        <v>38</v>
      </c>
    </row>
    <row r="271" spans="1:28">
      <c r="A271" s="97">
        <f t="shared" si="33"/>
        <v>273</v>
      </c>
      <c r="B271" s="113">
        <v>46016</v>
      </c>
      <c r="C271" s="19">
        <v>46016</v>
      </c>
      <c r="D271" s="129">
        <v>0.32291666666666702</v>
      </c>
      <c r="E271" s="130">
        <v>0.74027777777777803</v>
      </c>
      <c r="F271" s="124">
        <v>1504.77</v>
      </c>
      <c r="G271" s="23">
        <v>1606.77</v>
      </c>
      <c r="H271" s="23">
        <v>1508.22</v>
      </c>
      <c r="I271" s="23">
        <v>1673.86</v>
      </c>
      <c r="J271" s="23">
        <v>1654.5</v>
      </c>
      <c r="K271" s="23">
        <v>1631.18</v>
      </c>
      <c r="L271" s="23">
        <v>1671.55</v>
      </c>
      <c r="M271" s="125">
        <f t="shared" si="36"/>
        <v>11250.85</v>
      </c>
      <c r="N271" s="126">
        <f t="shared" si="38"/>
        <v>986.86</v>
      </c>
      <c r="O271" s="23">
        <v>990.57</v>
      </c>
      <c r="P271" s="23">
        <f t="shared" si="34"/>
        <v>11130.0000000001</v>
      </c>
      <c r="Q271" s="23">
        <f t="shared" si="39"/>
        <v>5.32</v>
      </c>
      <c r="R271" s="23">
        <v>5.34</v>
      </c>
      <c r="S271" s="23">
        <f t="shared" si="37"/>
        <v>59.9999999999987</v>
      </c>
      <c r="T271" s="123">
        <f t="shared" si="35"/>
        <v>11070.0000000001</v>
      </c>
      <c r="U271" s="127"/>
      <c r="V271" s="23">
        <v>3.88</v>
      </c>
      <c r="W271" s="23">
        <v>26.07</v>
      </c>
      <c r="X271" s="23"/>
      <c r="Y271" s="23"/>
      <c r="Z271" s="23"/>
      <c r="AA271" s="23"/>
      <c r="AB271" s="123" t="s">
        <v>38</v>
      </c>
    </row>
    <row r="272" spans="1:28">
      <c r="A272" s="97">
        <f t="shared" si="33"/>
        <v>274</v>
      </c>
      <c r="B272" s="113">
        <v>46017</v>
      </c>
      <c r="C272" s="19">
        <v>46017</v>
      </c>
      <c r="D272" s="129">
        <v>0.32291666666666702</v>
      </c>
      <c r="E272" s="130">
        <v>0.74027777777777803</v>
      </c>
      <c r="F272" s="124">
        <v>1436.45</v>
      </c>
      <c r="G272" s="23">
        <v>1531.12</v>
      </c>
      <c r="H272" s="23">
        <v>1441.99</v>
      </c>
      <c r="I272" s="23">
        <v>1598.26</v>
      </c>
      <c r="J272" s="23">
        <v>1581.85</v>
      </c>
      <c r="K272" s="23">
        <v>1558.52</v>
      </c>
      <c r="L272" s="23">
        <v>1595.24</v>
      </c>
      <c r="M272" s="125">
        <f t="shared" si="36"/>
        <v>10743.43</v>
      </c>
      <c r="N272" s="126">
        <f t="shared" si="38"/>
        <v>990.57</v>
      </c>
      <c r="O272" s="23">
        <v>994.11</v>
      </c>
      <c r="P272" s="23">
        <f t="shared" si="34"/>
        <v>10619.9999999999</v>
      </c>
      <c r="Q272" s="23">
        <f t="shared" si="39"/>
        <v>5.34</v>
      </c>
      <c r="R272" s="23">
        <v>5.35</v>
      </c>
      <c r="S272" s="23">
        <f t="shared" si="37"/>
        <v>29.9999999999994</v>
      </c>
      <c r="T272" s="123">
        <f t="shared" si="35"/>
        <v>10589.9999999999</v>
      </c>
      <c r="U272" s="127"/>
      <c r="V272" s="23">
        <v>3.74</v>
      </c>
      <c r="W272" s="23">
        <v>25.41</v>
      </c>
      <c r="X272" s="23"/>
      <c r="Y272" s="23"/>
      <c r="Z272" s="23"/>
      <c r="AA272" s="23"/>
      <c r="AB272" s="123" t="s">
        <v>38</v>
      </c>
    </row>
    <row r="273" spans="1:28">
      <c r="A273" s="97">
        <f t="shared" si="33"/>
        <v>275</v>
      </c>
      <c r="B273" s="113">
        <v>46018</v>
      </c>
      <c r="C273" s="19">
        <v>46018</v>
      </c>
      <c r="D273" s="129">
        <v>0.32291666666666702</v>
      </c>
      <c r="E273" s="130">
        <v>0.74027777777777803</v>
      </c>
      <c r="F273" s="124">
        <v>1354.68</v>
      </c>
      <c r="G273" s="23">
        <v>1443.17</v>
      </c>
      <c r="H273" s="23">
        <v>1359.73</v>
      </c>
      <c r="I273" s="23">
        <v>1507.06</v>
      </c>
      <c r="J273" s="23">
        <v>1491.83</v>
      </c>
      <c r="K273" s="23">
        <v>1470.69</v>
      </c>
      <c r="L273" s="23">
        <v>1506.63</v>
      </c>
      <c r="M273" s="125">
        <f t="shared" si="36"/>
        <v>10133.790000000001</v>
      </c>
      <c r="N273" s="126">
        <f t="shared" si="38"/>
        <v>994.11</v>
      </c>
      <c r="O273" s="23">
        <v>997.43</v>
      </c>
      <c r="P273" s="23">
        <f t="shared" si="34"/>
        <v>9959.9999999998108</v>
      </c>
      <c r="Q273" s="23">
        <f t="shared" si="39"/>
        <v>5.35</v>
      </c>
      <c r="R273" s="23">
        <v>5.37</v>
      </c>
      <c r="S273" s="23">
        <f t="shared" si="37"/>
        <v>60.0000000000014</v>
      </c>
      <c r="T273" s="123">
        <f t="shared" si="35"/>
        <v>9899.9999999998108</v>
      </c>
      <c r="U273" s="127"/>
      <c r="V273" s="23">
        <v>3.61</v>
      </c>
      <c r="W273" s="23">
        <v>25.97</v>
      </c>
      <c r="X273" s="23"/>
      <c r="Y273" s="23"/>
      <c r="Z273" s="23"/>
      <c r="AA273" s="23"/>
      <c r="AB273" s="123" t="s">
        <v>38</v>
      </c>
    </row>
    <row r="274" spans="1:28">
      <c r="A274" s="97">
        <f t="shared" si="33"/>
        <v>276</v>
      </c>
      <c r="B274" s="113">
        <v>46019</v>
      </c>
      <c r="C274" s="19">
        <v>46019</v>
      </c>
      <c r="D274" s="129">
        <v>0.33333333333333298</v>
      </c>
      <c r="E274" s="130">
        <v>0.74027777777777803</v>
      </c>
      <c r="F274" s="124">
        <v>1435.15</v>
      </c>
      <c r="G274" s="23">
        <v>1435.95</v>
      </c>
      <c r="H274" s="23">
        <v>1414.24</v>
      </c>
      <c r="I274" s="23">
        <v>1509.82</v>
      </c>
      <c r="J274" s="23">
        <v>1497.62</v>
      </c>
      <c r="K274" s="23">
        <v>1478.83</v>
      </c>
      <c r="L274" s="23">
        <v>1525.64</v>
      </c>
      <c r="M274" s="125">
        <f t="shared" si="36"/>
        <v>10297.25</v>
      </c>
      <c r="N274" s="126">
        <f t="shared" si="38"/>
        <v>997.43</v>
      </c>
      <c r="O274" s="23">
        <v>1000.85</v>
      </c>
      <c r="P274" s="23">
        <f t="shared" si="34"/>
        <v>10260.0000000002</v>
      </c>
      <c r="Q274" s="23">
        <f t="shared" si="39"/>
        <v>5.37</v>
      </c>
      <c r="R274" s="23">
        <v>5.38</v>
      </c>
      <c r="S274" s="23">
        <f t="shared" si="37"/>
        <v>29.9999999999994</v>
      </c>
      <c r="T274" s="123">
        <f t="shared" si="35"/>
        <v>10230.0000000002</v>
      </c>
      <c r="U274" s="127"/>
      <c r="V274" s="23">
        <v>3.63</v>
      </c>
      <c r="W274" s="23">
        <v>27.07</v>
      </c>
      <c r="X274" s="23"/>
      <c r="Y274" s="23"/>
      <c r="Z274" s="23"/>
      <c r="AA274" s="23"/>
      <c r="AB274" s="123" t="s">
        <v>38</v>
      </c>
    </row>
    <row r="275" spans="1:28">
      <c r="A275" s="97">
        <f t="shared" si="33"/>
        <v>277</v>
      </c>
      <c r="B275" s="113">
        <v>46020</v>
      </c>
      <c r="C275" s="19">
        <v>46020</v>
      </c>
      <c r="D275" s="129">
        <v>0.32291666666666702</v>
      </c>
      <c r="E275" s="130">
        <v>0.73958333333333304</v>
      </c>
      <c r="F275" s="124">
        <v>1425.32</v>
      </c>
      <c r="G275" s="23">
        <v>1419.01</v>
      </c>
      <c r="H275" s="23">
        <v>1407.3</v>
      </c>
      <c r="I275" s="23">
        <v>1489.4</v>
      </c>
      <c r="J275" s="23">
        <v>1479.3</v>
      </c>
      <c r="K275" s="23">
        <v>1461.13</v>
      </c>
      <c r="L275" s="23">
        <v>1504.47</v>
      </c>
      <c r="M275" s="125">
        <f t="shared" si="36"/>
        <v>10185.93</v>
      </c>
      <c r="N275" s="126">
        <f t="shared" si="38"/>
        <v>1000.85</v>
      </c>
      <c r="O275" s="23">
        <v>1004.23</v>
      </c>
      <c r="P275" s="23">
        <f t="shared" si="34"/>
        <v>10140</v>
      </c>
      <c r="Q275" s="23">
        <f t="shared" si="39"/>
        <v>5.38</v>
      </c>
      <c r="R275" s="23">
        <v>5.39</v>
      </c>
      <c r="S275" s="23">
        <f t="shared" si="37"/>
        <v>29.9999999999994</v>
      </c>
      <c r="T275" s="123">
        <f t="shared" si="35"/>
        <v>10110</v>
      </c>
      <c r="U275" s="127"/>
      <c r="V275" s="23">
        <v>3.61</v>
      </c>
      <c r="W275" s="23">
        <v>26.9</v>
      </c>
      <c r="X275" s="23"/>
      <c r="Y275" s="23"/>
      <c r="Z275" s="23"/>
      <c r="AA275" s="23"/>
      <c r="AB275" s="123" t="s">
        <v>38</v>
      </c>
    </row>
    <row r="276" spans="1:28">
      <c r="A276" s="97">
        <f t="shared" si="33"/>
        <v>278</v>
      </c>
      <c r="B276" s="113">
        <v>46021</v>
      </c>
      <c r="C276" s="19">
        <v>46021</v>
      </c>
      <c r="D276" s="129">
        <v>0.32291666666666702</v>
      </c>
      <c r="E276" s="130">
        <v>0.73958333333333304</v>
      </c>
      <c r="F276" s="124">
        <v>1398.37</v>
      </c>
      <c r="G276" s="23">
        <v>1393.08</v>
      </c>
      <c r="H276" s="23">
        <v>1383.42</v>
      </c>
      <c r="I276" s="23">
        <v>1464.45</v>
      </c>
      <c r="J276" s="23">
        <v>1452.67</v>
      </c>
      <c r="K276" s="23">
        <v>1437.57</v>
      </c>
      <c r="L276" s="23">
        <v>1481.75</v>
      </c>
      <c r="M276" s="125">
        <f t="shared" si="36"/>
        <v>10011.31</v>
      </c>
      <c r="N276" s="126">
        <f t="shared" si="38"/>
        <v>1004.23</v>
      </c>
      <c r="O276" s="23">
        <v>1007.53</v>
      </c>
      <c r="P276" s="23">
        <f t="shared" si="34"/>
        <v>9899.9999999998599</v>
      </c>
      <c r="Q276" s="23">
        <f t="shared" si="39"/>
        <v>5.39</v>
      </c>
      <c r="R276" s="23">
        <v>5.4</v>
      </c>
      <c r="S276" s="23">
        <f t="shared" si="37"/>
        <v>30.000000000002</v>
      </c>
      <c r="T276" s="123">
        <f t="shared" si="35"/>
        <v>9869.9999999998599</v>
      </c>
      <c r="U276" s="127"/>
      <c r="V276" s="23">
        <v>3.5</v>
      </c>
      <c r="W276" s="23">
        <v>24.6</v>
      </c>
      <c r="X276" s="23"/>
      <c r="Y276" s="23"/>
      <c r="Z276" s="23"/>
      <c r="AA276" s="23"/>
      <c r="AB276" s="123" t="s">
        <v>38</v>
      </c>
    </row>
    <row r="277" spans="1:28">
      <c r="A277" s="97">
        <f t="shared" si="33"/>
        <v>279</v>
      </c>
      <c r="B277" s="113">
        <v>46022</v>
      </c>
      <c r="C277" s="19">
        <v>46022</v>
      </c>
      <c r="D277" s="129">
        <v>0.33333333333333298</v>
      </c>
      <c r="E277" s="130">
        <v>0.73958333333333304</v>
      </c>
      <c r="F277" s="124">
        <v>1158.3699999999999</v>
      </c>
      <c r="G277" s="23">
        <v>1149.71</v>
      </c>
      <c r="H277" s="23">
        <v>1145.8</v>
      </c>
      <c r="I277" s="23">
        <v>1211.68</v>
      </c>
      <c r="J277" s="23">
        <v>1203.133</v>
      </c>
      <c r="K277" s="23">
        <v>1197.5</v>
      </c>
      <c r="L277" s="23">
        <v>1227.92</v>
      </c>
      <c r="M277" s="125">
        <f t="shared" si="36"/>
        <v>8294.1129999999994</v>
      </c>
      <c r="N277" s="126">
        <f t="shared" si="38"/>
        <v>1007.53</v>
      </c>
      <c r="O277" s="23">
        <v>1010.27</v>
      </c>
      <c r="P277" s="23">
        <f t="shared" si="34"/>
        <v>8220.0000000000291</v>
      </c>
      <c r="Q277" s="23">
        <f t="shared" si="39"/>
        <v>5.4</v>
      </c>
      <c r="R277" s="23">
        <v>5.42</v>
      </c>
      <c r="S277" s="23">
        <f t="shared" si="37"/>
        <v>59.9999999999987</v>
      </c>
      <c r="T277" s="123">
        <f t="shared" si="35"/>
        <v>8160.00000000003</v>
      </c>
      <c r="U277" s="127"/>
      <c r="V277" s="23">
        <v>3</v>
      </c>
      <c r="W277" s="23">
        <v>25.17</v>
      </c>
      <c r="X277" s="23"/>
      <c r="Y277" s="23"/>
      <c r="Z277" s="23"/>
      <c r="AA277" s="23"/>
      <c r="AB277" s="123" t="s">
        <v>38</v>
      </c>
    </row>
    <row r="278" spans="1:28">
      <c r="A278" s="97">
        <f t="shared" si="33"/>
        <v>280</v>
      </c>
      <c r="B278" s="113">
        <v>46023</v>
      </c>
      <c r="C278" s="19">
        <v>46023</v>
      </c>
      <c r="D278" s="129">
        <v>0.32291666666666702</v>
      </c>
      <c r="E278" s="130">
        <v>0.73958333333333304</v>
      </c>
      <c r="F278" s="124">
        <v>1493.89</v>
      </c>
      <c r="G278" s="23">
        <v>1491.76</v>
      </c>
      <c r="H278" s="23">
        <v>1445.53</v>
      </c>
      <c r="I278" s="23">
        <v>1562.92</v>
      </c>
      <c r="J278" s="23">
        <v>1552.55</v>
      </c>
      <c r="K278" s="23">
        <v>1534.84</v>
      </c>
      <c r="L278" s="23">
        <v>1578.56</v>
      </c>
      <c r="M278" s="125">
        <f t="shared" si="36"/>
        <v>10660.05</v>
      </c>
      <c r="N278" s="126">
        <f t="shared" si="38"/>
        <v>1010.27</v>
      </c>
      <c r="O278" s="23">
        <v>1013.79</v>
      </c>
      <c r="P278" s="23">
        <f t="shared" si="34"/>
        <v>10559.9999999999</v>
      </c>
      <c r="Q278" s="23">
        <f t="shared" si="39"/>
        <v>5.42</v>
      </c>
      <c r="R278" s="23">
        <v>5.43</v>
      </c>
      <c r="S278" s="23">
        <f t="shared" si="37"/>
        <v>29.9999999999994</v>
      </c>
      <c r="T278" s="123">
        <f t="shared" si="35"/>
        <v>10529.9999999999</v>
      </c>
      <c r="U278" s="127"/>
      <c r="V278" s="23">
        <v>3.56</v>
      </c>
      <c r="W278" s="23">
        <v>25.26</v>
      </c>
      <c r="X278" s="23"/>
      <c r="Y278" s="23"/>
      <c r="Z278" s="23"/>
      <c r="AA278" s="23"/>
      <c r="AB278" s="123" t="s">
        <v>38</v>
      </c>
    </row>
    <row r="279" spans="1:28">
      <c r="A279" s="97">
        <f t="shared" si="33"/>
        <v>281</v>
      </c>
      <c r="B279" s="113">
        <v>46024</v>
      </c>
      <c r="C279" s="19">
        <v>46024</v>
      </c>
      <c r="D279" s="129">
        <v>0.33333333333333298</v>
      </c>
      <c r="E279" s="130">
        <v>0.73958333333333304</v>
      </c>
      <c r="F279" s="124">
        <v>1608.5</v>
      </c>
      <c r="G279" s="23">
        <v>1605.21</v>
      </c>
      <c r="H279" s="23">
        <v>1558.83</v>
      </c>
      <c r="I279" s="23">
        <v>1683.19</v>
      </c>
      <c r="J279" s="23">
        <v>1667.43</v>
      </c>
      <c r="K279" s="23">
        <v>1654.71</v>
      </c>
      <c r="L279" s="23">
        <v>1696.57</v>
      </c>
      <c r="M279" s="125">
        <f t="shared" si="36"/>
        <v>11474.44</v>
      </c>
      <c r="N279" s="126">
        <f t="shared" si="38"/>
        <v>1013.79</v>
      </c>
      <c r="O279" s="23">
        <v>1017.57</v>
      </c>
      <c r="P279" s="23">
        <f t="shared" si="34"/>
        <v>11340.0000000003</v>
      </c>
      <c r="Q279" s="23">
        <f t="shared" si="39"/>
        <v>5.43</v>
      </c>
      <c r="R279" s="23">
        <v>5.44</v>
      </c>
      <c r="S279" s="23">
        <f t="shared" si="37"/>
        <v>30.000000000002</v>
      </c>
      <c r="T279" s="123">
        <f t="shared" si="35"/>
        <v>11310.0000000003</v>
      </c>
      <c r="U279" s="127"/>
      <c r="V279" s="23">
        <v>3.9</v>
      </c>
      <c r="W279" s="23">
        <v>24.22</v>
      </c>
      <c r="X279" s="23"/>
      <c r="Y279" s="23"/>
      <c r="Z279" s="23"/>
      <c r="AA279" s="23"/>
      <c r="AB279" s="123" t="s">
        <v>38</v>
      </c>
    </row>
    <row r="280" spans="1:28">
      <c r="A280" s="97">
        <f t="shared" si="33"/>
        <v>282</v>
      </c>
      <c r="B280" s="113">
        <v>46025</v>
      </c>
      <c r="C280" s="19">
        <v>46025</v>
      </c>
      <c r="D280" s="129">
        <v>0.33333333333333298</v>
      </c>
      <c r="E280" s="130">
        <v>0.73958333333333304</v>
      </c>
      <c r="F280" s="124">
        <v>1533.31</v>
      </c>
      <c r="G280" s="23">
        <v>1530.07</v>
      </c>
      <c r="H280" s="23">
        <v>1483.57</v>
      </c>
      <c r="I280" s="23">
        <v>1599.93</v>
      </c>
      <c r="J280" s="23">
        <v>1590.28</v>
      </c>
      <c r="K280" s="23">
        <v>1574.64</v>
      </c>
      <c r="L280" s="23">
        <v>1618.43</v>
      </c>
      <c r="M280" s="125">
        <f t="shared" si="36"/>
        <v>10930.23</v>
      </c>
      <c r="N280" s="126">
        <f t="shared" si="38"/>
        <v>1017.57</v>
      </c>
      <c r="O280" s="23">
        <v>1021.17</v>
      </c>
      <c r="P280" s="23">
        <f t="shared" si="34"/>
        <v>10799.9999999997</v>
      </c>
      <c r="Q280" s="23">
        <f t="shared" si="39"/>
        <v>5.44</v>
      </c>
      <c r="R280" s="23">
        <v>5.45</v>
      </c>
      <c r="S280" s="23">
        <f t="shared" si="37"/>
        <v>29.9999999999994</v>
      </c>
      <c r="T280" s="123">
        <f t="shared" si="35"/>
        <v>10769.9999999997</v>
      </c>
      <c r="U280" s="127"/>
      <c r="V280" s="23">
        <v>4.01</v>
      </c>
      <c r="W280" s="23">
        <v>25.22</v>
      </c>
      <c r="X280" s="23"/>
      <c r="Y280" s="23"/>
      <c r="Z280" s="23"/>
      <c r="AA280" s="23"/>
      <c r="AB280" s="123" t="s">
        <v>38</v>
      </c>
    </row>
    <row r="281" spans="1:28">
      <c r="A281" s="97">
        <f t="shared" si="33"/>
        <v>283</v>
      </c>
      <c r="B281" s="113">
        <v>46026</v>
      </c>
      <c r="C281" s="19">
        <v>46026</v>
      </c>
      <c r="D281" s="129">
        <v>0.33333333333333298</v>
      </c>
      <c r="E281" s="130">
        <v>0.75</v>
      </c>
      <c r="F281" s="124">
        <v>1690.49</v>
      </c>
      <c r="G281" s="23">
        <v>1685.98</v>
      </c>
      <c r="H281" s="23">
        <v>1635.21</v>
      </c>
      <c r="I281" s="23">
        <v>1767.31</v>
      </c>
      <c r="J281" s="23">
        <v>1754.67</v>
      </c>
      <c r="K281" s="23">
        <v>1737.62</v>
      </c>
      <c r="L281" s="23">
        <v>1780.7</v>
      </c>
      <c r="M281" s="125">
        <f t="shared" si="36"/>
        <v>12051.98</v>
      </c>
      <c r="N281" s="126">
        <f t="shared" si="38"/>
        <v>1021.17</v>
      </c>
      <c r="O281" s="23">
        <v>1025.1500000000001</v>
      </c>
      <c r="P281" s="23">
        <f t="shared" si="34"/>
        <v>11940.0000000004</v>
      </c>
      <c r="Q281" s="23">
        <f t="shared" si="39"/>
        <v>5.45</v>
      </c>
      <c r="R281" s="23">
        <v>5.47</v>
      </c>
      <c r="S281" s="23">
        <f t="shared" si="37"/>
        <v>59.9999999999987</v>
      </c>
      <c r="T281" s="123">
        <f t="shared" si="35"/>
        <v>11880.0000000004</v>
      </c>
      <c r="U281" s="127"/>
      <c r="V281" s="23">
        <v>4.18</v>
      </c>
      <c r="W281" s="23">
        <v>24.82</v>
      </c>
      <c r="X281" s="23"/>
      <c r="Y281" s="23"/>
      <c r="Z281" s="23"/>
      <c r="AA281" s="23"/>
      <c r="AB281" s="123" t="s">
        <v>38</v>
      </c>
    </row>
    <row r="282" spans="1:28">
      <c r="A282" s="97">
        <f t="shared" si="33"/>
        <v>284</v>
      </c>
      <c r="B282" s="113">
        <v>46027</v>
      </c>
      <c r="C282" s="19">
        <v>46027</v>
      </c>
      <c r="D282" s="129">
        <v>0.33333333333333298</v>
      </c>
      <c r="E282" s="130">
        <v>0.75</v>
      </c>
      <c r="F282" s="124">
        <v>1584.16</v>
      </c>
      <c r="G282" s="23">
        <v>1580.53</v>
      </c>
      <c r="H282" s="23">
        <v>1536.35</v>
      </c>
      <c r="I282" s="23">
        <v>1557.08</v>
      </c>
      <c r="J282" s="23">
        <v>1664.24</v>
      </c>
      <c r="K282" s="23">
        <v>1629.72</v>
      </c>
      <c r="L282" s="23">
        <v>1671.22</v>
      </c>
      <c r="M282" s="125">
        <f t="shared" si="36"/>
        <v>11223.3</v>
      </c>
      <c r="N282" s="126">
        <f t="shared" si="38"/>
        <v>1025.1500000000001</v>
      </c>
      <c r="O282" s="23">
        <v>1028.8800000000001</v>
      </c>
      <c r="P282" s="23">
        <f t="shared" si="34"/>
        <v>11190.0000000001</v>
      </c>
      <c r="Q282" s="23">
        <f t="shared" si="39"/>
        <v>5.47</v>
      </c>
      <c r="R282" s="23">
        <v>5.48</v>
      </c>
      <c r="S282" s="23">
        <f t="shared" si="37"/>
        <v>30.000000000002</v>
      </c>
      <c r="T282" s="123">
        <f t="shared" si="35"/>
        <v>11160.0000000001</v>
      </c>
      <c r="U282" s="127"/>
      <c r="V282" s="23">
        <v>3.98</v>
      </c>
      <c r="W282" s="23">
        <v>25.31</v>
      </c>
      <c r="X282" s="23"/>
      <c r="Y282" s="23"/>
      <c r="Z282" s="23"/>
      <c r="AA282" s="23"/>
      <c r="AB282" s="123" t="s">
        <v>38</v>
      </c>
    </row>
    <row r="283" spans="1:28">
      <c r="A283" s="97">
        <f t="shared" si="33"/>
        <v>285</v>
      </c>
      <c r="B283" s="113">
        <v>46028</v>
      </c>
      <c r="C283" s="19">
        <v>46028</v>
      </c>
      <c r="D283" s="129">
        <v>0.33333333333333298</v>
      </c>
      <c r="E283" s="130">
        <v>0.75</v>
      </c>
      <c r="F283" s="124">
        <v>1615.03</v>
      </c>
      <c r="G283" s="23">
        <v>1612.15</v>
      </c>
      <c r="H283" s="23">
        <v>1567.64</v>
      </c>
      <c r="I283" s="23">
        <v>1689.45</v>
      </c>
      <c r="J283" s="23">
        <v>1677.55</v>
      </c>
      <c r="K283" s="23">
        <v>1660.24</v>
      </c>
      <c r="L283" s="23">
        <v>1702.67</v>
      </c>
      <c r="M283" s="125">
        <f t="shared" si="36"/>
        <v>11524.73</v>
      </c>
      <c r="N283" s="126">
        <f t="shared" si="38"/>
        <v>1028.8800000000001</v>
      </c>
      <c r="O283" s="23">
        <v>1032.67</v>
      </c>
      <c r="P283" s="23">
        <f t="shared" si="34"/>
        <v>11369.9999999999</v>
      </c>
      <c r="Q283" s="23">
        <f t="shared" si="39"/>
        <v>5.48</v>
      </c>
      <c r="R283" s="23">
        <v>5.49</v>
      </c>
      <c r="S283" s="23">
        <f t="shared" si="37"/>
        <v>29.9999999999994</v>
      </c>
      <c r="T283" s="123">
        <f t="shared" si="35"/>
        <v>11339.9999999999</v>
      </c>
      <c r="U283" s="127"/>
      <c r="V283" s="23">
        <v>4.03</v>
      </c>
      <c r="W283" s="23">
        <v>24.68</v>
      </c>
      <c r="X283" s="23"/>
      <c r="Y283" s="23"/>
      <c r="Z283" s="23"/>
      <c r="AA283" s="23"/>
      <c r="AB283" s="123" t="s">
        <v>38</v>
      </c>
    </row>
    <row r="284" spans="1:28">
      <c r="A284" s="97">
        <f t="shared" si="33"/>
        <v>286</v>
      </c>
      <c r="B284" s="113">
        <v>46029</v>
      </c>
      <c r="C284" s="19">
        <v>46029</v>
      </c>
      <c r="D284" s="129">
        <v>0.33333333333333298</v>
      </c>
      <c r="E284" s="130">
        <v>0.75</v>
      </c>
      <c r="F284" s="124">
        <v>1614.93</v>
      </c>
      <c r="G284" s="23">
        <v>1611.25</v>
      </c>
      <c r="H284" s="23">
        <v>1668.87</v>
      </c>
      <c r="I284" s="23">
        <v>1694.18</v>
      </c>
      <c r="J284" s="23">
        <v>1683.49</v>
      </c>
      <c r="K284" s="23">
        <v>1658.65</v>
      </c>
      <c r="L284" s="23">
        <v>1664.37</v>
      </c>
      <c r="M284" s="125">
        <f t="shared" si="36"/>
        <v>11595.74</v>
      </c>
      <c r="N284" s="126">
        <f t="shared" si="38"/>
        <v>1032.67</v>
      </c>
      <c r="O284" s="23">
        <v>1036.47</v>
      </c>
      <c r="P284" s="23">
        <f t="shared" si="34"/>
        <v>11399.9999999999</v>
      </c>
      <c r="Q284" s="23">
        <f t="shared" si="39"/>
        <v>5.49</v>
      </c>
      <c r="R284" s="23">
        <v>5.5</v>
      </c>
      <c r="S284" s="23">
        <f t="shared" si="37"/>
        <v>29.9999999999994</v>
      </c>
      <c r="T284" s="123">
        <f t="shared" si="35"/>
        <v>11369.9999999999</v>
      </c>
      <c r="U284" s="127"/>
      <c r="V284" s="23">
        <v>3.98</v>
      </c>
      <c r="W284" s="23">
        <v>23.14</v>
      </c>
      <c r="X284" s="23"/>
      <c r="Y284" s="23"/>
      <c r="Z284" s="23"/>
      <c r="AA284" s="23"/>
      <c r="AB284" s="123" t="s">
        <v>38</v>
      </c>
    </row>
    <row r="285" spans="1:28">
      <c r="A285" s="97">
        <f t="shared" si="33"/>
        <v>287</v>
      </c>
      <c r="B285" s="113">
        <v>46030</v>
      </c>
      <c r="C285" s="19">
        <v>46030</v>
      </c>
      <c r="D285" s="129">
        <v>0.33333333333333298</v>
      </c>
      <c r="E285" s="130">
        <v>0.75</v>
      </c>
      <c r="F285" s="124">
        <v>1490.91</v>
      </c>
      <c r="G285" s="23">
        <v>1479.33</v>
      </c>
      <c r="H285" s="23">
        <v>1448.62</v>
      </c>
      <c r="I285" s="23">
        <v>1585.26</v>
      </c>
      <c r="J285" s="23">
        <v>1481.6</v>
      </c>
      <c r="K285" s="23">
        <v>1530.33</v>
      </c>
      <c r="L285" s="23">
        <v>1654.4</v>
      </c>
      <c r="M285" s="125">
        <f t="shared" si="36"/>
        <v>10670.45</v>
      </c>
      <c r="N285" s="126">
        <f t="shared" si="38"/>
        <v>1036.47</v>
      </c>
      <c r="O285" s="23">
        <v>1040.02</v>
      </c>
      <c r="P285" s="23">
        <f t="shared" si="34"/>
        <v>10649.9999999999</v>
      </c>
      <c r="Q285" s="23">
        <f t="shared" si="39"/>
        <v>5.5</v>
      </c>
      <c r="R285" s="23">
        <v>5.52</v>
      </c>
      <c r="S285" s="23">
        <f t="shared" si="37"/>
        <v>59.9999999999987</v>
      </c>
      <c r="T285" s="123">
        <f t="shared" si="35"/>
        <v>10589.9999999999</v>
      </c>
      <c r="U285" s="127"/>
      <c r="V285" s="23">
        <v>3.77</v>
      </c>
      <c r="W285" s="23">
        <v>23.31</v>
      </c>
      <c r="X285" s="23"/>
      <c r="Y285" s="23"/>
      <c r="Z285" s="23"/>
      <c r="AA285" s="23"/>
      <c r="AB285" s="123" t="s">
        <v>38</v>
      </c>
    </row>
    <row r="286" spans="1:28">
      <c r="A286" s="97">
        <f t="shared" si="33"/>
        <v>288</v>
      </c>
      <c r="B286" s="113">
        <v>46031</v>
      </c>
      <c r="C286" s="19">
        <v>46031</v>
      </c>
      <c r="D286" s="129">
        <v>0.33333333333333298</v>
      </c>
      <c r="E286" s="130">
        <v>0.75</v>
      </c>
      <c r="F286" s="124">
        <v>1600.09</v>
      </c>
      <c r="G286" s="23">
        <v>1614.04</v>
      </c>
      <c r="H286" s="23">
        <v>1551.83</v>
      </c>
      <c r="I286" s="23">
        <v>1709.4</v>
      </c>
      <c r="J286" s="23">
        <v>1704.98</v>
      </c>
      <c r="K286" s="23">
        <v>1643.51</v>
      </c>
      <c r="L286" s="23">
        <v>1776.83</v>
      </c>
      <c r="M286" s="125">
        <f t="shared" si="36"/>
        <v>11600.68</v>
      </c>
      <c r="N286" s="126">
        <f t="shared" si="38"/>
        <v>1040.02</v>
      </c>
      <c r="O286" s="23">
        <v>1043.8499999999999</v>
      </c>
      <c r="P286" s="23">
        <f t="shared" si="34"/>
        <v>11489.9999999998</v>
      </c>
      <c r="Q286" s="23">
        <f t="shared" si="39"/>
        <v>5.52</v>
      </c>
      <c r="R286" s="23">
        <v>5.53</v>
      </c>
      <c r="S286" s="23">
        <f t="shared" si="37"/>
        <v>30.000000000002</v>
      </c>
      <c r="T286" s="123">
        <f t="shared" si="35"/>
        <v>11459.9999999998</v>
      </c>
      <c r="U286" s="127"/>
      <c r="V286" s="23">
        <v>3.98</v>
      </c>
      <c r="W286" s="23">
        <v>21.87</v>
      </c>
      <c r="X286" s="23"/>
      <c r="Y286" s="23"/>
      <c r="Z286" s="23"/>
      <c r="AA286" s="23"/>
      <c r="AB286" s="123" t="s">
        <v>38</v>
      </c>
    </row>
    <row r="287" spans="1:28">
      <c r="A287" s="97">
        <f t="shared" si="33"/>
        <v>289</v>
      </c>
      <c r="B287" s="113">
        <v>46032</v>
      </c>
      <c r="C287" s="19">
        <v>46032</v>
      </c>
      <c r="D287" s="129">
        <v>0.33333333333333298</v>
      </c>
      <c r="E287" s="130">
        <v>0.75</v>
      </c>
      <c r="F287" s="124">
        <v>1693.17</v>
      </c>
      <c r="G287" s="23">
        <v>1766.33</v>
      </c>
      <c r="H287" s="23">
        <v>1633.29</v>
      </c>
      <c r="I287" s="23">
        <v>1819.89</v>
      </c>
      <c r="J287" s="23">
        <v>1827.34</v>
      </c>
      <c r="K287" s="23">
        <v>1789.65</v>
      </c>
      <c r="L287" s="23">
        <v>1846.19</v>
      </c>
      <c r="M287" s="125">
        <f t="shared" si="36"/>
        <v>12375.86</v>
      </c>
      <c r="N287" s="126">
        <f t="shared" si="38"/>
        <v>1043.8499999999999</v>
      </c>
      <c r="O287" s="23">
        <v>1047.92</v>
      </c>
      <c r="P287" s="23">
        <f t="shared" si="34"/>
        <v>12210.0000000005</v>
      </c>
      <c r="Q287" s="23">
        <f t="shared" si="39"/>
        <v>5.53</v>
      </c>
      <c r="R287" s="23">
        <v>5.54</v>
      </c>
      <c r="S287" s="23">
        <f t="shared" si="37"/>
        <v>29.9999999999994</v>
      </c>
      <c r="T287" s="123">
        <f t="shared" si="35"/>
        <v>12180.0000000005</v>
      </c>
      <c r="U287" s="127"/>
      <c r="V287" s="23">
        <v>4.1100000000000003</v>
      </c>
      <c r="W287" s="23">
        <v>22.19</v>
      </c>
      <c r="X287" s="23"/>
      <c r="Y287" s="23"/>
      <c r="Z287" s="23"/>
      <c r="AA287" s="23"/>
      <c r="AB287" s="123" t="s">
        <v>38</v>
      </c>
    </row>
    <row r="288" spans="1:28">
      <c r="A288" s="97">
        <f t="shared" si="33"/>
        <v>290</v>
      </c>
      <c r="B288" s="113">
        <v>46033</v>
      </c>
      <c r="C288" s="19">
        <v>46033</v>
      </c>
      <c r="D288" s="129">
        <v>0.33333333333333298</v>
      </c>
      <c r="E288" s="130">
        <v>0.75</v>
      </c>
      <c r="F288" s="124">
        <v>1733.14</v>
      </c>
      <c r="G288" s="23">
        <v>1726.56</v>
      </c>
      <c r="H288" s="23">
        <v>1690.48</v>
      </c>
      <c r="I288" s="23">
        <v>1800.17</v>
      </c>
      <c r="J288" s="23">
        <v>1794.53</v>
      </c>
      <c r="K288" s="23">
        <v>1816.99</v>
      </c>
      <c r="L288" s="23">
        <v>1807.98</v>
      </c>
      <c r="M288" s="125">
        <f t="shared" si="36"/>
        <v>12369.85</v>
      </c>
      <c r="N288" s="126">
        <f t="shared" si="38"/>
        <v>1047.92</v>
      </c>
      <c r="O288" s="23">
        <v>1052</v>
      </c>
      <c r="P288" s="23">
        <f t="shared" si="34"/>
        <v>12239.9999999998</v>
      </c>
      <c r="Q288" s="23">
        <f t="shared" si="39"/>
        <v>5.54</v>
      </c>
      <c r="R288" s="23">
        <v>5.55</v>
      </c>
      <c r="S288" s="23">
        <f t="shared" si="37"/>
        <v>29.9999999999994</v>
      </c>
      <c r="T288" s="123">
        <f t="shared" si="35"/>
        <v>12209.9999999998</v>
      </c>
      <c r="U288" s="127"/>
      <c r="V288" s="23">
        <v>4.08</v>
      </c>
      <c r="W288" s="23">
        <v>22.12</v>
      </c>
      <c r="X288" s="23"/>
      <c r="Y288" s="23"/>
      <c r="Z288" s="23"/>
      <c r="AA288" s="23"/>
      <c r="AB288" s="123" t="s">
        <v>38</v>
      </c>
    </row>
    <row r="289" spans="1:28">
      <c r="A289" s="97">
        <f t="shared" si="33"/>
        <v>291</v>
      </c>
      <c r="B289" s="113">
        <v>46034</v>
      </c>
      <c r="C289" s="19">
        <v>46034</v>
      </c>
      <c r="D289" s="129">
        <v>0.33333333333333298</v>
      </c>
      <c r="E289" s="130">
        <v>0.75</v>
      </c>
      <c r="F289" s="124">
        <v>1668.99</v>
      </c>
      <c r="G289" s="23">
        <v>1659.33</v>
      </c>
      <c r="H289" s="23">
        <v>1630.84</v>
      </c>
      <c r="I289" s="23">
        <v>1732.59</v>
      </c>
      <c r="J289" s="23">
        <v>1724.69</v>
      </c>
      <c r="K289" s="23">
        <v>1744.15</v>
      </c>
      <c r="L289" s="23">
        <v>1735.87</v>
      </c>
      <c r="M289" s="125">
        <f t="shared" si="36"/>
        <v>11896.46</v>
      </c>
      <c r="N289" s="126">
        <f t="shared" si="38"/>
        <v>1052</v>
      </c>
      <c r="O289" s="23">
        <v>1055.92</v>
      </c>
      <c r="P289" s="23">
        <f t="shared" si="34"/>
        <v>11760.0000000002</v>
      </c>
      <c r="Q289" s="23">
        <f t="shared" si="39"/>
        <v>5.55</v>
      </c>
      <c r="R289" s="23">
        <v>5.57</v>
      </c>
      <c r="S289" s="23">
        <f t="shared" si="37"/>
        <v>60.0000000000014</v>
      </c>
      <c r="T289" s="123">
        <f t="shared" si="35"/>
        <v>11700.0000000002</v>
      </c>
      <c r="U289" s="127"/>
      <c r="V289" s="23">
        <v>3.95</v>
      </c>
      <c r="W289" s="23">
        <v>24.59</v>
      </c>
      <c r="X289" s="23"/>
      <c r="Y289" s="23"/>
      <c r="Z289" s="23"/>
      <c r="AA289" s="23"/>
      <c r="AB289" s="123" t="s">
        <v>38</v>
      </c>
    </row>
    <row r="290" spans="1:28">
      <c r="A290" s="97">
        <f t="shared" si="33"/>
        <v>292</v>
      </c>
      <c r="B290" s="113">
        <v>46035</v>
      </c>
      <c r="C290" s="19">
        <v>46035</v>
      </c>
      <c r="D290" s="129">
        <v>0.33333333333333298</v>
      </c>
      <c r="E290" s="130">
        <v>0.75</v>
      </c>
      <c r="F290" s="124">
        <v>1602.97</v>
      </c>
      <c r="G290" s="23">
        <v>1595.92</v>
      </c>
      <c r="H290" s="23">
        <v>1561.4</v>
      </c>
      <c r="I290" s="23">
        <v>1663.58</v>
      </c>
      <c r="J290" s="23">
        <v>1652.76</v>
      </c>
      <c r="K290" s="23">
        <v>1671.22</v>
      </c>
      <c r="L290" s="23">
        <v>1668.79</v>
      </c>
      <c r="M290" s="125">
        <f t="shared" si="36"/>
        <v>11416.64</v>
      </c>
      <c r="N290" s="126">
        <f t="shared" si="38"/>
        <v>1055.92</v>
      </c>
      <c r="O290" s="23">
        <v>1059.69</v>
      </c>
      <c r="P290" s="23">
        <f t="shared" si="34"/>
        <v>11309.9999999999</v>
      </c>
      <c r="Q290" s="23">
        <f t="shared" si="39"/>
        <v>5.57</v>
      </c>
      <c r="R290" s="23">
        <v>5.58</v>
      </c>
      <c r="S290" s="23">
        <f t="shared" si="37"/>
        <v>29.9999999999994</v>
      </c>
      <c r="T290" s="123">
        <f t="shared" si="35"/>
        <v>11279.9999999999</v>
      </c>
      <c r="U290" s="127"/>
      <c r="V290" s="23">
        <v>3.88</v>
      </c>
      <c r="W290" s="23">
        <v>25.09</v>
      </c>
      <c r="X290" s="23"/>
      <c r="Y290" s="23"/>
      <c r="Z290" s="23"/>
      <c r="AA290" s="23"/>
      <c r="AB290" s="123" t="s">
        <v>38</v>
      </c>
    </row>
    <row r="291" spans="1:28">
      <c r="A291" s="97">
        <f t="shared" si="33"/>
        <v>293</v>
      </c>
      <c r="B291" s="113">
        <v>46036</v>
      </c>
      <c r="C291" s="19">
        <v>46036</v>
      </c>
      <c r="D291" s="129">
        <v>0.33333333333333298</v>
      </c>
      <c r="E291" s="130">
        <v>0.75</v>
      </c>
      <c r="F291" s="124">
        <v>1852.06</v>
      </c>
      <c r="G291" s="23">
        <v>1842.1</v>
      </c>
      <c r="H291" s="23">
        <v>1806.73</v>
      </c>
      <c r="I291" s="23">
        <v>1926.49</v>
      </c>
      <c r="J291" s="23">
        <v>1919.24</v>
      </c>
      <c r="K291" s="23">
        <v>1936.48</v>
      </c>
      <c r="L291" s="23">
        <v>1931.95</v>
      </c>
      <c r="M291" s="125">
        <f t="shared" si="36"/>
        <v>13215.05</v>
      </c>
      <c r="N291" s="126">
        <f t="shared" si="38"/>
        <v>1059.69</v>
      </c>
      <c r="O291" s="23">
        <v>1064.04</v>
      </c>
      <c r="P291" s="23">
        <f t="shared" si="34"/>
        <v>13049.9999999997</v>
      </c>
      <c r="Q291" s="23">
        <f t="shared" si="39"/>
        <v>5.58</v>
      </c>
      <c r="R291" s="23">
        <v>5.59</v>
      </c>
      <c r="S291" s="23">
        <f t="shared" si="37"/>
        <v>29.9999999999994</v>
      </c>
      <c r="T291" s="123">
        <f t="shared" si="35"/>
        <v>13019.9999999997</v>
      </c>
      <c r="U291" s="127"/>
      <c r="V291" s="23">
        <v>4.41</v>
      </c>
      <c r="W291" s="23">
        <v>24.19</v>
      </c>
      <c r="X291" s="23"/>
      <c r="Y291" s="23"/>
      <c r="Z291" s="23"/>
      <c r="AA291" s="23"/>
      <c r="AB291" s="123" t="s">
        <v>38</v>
      </c>
    </row>
    <row r="292" spans="1:28">
      <c r="A292" s="97">
        <f t="shared" si="33"/>
        <v>294</v>
      </c>
      <c r="B292" s="113">
        <v>46037</v>
      </c>
      <c r="C292" s="19">
        <v>46037</v>
      </c>
      <c r="D292" s="129">
        <v>0.33333333333333298</v>
      </c>
      <c r="E292" s="130">
        <v>0.75</v>
      </c>
      <c r="F292" s="124">
        <v>1843.35</v>
      </c>
      <c r="G292" s="23">
        <v>1829.68</v>
      </c>
      <c r="H292" s="23">
        <v>1799.28</v>
      </c>
      <c r="I292" s="23">
        <v>1912.12</v>
      </c>
      <c r="J292" s="23">
        <v>1905.58</v>
      </c>
      <c r="K292" s="23">
        <v>1922.92</v>
      </c>
      <c r="L292" s="23">
        <v>1925.33</v>
      </c>
      <c r="M292" s="125">
        <f t="shared" si="36"/>
        <v>13138.26</v>
      </c>
      <c r="N292" s="126">
        <f t="shared" si="38"/>
        <v>1064.04</v>
      </c>
      <c r="O292" s="23">
        <v>1068.3699999999999</v>
      </c>
      <c r="P292" s="23">
        <f t="shared" si="34"/>
        <v>12989.9999999998</v>
      </c>
      <c r="Q292" s="23">
        <f t="shared" si="39"/>
        <v>5.59</v>
      </c>
      <c r="R292" s="23">
        <v>5.6</v>
      </c>
      <c r="S292" s="23">
        <f t="shared" si="37"/>
        <v>29.9999999999994</v>
      </c>
      <c r="T292" s="123">
        <f t="shared" si="35"/>
        <v>12959.9999999998</v>
      </c>
      <c r="U292" s="127"/>
      <c r="V292" s="23">
        <v>4.42</v>
      </c>
      <c r="W292" s="23">
        <v>24.63</v>
      </c>
      <c r="X292" s="23"/>
      <c r="Y292" s="23"/>
      <c r="Z292" s="23"/>
      <c r="AA292" s="23"/>
      <c r="AB292" s="123" t="s">
        <v>38</v>
      </c>
    </row>
    <row r="293" spans="1:28">
      <c r="A293" s="97">
        <f t="shared" si="33"/>
        <v>295</v>
      </c>
      <c r="B293" s="113">
        <v>46038</v>
      </c>
      <c r="C293" s="19">
        <v>46038</v>
      </c>
      <c r="D293" s="129">
        <v>0.33333333333333298</v>
      </c>
      <c r="E293" s="130">
        <v>0.75</v>
      </c>
      <c r="F293" s="124">
        <v>1766.42</v>
      </c>
      <c r="G293" s="23">
        <v>1753.62</v>
      </c>
      <c r="H293" s="23">
        <v>1725.6</v>
      </c>
      <c r="I293" s="23">
        <v>1831.98</v>
      </c>
      <c r="J293" s="23">
        <v>1817.87</v>
      </c>
      <c r="K293" s="23">
        <v>1843.76</v>
      </c>
      <c r="L293" s="23">
        <v>1844.25</v>
      </c>
      <c r="M293" s="125">
        <f t="shared" si="36"/>
        <v>12583.5</v>
      </c>
      <c r="N293" s="126">
        <f t="shared" si="38"/>
        <v>1068.3699999999999</v>
      </c>
      <c r="O293" s="23">
        <v>1072.52</v>
      </c>
      <c r="P293" s="23">
        <f t="shared" si="34"/>
        <v>12450.0000000003</v>
      </c>
      <c r="Q293" s="23">
        <f t="shared" si="39"/>
        <v>5.6</v>
      </c>
      <c r="R293" s="23">
        <v>5.61</v>
      </c>
      <c r="S293" s="23">
        <f t="shared" si="37"/>
        <v>30.000000000002</v>
      </c>
      <c r="T293" s="123">
        <f t="shared" si="35"/>
        <v>12420.0000000003</v>
      </c>
      <c r="U293" s="127"/>
      <c r="V293" s="23">
        <v>4.28</v>
      </c>
      <c r="W293" s="23">
        <v>25.63</v>
      </c>
      <c r="X293" s="23"/>
      <c r="Y293" s="23"/>
      <c r="Z293" s="23"/>
      <c r="AA293" s="23"/>
      <c r="AB293" s="123" t="s">
        <v>38</v>
      </c>
    </row>
    <row r="294" spans="1:28">
      <c r="A294" s="97">
        <f t="shared" si="33"/>
        <v>296</v>
      </c>
      <c r="B294" s="113">
        <v>46039</v>
      </c>
      <c r="C294" s="19">
        <v>46039</v>
      </c>
      <c r="D294" s="129">
        <v>0.33333333333333298</v>
      </c>
      <c r="E294" s="130">
        <v>0.75</v>
      </c>
      <c r="F294" s="124">
        <v>1712.36</v>
      </c>
      <c r="G294" s="23">
        <v>1700.69</v>
      </c>
      <c r="H294" s="23">
        <v>1674.08</v>
      </c>
      <c r="I294" s="23">
        <v>1780.41</v>
      </c>
      <c r="J294" s="23">
        <v>1772.69</v>
      </c>
      <c r="K294" s="23">
        <v>1788.83</v>
      </c>
      <c r="L294" s="23">
        <v>1790.41</v>
      </c>
      <c r="M294" s="125">
        <f t="shared" si="36"/>
        <v>12219.47</v>
      </c>
      <c r="N294" s="126">
        <f t="shared" si="38"/>
        <v>1072.52</v>
      </c>
      <c r="O294" s="23">
        <v>1076.55</v>
      </c>
      <c r="P294" s="23">
        <f t="shared" si="34"/>
        <v>12089.9999999999</v>
      </c>
      <c r="Q294" s="23">
        <f t="shared" si="39"/>
        <v>5.61</v>
      </c>
      <c r="R294" s="23">
        <v>5.62</v>
      </c>
      <c r="S294" s="23">
        <f t="shared" si="37"/>
        <v>29.9999999999994</v>
      </c>
      <c r="T294" s="123">
        <f t="shared" si="35"/>
        <v>12059.9999999999</v>
      </c>
      <c r="U294" s="127"/>
      <c r="V294" s="23">
        <v>4.07</v>
      </c>
      <c r="W294" s="23">
        <v>24.46</v>
      </c>
      <c r="X294" s="23"/>
      <c r="Y294" s="23"/>
      <c r="Z294" s="23"/>
      <c r="AA294" s="23"/>
      <c r="AB294" s="123" t="s">
        <v>38</v>
      </c>
    </row>
    <row r="295" spans="1:28">
      <c r="A295" s="97">
        <f t="shared" si="33"/>
        <v>297</v>
      </c>
      <c r="B295" s="113">
        <v>46040</v>
      </c>
      <c r="C295" s="19">
        <v>46040</v>
      </c>
      <c r="D295" s="129">
        <v>0.33333333333333298</v>
      </c>
      <c r="E295" s="130">
        <v>0.75</v>
      </c>
      <c r="F295" s="124">
        <v>1677.79</v>
      </c>
      <c r="G295" s="23">
        <v>1666.12</v>
      </c>
      <c r="H295" s="23">
        <v>1631.36</v>
      </c>
      <c r="I295" s="23">
        <v>1743.81</v>
      </c>
      <c r="J295" s="23">
        <v>1733.02</v>
      </c>
      <c r="K295" s="23">
        <v>1740.03</v>
      </c>
      <c r="L295" s="23">
        <v>1746.37</v>
      </c>
      <c r="M295" s="125">
        <f t="shared" si="36"/>
        <v>11938.5</v>
      </c>
      <c r="N295" s="126">
        <f t="shared" si="38"/>
        <v>1076.55</v>
      </c>
      <c r="O295" s="23">
        <v>1080.49</v>
      </c>
      <c r="P295" s="23">
        <f t="shared" si="34"/>
        <v>11820.0000000002</v>
      </c>
      <c r="Q295" s="23">
        <f t="shared" si="39"/>
        <v>5.62</v>
      </c>
      <c r="R295" s="23">
        <v>5.64</v>
      </c>
      <c r="S295" s="23">
        <f t="shared" si="37"/>
        <v>59.9999999999987</v>
      </c>
      <c r="T295" s="123">
        <f t="shared" si="35"/>
        <v>11760.0000000002</v>
      </c>
      <c r="U295" s="127"/>
      <c r="V295" s="23">
        <v>3.62</v>
      </c>
      <c r="W295" s="23">
        <v>24.9</v>
      </c>
      <c r="X295" s="23"/>
      <c r="Y295" s="23"/>
      <c r="Z295" s="23"/>
      <c r="AA295" s="23"/>
      <c r="AB295" s="123" t="s">
        <v>38</v>
      </c>
    </row>
    <row r="296" spans="1:28">
      <c r="A296" s="97">
        <f t="shared" si="33"/>
        <v>298</v>
      </c>
      <c r="B296" s="113">
        <v>46041</v>
      </c>
      <c r="C296" s="19">
        <v>46041</v>
      </c>
      <c r="D296" s="129">
        <v>0.33333333333333298</v>
      </c>
      <c r="E296" s="130">
        <v>0.75</v>
      </c>
      <c r="F296" s="124">
        <v>1754.61</v>
      </c>
      <c r="G296" s="23">
        <v>1743.12</v>
      </c>
      <c r="H296" s="23">
        <v>1712.68</v>
      </c>
      <c r="I296" s="23">
        <v>1825.34</v>
      </c>
      <c r="J296" s="23">
        <v>1818.55</v>
      </c>
      <c r="K296" s="23">
        <v>1836.51</v>
      </c>
      <c r="L296" s="23">
        <v>1834.33</v>
      </c>
      <c r="M296" s="125">
        <f t="shared" si="36"/>
        <v>12525.14</v>
      </c>
      <c r="N296" s="126">
        <f t="shared" si="38"/>
        <v>1080.49</v>
      </c>
      <c r="O296" s="23">
        <v>1084.58</v>
      </c>
      <c r="P296" s="23">
        <f t="shared" si="34"/>
        <v>12269.9999999998</v>
      </c>
      <c r="Q296" s="23">
        <f t="shared" si="39"/>
        <v>5.64</v>
      </c>
      <c r="R296" s="23">
        <v>5.65</v>
      </c>
      <c r="S296" s="23">
        <f t="shared" si="37"/>
        <v>30.000000000002</v>
      </c>
      <c r="T296" s="123">
        <f t="shared" si="35"/>
        <v>12239.9999999998</v>
      </c>
      <c r="U296" s="127"/>
      <c r="V296" s="23">
        <v>4.1500000000000004</v>
      </c>
      <c r="W296" s="23">
        <v>24.7</v>
      </c>
      <c r="X296" s="23"/>
      <c r="Y296" s="23"/>
      <c r="Z296" s="23"/>
      <c r="AA296" s="23"/>
      <c r="AB296" s="123" t="s">
        <v>38</v>
      </c>
    </row>
    <row r="297" spans="1:28">
      <c r="A297" s="97">
        <f t="shared" si="33"/>
        <v>299</v>
      </c>
      <c r="B297" s="113">
        <v>46042</v>
      </c>
      <c r="C297" s="19">
        <v>46042</v>
      </c>
      <c r="D297" s="129">
        <v>0.33333333333333298</v>
      </c>
      <c r="E297" s="130">
        <v>0.75</v>
      </c>
      <c r="F297" s="124">
        <v>1704.71</v>
      </c>
      <c r="G297" s="23">
        <v>1694.09</v>
      </c>
      <c r="H297" s="23">
        <v>1661.59</v>
      </c>
      <c r="I297" s="23">
        <v>1777.24</v>
      </c>
      <c r="J297" s="23">
        <v>1768.92</v>
      </c>
      <c r="K297" s="23">
        <v>1778.85</v>
      </c>
      <c r="L297" s="23">
        <v>1771.4</v>
      </c>
      <c r="M297" s="125">
        <f t="shared" si="36"/>
        <v>12156.8</v>
      </c>
      <c r="N297" s="126">
        <f t="shared" si="38"/>
        <v>1084.58</v>
      </c>
      <c r="O297" s="23">
        <v>1088.6199999999999</v>
      </c>
      <c r="P297" s="23">
        <f t="shared" si="34"/>
        <v>12119.9999999999</v>
      </c>
      <c r="Q297" s="23">
        <f t="shared" si="39"/>
        <v>5.65</v>
      </c>
      <c r="R297" s="23">
        <v>5.66</v>
      </c>
      <c r="S297" s="23">
        <f t="shared" si="37"/>
        <v>29.9999999999994</v>
      </c>
      <c r="T297" s="123">
        <f t="shared" si="35"/>
        <v>12089.9999999999</v>
      </c>
      <c r="U297" s="127"/>
      <c r="V297" s="23">
        <v>4.0999999999999996</v>
      </c>
      <c r="W297" s="23">
        <v>24.19</v>
      </c>
      <c r="X297" s="23"/>
      <c r="Y297" s="23"/>
      <c r="Z297" s="23"/>
      <c r="AA297" s="23"/>
      <c r="AB297" s="123" t="s">
        <v>38</v>
      </c>
    </row>
    <row r="298" spans="1:28">
      <c r="A298" s="97">
        <f t="shared" si="33"/>
        <v>300</v>
      </c>
      <c r="B298" s="113">
        <v>46043</v>
      </c>
      <c r="C298" s="19">
        <v>46043</v>
      </c>
      <c r="D298" s="129">
        <v>0.33333333333333298</v>
      </c>
      <c r="E298" s="130">
        <v>0.75</v>
      </c>
      <c r="F298" s="124">
        <v>1597.89</v>
      </c>
      <c r="G298" s="23">
        <v>1588.5</v>
      </c>
      <c r="H298" s="23">
        <v>1563.52</v>
      </c>
      <c r="I298" s="23">
        <v>1669.1</v>
      </c>
      <c r="J298" s="23">
        <v>1658.04</v>
      </c>
      <c r="K298" s="23">
        <v>1673.63</v>
      </c>
      <c r="L298" s="23">
        <v>1665.63</v>
      </c>
      <c r="M298" s="125">
        <f t="shared" si="36"/>
        <v>11416.31</v>
      </c>
      <c r="N298" s="126">
        <f t="shared" si="38"/>
        <v>1088.6199999999999</v>
      </c>
      <c r="O298" s="23">
        <v>1092.4100000000001</v>
      </c>
      <c r="P298" s="23">
        <f t="shared" si="34"/>
        <v>11370.0000000006</v>
      </c>
      <c r="Q298" s="23">
        <f t="shared" si="39"/>
        <v>5.66</v>
      </c>
      <c r="R298" s="23">
        <v>5.67</v>
      </c>
      <c r="S298" s="23">
        <f t="shared" si="37"/>
        <v>29.9999999999994</v>
      </c>
      <c r="T298" s="123">
        <f t="shared" si="35"/>
        <v>11340.0000000006</v>
      </c>
      <c r="U298" s="127"/>
      <c r="V298" s="23">
        <v>3.86</v>
      </c>
      <c r="W298" s="23">
        <v>25.63</v>
      </c>
      <c r="X298" s="23"/>
      <c r="Y298" s="23"/>
      <c r="Z298" s="23"/>
      <c r="AA298" s="23"/>
      <c r="AB298" s="123" t="s">
        <v>38</v>
      </c>
    </row>
    <row r="299" spans="1:28">
      <c r="A299" s="97">
        <f t="shared" si="33"/>
        <v>301</v>
      </c>
      <c r="B299" s="113">
        <v>46044</v>
      </c>
      <c r="C299" s="19">
        <v>46044</v>
      </c>
      <c r="D299" s="129">
        <v>0.33333333333333298</v>
      </c>
      <c r="E299" s="130">
        <v>0.75</v>
      </c>
      <c r="F299" s="124">
        <v>1524.13</v>
      </c>
      <c r="G299" s="23">
        <v>1522.44</v>
      </c>
      <c r="H299" s="23">
        <v>1491.47</v>
      </c>
      <c r="I299" s="23">
        <v>1615.26</v>
      </c>
      <c r="J299" s="23">
        <v>1600.61</v>
      </c>
      <c r="K299" s="23">
        <v>1597.01</v>
      </c>
      <c r="L299" s="23">
        <v>1643.69</v>
      </c>
      <c r="M299" s="125">
        <f t="shared" si="36"/>
        <v>10994.61</v>
      </c>
      <c r="N299" s="126">
        <f t="shared" si="38"/>
        <v>1092.4100000000001</v>
      </c>
      <c r="O299" s="23">
        <v>1096.02</v>
      </c>
      <c r="P299" s="23">
        <f t="shared" si="34"/>
        <v>10829.9999999997</v>
      </c>
      <c r="Q299" s="23">
        <f t="shared" si="39"/>
        <v>5.67</v>
      </c>
      <c r="R299" s="23">
        <v>5.69</v>
      </c>
      <c r="S299" s="23">
        <f t="shared" si="37"/>
        <v>60.0000000000014</v>
      </c>
      <c r="T299" s="123">
        <f t="shared" si="35"/>
        <v>10769.9999999997</v>
      </c>
      <c r="U299" s="127"/>
      <c r="V299" s="23">
        <v>3.82</v>
      </c>
      <c r="W299" s="23">
        <v>25.39</v>
      </c>
      <c r="X299" s="23"/>
      <c r="Y299" s="23"/>
      <c r="Z299" s="23"/>
      <c r="AA299" s="23"/>
      <c r="AB299" s="123" t="s">
        <v>38</v>
      </c>
    </row>
    <row r="300" spans="1:28">
      <c r="A300" s="97">
        <f t="shared" si="33"/>
        <v>302</v>
      </c>
      <c r="B300" s="113">
        <v>46045</v>
      </c>
      <c r="C300" s="19">
        <v>46045</v>
      </c>
      <c r="D300" s="129">
        <v>0.33333333333333298</v>
      </c>
      <c r="E300" s="130">
        <v>0.75</v>
      </c>
      <c r="F300" s="124">
        <v>1551.58</v>
      </c>
      <c r="G300" s="23">
        <v>1556.42</v>
      </c>
      <c r="H300" s="23">
        <v>1516.63</v>
      </c>
      <c r="I300" s="23">
        <v>1633.39</v>
      </c>
      <c r="J300" s="23">
        <v>1630.36</v>
      </c>
      <c r="K300" s="23">
        <v>1627.16</v>
      </c>
      <c r="L300" s="23">
        <v>1639.31</v>
      </c>
      <c r="M300" s="125">
        <f t="shared" si="36"/>
        <v>11154.85</v>
      </c>
      <c r="N300" s="126">
        <f t="shared" si="38"/>
        <v>1096.02</v>
      </c>
      <c r="O300" s="23">
        <v>1099.7</v>
      </c>
      <c r="P300" s="23">
        <f t="shared" si="34"/>
        <v>11040.0000000002</v>
      </c>
      <c r="Q300" s="23">
        <f t="shared" si="39"/>
        <v>5.69</v>
      </c>
      <c r="R300" s="23">
        <v>5.7</v>
      </c>
      <c r="S300" s="23">
        <f t="shared" si="37"/>
        <v>29.9999999999994</v>
      </c>
      <c r="T300" s="123">
        <f t="shared" si="35"/>
        <v>11010.0000000002</v>
      </c>
      <c r="U300" s="127"/>
      <c r="V300" s="23">
        <v>3.57</v>
      </c>
      <c r="W300" s="23">
        <v>23.92</v>
      </c>
      <c r="X300" s="23"/>
      <c r="Y300" s="23"/>
      <c r="Z300" s="23"/>
      <c r="AA300" s="23"/>
      <c r="AB300" s="123" t="s">
        <v>38</v>
      </c>
    </row>
    <row r="301" spans="1:28">
      <c r="A301" s="97">
        <f t="shared" si="33"/>
        <v>303</v>
      </c>
      <c r="B301" s="113">
        <v>46046</v>
      </c>
      <c r="C301" s="19">
        <v>46046</v>
      </c>
      <c r="D301" s="129">
        <v>0.33333333333333298</v>
      </c>
      <c r="E301" s="130">
        <v>0.76041666666666696</v>
      </c>
      <c r="F301" s="23">
        <v>1764.05</v>
      </c>
      <c r="G301" s="23">
        <v>1778.38</v>
      </c>
      <c r="H301" s="23">
        <v>1716.99</v>
      </c>
      <c r="I301" s="23">
        <v>1853.11</v>
      </c>
      <c r="J301" s="23">
        <v>1852.77</v>
      </c>
      <c r="K301" s="23">
        <v>1854.9</v>
      </c>
      <c r="L301" s="23">
        <v>1861.34</v>
      </c>
      <c r="M301" s="125">
        <f t="shared" si="36"/>
        <v>12681.54</v>
      </c>
      <c r="N301" s="126">
        <f t="shared" si="38"/>
        <v>1099.7</v>
      </c>
      <c r="O301" s="23">
        <v>1103.8900000000001</v>
      </c>
      <c r="P301" s="23">
        <f t="shared" si="34"/>
        <v>12570.0000000002</v>
      </c>
      <c r="Q301" s="23">
        <f t="shared" si="39"/>
        <v>5.7</v>
      </c>
      <c r="R301" s="23">
        <v>5.71</v>
      </c>
      <c r="S301" s="23">
        <f t="shared" si="37"/>
        <v>29.9999999999994</v>
      </c>
      <c r="T301" s="123">
        <f t="shared" si="35"/>
        <v>12540.0000000002</v>
      </c>
      <c r="U301" s="127"/>
      <c r="V301" s="23">
        <v>4.0199999999999996</v>
      </c>
      <c r="W301" s="23">
        <v>21.73</v>
      </c>
      <c r="X301" s="23"/>
      <c r="Y301" s="23"/>
      <c r="Z301" s="23"/>
      <c r="AA301" s="23"/>
      <c r="AB301" s="123" t="s">
        <v>38</v>
      </c>
    </row>
    <row r="302" spans="1:28">
      <c r="A302" s="97">
        <f t="shared" si="33"/>
        <v>304</v>
      </c>
      <c r="B302" s="113">
        <v>46047</v>
      </c>
      <c r="C302" s="19">
        <v>46047</v>
      </c>
      <c r="D302" s="129">
        <v>0.33333333333333298</v>
      </c>
      <c r="E302" s="130">
        <v>0.76041666666666696</v>
      </c>
      <c r="F302" s="124">
        <v>1644.46</v>
      </c>
      <c r="G302" s="23">
        <v>1652.09</v>
      </c>
      <c r="H302" s="23">
        <v>1601.06</v>
      </c>
      <c r="I302" s="23">
        <v>1724.76</v>
      </c>
      <c r="J302" s="23">
        <v>1720.89</v>
      </c>
      <c r="K302" s="23">
        <v>1720.7</v>
      </c>
      <c r="L302" s="23">
        <v>1727.57</v>
      </c>
      <c r="M302" s="125">
        <f t="shared" si="36"/>
        <v>11791.53</v>
      </c>
      <c r="N302" s="126">
        <f t="shared" si="38"/>
        <v>1103.8900000000001</v>
      </c>
      <c r="O302" s="23">
        <v>1107.78</v>
      </c>
      <c r="P302" s="23">
        <f t="shared" si="34"/>
        <v>11669.9999999996</v>
      </c>
      <c r="Q302" s="23">
        <f t="shared" si="39"/>
        <v>5.71</v>
      </c>
      <c r="R302" s="23">
        <v>5.73</v>
      </c>
      <c r="S302" s="23">
        <f t="shared" si="37"/>
        <v>60.0000000000014</v>
      </c>
      <c r="T302" s="123">
        <f t="shared" si="35"/>
        <v>11609.9999999996</v>
      </c>
      <c r="U302" s="127"/>
      <c r="V302" s="23">
        <v>3.69</v>
      </c>
      <c r="W302" s="23">
        <v>21.4</v>
      </c>
      <c r="X302" s="23"/>
      <c r="Y302" s="23"/>
      <c r="Z302" s="23"/>
      <c r="AA302" s="23"/>
      <c r="AB302" s="123" t="s">
        <v>38</v>
      </c>
    </row>
    <row r="303" spans="1:28">
      <c r="A303" s="97">
        <f t="shared" si="33"/>
        <v>305</v>
      </c>
      <c r="B303" s="113">
        <v>46048</v>
      </c>
      <c r="C303" s="19">
        <v>46048</v>
      </c>
      <c r="D303" s="129">
        <v>0.33333333333333298</v>
      </c>
      <c r="E303" s="130">
        <v>0.75</v>
      </c>
      <c r="F303" s="124">
        <v>1629.52</v>
      </c>
      <c r="G303" s="23">
        <v>1636.73</v>
      </c>
      <c r="H303" s="23">
        <v>1594.27</v>
      </c>
      <c r="I303" s="23">
        <v>1708.47</v>
      </c>
      <c r="J303" s="23">
        <v>1706.45</v>
      </c>
      <c r="K303" s="23">
        <v>1713.03</v>
      </c>
      <c r="L303" s="23">
        <v>1716.38</v>
      </c>
      <c r="M303" s="125">
        <f t="shared" si="36"/>
        <v>11704.85</v>
      </c>
      <c r="N303" s="126">
        <f t="shared" si="38"/>
        <v>1107.78</v>
      </c>
      <c r="O303" s="23">
        <v>1111.6400000000001</v>
      </c>
      <c r="P303" s="23">
        <f t="shared" si="34"/>
        <v>11580.0000000004</v>
      </c>
      <c r="Q303" s="23">
        <f t="shared" si="39"/>
        <v>5.73</v>
      </c>
      <c r="R303" s="23">
        <v>5.74</v>
      </c>
      <c r="S303" s="23">
        <f t="shared" si="37"/>
        <v>29.9999999999994</v>
      </c>
      <c r="T303" s="123">
        <f t="shared" si="35"/>
        <v>11550.0000000004</v>
      </c>
      <c r="U303" s="127"/>
      <c r="V303" s="23">
        <v>3.88</v>
      </c>
      <c r="W303" s="23">
        <v>23.95</v>
      </c>
      <c r="X303" s="23"/>
      <c r="Y303" s="23"/>
      <c r="Z303" s="23"/>
      <c r="AA303" s="23"/>
      <c r="AB303" s="123" t="s">
        <v>38</v>
      </c>
    </row>
    <row r="304" spans="1:28">
      <c r="A304" s="97">
        <f t="shared" si="33"/>
        <v>306</v>
      </c>
      <c r="B304" s="113">
        <v>46049</v>
      </c>
      <c r="C304" s="19">
        <v>46049</v>
      </c>
      <c r="D304" s="129">
        <v>0.33333333333333298</v>
      </c>
      <c r="E304" s="130">
        <v>0.52152777777777803</v>
      </c>
      <c r="F304" s="124">
        <v>838.04</v>
      </c>
      <c r="G304" s="23">
        <v>8432.77</v>
      </c>
      <c r="H304" s="23">
        <v>814.31</v>
      </c>
      <c r="I304" s="23">
        <v>876.66</v>
      </c>
      <c r="J304" s="23">
        <v>874.27</v>
      </c>
      <c r="K304" s="23">
        <v>880.16</v>
      </c>
      <c r="L304" s="23">
        <v>876.93</v>
      </c>
      <c r="M304" s="125">
        <f t="shared" si="36"/>
        <v>13593.14</v>
      </c>
      <c r="N304" s="126">
        <f t="shared" si="38"/>
        <v>1111.6400000000001</v>
      </c>
      <c r="O304" s="23">
        <v>1113.6199999999999</v>
      </c>
      <c r="P304" s="23">
        <f t="shared" si="34"/>
        <v>5939.9999999993697</v>
      </c>
      <c r="Q304" s="23">
        <f t="shared" si="39"/>
        <v>5.74</v>
      </c>
      <c r="R304" s="23">
        <v>5.75</v>
      </c>
      <c r="S304" s="23">
        <f t="shared" si="37"/>
        <v>29.9999999999994</v>
      </c>
      <c r="T304" s="123">
        <f t="shared" si="35"/>
        <v>5909.9999999993697</v>
      </c>
      <c r="U304" s="127"/>
      <c r="V304" s="23">
        <v>1.6</v>
      </c>
      <c r="W304" s="23">
        <v>21</v>
      </c>
      <c r="X304" s="23"/>
      <c r="Y304" s="23"/>
      <c r="Z304" s="23"/>
      <c r="AA304" s="23"/>
      <c r="AB304" s="123" t="s">
        <v>38</v>
      </c>
    </row>
    <row r="305" spans="1:28">
      <c r="A305" s="97">
        <f t="shared" si="33"/>
        <v>307</v>
      </c>
      <c r="B305" s="113">
        <v>46050</v>
      </c>
      <c r="C305" s="19">
        <v>46050</v>
      </c>
      <c r="D305" s="129">
        <v>0.32291666666666702</v>
      </c>
      <c r="E305" s="130">
        <v>0.76041666666666696</v>
      </c>
      <c r="F305" s="124">
        <v>1934.95</v>
      </c>
      <c r="G305" s="23">
        <v>1945.95</v>
      </c>
      <c r="H305" s="23">
        <v>1822.93</v>
      </c>
      <c r="I305" s="23">
        <v>2024.33</v>
      </c>
      <c r="J305" s="23">
        <v>2024.79</v>
      </c>
      <c r="K305" s="23">
        <v>2019.89</v>
      </c>
      <c r="L305" s="23">
        <v>2032.65</v>
      </c>
      <c r="M305" s="125">
        <f t="shared" si="36"/>
        <v>13805.49</v>
      </c>
      <c r="N305" s="126">
        <f t="shared" si="38"/>
        <v>1113.6199999999999</v>
      </c>
      <c r="O305" s="23">
        <v>1118.1600000000001</v>
      </c>
      <c r="P305" s="23">
        <f t="shared" si="34"/>
        <v>13620.0000000006</v>
      </c>
      <c r="Q305" s="23">
        <f t="shared" si="39"/>
        <v>5.75</v>
      </c>
      <c r="R305" s="23">
        <v>5.77</v>
      </c>
      <c r="S305" s="23">
        <f t="shared" si="37"/>
        <v>59.9999999999987</v>
      </c>
      <c r="T305" s="123">
        <f t="shared" si="35"/>
        <v>13560.0000000006</v>
      </c>
      <c r="U305" s="127"/>
      <c r="V305" s="23">
        <v>4.49</v>
      </c>
      <c r="W305" s="23">
        <v>22.79</v>
      </c>
      <c r="X305" s="23"/>
      <c r="Y305" s="23"/>
      <c r="Z305" s="23"/>
      <c r="AA305" s="23"/>
      <c r="AB305" s="123" t="s">
        <v>38</v>
      </c>
    </row>
    <row r="306" spans="1:28">
      <c r="A306" s="97">
        <f t="shared" si="33"/>
        <v>308</v>
      </c>
      <c r="B306" s="113">
        <v>46051</v>
      </c>
      <c r="C306" s="19">
        <v>46051</v>
      </c>
      <c r="D306" s="129">
        <v>0.33333333333333298</v>
      </c>
      <c r="E306" s="130">
        <v>0.76041666666666696</v>
      </c>
      <c r="F306" s="124">
        <v>1797.27</v>
      </c>
      <c r="G306" s="23">
        <v>1804.15</v>
      </c>
      <c r="H306" s="23">
        <v>1754.18</v>
      </c>
      <c r="I306" s="23">
        <v>1880.1</v>
      </c>
      <c r="J306" s="23">
        <v>1879.83</v>
      </c>
      <c r="K306" s="23">
        <v>1879.91</v>
      </c>
      <c r="L306" s="23">
        <v>1884.86</v>
      </c>
      <c r="M306" s="125">
        <f t="shared" si="36"/>
        <v>12880.3</v>
      </c>
      <c r="N306" s="126">
        <f t="shared" si="38"/>
        <v>1118.1600000000001</v>
      </c>
      <c r="O306" s="23">
        <v>1122.4000000000001</v>
      </c>
      <c r="P306" s="23">
        <f t="shared" si="34"/>
        <v>12720</v>
      </c>
      <c r="Q306" s="23">
        <f t="shared" si="39"/>
        <v>5.77</v>
      </c>
      <c r="R306" s="23">
        <v>5.78</v>
      </c>
      <c r="S306" s="23">
        <f t="shared" si="37"/>
        <v>30.000000000002</v>
      </c>
      <c r="T306" s="123">
        <f t="shared" si="35"/>
        <v>12690</v>
      </c>
      <c r="U306" s="127"/>
      <c r="V306" s="23">
        <v>4.29</v>
      </c>
      <c r="W306" s="23">
        <v>24.76</v>
      </c>
      <c r="X306" s="23"/>
      <c r="Y306" s="23"/>
      <c r="Z306" s="23"/>
      <c r="AA306" s="23"/>
      <c r="AB306" s="123" t="s">
        <v>38</v>
      </c>
    </row>
    <row r="307" spans="1:28">
      <c r="A307" s="97">
        <f t="shared" si="33"/>
        <v>309</v>
      </c>
      <c r="B307" s="113">
        <v>46052</v>
      </c>
      <c r="C307" s="19">
        <v>46052</v>
      </c>
      <c r="D307" s="129">
        <v>0.33333333333333298</v>
      </c>
      <c r="E307" s="123">
        <v>18.149999999999999</v>
      </c>
      <c r="F307" s="124">
        <v>1476.72</v>
      </c>
      <c r="G307" s="23">
        <v>1481.84</v>
      </c>
      <c r="H307" s="23">
        <v>1445.51</v>
      </c>
      <c r="I307" s="23">
        <v>1549.3</v>
      </c>
      <c r="J307" s="23">
        <v>1547.93</v>
      </c>
      <c r="K307" s="23">
        <v>1553.23</v>
      </c>
      <c r="L307" s="23">
        <v>1559.37</v>
      </c>
      <c r="M307" s="125">
        <f t="shared" si="36"/>
        <v>10613.9</v>
      </c>
      <c r="N307" s="126">
        <f t="shared" si="38"/>
        <v>1122.4000000000001</v>
      </c>
      <c r="O307" s="23">
        <v>1125.9100000000001</v>
      </c>
      <c r="P307" s="23">
        <f t="shared" si="34"/>
        <v>10530</v>
      </c>
      <c r="Q307" s="23">
        <f t="shared" si="39"/>
        <v>5.78</v>
      </c>
      <c r="R307" s="23">
        <v>5.79</v>
      </c>
      <c r="S307" s="23">
        <f t="shared" si="37"/>
        <v>29.9999999999994</v>
      </c>
      <c r="T307" s="123">
        <f t="shared" si="35"/>
        <v>10500</v>
      </c>
      <c r="U307" s="127"/>
      <c r="V307" s="23">
        <v>3.58</v>
      </c>
      <c r="W307" s="23">
        <v>26.52</v>
      </c>
      <c r="X307" s="23"/>
      <c r="Y307" s="23"/>
      <c r="Z307" s="23"/>
      <c r="AA307" s="23"/>
      <c r="AB307" s="123" t="s">
        <v>38</v>
      </c>
    </row>
    <row r="308" spans="1:28">
      <c r="A308" s="97">
        <f t="shared" si="33"/>
        <v>310</v>
      </c>
      <c r="B308" s="113">
        <v>46053</v>
      </c>
      <c r="C308" s="19">
        <v>46053</v>
      </c>
      <c r="D308" s="129">
        <v>0.33333333333333298</v>
      </c>
      <c r="E308" s="130">
        <v>0.76041666666666696</v>
      </c>
      <c r="F308" s="124">
        <v>962.22</v>
      </c>
      <c r="G308" s="23">
        <v>961.71</v>
      </c>
      <c r="H308" s="23">
        <v>947.58</v>
      </c>
      <c r="I308" s="23">
        <v>1006.43</v>
      </c>
      <c r="J308" s="23">
        <v>1005.74</v>
      </c>
      <c r="K308" s="23">
        <v>1010.47</v>
      </c>
      <c r="L308" s="23">
        <v>1011.65</v>
      </c>
      <c r="M308" s="125">
        <f t="shared" si="36"/>
        <v>6905.8</v>
      </c>
      <c r="N308" s="126">
        <f t="shared" si="38"/>
        <v>1125.9100000000001</v>
      </c>
      <c r="O308" s="23">
        <v>1128.19</v>
      </c>
      <c r="P308" s="23">
        <f t="shared" si="34"/>
        <v>6839.99999999992</v>
      </c>
      <c r="Q308" s="23">
        <f t="shared" si="39"/>
        <v>5.79</v>
      </c>
      <c r="R308" s="23">
        <v>5.8</v>
      </c>
      <c r="S308" s="23">
        <f t="shared" si="37"/>
        <v>29.9999999999994</v>
      </c>
      <c r="T308" s="123">
        <f t="shared" si="35"/>
        <v>6809.99999999992</v>
      </c>
      <c r="U308" s="127"/>
      <c r="V308" s="23">
        <v>2.86</v>
      </c>
      <c r="W308" s="23">
        <v>27.63</v>
      </c>
      <c r="X308" s="23"/>
      <c r="Y308" s="23"/>
      <c r="Z308" s="23"/>
      <c r="AA308" s="23"/>
      <c r="AB308" s="123" t="s">
        <v>38</v>
      </c>
    </row>
    <row r="309" spans="1:28">
      <c r="A309" s="97">
        <f t="shared" si="33"/>
        <v>311</v>
      </c>
      <c r="B309" s="113">
        <v>46054</v>
      </c>
      <c r="C309" s="19">
        <v>46054</v>
      </c>
      <c r="D309" s="129">
        <v>0.33333333333333298</v>
      </c>
      <c r="E309" s="123">
        <v>18.149999999999999</v>
      </c>
      <c r="F309" s="124">
        <v>1420.77</v>
      </c>
      <c r="G309" s="23">
        <v>1424.75</v>
      </c>
      <c r="H309" s="23">
        <v>1389.29</v>
      </c>
      <c r="I309" s="23">
        <v>1487.99</v>
      </c>
      <c r="J309" s="23">
        <v>1486.36</v>
      </c>
      <c r="K309" s="23">
        <v>1490.76</v>
      </c>
      <c r="L309" s="23">
        <v>1492.64</v>
      </c>
      <c r="M309" s="125">
        <f t="shared" si="36"/>
        <v>10192.56</v>
      </c>
      <c r="N309" s="126">
        <f t="shared" si="38"/>
        <v>1128.19</v>
      </c>
      <c r="O309" s="23">
        <v>1131.55</v>
      </c>
      <c r="P309" s="23">
        <f t="shared" si="34"/>
        <v>10079.9999999997</v>
      </c>
      <c r="Q309" s="23">
        <f t="shared" si="39"/>
        <v>5.8</v>
      </c>
      <c r="R309" s="23">
        <v>5.81</v>
      </c>
      <c r="S309" s="23">
        <f t="shared" si="37"/>
        <v>29.9999999999994</v>
      </c>
      <c r="T309" s="123">
        <f t="shared" si="35"/>
        <v>10049.9999999997</v>
      </c>
      <c r="U309" s="127"/>
      <c r="V309" s="23">
        <v>3.54</v>
      </c>
      <c r="W309" s="23">
        <v>27.61</v>
      </c>
      <c r="X309" s="23"/>
      <c r="Y309" s="23"/>
      <c r="Z309" s="23"/>
      <c r="AA309" s="23"/>
      <c r="AB309" s="123" t="s">
        <v>38</v>
      </c>
    </row>
    <row r="310" spans="1:28">
      <c r="A310" s="97">
        <f t="shared" si="33"/>
        <v>312</v>
      </c>
      <c r="B310" s="113">
        <v>46055</v>
      </c>
      <c r="C310" s="19">
        <v>46055</v>
      </c>
      <c r="D310" s="129">
        <v>0.33333333333333298</v>
      </c>
      <c r="E310" s="130">
        <v>0.76041666666666696</v>
      </c>
      <c r="F310" s="124">
        <v>1354.79</v>
      </c>
      <c r="G310" s="23">
        <v>1357.07</v>
      </c>
      <c r="H310" s="23">
        <v>1322.81</v>
      </c>
      <c r="I310" s="23">
        <v>1416.58</v>
      </c>
      <c r="J310" s="23">
        <v>1416.74</v>
      </c>
      <c r="K310" s="23">
        <v>1419.05</v>
      </c>
      <c r="L310" s="23">
        <v>1420.08</v>
      </c>
      <c r="M310" s="125">
        <f t="shared" si="36"/>
        <v>9707.1200000000008</v>
      </c>
      <c r="N310" s="126">
        <f t="shared" si="38"/>
        <v>1131.55</v>
      </c>
      <c r="O310" s="23">
        <v>1134.76</v>
      </c>
      <c r="P310" s="23">
        <f t="shared" si="34"/>
        <v>9630.0000000001091</v>
      </c>
      <c r="Q310" s="23">
        <f t="shared" si="39"/>
        <v>5.81</v>
      </c>
      <c r="R310" s="23">
        <v>5.82</v>
      </c>
      <c r="S310" s="23">
        <f t="shared" si="37"/>
        <v>30.000000000002</v>
      </c>
      <c r="T310" s="123">
        <f t="shared" si="35"/>
        <v>9600.0000000001091</v>
      </c>
      <c r="U310" s="127"/>
      <c r="V310" s="23">
        <v>3.5</v>
      </c>
      <c r="W310" s="23">
        <v>27.47</v>
      </c>
      <c r="X310" s="23"/>
      <c r="Y310" s="23"/>
      <c r="Z310" s="23"/>
      <c r="AA310" s="23"/>
      <c r="AB310" s="123" t="s">
        <v>38</v>
      </c>
    </row>
    <row r="311" spans="1:28">
      <c r="A311" s="97">
        <f t="shared" si="33"/>
        <v>313</v>
      </c>
      <c r="B311" s="113">
        <v>46056</v>
      </c>
      <c r="C311" s="19">
        <v>46056</v>
      </c>
      <c r="D311" s="129">
        <v>0.33333333333333298</v>
      </c>
      <c r="E311" s="130">
        <v>0.76041666666666696</v>
      </c>
      <c r="F311" s="124">
        <v>1464.36</v>
      </c>
      <c r="G311" s="23">
        <v>1469.28</v>
      </c>
      <c r="H311" s="23">
        <v>1429.24</v>
      </c>
      <c r="I311" s="23">
        <v>1535.66</v>
      </c>
      <c r="J311" s="23">
        <v>1533.18</v>
      </c>
      <c r="K311" s="23">
        <v>1535.8</v>
      </c>
      <c r="L311" s="23">
        <v>1537.72</v>
      </c>
      <c r="M311" s="125">
        <f t="shared" si="36"/>
        <v>10505.24</v>
      </c>
      <c r="N311" s="126">
        <f t="shared" si="38"/>
        <v>1134.76</v>
      </c>
      <c r="O311" s="23">
        <v>1138.23</v>
      </c>
      <c r="P311" s="23">
        <f t="shared" si="34"/>
        <v>10410.0000000001</v>
      </c>
      <c r="Q311" s="23">
        <f t="shared" si="39"/>
        <v>5.82</v>
      </c>
      <c r="R311" s="23">
        <v>5.83</v>
      </c>
      <c r="S311" s="23">
        <f t="shared" si="37"/>
        <v>29.9999999999994</v>
      </c>
      <c r="T311" s="123">
        <f t="shared" si="35"/>
        <v>10380.0000000001</v>
      </c>
      <c r="U311" s="127"/>
      <c r="V311" s="23">
        <v>3.67</v>
      </c>
      <c r="W311" s="23">
        <v>27.5</v>
      </c>
      <c r="X311" s="23"/>
      <c r="Y311" s="23"/>
      <c r="Z311" s="23"/>
      <c r="AA311" s="23"/>
      <c r="AB311" s="123" t="s">
        <v>38</v>
      </c>
    </row>
    <row r="312" spans="1:28">
      <c r="A312" s="97">
        <f t="shared" si="33"/>
        <v>314</v>
      </c>
      <c r="B312" s="113">
        <v>46057</v>
      </c>
      <c r="C312" s="19">
        <v>46057</v>
      </c>
      <c r="D312" s="129">
        <v>0.32291666666666702</v>
      </c>
      <c r="E312" s="123">
        <v>18.149999999999999</v>
      </c>
      <c r="F312" s="124">
        <v>1492.45</v>
      </c>
      <c r="G312" s="23">
        <v>1499.04</v>
      </c>
      <c r="H312" s="23">
        <v>1457.61</v>
      </c>
      <c r="I312" s="23">
        <v>1563.86</v>
      </c>
      <c r="J312" s="23">
        <v>1561.64</v>
      </c>
      <c r="K312" s="23">
        <v>1566.29</v>
      </c>
      <c r="L312" s="23">
        <v>1570.05</v>
      </c>
      <c r="M312" s="125">
        <f t="shared" si="36"/>
        <v>10710.94</v>
      </c>
      <c r="N312" s="126">
        <f t="shared" si="38"/>
        <v>1138.23</v>
      </c>
      <c r="O312" s="23">
        <v>1141.76</v>
      </c>
      <c r="P312" s="23">
        <f t="shared" si="34"/>
        <v>10589.9999999999</v>
      </c>
      <c r="Q312" s="23">
        <f t="shared" si="39"/>
        <v>5.83</v>
      </c>
      <c r="R312" s="23">
        <v>5.84</v>
      </c>
      <c r="S312" s="23">
        <f t="shared" si="37"/>
        <v>29.9999999999994</v>
      </c>
      <c r="T312" s="123">
        <f t="shared" si="35"/>
        <v>10559.9999999999</v>
      </c>
      <c r="U312" s="127"/>
      <c r="V312" s="23">
        <v>3.74</v>
      </c>
      <c r="W312" s="23">
        <v>27.41</v>
      </c>
      <c r="X312" s="23"/>
      <c r="Y312" s="23"/>
      <c r="Z312" s="23"/>
      <c r="AA312" s="23"/>
      <c r="AB312" s="123" t="s">
        <v>38</v>
      </c>
    </row>
    <row r="313" spans="1:28">
      <c r="A313" s="97">
        <f t="shared" si="33"/>
        <v>315</v>
      </c>
      <c r="B313" s="113">
        <v>46058</v>
      </c>
      <c r="C313" s="19">
        <v>46058</v>
      </c>
      <c r="D313" s="129">
        <v>0.32291666666666702</v>
      </c>
      <c r="E313" s="123">
        <v>18.149999999999999</v>
      </c>
      <c r="F313" s="124">
        <v>1618.83</v>
      </c>
      <c r="G313" s="23">
        <v>1620.44</v>
      </c>
      <c r="H313" s="23">
        <v>1582.31</v>
      </c>
      <c r="I313" s="23">
        <v>1693.52</v>
      </c>
      <c r="J313" s="23">
        <v>1690.73</v>
      </c>
      <c r="K313" s="23">
        <v>1697.21</v>
      </c>
      <c r="L313" s="23">
        <v>1700.59</v>
      </c>
      <c r="M313" s="125">
        <f t="shared" si="36"/>
        <v>11603.63</v>
      </c>
      <c r="N313" s="126">
        <f t="shared" si="38"/>
        <v>1141.76</v>
      </c>
      <c r="O313" s="23">
        <v>1145.5999999999999</v>
      </c>
      <c r="P313" s="23">
        <f t="shared" si="34"/>
        <v>11519.9999999998</v>
      </c>
      <c r="Q313" s="23">
        <f t="shared" si="39"/>
        <v>5.84</v>
      </c>
      <c r="R313" s="23">
        <v>5.87</v>
      </c>
      <c r="S313" s="23">
        <f t="shared" si="37"/>
        <v>90.000000000000696</v>
      </c>
      <c r="T313" s="123">
        <f t="shared" si="35"/>
        <v>11429.9999999998</v>
      </c>
      <c r="U313" s="127"/>
      <c r="V313" s="23">
        <v>4.0199999999999996</v>
      </c>
      <c r="W313" s="23">
        <v>28.32</v>
      </c>
      <c r="X313" s="23"/>
      <c r="Y313" s="23"/>
      <c r="Z313" s="23"/>
      <c r="AA313" s="23"/>
      <c r="AB313" s="123" t="s">
        <v>38</v>
      </c>
    </row>
    <row r="314" spans="1:28">
      <c r="A314" s="97">
        <f t="shared" si="33"/>
        <v>316</v>
      </c>
      <c r="B314" s="113">
        <v>46059</v>
      </c>
      <c r="C314" s="19">
        <v>46059</v>
      </c>
      <c r="D314" s="129">
        <v>0.32291666666666702</v>
      </c>
      <c r="E314" s="123">
        <v>18.149999999999999</v>
      </c>
      <c r="F314" s="124">
        <v>1718.16</v>
      </c>
      <c r="G314" s="23">
        <v>1724.24</v>
      </c>
      <c r="H314" s="23">
        <v>1678.3</v>
      </c>
      <c r="I314" s="23">
        <v>1799.17</v>
      </c>
      <c r="J314" s="23">
        <v>1799.35</v>
      </c>
      <c r="K314" s="23">
        <v>1799.62</v>
      </c>
      <c r="L314" s="23">
        <v>1822.47</v>
      </c>
      <c r="M314" s="125">
        <f t="shared" si="36"/>
        <v>12341.31</v>
      </c>
      <c r="N314" s="126">
        <f t="shared" si="38"/>
        <v>1145.5999999999999</v>
      </c>
      <c r="O314" s="23">
        <v>1149.67</v>
      </c>
      <c r="P314" s="23">
        <f t="shared" si="34"/>
        <v>12210.0000000005</v>
      </c>
      <c r="Q314" s="23">
        <f t="shared" si="39"/>
        <v>5.87</v>
      </c>
      <c r="R314" s="23">
        <v>5.88</v>
      </c>
      <c r="S314" s="23">
        <f t="shared" si="37"/>
        <v>29.9999999999994</v>
      </c>
      <c r="T314" s="123">
        <f t="shared" si="35"/>
        <v>12180.0000000005</v>
      </c>
      <c r="U314" s="127"/>
      <c r="V314" s="23">
        <v>4.2</v>
      </c>
      <c r="W314" s="23">
        <v>29.55</v>
      </c>
      <c r="X314" s="23"/>
      <c r="Y314" s="23"/>
      <c r="Z314" s="23"/>
      <c r="AA314" s="23"/>
      <c r="AB314" s="123" t="s">
        <v>38</v>
      </c>
    </row>
    <row r="315" spans="1:28">
      <c r="A315" s="97">
        <f t="shared" si="33"/>
        <v>317</v>
      </c>
      <c r="B315" s="113">
        <v>46060</v>
      </c>
      <c r="C315" s="19">
        <v>46060</v>
      </c>
      <c r="D315" s="129">
        <v>0.32291666666666702</v>
      </c>
      <c r="E315" s="123">
        <v>18.149999999999999</v>
      </c>
      <c r="F315" s="124">
        <v>1710.78</v>
      </c>
      <c r="G315" s="23">
        <v>1736.44</v>
      </c>
      <c r="H315" s="23">
        <v>1672.07</v>
      </c>
      <c r="I315" s="23">
        <v>1809.27</v>
      </c>
      <c r="J315" s="23">
        <v>1809.98</v>
      </c>
      <c r="K315" s="23">
        <v>1806.5</v>
      </c>
      <c r="L315" s="23">
        <v>1820.49</v>
      </c>
      <c r="M315" s="125">
        <f t="shared" si="36"/>
        <v>12365.53</v>
      </c>
      <c r="N315" s="126">
        <f t="shared" si="38"/>
        <v>1149.67</v>
      </c>
      <c r="O315" s="23">
        <v>1153.74</v>
      </c>
      <c r="P315" s="23">
        <f t="shared" si="34"/>
        <v>12209.9999999998</v>
      </c>
      <c r="Q315" s="23">
        <f t="shared" si="39"/>
        <v>5.88</v>
      </c>
      <c r="R315" s="23">
        <v>5.89</v>
      </c>
      <c r="S315" s="23">
        <f t="shared" si="37"/>
        <v>29.9999999999994</v>
      </c>
      <c r="T315" s="123">
        <f t="shared" si="35"/>
        <v>12179.9999999998</v>
      </c>
      <c r="U315" s="127"/>
      <c r="V315" s="23">
        <v>4.08</v>
      </c>
      <c r="W315" s="23">
        <v>28.97</v>
      </c>
      <c r="X315" s="23"/>
      <c r="Y315" s="23"/>
      <c r="Z315" s="23"/>
      <c r="AA315" s="23"/>
      <c r="AB315" s="123" t="s">
        <v>38</v>
      </c>
    </row>
    <row r="316" spans="1:28">
      <c r="A316" s="97">
        <f t="shared" si="33"/>
        <v>318</v>
      </c>
      <c r="B316" s="113">
        <v>46061</v>
      </c>
      <c r="C316" s="19">
        <v>46061</v>
      </c>
      <c r="D316" s="129">
        <v>0.32291666666666702</v>
      </c>
      <c r="E316" s="123">
        <v>18.149999999999999</v>
      </c>
      <c r="F316" s="124">
        <v>1657.76</v>
      </c>
      <c r="G316" s="23">
        <v>1661.66</v>
      </c>
      <c r="H316" s="23">
        <v>1619.35</v>
      </c>
      <c r="I316" s="23">
        <v>1728.95</v>
      </c>
      <c r="J316" s="23">
        <v>1730.34</v>
      </c>
      <c r="K316" s="23">
        <v>1738.81</v>
      </c>
      <c r="L316" s="23">
        <v>1737.23</v>
      </c>
      <c r="M316" s="125">
        <f t="shared" si="36"/>
        <v>11874.1</v>
      </c>
      <c r="N316" s="126">
        <f t="shared" si="38"/>
        <v>1153.74</v>
      </c>
      <c r="O316" s="23">
        <v>1157.6600000000001</v>
      </c>
      <c r="P316" s="23">
        <f t="shared" si="34"/>
        <v>11760.0000000002</v>
      </c>
      <c r="Q316" s="23">
        <f t="shared" si="39"/>
        <v>5.89</v>
      </c>
      <c r="R316" s="23">
        <v>5.91</v>
      </c>
      <c r="S316" s="23">
        <f t="shared" si="37"/>
        <v>60.0000000000014</v>
      </c>
      <c r="T316" s="123">
        <f t="shared" si="35"/>
        <v>11700.0000000002</v>
      </c>
      <c r="U316" s="127"/>
      <c r="V316" s="23">
        <v>4.05</v>
      </c>
      <c r="W316" s="23">
        <v>28.86</v>
      </c>
      <c r="X316" s="23"/>
      <c r="Y316" s="23"/>
      <c r="Z316" s="23"/>
      <c r="AA316" s="23"/>
      <c r="AB316" s="123" t="s">
        <v>38</v>
      </c>
    </row>
    <row r="317" spans="1:28">
      <c r="A317" s="97">
        <f t="shared" si="33"/>
        <v>319</v>
      </c>
      <c r="B317" s="113">
        <v>46062</v>
      </c>
      <c r="C317" s="19">
        <v>46062</v>
      </c>
      <c r="D317" s="129">
        <v>0.33333333333333298</v>
      </c>
      <c r="E317" s="123">
        <v>18.149999999999999</v>
      </c>
      <c r="F317" s="124">
        <v>1795.2</v>
      </c>
      <c r="G317" s="23">
        <v>1802.32</v>
      </c>
      <c r="H317" s="23">
        <v>1755.07</v>
      </c>
      <c r="I317" s="23">
        <v>1875.05</v>
      </c>
      <c r="J317" s="23">
        <v>1880.19</v>
      </c>
      <c r="K317" s="23">
        <v>1878.21</v>
      </c>
      <c r="L317" s="23">
        <v>1887.37</v>
      </c>
      <c r="M317" s="125">
        <f t="shared" si="36"/>
        <v>12873.41</v>
      </c>
      <c r="N317" s="126">
        <f t="shared" si="38"/>
        <v>1157.6600000000001</v>
      </c>
      <c r="O317" s="23">
        <v>1161.9100000000001</v>
      </c>
      <c r="P317" s="23">
        <f t="shared" si="34"/>
        <v>12750</v>
      </c>
      <c r="Q317" s="23">
        <f t="shared" si="39"/>
        <v>5.91</v>
      </c>
      <c r="R317" s="23">
        <v>5.92</v>
      </c>
      <c r="S317" s="23">
        <f t="shared" si="37"/>
        <v>29.9999999999994</v>
      </c>
      <c r="T317" s="123">
        <f t="shared" si="35"/>
        <v>12720</v>
      </c>
      <c r="U317" s="127"/>
      <c r="V317" s="23">
        <v>4.26</v>
      </c>
      <c r="W317" s="23">
        <v>27.33</v>
      </c>
      <c r="X317" s="23"/>
      <c r="Y317" s="23"/>
      <c r="Z317" s="23"/>
      <c r="AA317" s="23"/>
      <c r="AB317" s="123" t="s">
        <v>38</v>
      </c>
    </row>
    <row r="318" spans="1:28">
      <c r="A318" s="97">
        <f t="shared" si="33"/>
        <v>320</v>
      </c>
      <c r="B318" s="113">
        <v>46063</v>
      </c>
      <c r="C318" s="19">
        <v>46063</v>
      </c>
      <c r="D318" s="129">
        <v>0.32291666666666702</v>
      </c>
      <c r="E318" s="123">
        <v>18.149999999999999</v>
      </c>
      <c r="F318" s="124">
        <v>1950.61</v>
      </c>
      <c r="G318" s="23">
        <v>1952.9</v>
      </c>
      <c r="H318" s="23">
        <v>1875.03</v>
      </c>
      <c r="I318" s="23">
        <v>2035.92</v>
      </c>
      <c r="J318" s="23">
        <v>2037.1</v>
      </c>
      <c r="K318" s="23">
        <v>2033.66</v>
      </c>
      <c r="L318" s="23">
        <v>2039.72</v>
      </c>
      <c r="M318" s="125">
        <f t="shared" si="36"/>
        <v>13924.94</v>
      </c>
      <c r="N318" s="126">
        <f t="shared" si="38"/>
        <v>1161.9100000000001</v>
      </c>
      <c r="O318" s="23">
        <v>1166.49</v>
      </c>
      <c r="P318" s="23">
        <f t="shared" si="34"/>
        <v>13739.9999999998</v>
      </c>
      <c r="Q318" s="23">
        <f t="shared" si="39"/>
        <v>5.92</v>
      </c>
      <c r="R318" s="23">
        <v>5.93</v>
      </c>
      <c r="S318" s="23">
        <f t="shared" si="37"/>
        <v>29.9999999999994</v>
      </c>
      <c r="T318" s="123">
        <f t="shared" si="35"/>
        <v>13709.9999999998</v>
      </c>
      <c r="U318" s="127"/>
      <c r="V318" s="23">
        <v>4.45</v>
      </c>
      <c r="W318" s="23">
        <v>27.27</v>
      </c>
      <c r="X318" s="23"/>
      <c r="Y318" s="23"/>
      <c r="Z318" s="23"/>
      <c r="AA318" s="23"/>
      <c r="AB318" s="123" t="s">
        <v>38</v>
      </c>
    </row>
    <row r="319" spans="1:28">
      <c r="A319" s="97">
        <f t="shared" si="33"/>
        <v>321</v>
      </c>
      <c r="B319" s="113">
        <v>46064</v>
      </c>
      <c r="C319" s="19">
        <v>46064</v>
      </c>
      <c r="D319" s="129">
        <v>0.32291666666666702</v>
      </c>
      <c r="E319" s="123">
        <v>18.149999999999999</v>
      </c>
      <c r="F319" s="124">
        <v>1908.16</v>
      </c>
      <c r="G319" s="23">
        <v>1916.29</v>
      </c>
      <c r="H319" s="23">
        <v>1845.56</v>
      </c>
      <c r="I319" s="23">
        <v>1989.15</v>
      </c>
      <c r="J319" s="23">
        <v>1993.01</v>
      </c>
      <c r="K319" s="134">
        <v>1987.2</v>
      </c>
      <c r="L319" s="23">
        <v>1996.19</v>
      </c>
      <c r="M319" s="125">
        <f t="shared" si="36"/>
        <v>13635.56</v>
      </c>
      <c r="N319" s="126">
        <f t="shared" si="38"/>
        <v>1166.49</v>
      </c>
      <c r="O319" s="23">
        <v>1170.98</v>
      </c>
      <c r="P319" s="23">
        <f t="shared" si="34"/>
        <v>13470</v>
      </c>
      <c r="Q319" s="23">
        <f t="shared" si="39"/>
        <v>5.93</v>
      </c>
      <c r="R319" s="23">
        <v>5.94</v>
      </c>
      <c r="S319" s="23">
        <f t="shared" si="37"/>
        <v>30.000000000002</v>
      </c>
      <c r="T319" s="123">
        <f t="shared" si="35"/>
        <v>13440</v>
      </c>
      <c r="U319" s="127"/>
      <c r="V319" s="23">
        <v>4.3899999999999997</v>
      </c>
      <c r="W319" s="23">
        <v>28.02</v>
      </c>
      <c r="X319" s="23"/>
      <c r="Y319" s="23"/>
      <c r="Z319" s="23"/>
      <c r="AA319" s="23"/>
      <c r="AB319" s="123" t="s">
        <v>38</v>
      </c>
    </row>
    <row r="320" spans="1:28">
      <c r="A320" s="97">
        <f t="shared" si="33"/>
        <v>322</v>
      </c>
      <c r="B320" s="113">
        <v>46065</v>
      </c>
      <c r="C320" s="19">
        <v>46065</v>
      </c>
      <c r="D320" s="129">
        <v>0.32291666666666702</v>
      </c>
      <c r="E320" s="123">
        <v>18.149999999999999</v>
      </c>
      <c r="F320" s="124">
        <v>1902.17</v>
      </c>
      <c r="G320" s="23">
        <v>1908.93</v>
      </c>
      <c r="H320" s="134">
        <v>1844.1</v>
      </c>
      <c r="I320" s="23">
        <v>1986.21</v>
      </c>
      <c r="J320" s="23">
        <v>1987.33</v>
      </c>
      <c r="K320" s="23">
        <v>1983.87</v>
      </c>
      <c r="L320" s="23">
        <v>1996.27</v>
      </c>
      <c r="M320" s="125">
        <f t="shared" si="36"/>
        <v>13608.88</v>
      </c>
      <c r="N320" s="126">
        <f t="shared" si="38"/>
        <v>1170.98</v>
      </c>
      <c r="O320" s="23">
        <v>1175.47</v>
      </c>
      <c r="P320" s="23">
        <f t="shared" si="34"/>
        <v>13470</v>
      </c>
      <c r="Q320" s="23">
        <f t="shared" si="39"/>
        <v>5.94</v>
      </c>
      <c r="R320" s="23">
        <v>5.95</v>
      </c>
      <c r="S320" s="23">
        <f t="shared" si="37"/>
        <v>29.9999999999994</v>
      </c>
      <c r="T320" s="123">
        <f t="shared" si="35"/>
        <v>13440</v>
      </c>
      <c r="U320" s="127"/>
      <c r="V320" s="23">
        <v>4.45</v>
      </c>
      <c r="W320" s="23">
        <v>29.02</v>
      </c>
      <c r="X320" s="23"/>
      <c r="Y320" s="23"/>
      <c r="Z320" s="23"/>
      <c r="AA320" s="23"/>
      <c r="AB320" s="123" t="s">
        <v>38</v>
      </c>
    </row>
    <row r="321" spans="1:28">
      <c r="A321" s="97">
        <f t="shared" si="33"/>
        <v>323</v>
      </c>
      <c r="B321" s="113">
        <v>46066</v>
      </c>
      <c r="C321" s="19">
        <v>46066</v>
      </c>
      <c r="D321" s="129">
        <v>0.31666666666666698</v>
      </c>
      <c r="E321" s="130">
        <v>0.77777777777777801</v>
      </c>
      <c r="F321" s="124">
        <v>1694.77</v>
      </c>
      <c r="G321" s="23">
        <v>1701.29</v>
      </c>
      <c r="H321" s="23">
        <v>1655.87</v>
      </c>
      <c r="I321" s="23">
        <v>1768.81</v>
      </c>
      <c r="J321" s="23">
        <v>1769.12</v>
      </c>
      <c r="K321" s="23">
        <v>1773.93</v>
      </c>
      <c r="L321" s="23">
        <v>1776.24</v>
      </c>
      <c r="M321" s="125">
        <f t="shared" si="36"/>
        <v>12140.03</v>
      </c>
      <c r="N321" s="126">
        <f t="shared" si="38"/>
        <v>1175.47</v>
      </c>
      <c r="O321" s="23">
        <v>1179.47</v>
      </c>
      <c r="P321" s="23">
        <f t="shared" si="34"/>
        <v>12000</v>
      </c>
      <c r="Q321" s="23">
        <v>5.95</v>
      </c>
      <c r="R321" s="23">
        <v>5.97</v>
      </c>
      <c r="S321" s="23">
        <v>30</v>
      </c>
      <c r="T321" s="123">
        <f t="shared" si="35"/>
        <v>11970</v>
      </c>
      <c r="U321" s="127"/>
      <c r="V321" s="23">
        <v>4.09</v>
      </c>
      <c r="W321" s="23">
        <v>29.37</v>
      </c>
      <c r="X321" s="23"/>
      <c r="Y321" s="23"/>
      <c r="Z321" s="23"/>
      <c r="AA321" s="23"/>
      <c r="AB321" s="123" t="s">
        <v>38</v>
      </c>
    </row>
    <row r="322" spans="1:28">
      <c r="A322" s="97">
        <f t="shared" si="33"/>
        <v>324</v>
      </c>
      <c r="B322" s="113">
        <v>46067</v>
      </c>
      <c r="C322" s="19">
        <v>46067</v>
      </c>
      <c r="D322" s="129">
        <v>0.32291666666666702</v>
      </c>
      <c r="E322" s="130">
        <v>0.76041666666666696</v>
      </c>
      <c r="F322" s="124">
        <v>1700.8</v>
      </c>
      <c r="G322" s="23">
        <v>1709.75</v>
      </c>
      <c r="H322" s="23">
        <v>1661.43</v>
      </c>
      <c r="I322" s="23">
        <v>1775.42</v>
      </c>
      <c r="J322" s="23">
        <v>1776</v>
      </c>
      <c r="K322" s="23">
        <v>1783.32</v>
      </c>
      <c r="L322" s="23">
        <v>1784.38</v>
      </c>
      <c r="M322" s="125">
        <f t="shared" si="36"/>
        <v>12191.1</v>
      </c>
      <c r="N322" s="126">
        <v>1179.47</v>
      </c>
      <c r="O322" s="23">
        <v>1183.46</v>
      </c>
      <c r="P322" s="23">
        <v>11970</v>
      </c>
      <c r="Q322" s="23">
        <v>5.97</v>
      </c>
      <c r="R322" s="23">
        <v>5.98</v>
      </c>
      <c r="S322" s="23">
        <v>30</v>
      </c>
      <c r="T322" s="123">
        <f t="shared" si="35"/>
        <v>11940</v>
      </c>
      <c r="U322" s="127"/>
      <c r="V322" s="23"/>
      <c r="W322" s="23">
        <v>30.12</v>
      </c>
      <c r="X322" s="23"/>
      <c r="Y322" s="23"/>
      <c r="Z322" s="23"/>
      <c r="AA322" s="23"/>
      <c r="AB322" s="123" t="s">
        <v>38</v>
      </c>
    </row>
    <row r="323" spans="1:28">
      <c r="A323" s="97">
        <f t="shared" ref="A323:A386" si="40">A322+1</f>
        <v>325</v>
      </c>
      <c r="B323" s="113">
        <v>46068</v>
      </c>
      <c r="C323" s="19">
        <v>46068</v>
      </c>
      <c r="D323" s="129">
        <v>0.32291666666666702</v>
      </c>
      <c r="E323" s="130">
        <v>0.76041666666666696</v>
      </c>
      <c r="F323" s="124">
        <v>1803.29</v>
      </c>
      <c r="G323" s="23">
        <v>1810.32</v>
      </c>
      <c r="H323" s="134">
        <v>1749.1</v>
      </c>
      <c r="I323" s="134">
        <v>1881.9</v>
      </c>
      <c r="J323" s="23">
        <v>1885.45</v>
      </c>
      <c r="K323" s="23">
        <v>1879.17</v>
      </c>
      <c r="L323" s="23">
        <v>1892.24</v>
      </c>
      <c r="M323" s="125">
        <f t="shared" si="36"/>
        <v>12901.47</v>
      </c>
      <c r="N323" s="126">
        <v>1183.46</v>
      </c>
      <c r="O323" s="23">
        <v>1187.75</v>
      </c>
      <c r="P323" s="23">
        <f t="shared" ref="P323:P386" si="41">MAX((O323-N323)*3000,0)</f>
        <v>12869.9999999999</v>
      </c>
      <c r="Q323" s="23">
        <v>5.98</v>
      </c>
      <c r="R323" s="23">
        <v>5.99</v>
      </c>
      <c r="S323" s="23">
        <f t="shared" si="37"/>
        <v>29.9999999999994</v>
      </c>
      <c r="T323" s="123">
        <f t="shared" ref="T323:T367" si="42">P323-S323</f>
        <v>12839.9999999999</v>
      </c>
      <c r="U323" s="127"/>
      <c r="V323" s="23">
        <v>4.37</v>
      </c>
      <c r="W323" s="23">
        <v>30.58</v>
      </c>
      <c r="X323" s="23"/>
      <c r="Y323" s="23"/>
      <c r="Z323" s="23"/>
      <c r="AA323" s="23"/>
      <c r="AB323" s="123" t="s">
        <v>38</v>
      </c>
    </row>
    <row r="324" spans="1:28">
      <c r="A324" s="97">
        <f t="shared" si="40"/>
        <v>326</v>
      </c>
      <c r="B324" s="113">
        <v>46069</v>
      </c>
      <c r="C324" s="19">
        <v>46069</v>
      </c>
      <c r="D324" s="129">
        <v>0.32291666666666702</v>
      </c>
      <c r="E324" s="130">
        <v>0.76041666666666696</v>
      </c>
      <c r="F324" s="124">
        <v>1886.83</v>
      </c>
      <c r="G324" s="23">
        <v>1891.73</v>
      </c>
      <c r="H324" s="23">
        <v>1822.49</v>
      </c>
      <c r="I324" s="23">
        <v>1972.92</v>
      </c>
      <c r="J324" s="23">
        <v>1972.97</v>
      </c>
      <c r="K324" s="134">
        <v>1968.6</v>
      </c>
      <c r="L324" s="23">
        <v>1980.08</v>
      </c>
      <c r="M324" s="125">
        <f t="shared" ref="M324:M385" si="43">SUM(F324:L324)</f>
        <v>13495.62</v>
      </c>
      <c r="N324" s="126">
        <f t="shared" si="38"/>
        <v>1187.75</v>
      </c>
      <c r="O324" s="134">
        <v>1192.2</v>
      </c>
      <c r="P324" s="23">
        <f t="shared" si="41"/>
        <v>13350.0000000001</v>
      </c>
      <c r="Q324" s="23">
        <f t="shared" si="39"/>
        <v>5.99</v>
      </c>
      <c r="R324" s="23">
        <v>6.01</v>
      </c>
      <c r="S324" s="23">
        <f t="shared" si="37"/>
        <v>59.9999999999987</v>
      </c>
      <c r="T324" s="123">
        <f t="shared" si="42"/>
        <v>13290.0000000001</v>
      </c>
      <c r="U324" s="127"/>
      <c r="V324" s="23"/>
      <c r="W324" s="134">
        <v>27.9</v>
      </c>
      <c r="X324" s="23"/>
      <c r="Y324" s="23"/>
      <c r="Z324" s="23"/>
      <c r="AA324" s="23"/>
      <c r="AB324" s="123" t="s">
        <v>38</v>
      </c>
    </row>
    <row r="325" spans="1:28">
      <c r="A325" s="97">
        <f t="shared" si="40"/>
        <v>327</v>
      </c>
      <c r="B325" s="113">
        <v>46070</v>
      </c>
      <c r="C325" s="19">
        <v>46070</v>
      </c>
      <c r="D325" s="23">
        <v>7.45</v>
      </c>
      <c r="E325" s="123">
        <v>18.149999999999999</v>
      </c>
      <c r="F325" s="124">
        <v>1978.86</v>
      </c>
      <c r="G325" s="23">
        <v>2019.41</v>
      </c>
      <c r="H325" s="23">
        <v>1914.89</v>
      </c>
      <c r="I325" s="23">
        <v>2116.2399999999998</v>
      </c>
      <c r="J325" s="23">
        <v>2124.29</v>
      </c>
      <c r="K325" s="23">
        <v>2065.66</v>
      </c>
      <c r="L325" s="23">
        <v>2145.5300000000002</v>
      </c>
      <c r="M325" s="125">
        <f t="shared" si="43"/>
        <v>14364.88</v>
      </c>
      <c r="N325" s="126">
        <f t="shared" si="38"/>
        <v>1192.2</v>
      </c>
      <c r="O325" s="23">
        <v>1196.93</v>
      </c>
      <c r="P325" s="23">
        <f t="shared" si="41"/>
        <v>14190.0000000001</v>
      </c>
      <c r="Q325" s="23">
        <f t="shared" si="39"/>
        <v>6.01</v>
      </c>
      <c r="R325" s="23">
        <v>6.2</v>
      </c>
      <c r="S325" s="23">
        <f t="shared" ref="S325:S367" si="44">MAX((R325-Q325)*3000,0)</f>
        <v>570.00000000000102</v>
      </c>
      <c r="T325" s="123">
        <f t="shared" si="42"/>
        <v>13620.0000000001</v>
      </c>
      <c r="U325" s="127"/>
      <c r="V325" s="23">
        <v>4.72</v>
      </c>
      <c r="W325" s="23">
        <v>26.96</v>
      </c>
      <c r="X325" s="23"/>
      <c r="Y325" s="23"/>
      <c r="Z325" s="23"/>
      <c r="AA325" s="23"/>
      <c r="AB325" s="123" t="s">
        <v>38</v>
      </c>
    </row>
    <row r="326" spans="1:28">
      <c r="A326" s="97">
        <v>328</v>
      </c>
      <c r="B326" s="113">
        <v>46071</v>
      </c>
      <c r="C326" s="19">
        <v>46071</v>
      </c>
      <c r="D326" s="129">
        <v>0.32291666666666702</v>
      </c>
      <c r="E326" s="130">
        <v>18.149999999999999</v>
      </c>
      <c r="F326" s="124">
        <v>1993.46</v>
      </c>
      <c r="G326" s="23">
        <v>1997.49</v>
      </c>
      <c r="H326" s="134">
        <v>1913.3</v>
      </c>
      <c r="I326" s="23">
        <v>2083.9899999999998</v>
      </c>
      <c r="J326" s="23">
        <v>2085.83</v>
      </c>
      <c r="K326" s="23">
        <v>2072.15</v>
      </c>
      <c r="L326" s="23">
        <v>2090.39</v>
      </c>
      <c r="M326" s="125">
        <f t="shared" si="43"/>
        <v>14236.61</v>
      </c>
      <c r="N326" s="126">
        <f t="shared" si="38"/>
        <v>1196.93</v>
      </c>
      <c r="O326" s="23">
        <v>1201.6099999999999</v>
      </c>
      <c r="P326" s="23">
        <f t="shared" si="41"/>
        <v>14039.9999999995</v>
      </c>
      <c r="Q326" s="23">
        <f t="shared" si="39"/>
        <v>6.2</v>
      </c>
      <c r="R326" s="23">
        <v>6.03</v>
      </c>
      <c r="S326" s="23">
        <f t="shared" si="44"/>
        <v>0</v>
      </c>
      <c r="T326" s="123">
        <f t="shared" si="42"/>
        <v>14039.9999999995</v>
      </c>
      <c r="U326" s="127"/>
      <c r="V326" s="23">
        <v>4.62</v>
      </c>
      <c r="W326" s="23">
        <v>27.75</v>
      </c>
      <c r="X326" s="23"/>
      <c r="Y326" s="23"/>
      <c r="Z326" s="23"/>
      <c r="AA326" s="23"/>
      <c r="AB326" s="123" t="s">
        <v>38</v>
      </c>
    </row>
    <row r="327" spans="1:28">
      <c r="A327" s="97">
        <f t="shared" si="40"/>
        <v>329</v>
      </c>
      <c r="B327" s="113">
        <v>46072</v>
      </c>
      <c r="C327" s="19">
        <v>46072</v>
      </c>
      <c r="D327" s="129">
        <v>0.32291666666666702</v>
      </c>
      <c r="E327" s="123">
        <v>18.149999999999999</v>
      </c>
      <c r="F327" s="124">
        <v>1888.02</v>
      </c>
      <c r="G327" s="23">
        <v>1887.35</v>
      </c>
      <c r="H327" s="23">
        <v>1800.42</v>
      </c>
      <c r="I327" s="23">
        <v>1968.34</v>
      </c>
      <c r="J327" s="134">
        <v>1975.1</v>
      </c>
      <c r="K327" s="23">
        <v>1962.25</v>
      </c>
      <c r="L327" s="23">
        <v>1978.03</v>
      </c>
      <c r="M327" s="125">
        <f t="shared" si="43"/>
        <v>13459.51</v>
      </c>
      <c r="N327" s="126">
        <f t="shared" si="38"/>
        <v>1201.6099999999999</v>
      </c>
      <c r="O327" s="23">
        <v>1206.05</v>
      </c>
      <c r="P327" s="23">
        <f t="shared" si="41"/>
        <v>13320.0000000002</v>
      </c>
      <c r="Q327" s="23">
        <f t="shared" si="39"/>
        <v>6.03</v>
      </c>
      <c r="R327" s="23">
        <v>6.04</v>
      </c>
      <c r="S327" s="23">
        <f t="shared" si="44"/>
        <v>29.9999999999994</v>
      </c>
      <c r="T327" s="123">
        <f t="shared" si="42"/>
        <v>13290.0000000002</v>
      </c>
      <c r="U327" s="127"/>
      <c r="V327" s="23">
        <v>4.4000000000000004</v>
      </c>
      <c r="W327" s="23">
        <v>28.95</v>
      </c>
      <c r="X327" s="23"/>
      <c r="Y327" s="23"/>
      <c r="Z327" s="23"/>
      <c r="AA327" s="23"/>
      <c r="AB327" s="123" t="s">
        <v>38</v>
      </c>
    </row>
    <row r="328" spans="1:28">
      <c r="A328" s="97">
        <f t="shared" si="40"/>
        <v>330</v>
      </c>
      <c r="B328" s="113">
        <v>46073</v>
      </c>
      <c r="C328" s="19">
        <v>46073</v>
      </c>
      <c r="D328" s="129">
        <v>0.32291666666666702</v>
      </c>
      <c r="E328" s="130">
        <v>0.77083333333333304</v>
      </c>
      <c r="F328" s="124">
        <v>1807.26</v>
      </c>
      <c r="G328" s="23">
        <v>1817.91</v>
      </c>
      <c r="H328" s="23">
        <v>1754.66</v>
      </c>
      <c r="I328" s="23">
        <v>1889.12</v>
      </c>
      <c r="J328" s="23">
        <v>1888.01</v>
      </c>
      <c r="K328" s="23">
        <v>1882.81</v>
      </c>
      <c r="L328" s="23">
        <v>1897.15</v>
      </c>
      <c r="M328" s="125">
        <f t="shared" si="43"/>
        <v>12936.92</v>
      </c>
      <c r="N328" s="126">
        <f t="shared" si="38"/>
        <v>1206.05</v>
      </c>
      <c r="O328" s="23">
        <v>1210.32</v>
      </c>
      <c r="P328" s="23">
        <f t="shared" si="41"/>
        <v>12809.9999999999</v>
      </c>
      <c r="Q328" s="23">
        <f t="shared" si="39"/>
        <v>6.04</v>
      </c>
      <c r="R328" s="23">
        <v>6.05</v>
      </c>
      <c r="S328" s="23">
        <f t="shared" si="44"/>
        <v>29.9999999999994</v>
      </c>
      <c r="T328" s="123">
        <f t="shared" si="42"/>
        <v>12779.9999999999</v>
      </c>
      <c r="U328" s="127"/>
      <c r="V328" s="23"/>
      <c r="W328" s="23">
        <v>30.73</v>
      </c>
      <c r="X328" s="23"/>
      <c r="Y328" s="23"/>
      <c r="Z328" s="23"/>
      <c r="AA328" s="23"/>
      <c r="AB328" s="123" t="s">
        <v>38</v>
      </c>
    </row>
    <row r="329" spans="1:28">
      <c r="A329" s="97">
        <f t="shared" si="40"/>
        <v>331</v>
      </c>
      <c r="B329" s="113">
        <v>46074</v>
      </c>
      <c r="C329" s="19">
        <v>46074</v>
      </c>
      <c r="D329" s="129">
        <v>0.32291666666666702</v>
      </c>
      <c r="E329" s="130">
        <v>0.77083333333333304</v>
      </c>
      <c r="F329" s="124">
        <v>1854.15</v>
      </c>
      <c r="G329" s="23">
        <v>1861.85</v>
      </c>
      <c r="H329" s="23">
        <v>1787.32</v>
      </c>
      <c r="I329" s="23">
        <v>1935.63</v>
      </c>
      <c r="J329" s="23">
        <v>1941.22</v>
      </c>
      <c r="K329" s="23">
        <v>1927.73</v>
      </c>
      <c r="L329" s="23">
        <v>1934.37</v>
      </c>
      <c r="M329" s="125">
        <f t="shared" si="43"/>
        <v>13242.27</v>
      </c>
      <c r="N329" s="126">
        <f t="shared" si="38"/>
        <v>1210.32</v>
      </c>
      <c r="O329" s="23">
        <v>1214.69</v>
      </c>
      <c r="P329" s="23">
        <f t="shared" si="41"/>
        <v>13110.0000000004</v>
      </c>
      <c r="Q329" s="23">
        <f t="shared" si="39"/>
        <v>6.05</v>
      </c>
      <c r="R329" s="23">
        <v>6.07</v>
      </c>
      <c r="S329" s="23">
        <f t="shared" si="44"/>
        <v>60.0000000000014</v>
      </c>
      <c r="T329" s="123">
        <f t="shared" si="42"/>
        <v>13050.0000000004</v>
      </c>
      <c r="U329" s="127"/>
      <c r="V329" s="23">
        <v>4.5</v>
      </c>
      <c r="W329" s="23">
        <v>31.84</v>
      </c>
      <c r="X329" s="23"/>
      <c r="Y329" s="23"/>
      <c r="Z329" s="23"/>
      <c r="AA329" s="23"/>
      <c r="AB329" s="123" t="s">
        <v>38</v>
      </c>
    </row>
    <row r="330" spans="1:28">
      <c r="A330" s="97">
        <f t="shared" si="40"/>
        <v>332</v>
      </c>
      <c r="B330" s="113">
        <v>46075</v>
      </c>
      <c r="C330" s="19">
        <v>46075</v>
      </c>
      <c r="D330" s="129">
        <v>0.32291666666666702</v>
      </c>
      <c r="E330" s="130">
        <v>0.76041666666666696</v>
      </c>
      <c r="F330" s="124">
        <v>1572.39</v>
      </c>
      <c r="G330" s="23">
        <v>1578.71</v>
      </c>
      <c r="H330" s="23">
        <v>1535.99</v>
      </c>
      <c r="I330" s="23">
        <v>1644.26</v>
      </c>
      <c r="J330" s="23">
        <v>1646.74</v>
      </c>
      <c r="K330" s="23">
        <v>1641.47</v>
      </c>
      <c r="L330" s="134">
        <v>1654</v>
      </c>
      <c r="M330" s="125">
        <f t="shared" si="43"/>
        <v>11273.56</v>
      </c>
      <c r="N330" s="126">
        <f t="shared" si="38"/>
        <v>1214.69</v>
      </c>
      <c r="O330" s="23">
        <v>1218.4100000000001</v>
      </c>
      <c r="P330" s="23">
        <f t="shared" si="41"/>
        <v>11160.0000000001</v>
      </c>
      <c r="Q330" s="23">
        <f t="shared" si="39"/>
        <v>6.07</v>
      </c>
      <c r="R330" s="23">
        <v>6.08</v>
      </c>
      <c r="S330" s="23">
        <f t="shared" si="44"/>
        <v>29.9999999999994</v>
      </c>
      <c r="T330" s="123">
        <f t="shared" si="42"/>
        <v>11130.0000000001</v>
      </c>
      <c r="U330" s="127"/>
      <c r="V330" s="23">
        <v>4.1500000000000004</v>
      </c>
      <c r="W330" s="23">
        <v>31.27</v>
      </c>
      <c r="X330" s="23"/>
      <c r="Y330" s="23"/>
      <c r="Z330" s="23"/>
      <c r="AA330" s="23"/>
      <c r="AB330" s="123" t="s">
        <v>38</v>
      </c>
    </row>
    <row r="331" spans="1:28">
      <c r="A331" s="97">
        <f t="shared" si="40"/>
        <v>333</v>
      </c>
      <c r="B331" s="113">
        <v>46076</v>
      </c>
      <c r="C331" s="19">
        <v>46076</v>
      </c>
      <c r="D331" s="129">
        <v>0.32291666666666702</v>
      </c>
      <c r="E331" s="130">
        <v>0.77083333333333304</v>
      </c>
      <c r="F331" s="124">
        <v>1677.51</v>
      </c>
      <c r="G331" s="23">
        <v>1692.45</v>
      </c>
      <c r="H331" s="23">
        <v>1608.62</v>
      </c>
      <c r="I331" s="23">
        <v>1762.23</v>
      </c>
      <c r="J331" s="23">
        <v>1765.62</v>
      </c>
      <c r="K331" s="23">
        <v>1763.88</v>
      </c>
      <c r="L331" s="23">
        <v>1773.8</v>
      </c>
      <c r="M331" s="125">
        <f t="shared" si="43"/>
        <v>12044.11</v>
      </c>
      <c r="N331" s="126">
        <f t="shared" si="38"/>
        <v>1218.4100000000001</v>
      </c>
      <c r="O331" s="23">
        <v>1222.3800000000001</v>
      </c>
      <c r="P331" s="23">
        <f t="shared" si="41"/>
        <v>11910.0000000001</v>
      </c>
      <c r="Q331" s="23">
        <f t="shared" si="39"/>
        <v>6.08</v>
      </c>
      <c r="R331" s="23">
        <v>6.09</v>
      </c>
      <c r="S331" s="23">
        <f t="shared" si="44"/>
        <v>29.9999999999994</v>
      </c>
      <c r="T331" s="123">
        <f t="shared" si="42"/>
        <v>11880.0000000001</v>
      </c>
      <c r="U331" s="127"/>
      <c r="V331" s="23">
        <v>4.18</v>
      </c>
      <c r="W331" s="23">
        <v>31.06</v>
      </c>
      <c r="X331" s="23"/>
      <c r="Y331" s="23"/>
      <c r="Z331" s="23"/>
      <c r="AA331" s="23"/>
      <c r="AB331" s="123" t="s">
        <v>38</v>
      </c>
    </row>
    <row r="332" spans="1:28">
      <c r="A332" s="97">
        <f t="shared" si="40"/>
        <v>334</v>
      </c>
      <c r="B332" s="113">
        <v>46077</v>
      </c>
      <c r="C332" s="19">
        <v>46077</v>
      </c>
      <c r="D332" s="129">
        <v>0.32291666666666702</v>
      </c>
      <c r="E332" s="130">
        <v>0.77083333333333304</v>
      </c>
      <c r="F332" s="124">
        <v>1863.45</v>
      </c>
      <c r="G332" s="23">
        <v>1866.84</v>
      </c>
      <c r="H332" s="23">
        <v>1851.69</v>
      </c>
      <c r="I332" s="23">
        <v>1946.95</v>
      </c>
      <c r="J332" s="23">
        <v>1949.24</v>
      </c>
      <c r="K332" s="23">
        <v>1937.08</v>
      </c>
      <c r="L332" s="23">
        <v>1958.22</v>
      </c>
      <c r="M332" s="125">
        <f t="shared" si="43"/>
        <v>13373.47</v>
      </c>
      <c r="N332" s="126">
        <f t="shared" si="38"/>
        <v>1222.3800000000001</v>
      </c>
      <c r="O332" s="23">
        <v>1226.79</v>
      </c>
      <c r="P332" s="23">
        <f t="shared" si="41"/>
        <v>13229.9999999996</v>
      </c>
      <c r="Q332" s="23">
        <f t="shared" si="39"/>
        <v>6.09</v>
      </c>
      <c r="R332" s="134">
        <v>6.1</v>
      </c>
      <c r="S332" s="23">
        <v>7</v>
      </c>
      <c r="T332" s="123">
        <f t="shared" si="42"/>
        <v>13222.9999999996</v>
      </c>
      <c r="U332" s="127"/>
      <c r="V332" s="23">
        <v>4.53</v>
      </c>
      <c r="W332" s="23">
        <v>31.34</v>
      </c>
      <c r="X332" s="23"/>
      <c r="Y332" s="23"/>
      <c r="Z332" s="23"/>
      <c r="AA332" s="23"/>
      <c r="AB332" s="123" t="s">
        <v>38</v>
      </c>
    </row>
    <row r="333" spans="1:28">
      <c r="A333" s="97">
        <f t="shared" si="40"/>
        <v>335</v>
      </c>
      <c r="B333" s="113">
        <v>46078</v>
      </c>
      <c r="C333" s="19">
        <v>46078</v>
      </c>
      <c r="D333" s="129">
        <v>0.32291666666666702</v>
      </c>
      <c r="E333" s="130">
        <v>0.77083333333333304</v>
      </c>
      <c r="F333" s="124">
        <v>1977.75</v>
      </c>
      <c r="G333" s="23">
        <v>1971.65</v>
      </c>
      <c r="H333" s="23">
        <v>1964.46</v>
      </c>
      <c r="I333" s="23">
        <v>2061.4299999999998</v>
      </c>
      <c r="J333" s="23">
        <v>2066.39</v>
      </c>
      <c r="K333" s="23">
        <v>2049.0100000000002</v>
      </c>
      <c r="L333" s="23">
        <v>2070.02</v>
      </c>
      <c r="M333" s="125">
        <f t="shared" si="43"/>
        <v>14160.71</v>
      </c>
      <c r="N333" s="126">
        <f t="shared" ref="N333:N396" si="45">O332</f>
        <v>1226.79</v>
      </c>
      <c r="O333" s="23">
        <v>1231.46</v>
      </c>
      <c r="P333" s="23">
        <f t="shared" si="41"/>
        <v>14010.0000000002</v>
      </c>
      <c r="Q333" s="23">
        <f t="shared" ref="Q333:Q396" si="46">R332</f>
        <v>6.1</v>
      </c>
      <c r="R333" s="23">
        <v>6.11</v>
      </c>
      <c r="S333" s="23">
        <f t="shared" si="44"/>
        <v>30.000000000002</v>
      </c>
      <c r="T333" s="123">
        <f t="shared" si="42"/>
        <v>13980.0000000002</v>
      </c>
      <c r="U333" s="127"/>
      <c r="V333" s="23">
        <v>4.76</v>
      </c>
      <c r="W333" s="23">
        <v>29.79</v>
      </c>
      <c r="X333" s="23"/>
      <c r="Y333" s="23"/>
      <c r="Z333" s="23"/>
      <c r="AA333" s="23"/>
      <c r="AB333" s="123" t="s">
        <v>38</v>
      </c>
    </row>
    <row r="334" spans="1:28">
      <c r="A334" s="97">
        <f t="shared" si="40"/>
        <v>336</v>
      </c>
      <c r="B334" s="113">
        <v>46079</v>
      </c>
      <c r="C334" s="19">
        <v>46079</v>
      </c>
      <c r="D334" s="129">
        <v>0.32291666666666702</v>
      </c>
      <c r="E334" s="130">
        <v>0.77083333333333304</v>
      </c>
      <c r="F334" s="124">
        <v>1685.02</v>
      </c>
      <c r="G334" s="23">
        <v>1663.84</v>
      </c>
      <c r="H334" s="134">
        <v>1669.7</v>
      </c>
      <c r="I334" s="23">
        <v>1753.57</v>
      </c>
      <c r="J334" s="23">
        <v>1767.13</v>
      </c>
      <c r="K334" s="23">
        <v>1751.55</v>
      </c>
      <c r="L334" s="23">
        <v>1767.24</v>
      </c>
      <c r="M334" s="125">
        <f t="shared" si="43"/>
        <v>12058.05</v>
      </c>
      <c r="N334" s="126">
        <f t="shared" si="45"/>
        <v>1231.46</v>
      </c>
      <c r="O334" s="23">
        <v>1235.44</v>
      </c>
      <c r="P334" s="23">
        <f t="shared" si="41"/>
        <v>11940.0000000001</v>
      </c>
      <c r="Q334" s="23">
        <f t="shared" si="46"/>
        <v>6.11</v>
      </c>
      <c r="R334" s="23">
        <v>6.12</v>
      </c>
      <c r="S334" s="23">
        <f t="shared" si="44"/>
        <v>29.9999999999994</v>
      </c>
      <c r="T334" s="123">
        <f t="shared" si="42"/>
        <v>11910.0000000001</v>
      </c>
      <c r="U334" s="127"/>
      <c r="V334" s="23">
        <v>4.1500000000000004</v>
      </c>
      <c r="W334" s="23">
        <v>27.06</v>
      </c>
      <c r="X334" s="23"/>
      <c r="Y334" s="23"/>
      <c r="Z334" s="23"/>
      <c r="AA334" s="23"/>
      <c r="AB334" s="123" t="s">
        <v>38</v>
      </c>
    </row>
    <row r="335" spans="1:28">
      <c r="A335" s="97">
        <f t="shared" si="40"/>
        <v>337</v>
      </c>
      <c r="B335" s="113">
        <v>46080</v>
      </c>
      <c r="C335" s="19">
        <v>46080</v>
      </c>
      <c r="D335" s="129">
        <v>0.3125</v>
      </c>
      <c r="E335" s="130">
        <v>0.77083333333333304</v>
      </c>
      <c r="F335" s="124">
        <v>1748.03</v>
      </c>
      <c r="G335" s="23">
        <v>1731.08</v>
      </c>
      <c r="H335" s="23">
        <v>1735.85</v>
      </c>
      <c r="I335" s="23">
        <v>1825.92</v>
      </c>
      <c r="J335" s="23">
        <v>1829.14</v>
      </c>
      <c r="K335" s="23">
        <v>1801.12</v>
      </c>
      <c r="L335" s="23">
        <v>1818.9</v>
      </c>
      <c r="M335" s="125">
        <f t="shared" si="43"/>
        <v>12490.04</v>
      </c>
      <c r="N335" s="126">
        <f t="shared" si="45"/>
        <v>1235.44</v>
      </c>
      <c r="O335" s="23">
        <v>1239.55</v>
      </c>
      <c r="P335" s="23">
        <f t="shared" si="41"/>
        <v>12329.9999999997</v>
      </c>
      <c r="Q335" s="23">
        <f t="shared" si="46"/>
        <v>6.12</v>
      </c>
      <c r="R335" s="23">
        <v>6.14</v>
      </c>
      <c r="S335" s="23">
        <f t="shared" si="44"/>
        <v>59.9999999999987</v>
      </c>
      <c r="T335" s="123">
        <f t="shared" si="42"/>
        <v>12269.9999999997</v>
      </c>
      <c r="U335" s="127"/>
      <c r="V335" s="134">
        <v>4.5999999999999996</v>
      </c>
      <c r="W335" s="23">
        <v>28.06</v>
      </c>
      <c r="X335" s="23"/>
      <c r="Y335" s="23"/>
      <c r="Z335" s="23"/>
      <c r="AA335" s="23"/>
      <c r="AB335" s="123" t="s">
        <v>38</v>
      </c>
    </row>
    <row r="336" spans="1:28">
      <c r="A336" s="97">
        <f t="shared" si="40"/>
        <v>338</v>
      </c>
      <c r="B336" s="113">
        <v>46081</v>
      </c>
      <c r="C336" s="19">
        <v>46081</v>
      </c>
      <c r="D336" s="129">
        <v>0.3125</v>
      </c>
      <c r="E336" s="130">
        <v>0.77083333333333304</v>
      </c>
      <c r="F336" s="124">
        <v>1850.56</v>
      </c>
      <c r="G336" s="23">
        <v>1849.45</v>
      </c>
      <c r="H336" s="23">
        <v>1835.94</v>
      </c>
      <c r="I336" s="134">
        <v>1930</v>
      </c>
      <c r="J336" s="23">
        <v>1933.03</v>
      </c>
      <c r="K336" s="134">
        <v>1914.3</v>
      </c>
      <c r="L336" s="134">
        <v>1937</v>
      </c>
      <c r="M336" s="125">
        <f t="shared" si="43"/>
        <v>13250.28</v>
      </c>
      <c r="N336" s="126">
        <f t="shared" si="45"/>
        <v>1239.55</v>
      </c>
      <c r="O336" s="23">
        <v>1243.9100000000001</v>
      </c>
      <c r="P336" s="23">
        <f t="shared" si="41"/>
        <v>13080.0000000004</v>
      </c>
      <c r="Q336" s="23">
        <f t="shared" si="46"/>
        <v>6.14</v>
      </c>
      <c r="R336" s="23">
        <v>6.15</v>
      </c>
      <c r="S336" s="23">
        <f t="shared" si="44"/>
        <v>30.000000000002</v>
      </c>
      <c r="T336" s="123">
        <f t="shared" si="42"/>
        <v>13050.0000000004</v>
      </c>
      <c r="U336" s="127"/>
      <c r="V336" s="23">
        <v>4.6500000000000004</v>
      </c>
      <c r="W336" s="23">
        <v>28.02</v>
      </c>
      <c r="X336" s="23"/>
      <c r="Y336" s="23"/>
      <c r="Z336" s="23"/>
      <c r="AA336" s="23"/>
      <c r="AB336" s="123" t="s">
        <v>38</v>
      </c>
    </row>
    <row r="337" spans="1:28">
      <c r="A337" s="97">
        <f t="shared" si="40"/>
        <v>339</v>
      </c>
      <c r="B337" s="113">
        <v>46082</v>
      </c>
      <c r="C337" s="19">
        <v>46082</v>
      </c>
      <c r="D337" s="129">
        <v>0.3125</v>
      </c>
      <c r="E337" s="130">
        <v>0.77083333333333304</v>
      </c>
      <c r="F337" s="124">
        <v>1956.95</v>
      </c>
      <c r="G337" s="23">
        <v>1964.41</v>
      </c>
      <c r="H337" s="23">
        <v>1946.09</v>
      </c>
      <c r="I337" s="23">
        <v>2047.42</v>
      </c>
      <c r="J337" s="23">
        <v>2050.35</v>
      </c>
      <c r="K337" s="23">
        <v>2025.49</v>
      </c>
      <c r="L337" s="23">
        <v>2053.48</v>
      </c>
      <c r="M337" s="125">
        <f t="shared" si="43"/>
        <v>14044.19</v>
      </c>
      <c r="N337" s="126">
        <f t="shared" si="45"/>
        <v>1243.9100000000001</v>
      </c>
      <c r="O337" s="23">
        <v>1248.54</v>
      </c>
      <c r="P337" s="23">
        <f t="shared" si="41"/>
        <v>13889.9999999996</v>
      </c>
      <c r="Q337" s="23">
        <f t="shared" si="46"/>
        <v>6.15</v>
      </c>
      <c r="R337" s="23">
        <v>6.16</v>
      </c>
      <c r="S337" s="23">
        <f t="shared" si="44"/>
        <v>29.9999999999994</v>
      </c>
      <c r="T337" s="123">
        <f t="shared" si="42"/>
        <v>13859.9999999996</v>
      </c>
      <c r="U337" s="127"/>
      <c r="V337" s="23">
        <v>4.87</v>
      </c>
      <c r="W337" s="23">
        <v>28.91</v>
      </c>
      <c r="X337" s="23"/>
      <c r="Y337" s="23"/>
      <c r="Z337" s="23"/>
      <c r="AA337" s="23"/>
      <c r="AB337" s="123" t="s">
        <v>38</v>
      </c>
    </row>
    <row r="338" spans="1:28">
      <c r="A338" s="97">
        <f t="shared" si="40"/>
        <v>340</v>
      </c>
      <c r="B338" s="113">
        <v>46083</v>
      </c>
      <c r="C338" s="19">
        <v>46083</v>
      </c>
      <c r="D338" s="129">
        <v>0.3125</v>
      </c>
      <c r="E338" s="130">
        <v>0.77083333333333304</v>
      </c>
      <c r="F338" s="124">
        <v>1935.5</v>
      </c>
      <c r="G338" s="23">
        <v>1944.8140000000001</v>
      </c>
      <c r="H338" s="23">
        <v>1923.97</v>
      </c>
      <c r="I338" s="23">
        <v>2023.57</v>
      </c>
      <c r="J338" s="23">
        <v>2025.73</v>
      </c>
      <c r="K338" s="23">
        <v>2002.64</v>
      </c>
      <c r="L338" s="23">
        <v>2029.28</v>
      </c>
      <c r="M338" s="125">
        <f t="shared" si="43"/>
        <v>13885.504000000001</v>
      </c>
      <c r="N338" s="126">
        <f t="shared" si="45"/>
        <v>1248.54</v>
      </c>
      <c r="O338" s="23">
        <v>1253.1199999999999</v>
      </c>
      <c r="P338" s="23">
        <f t="shared" si="41"/>
        <v>13739.9999999998</v>
      </c>
      <c r="Q338" s="23">
        <f t="shared" si="46"/>
        <v>6.16</v>
      </c>
      <c r="R338" s="23">
        <v>6.18</v>
      </c>
      <c r="S338" s="23">
        <f t="shared" si="44"/>
        <v>59.9999999999987</v>
      </c>
      <c r="T338" s="123">
        <f t="shared" si="42"/>
        <v>13679.9999999998</v>
      </c>
      <c r="U338" s="127"/>
      <c r="V338" s="23">
        <v>4.8499999999999996</v>
      </c>
      <c r="W338" s="23">
        <v>30.77</v>
      </c>
      <c r="X338" s="23"/>
      <c r="Y338" s="23"/>
      <c r="Z338" s="23"/>
      <c r="AA338" s="23"/>
      <c r="AB338" s="123" t="s">
        <v>38</v>
      </c>
    </row>
    <row r="339" spans="1:28">
      <c r="A339" s="97">
        <f t="shared" si="40"/>
        <v>341</v>
      </c>
      <c r="B339" s="113">
        <v>46084</v>
      </c>
      <c r="C339" s="19">
        <v>46084</v>
      </c>
      <c r="D339" s="129">
        <v>0.3125</v>
      </c>
      <c r="E339" s="130">
        <v>0.77083333333333304</v>
      </c>
      <c r="F339" s="124">
        <v>1825.95</v>
      </c>
      <c r="G339" s="23">
        <v>1861.68</v>
      </c>
      <c r="H339" s="23">
        <v>1817.08</v>
      </c>
      <c r="I339" s="23">
        <v>1919.14</v>
      </c>
      <c r="J339" s="23">
        <v>1930.94</v>
      </c>
      <c r="K339" s="23">
        <v>1921.46</v>
      </c>
      <c r="L339" s="23">
        <v>1899.21</v>
      </c>
      <c r="M339" s="125">
        <f t="shared" si="43"/>
        <v>13175.46</v>
      </c>
      <c r="N339" s="126">
        <f t="shared" si="45"/>
        <v>1253.1199999999999</v>
      </c>
      <c r="O339" s="23">
        <v>1257.47</v>
      </c>
      <c r="P339" s="23">
        <f t="shared" si="41"/>
        <v>13050.0000000004</v>
      </c>
      <c r="Q339" s="23">
        <f t="shared" si="46"/>
        <v>6.18</v>
      </c>
      <c r="R339" s="23">
        <v>6.19</v>
      </c>
      <c r="S339" s="23">
        <f t="shared" si="44"/>
        <v>30.000000000002</v>
      </c>
      <c r="T339" s="123">
        <f t="shared" si="42"/>
        <v>13020.0000000004</v>
      </c>
      <c r="U339" s="127"/>
      <c r="V339" s="23">
        <v>4.8899999999999997</v>
      </c>
      <c r="W339" s="23">
        <v>32.28</v>
      </c>
      <c r="X339" s="23"/>
      <c r="Y339" s="23"/>
      <c r="Z339" s="23"/>
      <c r="AA339" s="23"/>
      <c r="AB339" s="123" t="s">
        <v>38</v>
      </c>
    </row>
    <row r="340" spans="1:28">
      <c r="A340" s="97">
        <f t="shared" si="40"/>
        <v>342</v>
      </c>
      <c r="B340" s="113">
        <v>46085</v>
      </c>
      <c r="C340" s="19">
        <v>46085</v>
      </c>
      <c r="D340" s="129">
        <v>0.3125</v>
      </c>
      <c r="E340" s="130">
        <v>0.77083333333333304</v>
      </c>
      <c r="F340" s="124">
        <v>1885.24</v>
      </c>
      <c r="G340" s="23">
        <v>1872.24</v>
      </c>
      <c r="H340" s="23">
        <v>1880.74</v>
      </c>
      <c r="I340" s="23">
        <v>1934.22</v>
      </c>
      <c r="J340" s="23">
        <v>1947.06</v>
      </c>
      <c r="K340" s="23">
        <v>743.17</v>
      </c>
      <c r="L340" s="23">
        <v>1913.44</v>
      </c>
      <c r="M340" s="125">
        <f t="shared" si="43"/>
        <v>12176.11</v>
      </c>
      <c r="N340" s="126">
        <f t="shared" si="45"/>
        <v>1257.47</v>
      </c>
      <c r="O340" s="23">
        <v>1261.48</v>
      </c>
      <c r="P340" s="23">
        <f t="shared" si="41"/>
        <v>12030</v>
      </c>
      <c r="Q340" s="23">
        <f t="shared" si="46"/>
        <v>6.19</v>
      </c>
      <c r="R340" s="134">
        <v>6.2</v>
      </c>
      <c r="S340" s="23">
        <f t="shared" si="44"/>
        <v>29.9999999999994</v>
      </c>
      <c r="T340" s="123">
        <f t="shared" si="42"/>
        <v>12000</v>
      </c>
      <c r="U340" s="127"/>
      <c r="V340" s="23">
        <v>4.68</v>
      </c>
      <c r="W340" s="23">
        <v>34.130000000000003</v>
      </c>
      <c r="X340" s="23"/>
      <c r="Y340" s="23"/>
      <c r="Z340" s="23"/>
      <c r="AA340" s="23"/>
      <c r="AB340" s="123" t="s">
        <v>38</v>
      </c>
    </row>
    <row r="341" spans="1:28">
      <c r="A341" s="97">
        <f t="shared" si="40"/>
        <v>343</v>
      </c>
      <c r="B341" s="113">
        <v>46086</v>
      </c>
      <c r="C341" s="19">
        <v>46086</v>
      </c>
      <c r="D341" s="129">
        <v>0.3125</v>
      </c>
      <c r="E341" s="130">
        <v>0.77083333333333304</v>
      </c>
      <c r="F341" s="124">
        <v>1942.66</v>
      </c>
      <c r="G341" s="23">
        <v>1925.82</v>
      </c>
      <c r="H341" s="23">
        <v>1934.36</v>
      </c>
      <c r="I341" s="23">
        <v>1992.05</v>
      </c>
      <c r="J341" s="134">
        <v>2009.7</v>
      </c>
      <c r="K341" s="23">
        <v>1469.36</v>
      </c>
      <c r="L341" s="23">
        <v>1972.82</v>
      </c>
      <c r="M341" s="125">
        <f t="shared" si="43"/>
        <v>13246.77</v>
      </c>
      <c r="N341" s="126">
        <f t="shared" si="45"/>
        <v>1261.48</v>
      </c>
      <c r="O341" s="23">
        <v>1265.8499999999999</v>
      </c>
      <c r="P341" s="23">
        <f t="shared" si="41"/>
        <v>13109.9999999997</v>
      </c>
      <c r="Q341" s="23">
        <f t="shared" si="46"/>
        <v>6.2</v>
      </c>
      <c r="R341" s="23">
        <v>6.21</v>
      </c>
      <c r="S341" s="23">
        <f t="shared" si="44"/>
        <v>29.9999999999994</v>
      </c>
      <c r="T341" s="123">
        <f t="shared" si="42"/>
        <v>13079.9999999997</v>
      </c>
      <c r="U341" s="127"/>
      <c r="V341" s="23">
        <v>4.84</v>
      </c>
      <c r="W341" s="23">
        <v>33.46</v>
      </c>
      <c r="X341" s="23"/>
      <c r="Y341" s="23"/>
      <c r="Z341" s="23"/>
      <c r="AA341" s="23"/>
      <c r="AB341" s="123" t="s">
        <v>38</v>
      </c>
    </row>
    <row r="342" spans="1:28">
      <c r="A342" s="97">
        <f t="shared" si="40"/>
        <v>344</v>
      </c>
      <c r="B342" s="113">
        <v>46087</v>
      </c>
      <c r="C342" s="19">
        <v>46087</v>
      </c>
      <c r="D342" s="129">
        <v>0.3125</v>
      </c>
      <c r="E342" s="130">
        <v>0.77083333333333304</v>
      </c>
      <c r="F342" s="124">
        <v>1692.48</v>
      </c>
      <c r="G342" s="23">
        <v>1658.97</v>
      </c>
      <c r="H342" s="23">
        <v>1676.97</v>
      </c>
      <c r="I342" s="23">
        <v>1738.31</v>
      </c>
      <c r="J342" s="134">
        <v>1755.5</v>
      </c>
      <c r="K342" s="23">
        <v>1730.32</v>
      </c>
      <c r="L342" s="23">
        <v>1710.88</v>
      </c>
      <c r="M342" s="125">
        <f t="shared" si="43"/>
        <v>11963.43</v>
      </c>
      <c r="N342" s="126">
        <f t="shared" si="45"/>
        <v>1265.8499999999999</v>
      </c>
      <c r="O342" s="134">
        <v>1269.8</v>
      </c>
      <c r="P342" s="23">
        <f t="shared" si="41"/>
        <v>11850.0000000001</v>
      </c>
      <c r="Q342" s="23">
        <f t="shared" si="46"/>
        <v>6.21</v>
      </c>
      <c r="R342" s="23">
        <v>6.22</v>
      </c>
      <c r="S342" s="23">
        <f t="shared" si="44"/>
        <v>29.9999999999994</v>
      </c>
      <c r="T342" s="123">
        <f t="shared" si="42"/>
        <v>11820.0000000001</v>
      </c>
      <c r="U342" s="127"/>
      <c r="V342" s="23">
        <v>4.63</v>
      </c>
      <c r="W342" s="23">
        <v>30.74</v>
      </c>
      <c r="X342" s="23"/>
      <c r="Y342" s="23"/>
      <c r="Z342" s="23"/>
      <c r="AA342" s="23"/>
      <c r="AB342" s="123" t="s">
        <v>38</v>
      </c>
    </row>
    <row r="343" spans="1:28">
      <c r="A343" s="97">
        <f t="shared" si="40"/>
        <v>345</v>
      </c>
      <c r="B343" s="113">
        <v>46088</v>
      </c>
      <c r="C343" s="19">
        <v>46088</v>
      </c>
      <c r="D343" s="129">
        <v>0.3125</v>
      </c>
      <c r="E343" s="130">
        <v>0.77083333333333304</v>
      </c>
      <c r="F343" s="124">
        <v>1973.3</v>
      </c>
      <c r="G343" s="23">
        <v>1950.78</v>
      </c>
      <c r="H343" s="23">
        <v>1956.46</v>
      </c>
      <c r="I343" s="23">
        <v>2022.67</v>
      </c>
      <c r="J343" s="23">
        <v>2035.71</v>
      </c>
      <c r="K343" s="134">
        <v>2039.9</v>
      </c>
      <c r="L343" s="23">
        <v>1999.28</v>
      </c>
      <c r="M343" s="125">
        <f t="shared" si="43"/>
        <v>13978.1</v>
      </c>
      <c r="N343" s="126">
        <f t="shared" si="45"/>
        <v>1269.8</v>
      </c>
      <c r="O343" s="134">
        <v>1274.4000000000001</v>
      </c>
      <c r="P343" s="23">
        <f t="shared" si="41"/>
        <v>13800.0000000004</v>
      </c>
      <c r="Q343" s="23">
        <f t="shared" si="46"/>
        <v>6.22</v>
      </c>
      <c r="R343" s="23">
        <v>6.24</v>
      </c>
      <c r="S343" s="23">
        <f t="shared" si="44"/>
        <v>60.0000000000014</v>
      </c>
      <c r="T343" s="123">
        <f t="shared" si="42"/>
        <v>13740.0000000004</v>
      </c>
      <c r="U343" s="127"/>
      <c r="V343" s="23">
        <v>4.99</v>
      </c>
      <c r="W343" s="23">
        <v>31.28</v>
      </c>
      <c r="X343" s="23"/>
      <c r="Y343" s="23"/>
      <c r="Z343" s="23"/>
      <c r="AA343" s="23"/>
      <c r="AB343" s="123" t="s">
        <v>38</v>
      </c>
    </row>
    <row r="344" spans="1:28">
      <c r="A344" s="97">
        <f t="shared" si="40"/>
        <v>346</v>
      </c>
      <c r="B344" s="113">
        <v>46089</v>
      </c>
      <c r="C344" s="19">
        <v>46089</v>
      </c>
      <c r="D344" s="129">
        <v>0.3125</v>
      </c>
      <c r="E344" s="130">
        <v>0.77083333333333304</v>
      </c>
      <c r="F344" s="124">
        <v>1924.98</v>
      </c>
      <c r="G344" s="23">
        <v>1909.98</v>
      </c>
      <c r="H344" s="23">
        <v>1910.62</v>
      </c>
      <c r="I344" s="23">
        <v>1974.74</v>
      </c>
      <c r="J344" s="23">
        <v>1987.79</v>
      </c>
      <c r="K344" s="23">
        <v>1990.03</v>
      </c>
      <c r="L344" s="23">
        <v>1948.81</v>
      </c>
      <c r="M344" s="125">
        <f t="shared" si="43"/>
        <v>13646.95</v>
      </c>
      <c r="N344" s="126">
        <f t="shared" si="45"/>
        <v>1274.4000000000001</v>
      </c>
      <c r="O344" s="134">
        <v>1278.9000000000001</v>
      </c>
      <c r="P344" s="23">
        <f t="shared" si="41"/>
        <v>13500</v>
      </c>
      <c r="Q344" s="23">
        <f t="shared" si="46"/>
        <v>6.24</v>
      </c>
      <c r="R344" s="23">
        <v>6.25</v>
      </c>
      <c r="S344" s="23">
        <f t="shared" si="44"/>
        <v>29.9999999999994</v>
      </c>
      <c r="T344" s="123">
        <f t="shared" si="42"/>
        <v>13470</v>
      </c>
      <c r="U344" s="127"/>
      <c r="V344" s="23">
        <v>4.8499999999999996</v>
      </c>
      <c r="W344" s="23">
        <v>33.97</v>
      </c>
      <c r="X344" s="23"/>
      <c r="Y344" s="23"/>
      <c r="Z344" s="23"/>
      <c r="AA344" s="23"/>
      <c r="AB344" s="123" t="s">
        <v>38</v>
      </c>
    </row>
    <row r="345" spans="1:28">
      <c r="A345" s="97">
        <f t="shared" si="40"/>
        <v>347</v>
      </c>
      <c r="B345" s="113">
        <v>46090</v>
      </c>
      <c r="C345" s="19">
        <v>46090</v>
      </c>
      <c r="D345" s="129">
        <v>0.3125</v>
      </c>
      <c r="E345" s="130">
        <v>0.77083333333333304</v>
      </c>
      <c r="F345" s="124">
        <v>1911.1</v>
      </c>
      <c r="G345" s="23">
        <v>1889.13</v>
      </c>
      <c r="H345" s="23">
        <v>1897.31</v>
      </c>
      <c r="I345" s="23">
        <v>1958.69</v>
      </c>
      <c r="J345" s="23">
        <v>1973.33</v>
      </c>
      <c r="K345" s="23">
        <v>1970.16</v>
      </c>
      <c r="L345" s="23">
        <v>1930.32</v>
      </c>
      <c r="M345" s="125">
        <f t="shared" si="43"/>
        <v>13530.04</v>
      </c>
      <c r="N345" s="126">
        <f t="shared" si="45"/>
        <v>1278.9000000000001</v>
      </c>
      <c r="O345" s="23">
        <v>1283.3599999999999</v>
      </c>
      <c r="P345" s="23">
        <f t="shared" si="41"/>
        <v>13379.9999999994</v>
      </c>
      <c r="Q345" s="23">
        <f t="shared" si="46"/>
        <v>6.25</v>
      </c>
      <c r="R345" s="23">
        <v>6.26</v>
      </c>
      <c r="S345" s="23">
        <f t="shared" si="44"/>
        <v>29.9999999999994</v>
      </c>
      <c r="T345" s="123">
        <f t="shared" si="42"/>
        <v>13349.9999999994</v>
      </c>
      <c r="U345" s="127"/>
      <c r="V345" s="23">
        <v>4.91</v>
      </c>
      <c r="W345" s="23">
        <v>36.42</v>
      </c>
      <c r="X345" s="23"/>
      <c r="Y345" s="23"/>
      <c r="Z345" s="23"/>
      <c r="AA345" s="23"/>
      <c r="AB345" s="123" t="s">
        <v>38</v>
      </c>
    </row>
    <row r="346" spans="1:28">
      <c r="A346" s="97">
        <f t="shared" si="40"/>
        <v>348</v>
      </c>
      <c r="B346" s="113">
        <v>46091</v>
      </c>
      <c r="C346" s="19">
        <v>46091</v>
      </c>
      <c r="D346" s="129">
        <v>0.3125</v>
      </c>
      <c r="E346" s="130">
        <v>0.77083333333333304</v>
      </c>
      <c r="F346" s="124">
        <v>1902.97</v>
      </c>
      <c r="G346" s="23">
        <v>1880.55</v>
      </c>
      <c r="H346" s="23">
        <v>1886.66</v>
      </c>
      <c r="I346" s="23">
        <v>1950.18</v>
      </c>
      <c r="J346" s="23">
        <v>1961.89</v>
      </c>
      <c r="K346" s="23">
        <v>1960.73</v>
      </c>
      <c r="L346" s="23">
        <v>1923.42</v>
      </c>
      <c r="M346" s="125">
        <f t="shared" si="43"/>
        <v>13466.4</v>
      </c>
      <c r="N346" s="126">
        <v>1283.3599999999999</v>
      </c>
      <c r="O346" s="23">
        <v>1287.79</v>
      </c>
      <c r="P346" s="23">
        <f t="shared" si="41"/>
        <v>13290.0000000002</v>
      </c>
      <c r="Q346" s="23">
        <f t="shared" si="46"/>
        <v>6.26</v>
      </c>
      <c r="R346" s="23">
        <v>6.27</v>
      </c>
      <c r="S346" s="23">
        <f t="shared" si="44"/>
        <v>29.9999999999994</v>
      </c>
      <c r="T346" s="123">
        <f t="shared" si="42"/>
        <v>13260.0000000002</v>
      </c>
      <c r="U346" s="127"/>
      <c r="V346" s="23">
        <v>4.92</v>
      </c>
      <c r="W346" s="23">
        <v>36.82</v>
      </c>
      <c r="X346" s="23"/>
      <c r="Y346" s="23"/>
      <c r="Z346" s="23"/>
      <c r="AA346" s="23"/>
      <c r="AB346" s="123" t="s">
        <v>38</v>
      </c>
    </row>
    <row r="347" spans="1:28">
      <c r="A347" s="97">
        <f t="shared" si="40"/>
        <v>349</v>
      </c>
      <c r="B347" s="113">
        <v>46092</v>
      </c>
      <c r="C347" s="19">
        <v>46092</v>
      </c>
      <c r="D347" s="129">
        <v>0.3125</v>
      </c>
      <c r="E347" s="130">
        <v>0.77083333333333304</v>
      </c>
      <c r="F347" s="124">
        <v>1878.44</v>
      </c>
      <c r="G347" s="134">
        <v>1863.9</v>
      </c>
      <c r="H347" s="23">
        <v>1865.14</v>
      </c>
      <c r="I347" s="23">
        <v>1927.87</v>
      </c>
      <c r="J347" s="23">
        <v>1941.86</v>
      </c>
      <c r="K347" s="23">
        <v>1944.11</v>
      </c>
      <c r="L347" s="23">
        <v>1904.96</v>
      </c>
      <c r="M347" s="125">
        <f t="shared" si="43"/>
        <v>13326.28</v>
      </c>
      <c r="N347" s="126">
        <f t="shared" si="45"/>
        <v>1287.79</v>
      </c>
      <c r="O347" s="134">
        <v>1292.2</v>
      </c>
      <c r="P347" s="23">
        <f t="shared" si="41"/>
        <v>13230.0000000002</v>
      </c>
      <c r="Q347" s="23">
        <f t="shared" si="46"/>
        <v>6.27</v>
      </c>
      <c r="R347" s="23">
        <v>6.29</v>
      </c>
      <c r="S347" s="23">
        <f t="shared" si="44"/>
        <v>60.0000000000014</v>
      </c>
      <c r="T347" s="123">
        <f t="shared" si="42"/>
        <v>13170.0000000002</v>
      </c>
      <c r="U347" s="127"/>
      <c r="V347" s="23">
        <v>4.8899999999999997</v>
      </c>
      <c r="W347" s="23">
        <v>35.909999999999997</v>
      </c>
      <c r="X347" s="23"/>
      <c r="Y347" s="23"/>
      <c r="Z347" s="23"/>
      <c r="AA347" s="23"/>
      <c r="AB347" s="123" t="s">
        <v>38</v>
      </c>
    </row>
    <row r="348" spans="1:28">
      <c r="A348" s="97">
        <f t="shared" si="40"/>
        <v>350</v>
      </c>
      <c r="B348" s="113">
        <v>46093</v>
      </c>
      <c r="C348" s="19">
        <v>46093</v>
      </c>
      <c r="D348" s="129">
        <v>0.3125</v>
      </c>
      <c r="E348" s="130">
        <v>0.77083333333333304</v>
      </c>
      <c r="F348" s="124">
        <v>1864.9</v>
      </c>
      <c r="G348" s="23">
        <v>1854.76</v>
      </c>
      <c r="H348" s="23">
        <v>1848.37</v>
      </c>
      <c r="I348" s="23">
        <v>1912.49</v>
      </c>
      <c r="J348" s="23">
        <v>1924.25</v>
      </c>
      <c r="K348" s="23">
        <v>1928.14</v>
      </c>
      <c r="L348" s="23">
        <v>1887.46</v>
      </c>
      <c r="M348" s="125">
        <f t="shared" si="43"/>
        <v>13220.37</v>
      </c>
      <c r="N348" s="126">
        <f t="shared" si="45"/>
        <v>1292.2</v>
      </c>
      <c r="O348" s="23">
        <v>1296.56</v>
      </c>
      <c r="P348" s="23">
        <f t="shared" si="41"/>
        <v>13079.9999999997</v>
      </c>
      <c r="Q348" s="23">
        <f t="shared" si="46"/>
        <v>6.29</v>
      </c>
      <c r="R348" s="134">
        <v>6.3</v>
      </c>
      <c r="S348" s="23">
        <f t="shared" si="44"/>
        <v>29.9999999999994</v>
      </c>
      <c r="T348" s="123">
        <f t="shared" si="42"/>
        <v>13049.9999999997</v>
      </c>
      <c r="U348" s="127"/>
      <c r="V348" s="23">
        <v>4.91</v>
      </c>
      <c r="W348" s="23">
        <v>33.82</v>
      </c>
      <c r="X348" s="23"/>
      <c r="Y348" s="23"/>
      <c r="Z348" s="23"/>
      <c r="AA348" s="23"/>
      <c r="AB348" s="123" t="s">
        <v>38</v>
      </c>
    </row>
    <row r="349" spans="1:28">
      <c r="A349" s="97">
        <f t="shared" si="40"/>
        <v>351</v>
      </c>
      <c r="B349" s="113">
        <v>46094</v>
      </c>
      <c r="C349" s="19">
        <v>46094</v>
      </c>
      <c r="D349" s="129">
        <v>0.30555555555555602</v>
      </c>
      <c r="E349" s="130">
        <v>0.77777777777777801</v>
      </c>
      <c r="F349" s="124">
        <v>1894.76</v>
      </c>
      <c r="G349" s="23">
        <v>1889.68</v>
      </c>
      <c r="H349" s="134">
        <v>1878.8</v>
      </c>
      <c r="I349" s="23">
        <v>1945.06</v>
      </c>
      <c r="J349" s="23">
        <v>1959.29</v>
      </c>
      <c r="K349" s="23">
        <v>1961.87</v>
      </c>
      <c r="L349" s="23">
        <v>1925.07</v>
      </c>
      <c r="M349" s="125">
        <f t="shared" si="43"/>
        <v>13454.53</v>
      </c>
      <c r="N349" s="126">
        <f t="shared" si="45"/>
        <v>1296.56</v>
      </c>
      <c r="O349" s="23">
        <v>1300.99</v>
      </c>
      <c r="P349" s="23">
        <f t="shared" si="41"/>
        <v>13290.0000000002</v>
      </c>
      <c r="Q349" s="134">
        <v>6.3</v>
      </c>
      <c r="R349" s="23">
        <v>6.31</v>
      </c>
      <c r="S349" s="23">
        <f t="shared" si="44"/>
        <v>29.9999999999994</v>
      </c>
      <c r="T349" s="123">
        <f t="shared" si="42"/>
        <v>13260.0000000002</v>
      </c>
      <c r="U349" s="127"/>
      <c r="V349" s="23">
        <v>4.93</v>
      </c>
      <c r="W349" s="23">
        <v>32.89</v>
      </c>
      <c r="X349" s="23"/>
      <c r="Y349" s="23"/>
      <c r="Z349" s="23"/>
      <c r="AA349" s="23"/>
      <c r="AB349" s="123" t="s">
        <v>38</v>
      </c>
    </row>
    <row r="350" spans="1:28">
      <c r="A350" s="97">
        <f t="shared" si="40"/>
        <v>352</v>
      </c>
      <c r="B350" s="113">
        <v>46095</v>
      </c>
      <c r="C350" s="19">
        <v>46095</v>
      </c>
      <c r="D350" s="129">
        <v>0.3125</v>
      </c>
      <c r="E350" s="130">
        <v>0.77083333333333304</v>
      </c>
      <c r="F350" s="124">
        <v>1940.42</v>
      </c>
      <c r="G350" s="23">
        <v>1924.38</v>
      </c>
      <c r="H350" s="23">
        <v>1925.56</v>
      </c>
      <c r="I350" s="23">
        <v>1993.18</v>
      </c>
      <c r="J350" s="23">
        <v>2007.48</v>
      </c>
      <c r="K350" s="23">
        <v>1938.05</v>
      </c>
      <c r="L350" s="23">
        <v>1971.98</v>
      </c>
      <c r="M350" s="125">
        <f t="shared" si="43"/>
        <v>13701.05</v>
      </c>
      <c r="N350" s="126">
        <f t="shared" si="45"/>
        <v>1300.99</v>
      </c>
      <c r="O350" s="23">
        <v>1305.52</v>
      </c>
      <c r="P350" s="23">
        <f t="shared" si="41"/>
        <v>13589.9999999999</v>
      </c>
      <c r="Q350" s="23">
        <f t="shared" si="46"/>
        <v>6.31</v>
      </c>
      <c r="R350" s="23">
        <v>6.32</v>
      </c>
      <c r="S350" s="23">
        <f t="shared" si="44"/>
        <v>30.000000000002</v>
      </c>
      <c r="T350" s="123">
        <f t="shared" si="42"/>
        <v>13559.9999999999</v>
      </c>
      <c r="U350" s="127"/>
      <c r="V350" s="134">
        <v>5.3</v>
      </c>
      <c r="W350" s="23">
        <v>30.88</v>
      </c>
      <c r="X350" s="23"/>
      <c r="Y350" s="23"/>
      <c r="Z350" s="23"/>
      <c r="AA350" s="23"/>
      <c r="AB350" s="123" t="s">
        <v>38</v>
      </c>
    </row>
    <row r="351" spans="1:28">
      <c r="A351" s="97">
        <f t="shared" si="40"/>
        <v>353</v>
      </c>
      <c r="B351" s="113">
        <v>46096</v>
      </c>
      <c r="C351" s="19">
        <v>46096</v>
      </c>
      <c r="D351" s="129">
        <v>0.3125</v>
      </c>
      <c r="E351" s="130">
        <v>0.77083333333333304</v>
      </c>
      <c r="F351" s="124">
        <v>1923.92</v>
      </c>
      <c r="G351" s="23">
        <v>1915.47</v>
      </c>
      <c r="H351" s="23">
        <v>1916.12</v>
      </c>
      <c r="I351" s="23">
        <v>1976.87</v>
      </c>
      <c r="J351" s="134">
        <v>1991.1</v>
      </c>
      <c r="K351" s="134">
        <v>1995.7</v>
      </c>
      <c r="L351" s="23">
        <v>1958.82</v>
      </c>
      <c r="M351" s="125">
        <f t="shared" si="43"/>
        <v>13678</v>
      </c>
      <c r="N351" s="126">
        <f t="shared" si="45"/>
        <v>1305.52</v>
      </c>
      <c r="O351" s="23">
        <v>1310.03</v>
      </c>
      <c r="P351" s="23">
        <f t="shared" si="41"/>
        <v>13530</v>
      </c>
      <c r="Q351" s="23">
        <f t="shared" si="46"/>
        <v>6.32</v>
      </c>
      <c r="R351" s="23">
        <v>6.33</v>
      </c>
      <c r="S351" s="23">
        <f t="shared" si="44"/>
        <v>29.9999999999994</v>
      </c>
      <c r="T351" s="123">
        <f t="shared" si="42"/>
        <v>13500</v>
      </c>
      <c r="U351" s="127"/>
      <c r="V351" s="23">
        <v>5.05</v>
      </c>
      <c r="W351" s="23">
        <v>31.33</v>
      </c>
      <c r="X351" s="23"/>
      <c r="Y351" s="23"/>
      <c r="Z351" s="23"/>
      <c r="AA351" s="23"/>
      <c r="AB351" s="123" t="s">
        <v>38</v>
      </c>
    </row>
    <row r="352" spans="1:28">
      <c r="A352" s="97">
        <f t="shared" si="40"/>
        <v>354</v>
      </c>
      <c r="B352" s="113">
        <v>46097</v>
      </c>
      <c r="C352" s="19">
        <v>46097</v>
      </c>
      <c r="D352" s="129">
        <v>0.3125</v>
      </c>
      <c r="E352" s="130">
        <v>0.77083333333333304</v>
      </c>
      <c r="F352" s="124">
        <v>1934.08</v>
      </c>
      <c r="G352" s="23">
        <v>1919.94</v>
      </c>
      <c r="H352" s="23">
        <v>1920.92</v>
      </c>
      <c r="I352" s="23">
        <v>1985.73</v>
      </c>
      <c r="J352" s="134">
        <v>1999.5</v>
      </c>
      <c r="K352" s="23">
        <v>1877.36</v>
      </c>
      <c r="L352" s="23">
        <v>1969.99</v>
      </c>
      <c r="M352" s="125">
        <f t="shared" si="43"/>
        <v>13607.52</v>
      </c>
      <c r="N352" s="126">
        <f t="shared" si="45"/>
        <v>1310.03</v>
      </c>
      <c r="O352" s="23">
        <v>1314.52</v>
      </c>
      <c r="P352" s="23">
        <f t="shared" si="41"/>
        <v>13470</v>
      </c>
      <c r="Q352" s="23">
        <f t="shared" si="46"/>
        <v>6.33</v>
      </c>
      <c r="R352" s="23">
        <v>6.35</v>
      </c>
      <c r="S352" s="23">
        <f t="shared" si="44"/>
        <v>59.9999999999987</v>
      </c>
      <c r="T352" s="123">
        <f t="shared" si="42"/>
        <v>13410</v>
      </c>
      <c r="U352" s="127"/>
      <c r="V352" s="23">
        <v>5.31</v>
      </c>
      <c r="W352" s="23">
        <v>31.53</v>
      </c>
      <c r="X352" s="23"/>
      <c r="Y352" s="23"/>
      <c r="Z352" s="23"/>
      <c r="AA352" s="23"/>
      <c r="AB352" s="123" t="s">
        <v>38</v>
      </c>
    </row>
    <row r="353" spans="1:28">
      <c r="A353" s="97">
        <f t="shared" si="40"/>
        <v>355</v>
      </c>
      <c r="B353" s="113">
        <v>46098</v>
      </c>
      <c r="C353" s="19">
        <v>46098</v>
      </c>
      <c r="D353" s="129">
        <v>0.3125</v>
      </c>
      <c r="E353" s="130">
        <v>0.77083333333333304</v>
      </c>
      <c r="F353" s="124">
        <v>1945.94</v>
      </c>
      <c r="G353" s="23">
        <v>1926.98</v>
      </c>
      <c r="H353" s="23">
        <v>1938.71</v>
      </c>
      <c r="I353" s="23">
        <v>1999.39</v>
      </c>
      <c r="J353" s="23">
        <v>2011.48</v>
      </c>
      <c r="K353" s="23">
        <v>1974.39</v>
      </c>
      <c r="L353" s="23">
        <v>1975.44</v>
      </c>
      <c r="M353" s="125">
        <f t="shared" si="43"/>
        <v>13772.33</v>
      </c>
      <c r="N353" s="126">
        <f t="shared" si="45"/>
        <v>1314.52</v>
      </c>
      <c r="O353" s="23">
        <v>1319.04</v>
      </c>
      <c r="P353" s="23">
        <f t="shared" si="41"/>
        <v>13559.9999999999</v>
      </c>
      <c r="Q353" s="23">
        <f t="shared" si="46"/>
        <v>6.35</v>
      </c>
      <c r="R353" s="23">
        <v>6.36</v>
      </c>
      <c r="S353" s="23">
        <f t="shared" si="44"/>
        <v>30.000000000002</v>
      </c>
      <c r="T353" s="123">
        <f t="shared" si="42"/>
        <v>13529.9999999999</v>
      </c>
      <c r="U353" s="127"/>
      <c r="V353" s="23">
        <v>5.27</v>
      </c>
      <c r="W353" s="23">
        <v>30.06</v>
      </c>
      <c r="X353" s="23"/>
      <c r="Y353" s="23"/>
      <c r="Z353" s="23"/>
      <c r="AA353" s="23"/>
      <c r="AB353" s="123" t="s">
        <v>38</v>
      </c>
    </row>
    <row r="354" spans="1:28">
      <c r="A354" s="97">
        <f t="shared" si="40"/>
        <v>356</v>
      </c>
      <c r="B354" s="113">
        <v>46099</v>
      </c>
      <c r="C354" s="19">
        <v>46099</v>
      </c>
      <c r="D354" s="129">
        <v>0.3125</v>
      </c>
      <c r="E354" s="130">
        <v>0.75</v>
      </c>
      <c r="F354" s="124">
        <v>1844.84</v>
      </c>
      <c r="G354" s="23">
        <v>1834.66</v>
      </c>
      <c r="H354" s="23">
        <v>1835.63</v>
      </c>
      <c r="I354" s="23">
        <v>1889.01</v>
      </c>
      <c r="J354" s="23">
        <v>1900.09</v>
      </c>
      <c r="K354" s="23">
        <v>1919.46</v>
      </c>
      <c r="L354" s="23">
        <v>1866.02</v>
      </c>
      <c r="M354" s="125">
        <f t="shared" si="43"/>
        <v>13089.71</v>
      </c>
      <c r="N354" s="126">
        <f t="shared" si="45"/>
        <v>1319.04</v>
      </c>
      <c r="O354" s="23">
        <v>1323.38</v>
      </c>
      <c r="P354" s="23">
        <f t="shared" si="41"/>
        <v>13020.0000000004</v>
      </c>
      <c r="Q354" s="23">
        <f t="shared" si="46"/>
        <v>6.36</v>
      </c>
      <c r="R354" s="23">
        <v>6.37</v>
      </c>
      <c r="S354" s="23">
        <f t="shared" si="44"/>
        <v>29.9999999999994</v>
      </c>
      <c r="T354" s="123">
        <f t="shared" si="42"/>
        <v>12990.0000000004</v>
      </c>
      <c r="U354" s="127"/>
      <c r="V354" s="23">
        <v>3</v>
      </c>
      <c r="W354" s="23"/>
      <c r="X354" s="23"/>
      <c r="Y354" s="23"/>
      <c r="Z354" s="23"/>
      <c r="AA354" s="23"/>
      <c r="AB354" s="123" t="s">
        <v>38</v>
      </c>
    </row>
    <row r="355" spans="1:28">
      <c r="A355" s="97">
        <f t="shared" si="40"/>
        <v>357</v>
      </c>
      <c r="B355" s="113">
        <v>46100</v>
      </c>
      <c r="C355" s="19">
        <v>46100</v>
      </c>
      <c r="D355" s="129">
        <v>0.30208333333333298</v>
      </c>
      <c r="E355" s="130">
        <v>0.75</v>
      </c>
      <c r="F355" s="124">
        <v>1288.1600000000001</v>
      </c>
      <c r="G355" s="134">
        <v>1282.5999999999999</v>
      </c>
      <c r="H355" s="134">
        <v>1277.0999999999999</v>
      </c>
      <c r="I355" s="23">
        <v>1323.48</v>
      </c>
      <c r="J355" s="23">
        <v>1324.68</v>
      </c>
      <c r="K355" s="23">
        <v>1337.16</v>
      </c>
      <c r="L355" s="23">
        <v>1294.94</v>
      </c>
      <c r="M355" s="125">
        <f t="shared" si="43"/>
        <v>9128.1200000000008</v>
      </c>
      <c r="N355" s="126">
        <f t="shared" si="45"/>
        <v>1323.38</v>
      </c>
      <c r="O355" s="23">
        <v>1326.38</v>
      </c>
      <c r="P355" s="23">
        <f t="shared" si="41"/>
        <v>9000</v>
      </c>
      <c r="Q355" s="23">
        <f t="shared" si="46"/>
        <v>6.37</v>
      </c>
      <c r="R355" s="23">
        <v>6.38</v>
      </c>
      <c r="S355" s="23">
        <f t="shared" si="44"/>
        <v>29.9999999999994</v>
      </c>
      <c r="T355" s="123">
        <f t="shared" si="42"/>
        <v>8970</v>
      </c>
      <c r="U355" s="127"/>
      <c r="V355" s="23">
        <v>3.16</v>
      </c>
      <c r="W355" s="23">
        <v>28.72</v>
      </c>
      <c r="X355" s="23"/>
      <c r="Y355" s="23"/>
      <c r="Z355" s="23"/>
      <c r="AA355" s="23"/>
      <c r="AB355" s="123" t="s">
        <v>38</v>
      </c>
    </row>
    <row r="356" spans="1:28">
      <c r="A356" s="97">
        <f t="shared" si="40"/>
        <v>358</v>
      </c>
      <c r="B356" s="113">
        <v>46101</v>
      </c>
      <c r="C356" s="19">
        <v>46101</v>
      </c>
      <c r="D356" s="129">
        <v>0.30208333333333298</v>
      </c>
      <c r="E356" s="130">
        <v>0.75</v>
      </c>
      <c r="F356" s="124">
        <v>1315.89</v>
      </c>
      <c r="G356" s="23">
        <v>1321.56</v>
      </c>
      <c r="H356" s="23">
        <v>1314.34</v>
      </c>
      <c r="I356" s="134">
        <v>1361.1</v>
      </c>
      <c r="J356" s="23">
        <v>1375.22</v>
      </c>
      <c r="K356" s="23">
        <v>880.29</v>
      </c>
      <c r="L356" s="23">
        <v>1351.97</v>
      </c>
      <c r="M356" s="125">
        <f t="shared" si="43"/>
        <v>8920.3700000000008</v>
      </c>
      <c r="N356" s="126">
        <f t="shared" si="45"/>
        <v>1326.38</v>
      </c>
      <c r="O356" s="23">
        <v>1329.34</v>
      </c>
      <c r="P356" s="23">
        <f t="shared" si="41"/>
        <v>8879.9999999994307</v>
      </c>
      <c r="Q356" s="23">
        <f t="shared" si="46"/>
        <v>6.38</v>
      </c>
      <c r="R356" s="23">
        <v>6.39</v>
      </c>
      <c r="S356" s="23">
        <f t="shared" si="44"/>
        <v>29.9999999999994</v>
      </c>
      <c r="T356" s="123">
        <f t="shared" si="42"/>
        <v>8849.9999999994307</v>
      </c>
      <c r="U356" s="127"/>
      <c r="V356" s="23">
        <v>3.62</v>
      </c>
      <c r="W356" s="23">
        <v>30.02</v>
      </c>
      <c r="X356" s="23"/>
      <c r="Y356" s="23"/>
      <c r="Z356" s="23"/>
      <c r="AA356" s="23"/>
      <c r="AB356" s="123" t="s">
        <v>38</v>
      </c>
    </row>
    <row r="357" spans="1:28">
      <c r="A357" s="97">
        <f t="shared" si="40"/>
        <v>359</v>
      </c>
      <c r="B357" s="113">
        <v>46102</v>
      </c>
      <c r="C357" s="19">
        <v>46102</v>
      </c>
      <c r="D357" s="129">
        <v>0.30208333333333298</v>
      </c>
      <c r="E357" s="130">
        <v>0.75</v>
      </c>
      <c r="F357" s="124">
        <v>1791.31</v>
      </c>
      <c r="G357" s="134">
        <v>1781.8</v>
      </c>
      <c r="H357" s="23">
        <v>1777.83</v>
      </c>
      <c r="I357" s="23">
        <v>1830.45</v>
      </c>
      <c r="J357" s="23">
        <v>1840.62</v>
      </c>
      <c r="K357" s="23">
        <v>1708.04</v>
      </c>
      <c r="L357" s="23">
        <v>1792.66</v>
      </c>
      <c r="M357" s="125">
        <f t="shared" si="43"/>
        <v>12522.71</v>
      </c>
      <c r="N357" s="126">
        <f t="shared" si="45"/>
        <v>1329.34</v>
      </c>
      <c r="O357" s="23">
        <v>1333.46</v>
      </c>
      <c r="P357" s="23">
        <f t="shared" si="41"/>
        <v>12360.0000000004</v>
      </c>
      <c r="Q357" s="23">
        <v>6.39</v>
      </c>
      <c r="R357" s="134">
        <v>6.4</v>
      </c>
      <c r="S357" s="23">
        <f t="shared" si="44"/>
        <v>30.000000000002</v>
      </c>
      <c r="T357" s="123">
        <f t="shared" si="42"/>
        <v>12330.0000000004</v>
      </c>
      <c r="U357" s="127"/>
      <c r="V357" s="23">
        <v>4.71</v>
      </c>
      <c r="W357" s="23">
        <v>31.84</v>
      </c>
      <c r="X357" s="23"/>
      <c r="Y357" s="23"/>
      <c r="Z357" s="23"/>
      <c r="AA357" s="23"/>
      <c r="AB357" s="123" t="s">
        <v>38</v>
      </c>
    </row>
    <row r="358" spans="1:28">
      <c r="A358" s="97">
        <f t="shared" si="40"/>
        <v>360</v>
      </c>
      <c r="B358" s="113">
        <v>46103</v>
      </c>
      <c r="C358" s="19">
        <v>46103</v>
      </c>
      <c r="D358" s="129">
        <v>0.30208333333333298</v>
      </c>
      <c r="E358" s="130">
        <v>0.75</v>
      </c>
      <c r="F358" s="124">
        <v>1766.93</v>
      </c>
      <c r="G358" s="23">
        <v>1760.47</v>
      </c>
      <c r="H358" s="23">
        <v>1755.64</v>
      </c>
      <c r="I358" s="23">
        <v>1808.56</v>
      </c>
      <c r="J358" s="23">
        <v>1819.71</v>
      </c>
      <c r="K358" s="23">
        <v>1647.74</v>
      </c>
      <c r="L358" s="23">
        <v>1779.64</v>
      </c>
      <c r="M358" s="125">
        <f t="shared" si="43"/>
        <v>12338.69</v>
      </c>
      <c r="N358" s="126">
        <f t="shared" si="45"/>
        <v>1333.46</v>
      </c>
      <c r="O358" s="23">
        <v>1337.52</v>
      </c>
      <c r="P358" s="23">
        <f t="shared" si="41"/>
        <v>12179.9999999998</v>
      </c>
      <c r="Q358" s="23">
        <f t="shared" si="46"/>
        <v>6.4</v>
      </c>
      <c r="R358" s="23">
        <v>6.41</v>
      </c>
      <c r="S358" s="23">
        <f t="shared" si="44"/>
        <v>29.9999999999994</v>
      </c>
      <c r="T358" s="123">
        <f t="shared" si="42"/>
        <v>12149.9999999998</v>
      </c>
      <c r="U358" s="127"/>
      <c r="V358" s="23">
        <v>4.8600000000000003</v>
      </c>
      <c r="W358" s="134">
        <v>32.6</v>
      </c>
      <c r="X358" s="23"/>
      <c r="Y358" s="23"/>
      <c r="Z358" s="23"/>
      <c r="AA358" s="23"/>
      <c r="AB358" s="123" t="s">
        <v>38</v>
      </c>
    </row>
    <row r="359" spans="1:28">
      <c r="A359" s="97">
        <f t="shared" si="40"/>
        <v>361</v>
      </c>
      <c r="B359" s="113">
        <v>46104</v>
      </c>
      <c r="C359" s="19">
        <v>46104</v>
      </c>
      <c r="D359" s="129">
        <v>0.30208333333333298</v>
      </c>
      <c r="E359" s="130">
        <v>0.75</v>
      </c>
      <c r="F359" s="124">
        <v>1875.55</v>
      </c>
      <c r="G359" s="23">
        <v>1932.59</v>
      </c>
      <c r="H359" s="134">
        <v>1873.2</v>
      </c>
      <c r="I359" s="134">
        <v>2010.6</v>
      </c>
      <c r="J359" s="23">
        <v>2016.14</v>
      </c>
      <c r="K359" s="23">
        <v>1971.55</v>
      </c>
      <c r="L359" s="134">
        <v>2011.5</v>
      </c>
      <c r="M359" s="125">
        <f t="shared" si="43"/>
        <v>13691.13</v>
      </c>
      <c r="N359" s="126">
        <f t="shared" si="45"/>
        <v>1337.52</v>
      </c>
      <c r="O359" s="23">
        <v>1342.04</v>
      </c>
      <c r="P359" s="23">
        <f t="shared" si="41"/>
        <v>13559.9999999999</v>
      </c>
      <c r="Q359" s="23">
        <f t="shared" si="46"/>
        <v>6.41</v>
      </c>
      <c r="R359" s="23">
        <v>6.43</v>
      </c>
      <c r="S359" s="23">
        <f t="shared" si="44"/>
        <v>59.9999999999987</v>
      </c>
      <c r="T359" s="123">
        <f t="shared" si="42"/>
        <v>13499.9999999999</v>
      </c>
      <c r="U359" s="127"/>
      <c r="V359" s="23">
        <v>5.03</v>
      </c>
      <c r="W359" s="134">
        <v>33.799999999999997</v>
      </c>
      <c r="X359" s="23"/>
      <c r="Y359" s="23"/>
      <c r="Z359" s="23"/>
      <c r="AA359" s="23"/>
      <c r="AB359" s="123" t="s">
        <v>38</v>
      </c>
    </row>
    <row r="360" spans="1:28">
      <c r="A360" s="97">
        <f t="shared" si="40"/>
        <v>362</v>
      </c>
      <c r="B360" s="113">
        <v>46105</v>
      </c>
      <c r="C360" s="19">
        <v>46105</v>
      </c>
      <c r="D360" s="129">
        <v>0.30208333333333298</v>
      </c>
      <c r="E360" s="130">
        <v>0.75</v>
      </c>
      <c r="F360" s="124">
        <v>1621.22</v>
      </c>
      <c r="G360" s="23">
        <v>1604.98</v>
      </c>
      <c r="H360" s="23">
        <v>1604.54</v>
      </c>
      <c r="I360" s="23">
        <v>1673.72</v>
      </c>
      <c r="J360" s="23">
        <v>1675.17</v>
      </c>
      <c r="K360" s="23">
        <v>1667.89</v>
      </c>
      <c r="L360" s="23">
        <v>1659.85</v>
      </c>
      <c r="M360" s="125">
        <f t="shared" si="43"/>
        <v>11507.37</v>
      </c>
      <c r="N360" s="126">
        <f t="shared" si="45"/>
        <v>1342.04</v>
      </c>
      <c r="O360" s="23">
        <v>1345.84</v>
      </c>
      <c r="P360" s="23">
        <f t="shared" si="41"/>
        <v>11399.9999999999</v>
      </c>
      <c r="Q360" s="23">
        <f t="shared" si="46"/>
        <v>6.43</v>
      </c>
      <c r="R360" s="23">
        <v>6.44</v>
      </c>
      <c r="S360" s="23">
        <f t="shared" si="44"/>
        <v>30.000000000002</v>
      </c>
      <c r="T360" s="123">
        <f t="shared" si="42"/>
        <v>11369.9999999999</v>
      </c>
      <c r="U360" s="127"/>
      <c r="V360" s="23">
        <v>4.4400000000000004</v>
      </c>
      <c r="W360" s="23">
        <v>31.82</v>
      </c>
      <c r="X360" s="23"/>
      <c r="Y360" s="23"/>
      <c r="Z360" s="23"/>
      <c r="AA360" s="23"/>
      <c r="AB360" s="123" t="s">
        <v>38</v>
      </c>
    </row>
    <row r="361" spans="1:28">
      <c r="A361" s="97">
        <f t="shared" si="40"/>
        <v>363</v>
      </c>
      <c r="B361" s="113">
        <v>46106</v>
      </c>
      <c r="C361" s="19">
        <v>46106</v>
      </c>
      <c r="D361" s="129">
        <v>0.30208333333333298</v>
      </c>
      <c r="E361" s="130">
        <v>0.75</v>
      </c>
      <c r="F361" s="124">
        <v>1908.84</v>
      </c>
      <c r="G361" s="23">
        <v>1889.25</v>
      </c>
      <c r="H361" s="23">
        <v>1894.33</v>
      </c>
      <c r="I361" s="23">
        <v>1967.34</v>
      </c>
      <c r="J361" s="23">
        <v>1974.11</v>
      </c>
      <c r="K361" s="23">
        <v>1956.25</v>
      </c>
      <c r="L361" s="23">
        <v>1965.94</v>
      </c>
      <c r="M361" s="125">
        <f t="shared" si="43"/>
        <v>13556.06</v>
      </c>
      <c r="N361" s="126">
        <f t="shared" si="45"/>
        <v>1345.84</v>
      </c>
      <c r="O361" s="23">
        <v>1350.31</v>
      </c>
      <c r="P361" s="23">
        <f t="shared" si="41"/>
        <v>13410.0000000001</v>
      </c>
      <c r="Q361" s="23">
        <f t="shared" si="46"/>
        <v>6.44</v>
      </c>
      <c r="R361" s="23">
        <v>6.45</v>
      </c>
      <c r="S361" s="23">
        <f t="shared" si="44"/>
        <v>29.9999999999994</v>
      </c>
      <c r="T361" s="123">
        <f t="shared" si="42"/>
        <v>13380.0000000001</v>
      </c>
      <c r="U361" s="127"/>
      <c r="V361" s="23">
        <v>5.27</v>
      </c>
      <c r="W361" s="23">
        <v>32.909999999999997</v>
      </c>
      <c r="X361" s="23"/>
      <c r="Y361" s="23"/>
      <c r="Z361" s="23"/>
      <c r="AA361" s="23"/>
      <c r="AB361" s="123" t="s">
        <v>38</v>
      </c>
    </row>
    <row r="362" spans="1:28">
      <c r="A362" s="97">
        <f t="shared" si="40"/>
        <v>364</v>
      </c>
      <c r="B362" s="113">
        <v>46107</v>
      </c>
      <c r="C362" s="19">
        <v>46107</v>
      </c>
      <c r="D362" s="129">
        <v>0.30208333333333298</v>
      </c>
      <c r="E362" s="130">
        <v>0.77083333333333304</v>
      </c>
      <c r="F362" s="124">
        <v>1935.06</v>
      </c>
      <c r="G362" s="23">
        <v>1926.23</v>
      </c>
      <c r="H362" s="23">
        <v>1921.34</v>
      </c>
      <c r="I362" s="23">
        <v>1999.04</v>
      </c>
      <c r="J362" s="23">
        <v>2003.74</v>
      </c>
      <c r="K362" s="23">
        <v>1973.75</v>
      </c>
      <c r="L362" s="23">
        <v>1991.56</v>
      </c>
      <c r="M362" s="125">
        <f t="shared" si="43"/>
        <v>13750.72</v>
      </c>
      <c r="N362" s="126">
        <f t="shared" si="45"/>
        <v>1350.31</v>
      </c>
      <c r="O362" s="23">
        <v>1354.81</v>
      </c>
      <c r="P362" s="23">
        <f t="shared" si="41"/>
        <v>13500</v>
      </c>
      <c r="Q362" s="23">
        <f t="shared" si="46"/>
        <v>6.45</v>
      </c>
      <c r="R362" s="23">
        <v>6.46</v>
      </c>
      <c r="S362" s="23">
        <f t="shared" si="44"/>
        <v>29.9999999999994</v>
      </c>
      <c r="T362" s="123">
        <f t="shared" si="42"/>
        <v>13470</v>
      </c>
      <c r="U362" s="127"/>
      <c r="V362" s="23">
        <v>5.05</v>
      </c>
      <c r="W362" s="23">
        <v>33.67</v>
      </c>
      <c r="X362" s="23"/>
      <c r="Y362" s="23"/>
      <c r="Z362" s="23"/>
      <c r="AA362" s="23"/>
      <c r="AB362" s="123" t="s">
        <v>38</v>
      </c>
    </row>
    <row r="363" spans="1:28">
      <c r="A363" s="97">
        <f t="shared" si="40"/>
        <v>365</v>
      </c>
      <c r="B363" s="113">
        <v>46108</v>
      </c>
      <c r="C363" s="19">
        <v>46108</v>
      </c>
      <c r="D363" s="129">
        <v>0.30208333333333298</v>
      </c>
      <c r="E363" s="130">
        <v>0.77083333333333304</v>
      </c>
      <c r="F363" s="124">
        <v>2023.74</v>
      </c>
      <c r="G363" s="134">
        <v>2009.5</v>
      </c>
      <c r="H363" s="23">
        <v>2009.26</v>
      </c>
      <c r="I363" s="23">
        <v>2093.5100000000002</v>
      </c>
      <c r="J363" s="23">
        <v>2101.96</v>
      </c>
      <c r="K363" s="23">
        <v>2075.73</v>
      </c>
      <c r="L363" s="23">
        <v>2079.11</v>
      </c>
      <c r="M363" s="125">
        <f t="shared" si="43"/>
        <v>14392.81</v>
      </c>
      <c r="N363" s="126">
        <f t="shared" si="45"/>
        <v>1354.81</v>
      </c>
      <c r="O363" s="23">
        <v>1359.58</v>
      </c>
      <c r="P363" s="23">
        <f t="shared" si="41"/>
        <v>14309.9999999999</v>
      </c>
      <c r="Q363" s="23">
        <f t="shared" si="46"/>
        <v>6.46</v>
      </c>
      <c r="R363" s="23">
        <v>6.47</v>
      </c>
      <c r="S363" s="23">
        <f t="shared" si="44"/>
        <v>29.9999999999994</v>
      </c>
      <c r="T363" s="123">
        <f t="shared" si="42"/>
        <v>14279.9999999999</v>
      </c>
      <c r="U363" s="127"/>
      <c r="V363" s="23">
        <v>5.35</v>
      </c>
      <c r="W363" s="23">
        <v>33.14</v>
      </c>
      <c r="X363" s="23"/>
      <c r="Y363" s="23"/>
      <c r="Z363" s="23"/>
      <c r="AA363" s="23"/>
      <c r="AB363" s="123" t="s">
        <v>38</v>
      </c>
    </row>
    <row r="364" spans="1:28">
      <c r="A364" s="97">
        <f t="shared" si="40"/>
        <v>366</v>
      </c>
      <c r="B364" s="113">
        <v>46109</v>
      </c>
      <c r="C364" s="19">
        <v>46109</v>
      </c>
      <c r="D364" s="129">
        <v>0.30208333333333298</v>
      </c>
      <c r="E364" s="130">
        <v>0.77083333333333304</v>
      </c>
      <c r="F364" s="124">
        <v>1927.83</v>
      </c>
      <c r="G364" s="23">
        <v>1909.69</v>
      </c>
      <c r="H364" s="23">
        <v>1910.58</v>
      </c>
      <c r="I364" s="23">
        <v>1994.55</v>
      </c>
      <c r="J364" s="23">
        <v>2000.84</v>
      </c>
      <c r="K364" s="23">
        <v>1942.96</v>
      </c>
      <c r="L364" s="23">
        <v>1990.53</v>
      </c>
      <c r="M364" s="125">
        <f t="shared" si="43"/>
        <v>13676.98</v>
      </c>
      <c r="N364" s="126">
        <f t="shared" si="45"/>
        <v>1359.58</v>
      </c>
      <c r="O364" s="23">
        <v>1364.09</v>
      </c>
      <c r="P364" s="23">
        <f t="shared" si="41"/>
        <v>13530</v>
      </c>
      <c r="Q364" s="23">
        <f t="shared" si="46"/>
        <v>6.47</v>
      </c>
      <c r="R364" s="23">
        <v>6.49</v>
      </c>
      <c r="S364" s="23">
        <v>0</v>
      </c>
      <c r="T364" s="123">
        <f t="shared" si="42"/>
        <v>13530</v>
      </c>
      <c r="U364" s="127"/>
      <c r="V364" s="23">
        <v>4.83</v>
      </c>
      <c r="W364" s="23">
        <v>30.52</v>
      </c>
      <c r="X364" s="23"/>
      <c r="Y364" s="23"/>
      <c r="Z364" s="23"/>
      <c r="AA364" s="23"/>
      <c r="AB364" s="123" t="s">
        <v>38</v>
      </c>
    </row>
    <row r="365" spans="1:28">
      <c r="A365" s="97">
        <f t="shared" si="40"/>
        <v>367</v>
      </c>
      <c r="B365" s="113">
        <v>46110</v>
      </c>
      <c r="C365" s="19">
        <v>46110</v>
      </c>
      <c r="D365" s="129">
        <v>0.30208333333333298</v>
      </c>
      <c r="E365" s="130">
        <v>0.77083333333333304</v>
      </c>
      <c r="F365" s="124">
        <v>1722.53</v>
      </c>
      <c r="G365" s="23">
        <v>1690.84</v>
      </c>
      <c r="H365" s="23">
        <v>1701.79</v>
      </c>
      <c r="I365" s="134">
        <v>1779.7</v>
      </c>
      <c r="J365" s="23">
        <v>1783.64</v>
      </c>
      <c r="K365" s="23">
        <v>1770.03</v>
      </c>
      <c r="L365" s="23">
        <v>1770.55</v>
      </c>
      <c r="M365" s="125">
        <f t="shared" si="43"/>
        <v>12219.08</v>
      </c>
      <c r="N365" s="126">
        <f t="shared" si="45"/>
        <v>1364.09</v>
      </c>
      <c r="O365" s="23">
        <v>1368.12</v>
      </c>
      <c r="P365" s="23">
        <f t="shared" si="41"/>
        <v>12089.9999999999</v>
      </c>
      <c r="Q365" s="23">
        <f t="shared" si="46"/>
        <v>6.49</v>
      </c>
      <c r="R365" s="134">
        <v>6.5</v>
      </c>
      <c r="S365" s="23">
        <f t="shared" si="44"/>
        <v>29.9999999999994</v>
      </c>
      <c r="T365" s="123">
        <f t="shared" si="42"/>
        <v>12059.9999999999</v>
      </c>
      <c r="U365" s="127"/>
      <c r="V365" s="23">
        <v>5.0599999999999996</v>
      </c>
      <c r="W365" s="23">
        <v>30.91</v>
      </c>
      <c r="X365" s="23"/>
      <c r="Y365" s="23"/>
      <c r="Z365" s="23"/>
      <c r="AA365" s="23"/>
      <c r="AB365" s="123" t="s">
        <v>38</v>
      </c>
    </row>
    <row r="366" spans="1:28">
      <c r="A366" s="97">
        <f t="shared" si="40"/>
        <v>368</v>
      </c>
      <c r="B366" s="113">
        <v>46111</v>
      </c>
      <c r="C366" s="19">
        <v>46111</v>
      </c>
      <c r="D366" s="129">
        <v>0.30208333333333298</v>
      </c>
      <c r="E366" s="130">
        <v>0.77083333333333304</v>
      </c>
      <c r="F366" s="124">
        <v>1958.41</v>
      </c>
      <c r="G366" s="23">
        <v>1922.41</v>
      </c>
      <c r="H366" s="23">
        <v>1933.89</v>
      </c>
      <c r="I366" s="23">
        <v>2017.77</v>
      </c>
      <c r="J366" s="134">
        <v>2021.7</v>
      </c>
      <c r="K366" s="23">
        <v>1999.06</v>
      </c>
      <c r="L366" s="23">
        <v>1996.89</v>
      </c>
      <c r="M366" s="125">
        <f t="shared" si="43"/>
        <v>13850.13</v>
      </c>
      <c r="N366" s="126">
        <f t="shared" si="45"/>
        <v>1368.12</v>
      </c>
      <c r="O366" s="23">
        <v>1372.68</v>
      </c>
      <c r="P366" s="23">
        <f t="shared" si="41"/>
        <v>13680.0000000005</v>
      </c>
      <c r="Q366" s="23">
        <f t="shared" si="46"/>
        <v>6.5</v>
      </c>
      <c r="R366" s="23">
        <v>6.51</v>
      </c>
      <c r="S366" s="23">
        <f t="shared" si="44"/>
        <v>29.9999999999994</v>
      </c>
      <c r="T366" s="123">
        <f t="shared" si="42"/>
        <v>13650.0000000005</v>
      </c>
      <c r="U366" s="127"/>
      <c r="V366" s="23">
        <v>4.9800000000000004</v>
      </c>
      <c r="W366" s="23">
        <v>31.52</v>
      </c>
      <c r="X366" s="23"/>
      <c r="Y366" s="23"/>
      <c r="Z366" s="23"/>
      <c r="AA366" s="23"/>
      <c r="AB366" s="123" t="s">
        <v>38</v>
      </c>
    </row>
    <row r="367" spans="1:28">
      <c r="A367" s="97">
        <f t="shared" si="40"/>
        <v>369</v>
      </c>
      <c r="B367" s="115">
        <v>46112</v>
      </c>
      <c r="C367" s="116">
        <v>46112</v>
      </c>
      <c r="D367" s="135">
        <v>0.30208333333333298</v>
      </c>
      <c r="E367" s="136">
        <v>0.77083333333333304</v>
      </c>
      <c r="F367" s="124">
        <v>1912.62</v>
      </c>
      <c r="G367" s="137">
        <v>1894.02</v>
      </c>
      <c r="H367" s="137">
        <v>1899.67</v>
      </c>
      <c r="I367" s="137">
        <v>1971.14</v>
      </c>
      <c r="J367" s="137">
        <v>1977.34</v>
      </c>
      <c r="K367" s="137">
        <v>1968.22</v>
      </c>
      <c r="L367" s="137">
        <v>1967.18</v>
      </c>
      <c r="M367" s="125">
        <f t="shared" si="43"/>
        <v>13590.19</v>
      </c>
      <c r="N367" s="126">
        <f t="shared" si="45"/>
        <v>1372.68</v>
      </c>
      <c r="O367" s="137">
        <v>1377.16</v>
      </c>
      <c r="P367" s="23">
        <f t="shared" si="41"/>
        <v>13440.0000000001</v>
      </c>
      <c r="Q367" s="23">
        <f t="shared" si="46"/>
        <v>6.51</v>
      </c>
      <c r="R367" s="137">
        <v>6.52</v>
      </c>
      <c r="S367" s="23">
        <f t="shared" si="44"/>
        <v>29.9999999999994</v>
      </c>
      <c r="T367" s="123">
        <f t="shared" si="42"/>
        <v>13410.0000000001</v>
      </c>
      <c r="U367" s="138"/>
      <c r="V367" s="137">
        <v>5.46</v>
      </c>
      <c r="W367" s="137">
        <v>31.21</v>
      </c>
      <c r="X367" s="137"/>
      <c r="Y367" s="137"/>
      <c r="Z367" s="137"/>
      <c r="AA367" s="137"/>
      <c r="AB367" s="139" t="s">
        <v>38</v>
      </c>
    </row>
    <row r="368" spans="1:28">
      <c r="A368" s="97">
        <f t="shared" si="40"/>
        <v>370</v>
      </c>
      <c r="B368" s="115">
        <v>46112</v>
      </c>
      <c r="C368" s="116">
        <v>46113</v>
      </c>
      <c r="D368" s="135">
        <v>0.30208333333333298</v>
      </c>
      <c r="E368" s="136">
        <v>0.77083333333333304</v>
      </c>
      <c r="F368" s="124">
        <v>1930.29</v>
      </c>
      <c r="G368" s="137">
        <v>1914.72</v>
      </c>
      <c r="H368" s="137">
        <v>1915.05</v>
      </c>
      <c r="I368" s="137">
        <v>1992.42</v>
      </c>
      <c r="J368" s="137">
        <v>1999.34</v>
      </c>
      <c r="K368" s="137">
        <v>1763.75</v>
      </c>
      <c r="L368" s="137">
        <v>1982.24</v>
      </c>
      <c r="M368" s="125">
        <f t="shared" si="43"/>
        <v>13497.81</v>
      </c>
      <c r="N368" s="126">
        <f t="shared" si="45"/>
        <v>1377.16</v>
      </c>
      <c r="O368" s="140">
        <v>1381.61</v>
      </c>
      <c r="P368" s="23">
        <f t="shared" si="41"/>
        <v>13349.9999999995</v>
      </c>
      <c r="Q368" s="23">
        <f t="shared" si="46"/>
        <v>6.52</v>
      </c>
      <c r="R368" s="137">
        <v>6.53</v>
      </c>
      <c r="S368" s="23">
        <f t="shared" ref="S368:S431" si="47">MAX((R368-Q368)*3000,0)</f>
        <v>30.000000000002</v>
      </c>
      <c r="T368" s="123">
        <f t="shared" ref="T368:T431" si="48">P368-S368</f>
        <v>13319.9999999995</v>
      </c>
      <c r="U368" s="138"/>
      <c r="V368" s="137">
        <v>4.96</v>
      </c>
      <c r="W368" s="137">
        <v>29.63</v>
      </c>
      <c r="X368" s="137"/>
      <c r="Y368" s="137"/>
      <c r="Z368" s="137"/>
      <c r="AA368" s="137"/>
      <c r="AB368" s="139" t="s">
        <v>38</v>
      </c>
    </row>
    <row r="369" spans="1:28">
      <c r="A369" s="97">
        <f t="shared" si="40"/>
        <v>371</v>
      </c>
      <c r="B369" s="115">
        <v>46112</v>
      </c>
      <c r="C369" s="116">
        <v>46114</v>
      </c>
      <c r="D369" s="135">
        <v>0.30208333333333298</v>
      </c>
      <c r="E369" s="136">
        <v>0.76041666666666696</v>
      </c>
      <c r="F369" s="124">
        <v>1584.91</v>
      </c>
      <c r="G369" s="137">
        <v>1568.81</v>
      </c>
      <c r="H369" s="137">
        <v>1561.73</v>
      </c>
      <c r="I369" s="141">
        <v>1629.7</v>
      </c>
      <c r="J369" s="141">
        <v>1624</v>
      </c>
      <c r="K369" s="141">
        <v>1614.4</v>
      </c>
      <c r="L369" s="137">
        <v>1613.64</v>
      </c>
      <c r="M369" s="125">
        <f t="shared" si="43"/>
        <v>11197.19</v>
      </c>
      <c r="N369" s="126">
        <f t="shared" si="45"/>
        <v>1381.61</v>
      </c>
      <c r="O369" s="137">
        <v>1385.29</v>
      </c>
      <c r="P369" s="23">
        <f t="shared" si="41"/>
        <v>11040.0000000002</v>
      </c>
      <c r="Q369" s="23">
        <f t="shared" si="46"/>
        <v>6.53</v>
      </c>
      <c r="R369" s="137">
        <v>6.54</v>
      </c>
      <c r="S369" s="23">
        <f t="shared" si="47"/>
        <v>29.9999999999994</v>
      </c>
      <c r="T369" s="123">
        <f t="shared" si="48"/>
        <v>11010.0000000002</v>
      </c>
      <c r="U369" s="138"/>
      <c r="V369" s="137">
        <v>4.1100000000000003</v>
      </c>
      <c r="W369" s="137">
        <v>29.53</v>
      </c>
      <c r="X369" s="137"/>
      <c r="Y369" s="137"/>
      <c r="Z369" s="137"/>
      <c r="AA369" s="137"/>
      <c r="AB369" s="139" t="s">
        <v>38</v>
      </c>
    </row>
    <row r="370" spans="1:28">
      <c r="A370" s="97">
        <f t="shared" si="40"/>
        <v>372</v>
      </c>
      <c r="B370" s="115">
        <v>46112</v>
      </c>
      <c r="C370" s="116">
        <v>46115</v>
      </c>
      <c r="D370" s="135">
        <v>0.30208333333333298</v>
      </c>
      <c r="E370" s="136">
        <v>0.77083333333333304</v>
      </c>
      <c r="F370" s="124">
        <v>1004.18</v>
      </c>
      <c r="G370" s="141">
        <v>997.9</v>
      </c>
      <c r="H370" s="137">
        <v>995.84</v>
      </c>
      <c r="I370" s="137">
        <v>1039.6300000000001</v>
      </c>
      <c r="J370" s="141">
        <v>1037.7</v>
      </c>
      <c r="K370" s="137">
        <v>1039.3800000000001</v>
      </c>
      <c r="L370" s="137">
        <v>1030.5899999999999</v>
      </c>
      <c r="M370" s="125">
        <f t="shared" si="43"/>
        <v>7145.22</v>
      </c>
      <c r="N370" s="126">
        <f t="shared" si="45"/>
        <v>1385.29</v>
      </c>
      <c r="O370" s="137">
        <v>1387.66</v>
      </c>
      <c r="P370" s="23">
        <f t="shared" si="41"/>
        <v>7110.0000000003502</v>
      </c>
      <c r="Q370" s="23">
        <f t="shared" si="46"/>
        <v>6.54</v>
      </c>
      <c r="R370" s="137">
        <v>6.56</v>
      </c>
      <c r="S370" s="23">
        <f t="shared" si="47"/>
        <v>59.9999999999987</v>
      </c>
      <c r="T370" s="123">
        <f t="shared" si="48"/>
        <v>7050.0000000003502</v>
      </c>
      <c r="U370" s="138"/>
      <c r="V370" s="137">
        <v>2.69</v>
      </c>
      <c r="W370" s="137">
        <v>27.42</v>
      </c>
      <c r="X370" s="137"/>
      <c r="Y370" s="137"/>
      <c r="Z370" s="137"/>
      <c r="AA370" s="137"/>
      <c r="AB370" s="139" t="s">
        <v>38</v>
      </c>
    </row>
    <row r="371" spans="1:28">
      <c r="A371" s="97">
        <f t="shared" si="40"/>
        <v>373</v>
      </c>
      <c r="B371" s="115">
        <v>46112</v>
      </c>
      <c r="C371" s="116">
        <v>46116</v>
      </c>
      <c r="D371" s="135">
        <v>0.30208333333333298</v>
      </c>
      <c r="E371" s="136">
        <v>0.77083333333333304</v>
      </c>
      <c r="F371" s="124">
        <v>1559.31</v>
      </c>
      <c r="G371" s="137">
        <v>1958.67</v>
      </c>
      <c r="H371" s="137">
        <v>1958.32</v>
      </c>
      <c r="I371" s="137">
        <v>2046.08</v>
      </c>
      <c r="J371" s="137">
        <v>2048.12</v>
      </c>
      <c r="K371" s="137">
        <v>2019.58</v>
      </c>
      <c r="L371" s="137">
        <v>2040.51</v>
      </c>
      <c r="M371" s="125">
        <f t="shared" si="43"/>
        <v>13630.59</v>
      </c>
      <c r="N371" s="126">
        <f t="shared" si="45"/>
        <v>1387.66</v>
      </c>
      <c r="O371" s="137">
        <v>1392.14</v>
      </c>
      <c r="P371" s="23">
        <f t="shared" si="41"/>
        <v>13440.0000000001</v>
      </c>
      <c r="Q371" s="23">
        <f t="shared" si="46"/>
        <v>6.56</v>
      </c>
      <c r="R371" s="137">
        <v>6.57</v>
      </c>
      <c r="S371" s="23">
        <f t="shared" si="47"/>
        <v>30.000000000002</v>
      </c>
      <c r="T371" s="123">
        <f t="shared" si="48"/>
        <v>13410.0000000001</v>
      </c>
      <c r="U371" s="138"/>
      <c r="V371" s="137">
        <v>5.24</v>
      </c>
      <c r="W371" s="137">
        <v>30.78</v>
      </c>
      <c r="X371" s="137"/>
      <c r="Y371" s="137"/>
      <c r="Z371" s="137"/>
      <c r="AA371" s="137"/>
      <c r="AB371" s="139" t="s">
        <v>38</v>
      </c>
    </row>
    <row r="372" spans="1:28">
      <c r="A372" s="97">
        <f t="shared" si="40"/>
        <v>374</v>
      </c>
      <c r="B372" s="115">
        <v>46112</v>
      </c>
      <c r="C372" s="116">
        <v>46117</v>
      </c>
      <c r="D372" s="135">
        <v>0.30208333333333298</v>
      </c>
      <c r="E372" s="136">
        <v>0.77083333333333304</v>
      </c>
      <c r="F372" s="124">
        <v>1939.84</v>
      </c>
      <c r="G372" s="137">
        <v>1958.12</v>
      </c>
      <c r="H372" s="137">
        <v>1928.22</v>
      </c>
      <c r="I372" s="137">
        <v>2053.5700000000002</v>
      </c>
      <c r="J372" s="137">
        <v>2073.25</v>
      </c>
      <c r="K372" s="137">
        <v>1773.93</v>
      </c>
      <c r="L372" s="137">
        <v>2074.15</v>
      </c>
      <c r="M372" s="125">
        <f t="shared" si="43"/>
        <v>13801.08</v>
      </c>
      <c r="N372" s="126">
        <f t="shared" si="45"/>
        <v>1392.14</v>
      </c>
      <c r="O372" s="141">
        <v>1396.7</v>
      </c>
      <c r="P372" s="23">
        <f t="shared" si="41"/>
        <v>13679.9999999998</v>
      </c>
      <c r="Q372" s="23">
        <f t="shared" si="46"/>
        <v>6.57</v>
      </c>
      <c r="R372" s="137">
        <v>6.58</v>
      </c>
      <c r="S372" s="23">
        <f t="shared" si="47"/>
        <v>29.9999999999994</v>
      </c>
      <c r="T372" s="123">
        <f t="shared" si="48"/>
        <v>13649.9999999998</v>
      </c>
      <c r="U372" s="138"/>
      <c r="V372" s="137">
        <v>5.37</v>
      </c>
      <c r="W372" s="137">
        <v>30.51</v>
      </c>
      <c r="X372" s="137"/>
      <c r="Y372" s="137"/>
      <c r="Z372" s="137"/>
      <c r="AA372" s="137"/>
      <c r="AB372" s="139" t="s">
        <v>38</v>
      </c>
    </row>
    <row r="373" spans="1:28">
      <c r="A373" s="97">
        <f t="shared" si="40"/>
        <v>375</v>
      </c>
      <c r="B373" s="115">
        <v>46112</v>
      </c>
      <c r="C373" s="116">
        <v>46118</v>
      </c>
      <c r="D373" s="135">
        <v>0.30208333333333298</v>
      </c>
      <c r="E373" s="136">
        <v>0.77083333333333304</v>
      </c>
      <c r="F373" s="124">
        <v>2025.7</v>
      </c>
      <c r="G373" s="137">
        <v>2011.34</v>
      </c>
      <c r="H373" s="137">
        <v>2006.05</v>
      </c>
      <c r="I373" s="137">
        <v>2094.61</v>
      </c>
      <c r="J373" s="137">
        <v>2103.46</v>
      </c>
      <c r="K373" s="137">
        <v>1644.02</v>
      </c>
      <c r="L373" s="137">
        <v>2106.71</v>
      </c>
      <c r="M373" s="125">
        <f t="shared" si="43"/>
        <v>13991.89</v>
      </c>
      <c r="N373" s="126">
        <f t="shared" si="45"/>
        <v>1396.7</v>
      </c>
      <c r="O373" s="141">
        <v>1401.3</v>
      </c>
      <c r="P373" s="23">
        <f t="shared" si="41"/>
        <v>13799.9999999997</v>
      </c>
      <c r="Q373" s="23">
        <f t="shared" si="46"/>
        <v>6.58</v>
      </c>
      <c r="R373" s="137">
        <v>6.59</v>
      </c>
      <c r="S373" s="23">
        <f t="shared" si="47"/>
        <v>29.9999999999994</v>
      </c>
      <c r="T373" s="123">
        <f t="shared" si="48"/>
        <v>13769.9999999997</v>
      </c>
      <c r="U373" s="138"/>
      <c r="V373" s="137">
        <v>5.23</v>
      </c>
      <c r="W373" s="137">
        <v>30.18</v>
      </c>
      <c r="X373" s="137"/>
      <c r="Y373" s="137"/>
      <c r="Z373" s="137"/>
      <c r="AA373" s="137"/>
      <c r="AB373" s="139" t="s">
        <v>38</v>
      </c>
    </row>
    <row r="374" spans="1:28">
      <c r="A374" s="97">
        <f t="shared" si="40"/>
        <v>376</v>
      </c>
      <c r="B374" s="115">
        <v>46112</v>
      </c>
      <c r="C374" s="116">
        <v>46119</v>
      </c>
      <c r="D374" s="135">
        <v>0.30208333333333298</v>
      </c>
      <c r="E374" s="136">
        <v>0.77083333333333304</v>
      </c>
      <c r="F374" s="124">
        <v>1430.48</v>
      </c>
      <c r="G374" s="137">
        <v>1873.53</v>
      </c>
      <c r="H374" s="137">
        <v>1868.68</v>
      </c>
      <c r="I374" s="141">
        <v>1946.2</v>
      </c>
      <c r="J374" s="137">
        <v>1956.76</v>
      </c>
      <c r="K374" s="137">
        <v>1614.87</v>
      </c>
      <c r="L374" s="137">
        <v>1959.25</v>
      </c>
      <c r="M374" s="125">
        <f t="shared" si="43"/>
        <v>12649.77</v>
      </c>
      <c r="N374" s="126">
        <f t="shared" si="45"/>
        <v>1401.3</v>
      </c>
      <c r="O374" s="137">
        <v>1405.46</v>
      </c>
      <c r="P374" s="23">
        <f t="shared" si="41"/>
        <v>12480.0000000002</v>
      </c>
      <c r="Q374" s="23">
        <f t="shared" si="46"/>
        <v>6.59</v>
      </c>
      <c r="R374" s="141">
        <v>6.6</v>
      </c>
      <c r="S374" s="23">
        <f t="shared" si="47"/>
        <v>29.9999999999994</v>
      </c>
      <c r="T374" s="123">
        <f t="shared" si="48"/>
        <v>12450.0000000002</v>
      </c>
      <c r="U374" s="138"/>
      <c r="V374" s="137">
        <v>4.79</v>
      </c>
      <c r="W374" s="137">
        <v>29.91</v>
      </c>
      <c r="X374" s="137"/>
      <c r="Y374" s="137"/>
      <c r="Z374" s="137"/>
      <c r="AA374" s="137"/>
      <c r="AB374" s="139" t="s">
        <v>38</v>
      </c>
    </row>
    <row r="375" spans="1:28">
      <c r="A375" s="97">
        <f t="shared" si="40"/>
        <v>377</v>
      </c>
      <c r="B375" s="115">
        <v>46112</v>
      </c>
      <c r="C375" s="116">
        <v>46120</v>
      </c>
      <c r="D375" s="135">
        <v>0.29166666666666702</v>
      </c>
      <c r="E375" s="136">
        <v>0.78125</v>
      </c>
      <c r="F375" s="124">
        <v>1464.14</v>
      </c>
      <c r="G375" s="137">
        <v>1936.66</v>
      </c>
      <c r="H375" s="137">
        <v>1918.12</v>
      </c>
      <c r="I375" s="137">
        <v>2007.43</v>
      </c>
      <c r="J375" s="137">
        <v>2019.27</v>
      </c>
      <c r="K375" s="137">
        <v>2015.13</v>
      </c>
      <c r="L375" s="137">
        <v>2017.34</v>
      </c>
      <c r="M375" s="125">
        <f t="shared" si="43"/>
        <v>13378.09</v>
      </c>
      <c r="N375" s="126">
        <f t="shared" si="45"/>
        <v>1405.46</v>
      </c>
      <c r="O375" s="137">
        <v>1409.87</v>
      </c>
      <c r="P375" s="23">
        <f t="shared" si="41"/>
        <v>13229.9999999996</v>
      </c>
      <c r="Q375" s="23">
        <f t="shared" si="46"/>
        <v>6.6</v>
      </c>
      <c r="R375" s="137">
        <v>6.61</v>
      </c>
      <c r="S375" s="23">
        <f t="shared" si="47"/>
        <v>30.000000000002</v>
      </c>
      <c r="T375" s="123">
        <f t="shared" si="48"/>
        <v>13199.9999999996</v>
      </c>
      <c r="U375" s="138"/>
      <c r="V375" s="141">
        <v>5.3</v>
      </c>
      <c r="W375" s="137">
        <v>30.12</v>
      </c>
      <c r="X375" s="137"/>
      <c r="Y375" s="137"/>
      <c r="Z375" s="137"/>
      <c r="AA375" s="137"/>
      <c r="AB375" s="139" t="s">
        <v>38</v>
      </c>
    </row>
    <row r="376" spans="1:28">
      <c r="A376" s="97">
        <f t="shared" si="40"/>
        <v>378</v>
      </c>
      <c r="B376" s="115">
        <v>46112</v>
      </c>
      <c r="C376" s="116">
        <v>46121</v>
      </c>
      <c r="D376" s="135">
        <v>0.29166666666666702</v>
      </c>
      <c r="E376" s="136">
        <v>0.78125</v>
      </c>
      <c r="F376" s="124">
        <v>1816.48</v>
      </c>
      <c r="G376" s="137">
        <v>1805.02</v>
      </c>
      <c r="H376" s="137">
        <v>1802.51</v>
      </c>
      <c r="I376" s="137">
        <v>1886.69</v>
      </c>
      <c r="J376" s="137">
        <v>1897.47</v>
      </c>
      <c r="K376" s="137">
        <v>1880.53</v>
      </c>
      <c r="L376" s="137">
        <v>1892.92</v>
      </c>
      <c r="M376" s="125">
        <f t="shared" si="43"/>
        <v>12981.62</v>
      </c>
      <c r="N376" s="126">
        <f t="shared" si="45"/>
        <v>1409.87</v>
      </c>
      <c r="O376" s="137">
        <v>1414.15</v>
      </c>
      <c r="P376" s="23">
        <f t="shared" si="41"/>
        <v>12840.0000000006</v>
      </c>
      <c r="Q376" s="23">
        <f t="shared" si="46"/>
        <v>6.61</v>
      </c>
      <c r="R376" s="137">
        <v>6.63</v>
      </c>
      <c r="S376" s="23">
        <f t="shared" si="47"/>
        <v>59.9999999999987</v>
      </c>
      <c r="T376" s="123">
        <f t="shared" si="48"/>
        <v>12780.0000000006</v>
      </c>
      <c r="U376" s="138"/>
      <c r="V376" s="137">
        <v>4.62</v>
      </c>
      <c r="W376" s="137">
        <v>31.77</v>
      </c>
      <c r="X376" s="137"/>
      <c r="Y376" s="137"/>
      <c r="Z376" s="137"/>
      <c r="AA376" s="137"/>
      <c r="AB376" s="139" t="s">
        <v>38</v>
      </c>
    </row>
    <row r="377" spans="1:28">
      <c r="A377" s="97">
        <f t="shared" si="40"/>
        <v>379</v>
      </c>
      <c r="B377" s="115">
        <v>46112</v>
      </c>
      <c r="C377" s="116">
        <v>46122</v>
      </c>
      <c r="D377" s="135">
        <v>0.30208333333333298</v>
      </c>
      <c r="E377" s="136">
        <v>0.77083333333333304</v>
      </c>
      <c r="F377" s="124">
        <v>1911.94</v>
      </c>
      <c r="G377" s="137">
        <v>1917.55</v>
      </c>
      <c r="H377" s="141">
        <v>1895.4</v>
      </c>
      <c r="I377" s="137">
        <v>1988.03</v>
      </c>
      <c r="J377" s="141">
        <v>1993.5</v>
      </c>
      <c r="K377" s="137">
        <v>1974.68</v>
      </c>
      <c r="L377" s="137">
        <v>1986.84</v>
      </c>
      <c r="M377" s="125">
        <f t="shared" si="43"/>
        <v>13667.94</v>
      </c>
      <c r="N377" s="126">
        <f t="shared" si="45"/>
        <v>1414.15</v>
      </c>
      <c r="O377" s="137">
        <v>1418.65</v>
      </c>
      <c r="P377" s="23">
        <f t="shared" si="41"/>
        <v>13500</v>
      </c>
      <c r="Q377" s="23">
        <f t="shared" si="46"/>
        <v>6.63</v>
      </c>
      <c r="R377" s="137">
        <v>6.64</v>
      </c>
      <c r="S377" s="23">
        <f t="shared" si="47"/>
        <v>29.9999999999994</v>
      </c>
      <c r="T377" s="123">
        <f t="shared" si="48"/>
        <v>13470</v>
      </c>
      <c r="U377" s="138"/>
      <c r="V377" s="137">
        <v>5.17</v>
      </c>
      <c r="W377" s="137">
        <v>33.57</v>
      </c>
      <c r="X377" s="137"/>
      <c r="Y377" s="137"/>
      <c r="Z377" s="137"/>
      <c r="AA377" s="137"/>
      <c r="AB377" s="139" t="s">
        <v>38</v>
      </c>
    </row>
    <row r="378" spans="1:28">
      <c r="A378" s="97">
        <f t="shared" si="40"/>
        <v>380</v>
      </c>
      <c r="B378" s="115">
        <v>46112</v>
      </c>
      <c r="C378" s="116">
        <v>46123</v>
      </c>
      <c r="D378" s="135">
        <v>0.30208333333333298</v>
      </c>
      <c r="E378" s="136">
        <v>0.78125</v>
      </c>
      <c r="F378" s="124">
        <v>1924.03</v>
      </c>
      <c r="G378" s="137">
        <v>1920.86</v>
      </c>
      <c r="H378" s="137">
        <v>1908.15</v>
      </c>
      <c r="I378" s="141">
        <v>1999.3</v>
      </c>
      <c r="J378" s="137">
        <v>2009.15</v>
      </c>
      <c r="K378" s="137">
        <v>1987.41</v>
      </c>
      <c r="L378" s="137">
        <v>2002.61</v>
      </c>
      <c r="M378" s="125">
        <f t="shared" si="43"/>
        <v>13751.51</v>
      </c>
      <c r="N378" s="126">
        <f t="shared" si="45"/>
        <v>1418.65</v>
      </c>
      <c r="O378" s="141">
        <v>1423.2</v>
      </c>
      <c r="P378" s="23">
        <f t="shared" si="41"/>
        <v>13649.9999999999</v>
      </c>
      <c r="Q378" s="23">
        <f t="shared" si="46"/>
        <v>6.64</v>
      </c>
      <c r="R378" s="137">
        <v>6.65</v>
      </c>
      <c r="S378" s="23">
        <f t="shared" si="47"/>
        <v>30.000000000002</v>
      </c>
      <c r="T378" s="123">
        <f t="shared" si="48"/>
        <v>13619.9999999999</v>
      </c>
      <c r="U378" s="138"/>
      <c r="V378" s="137">
        <v>5.24</v>
      </c>
      <c r="W378" s="137">
        <v>34.97</v>
      </c>
      <c r="X378" s="137"/>
      <c r="Y378" s="137"/>
      <c r="Z378" s="137"/>
      <c r="AA378" s="137"/>
      <c r="AB378" s="139" t="s">
        <v>38</v>
      </c>
    </row>
    <row r="379" spans="1:28">
      <c r="A379" s="97">
        <f t="shared" si="40"/>
        <v>381</v>
      </c>
      <c r="B379" s="115">
        <v>46112</v>
      </c>
      <c r="C379" s="116">
        <v>46124</v>
      </c>
      <c r="D379" s="135">
        <v>0.30208333333333298</v>
      </c>
      <c r="E379" s="136">
        <v>0.78125</v>
      </c>
      <c r="F379" s="124">
        <v>1949.45</v>
      </c>
      <c r="G379" s="137">
        <v>1974.59</v>
      </c>
      <c r="H379" s="137">
        <v>1940.34</v>
      </c>
      <c r="I379" s="137">
        <v>2064.2199999999998</v>
      </c>
      <c r="J379" s="137">
        <v>2076.91</v>
      </c>
      <c r="K379" s="137">
        <v>2027.93</v>
      </c>
      <c r="L379" s="137">
        <v>2075.65</v>
      </c>
      <c r="M379" s="125">
        <f t="shared" si="43"/>
        <v>14109.09</v>
      </c>
      <c r="N379" s="126">
        <f t="shared" si="45"/>
        <v>1423.2</v>
      </c>
      <c r="O379" s="137">
        <v>1427.85</v>
      </c>
      <c r="P379" s="23">
        <f t="shared" si="41"/>
        <v>13949.9999999996</v>
      </c>
      <c r="Q379" s="23">
        <f t="shared" si="46"/>
        <v>6.65</v>
      </c>
      <c r="R379" s="137">
        <v>6.66</v>
      </c>
      <c r="S379" s="23">
        <f t="shared" si="47"/>
        <v>29.9999999999994</v>
      </c>
      <c r="T379" s="123">
        <f t="shared" si="48"/>
        <v>13919.9999999996</v>
      </c>
      <c r="U379" s="138"/>
      <c r="V379" s="137">
        <v>5.27</v>
      </c>
      <c r="W379" s="137">
        <v>35.18</v>
      </c>
      <c r="X379" s="137"/>
      <c r="Y379" s="137"/>
      <c r="Z379" s="137"/>
      <c r="AA379" s="137"/>
      <c r="AB379" s="139" t="s">
        <v>38</v>
      </c>
    </row>
    <row r="380" spans="1:28">
      <c r="A380" s="97">
        <f t="shared" si="40"/>
        <v>382</v>
      </c>
      <c r="B380" s="115">
        <v>46112</v>
      </c>
      <c r="C380" s="116">
        <v>46125</v>
      </c>
      <c r="D380" s="135">
        <v>0.30208333333333298</v>
      </c>
      <c r="E380" s="136">
        <v>0.78125</v>
      </c>
      <c r="F380" s="124">
        <v>2010.01</v>
      </c>
      <c r="G380" s="137">
        <v>1986.23</v>
      </c>
      <c r="H380" s="137">
        <v>1992.63</v>
      </c>
      <c r="I380" s="141">
        <v>2081.9</v>
      </c>
      <c r="J380" s="137">
        <v>2094.5300000000002</v>
      </c>
      <c r="K380" s="141">
        <v>2079.1</v>
      </c>
      <c r="L380" s="141">
        <v>2088.9</v>
      </c>
      <c r="M380" s="125">
        <f t="shared" si="43"/>
        <v>14333.3</v>
      </c>
      <c r="N380" s="126">
        <f t="shared" si="45"/>
        <v>1427.85</v>
      </c>
      <c r="O380" s="137">
        <v>1432.57</v>
      </c>
      <c r="P380" s="23">
        <f t="shared" si="41"/>
        <v>14160.0000000001</v>
      </c>
      <c r="Q380" s="23">
        <f t="shared" si="46"/>
        <v>6.66</v>
      </c>
      <c r="R380" s="137">
        <v>6.67</v>
      </c>
      <c r="S380" s="23">
        <f t="shared" si="47"/>
        <v>29.9999999999994</v>
      </c>
      <c r="T380" s="123">
        <f t="shared" si="48"/>
        <v>14130.0000000001</v>
      </c>
      <c r="U380" s="138"/>
      <c r="V380" s="137">
        <v>5.34</v>
      </c>
      <c r="W380" s="137">
        <v>35.520000000000003</v>
      </c>
      <c r="X380" s="137"/>
      <c r="Y380" s="137"/>
      <c r="Z380" s="137"/>
      <c r="AA380" s="137"/>
      <c r="AB380" s="139" t="s">
        <v>38</v>
      </c>
    </row>
    <row r="381" spans="1:28">
      <c r="A381" s="97">
        <f t="shared" si="40"/>
        <v>383</v>
      </c>
      <c r="B381" s="115">
        <v>46112</v>
      </c>
      <c r="C381" s="116">
        <v>46126</v>
      </c>
      <c r="D381" s="135">
        <v>0.30208333333333298</v>
      </c>
      <c r="E381" s="136">
        <v>0.78125</v>
      </c>
      <c r="F381" s="124">
        <v>1491.52</v>
      </c>
      <c r="G381" s="137">
        <v>1480.51</v>
      </c>
      <c r="H381" s="137">
        <v>1479.97</v>
      </c>
      <c r="I381" s="137">
        <v>1545.66</v>
      </c>
      <c r="J381" s="137">
        <v>1557.25</v>
      </c>
      <c r="K381" s="137">
        <v>1543.75</v>
      </c>
      <c r="L381" s="137">
        <v>1553.53</v>
      </c>
      <c r="M381" s="125">
        <f t="shared" si="43"/>
        <v>10652.19</v>
      </c>
      <c r="N381" s="126">
        <f t="shared" si="45"/>
        <v>1432.57</v>
      </c>
      <c r="O381" s="137">
        <v>1436.08</v>
      </c>
      <c r="P381" s="23">
        <f t="shared" si="41"/>
        <v>10530</v>
      </c>
      <c r="Q381" s="23">
        <f t="shared" si="46"/>
        <v>6.67</v>
      </c>
      <c r="R381" s="137">
        <v>6.68</v>
      </c>
      <c r="S381" s="23">
        <f t="shared" si="47"/>
        <v>29.9999999999994</v>
      </c>
      <c r="T381" s="123">
        <f t="shared" si="48"/>
        <v>10500</v>
      </c>
      <c r="U381" s="138"/>
      <c r="V381" s="137">
        <v>4.17</v>
      </c>
      <c r="W381" s="141">
        <v>32</v>
      </c>
      <c r="X381" s="137"/>
      <c r="Y381" s="137"/>
      <c r="Z381" s="137"/>
      <c r="AA381" s="137"/>
      <c r="AB381" s="139" t="s">
        <v>38</v>
      </c>
    </row>
    <row r="382" spans="1:28">
      <c r="A382" s="97">
        <f t="shared" si="40"/>
        <v>384</v>
      </c>
      <c r="B382" s="115">
        <v>46112</v>
      </c>
      <c r="C382" s="116">
        <v>46127</v>
      </c>
      <c r="D382" s="135">
        <v>0.30208333333333298</v>
      </c>
      <c r="E382" s="136">
        <v>0.78125</v>
      </c>
      <c r="F382" s="124">
        <v>2123.3200000000002</v>
      </c>
      <c r="G382" s="137">
        <v>2096.86</v>
      </c>
      <c r="H382" s="137">
        <v>2104.34</v>
      </c>
      <c r="I382" s="137">
        <v>2195.0300000000002</v>
      </c>
      <c r="J382" s="137">
        <v>2209.77</v>
      </c>
      <c r="K382" s="137">
        <v>2175.62</v>
      </c>
      <c r="L382" s="137">
        <v>2201.5300000000002</v>
      </c>
      <c r="M382" s="125">
        <f t="shared" si="43"/>
        <v>15106.47</v>
      </c>
      <c r="N382" s="126">
        <f t="shared" si="45"/>
        <v>1436.08</v>
      </c>
      <c r="O382" s="137">
        <v>1441.06</v>
      </c>
      <c r="P382" s="23">
        <f t="shared" si="41"/>
        <v>14940.0000000001</v>
      </c>
      <c r="Q382" s="23">
        <f t="shared" si="46"/>
        <v>6.68</v>
      </c>
      <c r="R382" s="137">
        <v>6.69</v>
      </c>
      <c r="S382" s="23">
        <f t="shared" si="47"/>
        <v>30.000000000002</v>
      </c>
      <c r="T382" s="123">
        <f t="shared" si="48"/>
        <v>14910.0000000001</v>
      </c>
      <c r="U382" s="138"/>
      <c r="V382" s="137">
        <v>5.57</v>
      </c>
      <c r="W382" s="137">
        <v>31.93</v>
      </c>
      <c r="X382" s="137"/>
      <c r="Y382" s="137"/>
      <c r="Z382" s="137"/>
      <c r="AA382" s="137"/>
      <c r="AB382" s="139" t="s">
        <v>38</v>
      </c>
    </row>
    <row r="383" spans="1:28">
      <c r="A383" s="97">
        <f t="shared" si="40"/>
        <v>385</v>
      </c>
      <c r="B383" s="115">
        <v>46112</v>
      </c>
      <c r="C383" s="116">
        <v>46128</v>
      </c>
      <c r="D383" s="135">
        <v>0.29166666666666702</v>
      </c>
      <c r="E383" s="136">
        <v>0.75</v>
      </c>
      <c r="F383" s="124">
        <v>2075.4899999999998</v>
      </c>
      <c r="G383" s="137">
        <v>2047.17</v>
      </c>
      <c r="H383" s="137">
        <v>2058.4699999999998</v>
      </c>
      <c r="I383" s="137">
        <v>2155.5300000000002</v>
      </c>
      <c r="J383" s="137">
        <v>2170.4699999999998</v>
      </c>
      <c r="K383" s="137">
        <v>2036.96</v>
      </c>
      <c r="L383" s="137">
        <v>2118.9899999999998</v>
      </c>
      <c r="M383" s="125">
        <f t="shared" si="43"/>
        <v>14663.08</v>
      </c>
      <c r="N383" s="126">
        <f t="shared" si="45"/>
        <v>1441.06</v>
      </c>
      <c r="O383" s="137">
        <v>1445.88</v>
      </c>
      <c r="P383" s="23">
        <f t="shared" si="41"/>
        <v>14460.0000000005</v>
      </c>
      <c r="Q383" s="23">
        <f t="shared" si="46"/>
        <v>6.69</v>
      </c>
      <c r="R383" s="137">
        <v>6.71</v>
      </c>
      <c r="S383" s="23">
        <f t="shared" si="47"/>
        <v>59.9999999999987</v>
      </c>
      <c r="T383" s="123">
        <f t="shared" si="48"/>
        <v>14400.0000000005</v>
      </c>
      <c r="U383" s="138"/>
      <c r="V383" s="137">
        <v>5.57</v>
      </c>
      <c r="W383" s="137">
        <v>33.51</v>
      </c>
      <c r="X383" s="137"/>
      <c r="Y383" s="137"/>
      <c r="Z383" s="137"/>
      <c r="AA383" s="137"/>
      <c r="AB383" s="139" t="s">
        <v>38</v>
      </c>
    </row>
    <row r="384" spans="1:28">
      <c r="A384" s="97">
        <f t="shared" si="40"/>
        <v>386</v>
      </c>
      <c r="B384" s="115">
        <v>46112</v>
      </c>
      <c r="C384" s="116">
        <v>46129</v>
      </c>
      <c r="D384" s="135">
        <v>0.29166666666666702</v>
      </c>
      <c r="E384" s="136">
        <v>0.75</v>
      </c>
      <c r="F384" s="124">
        <v>2011.08</v>
      </c>
      <c r="G384" s="137">
        <v>1997.35</v>
      </c>
      <c r="H384" s="137">
        <v>1967.45</v>
      </c>
      <c r="I384" s="137">
        <v>2099.42</v>
      </c>
      <c r="J384" s="137">
        <v>2048.34</v>
      </c>
      <c r="K384" s="137">
        <v>2037.49</v>
      </c>
      <c r="L384" s="137">
        <v>2096.75</v>
      </c>
      <c r="M384" s="125">
        <f t="shared" si="43"/>
        <v>14257.88</v>
      </c>
      <c r="N384" s="126">
        <f t="shared" si="45"/>
        <v>1445.88</v>
      </c>
      <c r="O384" s="137">
        <v>1450.58</v>
      </c>
      <c r="P384" s="23">
        <f t="shared" si="41"/>
        <v>14099.9999999995</v>
      </c>
      <c r="Q384" s="23">
        <f t="shared" si="46"/>
        <v>6.71</v>
      </c>
      <c r="R384" s="137">
        <v>6.72</v>
      </c>
      <c r="S384" s="23">
        <f t="shared" si="47"/>
        <v>29.9999999999994</v>
      </c>
      <c r="T384" s="123">
        <f t="shared" si="48"/>
        <v>14069.9999999995</v>
      </c>
      <c r="U384" s="138"/>
      <c r="V384" s="137">
        <v>5.72</v>
      </c>
      <c r="W384" s="137">
        <v>35.119999999999997</v>
      </c>
      <c r="X384" s="137"/>
      <c r="Y384" s="137"/>
      <c r="Z384" s="137"/>
      <c r="AA384" s="137"/>
      <c r="AB384" s="139" t="s">
        <v>38</v>
      </c>
    </row>
    <row r="385" spans="1:28">
      <c r="A385" s="97">
        <f t="shared" si="40"/>
        <v>387</v>
      </c>
      <c r="B385" s="115">
        <v>46112</v>
      </c>
      <c r="C385" s="116">
        <v>46130</v>
      </c>
      <c r="D385" s="135">
        <v>0.29166666666666702</v>
      </c>
      <c r="E385" s="136">
        <v>0.75</v>
      </c>
      <c r="F385" s="124">
        <v>1986.59</v>
      </c>
      <c r="G385" s="137">
        <v>2003.56</v>
      </c>
      <c r="H385" s="137">
        <v>1864.83</v>
      </c>
      <c r="I385" s="137">
        <v>1975.37</v>
      </c>
      <c r="J385" s="141">
        <v>2110.5</v>
      </c>
      <c r="K385" s="137">
        <v>2073.71</v>
      </c>
      <c r="L385" s="137">
        <v>2110.56</v>
      </c>
      <c r="M385" s="125">
        <f t="shared" si="43"/>
        <v>14125.12</v>
      </c>
      <c r="N385" s="126">
        <f t="shared" si="45"/>
        <v>1450.58</v>
      </c>
      <c r="O385" s="137">
        <v>1455.26</v>
      </c>
      <c r="P385" s="23">
        <f t="shared" si="41"/>
        <v>14040.0000000002</v>
      </c>
      <c r="Q385" s="23">
        <f t="shared" si="46"/>
        <v>6.72</v>
      </c>
      <c r="R385" s="137">
        <v>6.73</v>
      </c>
      <c r="S385" s="23">
        <f t="shared" si="47"/>
        <v>30.000000000002</v>
      </c>
      <c r="T385" s="123">
        <f t="shared" si="48"/>
        <v>14010.0000000002</v>
      </c>
      <c r="U385" s="138"/>
      <c r="V385" s="137">
        <v>5.47</v>
      </c>
      <c r="W385" s="137">
        <v>34.47</v>
      </c>
      <c r="X385" s="137"/>
      <c r="Y385" s="137"/>
      <c r="Z385" s="137"/>
      <c r="AA385" s="137"/>
      <c r="AB385" s="139" t="s">
        <v>38</v>
      </c>
    </row>
    <row r="386" spans="1:28">
      <c r="A386" s="97">
        <f t="shared" si="40"/>
        <v>388</v>
      </c>
      <c r="B386" s="115">
        <v>46112</v>
      </c>
      <c r="C386" s="116">
        <v>46131</v>
      </c>
      <c r="D386" s="135">
        <v>0.29166666666666702</v>
      </c>
      <c r="E386" s="136">
        <v>0.78125</v>
      </c>
      <c r="F386" s="124">
        <v>1982.88</v>
      </c>
      <c r="G386" s="137">
        <v>1965.02</v>
      </c>
      <c r="H386" s="137">
        <v>1919.39</v>
      </c>
      <c r="I386" s="137">
        <v>2051.39</v>
      </c>
      <c r="J386" s="137">
        <v>2063.42</v>
      </c>
      <c r="K386" s="137">
        <v>1962.11</v>
      </c>
      <c r="L386" s="141">
        <v>2061.5</v>
      </c>
      <c r="M386" s="125">
        <v>14005.71</v>
      </c>
      <c r="N386" s="126">
        <f t="shared" si="45"/>
        <v>1455.26</v>
      </c>
      <c r="O386" s="137">
        <v>1459.87</v>
      </c>
      <c r="P386" s="23">
        <f t="shared" si="41"/>
        <v>13829.9999999997</v>
      </c>
      <c r="Q386" s="23">
        <v>6.73</v>
      </c>
      <c r="R386" s="137">
        <v>6.74</v>
      </c>
      <c r="S386" s="23">
        <f t="shared" si="47"/>
        <v>29.9999999999994</v>
      </c>
      <c r="T386" s="123">
        <f t="shared" si="48"/>
        <v>13799.9999999997</v>
      </c>
      <c r="U386" s="138"/>
      <c r="V386" s="137">
        <v>5.25</v>
      </c>
      <c r="W386" s="137">
        <v>32.520000000000003</v>
      </c>
      <c r="X386" s="137"/>
      <c r="Y386" s="137"/>
      <c r="Z386" s="137"/>
      <c r="AA386" s="137"/>
      <c r="AB386" s="139" t="s">
        <v>38</v>
      </c>
    </row>
    <row r="387" spans="1:28">
      <c r="A387" s="97">
        <f t="shared" ref="A387:A450" si="49">A386+1</f>
        <v>389</v>
      </c>
      <c r="B387" s="115">
        <v>46112</v>
      </c>
      <c r="C387" s="116">
        <v>46132</v>
      </c>
      <c r="D387" s="135">
        <v>0.29166666666666702</v>
      </c>
      <c r="E387" s="136">
        <v>0.78125</v>
      </c>
      <c r="F387" s="124">
        <v>2047.64</v>
      </c>
      <c r="G387" s="141">
        <v>2024.2</v>
      </c>
      <c r="H387" s="137">
        <v>1979.27</v>
      </c>
      <c r="I387" s="137">
        <v>2118.73</v>
      </c>
      <c r="J387" s="141">
        <v>2132.3000000000002</v>
      </c>
      <c r="K387" s="141">
        <v>2095.6</v>
      </c>
      <c r="L387" s="141">
        <v>2100.63</v>
      </c>
      <c r="M387" s="125">
        <v>14498.37</v>
      </c>
      <c r="N387" s="126">
        <f t="shared" si="45"/>
        <v>1459.87</v>
      </c>
      <c r="O387" s="137">
        <v>1464.65</v>
      </c>
      <c r="P387" s="23">
        <f t="shared" ref="P387:P450" si="50">MAX((O387-N387)*3000,0)</f>
        <v>14340.0000000006</v>
      </c>
      <c r="Q387" s="23">
        <v>6.74</v>
      </c>
      <c r="R387" s="137">
        <v>6.75</v>
      </c>
      <c r="S387" s="23">
        <f t="shared" si="47"/>
        <v>29.9999999999994</v>
      </c>
      <c r="T387" s="123">
        <f t="shared" si="48"/>
        <v>14310.0000000006</v>
      </c>
      <c r="U387" s="138"/>
      <c r="V387" s="137">
        <v>5.55</v>
      </c>
      <c r="W387" s="137">
        <v>33.97</v>
      </c>
      <c r="X387" s="137"/>
      <c r="Y387" s="137"/>
      <c r="Z387" s="137"/>
      <c r="AA387" s="137"/>
      <c r="AB387" s="139" t="s">
        <v>38</v>
      </c>
    </row>
    <row r="388" spans="1:28">
      <c r="A388" s="97">
        <f t="shared" si="49"/>
        <v>390</v>
      </c>
      <c r="B388" s="115">
        <v>46112</v>
      </c>
      <c r="C388" s="116">
        <v>46133</v>
      </c>
      <c r="D388" s="135">
        <v>0.29166666666666702</v>
      </c>
      <c r="E388" s="136">
        <v>0.75</v>
      </c>
      <c r="F388" s="124">
        <v>2032.08</v>
      </c>
      <c r="G388" s="137">
        <v>2007.81</v>
      </c>
      <c r="H388" s="137">
        <v>1955.87</v>
      </c>
      <c r="I388" s="137">
        <v>2103.46</v>
      </c>
      <c r="J388" s="137">
        <v>2112.21</v>
      </c>
      <c r="K388" s="137">
        <v>2079.98</v>
      </c>
      <c r="L388" s="137">
        <v>2108.96</v>
      </c>
      <c r="M388" s="125">
        <f t="shared" ref="M388:M451" si="51">SUM(F388:L388)</f>
        <v>14400.37</v>
      </c>
      <c r="N388" s="126">
        <f t="shared" si="45"/>
        <v>1464.65</v>
      </c>
      <c r="O388" s="137">
        <v>1469.41</v>
      </c>
      <c r="P388" s="23">
        <f t="shared" si="50"/>
        <v>14280</v>
      </c>
      <c r="Q388" s="23">
        <v>6.75</v>
      </c>
      <c r="R388" s="137">
        <v>6.76</v>
      </c>
      <c r="S388" s="23">
        <f t="shared" si="47"/>
        <v>29.9999999999994</v>
      </c>
      <c r="T388" s="123">
        <f t="shared" si="48"/>
        <v>14250</v>
      </c>
      <c r="U388" s="138"/>
      <c r="V388" s="137">
        <v>5.48</v>
      </c>
      <c r="W388" s="137">
        <v>34.08</v>
      </c>
      <c r="X388" s="137"/>
      <c r="Y388" s="137"/>
      <c r="Z388" s="137"/>
      <c r="AA388" s="137"/>
      <c r="AB388" s="139" t="s">
        <v>38</v>
      </c>
    </row>
    <row r="389" spans="1:28">
      <c r="A389" s="97">
        <f t="shared" si="49"/>
        <v>391</v>
      </c>
      <c r="B389" s="115">
        <v>46112</v>
      </c>
      <c r="C389" s="116">
        <v>46134</v>
      </c>
      <c r="D389" s="135">
        <v>0.29166666666666702</v>
      </c>
      <c r="E389" s="136">
        <v>0.78125</v>
      </c>
      <c r="F389" s="124">
        <v>2043.25</v>
      </c>
      <c r="G389" s="137">
        <v>2019.33</v>
      </c>
      <c r="H389" s="137">
        <v>1975.07</v>
      </c>
      <c r="I389" s="137">
        <v>2115.79</v>
      </c>
      <c r="J389" s="137">
        <v>2128.38</v>
      </c>
      <c r="K389" s="137">
        <v>2086.4499999999998</v>
      </c>
      <c r="L389" s="137">
        <v>2120.42</v>
      </c>
      <c r="M389" s="125">
        <f t="shared" si="51"/>
        <v>14488.69</v>
      </c>
      <c r="N389" s="126">
        <f t="shared" si="45"/>
        <v>1469.41</v>
      </c>
      <c r="O389" s="137">
        <v>1474.18</v>
      </c>
      <c r="P389" s="23">
        <f t="shared" si="50"/>
        <v>14309.9999999999</v>
      </c>
      <c r="Q389" s="23">
        <f t="shared" si="46"/>
        <v>6.76</v>
      </c>
      <c r="R389" s="137">
        <v>6.77</v>
      </c>
      <c r="S389" s="23">
        <f t="shared" si="47"/>
        <v>29.9999999999994</v>
      </c>
      <c r="T389" s="123">
        <f t="shared" si="48"/>
        <v>14279.9999999999</v>
      </c>
      <c r="U389" s="138"/>
      <c r="V389" s="137">
        <v>5.58</v>
      </c>
      <c r="W389" s="137">
        <v>32.22</v>
      </c>
      <c r="X389" s="137"/>
      <c r="Y389" s="137"/>
      <c r="Z389" s="137"/>
      <c r="AA389" s="137"/>
      <c r="AB389" s="139" t="s">
        <v>38</v>
      </c>
    </row>
    <row r="390" spans="1:28">
      <c r="A390" s="97">
        <f t="shared" si="49"/>
        <v>392</v>
      </c>
      <c r="B390" s="115">
        <v>46112</v>
      </c>
      <c r="C390" s="116">
        <v>46135</v>
      </c>
      <c r="D390" s="135">
        <v>0.29166666666666702</v>
      </c>
      <c r="E390" s="136">
        <v>0.78125</v>
      </c>
      <c r="F390" s="124">
        <v>2043.25</v>
      </c>
      <c r="G390" s="137">
        <v>2019.33</v>
      </c>
      <c r="H390" s="137">
        <v>1975.07</v>
      </c>
      <c r="I390" s="137">
        <v>2115.79</v>
      </c>
      <c r="J390" s="137">
        <v>2128.38</v>
      </c>
      <c r="K390" s="137">
        <v>2086.4499999999998</v>
      </c>
      <c r="L390" s="137">
        <v>2120.42</v>
      </c>
      <c r="M390" s="125">
        <f t="shared" si="51"/>
        <v>14488.69</v>
      </c>
      <c r="N390" s="126">
        <f t="shared" si="45"/>
        <v>1474.18</v>
      </c>
      <c r="O390" s="137">
        <v>1478.83</v>
      </c>
      <c r="P390" s="23">
        <f t="shared" si="50"/>
        <v>13949.9999999996</v>
      </c>
      <c r="Q390" s="23">
        <f t="shared" si="46"/>
        <v>6.77</v>
      </c>
      <c r="R390" s="137">
        <v>6.79</v>
      </c>
      <c r="S390" s="23">
        <f t="shared" si="47"/>
        <v>60.0000000000014</v>
      </c>
      <c r="T390" s="123">
        <f t="shared" si="48"/>
        <v>13889.9999999996</v>
      </c>
      <c r="U390" s="138"/>
      <c r="V390" s="137">
        <v>5.38</v>
      </c>
      <c r="W390" s="137">
        <v>34.020000000000003</v>
      </c>
      <c r="X390" s="137"/>
      <c r="Y390" s="137"/>
      <c r="Z390" s="137"/>
      <c r="AA390" s="137"/>
      <c r="AB390" s="139" t="s">
        <v>38</v>
      </c>
    </row>
    <row r="391" spans="1:28">
      <c r="A391" s="97">
        <f t="shared" si="49"/>
        <v>393</v>
      </c>
      <c r="B391" s="115">
        <v>46112</v>
      </c>
      <c r="C391" s="116">
        <v>46136</v>
      </c>
      <c r="D391" s="135">
        <v>0.29166666666666702</v>
      </c>
      <c r="E391" s="136">
        <v>0.78125</v>
      </c>
      <c r="F391" s="124">
        <v>2069.02</v>
      </c>
      <c r="G391" s="137">
        <v>2043.45</v>
      </c>
      <c r="H391" s="137">
        <v>2032.65</v>
      </c>
      <c r="I391" s="137">
        <v>2149.81</v>
      </c>
      <c r="J391" s="137">
        <v>2163.61</v>
      </c>
      <c r="K391" s="137">
        <v>2105.15</v>
      </c>
      <c r="L391" s="137">
        <v>2153.56</v>
      </c>
      <c r="M391" s="125">
        <f t="shared" si="51"/>
        <v>14717.25</v>
      </c>
      <c r="N391" s="126">
        <f t="shared" si="45"/>
        <v>1478.83</v>
      </c>
      <c r="O391" s="137">
        <v>1483.68</v>
      </c>
      <c r="P391" s="23">
        <f t="shared" si="50"/>
        <v>14550.0000000004</v>
      </c>
      <c r="Q391" s="23">
        <f t="shared" si="46"/>
        <v>6.79</v>
      </c>
      <c r="R391" s="141">
        <v>6.8</v>
      </c>
      <c r="S391" s="23">
        <f t="shared" si="47"/>
        <v>29.9999999999994</v>
      </c>
      <c r="T391" s="123">
        <f t="shared" si="48"/>
        <v>14520.0000000004</v>
      </c>
      <c r="U391" s="138"/>
      <c r="V391" s="137">
        <v>5.53</v>
      </c>
      <c r="W391" s="137">
        <v>35.020000000000003</v>
      </c>
      <c r="X391" s="137"/>
      <c r="Y391" s="137"/>
      <c r="Z391" s="137"/>
      <c r="AA391" s="137"/>
      <c r="AB391" s="139" t="s">
        <v>38</v>
      </c>
    </row>
    <row r="392" spans="1:28">
      <c r="A392" s="97">
        <f t="shared" si="49"/>
        <v>394</v>
      </c>
      <c r="B392" s="115">
        <v>46112</v>
      </c>
      <c r="C392" s="116">
        <v>46137</v>
      </c>
      <c r="D392" s="135">
        <v>0.29166666666666702</v>
      </c>
      <c r="E392" s="136">
        <v>0.78125</v>
      </c>
      <c r="F392" s="124">
        <v>2003.87</v>
      </c>
      <c r="G392" s="137">
        <v>1984.51</v>
      </c>
      <c r="H392" s="137">
        <v>1992.08</v>
      </c>
      <c r="I392" s="137">
        <v>2078.58</v>
      </c>
      <c r="J392" s="141">
        <v>2086.4</v>
      </c>
      <c r="K392" s="137">
        <v>1909.79</v>
      </c>
      <c r="L392" s="137">
        <v>2082.56</v>
      </c>
      <c r="M392" s="125">
        <f t="shared" si="51"/>
        <v>14137.79</v>
      </c>
      <c r="N392" s="126">
        <f t="shared" si="45"/>
        <v>1483.68</v>
      </c>
      <c r="O392" s="137">
        <v>1488.33</v>
      </c>
      <c r="P392" s="23">
        <f t="shared" si="50"/>
        <v>13949.9999999996</v>
      </c>
      <c r="Q392" s="23">
        <f t="shared" si="46"/>
        <v>6.8</v>
      </c>
      <c r="R392" s="137">
        <v>6.81</v>
      </c>
      <c r="S392" s="23">
        <f t="shared" si="47"/>
        <v>29.9999999999994</v>
      </c>
      <c r="T392" s="123">
        <f t="shared" si="48"/>
        <v>13919.9999999996</v>
      </c>
      <c r="U392" s="138"/>
      <c r="V392" s="137">
        <v>5.38</v>
      </c>
      <c r="W392" s="137">
        <v>35.28</v>
      </c>
      <c r="X392" s="137"/>
      <c r="Y392" s="137"/>
      <c r="Z392" s="137"/>
      <c r="AA392" s="137"/>
      <c r="AB392" s="139" t="s">
        <v>38</v>
      </c>
    </row>
    <row r="393" spans="1:28">
      <c r="A393" s="97">
        <f t="shared" si="49"/>
        <v>395</v>
      </c>
      <c r="B393" s="115">
        <v>46112</v>
      </c>
      <c r="C393" s="116">
        <v>46138</v>
      </c>
      <c r="D393" s="135">
        <v>0.29166666666666702</v>
      </c>
      <c r="E393" s="136">
        <v>0.78125</v>
      </c>
      <c r="F393" s="124">
        <v>1942.56</v>
      </c>
      <c r="G393" s="137">
        <v>1922.24</v>
      </c>
      <c r="H393" s="137">
        <v>1926.25</v>
      </c>
      <c r="I393" s="141">
        <v>2011.1</v>
      </c>
      <c r="J393" s="137">
        <v>2018.58</v>
      </c>
      <c r="K393" s="137">
        <v>1278.3499999999999</v>
      </c>
      <c r="L393" s="141">
        <v>2010.4</v>
      </c>
      <c r="M393" s="125">
        <f t="shared" si="51"/>
        <v>13109.48</v>
      </c>
      <c r="N393" s="126">
        <f t="shared" si="45"/>
        <v>1488.33</v>
      </c>
      <c r="O393" s="137">
        <v>1492.66</v>
      </c>
      <c r="P393" s="23">
        <f t="shared" si="50"/>
        <v>12990.0000000005</v>
      </c>
      <c r="Q393" s="23">
        <f t="shared" si="46"/>
        <v>6.81</v>
      </c>
      <c r="R393" s="137">
        <v>6.82</v>
      </c>
      <c r="S393" s="23">
        <f t="shared" si="47"/>
        <v>30.000000000002</v>
      </c>
      <c r="T393" s="123">
        <f t="shared" si="48"/>
        <v>12960.0000000005</v>
      </c>
      <c r="U393" s="138"/>
      <c r="V393" s="137">
        <v>5.17</v>
      </c>
      <c r="W393" s="141">
        <v>37.4</v>
      </c>
      <c r="X393" s="137"/>
      <c r="Y393" s="137"/>
      <c r="Z393" s="137"/>
      <c r="AA393" s="137"/>
      <c r="AB393" s="139" t="s">
        <v>38</v>
      </c>
    </row>
    <row r="394" spans="1:28">
      <c r="A394" s="97">
        <f t="shared" si="49"/>
        <v>396</v>
      </c>
      <c r="B394" s="115">
        <v>46112</v>
      </c>
      <c r="C394" s="116">
        <v>46139</v>
      </c>
      <c r="D394" s="135">
        <v>0.29166666666666702</v>
      </c>
      <c r="E394" s="136">
        <v>0.78125</v>
      </c>
      <c r="F394" s="124">
        <v>1940.82</v>
      </c>
      <c r="G394" s="137">
        <v>1914.89</v>
      </c>
      <c r="H394" s="137">
        <v>1562.08</v>
      </c>
      <c r="I394" s="137">
        <v>2002.64</v>
      </c>
      <c r="J394" s="137">
        <v>2013.44</v>
      </c>
      <c r="K394" s="137">
        <v>1993.77</v>
      </c>
      <c r="L394" s="141">
        <v>2006.5</v>
      </c>
      <c r="M394" s="125">
        <f t="shared" si="51"/>
        <v>13434.14</v>
      </c>
      <c r="N394" s="126">
        <f t="shared" si="45"/>
        <v>1492.66</v>
      </c>
      <c r="O394" s="137">
        <v>1497.09</v>
      </c>
      <c r="P394" s="23">
        <f t="shared" si="50"/>
        <v>13289.9999999995</v>
      </c>
      <c r="Q394" s="23">
        <f t="shared" si="46"/>
        <v>6.82</v>
      </c>
      <c r="R394" s="137">
        <v>6.83</v>
      </c>
      <c r="S394" s="23">
        <f t="shared" si="47"/>
        <v>29.9999999999994</v>
      </c>
      <c r="T394" s="123">
        <f t="shared" si="48"/>
        <v>13259.9999999995</v>
      </c>
      <c r="U394" s="138"/>
      <c r="V394" s="137">
        <v>5.38</v>
      </c>
      <c r="W394" s="137">
        <v>35.51</v>
      </c>
      <c r="X394" s="137"/>
      <c r="Y394" s="137"/>
      <c r="Z394" s="137"/>
      <c r="AA394" s="137"/>
      <c r="AB394" s="139" t="s">
        <v>38</v>
      </c>
    </row>
    <row r="395" spans="1:28">
      <c r="A395" s="97">
        <f t="shared" si="49"/>
        <v>397</v>
      </c>
      <c r="B395" s="115">
        <v>46112</v>
      </c>
      <c r="C395" s="116">
        <v>46140</v>
      </c>
      <c r="D395" s="135">
        <v>0.29166666666666702</v>
      </c>
      <c r="E395" s="136">
        <v>0.78125</v>
      </c>
      <c r="F395" s="124">
        <v>2043.57</v>
      </c>
      <c r="G395" s="137">
        <v>1995.67</v>
      </c>
      <c r="H395" s="137">
        <v>2018.67</v>
      </c>
      <c r="I395" s="137">
        <v>2100.25</v>
      </c>
      <c r="J395" s="141">
        <v>2110.9</v>
      </c>
      <c r="K395" s="137">
        <v>2056.11</v>
      </c>
      <c r="L395" s="137">
        <v>2087.08</v>
      </c>
      <c r="M395" s="125">
        <f t="shared" si="51"/>
        <v>14412.25</v>
      </c>
      <c r="N395" s="126">
        <f t="shared" si="45"/>
        <v>1497.09</v>
      </c>
      <c r="O395" s="137">
        <v>1501.84</v>
      </c>
      <c r="P395" s="23">
        <f t="shared" si="50"/>
        <v>14250</v>
      </c>
      <c r="Q395" s="23">
        <f t="shared" si="46"/>
        <v>6.83</v>
      </c>
      <c r="R395" s="137">
        <v>6.84</v>
      </c>
      <c r="S395" s="23">
        <f t="shared" si="47"/>
        <v>29.9999999999994</v>
      </c>
      <c r="T395" s="123">
        <f t="shared" si="48"/>
        <v>14220</v>
      </c>
      <c r="U395" s="138"/>
      <c r="V395" s="137">
        <v>5.53</v>
      </c>
      <c r="W395" s="137">
        <v>34.39</v>
      </c>
      <c r="X395" s="137"/>
      <c r="Y395" s="137"/>
      <c r="Z395" s="137"/>
      <c r="AA395" s="137"/>
      <c r="AB395" s="139" t="s">
        <v>38</v>
      </c>
    </row>
    <row r="396" spans="1:28">
      <c r="A396" s="97">
        <f t="shared" si="49"/>
        <v>398</v>
      </c>
      <c r="B396" s="115">
        <v>46112</v>
      </c>
      <c r="C396" s="116">
        <v>46141</v>
      </c>
      <c r="D396" s="135">
        <v>0.29166666666666702</v>
      </c>
      <c r="E396" s="136">
        <v>0.78125</v>
      </c>
      <c r="F396" s="124">
        <v>2019.31</v>
      </c>
      <c r="G396" s="137">
        <v>1981.56</v>
      </c>
      <c r="H396" s="137">
        <v>1949.37</v>
      </c>
      <c r="I396" s="141">
        <v>1950.3</v>
      </c>
      <c r="J396" s="141">
        <v>2091.6</v>
      </c>
      <c r="K396" s="137">
        <v>2107.4699999999998</v>
      </c>
      <c r="L396" s="137">
        <v>2072.25</v>
      </c>
      <c r="M396" s="125">
        <f t="shared" si="51"/>
        <v>14171.86</v>
      </c>
      <c r="N396" s="126">
        <f t="shared" si="45"/>
        <v>1501.84</v>
      </c>
      <c r="O396" s="137">
        <v>1506.52</v>
      </c>
      <c r="P396" s="23">
        <f t="shared" si="50"/>
        <v>14040.0000000002</v>
      </c>
      <c r="Q396" s="23">
        <f t="shared" si="46"/>
        <v>6.84</v>
      </c>
      <c r="R396" s="137">
        <v>6.85</v>
      </c>
      <c r="S396" s="23">
        <f t="shared" si="47"/>
        <v>29.9999999999994</v>
      </c>
      <c r="T396" s="123">
        <f t="shared" si="48"/>
        <v>14010.0000000002</v>
      </c>
      <c r="U396" s="138"/>
      <c r="V396" s="137">
        <v>5.57</v>
      </c>
      <c r="W396" s="137">
        <v>33.08</v>
      </c>
      <c r="X396" s="137"/>
      <c r="Y396" s="137"/>
      <c r="Z396" s="137"/>
      <c r="AA396" s="137"/>
      <c r="AB396" s="139" t="s">
        <v>38</v>
      </c>
    </row>
    <row r="397" spans="1:28">
      <c r="A397" s="97">
        <f t="shared" si="49"/>
        <v>399</v>
      </c>
      <c r="B397" s="115">
        <v>46112</v>
      </c>
      <c r="C397" s="116">
        <v>46142</v>
      </c>
      <c r="D397" s="135">
        <v>0.29166666666666702</v>
      </c>
      <c r="E397" s="136">
        <v>0.78125</v>
      </c>
      <c r="F397" s="124">
        <v>2015.33</v>
      </c>
      <c r="G397" s="137">
        <v>1999.31</v>
      </c>
      <c r="H397" s="137">
        <v>2002.09</v>
      </c>
      <c r="I397" s="137">
        <v>2094.7800000000002</v>
      </c>
      <c r="J397" s="137">
        <v>2101.83</v>
      </c>
      <c r="K397" s="141">
        <v>2100.1999999999998</v>
      </c>
      <c r="L397" s="137">
        <v>2106.0100000000002</v>
      </c>
      <c r="M397" s="125">
        <f t="shared" si="51"/>
        <v>14419.55</v>
      </c>
      <c r="N397" s="126">
        <f t="shared" ref="N397:N460" si="52">O396</f>
        <v>1506.52</v>
      </c>
      <c r="O397" s="137">
        <v>1511.27</v>
      </c>
      <c r="P397" s="23">
        <f t="shared" si="50"/>
        <v>14250</v>
      </c>
      <c r="Q397" s="23">
        <f t="shared" ref="Q397:Q460" si="53">R396</f>
        <v>6.85</v>
      </c>
      <c r="R397" s="137">
        <v>6.86</v>
      </c>
      <c r="S397" s="23">
        <f t="shared" si="47"/>
        <v>30.000000000002</v>
      </c>
      <c r="T397" s="123">
        <f t="shared" si="48"/>
        <v>14220</v>
      </c>
      <c r="U397" s="138"/>
      <c r="V397" s="137">
        <v>5.52</v>
      </c>
      <c r="W397" s="137">
        <v>32.83</v>
      </c>
      <c r="X397" s="137"/>
      <c r="Y397" s="137"/>
      <c r="Z397" s="137"/>
      <c r="AA397" s="137"/>
      <c r="AB397" s="139" t="s">
        <v>38</v>
      </c>
    </row>
    <row r="398" spans="1:28">
      <c r="A398" s="97">
        <f t="shared" si="49"/>
        <v>400</v>
      </c>
      <c r="B398" s="115">
        <v>46112</v>
      </c>
      <c r="C398" s="116">
        <v>46143</v>
      </c>
      <c r="D398" s="135">
        <v>0.29166666666666702</v>
      </c>
      <c r="E398" s="136">
        <v>0.78125</v>
      </c>
      <c r="F398" s="124">
        <v>1960.89</v>
      </c>
      <c r="G398" s="137">
        <v>1958.42</v>
      </c>
      <c r="H398" s="137">
        <v>1953.11</v>
      </c>
      <c r="I398" s="137">
        <v>2051.15</v>
      </c>
      <c r="J398" s="137">
        <v>2060.33</v>
      </c>
      <c r="K398" s="137">
        <v>2053.75</v>
      </c>
      <c r="L398" s="137">
        <v>2070.37</v>
      </c>
      <c r="M398" s="125">
        <f t="shared" si="51"/>
        <v>14108.02</v>
      </c>
      <c r="N398" s="126">
        <f t="shared" si="52"/>
        <v>1511.27</v>
      </c>
      <c r="O398" s="137">
        <v>1515.91</v>
      </c>
      <c r="P398" s="23">
        <f t="shared" si="50"/>
        <v>13920.0000000003</v>
      </c>
      <c r="Q398" s="23">
        <f t="shared" si="53"/>
        <v>6.86</v>
      </c>
      <c r="R398" s="137">
        <v>6.87</v>
      </c>
      <c r="S398" s="23">
        <f t="shared" si="47"/>
        <v>29.9999999999994</v>
      </c>
      <c r="T398" s="123">
        <f t="shared" si="48"/>
        <v>13890.0000000003</v>
      </c>
      <c r="U398" s="138"/>
      <c r="V398" s="137">
        <v>5.55</v>
      </c>
      <c r="W398" s="137">
        <v>32.549999999999997</v>
      </c>
      <c r="X398" s="137"/>
      <c r="Y398" s="137"/>
      <c r="Z398" s="137"/>
      <c r="AA398" s="137"/>
      <c r="AB398" s="139" t="s">
        <v>38</v>
      </c>
    </row>
    <row r="399" spans="1:28">
      <c r="A399" s="97">
        <f t="shared" si="49"/>
        <v>401</v>
      </c>
      <c r="B399" s="115">
        <v>46112</v>
      </c>
      <c r="C399" s="116">
        <v>46144</v>
      </c>
      <c r="D399" s="135">
        <v>0.28125</v>
      </c>
      <c r="E399" s="136">
        <v>0.78125</v>
      </c>
      <c r="F399" s="124">
        <v>2029.14</v>
      </c>
      <c r="G399" s="137">
        <v>1994.75</v>
      </c>
      <c r="H399" s="137">
        <v>2017.38</v>
      </c>
      <c r="I399" s="141">
        <v>2094.8000000000002</v>
      </c>
      <c r="J399" s="137">
        <v>2066.4899999999998</v>
      </c>
      <c r="K399" s="137">
        <v>2111.81</v>
      </c>
      <c r="L399" s="137">
        <v>2114.42</v>
      </c>
      <c r="M399" s="125">
        <f t="shared" si="51"/>
        <v>14428.79</v>
      </c>
      <c r="N399" s="126">
        <f t="shared" si="52"/>
        <v>1515.91</v>
      </c>
      <c r="O399" s="137">
        <v>1520.67</v>
      </c>
      <c r="P399" s="23">
        <f t="shared" si="50"/>
        <v>14280</v>
      </c>
      <c r="Q399" s="23">
        <f t="shared" si="53"/>
        <v>6.87</v>
      </c>
      <c r="R399" s="137">
        <v>6.88</v>
      </c>
      <c r="S399" s="23">
        <f t="shared" si="47"/>
        <v>29.9999999999994</v>
      </c>
      <c r="T399" s="123">
        <f t="shared" si="48"/>
        <v>14250</v>
      </c>
      <c r="U399" s="138"/>
      <c r="V399" s="137">
        <v>5.46</v>
      </c>
      <c r="W399" s="137">
        <v>33.44</v>
      </c>
      <c r="X399" s="137"/>
      <c r="Y399" s="137"/>
      <c r="Z399" s="137"/>
      <c r="AA399" s="137"/>
      <c r="AB399" s="139" t="s">
        <v>38</v>
      </c>
    </row>
    <row r="400" spans="1:28">
      <c r="A400" s="97">
        <f t="shared" si="49"/>
        <v>402</v>
      </c>
      <c r="B400" s="115">
        <v>46112</v>
      </c>
      <c r="C400" s="116">
        <v>46145</v>
      </c>
      <c r="D400" s="135">
        <v>0.28125</v>
      </c>
      <c r="E400" s="136">
        <v>0.78125</v>
      </c>
      <c r="F400" s="124">
        <v>2056.77</v>
      </c>
      <c r="G400" s="137">
        <v>2035.42</v>
      </c>
      <c r="H400" s="137">
        <v>2042.62</v>
      </c>
      <c r="I400" s="137">
        <v>2134.7600000000002</v>
      </c>
      <c r="J400" s="137">
        <v>2153.75</v>
      </c>
      <c r="K400" s="137">
        <v>2155.2600000000002</v>
      </c>
      <c r="L400" s="137">
        <v>2112.85</v>
      </c>
      <c r="M400" s="125">
        <f t="shared" si="51"/>
        <v>14691.43</v>
      </c>
      <c r="N400" s="126">
        <f t="shared" si="52"/>
        <v>1520.67</v>
      </c>
      <c r="O400" s="137">
        <v>1525.52</v>
      </c>
      <c r="P400" s="23">
        <f t="shared" si="50"/>
        <v>14549.9999999997</v>
      </c>
      <c r="Q400" s="23">
        <f t="shared" si="53"/>
        <v>6.88</v>
      </c>
      <c r="R400" s="141">
        <v>6.9</v>
      </c>
      <c r="S400" s="23">
        <f t="shared" si="47"/>
        <v>60.0000000000014</v>
      </c>
      <c r="T400" s="123">
        <f t="shared" si="48"/>
        <v>14489.9999999997</v>
      </c>
      <c r="U400" s="138"/>
      <c r="V400" s="137">
        <v>5.75</v>
      </c>
      <c r="W400" s="137">
        <v>32.729999999999997</v>
      </c>
      <c r="X400" s="137"/>
      <c r="Y400" s="137"/>
      <c r="Z400" s="137"/>
      <c r="AA400" s="137"/>
      <c r="AB400" s="139" t="s">
        <v>38</v>
      </c>
    </row>
    <row r="401" spans="1:28">
      <c r="A401" s="97">
        <f t="shared" si="49"/>
        <v>403</v>
      </c>
      <c r="B401" s="115">
        <v>46112</v>
      </c>
      <c r="C401" s="116">
        <v>46146</v>
      </c>
      <c r="D401" s="135">
        <v>0.28125</v>
      </c>
      <c r="E401" s="136">
        <v>0.78125</v>
      </c>
      <c r="F401" s="124">
        <v>1980.27</v>
      </c>
      <c r="G401" s="137">
        <v>1927.23</v>
      </c>
      <c r="H401" s="137">
        <v>1966.81</v>
      </c>
      <c r="I401" s="137">
        <v>2040.43</v>
      </c>
      <c r="J401" s="137">
        <v>2060.67</v>
      </c>
      <c r="K401" s="137">
        <v>2075.4499999999998</v>
      </c>
      <c r="L401" s="137">
        <v>2038.52</v>
      </c>
      <c r="M401" s="125">
        <f t="shared" si="51"/>
        <v>14089.38</v>
      </c>
      <c r="N401" s="126">
        <f t="shared" si="52"/>
        <v>1525.52</v>
      </c>
      <c r="O401" s="137">
        <v>1530.16</v>
      </c>
      <c r="P401" s="23">
        <f t="shared" si="50"/>
        <v>13920.0000000003</v>
      </c>
      <c r="Q401" s="23">
        <f t="shared" si="53"/>
        <v>6.9</v>
      </c>
      <c r="R401" s="137">
        <v>6.91</v>
      </c>
      <c r="S401" s="23">
        <f t="shared" si="47"/>
        <v>29.9999999999994</v>
      </c>
      <c r="T401" s="123">
        <f t="shared" si="48"/>
        <v>13890.0000000003</v>
      </c>
      <c r="U401" s="138"/>
      <c r="V401" s="137">
        <v>5.28</v>
      </c>
      <c r="W401" s="141">
        <v>32.1</v>
      </c>
      <c r="X401" s="137"/>
      <c r="Y401" s="137"/>
      <c r="Z401" s="137"/>
      <c r="AA401" s="137"/>
      <c r="AB401" s="139" t="s">
        <v>38</v>
      </c>
    </row>
    <row r="402" spans="1:28">
      <c r="A402" s="97">
        <f t="shared" si="49"/>
        <v>404</v>
      </c>
      <c r="B402" s="115">
        <v>46112</v>
      </c>
      <c r="C402" s="116">
        <v>46147</v>
      </c>
      <c r="D402" s="135">
        <v>0.28125</v>
      </c>
      <c r="E402" s="136">
        <v>0.78125</v>
      </c>
      <c r="F402" s="124">
        <v>1617.79</v>
      </c>
      <c r="G402" s="137">
        <v>1913.72</v>
      </c>
      <c r="H402" s="141">
        <v>1895.1</v>
      </c>
      <c r="I402" s="137">
        <v>1972.87</v>
      </c>
      <c r="J402" s="141">
        <v>2011.1</v>
      </c>
      <c r="K402" s="137">
        <v>2003.87</v>
      </c>
      <c r="L402" s="141">
        <v>1990.6</v>
      </c>
      <c r="M402" s="125">
        <f t="shared" si="51"/>
        <v>13405.05</v>
      </c>
      <c r="N402" s="126">
        <f t="shared" si="52"/>
        <v>1530.16</v>
      </c>
      <c r="O402" s="141">
        <v>1534.6</v>
      </c>
      <c r="P402" s="23">
        <f t="shared" si="50"/>
        <v>13319.9999999995</v>
      </c>
      <c r="Q402" s="23">
        <f t="shared" si="53"/>
        <v>6.91</v>
      </c>
      <c r="R402" s="137">
        <v>6.92</v>
      </c>
      <c r="S402" s="23">
        <f t="shared" si="47"/>
        <v>29.9999999999994</v>
      </c>
      <c r="T402" s="123">
        <f t="shared" si="48"/>
        <v>13289.9999999995</v>
      </c>
      <c r="U402" s="138"/>
      <c r="V402" s="137">
        <v>5.46</v>
      </c>
      <c r="W402" s="137">
        <v>32.950000000000003</v>
      </c>
      <c r="X402" s="137"/>
      <c r="Y402" s="137"/>
      <c r="Z402" s="137"/>
      <c r="AA402" s="137"/>
      <c r="AB402" s="139" t="s">
        <v>38</v>
      </c>
    </row>
    <row r="403" spans="1:28">
      <c r="A403" s="97">
        <f t="shared" si="49"/>
        <v>405</v>
      </c>
      <c r="B403" s="115">
        <v>46112</v>
      </c>
      <c r="C403" s="116">
        <v>46148</v>
      </c>
      <c r="D403" s="135">
        <v>0.28125</v>
      </c>
      <c r="E403" s="136">
        <v>0.77083333333333304</v>
      </c>
      <c r="F403" s="124">
        <v>2009.89</v>
      </c>
      <c r="G403" s="137">
        <v>1998.64</v>
      </c>
      <c r="H403" s="137">
        <v>2002.99</v>
      </c>
      <c r="I403" s="137">
        <v>2089.85</v>
      </c>
      <c r="J403" s="141">
        <v>2107.5</v>
      </c>
      <c r="K403" s="137">
        <v>2100.17</v>
      </c>
      <c r="L403" s="137">
        <v>2112.23</v>
      </c>
      <c r="M403" s="125">
        <f t="shared" si="51"/>
        <v>14421.27</v>
      </c>
      <c r="N403" s="126">
        <f t="shared" si="52"/>
        <v>1534.6</v>
      </c>
      <c r="O403" s="137">
        <v>1539.35</v>
      </c>
      <c r="P403" s="23">
        <f t="shared" si="50"/>
        <v>14250</v>
      </c>
      <c r="Q403" s="23">
        <f t="shared" si="53"/>
        <v>6.92</v>
      </c>
      <c r="R403" s="137">
        <v>6.93</v>
      </c>
      <c r="S403" s="23">
        <f t="shared" si="47"/>
        <v>29.9999999999994</v>
      </c>
      <c r="T403" s="123">
        <f t="shared" si="48"/>
        <v>14220</v>
      </c>
      <c r="U403" s="138"/>
      <c r="V403" s="141">
        <v>5.7</v>
      </c>
      <c r="W403" s="137">
        <v>33.65</v>
      </c>
      <c r="X403" s="137"/>
      <c r="Y403" s="137"/>
      <c r="Z403" s="137"/>
      <c r="AA403" s="137"/>
      <c r="AB403" s="139" t="s">
        <v>38</v>
      </c>
    </row>
    <row r="404" spans="1:28">
      <c r="A404" s="97">
        <f t="shared" si="49"/>
        <v>406</v>
      </c>
      <c r="B404" s="115">
        <v>46112</v>
      </c>
      <c r="C404" s="116">
        <v>46149</v>
      </c>
      <c r="D404" s="135">
        <v>0.28125</v>
      </c>
      <c r="E404" s="136">
        <v>0.77083333333333304</v>
      </c>
      <c r="F404" s="124">
        <v>1996.68</v>
      </c>
      <c r="G404" s="137">
        <v>1976.61</v>
      </c>
      <c r="H404" s="137">
        <v>1988.45</v>
      </c>
      <c r="I404" s="137">
        <v>2070.37</v>
      </c>
      <c r="J404" s="137">
        <v>2090.5100000000002</v>
      </c>
      <c r="K404" s="137">
        <v>2081.1799999999998</v>
      </c>
      <c r="L404" s="137">
        <v>2091.0500000000002</v>
      </c>
      <c r="M404" s="125">
        <f t="shared" si="51"/>
        <v>14294.85</v>
      </c>
      <c r="N404" s="126">
        <f t="shared" si="52"/>
        <v>1539.35</v>
      </c>
      <c r="O404" s="137">
        <v>1544.06</v>
      </c>
      <c r="P404" s="23">
        <f t="shared" si="50"/>
        <v>14130.0000000001</v>
      </c>
      <c r="Q404" s="23">
        <f t="shared" si="53"/>
        <v>6.93</v>
      </c>
      <c r="R404" s="137">
        <v>6.94</v>
      </c>
      <c r="S404" s="23">
        <f t="shared" si="47"/>
        <v>30.000000000002</v>
      </c>
      <c r="T404" s="123">
        <f t="shared" si="48"/>
        <v>14100.0000000001</v>
      </c>
      <c r="U404" s="138"/>
      <c r="V404" s="137">
        <v>5.74</v>
      </c>
      <c r="W404" s="137">
        <v>34.729999999999997</v>
      </c>
      <c r="X404" s="137"/>
      <c r="Y404" s="137"/>
      <c r="Z404" s="137"/>
      <c r="AA404" s="137"/>
      <c r="AB404" s="139" t="s">
        <v>38</v>
      </c>
    </row>
    <row r="405" spans="1:28">
      <c r="A405" s="97">
        <f t="shared" si="49"/>
        <v>407</v>
      </c>
      <c r="B405" s="115">
        <v>46112</v>
      </c>
      <c r="C405" s="116">
        <v>46150</v>
      </c>
      <c r="D405" s="135">
        <v>0.28125</v>
      </c>
      <c r="E405" s="136">
        <v>0.78125</v>
      </c>
      <c r="F405" s="124">
        <v>1999.08</v>
      </c>
      <c r="G405" s="137">
        <v>1976.83</v>
      </c>
      <c r="H405" s="137">
        <v>1985.89</v>
      </c>
      <c r="I405" s="137">
        <v>2068.83</v>
      </c>
      <c r="J405" s="137">
        <v>2087.15</v>
      </c>
      <c r="K405" s="137">
        <v>2079.04</v>
      </c>
      <c r="L405" s="137">
        <v>2029.57</v>
      </c>
      <c r="M405" s="125">
        <f t="shared" si="51"/>
        <v>14226.39</v>
      </c>
      <c r="N405" s="126">
        <f t="shared" si="52"/>
        <v>1544.06</v>
      </c>
      <c r="O405" s="137">
        <v>1548.75</v>
      </c>
      <c r="P405" s="23">
        <f t="shared" si="50"/>
        <v>14070.0000000002</v>
      </c>
      <c r="Q405" s="23">
        <f t="shared" si="53"/>
        <v>6.94</v>
      </c>
      <c r="R405" s="137">
        <v>6.95</v>
      </c>
      <c r="S405" s="23">
        <f t="shared" si="47"/>
        <v>29.9999999999994</v>
      </c>
      <c r="T405" s="123">
        <f t="shared" si="48"/>
        <v>14040.0000000002</v>
      </c>
      <c r="U405" s="138"/>
      <c r="V405" s="137">
        <v>5.87</v>
      </c>
      <c r="W405" s="137">
        <v>34.159999999999997</v>
      </c>
      <c r="X405" s="137"/>
      <c r="Y405" s="137"/>
      <c r="Z405" s="137"/>
      <c r="AA405" s="137"/>
      <c r="AB405" s="139" t="s">
        <v>38</v>
      </c>
    </row>
    <row r="406" spans="1:28">
      <c r="A406" s="97">
        <f t="shared" si="49"/>
        <v>408</v>
      </c>
      <c r="B406" s="115">
        <v>46112</v>
      </c>
      <c r="C406" s="116">
        <v>46151</v>
      </c>
      <c r="D406" s="135">
        <v>0.28125</v>
      </c>
      <c r="E406" s="136">
        <v>0.78125</v>
      </c>
      <c r="F406" s="124">
        <v>1926.05</v>
      </c>
      <c r="G406" s="137">
        <v>1965.56</v>
      </c>
      <c r="H406" s="137">
        <v>1957.14</v>
      </c>
      <c r="I406" s="137">
        <v>2048.09</v>
      </c>
      <c r="J406" s="137">
        <v>2019.09</v>
      </c>
      <c r="K406" s="137">
        <v>2057.7399999999998</v>
      </c>
      <c r="L406" s="137">
        <v>1998.64</v>
      </c>
      <c r="M406" s="125">
        <f t="shared" si="51"/>
        <v>13972.31</v>
      </c>
      <c r="N406" s="126">
        <f t="shared" si="52"/>
        <v>1548.75</v>
      </c>
      <c r="O406" s="137">
        <v>1553.36</v>
      </c>
      <c r="P406" s="23">
        <f t="shared" si="50"/>
        <v>13829.9999999997</v>
      </c>
      <c r="Q406" s="23">
        <f t="shared" si="53"/>
        <v>6.95</v>
      </c>
      <c r="R406" s="137">
        <v>6.96</v>
      </c>
      <c r="S406" s="23">
        <f t="shared" si="47"/>
        <v>29.9999999999994</v>
      </c>
      <c r="T406" s="123">
        <f t="shared" si="48"/>
        <v>13799.9999999997</v>
      </c>
      <c r="U406" s="138"/>
      <c r="V406" s="137">
        <v>5.72</v>
      </c>
      <c r="W406" s="137">
        <v>35.75</v>
      </c>
      <c r="X406" s="137"/>
      <c r="Y406" s="137"/>
      <c r="Z406" s="137"/>
      <c r="AA406" s="137"/>
      <c r="AB406" s="139" t="s">
        <v>38</v>
      </c>
    </row>
    <row r="407" spans="1:28">
      <c r="A407" s="97">
        <f t="shared" si="49"/>
        <v>409</v>
      </c>
      <c r="B407" s="115">
        <v>46112</v>
      </c>
      <c r="C407" s="116">
        <v>46152</v>
      </c>
      <c r="D407" s="135">
        <v>0.28125</v>
      </c>
      <c r="E407" s="136">
        <v>0.78125</v>
      </c>
      <c r="F407" s="124">
        <v>2041.15</v>
      </c>
      <c r="G407" s="137">
        <v>2000.81</v>
      </c>
      <c r="H407" s="137">
        <v>2028.41</v>
      </c>
      <c r="I407" s="137">
        <v>2090.87</v>
      </c>
      <c r="J407" s="137">
        <v>2107.44</v>
      </c>
      <c r="K407" s="137">
        <v>2115.35</v>
      </c>
      <c r="L407" s="141">
        <v>2091.6</v>
      </c>
      <c r="M407" s="125">
        <f t="shared" si="51"/>
        <v>14475.63</v>
      </c>
      <c r="N407" s="126">
        <f t="shared" si="52"/>
        <v>1553.36</v>
      </c>
      <c r="O407" s="137">
        <v>1558.13</v>
      </c>
      <c r="P407" s="23">
        <f t="shared" si="50"/>
        <v>14310.0000000006</v>
      </c>
      <c r="Q407" s="23">
        <f t="shared" si="53"/>
        <v>6.96</v>
      </c>
      <c r="R407" s="137">
        <v>6.97</v>
      </c>
      <c r="S407" s="23">
        <f t="shared" si="47"/>
        <v>29.9999999999994</v>
      </c>
      <c r="T407" s="123">
        <f t="shared" si="48"/>
        <v>14280.0000000006</v>
      </c>
      <c r="U407" s="138"/>
      <c r="V407" s="137">
        <v>5.88</v>
      </c>
      <c r="W407" s="137">
        <v>37.53</v>
      </c>
      <c r="X407" s="137"/>
      <c r="Y407" s="137"/>
      <c r="Z407" s="137"/>
      <c r="AA407" s="137"/>
      <c r="AB407" s="139" t="s">
        <v>38</v>
      </c>
    </row>
    <row r="408" spans="1:28">
      <c r="A408" s="97">
        <f t="shared" si="49"/>
        <v>410</v>
      </c>
      <c r="B408" s="115">
        <v>46112</v>
      </c>
      <c r="C408" s="116">
        <v>46153</v>
      </c>
      <c r="D408" s="135">
        <v>0.28125</v>
      </c>
      <c r="E408" s="136">
        <v>0.78125</v>
      </c>
      <c r="F408" s="124">
        <v>2021.3</v>
      </c>
      <c r="G408" s="137">
        <v>2002.68</v>
      </c>
      <c r="H408" s="137">
        <v>2010.73</v>
      </c>
      <c r="I408" s="137">
        <v>2096.9899999999998</v>
      </c>
      <c r="J408" s="137">
        <v>2110.73</v>
      </c>
      <c r="K408" s="137">
        <v>2102.14</v>
      </c>
      <c r="L408" s="137">
        <v>2101.4699999999998</v>
      </c>
      <c r="M408" s="125">
        <f t="shared" si="51"/>
        <v>14446.04</v>
      </c>
      <c r="N408" s="126">
        <f t="shared" si="52"/>
        <v>1558.13</v>
      </c>
      <c r="O408" s="137">
        <v>1562.89</v>
      </c>
      <c r="P408" s="23">
        <f t="shared" si="50"/>
        <v>14280</v>
      </c>
      <c r="Q408" s="23">
        <f t="shared" si="53"/>
        <v>6.97</v>
      </c>
      <c r="R408" s="137">
        <v>6.98</v>
      </c>
      <c r="S408" s="23">
        <f t="shared" si="47"/>
        <v>30.000000000002</v>
      </c>
      <c r="T408" s="123">
        <f t="shared" si="48"/>
        <v>14250</v>
      </c>
      <c r="U408" s="138"/>
      <c r="V408" s="141">
        <v>5.7</v>
      </c>
      <c r="W408" s="137">
        <v>35.61</v>
      </c>
      <c r="X408" s="137"/>
      <c r="Y408" s="137"/>
      <c r="Z408" s="137"/>
      <c r="AA408" s="137"/>
      <c r="AB408" s="139" t="s">
        <v>38</v>
      </c>
    </row>
    <row r="409" spans="1:28">
      <c r="A409" s="97">
        <f t="shared" si="49"/>
        <v>411</v>
      </c>
      <c r="B409" s="115">
        <v>46112</v>
      </c>
      <c r="C409" s="116">
        <v>46154</v>
      </c>
      <c r="D409" s="135">
        <v>0.28125</v>
      </c>
      <c r="E409" s="136">
        <v>0.78125</v>
      </c>
      <c r="F409" s="124">
        <v>1965.88</v>
      </c>
      <c r="G409" s="137">
        <v>1957.27</v>
      </c>
      <c r="H409" s="137">
        <v>1952.02</v>
      </c>
      <c r="I409" s="141">
        <v>2044.4</v>
      </c>
      <c r="J409" s="137">
        <v>2061.81</v>
      </c>
      <c r="K409" s="137">
        <v>2044.37</v>
      </c>
      <c r="L409" s="137">
        <v>2046.44</v>
      </c>
      <c r="M409" s="125">
        <f t="shared" si="51"/>
        <v>14072.19</v>
      </c>
      <c r="N409" s="126">
        <f t="shared" si="52"/>
        <v>1562.89</v>
      </c>
      <c r="O409" s="137">
        <v>1567.52</v>
      </c>
      <c r="P409" s="23">
        <f t="shared" si="50"/>
        <v>13889.9999999996</v>
      </c>
      <c r="Q409" s="23">
        <f t="shared" si="53"/>
        <v>6.98</v>
      </c>
      <c r="R409" s="137">
        <v>6.99</v>
      </c>
      <c r="S409" s="23">
        <f t="shared" si="47"/>
        <v>29.9999999999994</v>
      </c>
      <c r="T409" s="123">
        <f t="shared" si="48"/>
        <v>13859.9999999996</v>
      </c>
      <c r="U409" s="138"/>
      <c r="V409" s="137">
        <v>5.43</v>
      </c>
      <c r="W409" s="141">
        <v>34</v>
      </c>
      <c r="X409" s="137"/>
      <c r="Y409" s="137"/>
      <c r="Z409" s="137"/>
      <c r="AA409" s="137"/>
      <c r="AB409" s="139" t="s">
        <v>38</v>
      </c>
    </row>
    <row r="410" spans="1:28">
      <c r="A410" s="97">
        <f t="shared" si="49"/>
        <v>412</v>
      </c>
      <c r="B410" s="115">
        <v>46112</v>
      </c>
      <c r="C410" s="116">
        <v>46155</v>
      </c>
      <c r="D410" s="135">
        <v>0.28125</v>
      </c>
      <c r="E410" s="136">
        <v>0.78125</v>
      </c>
      <c r="F410" s="124">
        <v>1949.13</v>
      </c>
      <c r="G410" s="137">
        <v>1947.05</v>
      </c>
      <c r="H410" s="137">
        <v>1939.72</v>
      </c>
      <c r="I410" s="137">
        <v>2034.13</v>
      </c>
      <c r="J410" s="141">
        <v>2048.8000000000002</v>
      </c>
      <c r="K410" s="141">
        <v>2031.8</v>
      </c>
      <c r="L410" s="137">
        <v>2055.83</v>
      </c>
      <c r="M410" s="125">
        <f t="shared" si="51"/>
        <v>14006.46</v>
      </c>
      <c r="N410" s="126">
        <f t="shared" si="52"/>
        <v>1567.52</v>
      </c>
      <c r="O410" s="137">
        <v>1572.15</v>
      </c>
      <c r="P410" s="23">
        <f t="shared" si="50"/>
        <v>13890.0000000003</v>
      </c>
      <c r="Q410" s="23">
        <f t="shared" si="53"/>
        <v>6.99</v>
      </c>
      <c r="R410" s="137">
        <v>7.01</v>
      </c>
      <c r="S410" s="23">
        <f t="shared" si="47"/>
        <v>59.9999999999987</v>
      </c>
      <c r="T410" s="123">
        <f t="shared" si="48"/>
        <v>13830.0000000003</v>
      </c>
      <c r="U410" s="138"/>
      <c r="V410" s="137">
        <v>5.54</v>
      </c>
      <c r="W410" s="137">
        <v>35.18</v>
      </c>
      <c r="X410" s="137"/>
      <c r="Y410" s="137"/>
      <c r="Z410" s="137"/>
      <c r="AA410" s="137"/>
      <c r="AB410" s="139" t="s">
        <v>38</v>
      </c>
    </row>
    <row r="411" spans="1:28">
      <c r="A411" s="97">
        <f t="shared" si="49"/>
        <v>413</v>
      </c>
      <c r="B411" s="115">
        <v>46112</v>
      </c>
      <c r="C411" s="116">
        <v>46156</v>
      </c>
      <c r="D411" s="135">
        <v>0.28125</v>
      </c>
      <c r="E411" s="136">
        <v>0.79166666666666696</v>
      </c>
      <c r="F411" s="124">
        <v>1979.28</v>
      </c>
      <c r="G411" s="141">
        <v>1977.4</v>
      </c>
      <c r="H411" s="137">
        <v>1967.77</v>
      </c>
      <c r="I411" s="137">
        <v>2018.86</v>
      </c>
      <c r="J411" s="137">
        <v>2062.08</v>
      </c>
      <c r="K411" s="137">
        <v>2062.25</v>
      </c>
      <c r="L411" s="137">
        <v>2087.92</v>
      </c>
      <c r="M411" s="125">
        <f t="shared" si="51"/>
        <v>14155.56</v>
      </c>
      <c r="N411" s="126">
        <f t="shared" si="52"/>
        <v>1572.15</v>
      </c>
      <c r="O411" s="137">
        <v>1576.82</v>
      </c>
      <c r="P411" s="23">
        <f t="shared" si="50"/>
        <v>14009.9999999995</v>
      </c>
      <c r="Q411" s="23">
        <f t="shared" si="53"/>
        <v>7.01</v>
      </c>
      <c r="R411" s="137">
        <v>7.02</v>
      </c>
      <c r="S411" s="23">
        <f t="shared" si="47"/>
        <v>29.9999999999994</v>
      </c>
      <c r="T411" s="123">
        <f t="shared" si="48"/>
        <v>13979.9999999995</v>
      </c>
      <c r="U411" s="138"/>
      <c r="V411" s="141">
        <v>5.7</v>
      </c>
      <c r="W411" s="137">
        <v>33.9</v>
      </c>
      <c r="X411" s="137"/>
      <c r="Y411" s="137"/>
      <c r="Z411" s="137"/>
      <c r="AA411" s="137"/>
      <c r="AB411" s="139" t="s">
        <v>38</v>
      </c>
    </row>
    <row r="412" spans="1:28">
      <c r="A412" s="97">
        <f t="shared" si="49"/>
        <v>414</v>
      </c>
      <c r="B412" s="115">
        <v>46112</v>
      </c>
      <c r="C412" s="116">
        <v>46157</v>
      </c>
      <c r="D412" s="135">
        <v>0.28125</v>
      </c>
      <c r="E412" s="136">
        <v>0.78125</v>
      </c>
      <c r="F412" s="124">
        <v>1977.01</v>
      </c>
      <c r="G412" s="137">
        <v>1968.46</v>
      </c>
      <c r="H412" s="137">
        <v>1965.08</v>
      </c>
      <c r="I412" s="137">
        <v>2058.7399999999998</v>
      </c>
      <c r="J412" s="137">
        <v>2057.86</v>
      </c>
      <c r="K412" s="141">
        <v>2056.6999999999998</v>
      </c>
      <c r="L412" s="137">
        <v>2078.3200000000002</v>
      </c>
      <c r="M412" s="125">
        <f t="shared" si="51"/>
        <v>14162.17</v>
      </c>
      <c r="N412" s="126">
        <f t="shared" si="52"/>
        <v>1576.82</v>
      </c>
      <c r="O412" s="137">
        <v>1581.48</v>
      </c>
      <c r="P412" s="23">
        <f t="shared" si="50"/>
        <v>13980.0000000002</v>
      </c>
      <c r="Q412" s="23">
        <f t="shared" si="53"/>
        <v>7.02</v>
      </c>
      <c r="R412" s="137">
        <v>7.03</v>
      </c>
      <c r="S412" s="23">
        <f t="shared" si="47"/>
        <v>30.000000000002</v>
      </c>
      <c r="T412" s="123">
        <f t="shared" si="48"/>
        <v>13950.0000000002</v>
      </c>
      <c r="U412" s="138"/>
      <c r="V412" s="137">
        <v>5.71</v>
      </c>
      <c r="W412" s="137">
        <v>32.61</v>
      </c>
      <c r="X412" s="137"/>
      <c r="Y412" s="137"/>
      <c r="Z412" s="137"/>
      <c r="AA412" s="137"/>
      <c r="AB412" s="139" t="s">
        <v>38</v>
      </c>
    </row>
    <row r="413" spans="1:28">
      <c r="A413" s="97">
        <f t="shared" si="49"/>
        <v>415</v>
      </c>
      <c r="B413" s="115">
        <v>46112</v>
      </c>
      <c r="C413" s="116">
        <v>46158</v>
      </c>
      <c r="D413" s="135">
        <v>0.28125</v>
      </c>
      <c r="E413" s="136">
        <v>0.78125</v>
      </c>
      <c r="F413" s="124">
        <v>2003.7</v>
      </c>
      <c r="G413" s="137">
        <v>2002.95</v>
      </c>
      <c r="H413" s="137">
        <v>1999.58</v>
      </c>
      <c r="I413" s="141">
        <v>2094.8000000000002</v>
      </c>
      <c r="J413" s="137">
        <v>2107.91</v>
      </c>
      <c r="K413" s="137">
        <v>2087.85</v>
      </c>
      <c r="L413" s="137">
        <v>2081.88</v>
      </c>
      <c r="M413" s="125">
        <f t="shared" si="51"/>
        <v>14378.67</v>
      </c>
      <c r="N413" s="126">
        <f t="shared" si="52"/>
        <v>1581.48</v>
      </c>
      <c r="O413" s="137">
        <v>1586.22</v>
      </c>
      <c r="P413" s="23">
        <f t="shared" si="50"/>
        <v>14220</v>
      </c>
      <c r="Q413" s="23">
        <f t="shared" si="53"/>
        <v>7.03</v>
      </c>
      <c r="R413" s="137">
        <v>7.04</v>
      </c>
      <c r="S413" s="23">
        <f t="shared" si="47"/>
        <v>29.9999999999994</v>
      </c>
      <c r="T413" s="123">
        <f t="shared" si="48"/>
        <v>14190</v>
      </c>
      <c r="U413" s="138"/>
      <c r="V413" s="137">
        <v>5.69</v>
      </c>
      <c r="W413" s="137">
        <v>33.729999999999997</v>
      </c>
      <c r="X413" s="137"/>
      <c r="Y413" s="137"/>
      <c r="Z413" s="137"/>
      <c r="AA413" s="137"/>
      <c r="AB413" s="139" t="s">
        <v>38</v>
      </c>
    </row>
    <row r="414" spans="1:28">
      <c r="A414" s="97">
        <f t="shared" si="49"/>
        <v>416</v>
      </c>
      <c r="B414" s="115">
        <v>46112</v>
      </c>
      <c r="C414" s="116">
        <v>46159</v>
      </c>
      <c r="D414" s="135">
        <v>0.28125</v>
      </c>
      <c r="E414" s="136">
        <v>0.78125</v>
      </c>
      <c r="F414" s="124">
        <v>1968.74</v>
      </c>
      <c r="G414" s="137">
        <v>1964.48</v>
      </c>
      <c r="H414" s="137">
        <v>1958.28</v>
      </c>
      <c r="I414" s="137">
        <v>2053.89</v>
      </c>
      <c r="J414" s="137">
        <v>2047.03</v>
      </c>
      <c r="K414" s="137">
        <v>1967.71</v>
      </c>
      <c r="L414" s="141">
        <v>2067.5</v>
      </c>
      <c r="M414" s="125">
        <f t="shared" si="51"/>
        <v>14027.63</v>
      </c>
      <c r="N414" s="126">
        <f t="shared" si="52"/>
        <v>1586.22</v>
      </c>
      <c r="O414" s="137">
        <v>1590.79</v>
      </c>
      <c r="P414" s="23">
        <f t="shared" si="50"/>
        <v>13709.9999999998</v>
      </c>
      <c r="Q414" s="23">
        <f t="shared" si="53"/>
        <v>7.04</v>
      </c>
      <c r="R414" s="137">
        <v>7.05</v>
      </c>
      <c r="S414" s="23">
        <f t="shared" si="47"/>
        <v>29.9999999999994</v>
      </c>
      <c r="T414" s="123">
        <f t="shared" si="48"/>
        <v>13679.9999999998</v>
      </c>
      <c r="U414" s="138"/>
      <c r="V414" s="137">
        <v>5.65</v>
      </c>
      <c r="W414" s="137">
        <v>34.51</v>
      </c>
      <c r="X414" s="137"/>
      <c r="Y414" s="137"/>
      <c r="Z414" s="137"/>
      <c r="AA414" s="137"/>
      <c r="AB414" s="139" t="s">
        <v>38</v>
      </c>
    </row>
    <row r="415" spans="1:28">
      <c r="A415" s="97">
        <f t="shared" si="49"/>
        <v>417</v>
      </c>
      <c r="B415" s="115">
        <v>46112</v>
      </c>
      <c r="C415" s="116">
        <v>46160</v>
      </c>
      <c r="D415" s="135">
        <v>0.28125</v>
      </c>
      <c r="E415" s="136">
        <v>0.79166666666666696</v>
      </c>
      <c r="F415" s="124">
        <v>1911.03</v>
      </c>
      <c r="G415" s="137">
        <v>1908.99</v>
      </c>
      <c r="H415" s="137">
        <v>1899.69</v>
      </c>
      <c r="I415" s="137">
        <v>1991.57</v>
      </c>
      <c r="J415" s="137">
        <v>1902.91</v>
      </c>
      <c r="K415" s="137">
        <v>1983.46</v>
      </c>
      <c r="L415" s="137">
        <v>2004.03</v>
      </c>
      <c r="M415" s="125">
        <f t="shared" si="51"/>
        <v>13601.68</v>
      </c>
      <c r="N415" s="126">
        <f t="shared" si="52"/>
        <v>1590.79</v>
      </c>
      <c r="O415" s="137">
        <v>1595.34</v>
      </c>
      <c r="P415" s="23">
        <f t="shared" si="50"/>
        <v>13649.9999999999</v>
      </c>
      <c r="Q415" s="23">
        <f t="shared" si="53"/>
        <v>7.05</v>
      </c>
      <c r="R415" s="137">
        <v>7.06</v>
      </c>
      <c r="S415" s="23">
        <f t="shared" si="47"/>
        <v>29.9999999999994</v>
      </c>
      <c r="T415" s="123">
        <f t="shared" si="48"/>
        <v>13619.9999999999</v>
      </c>
      <c r="U415" s="138"/>
      <c r="V415" s="137">
        <v>5.58</v>
      </c>
      <c r="W415" s="137">
        <v>34.08</v>
      </c>
      <c r="X415" s="137"/>
      <c r="Y415" s="137"/>
      <c r="Z415" s="137"/>
      <c r="AA415" s="137"/>
      <c r="AB415" s="139" t="s">
        <v>38</v>
      </c>
    </row>
    <row r="416" spans="1:28">
      <c r="A416" s="97">
        <f t="shared" si="49"/>
        <v>418</v>
      </c>
      <c r="B416" s="115">
        <v>46112</v>
      </c>
      <c r="C416" s="116">
        <v>46161</v>
      </c>
      <c r="D416" s="135">
        <v>0.28125</v>
      </c>
      <c r="E416" s="136">
        <v>0.79166666666666696</v>
      </c>
      <c r="F416" s="124">
        <v>916.01</v>
      </c>
      <c r="G416" s="137">
        <v>916.25</v>
      </c>
      <c r="H416" s="137">
        <v>910.43</v>
      </c>
      <c r="I416" s="137">
        <v>954.64</v>
      </c>
      <c r="J416" s="141">
        <v>951.7</v>
      </c>
      <c r="K416" s="137">
        <v>951.99</v>
      </c>
      <c r="L416" s="137">
        <v>963.39</v>
      </c>
      <c r="M416" s="125">
        <f t="shared" si="51"/>
        <v>6564.41</v>
      </c>
      <c r="N416" s="126">
        <f t="shared" si="52"/>
        <v>1595.34</v>
      </c>
      <c r="O416" s="137">
        <v>1597.49</v>
      </c>
      <c r="P416" s="23">
        <f t="shared" si="50"/>
        <v>6450.0000000002701</v>
      </c>
      <c r="Q416" s="23">
        <f t="shared" si="53"/>
        <v>7.06</v>
      </c>
      <c r="R416" s="137">
        <v>7.07</v>
      </c>
      <c r="S416" s="23">
        <f t="shared" si="47"/>
        <v>30.000000000002</v>
      </c>
      <c r="T416" s="123">
        <f t="shared" si="48"/>
        <v>6420.0000000002701</v>
      </c>
      <c r="U416" s="138"/>
      <c r="V416" s="137">
        <v>2.92</v>
      </c>
      <c r="W416" s="137">
        <v>33.33</v>
      </c>
      <c r="X416" s="137"/>
      <c r="Y416" s="137"/>
      <c r="Z416" s="137"/>
      <c r="AA416" s="137"/>
      <c r="AB416" s="139" t="s">
        <v>38</v>
      </c>
    </row>
    <row r="417" spans="1:28">
      <c r="A417" s="97">
        <f t="shared" si="49"/>
        <v>419</v>
      </c>
      <c r="B417" s="115">
        <v>46112</v>
      </c>
      <c r="C417" s="116">
        <v>46162</v>
      </c>
      <c r="D417" s="135">
        <v>0.28125</v>
      </c>
      <c r="E417" s="136">
        <v>0.78125</v>
      </c>
      <c r="F417" s="124">
        <v>1918.87</v>
      </c>
      <c r="G417" s="137">
        <v>1924.62</v>
      </c>
      <c r="H417" s="137">
        <v>1904.32</v>
      </c>
      <c r="I417" s="137">
        <v>1984.93</v>
      </c>
      <c r="J417" s="141">
        <v>1975.9</v>
      </c>
      <c r="K417" s="137">
        <v>1995.18</v>
      </c>
      <c r="L417" s="137">
        <v>1976.79</v>
      </c>
      <c r="M417" s="125">
        <f t="shared" si="51"/>
        <v>13680.61</v>
      </c>
      <c r="N417" s="126">
        <f t="shared" si="52"/>
        <v>1597.49</v>
      </c>
      <c r="O417" s="137">
        <v>1602.02</v>
      </c>
      <c r="P417" s="23">
        <f t="shared" si="50"/>
        <v>13589.9999999999</v>
      </c>
      <c r="Q417" s="23">
        <f t="shared" si="53"/>
        <v>7.07</v>
      </c>
      <c r="R417" s="137">
        <v>7.08</v>
      </c>
      <c r="S417" s="23">
        <f t="shared" si="47"/>
        <v>29.9999999999994</v>
      </c>
      <c r="T417" s="123">
        <f t="shared" si="48"/>
        <v>13559.9999999999</v>
      </c>
      <c r="U417" s="138"/>
      <c r="V417" s="137">
        <v>5.72</v>
      </c>
      <c r="W417" s="137">
        <v>32.72</v>
      </c>
      <c r="X417" s="137"/>
      <c r="Y417" s="137"/>
      <c r="Z417" s="137"/>
      <c r="AA417" s="137"/>
      <c r="AB417" s="139" t="s">
        <v>38</v>
      </c>
    </row>
    <row r="418" spans="1:28">
      <c r="A418" s="97">
        <f t="shared" si="49"/>
        <v>420</v>
      </c>
      <c r="B418" s="115">
        <v>46112</v>
      </c>
      <c r="C418" s="116">
        <v>46163</v>
      </c>
      <c r="D418" s="135">
        <v>0.28125</v>
      </c>
      <c r="E418" s="136">
        <v>0.78125</v>
      </c>
      <c r="F418" s="124">
        <v>1868.88</v>
      </c>
      <c r="G418" s="141">
        <v>1869.5</v>
      </c>
      <c r="H418" s="137">
        <v>1857.46</v>
      </c>
      <c r="I418" s="137">
        <v>1944.37</v>
      </c>
      <c r="J418" s="137">
        <v>1919.74</v>
      </c>
      <c r="K418" s="137">
        <v>1938.42</v>
      </c>
      <c r="L418" s="141">
        <v>1957.9</v>
      </c>
      <c r="M418" s="125">
        <f t="shared" si="51"/>
        <v>13356.27</v>
      </c>
      <c r="N418" s="126">
        <f t="shared" si="52"/>
        <v>1602.02</v>
      </c>
      <c r="O418" s="137">
        <v>1606.42</v>
      </c>
      <c r="P418" s="23">
        <f t="shared" si="50"/>
        <v>13200.0000000003</v>
      </c>
      <c r="Q418" s="23">
        <f t="shared" si="53"/>
        <v>7.08</v>
      </c>
      <c r="R418" s="137">
        <v>7.09</v>
      </c>
      <c r="S418" s="23">
        <f t="shared" si="47"/>
        <v>29.9999999999994</v>
      </c>
      <c r="T418" s="123">
        <f t="shared" si="48"/>
        <v>13170.0000000003</v>
      </c>
      <c r="U418" s="138"/>
      <c r="V418" s="137">
        <v>5.58</v>
      </c>
      <c r="W418" s="137">
        <v>34.08</v>
      </c>
      <c r="X418" s="137"/>
      <c r="Y418" s="137"/>
      <c r="Z418" s="137"/>
      <c r="AA418" s="137"/>
      <c r="AB418" s="139" t="s">
        <v>38</v>
      </c>
    </row>
    <row r="419" spans="1:28">
      <c r="A419" s="97">
        <f t="shared" si="49"/>
        <v>421</v>
      </c>
      <c r="B419" s="115">
        <v>46112</v>
      </c>
      <c r="C419" s="116">
        <v>46164</v>
      </c>
      <c r="D419" s="135">
        <v>0.28125</v>
      </c>
      <c r="E419" s="136">
        <v>0.79166666666666696</v>
      </c>
      <c r="F419" s="124">
        <v>1875.22</v>
      </c>
      <c r="G419" s="137">
        <v>1876.47</v>
      </c>
      <c r="H419" s="137">
        <v>1864.86</v>
      </c>
      <c r="I419" s="141">
        <v>1955.9</v>
      </c>
      <c r="J419" s="137">
        <v>1960.45</v>
      </c>
      <c r="K419" s="137">
        <v>1947.54</v>
      </c>
      <c r="L419" s="141">
        <v>1966.9</v>
      </c>
      <c r="M419" s="125">
        <f t="shared" si="51"/>
        <v>13447.34</v>
      </c>
      <c r="N419" s="126">
        <f t="shared" si="52"/>
        <v>1606.42</v>
      </c>
      <c r="O419" s="137">
        <v>1610.84</v>
      </c>
      <c r="P419" s="23">
        <f t="shared" si="50"/>
        <v>13259.9999999995</v>
      </c>
      <c r="Q419" s="23">
        <f t="shared" si="53"/>
        <v>7.09</v>
      </c>
      <c r="R419" s="141">
        <v>7.1</v>
      </c>
      <c r="S419" s="23">
        <f t="shared" si="47"/>
        <v>29.9999999999994</v>
      </c>
      <c r="T419" s="123">
        <f t="shared" si="48"/>
        <v>13229.9999999995</v>
      </c>
      <c r="U419" s="138"/>
      <c r="V419" s="137">
        <v>5.66</v>
      </c>
      <c r="W419" s="137">
        <v>34.479999999999997</v>
      </c>
      <c r="X419" s="137"/>
      <c r="Y419" s="137"/>
      <c r="Z419" s="137"/>
      <c r="AA419" s="137"/>
      <c r="AB419" s="139" t="s">
        <v>38</v>
      </c>
    </row>
    <row r="420" spans="1:28">
      <c r="A420" s="97">
        <f t="shared" si="49"/>
        <v>422</v>
      </c>
      <c r="B420" s="115">
        <v>46112</v>
      </c>
      <c r="C420" s="116">
        <v>46165</v>
      </c>
      <c r="D420" s="135">
        <v>0.28125</v>
      </c>
      <c r="E420" s="136">
        <v>0.79166666666666696</v>
      </c>
      <c r="F420" s="124">
        <v>1773.71</v>
      </c>
      <c r="G420" s="137">
        <v>1766.44</v>
      </c>
      <c r="H420" s="141">
        <v>1759.2</v>
      </c>
      <c r="I420" s="137">
        <v>1858.35</v>
      </c>
      <c r="J420" s="137">
        <v>1863.63</v>
      </c>
      <c r="K420" s="137">
        <v>1837.97</v>
      </c>
      <c r="L420" s="137">
        <v>1866.89</v>
      </c>
      <c r="M420" s="125">
        <f t="shared" si="51"/>
        <v>12726.19</v>
      </c>
      <c r="N420" s="126">
        <f t="shared" si="52"/>
        <v>1610.84</v>
      </c>
      <c r="O420" s="137">
        <v>1615.01</v>
      </c>
      <c r="P420" s="23">
        <f t="shared" si="50"/>
        <v>12510.0000000002</v>
      </c>
      <c r="Q420" s="23">
        <f t="shared" si="53"/>
        <v>7.1</v>
      </c>
      <c r="R420" s="137">
        <v>7.11</v>
      </c>
      <c r="S420" s="23">
        <f t="shared" si="47"/>
        <v>30.000000000002</v>
      </c>
      <c r="T420" s="123">
        <f t="shared" si="48"/>
        <v>12480.0000000002</v>
      </c>
      <c r="U420" s="138"/>
      <c r="V420" s="137">
        <v>5.52</v>
      </c>
      <c r="W420" s="137">
        <v>34.04</v>
      </c>
      <c r="X420" s="137"/>
      <c r="Y420" s="137"/>
      <c r="Z420" s="137"/>
      <c r="AA420" s="137"/>
      <c r="AB420" s="139" t="s">
        <v>38</v>
      </c>
    </row>
    <row r="421" spans="1:28">
      <c r="A421" s="97">
        <f t="shared" si="49"/>
        <v>423</v>
      </c>
      <c r="B421" s="115">
        <v>46112</v>
      </c>
      <c r="C421" s="116">
        <v>46166</v>
      </c>
      <c r="D421" s="135">
        <v>0.28125</v>
      </c>
      <c r="E421" s="136">
        <v>0.79166666666666696</v>
      </c>
      <c r="F421" s="124">
        <v>1572.19</v>
      </c>
      <c r="G421" s="137">
        <v>1548.81</v>
      </c>
      <c r="H421" s="141">
        <v>1533.5</v>
      </c>
      <c r="I421" s="137">
        <v>1628.61</v>
      </c>
      <c r="J421" s="137">
        <v>1633.68</v>
      </c>
      <c r="K421" s="137">
        <v>1623.29</v>
      </c>
      <c r="L421" s="137">
        <v>1634.76</v>
      </c>
      <c r="M421" s="125">
        <f t="shared" si="51"/>
        <v>11174.84</v>
      </c>
      <c r="N421" s="126">
        <f t="shared" si="52"/>
        <v>1615.01</v>
      </c>
      <c r="O421" s="137">
        <v>1618.72</v>
      </c>
      <c r="P421" s="23">
        <f t="shared" si="50"/>
        <v>11130.0000000001</v>
      </c>
      <c r="Q421" s="23">
        <f t="shared" si="53"/>
        <v>7.11</v>
      </c>
      <c r="R421" s="137">
        <v>7.12</v>
      </c>
      <c r="S421" s="23">
        <f t="shared" si="47"/>
        <v>29.9999999999994</v>
      </c>
      <c r="T421" s="123">
        <f t="shared" si="48"/>
        <v>11100.0000000001</v>
      </c>
      <c r="U421" s="138"/>
      <c r="V421" s="137">
        <v>4.8099999999999996</v>
      </c>
      <c r="W421" s="137">
        <v>33.630000000000003</v>
      </c>
      <c r="X421" s="137"/>
      <c r="Y421" s="137"/>
      <c r="Z421" s="137"/>
      <c r="AA421" s="137"/>
      <c r="AB421" s="139" t="s">
        <v>38</v>
      </c>
    </row>
    <row r="422" spans="1:28">
      <c r="A422" s="97">
        <f t="shared" si="49"/>
        <v>424</v>
      </c>
      <c r="B422" s="115">
        <v>46112</v>
      </c>
      <c r="C422" s="116">
        <v>46167</v>
      </c>
      <c r="D422" s="135">
        <v>0.28125</v>
      </c>
      <c r="E422" s="136">
        <v>0.79166666666666696</v>
      </c>
      <c r="F422" s="124">
        <v>1769.97</v>
      </c>
      <c r="G422" s="137">
        <v>1751.04</v>
      </c>
      <c r="H422" s="137">
        <v>1745.23</v>
      </c>
      <c r="I422" s="137">
        <v>1841.09</v>
      </c>
      <c r="J422" s="137">
        <v>1850.34</v>
      </c>
      <c r="K422" s="137">
        <v>1781.39</v>
      </c>
      <c r="L422" s="137">
        <v>1835.09</v>
      </c>
      <c r="M422" s="125">
        <f t="shared" si="51"/>
        <v>12574.15</v>
      </c>
      <c r="N422" s="126">
        <f t="shared" si="52"/>
        <v>1618.72</v>
      </c>
      <c r="O422" s="137">
        <v>1622.88</v>
      </c>
      <c r="P422" s="23">
        <f t="shared" si="50"/>
        <v>12480.0000000002</v>
      </c>
      <c r="Q422" s="23">
        <f t="shared" si="53"/>
        <v>7.12</v>
      </c>
      <c r="R422" s="137">
        <v>7.13</v>
      </c>
      <c r="S422" s="23">
        <f t="shared" si="47"/>
        <v>29.9999999999994</v>
      </c>
      <c r="T422" s="123">
        <f t="shared" si="48"/>
        <v>12450.0000000002</v>
      </c>
      <c r="U422" s="138"/>
      <c r="V422" s="137">
        <v>5.29</v>
      </c>
      <c r="W422" s="137">
        <v>33.24</v>
      </c>
      <c r="X422" s="137"/>
      <c r="Y422" s="137"/>
      <c r="Z422" s="137"/>
      <c r="AA422" s="137"/>
      <c r="AB422" s="139" t="s">
        <v>38</v>
      </c>
    </row>
    <row r="423" spans="1:28">
      <c r="A423" s="97">
        <f t="shared" si="49"/>
        <v>425</v>
      </c>
      <c r="B423" s="115">
        <v>46112</v>
      </c>
      <c r="C423" s="116">
        <v>46168</v>
      </c>
      <c r="D423" s="135">
        <v>0.27083333333333298</v>
      </c>
      <c r="E423" s="136">
        <v>0.79166666666666696</v>
      </c>
      <c r="F423" s="124">
        <v>1842.13</v>
      </c>
      <c r="G423" s="137">
        <v>1841.76</v>
      </c>
      <c r="H423" s="137">
        <v>1836.24</v>
      </c>
      <c r="I423" s="137">
        <v>1915.47</v>
      </c>
      <c r="J423" s="137">
        <v>1926.51</v>
      </c>
      <c r="K423" s="137">
        <v>1913.98</v>
      </c>
      <c r="L423" s="137">
        <v>1931.51</v>
      </c>
      <c r="M423" s="125">
        <f t="shared" si="51"/>
        <v>13207.6</v>
      </c>
      <c r="N423" s="126">
        <f t="shared" si="52"/>
        <v>1622.88</v>
      </c>
      <c r="O423" s="137">
        <v>1627.23</v>
      </c>
      <c r="P423" s="23">
        <f t="shared" si="50"/>
        <v>13049.9999999997</v>
      </c>
      <c r="Q423" s="23">
        <f t="shared" si="53"/>
        <v>7.13</v>
      </c>
      <c r="R423" s="137">
        <v>7.15</v>
      </c>
      <c r="S423" s="23">
        <f t="shared" si="47"/>
        <v>60.0000000000014</v>
      </c>
      <c r="T423" s="123">
        <f t="shared" si="48"/>
        <v>12989.9999999997</v>
      </c>
      <c r="U423" s="138"/>
      <c r="V423" s="141">
        <v>5.8</v>
      </c>
      <c r="W423" s="137">
        <v>32.74</v>
      </c>
      <c r="X423" s="137"/>
      <c r="Y423" s="137"/>
      <c r="Z423" s="137"/>
      <c r="AA423" s="137"/>
      <c r="AB423" s="139" t="s">
        <v>38</v>
      </c>
    </row>
    <row r="424" spans="1:28">
      <c r="A424" s="97">
        <f t="shared" si="49"/>
        <v>426</v>
      </c>
      <c r="B424" s="115">
        <v>46112</v>
      </c>
      <c r="C424" s="116">
        <v>46169</v>
      </c>
      <c r="D424" s="135">
        <v>0.28125</v>
      </c>
      <c r="E424" s="136">
        <v>0.79166666666666696</v>
      </c>
      <c r="F424" s="124">
        <v>1839.88</v>
      </c>
      <c r="G424" s="137">
        <v>1842.41</v>
      </c>
      <c r="H424" s="137">
        <v>1829.01</v>
      </c>
      <c r="I424" s="137">
        <v>1867.77</v>
      </c>
      <c r="J424" s="137">
        <v>1926.64</v>
      </c>
      <c r="K424" s="137">
        <v>1909.82</v>
      </c>
      <c r="L424" s="137">
        <v>1894.84</v>
      </c>
      <c r="M424" s="125">
        <f t="shared" si="51"/>
        <v>13110.37</v>
      </c>
      <c r="N424" s="126">
        <f t="shared" si="52"/>
        <v>1627.23</v>
      </c>
      <c r="O424" s="137">
        <v>1631.55</v>
      </c>
      <c r="P424" s="23">
        <f t="shared" si="50"/>
        <v>12959.9999999998</v>
      </c>
      <c r="Q424" s="23">
        <f t="shared" si="53"/>
        <v>7.15</v>
      </c>
      <c r="R424" s="137">
        <v>7.16</v>
      </c>
      <c r="S424" s="23">
        <f t="shared" si="47"/>
        <v>29.9999999999994</v>
      </c>
      <c r="T424" s="123">
        <f t="shared" si="48"/>
        <v>12929.9999999998</v>
      </c>
      <c r="U424" s="138"/>
      <c r="V424" s="137">
        <v>5.67</v>
      </c>
      <c r="W424" s="137">
        <v>33.42</v>
      </c>
      <c r="X424" s="137"/>
      <c r="Y424" s="137"/>
      <c r="Z424" s="137"/>
      <c r="AA424" s="137"/>
      <c r="AB424" s="139" t="s">
        <v>38</v>
      </c>
    </row>
    <row r="425" spans="1:28">
      <c r="A425" s="97">
        <f t="shared" si="49"/>
        <v>427</v>
      </c>
      <c r="B425" s="115">
        <v>46112</v>
      </c>
      <c r="C425" s="116">
        <v>46170</v>
      </c>
      <c r="D425" s="135">
        <v>0.28125</v>
      </c>
      <c r="E425" s="136">
        <v>0.78125</v>
      </c>
      <c r="F425" s="124">
        <v>1866.3</v>
      </c>
      <c r="G425" s="137">
        <v>1865.77</v>
      </c>
      <c r="H425" s="137">
        <v>1374.88</v>
      </c>
      <c r="I425" s="137">
        <v>1896.39</v>
      </c>
      <c r="J425" s="137">
        <v>1948.89</v>
      </c>
      <c r="K425" s="137">
        <v>1930.45</v>
      </c>
      <c r="L425" s="137">
        <v>1950.35</v>
      </c>
      <c r="M425" s="125">
        <f t="shared" si="51"/>
        <v>12833.03</v>
      </c>
      <c r="N425" s="126">
        <f t="shared" si="52"/>
        <v>1631.55</v>
      </c>
      <c r="O425" s="137">
        <v>1635.78</v>
      </c>
      <c r="P425" s="23">
        <f t="shared" si="50"/>
        <v>12690.0000000001</v>
      </c>
      <c r="Q425" s="23">
        <f t="shared" si="53"/>
        <v>7.16</v>
      </c>
      <c r="R425" s="137">
        <v>7.17</v>
      </c>
      <c r="S425" s="23">
        <f t="shared" si="47"/>
        <v>29.9999999999994</v>
      </c>
      <c r="T425" s="123">
        <f t="shared" si="48"/>
        <v>12660.0000000001</v>
      </c>
      <c r="U425" s="138"/>
      <c r="V425" s="137">
        <v>5.78</v>
      </c>
      <c r="W425" s="137">
        <v>32.92</v>
      </c>
      <c r="X425" s="137"/>
      <c r="Y425" s="137"/>
      <c r="Z425" s="137"/>
      <c r="AA425" s="137"/>
      <c r="AB425" s="139" t="s">
        <v>38</v>
      </c>
    </row>
    <row r="426" spans="1:28">
      <c r="A426" s="97">
        <f t="shared" si="49"/>
        <v>428</v>
      </c>
      <c r="B426" s="115">
        <v>46112</v>
      </c>
      <c r="C426" s="116">
        <v>46171</v>
      </c>
      <c r="D426" s="135">
        <v>0.28125</v>
      </c>
      <c r="E426" s="136">
        <v>0.79166666666666696</v>
      </c>
      <c r="F426" s="124">
        <v>1677.48</v>
      </c>
      <c r="G426" s="137">
        <v>1677.46</v>
      </c>
      <c r="H426" s="137">
        <v>1417.42</v>
      </c>
      <c r="I426" s="137">
        <v>1748.86</v>
      </c>
      <c r="J426" s="137">
        <v>1760.22</v>
      </c>
      <c r="K426" s="137">
        <v>1742.65</v>
      </c>
      <c r="L426" s="137">
        <v>1738.44</v>
      </c>
      <c r="M426" s="125">
        <f t="shared" si="51"/>
        <v>11762.53</v>
      </c>
      <c r="N426" s="126">
        <f t="shared" si="52"/>
        <v>1635.78</v>
      </c>
      <c r="O426" s="137">
        <v>1639.61</v>
      </c>
      <c r="P426" s="23">
        <f t="shared" si="50"/>
        <v>11489.9999999998</v>
      </c>
      <c r="Q426" s="23">
        <f t="shared" si="53"/>
        <v>7.17</v>
      </c>
      <c r="R426" s="137">
        <v>7.18</v>
      </c>
      <c r="S426" s="23">
        <f t="shared" si="47"/>
        <v>29.9999999999994</v>
      </c>
      <c r="T426" s="123">
        <f t="shared" si="48"/>
        <v>11459.9999999998</v>
      </c>
      <c r="U426" s="138"/>
      <c r="V426" s="137">
        <v>5.14</v>
      </c>
      <c r="W426" s="137">
        <v>32.479999999999997</v>
      </c>
      <c r="X426" s="137"/>
      <c r="Y426" s="137"/>
      <c r="Z426" s="137"/>
      <c r="AA426" s="137"/>
      <c r="AB426" s="139" t="s">
        <v>38</v>
      </c>
    </row>
    <row r="427" spans="1:28">
      <c r="A427" s="97">
        <f t="shared" si="49"/>
        <v>429</v>
      </c>
      <c r="B427" s="115">
        <v>46112</v>
      </c>
      <c r="C427" s="116">
        <v>46172</v>
      </c>
      <c r="D427" s="135">
        <v>0.28125</v>
      </c>
      <c r="E427" s="136">
        <v>0.79166666666666696</v>
      </c>
      <c r="F427" s="124">
        <v>1677.05</v>
      </c>
      <c r="G427" s="141">
        <v>1659.5</v>
      </c>
      <c r="H427" s="137">
        <v>1546.63</v>
      </c>
      <c r="I427" s="137">
        <v>1736.32</v>
      </c>
      <c r="J427" s="137">
        <v>1743.61</v>
      </c>
      <c r="K427" s="137">
        <v>1764.88</v>
      </c>
      <c r="L427" s="137">
        <v>1723.54</v>
      </c>
      <c r="M427" s="125">
        <f t="shared" si="51"/>
        <v>11851.53</v>
      </c>
      <c r="N427" s="126">
        <f t="shared" si="52"/>
        <v>1639.61</v>
      </c>
      <c r="O427" s="137">
        <v>1643.58</v>
      </c>
      <c r="P427" s="23">
        <f t="shared" si="50"/>
        <v>11910.0000000001</v>
      </c>
      <c r="Q427" s="23">
        <f t="shared" si="53"/>
        <v>7.18</v>
      </c>
      <c r="R427" s="137">
        <v>7.19</v>
      </c>
      <c r="S427" s="23">
        <f t="shared" si="47"/>
        <v>30.000000000002</v>
      </c>
      <c r="T427" s="123">
        <f t="shared" si="48"/>
        <v>11880.0000000001</v>
      </c>
      <c r="U427" s="138"/>
      <c r="V427" s="141">
        <v>5.0999999999999996</v>
      </c>
      <c r="W427" s="137">
        <v>32.71</v>
      </c>
      <c r="X427" s="137"/>
      <c r="Y427" s="137"/>
      <c r="Z427" s="137"/>
      <c r="AA427" s="137"/>
      <c r="AB427" s="139" t="s">
        <v>38</v>
      </c>
    </row>
    <row r="428" spans="1:28">
      <c r="A428" s="97">
        <f t="shared" si="49"/>
        <v>430</v>
      </c>
      <c r="B428" s="115">
        <v>46112</v>
      </c>
      <c r="C428" s="116">
        <v>46173</v>
      </c>
      <c r="D428" s="135">
        <v>0.28125</v>
      </c>
      <c r="E428" s="136">
        <v>0.79166666666666696</v>
      </c>
      <c r="F428" s="124">
        <v>1703.15</v>
      </c>
      <c r="G428" s="137">
        <v>1646.79</v>
      </c>
      <c r="H428" s="141">
        <v>1642.8</v>
      </c>
      <c r="I428" s="137">
        <v>1725.79</v>
      </c>
      <c r="J428" s="137">
        <v>1734.41</v>
      </c>
      <c r="K428" s="137">
        <v>1748.66</v>
      </c>
      <c r="L428" s="137">
        <v>1692.85</v>
      </c>
      <c r="M428" s="125">
        <f t="shared" si="51"/>
        <v>11894.45</v>
      </c>
      <c r="N428" s="126">
        <f t="shared" si="52"/>
        <v>1643.58</v>
      </c>
      <c r="O428" s="137">
        <v>1647.11</v>
      </c>
      <c r="P428" s="23">
        <f t="shared" si="50"/>
        <v>10589.9999999999</v>
      </c>
      <c r="Q428" s="23">
        <f t="shared" si="53"/>
        <v>7.19</v>
      </c>
      <c r="R428" s="141">
        <v>7.2</v>
      </c>
      <c r="S428" s="23">
        <f t="shared" si="47"/>
        <v>29.9999999999994</v>
      </c>
      <c r="T428" s="123">
        <f t="shared" si="48"/>
        <v>10559.9999999999</v>
      </c>
      <c r="U428" s="138"/>
      <c r="V428" s="141">
        <v>5.2</v>
      </c>
      <c r="W428" s="137">
        <v>32.86</v>
      </c>
      <c r="X428" s="137"/>
      <c r="Y428" s="137"/>
      <c r="Z428" s="137"/>
      <c r="AA428" s="137"/>
      <c r="AB428" s="139" t="s">
        <v>38</v>
      </c>
    </row>
    <row r="429" spans="1:28">
      <c r="A429" s="97">
        <f t="shared" si="49"/>
        <v>431</v>
      </c>
      <c r="B429" s="115">
        <v>46112</v>
      </c>
      <c r="C429" s="116">
        <v>46174</v>
      </c>
      <c r="D429" s="135">
        <v>0.28125</v>
      </c>
      <c r="E429" s="136">
        <v>0.79166666666666696</v>
      </c>
      <c r="F429" s="124">
        <v>1538.31</v>
      </c>
      <c r="G429" s="137">
        <v>1612.94</v>
      </c>
      <c r="H429" s="137">
        <v>1598.93</v>
      </c>
      <c r="I429" s="137">
        <v>1680.07</v>
      </c>
      <c r="J429" s="137">
        <v>1687.81</v>
      </c>
      <c r="K429" s="137">
        <v>1689.08</v>
      </c>
      <c r="L429" s="137">
        <v>1669.73</v>
      </c>
      <c r="M429" s="125">
        <f t="shared" si="51"/>
        <v>11476.87</v>
      </c>
      <c r="N429" s="126">
        <f t="shared" si="52"/>
        <v>1647.11</v>
      </c>
      <c r="O429" s="137">
        <v>1651.29</v>
      </c>
      <c r="P429" s="23">
        <f t="shared" si="50"/>
        <v>12540.0000000002</v>
      </c>
      <c r="Q429" s="23">
        <f t="shared" si="53"/>
        <v>7.2</v>
      </c>
      <c r="R429" s="137">
        <v>7.21</v>
      </c>
      <c r="S429" s="23">
        <f t="shared" si="47"/>
        <v>29.9999999999994</v>
      </c>
      <c r="T429" s="123">
        <f t="shared" si="48"/>
        <v>12510.0000000002</v>
      </c>
      <c r="U429" s="138"/>
      <c r="V429" s="137">
        <v>4.99</v>
      </c>
      <c r="W429" s="137">
        <v>32.94</v>
      </c>
      <c r="X429" s="137"/>
      <c r="Y429" s="137"/>
      <c r="Z429" s="137"/>
      <c r="AA429" s="137"/>
      <c r="AB429" s="139" t="s">
        <v>38</v>
      </c>
    </row>
    <row r="430" spans="1:28">
      <c r="A430" s="97">
        <f t="shared" si="49"/>
        <v>432</v>
      </c>
      <c r="B430" s="115">
        <v>46112</v>
      </c>
      <c r="C430" s="116">
        <v>46175</v>
      </c>
      <c r="D430" s="135">
        <v>0.28125</v>
      </c>
      <c r="E430" s="136">
        <v>0.79166666666666696</v>
      </c>
      <c r="F430" s="124">
        <v>1526.52</v>
      </c>
      <c r="G430" s="137">
        <v>737.26</v>
      </c>
      <c r="H430" s="137">
        <v>1506.06</v>
      </c>
      <c r="I430" s="137">
        <v>1582.59</v>
      </c>
      <c r="J430" s="137">
        <v>1588.67</v>
      </c>
      <c r="K430" s="137">
        <v>1587.13</v>
      </c>
      <c r="L430" s="137">
        <v>1595.17</v>
      </c>
      <c r="M430" s="125">
        <f t="shared" si="51"/>
        <v>10123.4</v>
      </c>
      <c r="N430" s="126">
        <f t="shared" si="52"/>
        <v>1651.29</v>
      </c>
      <c r="O430" s="137">
        <v>1654.62</v>
      </c>
      <c r="P430" s="23">
        <f t="shared" si="50"/>
        <v>9989.9999999997799</v>
      </c>
      <c r="Q430" s="23">
        <f t="shared" si="53"/>
        <v>7.21</v>
      </c>
      <c r="R430" s="137">
        <v>7.22</v>
      </c>
      <c r="S430" s="23">
        <f t="shared" si="47"/>
        <v>29.9999999999994</v>
      </c>
      <c r="T430" s="123">
        <f t="shared" si="48"/>
        <v>9959.9999999997799</v>
      </c>
      <c r="U430" s="138"/>
      <c r="V430" s="137">
        <v>4.67</v>
      </c>
      <c r="W430" s="137">
        <v>32.840000000000003</v>
      </c>
      <c r="X430" s="137"/>
      <c r="Y430" s="137"/>
      <c r="Z430" s="137"/>
      <c r="AA430" s="137"/>
      <c r="AB430" s="139" t="s">
        <v>38</v>
      </c>
    </row>
    <row r="431" spans="1:28">
      <c r="A431" s="97">
        <f t="shared" si="49"/>
        <v>433</v>
      </c>
      <c r="B431" s="115">
        <v>46112</v>
      </c>
      <c r="C431" s="116">
        <v>46176</v>
      </c>
      <c r="D431" s="135">
        <v>0.28125</v>
      </c>
      <c r="E431" s="136">
        <v>0.79166666666666696</v>
      </c>
      <c r="F431" s="124">
        <v>1541.4</v>
      </c>
      <c r="G431" s="137">
        <v>1805.34</v>
      </c>
      <c r="H431" s="137">
        <v>1790.58</v>
      </c>
      <c r="I431" s="137">
        <v>1872.59</v>
      </c>
      <c r="J431" s="137">
        <v>1879.49</v>
      </c>
      <c r="K431" s="137">
        <v>1881.81</v>
      </c>
      <c r="L431" s="137">
        <v>1890.375</v>
      </c>
      <c r="M431" s="125">
        <f t="shared" si="51"/>
        <v>12661.584999999999</v>
      </c>
      <c r="N431" s="126">
        <f t="shared" si="52"/>
        <v>1654.62</v>
      </c>
      <c r="O431" s="137">
        <v>1658.76</v>
      </c>
      <c r="P431" s="23">
        <f t="shared" si="50"/>
        <v>12420.0000000003</v>
      </c>
      <c r="Q431" s="23">
        <f t="shared" si="53"/>
        <v>7.22</v>
      </c>
      <c r="R431" s="137">
        <v>7.23</v>
      </c>
      <c r="S431" s="23">
        <f t="shared" si="47"/>
        <v>30.000000000002</v>
      </c>
      <c r="T431" s="123">
        <f t="shared" si="48"/>
        <v>12390.0000000003</v>
      </c>
      <c r="U431" s="138"/>
      <c r="V431" s="137">
        <v>5.49</v>
      </c>
      <c r="W431" s="137">
        <v>33.56</v>
      </c>
      <c r="X431" s="137"/>
      <c r="Y431" s="137"/>
      <c r="Z431" s="137"/>
      <c r="AA431" s="137"/>
      <c r="AB431" s="139" t="s">
        <v>38</v>
      </c>
    </row>
    <row r="432" spans="1:28">
      <c r="A432" s="97">
        <f t="shared" si="49"/>
        <v>434</v>
      </c>
      <c r="B432" s="115">
        <v>46112</v>
      </c>
      <c r="C432" s="116">
        <v>46177</v>
      </c>
      <c r="D432" s="135">
        <v>0.28125</v>
      </c>
      <c r="E432" s="136">
        <v>0.79166666666666696</v>
      </c>
      <c r="F432" s="124">
        <v>1578.2</v>
      </c>
      <c r="G432" s="137">
        <v>1207.79</v>
      </c>
      <c r="H432" s="137">
        <v>1615.51</v>
      </c>
      <c r="I432" s="137">
        <v>1705.33</v>
      </c>
      <c r="J432" s="137">
        <v>1707.54</v>
      </c>
      <c r="K432" s="137">
        <v>1699.21</v>
      </c>
      <c r="L432" s="137">
        <v>1710.79</v>
      </c>
      <c r="M432" s="125">
        <f t="shared" si="51"/>
        <v>11224.37</v>
      </c>
      <c r="N432" s="126">
        <f t="shared" si="52"/>
        <v>1658.76</v>
      </c>
      <c r="O432" s="137">
        <v>1662.49</v>
      </c>
      <c r="P432" s="23">
        <f t="shared" si="50"/>
        <v>11190.0000000001</v>
      </c>
      <c r="Q432" s="23">
        <f t="shared" si="53"/>
        <v>7.23</v>
      </c>
      <c r="R432" s="137">
        <v>7.24</v>
      </c>
      <c r="S432" s="23">
        <f t="shared" ref="S432:S495" si="54">MAX((R432-Q432)*3000,0)</f>
        <v>29.9999999999994</v>
      </c>
      <c r="T432" s="123">
        <f t="shared" ref="T432:T495" si="55">P432-S432</f>
        <v>11160.0000000001</v>
      </c>
      <c r="U432" s="138"/>
      <c r="V432" s="137">
        <v>4.79</v>
      </c>
      <c r="W432" s="137">
        <v>33.119999999999997</v>
      </c>
      <c r="X432" s="137"/>
      <c r="Y432" s="137"/>
      <c r="Z432" s="137"/>
      <c r="AA432" s="137"/>
      <c r="AB432" s="139" t="s">
        <v>38</v>
      </c>
    </row>
    <row r="433" spans="1:28">
      <c r="A433" s="97">
        <f t="shared" si="49"/>
        <v>435</v>
      </c>
      <c r="B433" s="115">
        <v>46112</v>
      </c>
      <c r="C433" s="116">
        <v>46178</v>
      </c>
      <c r="D433" s="135">
        <v>0.28125</v>
      </c>
      <c r="E433" s="136">
        <v>0.79166666666666696</v>
      </c>
      <c r="F433" s="124">
        <v>1580.3</v>
      </c>
      <c r="G433" s="137">
        <v>1583.54</v>
      </c>
      <c r="H433" s="141">
        <v>1563.5</v>
      </c>
      <c r="I433" s="137">
        <v>1643.94</v>
      </c>
      <c r="J433" s="137">
        <v>1663.13</v>
      </c>
      <c r="K433" s="137">
        <v>1653.37</v>
      </c>
      <c r="L433" s="137">
        <v>1662.44</v>
      </c>
      <c r="M433" s="125">
        <f t="shared" si="51"/>
        <v>11350.22</v>
      </c>
      <c r="N433" s="126">
        <f t="shared" si="52"/>
        <v>1662.49</v>
      </c>
      <c r="O433" s="137">
        <v>1666.26</v>
      </c>
      <c r="P433" s="23">
        <f t="shared" si="50"/>
        <v>11309.9999999999</v>
      </c>
      <c r="Q433" s="23">
        <f t="shared" si="53"/>
        <v>7.24</v>
      </c>
      <c r="R433" s="137">
        <v>7.25</v>
      </c>
      <c r="S433" s="23">
        <f t="shared" si="54"/>
        <v>29.9999999999994</v>
      </c>
      <c r="T433" s="123">
        <f t="shared" si="55"/>
        <v>11279.9999999999</v>
      </c>
      <c r="U433" s="138"/>
      <c r="V433" s="137">
        <v>4.71</v>
      </c>
      <c r="W433" s="137">
        <v>33.03</v>
      </c>
      <c r="X433" s="137"/>
      <c r="Y433" s="137"/>
      <c r="Z433" s="137"/>
      <c r="AA433" s="137"/>
      <c r="AB433" s="139" t="s">
        <v>38</v>
      </c>
    </row>
    <row r="434" spans="1:28">
      <c r="A434" s="97">
        <f t="shared" si="49"/>
        <v>436</v>
      </c>
      <c r="B434" s="115">
        <v>46112</v>
      </c>
      <c r="C434" s="116">
        <v>46179</v>
      </c>
      <c r="D434" s="135"/>
      <c r="E434" s="136"/>
      <c r="F434" s="124"/>
      <c r="G434" s="137"/>
      <c r="H434" s="137"/>
      <c r="I434" s="137"/>
      <c r="J434" s="137"/>
      <c r="K434" s="137"/>
      <c r="L434" s="137"/>
      <c r="M434" s="125">
        <f t="shared" si="51"/>
        <v>0</v>
      </c>
      <c r="N434" s="126">
        <f t="shared" si="52"/>
        <v>1666.26</v>
      </c>
      <c r="O434" s="137"/>
      <c r="P434" s="23">
        <f t="shared" si="50"/>
        <v>0</v>
      </c>
      <c r="Q434" s="23">
        <f t="shared" si="53"/>
        <v>7.25</v>
      </c>
      <c r="R434" s="137"/>
      <c r="S434" s="23">
        <f t="shared" si="54"/>
        <v>0</v>
      </c>
      <c r="T434" s="123">
        <f t="shared" si="55"/>
        <v>0</v>
      </c>
      <c r="U434" s="138"/>
      <c r="V434" s="137"/>
      <c r="W434" s="137"/>
      <c r="X434" s="137"/>
      <c r="Y434" s="137"/>
      <c r="Z434" s="137"/>
      <c r="AA434" s="137"/>
      <c r="AB434" s="139"/>
    </row>
    <row r="435" spans="1:28">
      <c r="A435" s="97">
        <f t="shared" si="49"/>
        <v>437</v>
      </c>
      <c r="B435" s="115">
        <v>46112</v>
      </c>
      <c r="C435" s="116">
        <v>46180</v>
      </c>
      <c r="D435" s="135"/>
      <c r="E435" s="136"/>
      <c r="F435" s="124"/>
      <c r="G435" s="137"/>
      <c r="H435" s="137"/>
      <c r="I435" s="137"/>
      <c r="J435" s="137"/>
      <c r="K435" s="137"/>
      <c r="L435" s="137"/>
      <c r="M435" s="125">
        <f t="shared" si="51"/>
        <v>0</v>
      </c>
      <c r="N435" s="126">
        <f t="shared" si="52"/>
        <v>0</v>
      </c>
      <c r="O435" s="137"/>
      <c r="P435" s="23">
        <f t="shared" si="50"/>
        <v>0</v>
      </c>
      <c r="Q435" s="23">
        <f t="shared" si="53"/>
        <v>0</v>
      </c>
      <c r="R435" s="137"/>
      <c r="S435" s="23">
        <f t="shared" si="54"/>
        <v>0</v>
      </c>
      <c r="T435" s="123">
        <f t="shared" si="55"/>
        <v>0</v>
      </c>
      <c r="U435" s="138"/>
      <c r="V435" s="137"/>
      <c r="W435" s="137"/>
      <c r="X435" s="137"/>
      <c r="Y435" s="137"/>
      <c r="Z435" s="137"/>
      <c r="AA435" s="137"/>
      <c r="AB435" s="139"/>
    </row>
    <row r="436" spans="1:28">
      <c r="A436" s="97">
        <f t="shared" si="49"/>
        <v>438</v>
      </c>
      <c r="B436" s="115">
        <v>46112</v>
      </c>
      <c r="C436" s="116">
        <v>46181</v>
      </c>
      <c r="D436" s="135"/>
      <c r="E436" s="136"/>
      <c r="F436" s="124"/>
      <c r="G436" s="137"/>
      <c r="H436" s="137"/>
      <c r="I436" s="137"/>
      <c r="J436" s="137"/>
      <c r="K436" s="137"/>
      <c r="L436" s="137"/>
      <c r="M436" s="125">
        <f t="shared" si="51"/>
        <v>0</v>
      </c>
      <c r="N436" s="126">
        <f t="shared" si="52"/>
        <v>0</v>
      </c>
      <c r="O436" s="137"/>
      <c r="P436" s="23">
        <f t="shared" si="50"/>
        <v>0</v>
      </c>
      <c r="Q436" s="23">
        <f t="shared" si="53"/>
        <v>0</v>
      </c>
      <c r="R436" s="137"/>
      <c r="S436" s="23">
        <f t="shared" si="54"/>
        <v>0</v>
      </c>
      <c r="T436" s="123">
        <f t="shared" si="55"/>
        <v>0</v>
      </c>
      <c r="U436" s="138"/>
      <c r="V436" s="137"/>
      <c r="W436" s="137"/>
      <c r="X436" s="137"/>
      <c r="Y436" s="137"/>
      <c r="Z436" s="137"/>
      <c r="AA436" s="137"/>
      <c r="AB436" s="139"/>
    </row>
    <row r="437" spans="1:28">
      <c r="A437" s="97">
        <f t="shared" si="49"/>
        <v>439</v>
      </c>
      <c r="B437" s="115">
        <v>46112</v>
      </c>
      <c r="C437" s="116">
        <v>46182</v>
      </c>
      <c r="D437" s="135"/>
      <c r="E437" s="136"/>
      <c r="F437" s="124"/>
      <c r="G437" s="137"/>
      <c r="H437" s="137"/>
      <c r="I437" s="137"/>
      <c r="J437" s="137"/>
      <c r="K437" s="137"/>
      <c r="L437" s="137"/>
      <c r="M437" s="125">
        <f t="shared" si="51"/>
        <v>0</v>
      </c>
      <c r="N437" s="126">
        <f t="shared" si="52"/>
        <v>0</v>
      </c>
      <c r="O437" s="137"/>
      <c r="P437" s="23">
        <f t="shared" si="50"/>
        <v>0</v>
      </c>
      <c r="Q437" s="23">
        <f t="shared" si="53"/>
        <v>0</v>
      </c>
      <c r="R437" s="137"/>
      <c r="S437" s="23">
        <f t="shared" si="54"/>
        <v>0</v>
      </c>
      <c r="T437" s="123">
        <f t="shared" si="55"/>
        <v>0</v>
      </c>
      <c r="U437" s="138"/>
      <c r="V437" s="137"/>
      <c r="W437" s="137"/>
      <c r="X437" s="137"/>
      <c r="Y437" s="137"/>
      <c r="Z437" s="137"/>
      <c r="AA437" s="137"/>
      <c r="AB437" s="139"/>
    </row>
    <row r="438" spans="1:28">
      <c r="A438" s="97">
        <f t="shared" si="49"/>
        <v>440</v>
      </c>
      <c r="B438" s="115">
        <v>46112</v>
      </c>
      <c r="C438" s="116">
        <v>46183</v>
      </c>
      <c r="D438" s="135"/>
      <c r="E438" s="136"/>
      <c r="F438" s="124"/>
      <c r="G438" s="137"/>
      <c r="H438" s="137"/>
      <c r="I438" s="137"/>
      <c r="J438" s="137"/>
      <c r="K438" s="137"/>
      <c r="L438" s="137"/>
      <c r="M438" s="125">
        <f t="shared" si="51"/>
        <v>0</v>
      </c>
      <c r="N438" s="126">
        <f t="shared" si="52"/>
        <v>0</v>
      </c>
      <c r="O438" s="137"/>
      <c r="P438" s="23">
        <f t="shared" si="50"/>
        <v>0</v>
      </c>
      <c r="Q438" s="23">
        <f t="shared" si="53"/>
        <v>0</v>
      </c>
      <c r="R438" s="137"/>
      <c r="S438" s="23">
        <f t="shared" si="54"/>
        <v>0</v>
      </c>
      <c r="T438" s="123">
        <f t="shared" si="55"/>
        <v>0</v>
      </c>
      <c r="U438" s="138"/>
      <c r="V438" s="137"/>
      <c r="W438" s="137"/>
      <c r="X438" s="137"/>
      <c r="Y438" s="137"/>
      <c r="Z438" s="137"/>
      <c r="AA438" s="137"/>
      <c r="AB438" s="139"/>
    </row>
    <row r="439" spans="1:28">
      <c r="A439" s="97">
        <f t="shared" si="49"/>
        <v>441</v>
      </c>
      <c r="B439" s="115">
        <v>46112</v>
      </c>
      <c r="C439" s="116">
        <v>46184</v>
      </c>
      <c r="D439" s="135"/>
      <c r="E439" s="136"/>
      <c r="F439" s="124"/>
      <c r="G439" s="137"/>
      <c r="H439" s="137"/>
      <c r="I439" s="137"/>
      <c r="J439" s="137"/>
      <c r="K439" s="137"/>
      <c r="L439" s="137"/>
      <c r="M439" s="125">
        <f t="shared" si="51"/>
        <v>0</v>
      </c>
      <c r="N439" s="126">
        <f t="shared" si="52"/>
        <v>0</v>
      </c>
      <c r="O439" s="137"/>
      <c r="P439" s="23">
        <f t="shared" si="50"/>
        <v>0</v>
      </c>
      <c r="Q439" s="23">
        <f t="shared" si="53"/>
        <v>0</v>
      </c>
      <c r="R439" s="137"/>
      <c r="S439" s="23">
        <f t="shared" si="54"/>
        <v>0</v>
      </c>
      <c r="T439" s="123">
        <f t="shared" si="55"/>
        <v>0</v>
      </c>
      <c r="U439" s="138"/>
      <c r="V439" s="137"/>
      <c r="W439" s="137"/>
      <c r="X439" s="137"/>
      <c r="Y439" s="137"/>
      <c r="Z439" s="137"/>
      <c r="AA439" s="137"/>
      <c r="AB439" s="139"/>
    </row>
    <row r="440" spans="1:28">
      <c r="A440" s="97">
        <f t="shared" si="49"/>
        <v>442</v>
      </c>
      <c r="B440" s="115">
        <v>46112</v>
      </c>
      <c r="C440" s="116">
        <v>46185</v>
      </c>
      <c r="D440" s="135"/>
      <c r="E440" s="136"/>
      <c r="F440" s="124"/>
      <c r="G440" s="137"/>
      <c r="H440" s="137"/>
      <c r="I440" s="137"/>
      <c r="J440" s="137"/>
      <c r="K440" s="137"/>
      <c r="L440" s="137"/>
      <c r="M440" s="125">
        <f t="shared" si="51"/>
        <v>0</v>
      </c>
      <c r="N440" s="126">
        <f t="shared" si="52"/>
        <v>0</v>
      </c>
      <c r="O440" s="137"/>
      <c r="P440" s="23">
        <f t="shared" si="50"/>
        <v>0</v>
      </c>
      <c r="Q440" s="23">
        <f t="shared" si="53"/>
        <v>0</v>
      </c>
      <c r="R440" s="137"/>
      <c r="S440" s="23">
        <f t="shared" si="54"/>
        <v>0</v>
      </c>
      <c r="T440" s="123">
        <f t="shared" si="55"/>
        <v>0</v>
      </c>
      <c r="U440" s="138"/>
      <c r="V440" s="137"/>
      <c r="W440" s="137"/>
      <c r="X440" s="137"/>
      <c r="Y440" s="137"/>
      <c r="Z440" s="137"/>
      <c r="AA440" s="137"/>
      <c r="AB440" s="139"/>
    </row>
    <row r="441" spans="1:28">
      <c r="A441" s="97">
        <f t="shared" si="49"/>
        <v>443</v>
      </c>
      <c r="B441" s="115">
        <v>46112</v>
      </c>
      <c r="C441" s="116">
        <v>46186</v>
      </c>
      <c r="D441" s="135"/>
      <c r="E441" s="136"/>
      <c r="F441" s="124"/>
      <c r="G441" s="137"/>
      <c r="H441" s="137"/>
      <c r="I441" s="137"/>
      <c r="J441" s="137"/>
      <c r="K441" s="137"/>
      <c r="L441" s="137"/>
      <c r="M441" s="125">
        <f t="shared" si="51"/>
        <v>0</v>
      </c>
      <c r="N441" s="126">
        <f t="shared" si="52"/>
        <v>0</v>
      </c>
      <c r="O441" s="137"/>
      <c r="P441" s="23">
        <f t="shared" si="50"/>
        <v>0</v>
      </c>
      <c r="Q441" s="23">
        <f t="shared" si="53"/>
        <v>0</v>
      </c>
      <c r="R441" s="137"/>
      <c r="S441" s="23">
        <f t="shared" si="54"/>
        <v>0</v>
      </c>
      <c r="T441" s="123">
        <f t="shared" si="55"/>
        <v>0</v>
      </c>
      <c r="U441" s="138"/>
      <c r="V441" s="137"/>
      <c r="W441" s="137"/>
      <c r="X441" s="137"/>
      <c r="Y441" s="137"/>
      <c r="Z441" s="137"/>
      <c r="AA441" s="137"/>
      <c r="AB441" s="139"/>
    </row>
    <row r="442" spans="1:28">
      <c r="A442" s="97">
        <f t="shared" si="49"/>
        <v>444</v>
      </c>
      <c r="B442" s="115">
        <v>46112</v>
      </c>
      <c r="C442" s="116">
        <v>46187</v>
      </c>
      <c r="D442" s="135"/>
      <c r="E442" s="136"/>
      <c r="F442" s="124"/>
      <c r="G442" s="137"/>
      <c r="H442" s="137"/>
      <c r="I442" s="137"/>
      <c r="J442" s="137"/>
      <c r="K442" s="137"/>
      <c r="L442" s="137"/>
      <c r="M442" s="125">
        <f t="shared" si="51"/>
        <v>0</v>
      </c>
      <c r="N442" s="126">
        <f t="shared" si="52"/>
        <v>0</v>
      </c>
      <c r="O442" s="137"/>
      <c r="P442" s="23">
        <f t="shared" si="50"/>
        <v>0</v>
      </c>
      <c r="Q442" s="23">
        <f t="shared" si="53"/>
        <v>0</v>
      </c>
      <c r="R442" s="137"/>
      <c r="S442" s="23">
        <f t="shared" si="54"/>
        <v>0</v>
      </c>
      <c r="T442" s="123">
        <f t="shared" si="55"/>
        <v>0</v>
      </c>
      <c r="U442" s="138"/>
      <c r="V442" s="137"/>
      <c r="W442" s="137"/>
      <c r="X442" s="137"/>
      <c r="Y442" s="137"/>
      <c r="Z442" s="137"/>
      <c r="AA442" s="137"/>
      <c r="AB442" s="139"/>
    </row>
    <row r="443" spans="1:28">
      <c r="A443" s="97">
        <f t="shared" si="49"/>
        <v>445</v>
      </c>
      <c r="B443" s="115">
        <v>46112</v>
      </c>
      <c r="C443" s="116">
        <v>46188</v>
      </c>
      <c r="D443" s="135"/>
      <c r="E443" s="136"/>
      <c r="F443" s="124"/>
      <c r="G443" s="137"/>
      <c r="H443" s="137"/>
      <c r="I443" s="137"/>
      <c r="J443" s="137"/>
      <c r="K443" s="137"/>
      <c r="L443" s="137"/>
      <c r="M443" s="125">
        <f t="shared" si="51"/>
        <v>0</v>
      </c>
      <c r="N443" s="126">
        <f t="shared" si="52"/>
        <v>0</v>
      </c>
      <c r="O443" s="137"/>
      <c r="P443" s="23">
        <f t="shared" si="50"/>
        <v>0</v>
      </c>
      <c r="Q443" s="23">
        <f t="shared" si="53"/>
        <v>0</v>
      </c>
      <c r="R443" s="137"/>
      <c r="S443" s="23">
        <f t="shared" si="54"/>
        <v>0</v>
      </c>
      <c r="T443" s="123">
        <f t="shared" si="55"/>
        <v>0</v>
      </c>
      <c r="U443" s="138"/>
      <c r="V443" s="137"/>
      <c r="W443" s="137"/>
      <c r="X443" s="137"/>
      <c r="Y443" s="137"/>
      <c r="Z443" s="137"/>
      <c r="AA443" s="137"/>
      <c r="AB443" s="139"/>
    </row>
    <row r="444" spans="1:28">
      <c r="A444" s="97">
        <f t="shared" si="49"/>
        <v>446</v>
      </c>
      <c r="B444" s="115">
        <v>46112</v>
      </c>
      <c r="C444" s="116">
        <v>46189</v>
      </c>
      <c r="D444" s="135"/>
      <c r="E444" s="136"/>
      <c r="F444" s="124"/>
      <c r="G444" s="137"/>
      <c r="H444" s="137"/>
      <c r="I444" s="137"/>
      <c r="J444" s="137"/>
      <c r="K444" s="137"/>
      <c r="L444" s="137"/>
      <c r="M444" s="125">
        <f t="shared" si="51"/>
        <v>0</v>
      </c>
      <c r="N444" s="126">
        <f t="shared" si="52"/>
        <v>0</v>
      </c>
      <c r="O444" s="137"/>
      <c r="P444" s="23">
        <f t="shared" si="50"/>
        <v>0</v>
      </c>
      <c r="Q444" s="23">
        <f t="shared" si="53"/>
        <v>0</v>
      </c>
      <c r="R444" s="137"/>
      <c r="S444" s="23">
        <f t="shared" si="54"/>
        <v>0</v>
      </c>
      <c r="T444" s="123">
        <f t="shared" si="55"/>
        <v>0</v>
      </c>
      <c r="U444" s="138"/>
      <c r="V444" s="137"/>
      <c r="W444" s="137"/>
      <c r="X444" s="137"/>
      <c r="Y444" s="137"/>
      <c r="Z444" s="137"/>
      <c r="AA444" s="137"/>
      <c r="AB444" s="139"/>
    </row>
    <row r="445" spans="1:28">
      <c r="A445" s="97">
        <f t="shared" si="49"/>
        <v>447</v>
      </c>
      <c r="B445" s="115">
        <v>46112</v>
      </c>
      <c r="C445" s="116">
        <v>46190</v>
      </c>
      <c r="D445" s="135"/>
      <c r="E445" s="136"/>
      <c r="F445" s="124"/>
      <c r="G445" s="137"/>
      <c r="H445" s="137"/>
      <c r="I445" s="137"/>
      <c r="J445" s="137"/>
      <c r="K445" s="137"/>
      <c r="L445" s="137"/>
      <c r="M445" s="125">
        <f t="shared" si="51"/>
        <v>0</v>
      </c>
      <c r="N445" s="126">
        <f t="shared" si="52"/>
        <v>0</v>
      </c>
      <c r="O445" s="137"/>
      <c r="P445" s="23">
        <f t="shared" si="50"/>
        <v>0</v>
      </c>
      <c r="Q445" s="23">
        <f t="shared" si="53"/>
        <v>0</v>
      </c>
      <c r="R445" s="137"/>
      <c r="S445" s="23">
        <f t="shared" si="54"/>
        <v>0</v>
      </c>
      <c r="T445" s="123">
        <f t="shared" si="55"/>
        <v>0</v>
      </c>
      <c r="U445" s="138"/>
      <c r="V445" s="137"/>
      <c r="W445" s="137"/>
      <c r="X445" s="137"/>
      <c r="Y445" s="137"/>
      <c r="Z445" s="137"/>
      <c r="AA445" s="137"/>
      <c r="AB445" s="139"/>
    </row>
    <row r="446" spans="1:28">
      <c r="A446" s="97">
        <f t="shared" si="49"/>
        <v>448</v>
      </c>
      <c r="B446" s="115">
        <v>46112</v>
      </c>
      <c r="C446" s="116">
        <v>46191</v>
      </c>
      <c r="D446" s="135"/>
      <c r="E446" s="136"/>
      <c r="F446" s="124"/>
      <c r="G446" s="137"/>
      <c r="H446" s="137"/>
      <c r="I446" s="137"/>
      <c r="J446" s="137"/>
      <c r="K446" s="137"/>
      <c r="L446" s="137"/>
      <c r="M446" s="125">
        <f t="shared" si="51"/>
        <v>0</v>
      </c>
      <c r="N446" s="126">
        <f t="shared" si="52"/>
        <v>0</v>
      </c>
      <c r="O446" s="137"/>
      <c r="P446" s="23">
        <f t="shared" si="50"/>
        <v>0</v>
      </c>
      <c r="Q446" s="23">
        <f t="shared" si="53"/>
        <v>0</v>
      </c>
      <c r="R446" s="137"/>
      <c r="S446" s="23">
        <f t="shared" si="54"/>
        <v>0</v>
      </c>
      <c r="T446" s="123">
        <f t="shared" si="55"/>
        <v>0</v>
      </c>
      <c r="U446" s="138"/>
      <c r="V446" s="137"/>
      <c r="W446" s="137"/>
      <c r="X446" s="137"/>
      <c r="Y446" s="137"/>
      <c r="Z446" s="137"/>
      <c r="AA446" s="137"/>
      <c r="AB446" s="139"/>
    </row>
    <row r="447" spans="1:28">
      <c r="A447" s="97">
        <f t="shared" si="49"/>
        <v>449</v>
      </c>
      <c r="B447" s="115">
        <v>46112</v>
      </c>
      <c r="C447" s="116">
        <v>46192</v>
      </c>
      <c r="D447" s="135"/>
      <c r="E447" s="136"/>
      <c r="F447" s="124"/>
      <c r="G447" s="137"/>
      <c r="H447" s="137"/>
      <c r="I447" s="137"/>
      <c r="J447" s="137"/>
      <c r="K447" s="137"/>
      <c r="L447" s="137"/>
      <c r="M447" s="125">
        <f t="shared" si="51"/>
        <v>0</v>
      </c>
      <c r="N447" s="126">
        <f t="shared" si="52"/>
        <v>0</v>
      </c>
      <c r="O447" s="137"/>
      <c r="P447" s="23">
        <f t="shared" si="50"/>
        <v>0</v>
      </c>
      <c r="Q447" s="23">
        <f t="shared" si="53"/>
        <v>0</v>
      </c>
      <c r="R447" s="137"/>
      <c r="S447" s="23">
        <f t="shared" si="54"/>
        <v>0</v>
      </c>
      <c r="T447" s="123">
        <f t="shared" si="55"/>
        <v>0</v>
      </c>
      <c r="U447" s="138"/>
      <c r="V447" s="137"/>
      <c r="W447" s="137"/>
      <c r="X447" s="137"/>
      <c r="Y447" s="137"/>
      <c r="Z447" s="137"/>
      <c r="AA447" s="137"/>
      <c r="AB447" s="139"/>
    </row>
    <row r="448" spans="1:28">
      <c r="A448" s="97">
        <f t="shared" si="49"/>
        <v>450</v>
      </c>
      <c r="B448" s="115">
        <v>46112</v>
      </c>
      <c r="C448" s="116">
        <v>46193</v>
      </c>
      <c r="D448" s="135"/>
      <c r="E448" s="136"/>
      <c r="F448" s="124"/>
      <c r="G448" s="137"/>
      <c r="H448" s="137"/>
      <c r="I448" s="137"/>
      <c r="J448" s="137"/>
      <c r="K448" s="137"/>
      <c r="L448" s="137"/>
      <c r="M448" s="125">
        <f t="shared" si="51"/>
        <v>0</v>
      </c>
      <c r="N448" s="126">
        <f t="shared" si="52"/>
        <v>0</v>
      </c>
      <c r="O448" s="137"/>
      <c r="P448" s="23">
        <f t="shared" si="50"/>
        <v>0</v>
      </c>
      <c r="Q448" s="23">
        <f t="shared" si="53"/>
        <v>0</v>
      </c>
      <c r="R448" s="137"/>
      <c r="S448" s="23">
        <f t="shared" si="54"/>
        <v>0</v>
      </c>
      <c r="T448" s="123">
        <f t="shared" si="55"/>
        <v>0</v>
      </c>
      <c r="U448" s="138"/>
      <c r="V448" s="137"/>
      <c r="W448" s="137"/>
      <c r="X448" s="137"/>
      <c r="Y448" s="137"/>
      <c r="Z448" s="137"/>
      <c r="AA448" s="137"/>
      <c r="AB448" s="139"/>
    </row>
    <row r="449" spans="1:28">
      <c r="A449" s="97">
        <f t="shared" si="49"/>
        <v>451</v>
      </c>
      <c r="B449" s="115">
        <v>46112</v>
      </c>
      <c r="C449" s="116">
        <v>46194</v>
      </c>
      <c r="D449" s="135"/>
      <c r="E449" s="136"/>
      <c r="F449" s="124"/>
      <c r="G449" s="137"/>
      <c r="H449" s="137"/>
      <c r="I449" s="137"/>
      <c r="J449" s="137"/>
      <c r="K449" s="137"/>
      <c r="L449" s="137"/>
      <c r="M449" s="125">
        <f t="shared" si="51"/>
        <v>0</v>
      </c>
      <c r="N449" s="126">
        <f t="shared" si="52"/>
        <v>0</v>
      </c>
      <c r="O449" s="137"/>
      <c r="P449" s="23">
        <f t="shared" si="50"/>
        <v>0</v>
      </c>
      <c r="Q449" s="23">
        <f t="shared" si="53"/>
        <v>0</v>
      </c>
      <c r="R449" s="137"/>
      <c r="S449" s="23">
        <f t="shared" si="54"/>
        <v>0</v>
      </c>
      <c r="T449" s="123">
        <f t="shared" si="55"/>
        <v>0</v>
      </c>
      <c r="U449" s="138"/>
      <c r="V449" s="137"/>
      <c r="W449" s="137"/>
      <c r="X449" s="137"/>
      <c r="Y449" s="137"/>
      <c r="Z449" s="137"/>
      <c r="AA449" s="137"/>
      <c r="AB449" s="139"/>
    </row>
    <row r="450" spans="1:28">
      <c r="A450" s="97">
        <f t="shared" si="49"/>
        <v>452</v>
      </c>
      <c r="B450" s="115">
        <v>46112</v>
      </c>
      <c r="C450" s="116">
        <v>46195</v>
      </c>
      <c r="D450" s="135"/>
      <c r="E450" s="136"/>
      <c r="F450" s="124"/>
      <c r="G450" s="137"/>
      <c r="H450" s="137"/>
      <c r="I450" s="137"/>
      <c r="J450" s="137"/>
      <c r="K450" s="137"/>
      <c r="L450" s="137"/>
      <c r="M450" s="125">
        <f t="shared" si="51"/>
        <v>0</v>
      </c>
      <c r="N450" s="126">
        <f t="shared" si="52"/>
        <v>0</v>
      </c>
      <c r="O450" s="137"/>
      <c r="P450" s="23">
        <f t="shared" si="50"/>
        <v>0</v>
      </c>
      <c r="Q450" s="23">
        <f t="shared" si="53"/>
        <v>0</v>
      </c>
      <c r="R450" s="137"/>
      <c r="S450" s="23">
        <f t="shared" si="54"/>
        <v>0</v>
      </c>
      <c r="T450" s="123">
        <f t="shared" si="55"/>
        <v>0</v>
      </c>
      <c r="U450" s="138"/>
      <c r="V450" s="137"/>
      <c r="W450" s="137"/>
      <c r="X450" s="137"/>
      <c r="Y450" s="137"/>
      <c r="Z450" s="137"/>
      <c r="AA450" s="137"/>
      <c r="AB450" s="139"/>
    </row>
    <row r="451" spans="1:28">
      <c r="A451" s="97">
        <f t="shared" ref="A451:A514" si="56">A450+1</f>
        <v>453</v>
      </c>
      <c r="B451" s="115">
        <v>46112</v>
      </c>
      <c r="C451" s="116">
        <v>46196</v>
      </c>
      <c r="D451" s="135"/>
      <c r="E451" s="136"/>
      <c r="F451" s="124"/>
      <c r="G451" s="137"/>
      <c r="H451" s="137"/>
      <c r="I451" s="137"/>
      <c r="J451" s="137"/>
      <c r="K451" s="137"/>
      <c r="L451" s="137"/>
      <c r="M451" s="125">
        <f t="shared" si="51"/>
        <v>0</v>
      </c>
      <c r="N451" s="126">
        <f t="shared" si="52"/>
        <v>0</v>
      </c>
      <c r="O451" s="137"/>
      <c r="P451" s="23">
        <f t="shared" ref="P451:P514" si="57">MAX((O451-N451)*3000,0)</f>
        <v>0</v>
      </c>
      <c r="Q451" s="23">
        <f t="shared" si="53"/>
        <v>0</v>
      </c>
      <c r="R451" s="137"/>
      <c r="S451" s="23">
        <f t="shared" si="54"/>
        <v>0</v>
      </c>
      <c r="T451" s="123">
        <f t="shared" si="55"/>
        <v>0</v>
      </c>
      <c r="U451" s="138"/>
      <c r="V451" s="137"/>
      <c r="W451" s="137"/>
      <c r="X451" s="137"/>
      <c r="Y451" s="137"/>
      <c r="Z451" s="137"/>
      <c r="AA451" s="137"/>
      <c r="AB451" s="139"/>
    </row>
    <row r="452" spans="1:28">
      <c r="A452" s="97">
        <f t="shared" si="56"/>
        <v>454</v>
      </c>
      <c r="B452" s="115">
        <v>46112</v>
      </c>
      <c r="C452" s="116">
        <v>46197</v>
      </c>
      <c r="D452" s="135"/>
      <c r="E452" s="136"/>
      <c r="F452" s="124"/>
      <c r="G452" s="137"/>
      <c r="H452" s="137"/>
      <c r="I452" s="137"/>
      <c r="J452" s="137"/>
      <c r="K452" s="137"/>
      <c r="L452" s="137"/>
      <c r="M452" s="125">
        <f t="shared" ref="M452:M515" si="58">SUM(F452:L452)</f>
        <v>0</v>
      </c>
      <c r="N452" s="126">
        <f t="shared" si="52"/>
        <v>0</v>
      </c>
      <c r="O452" s="137"/>
      <c r="P452" s="23">
        <f t="shared" si="57"/>
        <v>0</v>
      </c>
      <c r="Q452" s="23">
        <f t="shared" si="53"/>
        <v>0</v>
      </c>
      <c r="R452" s="137"/>
      <c r="S452" s="23">
        <f t="shared" si="54"/>
        <v>0</v>
      </c>
      <c r="T452" s="123">
        <f t="shared" si="55"/>
        <v>0</v>
      </c>
      <c r="U452" s="138"/>
      <c r="V452" s="137"/>
      <c r="W452" s="137"/>
      <c r="X452" s="137"/>
      <c r="Y452" s="137"/>
      <c r="Z452" s="137"/>
      <c r="AA452" s="137"/>
      <c r="AB452" s="139"/>
    </row>
    <row r="453" spans="1:28">
      <c r="A453" s="97">
        <f t="shared" si="56"/>
        <v>455</v>
      </c>
      <c r="B453" s="115">
        <v>46112</v>
      </c>
      <c r="C453" s="116">
        <v>46198</v>
      </c>
      <c r="D453" s="135"/>
      <c r="E453" s="136"/>
      <c r="F453" s="124"/>
      <c r="G453" s="137"/>
      <c r="H453" s="137"/>
      <c r="I453" s="137"/>
      <c r="J453" s="137"/>
      <c r="K453" s="137"/>
      <c r="L453" s="137"/>
      <c r="M453" s="125">
        <f t="shared" si="58"/>
        <v>0</v>
      </c>
      <c r="N453" s="126">
        <f t="shared" si="52"/>
        <v>0</v>
      </c>
      <c r="O453" s="137"/>
      <c r="P453" s="23">
        <f t="shared" si="57"/>
        <v>0</v>
      </c>
      <c r="Q453" s="23">
        <f t="shared" si="53"/>
        <v>0</v>
      </c>
      <c r="R453" s="137"/>
      <c r="S453" s="23">
        <f t="shared" si="54"/>
        <v>0</v>
      </c>
      <c r="T453" s="123">
        <f t="shared" si="55"/>
        <v>0</v>
      </c>
      <c r="U453" s="138"/>
      <c r="V453" s="137"/>
      <c r="W453" s="137"/>
      <c r="X453" s="137"/>
      <c r="Y453" s="137"/>
      <c r="Z453" s="137"/>
      <c r="AA453" s="137"/>
      <c r="AB453" s="139"/>
    </row>
    <row r="454" spans="1:28">
      <c r="A454" s="97">
        <f t="shared" si="56"/>
        <v>456</v>
      </c>
      <c r="B454" s="115">
        <v>46112</v>
      </c>
      <c r="C454" s="116">
        <v>46199</v>
      </c>
      <c r="D454" s="135"/>
      <c r="E454" s="136"/>
      <c r="F454" s="124"/>
      <c r="G454" s="137"/>
      <c r="H454" s="137"/>
      <c r="I454" s="137"/>
      <c r="J454" s="137"/>
      <c r="K454" s="137"/>
      <c r="L454" s="137"/>
      <c r="M454" s="125">
        <f t="shared" si="58"/>
        <v>0</v>
      </c>
      <c r="N454" s="126">
        <f t="shared" si="52"/>
        <v>0</v>
      </c>
      <c r="O454" s="137"/>
      <c r="P454" s="23">
        <f t="shared" si="57"/>
        <v>0</v>
      </c>
      <c r="Q454" s="23">
        <f t="shared" si="53"/>
        <v>0</v>
      </c>
      <c r="R454" s="137"/>
      <c r="S454" s="23">
        <f t="shared" si="54"/>
        <v>0</v>
      </c>
      <c r="T454" s="123">
        <f t="shared" si="55"/>
        <v>0</v>
      </c>
      <c r="U454" s="138"/>
      <c r="V454" s="137"/>
      <c r="W454" s="137"/>
      <c r="X454" s="137"/>
      <c r="Y454" s="137"/>
      <c r="Z454" s="137"/>
      <c r="AA454" s="137"/>
      <c r="AB454" s="139"/>
    </row>
    <row r="455" spans="1:28">
      <c r="A455" s="97">
        <f t="shared" si="56"/>
        <v>457</v>
      </c>
      <c r="B455" s="115">
        <v>46112</v>
      </c>
      <c r="C455" s="116">
        <v>46200</v>
      </c>
      <c r="D455" s="135"/>
      <c r="E455" s="136"/>
      <c r="F455" s="124"/>
      <c r="G455" s="137"/>
      <c r="H455" s="137"/>
      <c r="I455" s="137"/>
      <c r="J455" s="137"/>
      <c r="K455" s="137"/>
      <c r="L455" s="137"/>
      <c r="M455" s="125">
        <f t="shared" si="58"/>
        <v>0</v>
      </c>
      <c r="N455" s="126">
        <f t="shared" si="52"/>
        <v>0</v>
      </c>
      <c r="O455" s="137"/>
      <c r="P455" s="23">
        <f t="shared" si="57"/>
        <v>0</v>
      </c>
      <c r="Q455" s="23">
        <f t="shared" si="53"/>
        <v>0</v>
      </c>
      <c r="R455" s="137"/>
      <c r="S455" s="23">
        <f t="shared" si="54"/>
        <v>0</v>
      </c>
      <c r="T455" s="123">
        <f t="shared" si="55"/>
        <v>0</v>
      </c>
      <c r="U455" s="138"/>
      <c r="V455" s="137"/>
      <c r="W455" s="137"/>
      <c r="X455" s="137"/>
      <c r="Y455" s="137"/>
      <c r="Z455" s="137"/>
      <c r="AA455" s="137"/>
      <c r="AB455" s="139"/>
    </row>
    <row r="456" spans="1:28">
      <c r="A456" s="97">
        <f t="shared" si="56"/>
        <v>458</v>
      </c>
      <c r="B456" s="115">
        <v>46112</v>
      </c>
      <c r="C456" s="116">
        <v>46201</v>
      </c>
      <c r="D456" s="135"/>
      <c r="E456" s="136"/>
      <c r="F456" s="124"/>
      <c r="G456" s="137"/>
      <c r="H456" s="137"/>
      <c r="I456" s="137"/>
      <c r="J456" s="137"/>
      <c r="K456" s="137"/>
      <c r="L456" s="137"/>
      <c r="M456" s="125">
        <f t="shared" si="58"/>
        <v>0</v>
      </c>
      <c r="N456" s="126">
        <f t="shared" si="52"/>
        <v>0</v>
      </c>
      <c r="O456" s="137"/>
      <c r="P456" s="23">
        <f t="shared" si="57"/>
        <v>0</v>
      </c>
      <c r="Q456" s="23">
        <f t="shared" si="53"/>
        <v>0</v>
      </c>
      <c r="R456" s="137"/>
      <c r="S456" s="23">
        <f t="shared" si="54"/>
        <v>0</v>
      </c>
      <c r="T456" s="123">
        <f t="shared" si="55"/>
        <v>0</v>
      </c>
      <c r="U456" s="138"/>
      <c r="V456" s="137"/>
      <c r="W456" s="137"/>
      <c r="X456" s="137"/>
      <c r="Y456" s="137"/>
      <c r="Z456" s="137"/>
      <c r="AA456" s="137"/>
      <c r="AB456" s="139"/>
    </row>
    <row r="457" spans="1:28">
      <c r="A457" s="97">
        <f t="shared" si="56"/>
        <v>459</v>
      </c>
      <c r="B457" s="115">
        <v>46112</v>
      </c>
      <c r="C457" s="116">
        <v>46202</v>
      </c>
      <c r="D457" s="135"/>
      <c r="E457" s="136"/>
      <c r="F457" s="124"/>
      <c r="G457" s="137"/>
      <c r="H457" s="137"/>
      <c r="I457" s="137"/>
      <c r="J457" s="137"/>
      <c r="K457" s="137"/>
      <c r="L457" s="137"/>
      <c r="M457" s="125">
        <f t="shared" si="58"/>
        <v>0</v>
      </c>
      <c r="N457" s="126">
        <f t="shared" si="52"/>
        <v>0</v>
      </c>
      <c r="O457" s="137"/>
      <c r="P457" s="23">
        <f t="shared" si="57"/>
        <v>0</v>
      </c>
      <c r="Q457" s="23">
        <f t="shared" si="53"/>
        <v>0</v>
      </c>
      <c r="R457" s="137"/>
      <c r="S457" s="23">
        <f t="shared" si="54"/>
        <v>0</v>
      </c>
      <c r="T457" s="123">
        <f t="shared" si="55"/>
        <v>0</v>
      </c>
      <c r="U457" s="138"/>
      <c r="V457" s="137"/>
      <c r="W457" s="137"/>
      <c r="X457" s="137"/>
      <c r="Y457" s="137"/>
      <c r="Z457" s="137"/>
      <c r="AA457" s="137"/>
      <c r="AB457" s="139"/>
    </row>
    <row r="458" spans="1:28">
      <c r="A458" s="97">
        <f t="shared" si="56"/>
        <v>460</v>
      </c>
      <c r="B458" s="115">
        <v>46112</v>
      </c>
      <c r="C458" s="116">
        <v>46203</v>
      </c>
      <c r="D458" s="135"/>
      <c r="E458" s="136"/>
      <c r="F458" s="124"/>
      <c r="G458" s="137"/>
      <c r="H458" s="137"/>
      <c r="I458" s="137"/>
      <c r="J458" s="137"/>
      <c r="K458" s="137"/>
      <c r="L458" s="137"/>
      <c r="M458" s="125">
        <f t="shared" si="58"/>
        <v>0</v>
      </c>
      <c r="N458" s="126">
        <f t="shared" si="52"/>
        <v>0</v>
      </c>
      <c r="O458" s="137"/>
      <c r="P458" s="23">
        <f t="shared" si="57"/>
        <v>0</v>
      </c>
      <c r="Q458" s="23">
        <f t="shared" si="53"/>
        <v>0</v>
      </c>
      <c r="R458" s="137"/>
      <c r="S458" s="23">
        <f t="shared" si="54"/>
        <v>0</v>
      </c>
      <c r="T458" s="123">
        <f t="shared" si="55"/>
        <v>0</v>
      </c>
      <c r="U458" s="138"/>
      <c r="V458" s="137"/>
      <c r="W458" s="137"/>
      <c r="X458" s="137"/>
      <c r="Y458" s="137"/>
      <c r="Z458" s="137"/>
      <c r="AA458" s="137"/>
      <c r="AB458" s="139"/>
    </row>
    <row r="459" spans="1:28">
      <c r="A459" s="97">
        <f t="shared" si="56"/>
        <v>461</v>
      </c>
      <c r="B459" s="115">
        <v>46112</v>
      </c>
      <c r="C459" s="116">
        <v>46204</v>
      </c>
      <c r="D459" s="135"/>
      <c r="E459" s="136"/>
      <c r="F459" s="124"/>
      <c r="G459" s="137"/>
      <c r="H459" s="137"/>
      <c r="I459" s="137"/>
      <c r="J459" s="137"/>
      <c r="K459" s="137"/>
      <c r="L459" s="137"/>
      <c r="M459" s="125">
        <f t="shared" si="58"/>
        <v>0</v>
      </c>
      <c r="N459" s="126">
        <f t="shared" si="52"/>
        <v>0</v>
      </c>
      <c r="O459" s="137"/>
      <c r="P459" s="23">
        <f t="shared" si="57"/>
        <v>0</v>
      </c>
      <c r="Q459" s="23">
        <f t="shared" si="53"/>
        <v>0</v>
      </c>
      <c r="R459" s="137"/>
      <c r="S459" s="23">
        <f t="shared" si="54"/>
        <v>0</v>
      </c>
      <c r="T459" s="123">
        <f t="shared" si="55"/>
        <v>0</v>
      </c>
      <c r="U459" s="138"/>
      <c r="V459" s="137"/>
      <c r="W459" s="137"/>
      <c r="X459" s="137"/>
      <c r="Y459" s="137"/>
      <c r="Z459" s="137"/>
      <c r="AA459" s="137"/>
      <c r="AB459" s="139"/>
    </row>
    <row r="460" spans="1:28">
      <c r="A460" s="97">
        <f t="shared" si="56"/>
        <v>462</v>
      </c>
      <c r="B460" s="115">
        <v>46112</v>
      </c>
      <c r="C460" s="116">
        <v>46205</v>
      </c>
      <c r="D460" s="135"/>
      <c r="E460" s="136"/>
      <c r="F460" s="124"/>
      <c r="G460" s="137"/>
      <c r="H460" s="137"/>
      <c r="I460" s="137"/>
      <c r="J460" s="137"/>
      <c r="K460" s="137"/>
      <c r="L460" s="137"/>
      <c r="M460" s="125">
        <f t="shared" si="58"/>
        <v>0</v>
      </c>
      <c r="N460" s="126">
        <f t="shared" si="52"/>
        <v>0</v>
      </c>
      <c r="O460" s="137"/>
      <c r="P460" s="23">
        <f t="shared" si="57"/>
        <v>0</v>
      </c>
      <c r="Q460" s="23">
        <f t="shared" si="53"/>
        <v>0</v>
      </c>
      <c r="R460" s="137"/>
      <c r="S460" s="23">
        <f t="shared" si="54"/>
        <v>0</v>
      </c>
      <c r="T460" s="123">
        <f t="shared" si="55"/>
        <v>0</v>
      </c>
      <c r="U460" s="138"/>
      <c r="V460" s="137"/>
      <c r="W460" s="137"/>
      <c r="X460" s="137"/>
      <c r="Y460" s="137"/>
      <c r="Z460" s="137"/>
      <c r="AA460" s="137"/>
      <c r="AB460" s="139"/>
    </row>
    <row r="461" spans="1:28">
      <c r="A461" s="97">
        <f t="shared" si="56"/>
        <v>463</v>
      </c>
      <c r="B461" s="115">
        <v>46112</v>
      </c>
      <c r="C461" s="116">
        <v>46206</v>
      </c>
      <c r="D461" s="135"/>
      <c r="E461" s="136"/>
      <c r="F461" s="124"/>
      <c r="G461" s="137"/>
      <c r="H461" s="137"/>
      <c r="I461" s="137"/>
      <c r="J461" s="137"/>
      <c r="K461" s="137"/>
      <c r="L461" s="137"/>
      <c r="M461" s="125">
        <f t="shared" si="58"/>
        <v>0</v>
      </c>
      <c r="N461" s="126">
        <f t="shared" ref="N461:N524" si="59">O460</f>
        <v>0</v>
      </c>
      <c r="O461" s="137"/>
      <c r="P461" s="23">
        <f t="shared" si="57"/>
        <v>0</v>
      </c>
      <c r="Q461" s="23">
        <f t="shared" ref="Q461:Q524" si="60">R460</f>
        <v>0</v>
      </c>
      <c r="R461" s="137"/>
      <c r="S461" s="23">
        <f t="shared" si="54"/>
        <v>0</v>
      </c>
      <c r="T461" s="123">
        <f t="shared" si="55"/>
        <v>0</v>
      </c>
      <c r="U461" s="138"/>
      <c r="V461" s="137"/>
      <c r="W461" s="137"/>
      <c r="X461" s="137"/>
      <c r="Y461" s="137"/>
      <c r="Z461" s="137"/>
      <c r="AA461" s="137"/>
      <c r="AB461" s="139"/>
    </row>
    <row r="462" spans="1:28">
      <c r="A462" s="97">
        <f t="shared" si="56"/>
        <v>464</v>
      </c>
      <c r="B462" s="115">
        <v>46112</v>
      </c>
      <c r="C462" s="116">
        <v>46207</v>
      </c>
      <c r="D462" s="135"/>
      <c r="E462" s="136"/>
      <c r="F462" s="124"/>
      <c r="G462" s="137"/>
      <c r="H462" s="137"/>
      <c r="I462" s="137"/>
      <c r="J462" s="137"/>
      <c r="K462" s="137"/>
      <c r="L462" s="137"/>
      <c r="M462" s="125">
        <f t="shared" si="58"/>
        <v>0</v>
      </c>
      <c r="N462" s="126">
        <f t="shared" si="59"/>
        <v>0</v>
      </c>
      <c r="O462" s="137"/>
      <c r="P462" s="23">
        <f t="shared" si="57"/>
        <v>0</v>
      </c>
      <c r="Q462" s="23">
        <f t="shared" si="60"/>
        <v>0</v>
      </c>
      <c r="R462" s="137"/>
      <c r="S462" s="23">
        <f t="shared" si="54"/>
        <v>0</v>
      </c>
      <c r="T462" s="123">
        <f t="shared" si="55"/>
        <v>0</v>
      </c>
      <c r="U462" s="138"/>
      <c r="V462" s="137"/>
      <c r="W462" s="137"/>
      <c r="X462" s="137"/>
      <c r="Y462" s="137"/>
      <c r="Z462" s="137"/>
      <c r="AA462" s="137"/>
      <c r="AB462" s="139"/>
    </row>
    <row r="463" spans="1:28">
      <c r="A463" s="97">
        <f t="shared" si="56"/>
        <v>465</v>
      </c>
      <c r="B463" s="115">
        <v>46112</v>
      </c>
      <c r="C463" s="116">
        <v>46208</v>
      </c>
      <c r="D463" s="135"/>
      <c r="E463" s="136"/>
      <c r="F463" s="124"/>
      <c r="G463" s="137"/>
      <c r="H463" s="137"/>
      <c r="I463" s="137"/>
      <c r="J463" s="137"/>
      <c r="K463" s="137"/>
      <c r="L463" s="137"/>
      <c r="M463" s="125">
        <f t="shared" si="58"/>
        <v>0</v>
      </c>
      <c r="N463" s="126">
        <f t="shared" si="59"/>
        <v>0</v>
      </c>
      <c r="O463" s="137"/>
      <c r="P463" s="23">
        <f t="shared" si="57"/>
        <v>0</v>
      </c>
      <c r="Q463" s="23">
        <f t="shared" si="60"/>
        <v>0</v>
      </c>
      <c r="R463" s="137"/>
      <c r="S463" s="23">
        <f t="shared" si="54"/>
        <v>0</v>
      </c>
      <c r="T463" s="123">
        <f t="shared" si="55"/>
        <v>0</v>
      </c>
      <c r="U463" s="138"/>
      <c r="V463" s="137"/>
      <c r="W463" s="137"/>
      <c r="X463" s="137"/>
      <c r="Y463" s="137"/>
      <c r="Z463" s="137"/>
      <c r="AA463" s="137"/>
      <c r="AB463" s="139"/>
    </row>
    <row r="464" spans="1:28">
      <c r="A464" s="97">
        <f t="shared" si="56"/>
        <v>466</v>
      </c>
      <c r="B464" s="115">
        <v>46112</v>
      </c>
      <c r="C464" s="116">
        <v>46209</v>
      </c>
      <c r="D464" s="135"/>
      <c r="E464" s="136"/>
      <c r="F464" s="124"/>
      <c r="G464" s="137"/>
      <c r="H464" s="137"/>
      <c r="I464" s="137"/>
      <c r="J464" s="137"/>
      <c r="K464" s="137"/>
      <c r="L464" s="137"/>
      <c r="M464" s="125">
        <f t="shared" si="58"/>
        <v>0</v>
      </c>
      <c r="N464" s="126">
        <f t="shared" si="59"/>
        <v>0</v>
      </c>
      <c r="O464" s="137"/>
      <c r="P464" s="23">
        <f t="shared" si="57"/>
        <v>0</v>
      </c>
      <c r="Q464" s="23">
        <f t="shared" si="60"/>
        <v>0</v>
      </c>
      <c r="R464" s="137"/>
      <c r="S464" s="23">
        <f t="shared" si="54"/>
        <v>0</v>
      </c>
      <c r="T464" s="123">
        <f t="shared" si="55"/>
        <v>0</v>
      </c>
      <c r="U464" s="138"/>
      <c r="V464" s="137"/>
      <c r="W464" s="137"/>
      <c r="X464" s="137"/>
      <c r="Y464" s="137"/>
      <c r="Z464" s="137"/>
      <c r="AA464" s="137"/>
      <c r="AB464" s="139"/>
    </row>
    <row r="465" spans="1:28">
      <c r="A465" s="97">
        <f t="shared" si="56"/>
        <v>467</v>
      </c>
      <c r="B465" s="115">
        <v>46112</v>
      </c>
      <c r="C465" s="116">
        <v>46210</v>
      </c>
      <c r="D465" s="135"/>
      <c r="E465" s="136"/>
      <c r="F465" s="124"/>
      <c r="G465" s="137"/>
      <c r="H465" s="137"/>
      <c r="I465" s="137"/>
      <c r="J465" s="137"/>
      <c r="K465" s="137"/>
      <c r="L465" s="137"/>
      <c r="M465" s="125">
        <f t="shared" si="58"/>
        <v>0</v>
      </c>
      <c r="N465" s="126">
        <f t="shared" si="59"/>
        <v>0</v>
      </c>
      <c r="O465" s="137"/>
      <c r="P465" s="23">
        <f t="shared" si="57"/>
        <v>0</v>
      </c>
      <c r="Q465" s="23">
        <f t="shared" si="60"/>
        <v>0</v>
      </c>
      <c r="R465" s="137"/>
      <c r="S465" s="23">
        <f t="shared" si="54"/>
        <v>0</v>
      </c>
      <c r="T465" s="123">
        <f t="shared" si="55"/>
        <v>0</v>
      </c>
      <c r="U465" s="138"/>
      <c r="V465" s="137"/>
      <c r="W465" s="137"/>
      <c r="X465" s="137"/>
      <c r="Y465" s="137"/>
      <c r="Z465" s="137"/>
      <c r="AA465" s="137"/>
      <c r="AB465" s="139"/>
    </row>
    <row r="466" spans="1:28">
      <c r="A466" s="97">
        <f t="shared" si="56"/>
        <v>468</v>
      </c>
      <c r="B466" s="115">
        <v>46112</v>
      </c>
      <c r="C466" s="116">
        <v>46211</v>
      </c>
      <c r="D466" s="135"/>
      <c r="E466" s="136"/>
      <c r="F466" s="124"/>
      <c r="G466" s="137"/>
      <c r="H466" s="137"/>
      <c r="I466" s="137"/>
      <c r="J466" s="137"/>
      <c r="K466" s="137"/>
      <c r="L466" s="137"/>
      <c r="M466" s="125">
        <f t="shared" si="58"/>
        <v>0</v>
      </c>
      <c r="N466" s="126">
        <f t="shared" si="59"/>
        <v>0</v>
      </c>
      <c r="O466" s="137"/>
      <c r="P466" s="23">
        <f t="shared" si="57"/>
        <v>0</v>
      </c>
      <c r="Q466" s="23">
        <f t="shared" si="60"/>
        <v>0</v>
      </c>
      <c r="R466" s="137"/>
      <c r="S466" s="23">
        <f t="shared" si="54"/>
        <v>0</v>
      </c>
      <c r="T466" s="123">
        <f t="shared" si="55"/>
        <v>0</v>
      </c>
      <c r="U466" s="138"/>
      <c r="V466" s="137"/>
      <c r="W466" s="137"/>
      <c r="X466" s="137"/>
      <c r="Y466" s="137"/>
      <c r="Z466" s="137"/>
      <c r="AA466" s="137"/>
      <c r="AB466" s="139"/>
    </row>
    <row r="467" spans="1:28">
      <c r="A467" s="97">
        <f t="shared" si="56"/>
        <v>469</v>
      </c>
      <c r="B467" s="115">
        <v>46112</v>
      </c>
      <c r="C467" s="116">
        <v>46212</v>
      </c>
      <c r="D467" s="135"/>
      <c r="E467" s="136"/>
      <c r="F467" s="124"/>
      <c r="G467" s="137"/>
      <c r="H467" s="137"/>
      <c r="I467" s="137"/>
      <c r="J467" s="137"/>
      <c r="K467" s="137"/>
      <c r="L467" s="137"/>
      <c r="M467" s="125">
        <f t="shared" si="58"/>
        <v>0</v>
      </c>
      <c r="N467" s="126">
        <f t="shared" si="59"/>
        <v>0</v>
      </c>
      <c r="O467" s="137"/>
      <c r="P467" s="23">
        <f t="shared" si="57"/>
        <v>0</v>
      </c>
      <c r="Q467" s="23">
        <f t="shared" si="60"/>
        <v>0</v>
      </c>
      <c r="R467" s="137"/>
      <c r="S467" s="23">
        <f t="shared" si="54"/>
        <v>0</v>
      </c>
      <c r="T467" s="123">
        <f t="shared" si="55"/>
        <v>0</v>
      </c>
      <c r="U467" s="138"/>
      <c r="V467" s="137"/>
      <c r="W467" s="137"/>
      <c r="X467" s="137"/>
      <c r="Y467" s="137"/>
      <c r="Z467" s="137"/>
      <c r="AA467" s="137"/>
      <c r="AB467" s="139"/>
    </row>
    <row r="468" spans="1:28">
      <c r="A468" s="97">
        <f t="shared" si="56"/>
        <v>470</v>
      </c>
      <c r="B468" s="115">
        <v>46112</v>
      </c>
      <c r="C468" s="116">
        <v>46213</v>
      </c>
      <c r="D468" s="135"/>
      <c r="E468" s="136"/>
      <c r="F468" s="124"/>
      <c r="G468" s="137"/>
      <c r="H468" s="137"/>
      <c r="I468" s="137"/>
      <c r="J468" s="137"/>
      <c r="K468" s="137"/>
      <c r="L468" s="137"/>
      <c r="M468" s="125">
        <f t="shared" si="58"/>
        <v>0</v>
      </c>
      <c r="N468" s="126">
        <f t="shared" si="59"/>
        <v>0</v>
      </c>
      <c r="O468" s="137"/>
      <c r="P468" s="23">
        <f t="shared" si="57"/>
        <v>0</v>
      </c>
      <c r="Q468" s="23">
        <f t="shared" si="60"/>
        <v>0</v>
      </c>
      <c r="R468" s="137"/>
      <c r="S468" s="23">
        <f t="shared" si="54"/>
        <v>0</v>
      </c>
      <c r="T468" s="123">
        <f t="shared" si="55"/>
        <v>0</v>
      </c>
      <c r="U468" s="138"/>
      <c r="V468" s="137"/>
      <c r="W468" s="137"/>
      <c r="X468" s="137"/>
      <c r="Y468" s="137"/>
      <c r="Z468" s="137"/>
      <c r="AA468" s="137"/>
      <c r="AB468" s="139"/>
    </row>
    <row r="469" spans="1:28">
      <c r="A469" s="97">
        <f t="shared" si="56"/>
        <v>471</v>
      </c>
      <c r="B469" s="115">
        <v>46112</v>
      </c>
      <c r="C469" s="116">
        <v>46214</v>
      </c>
      <c r="D469" s="135"/>
      <c r="E469" s="136"/>
      <c r="F469" s="124"/>
      <c r="G469" s="137"/>
      <c r="H469" s="137"/>
      <c r="I469" s="137"/>
      <c r="J469" s="137"/>
      <c r="K469" s="137"/>
      <c r="L469" s="137"/>
      <c r="M469" s="125">
        <f t="shared" si="58"/>
        <v>0</v>
      </c>
      <c r="N469" s="126">
        <f t="shared" si="59"/>
        <v>0</v>
      </c>
      <c r="O469" s="137"/>
      <c r="P469" s="23">
        <f t="shared" si="57"/>
        <v>0</v>
      </c>
      <c r="Q469" s="23">
        <f t="shared" si="60"/>
        <v>0</v>
      </c>
      <c r="R469" s="137"/>
      <c r="S469" s="23">
        <f t="shared" si="54"/>
        <v>0</v>
      </c>
      <c r="T469" s="123">
        <f t="shared" si="55"/>
        <v>0</v>
      </c>
      <c r="U469" s="138"/>
      <c r="V469" s="137"/>
      <c r="W469" s="137"/>
      <c r="X469" s="137"/>
      <c r="Y469" s="137"/>
      <c r="Z469" s="137"/>
      <c r="AA469" s="137"/>
      <c r="AB469" s="139"/>
    </row>
    <row r="470" spans="1:28">
      <c r="A470" s="97">
        <f t="shared" si="56"/>
        <v>472</v>
      </c>
      <c r="B470" s="115">
        <v>46112</v>
      </c>
      <c r="C470" s="116">
        <v>46215</v>
      </c>
      <c r="D470" s="135"/>
      <c r="E470" s="136"/>
      <c r="F470" s="124"/>
      <c r="G470" s="137"/>
      <c r="H470" s="137"/>
      <c r="I470" s="137"/>
      <c r="J470" s="137"/>
      <c r="K470" s="137"/>
      <c r="L470" s="137"/>
      <c r="M470" s="125">
        <f t="shared" si="58"/>
        <v>0</v>
      </c>
      <c r="N470" s="126">
        <f t="shared" si="59"/>
        <v>0</v>
      </c>
      <c r="O470" s="137"/>
      <c r="P470" s="23">
        <f t="shared" si="57"/>
        <v>0</v>
      </c>
      <c r="Q470" s="23">
        <f t="shared" si="60"/>
        <v>0</v>
      </c>
      <c r="R470" s="137"/>
      <c r="S470" s="23">
        <f t="shared" si="54"/>
        <v>0</v>
      </c>
      <c r="T470" s="123">
        <f t="shared" si="55"/>
        <v>0</v>
      </c>
      <c r="U470" s="138"/>
      <c r="V470" s="137"/>
      <c r="W470" s="137"/>
      <c r="X470" s="137"/>
      <c r="Y470" s="137"/>
      <c r="Z470" s="137"/>
      <c r="AA470" s="137"/>
      <c r="AB470" s="139"/>
    </row>
    <row r="471" spans="1:28">
      <c r="A471" s="97">
        <f t="shared" si="56"/>
        <v>473</v>
      </c>
      <c r="B471" s="115">
        <v>46112</v>
      </c>
      <c r="C471" s="116">
        <v>46216</v>
      </c>
      <c r="D471" s="135"/>
      <c r="E471" s="136"/>
      <c r="F471" s="124"/>
      <c r="G471" s="137"/>
      <c r="H471" s="137"/>
      <c r="I471" s="137"/>
      <c r="J471" s="137"/>
      <c r="K471" s="137"/>
      <c r="L471" s="137"/>
      <c r="M471" s="125">
        <f t="shared" si="58"/>
        <v>0</v>
      </c>
      <c r="N471" s="126">
        <f t="shared" si="59"/>
        <v>0</v>
      </c>
      <c r="O471" s="137"/>
      <c r="P471" s="23">
        <f t="shared" si="57"/>
        <v>0</v>
      </c>
      <c r="Q471" s="23">
        <f t="shared" si="60"/>
        <v>0</v>
      </c>
      <c r="R471" s="137"/>
      <c r="S471" s="23">
        <f t="shared" si="54"/>
        <v>0</v>
      </c>
      <c r="T471" s="123">
        <f t="shared" si="55"/>
        <v>0</v>
      </c>
      <c r="U471" s="138"/>
      <c r="V471" s="137"/>
      <c r="W471" s="137"/>
      <c r="X471" s="137"/>
      <c r="Y471" s="137"/>
      <c r="Z471" s="137"/>
      <c r="AA471" s="137"/>
      <c r="AB471" s="139"/>
    </row>
    <row r="472" spans="1:28">
      <c r="A472" s="97">
        <f t="shared" si="56"/>
        <v>474</v>
      </c>
      <c r="B472" s="115">
        <v>46112</v>
      </c>
      <c r="C472" s="116">
        <v>46217</v>
      </c>
      <c r="D472" s="135"/>
      <c r="E472" s="136"/>
      <c r="F472" s="124"/>
      <c r="G472" s="137"/>
      <c r="H472" s="137"/>
      <c r="I472" s="137"/>
      <c r="J472" s="137"/>
      <c r="K472" s="137"/>
      <c r="L472" s="137"/>
      <c r="M472" s="125">
        <f t="shared" si="58"/>
        <v>0</v>
      </c>
      <c r="N472" s="126">
        <f t="shared" si="59"/>
        <v>0</v>
      </c>
      <c r="O472" s="137"/>
      <c r="P472" s="23">
        <f t="shared" si="57"/>
        <v>0</v>
      </c>
      <c r="Q472" s="23">
        <f t="shared" si="60"/>
        <v>0</v>
      </c>
      <c r="R472" s="137"/>
      <c r="S472" s="23">
        <f t="shared" si="54"/>
        <v>0</v>
      </c>
      <c r="T472" s="123">
        <f t="shared" si="55"/>
        <v>0</v>
      </c>
      <c r="U472" s="138"/>
      <c r="V472" s="137"/>
      <c r="W472" s="137"/>
      <c r="X472" s="137"/>
      <c r="Y472" s="137"/>
      <c r="Z472" s="137"/>
      <c r="AA472" s="137"/>
      <c r="AB472" s="139"/>
    </row>
    <row r="473" spans="1:28">
      <c r="A473" s="97">
        <f t="shared" si="56"/>
        <v>475</v>
      </c>
      <c r="B473" s="115">
        <v>46112</v>
      </c>
      <c r="C473" s="116">
        <v>46218</v>
      </c>
      <c r="D473" s="135"/>
      <c r="E473" s="136"/>
      <c r="F473" s="124"/>
      <c r="G473" s="137"/>
      <c r="H473" s="137"/>
      <c r="I473" s="137"/>
      <c r="J473" s="137"/>
      <c r="K473" s="137"/>
      <c r="L473" s="137"/>
      <c r="M473" s="125">
        <f t="shared" si="58"/>
        <v>0</v>
      </c>
      <c r="N473" s="126">
        <f t="shared" si="59"/>
        <v>0</v>
      </c>
      <c r="O473" s="137"/>
      <c r="P473" s="23">
        <f t="shared" si="57"/>
        <v>0</v>
      </c>
      <c r="Q473" s="23">
        <f t="shared" si="60"/>
        <v>0</v>
      </c>
      <c r="R473" s="137"/>
      <c r="S473" s="23">
        <f t="shared" si="54"/>
        <v>0</v>
      </c>
      <c r="T473" s="123">
        <f t="shared" si="55"/>
        <v>0</v>
      </c>
      <c r="U473" s="138"/>
      <c r="V473" s="137"/>
      <c r="W473" s="137"/>
      <c r="X473" s="137"/>
      <c r="Y473" s="137"/>
      <c r="Z473" s="137"/>
      <c r="AA473" s="137"/>
      <c r="AB473" s="139"/>
    </row>
    <row r="474" spans="1:28">
      <c r="A474" s="97">
        <f t="shared" si="56"/>
        <v>476</v>
      </c>
      <c r="B474" s="115">
        <v>46112</v>
      </c>
      <c r="C474" s="116">
        <v>46219</v>
      </c>
      <c r="D474" s="135"/>
      <c r="E474" s="136"/>
      <c r="F474" s="124"/>
      <c r="G474" s="137"/>
      <c r="H474" s="137"/>
      <c r="I474" s="137"/>
      <c r="J474" s="137"/>
      <c r="K474" s="137"/>
      <c r="L474" s="137"/>
      <c r="M474" s="125">
        <f t="shared" si="58"/>
        <v>0</v>
      </c>
      <c r="N474" s="126">
        <f t="shared" si="59"/>
        <v>0</v>
      </c>
      <c r="O474" s="137"/>
      <c r="P474" s="23">
        <f t="shared" si="57"/>
        <v>0</v>
      </c>
      <c r="Q474" s="23">
        <f t="shared" si="60"/>
        <v>0</v>
      </c>
      <c r="R474" s="137"/>
      <c r="S474" s="23">
        <f t="shared" si="54"/>
        <v>0</v>
      </c>
      <c r="T474" s="123">
        <f t="shared" si="55"/>
        <v>0</v>
      </c>
      <c r="U474" s="138"/>
      <c r="V474" s="137"/>
      <c r="W474" s="137"/>
      <c r="X474" s="137"/>
      <c r="Y474" s="137"/>
      <c r="Z474" s="137"/>
      <c r="AA474" s="137"/>
      <c r="AB474" s="139"/>
    </row>
    <row r="475" spans="1:28">
      <c r="A475" s="97">
        <f t="shared" si="56"/>
        <v>477</v>
      </c>
      <c r="B475" s="115">
        <v>46112</v>
      </c>
      <c r="C475" s="116">
        <v>46220</v>
      </c>
      <c r="D475" s="135"/>
      <c r="E475" s="136"/>
      <c r="F475" s="124"/>
      <c r="G475" s="137"/>
      <c r="H475" s="137"/>
      <c r="I475" s="137"/>
      <c r="J475" s="137"/>
      <c r="K475" s="137"/>
      <c r="L475" s="137"/>
      <c r="M475" s="125">
        <f t="shared" si="58"/>
        <v>0</v>
      </c>
      <c r="N475" s="126">
        <f t="shared" si="59"/>
        <v>0</v>
      </c>
      <c r="O475" s="137"/>
      <c r="P475" s="23">
        <f t="shared" si="57"/>
        <v>0</v>
      </c>
      <c r="Q475" s="23">
        <f t="shared" si="60"/>
        <v>0</v>
      </c>
      <c r="R475" s="137"/>
      <c r="S475" s="23">
        <f t="shared" si="54"/>
        <v>0</v>
      </c>
      <c r="T475" s="123">
        <f t="shared" si="55"/>
        <v>0</v>
      </c>
      <c r="U475" s="138"/>
      <c r="V475" s="137"/>
      <c r="W475" s="137"/>
      <c r="X475" s="137"/>
      <c r="Y475" s="137"/>
      <c r="Z475" s="137"/>
      <c r="AA475" s="137"/>
      <c r="AB475" s="139"/>
    </row>
    <row r="476" spans="1:28">
      <c r="A476" s="97">
        <f t="shared" si="56"/>
        <v>478</v>
      </c>
      <c r="B476" s="115">
        <v>46112</v>
      </c>
      <c r="C476" s="116">
        <v>46221</v>
      </c>
      <c r="D476" s="135"/>
      <c r="E476" s="136"/>
      <c r="F476" s="124"/>
      <c r="G476" s="137"/>
      <c r="H476" s="137"/>
      <c r="I476" s="137"/>
      <c r="J476" s="137"/>
      <c r="K476" s="137"/>
      <c r="L476" s="137"/>
      <c r="M476" s="125">
        <f t="shared" si="58"/>
        <v>0</v>
      </c>
      <c r="N476" s="126">
        <f t="shared" si="59"/>
        <v>0</v>
      </c>
      <c r="O476" s="137"/>
      <c r="P476" s="23">
        <f t="shared" si="57"/>
        <v>0</v>
      </c>
      <c r="Q476" s="23">
        <f t="shared" si="60"/>
        <v>0</v>
      </c>
      <c r="R476" s="137"/>
      <c r="S476" s="23">
        <f t="shared" si="54"/>
        <v>0</v>
      </c>
      <c r="T476" s="123">
        <f t="shared" si="55"/>
        <v>0</v>
      </c>
      <c r="U476" s="138"/>
      <c r="V476" s="137"/>
      <c r="W476" s="137"/>
      <c r="X476" s="137"/>
      <c r="Y476" s="137"/>
      <c r="Z476" s="137"/>
      <c r="AA476" s="137"/>
      <c r="AB476" s="139"/>
    </row>
    <row r="477" spans="1:28">
      <c r="A477" s="97">
        <f t="shared" si="56"/>
        <v>479</v>
      </c>
      <c r="B477" s="115">
        <v>46112</v>
      </c>
      <c r="C477" s="116">
        <v>46222</v>
      </c>
      <c r="D477" s="135"/>
      <c r="E477" s="136"/>
      <c r="F477" s="124"/>
      <c r="G477" s="137"/>
      <c r="H477" s="137"/>
      <c r="I477" s="137"/>
      <c r="J477" s="137"/>
      <c r="K477" s="137"/>
      <c r="L477" s="137"/>
      <c r="M477" s="125">
        <f t="shared" si="58"/>
        <v>0</v>
      </c>
      <c r="N477" s="126">
        <f t="shared" si="59"/>
        <v>0</v>
      </c>
      <c r="O477" s="137"/>
      <c r="P477" s="23">
        <f t="shared" si="57"/>
        <v>0</v>
      </c>
      <c r="Q477" s="23">
        <f t="shared" si="60"/>
        <v>0</v>
      </c>
      <c r="R477" s="137"/>
      <c r="S477" s="23">
        <f t="shared" si="54"/>
        <v>0</v>
      </c>
      <c r="T477" s="123">
        <f t="shared" si="55"/>
        <v>0</v>
      </c>
      <c r="U477" s="138"/>
      <c r="V477" s="137"/>
      <c r="W477" s="137"/>
      <c r="X477" s="137"/>
      <c r="Y477" s="137"/>
      <c r="Z477" s="137"/>
      <c r="AA477" s="137"/>
      <c r="AB477" s="139"/>
    </row>
    <row r="478" spans="1:28">
      <c r="A478" s="97">
        <f t="shared" si="56"/>
        <v>480</v>
      </c>
      <c r="B478" s="115">
        <v>46112</v>
      </c>
      <c r="C478" s="116">
        <v>46223</v>
      </c>
      <c r="D478" s="135"/>
      <c r="E478" s="136"/>
      <c r="F478" s="124"/>
      <c r="G478" s="137"/>
      <c r="H478" s="137"/>
      <c r="I478" s="137"/>
      <c r="J478" s="137"/>
      <c r="K478" s="137"/>
      <c r="L478" s="137"/>
      <c r="M478" s="125">
        <f t="shared" si="58"/>
        <v>0</v>
      </c>
      <c r="N478" s="126">
        <f t="shared" si="59"/>
        <v>0</v>
      </c>
      <c r="O478" s="137"/>
      <c r="P478" s="23">
        <f t="shared" si="57"/>
        <v>0</v>
      </c>
      <c r="Q478" s="23">
        <f t="shared" si="60"/>
        <v>0</v>
      </c>
      <c r="R478" s="137"/>
      <c r="S478" s="23">
        <f t="shared" si="54"/>
        <v>0</v>
      </c>
      <c r="T478" s="123">
        <f t="shared" si="55"/>
        <v>0</v>
      </c>
      <c r="U478" s="138"/>
      <c r="V478" s="137"/>
      <c r="W478" s="137"/>
      <c r="X478" s="137"/>
      <c r="Y478" s="137"/>
      <c r="Z478" s="137"/>
      <c r="AA478" s="137"/>
      <c r="AB478" s="139"/>
    </row>
    <row r="479" spans="1:28">
      <c r="A479" s="97">
        <f t="shared" si="56"/>
        <v>481</v>
      </c>
      <c r="B479" s="115">
        <v>46112</v>
      </c>
      <c r="C479" s="116">
        <v>46224</v>
      </c>
      <c r="D479" s="135"/>
      <c r="E479" s="136"/>
      <c r="F479" s="124"/>
      <c r="G479" s="137"/>
      <c r="H479" s="137"/>
      <c r="I479" s="137"/>
      <c r="J479" s="137"/>
      <c r="K479" s="137"/>
      <c r="L479" s="137"/>
      <c r="M479" s="125">
        <f t="shared" si="58"/>
        <v>0</v>
      </c>
      <c r="N479" s="126">
        <f t="shared" si="59"/>
        <v>0</v>
      </c>
      <c r="O479" s="137"/>
      <c r="P479" s="23">
        <f t="shared" si="57"/>
        <v>0</v>
      </c>
      <c r="Q479" s="23">
        <f t="shared" si="60"/>
        <v>0</v>
      </c>
      <c r="R479" s="137"/>
      <c r="S479" s="23">
        <f t="shared" si="54"/>
        <v>0</v>
      </c>
      <c r="T479" s="123">
        <f t="shared" si="55"/>
        <v>0</v>
      </c>
      <c r="U479" s="138"/>
      <c r="V479" s="137"/>
      <c r="W479" s="137"/>
      <c r="X479" s="137"/>
      <c r="Y479" s="137"/>
      <c r="Z479" s="137"/>
      <c r="AA479" s="137"/>
      <c r="AB479" s="139"/>
    </row>
    <row r="480" spans="1:28">
      <c r="A480" s="97">
        <f t="shared" si="56"/>
        <v>482</v>
      </c>
      <c r="B480" s="115">
        <v>46112</v>
      </c>
      <c r="C480" s="116">
        <v>46225</v>
      </c>
      <c r="D480" s="135"/>
      <c r="E480" s="136"/>
      <c r="F480" s="124"/>
      <c r="G480" s="137"/>
      <c r="H480" s="137"/>
      <c r="I480" s="137"/>
      <c r="J480" s="137"/>
      <c r="K480" s="137"/>
      <c r="L480" s="137"/>
      <c r="M480" s="125">
        <f t="shared" si="58"/>
        <v>0</v>
      </c>
      <c r="N480" s="126">
        <f t="shared" si="59"/>
        <v>0</v>
      </c>
      <c r="O480" s="137"/>
      <c r="P480" s="23">
        <f t="shared" si="57"/>
        <v>0</v>
      </c>
      <c r="Q480" s="23">
        <f t="shared" si="60"/>
        <v>0</v>
      </c>
      <c r="R480" s="137"/>
      <c r="S480" s="23">
        <f t="shared" si="54"/>
        <v>0</v>
      </c>
      <c r="T480" s="123">
        <f t="shared" si="55"/>
        <v>0</v>
      </c>
      <c r="U480" s="138"/>
      <c r="V480" s="137"/>
      <c r="W480" s="137"/>
      <c r="X480" s="137"/>
      <c r="Y480" s="137"/>
      <c r="Z480" s="137"/>
      <c r="AA480" s="137"/>
      <c r="AB480" s="139"/>
    </row>
    <row r="481" spans="1:28">
      <c r="A481" s="97">
        <f t="shared" si="56"/>
        <v>483</v>
      </c>
      <c r="B481" s="115">
        <v>46112</v>
      </c>
      <c r="C481" s="116">
        <v>46226</v>
      </c>
      <c r="D481" s="135"/>
      <c r="E481" s="136"/>
      <c r="F481" s="124"/>
      <c r="G481" s="137"/>
      <c r="H481" s="137"/>
      <c r="I481" s="137"/>
      <c r="J481" s="137"/>
      <c r="K481" s="137"/>
      <c r="L481" s="137"/>
      <c r="M481" s="125">
        <f t="shared" si="58"/>
        <v>0</v>
      </c>
      <c r="N481" s="126">
        <f t="shared" si="59"/>
        <v>0</v>
      </c>
      <c r="O481" s="137"/>
      <c r="P481" s="23">
        <f t="shared" si="57"/>
        <v>0</v>
      </c>
      <c r="Q481" s="23">
        <f t="shared" si="60"/>
        <v>0</v>
      </c>
      <c r="R481" s="137"/>
      <c r="S481" s="23">
        <f t="shared" si="54"/>
        <v>0</v>
      </c>
      <c r="T481" s="123">
        <f t="shared" si="55"/>
        <v>0</v>
      </c>
      <c r="U481" s="138"/>
      <c r="V481" s="137"/>
      <c r="W481" s="137"/>
      <c r="X481" s="137"/>
      <c r="Y481" s="137"/>
      <c r="Z481" s="137"/>
      <c r="AA481" s="137"/>
      <c r="AB481" s="139"/>
    </row>
    <row r="482" spans="1:28">
      <c r="A482" s="97">
        <f t="shared" si="56"/>
        <v>484</v>
      </c>
      <c r="B482" s="115">
        <v>46112</v>
      </c>
      <c r="C482" s="116">
        <v>46227</v>
      </c>
      <c r="D482" s="135"/>
      <c r="E482" s="136"/>
      <c r="F482" s="124"/>
      <c r="G482" s="137"/>
      <c r="H482" s="137"/>
      <c r="I482" s="137"/>
      <c r="J482" s="137"/>
      <c r="K482" s="137"/>
      <c r="L482" s="137"/>
      <c r="M482" s="125">
        <f t="shared" si="58"/>
        <v>0</v>
      </c>
      <c r="N482" s="126">
        <f t="shared" si="59"/>
        <v>0</v>
      </c>
      <c r="O482" s="137"/>
      <c r="P482" s="23">
        <f t="shared" si="57"/>
        <v>0</v>
      </c>
      <c r="Q482" s="23">
        <f t="shared" si="60"/>
        <v>0</v>
      </c>
      <c r="R482" s="137"/>
      <c r="S482" s="23">
        <f t="shared" si="54"/>
        <v>0</v>
      </c>
      <c r="T482" s="123">
        <f t="shared" si="55"/>
        <v>0</v>
      </c>
      <c r="U482" s="138"/>
      <c r="V482" s="137"/>
      <c r="W482" s="137"/>
      <c r="X482" s="137"/>
      <c r="Y482" s="137"/>
      <c r="Z482" s="137"/>
      <c r="AA482" s="137"/>
      <c r="AB482" s="139"/>
    </row>
    <row r="483" spans="1:28">
      <c r="A483" s="97">
        <f t="shared" si="56"/>
        <v>485</v>
      </c>
      <c r="B483" s="115">
        <v>46112</v>
      </c>
      <c r="C483" s="116">
        <v>46228</v>
      </c>
      <c r="D483" s="135"/>
      <c r="E483" s="136"/>
      <c r="F483" s="124"/>
      <c r="G483" s="137"/>
      <c r="H483" s="137"/>
      <c r="I483" s="137"/>
      <c r="J483" s="137"/>
      <c r="K483" s="137"/>
      <c r="L483" s="137"/>
      <c r="M483" s="125">
        <f t="shared" si="58"/>
        <v>0</v>
      </c>
      <c r="N483" s="126">
        <f t="shared" si="59"/>
        <v>0</v>
      </c>
      <c r="O483" s="137"/>
      <c r="P483" s="23">
        <f t="shared" si="57"/>
        <v>0</v>
      </c>
      <c r="Q483" s="23">
        <f t="shared" si="60"/>
        <v>0</v>
      </c>
      <c r="R483" s="137"/>
      <c r="S483" s="23">
        <f t="shared" si="54"/>
        <v>0</v>
      </c>
      <c r="T483" s="123">
        <f t="shared" si="55"/>
        <v>0</v>
      </c>
      <c r="U483" s="138"/>
      <c r="V483" s="137"/>
      <c r="W483" s="137"/>
      <c r="X483" s="137"/>
      <c r="Y483" s="137"/>
      <c r="Z483" s="137"/>
      <c r="AA483" s="137"/>
      <c r="AB483" s="139"/>
    </row>
    <row r="484" spans="1:28">
      <c r="A484" s="97">
        <f t="shared" si="56"/>
        <v>486</v>
      </c>
      <c r="B484" s="115">
        <v>46112</v>
      </c>
      <c r="C484" s="116">
        <v>46229</v>
      </c>
      <c r="D484" s="135"/>
      <c r="E484" s="136"/>
      <c r="F484" s="124"/>
      <c r="G484" s="137"/>
      <c r="H484" s="137"/>
      <c r="I484" s="137"/>
      <c r="J484" s="137"/>
      <c r="K484" s="137"/>
      <c r="L484" s="137"/>
      <c r="M484" s="125">
        <f t="shared" si="58"/>
        <v>0</v>
      </c>
      <c r="N484" s="126">
        <f t="shared" si="59"/>
        <v>0</v>
      </c>
      <c r="O484" s="137"/>
      <c r="P484" s="23">
        <f t="shared" si="57"/>
        <v>0</v>
      </c>
      <c r="Q484" s="23">
        <f t="shared" si="60"/>
        <v>0</v>
      </c>
      <c r="R484" s="137"/>
      <c r="S484" s="23">
        <f t="shared" si="54"/>
        <v>0</v>
      </c>
      <c r="T484" s="123">
        <f t="shared" si="55"/>
        <v>0</v>
      </c>
      <c r="U484" s="138"/>
      <c r="V484" s="137"/>
      <c r="W484" s="137"/>
      <c r="X484" s="137"/>
      <c r="Y484" s="137"/>
      <c r="Z484" s="137"/>
      <c r="AA484" s="137"/>
      <c r="AB484" s="139"/>
    </row>
    <row r="485" spans="1:28">
      <c r="A485" s="97">
        <f t="shared" si="56"/>
        <v>487</v>
      </c>
      <c r="B485" s="115">
        <v>46112</v>
      </c>
      <c r="C485" s="116">
        <v>46230</v>
      </c>
      <c r="D485" s="135"/>
      <c r="E485" s="136"/>
      <c r="F485" s="124"/>
      <c r="G485" s="137"/>
      <c r="H485" s="137"/>
      <c r="I485" s="137"/>
      <c r="J485" s="137"/>
      <c r="K485" s="137"/>
      <c r="L485" s="137"/>
      <c r="M485" s="125">
        <f t="shared" si="58"/>
        <v>0</v>
      </c>
      <c r="N485" s="126">
        <f t="shared" si="59"/>
        <v>0</v>
      </c>
      <c r="O485" s="137"/>
      <c r="P485" s="23">
        <f t="shared" si="57"/>
        <v>0</v>
      </c>
      <c r="Q485" s="23">
        <f t="shared" si="60"/>
        <v>0</v>
      </c>
      <c r="R485" s="137"/>
      <c r="S485" s="23">
        <f t="shared" si="54"/>
        <v>0</v>
      </c>
      <c r="T485" s="123">
        <f t="shared" si="55"/>
        <v>0</v>
      </c>
      <c r="U485" s="138"/>
      <c r="V485" s="137"/>
      <c r="W485" s="137"/>
      <c r="X485" s="137"/>
      <c r="Y485" s="137"/>
      <c r="Z485" s="137"/>
      <c r="AA485" s="137"/>
      <c r="AB485" s="139"/>
    </row>
    <row r="486" spans="1:28">
      <c r="A486" s="97">
        <f t="shared" si="56"/>
        <v>488</v>
      </c>
      <c r="B486" s="115">
        <v>46112</v>
      </c>
      <c r="C486" s="116">
        <v>46231</v>
      </c>
      <c r="D486" s="135"/>
      <c r="E486" s="136"/>
      <c r="F486" s="124"/>
      <c r="G486" s="137"/>
      <c r="H486" s="137"/>
      <c r="I486" s="137"/>
      <c r="J486" s="137"/>
      <c r="K486" s="137"/>
      <c r="L486" s="137"/>
      <c r="M486" s="125">
        <f t="shared" si="58"/>
        <v>0</v>
      </c>
      <c r="N486" s="126">
        <f t="shared" si="59"/>
        <v>0</v>
      </c>
      <c r="O486" s="137"/>
      <c r="P486" s="23">
        <f t="shared" si="57"/>
        <v>0</v>
      </c>
      <c r="Q486" s="23">
        <f t="shared" si="60"/>
        <v>0</v>
      </c>
      <c r="R486" s="137"/>
      <c r="S486" s="23">
        <f t="shared" si="54"/>
        <v>0</v>
      </c>
      <c r="T486" s="123">
        <f t="shared" si="55"/>
        <v>0</v>
      </c>
      <c r="U486" s="138"/>
      <c r="V486" s="137"/>
      <c r="W486" s="137"/>
      <c r="X486" s="137"/>
      <c r="Y486" s="137"/>
      <c r="Z486" s="137"/>
      <c r="AA486" s="137"/>
      <c r="AB486" s="139"/>
    </row>
    <row r="487" spans="1:28">
      <c r="A487" s="97">
        <f t="shared" si="56"/>
        <v>489</v>
      </c>
      <c r="B487" s="115">
        <v>46112</v>
      </c>
      <c r="C487" s="116">
        <v>46232</v>
      </c>
      <c r="D487" s="135"/>
      <c r="E487" s="136"/>
      <c r="F487" s="124"/>
      <c r="G487" s="137"/>
      <c r="H487" s="137"/>
      <c r="I487" s="137"/>
      <c r="J487" s="137"/>
      <c r="K487" s="137"/>
      <c r="L487" s="137"/>
      <c r="M487" s="125">
        <f t="shared" si="58"/>
        <v>0</v>
      </c>
      <c r="N487" s="126">
        <f t="shared" si="59"/>
        <v>0</v>
      </c>
      <c r="O487" s="137"/>
      <c r="P487" s="23">
        <f t="shared" si="57"/>
        <v>0</v>
      </c>
      <c r="Q487" s="23">
        <f t="shared" si="60"/>
        <v>0</v>
      </c>
      <c r="R487" s="137"/>
      <c r="S487" s="23">
        <f t="shared" si="54"/>
        <v>0</v>
      </c>
      <c r="T487" s="123">
        <f t="shared" si="55"/>
        <v>0</v>
      </c>
      <c r="U487" s="138"/>
      <c r="V487" s="137"/>
      <c r="W487" s="137"/>
      <c r="X487" s="137"/>
      <c r="Y487" s="137"/>
      <c r="Z487" s="137"/>
      <c r="AA487" s="137"/>
      <c r="AB487" s="139"/>
    </row>
    <row r="488" spans="1:28">
      <c r="A488" s="97">
        <f t="shared" si="56"/>
        <v>490</v>
      </c>
      <c r="B488" s="115">
        <v>46112</v>
      </c>
      <c r="C488" s="116">
        <v>46233</v>
      </c>
      <c r="D488" s="135"/>
      <c r="E488" s="136"/>
      <c r="F488" s="124"/>
      <c r="G488" s="137"/>
      <c r="H488" s="137"/>
      <c r="I488" s="137"/>
      <c r="J488" s="137"/>
      <c r="K488" s="137"/>
      <c r="L488" s="137"/>
      <c r="M488" s="125">
        <f t="shared" si="58"/>
        <v>0</v>
      </c>
      <c r="N488" s="126">
        <f t="shared" si="59"/>
        <v>0</v>
      </c>
      <c r="O488" s="137"/>
      <c r="P488" s="23">
        <f t="shared" si="57"/>
        <v>0</v>
      </c>
      <c r="Q488" s="23">
        <f t="shared" si="60"/>
        <v>0</v>
      </c>
      <c r="R488" s="137"/>
      <c r="S488" s="23">
        <f t="shared" si="54"/>
        <v>0</v>
      </c>
      <c r="T488" s="123">
        <f t="shared" si="55"/>
        <v>0</v>
      </c>
      <c r="U488" s="138"/>
      <c r="V488" s="137"/>
      <c r="W488" s="137"/>
      <c r="X488" s="137"/>
      <c r="Y488" s="137"/>
      <c r="Z488" s="137"/>
      <c r="AA488" s="137"/>
      <c r="AB488" s="139"/>
    </row>
    <row r="489" spans="1:28">
      <c r="A489" s="97">
        <f t="shared" si="56"/>
        <v>491</v>
      </c>
      <c r="B489" s="115">
        <v>46112</v>
      </c>
      <c r="C489" s="116">
        <v>46234</v>
      </c>
      <c r="D489" s="135"/>
      <c r="E489" s="136"/>
      <c r="F489" s="124"/>
      <c r="G489" s="137"/>
      <c r="H489" s="137"/>
      <c r="I489" s="137"/>
      <c r="J489" s="137"/>
      <c r="K489" s="137"/>
      <c r="L489" s="137"/>
      <c r="M489" s="125">
        <f t="shared" si="58"/>
        <v>0</v>
      </c>
      <c r="N489" s="126">
        <f t="shared" si="59"/>
        <v>0</v>
      </c>
      <c r="O489" s="137"/>
      <c r="P489" s="23">
        <f t="shared" si="57"/>
        <v>0</v>
      </c>
      <c r="Q489" s="23">
        <f t="shared" si="60"/>
        <v>0</v>
      </c>
      <c r="R489" s="137"/>
      <c r="S489" s="23">
        <f t="shared" si="54"/>
        <v>0</v>
      </c>
      <c r="T489" s="123">
        <f t="shared" si="55"/>
        <v>0</v>
      </c>
      <c r="U489" s="138"/>
      <c r="V489" s="137"/>
      <c r="W489" s="137"/>
      <c r="X489" s="137"/>
      <c r="Y489" s="137"/>
      <c r="Z489" s="137"/>
      <c r="AA489" s="137"/>
      <c r="AB489" s="139"/>
    </row>
    <row r="490" spans="1:28">
      <c r="A490" s="97">
        <f t="shared" si="56"/>
        <v>492</v>
      </c>
      <c r="B490" s="115">
        <v>46112</v>
      </c>
      <c r="C490" s="116">
        <v>46235</v>
      </c>
      <c r="D490" s="135"/>
      <c r="E490" s="136"/>
      <c r="F490" s="124"/>
      <c r="G490" s="137"/>
      <c r="H490" s="137"/>
      <c r="I490" s="137"/>
      <c r="J490" s="137"/>
      <c r="K490" s="137"/>
      <c r="L490" s="137"/>
      <c r="M490" s="125">
        <f t="shared" si="58"/>
        <v>0</v>
      </c>
      <c r="N490" s="126">
        <f t="shared" si="59"/>
        <v>0</v>
      </c>
      <c r="O490" s="137"/>
      <c r="P490" s="23">
        <f t="shared" si="57"/>
        <v>0</v>
      </c>
      <c r="Q490" s="23">
        <f t="shared" si="60"/>
        <v>0</v>
      </c>
      <c r="R490" s="137"/>
      <c r="S490" s="23">
        <f t="shared" si="54"/>
        <v>0</v>
      </c>
      <c r="T490" s="123">
        <f t="shared" si="55"/>
        <v>0</v>
      </c>
      <c r="U490" s="138"/>
      <c r="V490" s="137"/>
      <c r="W490" s="137"/>
      <c r="X490" s="137"/>
      <c r="Y490" s="137"/>
      <c r="Z490" s="137"/>
      <c r="AA490" s="137"/>
      <c r="AB490" s="139"/>
    </row>
    <row r="491" spans="1:28">
      <c r="A491" s="97">
        <f t="shared" si="56"/>
        <v>493</v>
      </c>
      <c r="B491" s="115">
        <v>46112</v>
      </c>
      <c r="C491" s="116">
        <v>46236</v>
      </c>
      <c r="D491" s="135"/>
      <c r="E491" s="136"/>
      <c r="F491" s="124"/>
      <c r="G491" s="137"/>
      <c r="H491" s="137"/>
      <c r="I491" s="137"/>
      <c r="J491" s="137"/>
      <c r="K491" s="137"/>
      <c r="L491" s="137"/>
      <c r="M491" s="125">
        <f t="shared" si="58"/>
        <v>0</v>
      </c>
      <c r="N491" s="126">
        <f t="shared" si="59"/>
        <v>0</v>
      </c>
      <c r="O491" s="137"/>
      <c r="P491" s="23">
        <f t="shared" si="57"/>
        <v>0</v>
      </c>
      <c r="Q491" s="23">
        <f t="shared" si="60"/>
        <v>0</v>
      </c>
      <c r="R491" s="137"/>
      <c r="S491" s="23">
        <f t="shared" si="54"/>
        <v>0</v>
      </c>
      <c r="T491" s="123">
        <f t="shared" si="55"/>
        <v>0</v>
      </c>
      <c r="U491" s="138"/>
      <c r="V491" s="137"/>
      <c r="W491" s="137"/>
      <c r="X491" s="137"/>
      <c r="Y491" s="137"/>
      <c r="Z491" s="137"/>
      <c r="AA491" s="137"/>
      <c r="AB491" s="139"/>
    </row>
    <row r="492" spans="1:28">
      <c r="A492" s="97">
        <f t="shared" si="56"/>
        <v>494</v>
      </c>
      <c r="B492" s="115">
        <v>46112</v>
      </c>
      <c r="C492" s="116">
        <v>46237</v>
      </c>
      <c r="D492" s="135"/>
      <c r="E492" s="136"/>
      <c r="F492" s="124"/>
      <c r="G492" s="137"/>
      <c r="H492" s="137"/>
      <c r="I492" s="137"/>
      <c r="J492" s="137"/>
      <c r="K492" s="137"/>
      <c r="L492" s="137"/>
      <c r="M492" s="125">
        <f t="shared" si="58"/>
        <v>0</v>
      </c>
      <c r="N492" s="126">
        <f t="shared" si="59"/>
        <v>0</v>
      </c>
      <c r="O492" s="137"/>
      <c r="P492" s="23">
        <f t="shared" si="57"/>
        <v>0</v>
      </c>
      <c r="Q492" s="23">
        <f t="shared" si="60"/>
        <v>0</v>
      </c>
      <c r="R492" s="137"/>
      <c r="S492" s="23">
        <f t="shared" si="54"/>
        <v>0</v>
      </c>
      <c r="T492" s="123">
        <f t="shared" si="55"/>
        <v>0</v>
      </c>
      <c r="U492" s="138"/>
      <c r="V492" s="137"/>
      <c r="W492" s="137"/>
      <c r="X492" s="137"/>
      <c r="Y492" s="137"/>
      <c r="Z492" s="137"/>
      <c r="AA492" s="137"/>
      <c r="AB492" s="139"/>
    </row>
    <row r="493" spans="1:28">
      <c r="A493" s="97">
        <f t="shared" si="56"/>
        <v>495</v>
      </c>
      <c r="B493" s="115">
        <v>46112</v>
      </c>
      <c r="C493" s="116">
        <v>46238</v>
      </c>
      <c r="D493" s="135"/>
      <c r="E493" s="136"/>
      <c r="F493" s="124"/>
      <c r="G493" s="137"/>
      <c r="H493" s="137"/>
      <c r="I493" s="137"/>
      <c r="J493" s="137"/>
      <c r="K493" s="137"/>
      <c r="L493" s="137"/>
      <c r="M493" s="125">
        <f t="shared" si="58"/>
        <v>0</v>
      </c>
      <c r="N493" s="126">
        <f t="shared" si="59"/>
        <v>0</v>
      </c>
      <c r="O493" s="137"/>
      <c r="P493" s="23">
        <f t="shared" si="57"/>
        <v>0</v>
      </c>
      <c r="Q493" s="23">
        <f t="shared" si="60"/>
        <v>0</v>
      </c>
      <c r="R493" s="137"/>
      <c r="S493" s="23">
        <f t="shared" si="54"/>
        <v>0</v>
      </c>
      <c r="T493" s="123">
        <f t="shared" si="55"/>
        <v>0</v>
      </c>
      <c r="U493" s="138"/>
      <c r="V493" s="137"/>
      <c r="W493" s="137"/>
      <c r="X493" s="137"/>
      <c r="Y493" s="137"/>
      <c r="Z493" s="137"/>
      <c r="AA493" s="137"/>
      <c r="AB493" s="139"/>
    </row>
    <row r="494" spans="1:28">
      <c r="A494" s="97">
        <f t="shared" si="56"/>
        <v>496</v>
      </c>
      <c r="B494" s="115">
        <v>46112</v>
      </c>
      <c r="C494" s="116">
        <v>46239</v>
      </c>
      <c r="D494" s="135"/>
      <c r="E494" s="136"/>
      <c r="F494" s="124"/>
      <c r="G494" s="137"/>
      <c r="H494" s="137"/>
      <c r="I494" s="137"/>
      <c r="J494" s="137"/>
      <c r="K494" s="137"/>
      <c r="L494" s="137"/>
      <c r="M494" s="125">
        <f t="shared" si="58"/>
        <v>0</v>
      </c>
      <c r="N494" s="126">
        <f t="shared" si="59"/>
        <v>0</v>
      </c>
      <c r="O494" s="137"/>
      <c r="P494" s="23">
        <f t="shared" si="57"/>
        <v>0</v>
      </c>
      <c r="Q494" s="23">
        <f t="shared" si="60"/>
        <v>0</v>
      </c>
      <c r="R494" s="137"/>
      <c r="S494" s="23">
        <f t="shared" si="54"/>
        <v>0</v>
      </c>
      <c r="T494" s="123">
        <f t="shared" si="55"/>
        <v>0</v>
      </c>
      <c r="U494" s="138"/>
      <c r="V494" s="137"/>
      <c r="W494" s="137"/>
      <c r="X494" s="137"/>
      <c r="Y494" s="137"/>
      <c r="Z494" s="137"/>
      <c r="AA494" s="137"/>
      <c r="AB494" s="139"/>
    </row>
    <row r="495" spans="1:28">
      <c r="A495" s="97">
        <f t="shared" si="56"/>
        <v>497</v>
      </c>
      <c r="B495" s="115">
        <v>46112</v>
      </c>
      <c r="C495" s="116">
        <v>46240</v>
      </c>
      <c r="D495" s="135"/>
      <c r="E495" s="136"/>
      <c r="F495" s="124"/>
      <c r="G495" s="137"/>
      <c r="H495" s="137"/>
      <c r="I495" s="137"/>
      <c r="J495" s="137"/>
      <c r="K495" s="137"/>
      <c r="L495" s="137"/>
      <c r="M495" s="125">
        <f t="shared" si="58"/>
        <v>0</v>
      </c>
      <c r="N495" s="126">
        <f t="shared" si="59"/>
        <v>0</v>
      </c>
      <c r="O495" s="137"/>
      <c r="P495" s="23">
        <f t="shared" si="57"/>
        <v>0</v>
      </c>
      <c r="Q495" s="23">
        <f t="shared" si="60"/>
        <v>0</v>
      </c>
      <c r="R495" s="137"/>
      <c r="S495" s="23">
        <f t="shared" si="54"/>
        <v>0</v>
      </c>
      <c r="T495" s="123">
        <f t="shared" si="55"/>
        <v>0</v>
      </c>
      <c r="U495" s="138"/>
      <c r="V495" s="137"/>
      <c r="W495" s="137"/>
      <c r="X495" s="137"/>
      <c r="Y495" s="137"/>
      <c r="Z495" s="137"/>
      <c r="AA495" s="137"/>
      <c r="AB495" s="139"/>
    </row>
    <row r="496" spans="1:28">
      <c r="A496" s="97">
        <f t="shared" si="56"/>
        <v>498</v>
      </c>
      <c r="B496" s="115">
        <v>46112</v>
      </c>
      <c r="C496" s="116">
        <v>46241</v>
      </c>
      <c r="D496" s="135"/>
      <c r="E496" s="136"/>
      <c r="F496" s="124"/>
      <c r="G496" s="137"/>
      <c r="H496" s="137"/>
      <c r="I496" s="137"/>
      <c r="J496" s="137"/>
      <c r="K496" s="137"/>
      <c r="L496" s="137"/>
      <c r="M496" s="125">
        <f t="shared" si="58"/>
        <v>0</v>
      </c>
      <c r="N496" s="126">
        <f t="shared" si="59"/>
        <v>0</v>
      </c>
      <c r="O496" s="137"/>
      <c r="P496" s="23">
        <f t="shared" si="57"/>
        <v>0</v>
      </c>
      <c r="Q496" s="23">
        <f t="shared" si="60"/>
        <v>0</v>
      </c>
      <c r="R496" s="137"/>
      <c r="S496" s="23">
        <f t="shared" ref="S496:S559" si="61">MAX((R496-Q496)*3000,0)</f>
        <v>0</v>
      </c>
      <c r="T496" s="123">
        <f t="shared" ref="T496:T559" si="62">P496-S496</f>
        <v>0</v>
      </c>
      <c r="U496" s="138"/>
      <c r="V496" s="137"/>
      <c r="W496" s="137"/>
      <c r="X496" s="137"/>
      <c r="Y496" s="137"/>
      <c r="Z496" s="137"/>
      <c r="AA496" s="137"/>
      <c r="AB496" s="139"/>
    </row>
    <row r="497" spans="1:28">
      <c r="A497" s="97">
        <f t="shared" si="56"/>
        <v>499</v>
      </c>
      <c r="B497" s="115">
        <v>46112</v>
      </c>
      <c r="C497" s="116">
        <v>46242</v>
      </c>
      <c r="D497" s="135"/>
      <c r="E497" s="136"/>
      <c r="F497" s="124"/>
      <c r="G497" s="137"/>
      <c r="H497" s="137"/>
      <c r="I497" s="137"/>
      <c r="J497" s="137"/>
      <c r="K497" s="137"/>
      <c r="L497" s="137"/>
      <c r="M497" s="125">
        <f t="shared" si="58"/>
        <v>0</v>
      </c>
      <c r="N497" s="126">
        <f t="shared" si="59"/>
        <v>0</v>
      </c>
      <c r="O497" s="137"/>
      <c r="P497" s="23">
        <f t="shared" si="57"/>
        <v>0</v>
      </c>
      <c r="Q497" s="23">
        <f t="shared" si="60"/>
        <v>0</v>
      </c>
      <c r="R497" s="137"/>
      <c r="S497" s="23">
        <f t="shared" si="61"/>
        <v>0</v>
      </c>
      <c r="T497" s="123">
        <f t="shared" si="62"/>
        <v>0</v>
      </c>
      <c r="U497" s="138"/>
      <c r="V497" s="137"/>
      <c r="W497" s="137"/>
      <c r="X497" s="137"/>
      <c r="Y497" s="137"/>
      <c r="Z497" s="137"/>
      <c r="AA497" s="137"/>
      <c r="AB497" s="139"/>
    </row>
    <row r="498" spans="1:28">
      <c r="A498" s="97">
        <f t="shared" si="56"/>
        <v>500</v>
      </c>
      <c r="B498" s="115">
        <v>46112</v>
      </c>
      <c r="C498" s="116">
        <v>46243</v>
      </c>
      <c r="D498" s="135"/>
      <c r="E498" s="136"/>
      <c r="F498" s="124"/>
      <c r="G498" s="137"/>
      <c r="H498" s="137"/>
      <c r="I498" s="137"/>
      <c r="J498" s="137"/>
      <c r="K498" s="137"/>
      <c r="L498" s="137"/>
      <c r="M498" s="125">
        <f t="shared" si="58"/>
        <v>0</v>
      </c>
      <c r="N498" s="126">
        <f t="shared" si="59"/>
        <v>0</v>
      </c>
      <c r="O498" s="137"/>
      <c r="P498" s="23">
        <f t="shared" si="57"/>
        <v>0</v>
      </c>
      <c r="Q498" s="23">
        <f t="shared" si="60"/>
        <v>0</v>
      </c>
      <c r="R498" s="137"/>
      <c r="S498" s="23">
        <f t="shared" si="61"/>
        <v>0</v>
      </c>
      <c r="T498" s="123">
        <f t="shared" si="62"/>
        <v>0</v>
      </c>
      <c r="U498" s="138"/>
      <c r="V498" s="137"/>
      <c r="W498" s="137"/>
      <c r="X498" s="137"/>
      <c r="Y498" s="137"/>
      <c r="Z498" s="137"/>
      <c r="AA498" s="137"/>
      <c r="AB498" s="139"/>
    </row>
    <row r="499" spans="1:28">
      <c r="A499" s="97">
        <f t="shared" si="56"/>
        <v>501</v>
      </c>
      <c r="B499" s="115">
        <v>46112</v>
      </c>
      <c r="C499" s="116">
        <v>46244</v>
      </c>
      <c r="D499" s="135"/>
      <c r="E499" s="136"/>
      <c r="F499" s="124"/>
      <c r="G499" s="137"/>
      <c r="H499" s="137"/>
      <c r="I499" s="137"/>
      <c r="J499" s="137"/>
      <c r="K499" s="137"/>
      <c r="L499" s="137"/>
      <c r="M499" s="125">
        <f t="shared" si="58"/>
        <v>0</v>
      </c>
      <c r="N499" s="126">
        <f t="shared" si="59"/>
        <v>0</v>
      </c>
      <c r="O499" s="137"/>
      <c r="P499" s="23">
        <f t="shared" si="57"/>
        <v>0</v>
      </c>
      <c r="Q499" s="23">
        <f t="shared" si="60"/>
        <v>0</v>
      </c>
      <c r="R499" s="137"/>
      <c r="S499" s="23">
        <f t="shared" si="61"/>
        <v>0</v>
      </c>
      <c r="T499" s="123">
        <f t="shared" si="62"/>
        <v>0</v>
      </c>
      <c r="U499" s="138"/>
      <c r="V499" s="137"/>
      <c r="W499" s="137"/>
      <c r="X499" s="137"/>
      <c r="Y499" s="137"/>
      <c r="Z499" s="137"/>
      <c r="AA499" s="137"/>
      <c r="AB499" s="139"/>
    </row>
    <row r="500" spans="1:28">
      <c r="A500" s="97">
        <f t="shared" si="56"/>
        <v>502</v>
      </c>
      <c r="B500" s="115">
        <v>46112</v>
      </c>
      <c r="C500" s="116">
        <v>46245</v>
      </c>
      <c r="D500" s="135"/>
      <c r="E500" s="136"/>
      <c r="F500" s="124"/>
      <c r="G500" s="137"/>
      <c r="H500" s="137"/>
      <c r="I500" s="137"/>
      <c r="J500" s="137"/>
      <c r="K500" s="137"/>
      <c r="L500" s="137"/>
      <c r="M500" s="125">
        <f t="shared" si="58"/>
        <v>0</v>
      </c>
      <c r="N500" s="126">
        <f t="shared" si="59"/>
        <v>0</v>
      </c>
      <c r="O500" s="137"/>
      <c r="P500" s="23">
        <f t="shared" si="57"/>
        <v>0</v>
      </c>
      <c r="Q500" s="23">
        <f t="shared" si="60"/>
        <v>0</v>
      </c>
      <c r="R500" s="137"/>
      <c r="S500" s="23">
        <f t="shared" si="61"/>
        <v>0</v>
      </c>
      <c r="T500" s="123">
        <f t="shared" si="62"/>
        <v>0</v>
      </c>
      <c r="U500" s="138"/>
      <c r="V500" s="137"/>
      <c r="W500" s="137"/>
      <c r="X500" s="137"/>
      <c r="Y500" s="137"/>
      <c r="Z500" s="137"/>
      <c r="AA500" s="137"/>
      <c r="AB500" s="139"/>
    </row>
    <row r="501" spans="1:28">
      <c r="A501" s="97">
        <f t="shared" si="56"/>
        <v>503</v>
      </c>
      <c r="B501" s="115">
        <v>46112</v>
      </c>
      <c r="C501" s="116">
        <v>46246</v>
      </c>
      <c r="D501" s="135"/>
      <c r="E501" s="136"/>
      <c r="F501" s="124"/>
      <c r="G501" s="137"/>
      <c r="H501" s="137"/>
      <c r="I501" s="137"/>
      <c r="J501" s="137"/>
      <c r="K501" s="137"/>
      <c r="L501" s="137"/>
      <c r="M501" s="125">
        <f t="shared" si="58"/>
        <v>0</v>
      </c>
      <c r="N501" s="126">
        <f t="shared" si="59"/>
        <v>0</v>
      </c>
      <c r="O501" s="137"/>
      <c r="P501" s="23">
        <f t="shared" si="57"/>
        <v>0</v>
      </c>
      <c r="Q501" s="23">
        <f t="shared" si="60"/>
        <v>0</v>
      </c>
      <c r="R501" s="137"/>
      <c r="S501" s="23">
        <f t="shared" si="61"/>
        <v>0</v>
      </c>
      <c r="T501" s="123">
        <f t="shared" si="62"/>
        <v>0</v>
      </c>
      <c r="U501" s="138"/>
      <c r="V501" s="137"/>
      <c r="W501" s="137"/>
      <c r="X501" s="137"/>
      <c r="Y501" s="137"/>
      <c r="Z501" s="137"/>
      <c r="AA501" s="137"/>
      <c r="AB501" s="139"/>
    </row>
    <row r="502" spans="1:28">
      <c r="A502" s="97">
        <f t="shared" si="56"/>
        <v>504</v>
      </c>
      <c r="B502" s="115">
        <v>46112</v>
      </c>
      <c r="C502" s="116">
        <v>46247</v>
      </c>
      <c r="D502" s="135"/>
      <c r="E502" s="136"/>
      <c r="F502" s="124"/>
      <c r="G502" s="137"/>
      <c r="H502" s="137"/>
      <c r="I502" s="137"/>
      <c r="J502" s="137"/>
      <c r="K502" s="137"/>
      <c r="L502" s="137"/>
      <c r="M502" s="125">
        <f t="shared" si="58"/>
        <v>0</v>
      </c>
      <c r="N502" s="126">
        <f t="shared" si="59"/>
        <v>0</v>
      </c>
      <c r="O502" s="137"/>
      <c r="P502" s="23">
        <f t="shared" si="57"/>
        <v>0</v>
      </c>
      <c r="Q502" s="23">
        <f t="shared" si="60"/>
        <v>0</v>
      </c>
      <c r="R502" s="137"/>
      <c r="S502" s="23">
        <f t="shared" si="61"/>
        <v>0</v>
      </c>
      <c r="T502" s="123">
        <f t="shared" si="62"/>
        <v>0</v>
      </c>
      <c r="U502" s="138"/>
      <c r="V502" s="137"/>
      <c r="W502" s="137"/>
      <c r="X502" s="137"/>
      <c r="Y502" s="137"/>
      <c r="Z502" s="137"/>
      <c r="AA502" s="137"/>
      <c r="AB502" s="139"/>
    </row>
    <row r="503" spans="1:28">
      <c r="A503" s="97">
        <f t="shared" si="56"/>
        <v>505</v>
      </c>
      <c r="B503" s="115">
        <v>46112</v>
      </c>
      <c r="C503" s="116">
        <v>46248</v>
      </c>
      <c r="D503" s="135"/>
      <c r="E503" s="136"/>
      <c r="F503" s="124"/>
      <c r="G503" s="137"/>
      <c r="H503" s="137"/>
      <c r="I503" s="137"/>
      <c r="J503" s="137"/>
      <c r="K503" s="137"/>
      <c r="L503" s="137"/>
      <c r="M503" s="125">
        <f t="shared" si="58"/>
        <v>0</v>
      </c>
      <c r="N503" s="126">
        <f t="shared" si="59"/>
        <v>0</v>
      </c>
      <c r="O503" s="137"/>
      <c r="P503" s="23">
        <f t="shared" si="57"/>
        <v>0</v>
      </c>
      <c r="Q503" s="23">
        <f t="shared" si="60"/>
        <v>0</v>
      </c>
      <c r="R503" s="137"/>
      <c r="S503" s="23">
        <f t="shared" si="61"/>
        <v>0</v>
      </c>
      <c r="T503" s="123">
        <f t="shared" si="62"/>
        <v>0</v>
      </c>
      <c r="U503" s="138"/>
      <c r="V503" s="137"/>
      <c r="W503" s="137"/>
      <c r="X503" s="137"/>
      <c r="Y503" s="137"/>
      <c r="Z503" s="137"/>
      <c r="AA503" s="137"/>
      <c r="AB503" s="139"/>
    </row>
    <row r="504" spans="1:28">
      <c r="A504" s="97">
        <f t="shared" si="56"/>
        <v>506</v>
      </c>
      <c r="B504" s="115">
        <v>46112</v>
      </c>
      <c r="C504" s="116">
        <v>46249</v>
      </c>
      <c r="D504" s="135"/>
      <c r="E504" s="136"/>
      <c r="F504" s="124"/>
      <c r="G504" s="137"/>
      <c r="H504" s="137"/>
      <c r="I504" s="137"/>
      <c r="J504" s="137"/>
      <c r="K504" s="137"/>
      <c r="L504" s="137"/>
      <c r="M504" s="125">
        <f t="shared" si="58"/>
        <v>0</v>
      </c>
      <c r="N504" s="126">
        <f t="shared" si="59"/>
        <v>0</v>
      </c>
      <c r="O504" s="137"/>
      <c r="P504" s="23">
        <f t="shared" si="57"/>
        <v>0</v>
      </c>
      <c r="Q504" s="23">
        <f t="shared" si="60"/>
        <v>0</v>
      </c>
      <c r="R504" s="137"/>
      <c r="S504" s="23">
        <f t="shared" si="61"/>
        <v>0</v>
      </c>
      <c r="T504" s="123">
        <f t="shared" si="62"/>
        <v>0</v>
      </c>
      <c r="U504" s="138"/>
      <c r="V504" s="137"/>
      <c r="W504" s="137"/>
      <c r="X504" s="137"/>
      <c r="Y504" s="137"/>
      <c r="Z504" s="137"/>
      <c r="AA504" s="137"/>
      <c r="AB504" s="139"/>
    </row>
    <row r="505" spans="1:28">
      <c r="A505" s="97">
        <f t="shared" si="56"/>
        <v>507</v>
      </c>
      <c r="B505" s="115">
        <v>46112</v>
      </c>
      <c r="C505" s="116">
        <v>46250</v>
      </c>
      <c r="D505" s="135"/>
      <c r="E505" s="136"/>
      <c r="F505" s="124"/>
      <c r="G505" s="137"/>
      <c r="H505" s="137"/>
      <c r="I505" s="137"/>
      <c r="J505" s="137"/>
      <c r="K505" s="137"/>
      <c r="L505" s="137"/>
      <c r="M505" s="125">
        <f t="shared" si="58"/>
        <v>0</v>
      </c>
      <c r="N505" s="126">
        <f t="shared" si="59"/>
        <v>0</v>
      </c>
      <c r="O505" s="137"/>
      <c r="P505" s="23">
        <f t="shared" si="57"/>
        <v>0</v>
      </c>
      <c r="Q505" s="23">
        <f t="shared" si="60"/>
        <v>0</v>
      </c>
      <c r="R505" s="137"/>
      <c r="S505" s="23">
        <f t="shared" si="61"/>
        <v>0</v>
      </c>
      <c r="T505" s="123">
        <f t="shared" si="62"/>
        <v>0</v>
      </c>
      <c r="U505" s="138"/>
      <c r="V505" s="137"/>
      <c r="W505" s="137"/>
      <c r="X505" s="137"/>
      <c r="Y505" s="137"/>
      <c r="Z505" s="137"/>
      <c r="AA505" s="137"/>
      <c r="AB505" s="139"/>
    </row>
    <row r="506" spans="1:28">
      <c r="A506" s="97">
        <f t="shared" si="56"/>
        <v>508</v>
      </c>
      <c r="B506" s="115">
        <v>46112</v>
      </c>
      <c r="C506" s="116">
        <v>46251</v>
      </c>
      <c r="D506" s="135"/>
      <c r="E506" s="136"/>
      <c r="F506" s="124"/>
      <c r="G506" s="137"/>
      <c r="H506" s="137"/>
      <c r="I506" s="137"/>
      <c r="J506" s="137"/>
      <c r="K506" s="137"/>
      <c r="L506" s="137"/>
      <c r="M506" s="125">
        <f t="shared" si="58"/>
        <v>0</v>
      </c>
      <c r="N506" s="126">
        <f t="shared" si="59"/>
        <v>0</v>
      </c>
      <c r="O506" s="137"/>
      <c r="P506" s="23">
        <f t="shared" si="57"/>
        <v>0</v>
      </c>
      <c r="Q506" s="23">
        <f t="shared" si="60"/>
        <v>0</v>
      </c>
      <c r="R506" s="137"/>
      <c r="S506" s="23">
        <f t="shared" si="61"/>
        <v>0</v>
      </c>
      <c r="T506" s="123">
        <f t="shared" si="62"/>
        <v>0</v>
      </c>
      <c r="U506" s="138"/>
      <c r="V506" s="137"/>
      <c r="W506" s="137"/>
      <c r="X506" s="137"/>
      <c r="Y506" s="137"/>
      <c r="Z506" s="137"/>
      <c r="AA506" s="137"/>
      <c r="AB506" s="139"/>
    </row>
    <row r="507" spans="1:28">
      <c r="A507" s="97">
        <f t="shared" si="56"/>
        <v>509</v>
      </c>
      <c r="B507" s="115">
        <v>46112</v>
      </c>
      <c r="C507" s="116">
        <v>46252</v>
      </c>
      <c r="D507" s="135"/>
      <c r="E507" s="136"/>
      <c r="F507" s="124"/>
      <c r="G507" s="137"/>
      <c r="H507" s="137"/>
      <c r="I507" s="137"/>
      <c r="J507" s="137"/>
      <c r="K507" s="137"/>
      <c r="L507" s="137"/>
      <c r="M507" s="125">
        <f t="shared" si="58"/>
        <v>0</v>
      </c>
      <c r="N507" s="126">
        <f t="shared" si="59"/>
        <v>0</v>
      </c>
      <c r="O507" s="137"/>
      <c r="P507" s="23">
        <f t="shared" si="57"/>
        <v>0</v>
      </c>
      <c r="Q507" s="23">
        <f t="shared" si="60"/>
        <v>0</v>
      </c>
      <c r="R507" s="137"/>
      <c r="S507" s="23">
        <f t="shared" si="61"/>
        <v>0</v>
      </c>
      <c r="T507" s="123">
        <f t="shared" si="62"/>
        <v>0</v>
      </c>
      <c r="U507" s="138"/>
      <c r="V507" s="137"/>
      <c r="W507" s="137"/>
      <c r="X507" s="137"/>
      <c r="Y507" s="137"/>
      <c r="Z507" s="137"/>
      <c r="AA507" s="137"/>
      <c r="AB507" s="139"/>
    </row>
    <row r="508" spans="1:28">
      <c r="A508" s="97">
        <f t="shared" si="56"/>
        <v>510</v>
      </c>
      <c r="B508" s="115">
        <v>46112</v>
      </c>
      <c r="C508" s="116">
        <v>46253</v>
      </c>
      <c r="D508" s="135"/>
      <c r="E508" s="136"/>
      <c r="F508" s="124"/>
      <c r="G508" s="137"/>
      <c r="H508" s="137"/>
      <c r="I508" s="137"/>
      <c r="J508" s="137"/>
      <c r="K508" s="137"/>
      <c r="L508" s="137"/>
      <c r="M508" s="125">
        <f t="shared" si="58"/>
        <v>0</v>
      </c>
      <c r="N508" s="126">
        <f t="shared" si="59"/>
        <v>0</v>
      </c>
      <c r="O508" s="137"/>
      <c r="P508" s="23">
        <f t="shared" si="57"/>
        <v>0</v>
      </c>
      <c r="Q508" s="23">
        <f t="shared" si="60"/>
        <v>0</v>
      </c>
      <c r="R508" s="137"/>
      <c r="S508" s="23">
        <f t="shared" si="61"/>
        <v>0</v>
      </c>
      <c r="T508" s="123">
        <f t="shared" si="62"/>
        <v>0</v>
      </c>
      <c r="U508" s="138"/>
      <c r="V508" s="137"/>
      <c r="W508" s="137"/>
      <c r="X508" s="137"/>
      <c r="Y508" s="137"/>
      <c r="Z508" s="137"/>
      <c r="AA508" s="137"/>
      <c r="AB508" s="139"/>
    </row>
    <row r="509" spans="1:28">
      <c r="A509" s="97">
        <f t="shared" si="56"/>
        <v>511</v>
      </c>
      <c r="B509" s="115">
        <v>46112</v>
      </c>
      <c r="C509" s="116">
        <v>46254</v>
      </c>
      <c r="D509" s="135"/>
      <c r="E509" s="136"/>
      <c r="F509" s="124"/>
      <c r="G509" s="137"/>
      <c r="H509" s="137"/>
      <c r="I509" s="137"/>
      <c r="J509" s="137"/>
      <c r="K509" s="137"/>
      <c r="L509" s="137"/>
      <c r="M509" s="125">
        <f t="shared" si="58"/>
        <v>0</v>
      </c>
      <c r="N509" s="126">
        <f t="shared" si="59"/>
        <v>0</v>
      </c>
      <c r="O509" s="137"/>
      <c r="P509" s="23">
        <f t="shared" si="57"/>
        <v>0</v>
      </c>
      <c r="Q509" s="23">
        <f t="shared" si="60"/>
        <v>0</v>
      </c>
      <c r="R509" s="137"/>
      <c r="S509" s="23">
        <f t="shared" si="61"/>
        <v>0</v>
      </c>
      <c r="T509" s="123">
        <f t="shared" si="62"/>
        <v>0</v>
      </c>
      <c r="U509" s="138"/>
      <c r="V509" s="137"/>
      <c r="W509" s="137"/>
      <c r="X509" s="137"/>
      <c r="Y509" s="137"/>
      <c r="Z509" s="137"/>
      <c r="AA509" s="137"/>
      <c r="AB509" s="139"/>
    </row>
    <row r="510" spans="1:28">
      <c r="A510" s="97">
        <f t="shared" si="56"/>
        <v>512</v>
      </c>
      <c r="B510" s="115">
        <v>46112</v>
      </c>
      <c r="C510" s="116">
        <v>46255</v>
      </c>
      <c r="D510" s="135"/>
      <c r="E510" s="136"/>
      <c r="F510" s="124"/>
      <c r="G510" s="137"/>
      <c r="H510" s="137"/>
      <c r="I510" s="137"/>
      <c r="J510" s="137"/>
      <c r="K510" s="137"/>
      <c r="L510" s="137"/>
      <c r="M510" s="125">
        <f t="shared" si="58"/>
        <v>0</v>
      </c>
      <c r="N510" s="126">
        <f t="shared" si="59"/>
        <v>0</v>
      </c>
      <c r="O510" s="137"/>
      <c r="P510" s="23">
        <f t="shared" si="57"/>
        <v>0</v>
      </c>
      <c r="Q510" s="23">
        <f t="shared" si="60"/>
        <v>0</v>
      </c>
      <c r="R510" s="137"/>
      <c r="S510" s="23">
        <f t="shared" si="61"/>
        <v>0</v>
      </c>
      <c r="T510" s="123">
        <f t="shared" si="62"/>
        <v>0</v>
      </c>
      <c r="U510" s="138"/>
      <c r="V510" s="137"/>
      <c r="W510" s="137"/>
      <c r="X510" s="137"/>
      <c r="Y510" s="137"/>
      <c r="Z510" s="137"/>
      <c r="AA510" s="137"/>
      <c r="AB510" s="139"/>
    </row>
    <row r="511" spans="1:28">
      <c r="A511" s="97">
        <f t="shared" si="56"/>
        <v>513</v>
      </c>
      <c r="B511" s="115">
        <v>46112</v>
      </c>
      <c r="C511" s="116">
        <v>46256</v>
      </c>
      <c r="D511" s="135"/>
      <c r="E511" s="136"/>
      <c r="F511" s="124"/>
      <c r="G511" s="137"/>
      <c r="H511" s="137"/>
      <c r="I511" s="137"/>
      <c r="J511" s="137"/>
      <c r="K511" s="137"/>
      <c r="L511" s="137"/>
      <c r="M511" s="125">
        <f t="shared" si="58"/>
        <v>0</v>
      </c>
      <c r="N511" s="126">
        <f t="shared" si="59"/>
        <v>0</v>
      </c>
      <c r="O511" s="137"/>
      <c r="P511" s="23">
        <f t="shared" si="57"/>
        <v>0</v>
      </c>
      <c r="Q511" s="23">
        <f t="shared" si="60"/>
        <v>0</v>
      </c>
      <c r="R511" s="137"/>
      <c r="S511" s="23">
        <f t="shared" si="61"/>
        <v>0</v>
      </c>
      <c r="T511" s="123">
        <f t="shared" si="62"/>
        <v>0</v>
      </c>
      <c r="U511" s="138"/>
      <c r="V511" s="137"/>
      <c r="W511" s="137"/>
      <c r="X511" s="137"/>
      <c r="Y511" s="137"/>
      <c r="Z511" s="137"/>
      <c r="AA511" s="137"/>
      <c r="AB511" s="139"/>
    </row>
    <row r="512" spans="1:28">
      <c r="A512" s="97">
        <f t="shared" si="56"/>
        <v>514</v>
      </c>
      <c r="B512" s="115">
        <v>46112</v>
      </c>
      <c r="C512" s="116">
        <v>46257</v>
      </c>
      <c r="D512" s="135"/>
      <c r="E512" s="136"/>
      <c r="F512" s="124"/>
      <c r="G512" s="137"/>
      <c r="H512" s="137"/>
      <c r="I512" s="137"/>
      <c r="J512" s="137"/>
      <c r="K512" s="137"/>
      <c r="L512" s="137"/>
      <c r="M512" s="125">
        <f t="shared" si="58"/>
        <v>0</v>
      </c>
      <c r="N512" s="126">
        <f t="shared" si="59"/>
        <v>0</v>
      </c>
      <c r="O512" s="137"/>
      <c r="P512" s="23">
        <f t="shared" si="57"/>
        <v>0</v>
      </c>
      <c r="Q512" s="23">
        <f t="shared" si="60"/>
        <v>0</v>
      </c>
      <c r="R512" s="137"/>
      <c r="S512" s="23">
        <f t="shared" si="61"/>
        <v>0</v>
      </c>
      <c r="T512" s="123">
        <f t="shared" si="62"/>
        <v>0</v>
      </c>
      <c r="U512" s="138"/>
      <c r="V512" s="137"/>
      <c r="W512" s="137"/>
      <c r="X512" s="137"/>
      <c r="Y512" s="137"/>
      <c r="Z512" s="137"/>
      <c r="AA512" s="137"/>
      <c r="AB512" s="139"/>
    </row>
    <row r="513" spans="1:28">
      <c r="A513" s="97">
        <f t="shared" si="56"/>
        <v>515</v>
      </c>
      <c r="B513" s="115">
        <v>46112</v>
      </c>
      <c r="C513" s="116">
        <v>46258</v>
      </c>
      <c r="D513" s="135"/>
      <c r="E513" s="136"/>
      <c r="F513" s="124"/>
      <c r="G513" s="137"/>
      <c r="H513" s="137"/>
      <c r="I513" s="137"/>
      <c r="J513" s="137"/>
      <c r="K513" s="137"/>
      <c r="L513" s="137"/>
      <c r="M513" s="125">
        <f t="shared" si="58"/>
        <v>0</v>
      </c>
      <c r="N513" s="126">
        <f t="shared" si="59"/>
        <v>0</v>
      </c>
      <c r="O513" s="137"/>
      <c r="P513" s="23">
        <f t="shared" si="57"/>
        <v>0</v>
      </c>
      <c r="Q513" s="23">
        <f t="shared" si="60"/>
        <v>0</v>
      </c>
      <c r="R513" s="137"/>
      <c r="S513" s="23">
        <f t="shared" si="61"/>
        <v>0</v>
      </c>
      <c r="T513" s="123">
        <f t="shared" si="62"/>
        <v>0</v>
      </c>
      <c r="U513" s="138"/>
      <c r="V513" s="137"/>
      <c r="W513" s="137"/>
      <c r="X513" s="137"/>
      <c r="Y513" s="137"/>
      <c r="Z513" s="137"/>
      <c r="AA513" s="137"/>
      <c r="AB513" s="139"/>
    </row>
    <row r="514" spans="1:28">
      <c r="A514" s="97">
        <f t="shared" si="56"/>
        <v>516</v>
      </c>
      <c r="B514" s="115">
        <v>46112</v>
      </c>
      <c r="C514" s="116">
        <v>46259</v>
      </c>
      <c r="D514" s="135"/>
      <c r="E514" s="136"/>
      <c r="F514" s="124"/>
      <c r="G514" s="137"/>
      <c r="H514" s="137"/>
      <c r="I514" s="137"/>
      <c r="J514" s="137"/>
      <c r="K514" s="137"/>
      <c r="L514" s="137"/>
      <c r="M514" s="125">
        <f t="shared" si="58"/>
        <v>0</v>
      </c>
      <c r="N514" s="126">
        <f t="shared" si="59"/>
        <v>0</v>
      </c>
      <c r="O514" s="137"/>
      <c r="P514" s="23">
        <f t="shared" si="57"/>
        <v>0</v>
      </c>
      <c r="Q514" s="23">
        <f t="shared" si="60"/>
        <v>0</v>
      </c>
      <c r="R514" s="137"/>
      <c r="S514" s="23">
        <f t="shared" si="61"/>
        <v>0</v>
      </c>
      <c r="T514" s="123">
        <f t="shared" si="62"/>
        <v>0</v>
      </c>
      <c r="U514" s="138"/>
      <c r="V514" s="137"/>
      <c r="W514" s="137"/>
      <c r="X514" s="137"/>
      <c r="Y514" s="137"/>
      <c r="Z514" s="137"/>
      <c r="AA514" s="137"/>
      <c r="AB514" s="139"/>
    </row>
    <row r="515" spans="1:28">
      <c r="A515" s="97">
        <f t="shared" ref="A515:A578" si="63">A514+1</f>
        <v>517</v>
      </c>
      <c r="B515" s="115">
        <v>46112</v>
      </c>
      <c r="C515" s="116">
        <v>46260</v>
      </c>
      <c r="D515" s="135"/>
      <c r="E515" s="136"/>
      <c r="F515" s="124"/>
      <c r="G515" s="137"/>
      <c r="H515" s="137"/>
      <c r="I515" s="137"/>
      <c r="J515" s="137"/>
      <c r="K515" s="137"/>
      <c r="L515" s="137"/>
      <c r="M515" s="125">
        <f t="shared" si="58"/>
        <v>0</v>
      </c>
      <c r="N515" s="126">
        <f t="shared" si="59"/>
        <v>0</v>
      </c>
      <c r="O515" s="137"/>
      <c r="P515" s="23">
        <f t="shared" ref="P515:P578" si="64">MAX((O515-N515)*3000,0)</f>
        <v>0</v>
      </c>
      <c r="Q515" s="23">
        <f t="shared" si="60"/>
        <v>0</v>
      </c>
      <c r="R515" s="137"/>
      <c r="S515" s="23">
        <f t="shared" si="61"/>
        <v>0</v>
      </c>
      <c r="T515" s="123">
        <f t="shared" si="62"/>
        <v>0</v>
      </c>
      <c r="U515" s="138"/>
      <c r="V515" s="137"/>
      <c r="W515" s="137"/>
      <c r="X515" s="137"/>
      <c r="Y515" s="137"/>
      <c r="Z515" s="137"/>
      <c r="AA515" s="137"/>
      <c r="AB515" s="139"/>
    </row>
    <row r="516" spans="1:28">
      <c r="A516" s="97">
        <f t="shared" si="63"/>
        <v>518</v>
      </c>
      <c r="B516" s="115">
        <v>46112</v>
      </c>
      <c r="C516" s="116">
        <v>46261</v>
      </c>
      <c r="D516" s="135"/>
      <c r="E516" s="136"/>
      <c r="F516" s="124"/>
      <c r="G516" s="137"/>
      <c r="H516" s="137"/>
      <c r="I516" s="137"/>
      <c r="J516" s="137"/>
      <c r="K516" s="137"/>
      <c r="L516" s="137"/>
      <c r="M516" s="125">
        <f t="shared" ref="M516:M579" si="65">SUM(F516:L516)</f>
        <v>0</v>
      </c>
      <c r="N516" s="126">
        <f t="shared" si="59"/>
        <v>0</v>
      </c>
      <c r="O516" s="137"/>
      <c r="P516" s="23">
        <f t="shared" si="64"/>
        <v>0</v>
      </c>
      <c r="Q516" s="23">
        <f t="shared" si="60"/>
        <v>0</v>
      </c>
      <c r="R516" s="137"/>
      <c r="S516" s="23">
        <f t="shared" si="61"/>
        <v>0</v>
      </c>
      <c r="T516" s="123">
        <f t="shared" si="62"/>
        <v>0</v>
      </c>
      <c r="U516" s="138"/>
      <c r="V516" s="137"/>
      <c r="W516" s="137"/>
      <c r="X516" s="137"/>
      <c r="Y516" s="137"/>
      <c r="Z516" s="137"/>
      <c r="AA516" s="137"/>
      <c r="AB516" s="139"/>
    </row>
    <row r="517" spans="1:28">
      <c r="A517" s="97">
        <f t="shared" si="63"/>
        <v>519</v>
      </c>
      <c r="B517" s="115">
        <v>46112</v>
      </c>
      <c r="C517" s="116">
        <v>46262</v>
      </c>
      <c r="D517" s="135"/>
      <c r="E517" s="136"/>
      <c r="F517" s="124"/>
      <c r="G517" s="137"/>
      <c r="H517" s="137"/>
      <c r="I517" s="137"/>
      <c r="J517" s="137"/>
      <c r="K517" s="137"/>
      <c r="L517" s="137"/>
      <c r="M517" s="125">
        <f t="shared" si="65"/>
        <v>0</v>
      </c>
      <c r="N517" s="126">
        <f t="shared" si="59"/>
        <v>0</v>
      </c>
      <c r="O517" s="137"/>
      <c r="P517" s="23">
        <f t="shared" si="64"/>
        <v>0</v>
      </c>
      <c r="Q517" s="23">
        <f t="shared" si="60"/>
        <v>0</v>
      </c>
      <c r="R517" s="137"/>
      <c r="S517" s="23">
        <f t="shared" si="61"/>
        <v>0</v>
      </c>
      <c r="T517" s="123">
        <f t="shared" si="62"/>
        <v>0</v>
      </c>
      <c r="U517" s="138"/>
      <c r="V517" s="137"/>
      <c r="W517" s="137"/>
      <c r="X517" s="137"/>
      <c r="Y517" s="137"/>
      <c r="Z517" s="137"/>
      <c r="AA517" s="137"/>
      <c r="AB517" s="139"/>
    </row>
    <row r="518" spans="1:28">
      <c r="A518" s="97">
        <f t="shared" si="63"/>
        <v>520</v>
      </c>
      <c r="B518" s="115">
        <v>46112</v>
      </c>
      <c r="C518" s="116">
        <v>46263</v>
      </c>
      <c r="D518" s="135"/>
      <c r="E518" s="136"/>
      <c r="F518" s="124"/>
      <c r="G518" s="137"/>
      <c r="H518" s="137"/>
      <c r="I518" s="137"/>
      <c r="J518" s="137"/>
      <c r="K518" s="137"/>
      <c r="L518" s="137"/>
      <c r="M518" s="125">
        <f t="shared" si="65"/>
        <v>0</v>
      </c>
      <c r="N518" s="126">
        <f t="shared" si="59"/>
        <v>0</v>
      </c>
      <c r="O518" s="137"/>
      <c r="P518" s="23">
        <f t="shared" si="64"/>
        <v>0</v>
      </c>
      <c r="Q518" s="23">
        <f t="shared" si="60"/>
        <v>0</v>
      </c>
      <c r="R518" s="137"/>
      <c r="S518" s="23">
        <f t="shared" si="61"/>
        <v>0</v>
      </c>
      <c r="T518" s="123">
        <f t="shared" si="62"/>
        <v>0</v>
      </c>
      <c r="U518" s="138"/>
      <c r="V518" s="137"/>
      <c r="W518" s="137"/>
      <c r="X518" s="137"/>
      <c r="Y518" s="137"/>
      <c r="Z518" s="137"/>
      <c r="AA518" s="137"/>
      <c r="AB518" s="139"/>
    </row>
    <row r="519" spans="1:28">
      <c r="A519" s="97">
        <f t="shared" si="63"/>
        <v>521</v>
      </c>
      <c r="B519" s="115">
        <v>46112</v>
      </c>
      <c r="C519" s="116">
        <v>46264</v>
      </c>
      <c r="D519" s="135"/>
      <c r="E519" s="136"/>
      <c r="F519" s="124"/>
      <c r="G519" s="137"/>
      <c r="H519" s="137"/>
      <c r="I519" s="137"/>
      <c r="J519" s="137"/>
      <c r="K519" s="137"/>
      <c r="L519" s="137"/>
      <c r="M519" s="125">
        <f t="shared" si="65"/>
        <v>0</v>
      </c>
      <c r="N519" s="126">
        <f t="shared" si="59"/>
        <v>0</v>
      </c>
      <c r="O519" s="137"/>
      <c r="P519" s="23">
        <f t="shared" si="64"/>
        <v>0</v>
      </c>
      <c r="Q519" s="23">
        <f t="shared" si="60"/>
        <v>0</v>
      </c>
      <c r="R519" s="137"/>
      <c r="S519" s="23">
        <f t="shared" si="61"/>
        <v>0</v>
      </c>
      <c r="T519" s="123">
        <f t="shared" si="62"/>
        <v>0</v>
      </c>
      <c r="U519" s="138"/>
      <c r="V519" s="137"/>
      <c r="W519" s="137"/>
      <c r="X519" s="137"/>
      <c r="Y519" s="137"/>
      <c r="Z519" s="137"/>
      <c r="AA519" s="137"/>
      <c r="AB519" s="139"/>
    </row>
    <row r="520" spans="1:28">
      <c r="A520" s="97">
        <f t="shared" si="63"/>
        <v>522</v>
      </c>
      <c r="B520" s="115">
        <v>46112</v>
      </c>
      <c r="C520" s="116">
        <v>46265</v>
      </c>
      <c r="D520" s="135"/>
      <c r="E520" s="136"/>
      <c r="F520" s="124"/>
      <c r="G520" s="137"/>
      <c r="H520" s="137"/>
      <c r="I520" s="137"/>
      <c r="J520" s="137"/>
      <c r="K520" s="137"/>
      <c r="L520" s="137"/>
      <c r="M520" s="125">
        <f t="shared" si="65"/>
        <v>0</v>
      </c>
      <c r="N520" s="126">
        <f t="shared" si="59"/>
        <v>0</v>
      </c>
      <c r="O520" s="137"/>
      <c r="P520" s="23">
        <f t="shared" si="64"/>
        <v>0</v>
      </c>
      <c r="Q520" s="23">
        <f t="shared" si="60"/>
        <v>0</v>
      </c>
      <c r="R520" s="137"/>
      <c r="S520" s="23">
        <f t="shared" si="61"/>
        <v>0</v>
      </c>
      <c r="T520" s="123">
        <f t="shared" si="62"/>
        <v>0</v>
      </c>
      <c r="U520" s="138"/>
      <c r="V520" s="137"/>
      <c r="W520" s="137"/>
      <c r="X520" s="137"/>
      <c r="Y520" s="137"/>
      <c r="Z520" s="137"/>
      <c r="AA520" s="137"/>
      <c r="AB520" s="139"/>
    </row>
    <row r="521" spans="1:28">
      <c r="A521" s="97">
        <f t="shared" si="63"/>
        <v>523</v>
      </c>
      <c r="B521" s="115">
        <v>46112</v>
      </c>
      <c r="C521" s="116">
        <v>46266</v>
      </c>
      <c r="D521" s="135"/>
      <c r="E521" s="136"/>
      <c r="F521" s="124"/>
      <c r="G521" s="137"/>
      <c r="H521" s="137"/>
      <c r="I521" s="137"/>
      <c r="J521" s="137"/>
      <c r="K521" s="137"/>
      <c r="L521" s="137"/>
      <c r="M521" s="125">
        <f t="shared" si="65"/>
        <v>0</v>
      </c>
      <c r="N521" s="126">
        <f t="shared" si="59"/>
        <v>0</v>
      </c>
      <c r="O521" s="137"/>
      <c r="P521" s="23">
        <f t="shared" si="64"/>
        <v>0</v>
      </c>
      <c r="Q521" s="23">
        <f t="shared" si="60"/>
        <v>0</v>
      </c>
      <c r="R521" s="137"/>
      <c r="S521" s="23">
        <f t="shared" si="61"/>
        <v>0</v>
      </c>
      <c r="T521" s="123">
        <f t="shared" si="62"/>
        <v>0</v>
      </c>
      <c r="U521" s="138"/>
      <c r="V521" s="137"/>
      <c r="W521" s="137"/>
      <c r="X521" s="137"/>
      <c r="Y521" s="137"/>
      <c r="Z521" s="137"/>
      <c r="AA521" s="137"/>
      <c r="AB521" s="139"/>
    </row>
    <row r="522" spans="1:28">
      <c r="A522" s="97">
        <f t="shared" si="63"/>
        <v>524</v>
      </c>
      <c r="B522" s="115">
        <v>46112</v>
      </c>
      <c r="C522" s="116">
        <v>46267</v>
      </c>
      <c r="D522" s="135"/>
      <c r="E522" s="136"/>
      <c r="F522" s="124"/>
      <c r="G522" s="137"/>
      <c r="H522" s="137"/>
      <c r="I522" s="137"/>
      <c r="J522" s="137"/>
      <c r="K522" s="137"/>
      <c r="L522" s="137"/>
      <c r="M522" s="125">
        <f t="shared" si="65"/>
        <v>0</v>
      </c>
      <c r="N522" s="126">
        <f t="shared" si="59"/>
        <v>0</v>
      </c>
      <c r="O522" s="137"/>
      <c r="P522" s="23">
        <f t="shared" si="64"/>
        <v>0</v>
      </c>
      <c r="Q522" s="23">
        <f t="shared" si="60"/>
        <v>0</v>
      </c>
      <c r="R522" s="137"/>
      <c r="S522" s="23">
        <f t="shared" si="61"/>
        <v>0</v>
      </c>
      <c r="T522" s="123">
        <f t="shared" si="62"/>
        <v>0</v>
      </c>
      <c r="U522" s="138"/>
      <c r="V522" s="137"/>
      <c r="W522" s="137"/>
      <c r="X522" s="137"/>
      <c r="Y522" s="137"/>
      <c r="Z522" s="137"/>
      <c r="AA522" s="137"/>
      <c r="AB522" s="139"/>
    </row>
    <row r="523" spans="1:28">
      <c r="A523" s="97">
        <f t="shared" si="63"/>
        <v>525</v>
      </c>
      <c r="B523" s="115">
        <v>46112</v>
      </c>
      <c r="C523" s="116">
        <v>46268</v>
      </c>
      <c r="D523" s="135"/>
      <c r="E523" s="136"/>
      <c r="F523" s="124"/>
      <c r="G523" s="137"/>
      <c r="H523" s="137"/>
      <c r="I523" s="137"/>
      <c r="J523" s="137"/>
      <c r="K523" s="137"/>
      <c r="L523" s="137"/>
      <c r="M523" s="125">
        <f t="shared" si="65"/>
        <v>0</v>
      </c>
      <c r="N523" s="126">
        <f t="shared" si="59"/>
        <v>0</v>
      </c>
      <c r="O523" s="137"/>
      <c r="P523" s="23">
        <f t="shared" si="64"/>
        <v>0</v>
      </c>
      <c r="Q523" s="23">
        <f t="shared" si="60"/>
        <v>0</v>
      </c>
      <c r="R523" s="137"/>
      <c r="S523" s="23">
        <f t="shared" si="61"/>
        <v>0</v>
      </c>
      <c r="T523" s="123">
        <f t="shared" si="62"/>
        <v>0</v>
      </c>
      <c r="U523" s="138"/>
      <c r="V523" s="137"/>
      <c r="W523" s="137"/>
      <c r="X523" s="137"/>
      <c r="Y523" s="137"/>
      <c r="Z523" s="137"/>
      <c r="AA523" s="137"/>
      <c r="AB523" s="139"/>
    </row>
    <row r="524" spans="1:28">
      <c r="A524" s="97">
        <f t="shared" si="63"/>
        <v>526</v>
      </c>
      <c r="B524" s="115">
        <v>46112</v>
      </c>
      <c r="C524" s="116">
        <v>46269</v>
      </c>
      <c r="D524" s="135"/>
      <c r="E524" s="136"/>
      <c r="F524" s="124"/>
      <c r="G524" s="137"/>
      <c r="H524" s="137"/>
      <c r="I524" s="137"/>
      <c r="J524" s="137"/>
      <c r="K524" s="137"/>
      <c r="L524" s="137"/>
      <c r="M524" s="125">
        <f t="shared" si="65"/>
        <v>0</v>
      </c>
      <c r="N524" s="126">
        <f t="shared" si="59"/>
        <v>0</v>
      </c>
      <c r="O524" s="137"/>
      <c r="P524" s="23">
        <f t="shared" si="64"/>
        <v>0</v>
      </c>
      <c r="Q524" s="23">
        <f t="shared" si="60"/>
        <v>0</v>
      </c>
      <c r="R524" s="137"/>
      <c r="S524" s="23">
        <f t="shared" si="61"/>
        <v>0</v>
      </c>
      <c r="T524" s="123">
        <f t="shared" si="62"/>
        <v>0</v>
      </c>
      <c r="U524" s="138"/>
      <c r="V524" s="137"/>
      <c r="W524" s="137"/>
      <c r="X524" s="137"/>
      <c r="Y524" s="137"/>
      <c r="Z524" s="137"/>
      <c r="AA524" s="137"/>
      <c r="AB524" s="139"/>
    </row>
    <row r="525" spans="1:28">
      <c r="A525" s="97">
        <f t="shared" si="63"/>
        <v>527</v>
      </c>
      <c r="B525" s="115">
        <v>46112</v>
      </c>
      <c r="C525" s="116">
        <v>46270</v>
      </c>
      <c r="D525" s="135"/>
      <c r="E525" s="136"/>
      <c r="F525" s="124"/>
      <c r="G525" s="137"/>
      <c r="H525" s="137"/>
      <c r="I525" s="137"/>
      <c r="J525" s="137"/>
      <c r="K525" s="137"/>
      <c r="L525" s="137"/>
      <c r="M525" s="125">
        <f t="shared" si="65"/>
        <v>0</v>
      </c>
      <c r="N525" s="126">
        <f t="shared" ref="N525:N588" si="66">O524</f>
        <v>0</v>
      </c>
      <c r="O525" s="137"/>
      <c r="P525" s="23">
        <f t="shared" si="64"/>
        <v>0</v>
      </c>
      <c r="Q525" s="23">
        <f t="shared" ref="Q525:Q588" si="67">R524</f>
        <v>0</v>
      </c>
      <c r="R525" s="137"/>
      <c r="S525" s="23">
        <f t="shared" si="61"/>
        <v>0</v>
      </c>
      <c r="T525" s="123">
        <f t="shared" si="62"/>
        <v>0</v>
      </c>
      <c r="U525" s="138"/>
      <c r="V525" s="137"/>
      <c r="W525" s="137"/>
      <c r="X525" s="137"/>
      <c r="Y525" s="137"/>
      <c r="Z525" s="137"/>
      <c r="AA525" s="137"/>
      <c r="AB525" s="139"/>
    </row>
    <row r="526" spans="1:28">
      <c r="A526" s="97">
        <f t="shared" si="63"/>
        <v>528</v>
      </c>
      <c r="B526" s="115">
        <v>46112</v>
      </c>
      <c r="C526" s="116">
        <v>46271</v>
      </c>
      <c r="D526" s="135"/>
      <c r="E526" s="136"/>
      <c r="F526" s="124"/>
      <c r="G526" s="137"/>
      <c r="H526" s="137"/>
      <c r="I526" s="137"/>
      <c r="J526" s="137"/>
      <c r="K526" s="137"/>
      <c r="L526" s="137"/>
      <c r="M526" s="125">
        <f t="shared" si="65"/>
        <v>0</v>
      </c>
      <c r="N526" s="126">
        <f t="shared" si="66"/>
        <v>0</v>
      </c>
      <c r="O526" s="137"/>
      <c r="P526" s="23">
        <f t="shared" si="64"/>
        <v>0</v>
      </c>
      <c r="Q526" s="23">
        <f t="shared" si="67"/>
        <v>0</v>
      </c>
      <c r="R526" s="137"/>
      <c r="S526" s="23">
        <f t="shared" si="61"/>
        <v>0</v>
      </c>
      <c r="T526" s="123">
        <f t="shared" si="62"/>
        <v>0</v>
      </c>
      <c r="U526" s="138"/>
      <c r="V526" s="137"/>
      <c r="W526" s="137"/>
      <c r="X526" s="137"/>
      <c r="Y526" s="137"/>
      <c r="Z526" s="137"/>
      <c r="AA526" s="137"/>
      <c r="AB526" s="139"/>
    </row>
    <row r="527" spans="1:28">
      <c r="A527" s="97">
        <f t="shared" si="63"/>
        <v>529</v>
      </c>
      <c r="B527" s="115">
        <v>46112</v>
      </c>
      <c r="C527" s="116">
        <v>46272</v>
      </c>
      <c r="D527" s="135"/>
      <c r="E527" s="136"/>
      <c r="F527" s="124"/>
      <c r="G527" s="137"/>
      <c r="H527" s="137"/>
      <c r="I527" s="137"/>
      <c r="J527" s="137"/>
      <c r="K527" s="137"/>
      <c r="L527" s="137"/>
      <c r="M527" s="125">
        <f t="shared" si="65"/>
        <v>0</v>
      </c>
      <c r="N527" s="126">
        <f t="shared" si="66"/>
        <v>0</v>
      </c>
      <c r="O527" s="137"/>
      <c r="P527" s="23">
        <f t="shared" si="64"/>
        <v>0</v>
      </c>
      <c r="Q527" s="23">
        <f t="shared" si="67"/>
        <v>0</v>
      </c>
      <c r="R527" s="137"/>
      <c r="S527" s="23">
        <f t="shared" si="61"/>
        <v>0</v>
      </c>
      <c r="T527" s="123">
        <f t="shared" si="62"/>
        <v>0</v>
      </c>
      <c r="U527" s="138"/>
      <c r="V527" s="137"/>
      <c r="W527" s="137"/>
      <c r="X527" s="137"/>
      <c r="Y527" s="137"/>
      <c r="Z527" s="137"/>
      <c r="AA527" s="137"/>
      <c r="AB527" s="139"/>
    </row>
    <row r="528" spans="1:28">
      <c r="A528" s="97">
        <f t="shared" si="63"/>
        <v>530</v>
      </c>
      <c r="B528" s="115">
        <v>46112</v>
      </c>
      <c r="C528" s="116">
        <v>46273</v>
      </c>
      <c r="D528" s="135"/>
      <c r="E528" s="136"/>
      <c r="F528" s="124"/>
      <c r="G528" s="137"/>
      <c r="H528" s="137"/>
      <c r="I528" s="137"/>
      <c r="J528" s="137"/>
      <c r="K528" s="137"/>
      <c r="L528" s="137"/>
      <c r="M528" s="125">
        <f t="shared" si="65"/>
        <v>0</v>
      </c>
      <c r="N528" s="126">
        <f t="shared" si="66"/>
        <v>0</v>
      </c>
      <c r="O528" s="137"/>
      <c r="P528" s="23">
        <f t="shared" si="64"/>
        <v>0</v>
      </c>
      <c r="Q528" s="23">
        <f t="shared" si="67"/>
        <v>0</v>
      </c>
      <c r="R528" s="137"/>
      <c r="S528" s="23">
        <f t="shared" si="61"/>
        <v>0</v>
      </c>
      <c r="T528" s="123">
        <f t="shared" si="62"/>
        <v>0</v>
      </c>
      <c r="U528" s="138"/>
      <c r="V528" s="137"/>
      <c r="W528" s="137"/>
      <c r="X528" s="137"/>
      <c r="Y528" s="137"/>
      <c r="Z528" s="137"/>
      <c r="AA528" s="137"/>
      <c r="AB528" s="139"/>
    </row>
    <row r="529" spans="1:28">
      <c r="A529" s="97">
        <f t="shared" si="63"/>
        <v>531</v>
      </c>
      <c r="B529" s="115">
        <v>46112</v>
      </c>
      <c r="C529" s="116">
        <v>46274</v>
      </c>
      <c r="D529" s="135"/>
      <c r="E529" s="136"/>
      <c r="F529" s="124"/>
      <c r="G529" s="137"/>
      <c r="H529" s="137"/>
      <c r="I529" s="137"/>
      <c r="J529" s="137"/>
      <c r="K529" s="137"/>
      <c r="L529" s="137"/>
      <c r="M529" s="125">
        <f t="shared" si="65"/>
        <v>0</v>
      </c>
      <c r="N529" s="126">
        <f t="shared" si="66"/>
        <v>0</v>
      </c>
      <c r="O529" s="137"/>
      <c r="P529" s="23">
        <f t="shared" si="64"/>
        <v>0</v>
      </c>
      <c r="Q529" s="23">
        <f t="shared" si="67"/>
        <v>0</v>
      </c>
      <c r="R529" s="137"/>
      <c r="S529" s="23">
        <f t="shared" si="61"/>
        <v>0</v>
      </c>
      <c r="T529" s="123">
        <f t="shared" si="62"/>
        <v>0</v>
      </c>
      <c r="U529" s="138"/>
      <c r="V529" s="137"/>
      <c r="W529" s="137"/>
      <c r="X529" s="137"/>
      <c r="Y529" s="137"/>
      <c r="Z529" s="137"/>
      <c r="AA529" s="137"/>
      <c r="AB529" s="139"/>
    </row>
    <row r="530" spans="1:28">
      <c r="A530" s="97">
        <f t="shared" si="63"/>
        <v>532</v>
      </c>
      <c r="B530" s="115">
        <v>46112</v>
      </c>
      <c r="C530" s="116">
        <v>46275</v>
      </c>
      <c r="D530" s="135"/>
      <c r="E530" s="136"/>
      <c r="F530" s="124"/>
      <c r="G530" s="137"/>
      <c r="H530" s="137"/>
      <c r="I530" s="137"/>
      <c r="J530" s="137"/>
      <c r="K530" s="137"/>
      <c r="L530" s="137"/>
      <c r="M530" s="125">
        <f t="shared" si="65"/>
        <v>0</v>
      </c>
      <c r="N530" s="126">
        <f t="shared" si="66"/>
        <v>0</v>
      </c>
      <c r="O530" s="137"/>
      <c r="P530" s="23">
        <f t="shared" si="64"/>
        <v>0</v>
      </c>
      <c r="Q530" s="23">
        <f t="shared" si="67"/>
        <v>0</v>
      </c>
      <c r="R530" s="137"/>
      <c r="S530" s="23">
        <f t="shared" si="61"/>
        <v>0</v>
      </c>
      <c r="T530" s="123">
        <f t="shared" si="62"/>
        <v>0</v>
      </c>
      <c r="U530" s="138"/>
      <c r="V530" s="137"/>
      <c r="W530" s="137"/>
      <c r="X530" s="137"/>
      <c r="Y530" s="137"/>
      <c r="Z530" s="137"/>
      <c r="AA530" s="137"/>
      <c r="AB530" s="139"/>
    </row>
    <row r="531" spans="1:28">
      <c r="A531" s="97">
        <f t="shared" si="63"/>
        <v>533</v>
      </c>
      <c r="B531" s="115">
        <v>46112</v>
      </c>
      <c r="C531" s="116">
        <v>46276</v>
      </c>
      <c r="D531" s="135"/>
      <c r="E531" s="136"/>
      <c r="F531" s="124"/>
      <c r="G531" s="137"/>
      <c r="H531" s="137"/>
      <c r="I531" s="137"/>
      <c r="J531" s="137"/>
      <c r="K531" s="137"/>
      <c r="L531" s="137"/>
      <c r="M531" s="125">
        <f t="shared" si="65"/>
        <v>0</v>
      </c>
      <c r="N531" s="126">
        <f t="shared" si="66"/>
        <v>0</v>
      </c>
      <c r="O531" s="137"/>
      <c r="P531" s="23">
        <f t="shared" si="64"/>
        <v>0</v>
      </c>
      <c r="Q531" s="23">
        <f t="shared" si="67"/>
        <v>0</v>
      </c>
      <c r="R531" s="137"/>
      <c r="S531" s="23">
        <f t="shared" si="61"/>
        <v>0</v>
      </c>
      <c r="T531" s="123">
        <f t="shared" si="62"/>
        <v>0</v>
      </c>
      <c r="U531" s="138"/>
      <c r="V531" s="137"/>
      <c r="W531" s="137"/>
      <c r="X531" s="137"/>
      <c r="Y531" s="137"/>
      <c r="Z531" s="137"/>
      <c r="AA531" s="137"/>
      <c r="AB531" s="139"/>
    </row>
    <row r="532" spans="1:28">
      <c r="A532" s="97">
        <f t="shared" si="63"/>
        <v>534</v>
      </c>
      <c r="B532" s="115">
        <v>46112</v>
      </c>
      <c r="C532" s="116">
        <v>46277</v>
      </c>
      <c r="D532" s="135"/>
      <c r="E532" s="136"/>
      <c r="F532" s="124"/>
      <c r="G532" s="137"/>
      <c r="H532" s="137"/>
      <c r="I532" s="137"/>
      <c r="J532" s="137"/>
      <c r="K532" s="137"/>
      <c r="L532" s="137"/>
      <c r="M532" s="125">
        <f t="shared" si="65"/>
        <v>0</v>
      </c>
      <c r="N532" s="126">
        <f t="shared" si="66"/>
        <v>0</v>
      </c>
      <c r="O532" s="137"/>
      <c r="P532" s="23">
        <f t="shared" si="64"/>
        <v>0</v>
      </c>
      <c r="Q532" s="23">
        <f t="shared" si="67"/>
        <v>0</v>
      </c>
      <c r="R532" s="137"/>
      <c r="S532" s="23">
        <f t="shared" si="61"/>
        <v>0</v>
      </c>
      <c r="T532" s="123">
        <f t="shared" si="62"/>
        <v>0</v>
      </c>
      <c r="U532" s="138"/>
      <c r="V532" s="137"/>
      <c r="W532" s="137"/>
      <c r="X532" s="137"/>
      <c r="Y532" s="137"/>
      <c r="Z532" s="137"/>
      <c r="AA532" s="137"/>
      <c r="AB532" s="139"/>
    </row>
    <row r="533" spans="1:28">
      <c r="A533" s="97">
        <f t="shared" si="63"/>
        <v>535</v>
      </c>
      <c r="B533" s="115">
        <v>46112</v>
      </c>
      <c r="C533" s="116">
        <v>46278</v>
      </c>
      <c r="D533" s="135"/>
      <c r="E533" s="136"/>
      <c r="F533" s="124"/>
      <c r="G533" s="137"/>
      <c r="H533" s="137"/>
      <c r="I533" s="137"/>
      <c r="J533" s="137"/>
      <c r="K533" s="137"/>
      <c r="L533" s="137"/>
      <c r="M533" s="125">
        <f t="shared" si="65"/>
        <v>0</v>
      </c>
      <c r="N533" s="126">
        <f t="shared" si="66"/>
        <v>0</v>
      </c>
      <c r="O533" s="137"/>
      <c r="P533" s="23">
        <f t="shared" si="64"/>
        <v>0</v>
      </c>
      <c r="Q533" s="23">
        <f t="shared" si="67"/>
        <v>0</v>
      </c>
      <c r="R533" s="137"/>
      <c r="S533" s="23">
        <f t="shared" si="61"/>
        <v>0</v>
      </c>
      <c r="T533" s="123">
        <f t="shared" si="62"/>
        <v>0</v>
      </c>
      <c r="U533" s="138"/>
      <c r="V533" s="137"/>
      <c r="W533" s="137"/>
      <c r="X533" s="137"/>
      <c r="Y533" s="137"/>
      <c r="Z533" s="137"/>
      <c r="AA533" s="137"/>
      <c r="AB533" s="139"/>
    </row>
    <row r="534" spans="1:28">
      <c r="A534" s="97">
        <f t="shared" si="63"/>
        <v>536</v>
      </c>
      <c r="B534" s="115">
        <v>46112</v>
      </c>
      <c r="C534" s="116">
        <v>46279</v>
      </c>
      <c r="D534" s="135"/>
      <c r="E534" s="136"/>
      <c r="F534" s="124"/>
      <c r="G534" s="137"/>
      <c r="H534" s="137"/>
      <c r="I534" s="137"/>
      <c r="J534" s="137"/>
      <c r="K534" s="137"/>
      <c r="L534" s="137"/>
      <c r="M534" s="125">
        <f t="shared" si="65"/>
        <v>0</v>
      </c>
      <c r="N534" s="126">
        <f t="shared" si="66"/>
        <v>0</v>
      </c>
      <c r="O534" s="137"/>
      <c r="P534" s="23">
        <f t="shared" si="64"/>
        <v>0</v>
      </c>
      <c r="Q534" s="23">
        <f t="shared" si="67"/>
        <v>0</v>
      </c>
      <c r="R534" s="137"/>
      <c r="S534" s="23">
        <f t="shared" si="61"/>
        <v>0</v>
      </c>
      <c r="T534" s="123">
        <f t="shared" si="62"/>
        <v>0</v>
      </c>
      <c r="U534" s="138"/>
      <c r="V534" s="137"/>
      <c r="W534" s="137"/>
      <c r="X534" s="137"/>
      <c r="Y534" s="137"/>
      <c r="Z534" s="137"/>
      <c r="AA534" s="137"/>
      <c r="AB534" s="139"/>
    </row>
    <row r="535" spans="1:28">
      <c r="A535" s="97">
        <f t="shared" si="63"/>
        <v>537</v>
      </c>
      <c r="B535" s="115">
        <v>46112</v>
      </c>
      <c r="C535" s="116">
        <v>46280</v>
      </c>
      <c r="D535" s="135"/>
      <c r="E535" s="136"/>
      <c r="F535" s="124"/>
      <c r="G535" s="137"/>
      <c r="H535" s="137"/>
      <c r="I535" s="137"/>
      <c r="J535" s="137"/>
      <c r="K535" s="137"/>
      <c r="L535" s="137"/>
      <c r="M535" s="125">
        <f t="shared" si="65"/>
        <v>0</v>
      </c>
      <c r="N535" s="126">
        <f t="shared" si="66"/>
        <v>0</v>
      </c>
      <c r="O535" s="137"/>
      <c r="P535" s="23">
        <f t="shared" si="64"/>
        <v>0</v>
      </c>
      <c r="Q535" s="23">
        <f t="shared" si="67"/>
        <v>0</v>
      </c>
      <c r="R535" s="137"/>
      <c r="S535" s="23">
        <f t="shared" si="61"/>
        <v>0</v>
      </c>
      <c r="T535" s="123">
        <f t="shared" si="62"/>
        <v>0</v>
      </c>
      <c r="U535" s="138"/>
      <c r="V535" s="137"/>
      <c r="W535" s="137"/>
      <c r="X535" s="137"/>
      <c r="Y535" s="137"/>
      <c r="Z535" s="137"/>
      <c r="AA535" s="137"/>
      <c r="AB535" s="139"/>
    </row>
    <row r="536" spans="1:28">
      <c r="A536" s="97">
        <f t="shared" si="63"/>
        <v>538</v>
      </c>
      <c r="B536" s="115">
        <v>46112</v>
      </c>
      <c r="C536" s="116">
        <v>46281</v>
      </c>
      <c r="D536" s="135"/>
      <c r="E536" s="136"/>
      <c r="F536" s="124"/>
      <c r="G536" s="137"/>
      <c r="H536" s="137"/>
      <c r="I536" s="137"/>
      <c r="J536" s="137"/>
      <c r="K536" s="137"/>
      <c r="L536" s="137"/>
      <c r="M536" s="125">
        <f t="shared" si="65"/>
        <v>0</v>
      </c>
      <c r="N536" s="126">
        <f t="shared" si="66"/>
        <v>0</v>
      </c>
      <c r="O536" s="137"/>
      <c r="P536" s="23">
        <f t="shared" si="64"/>
        <v>0</v>
      </c>
      <c r="Q536" s="23">
        <f t="shared" si="67"/>
        <v>0</v>
      </c>
      <c r="R536" s="137"/>
      <c r="S536" s="23">
        <f t="shared" si="61"/>
        <v>0</v>
      </c>
      <c r="T536" s="123">
        <f t="shared" si="62"/>
        <v>0</v>
      </c>
      <c r="U536" s="138"/>
      <c r="V536" s="137"/>
      <c r="W536" s="137"/>
      <c r="X536" s="137"/>
      <c r="Y536" s="137"/>
      <c r="Z536" s="137"/>
      <c r="AA536" s="137"/>
      <c r="AB536" s="139"/>
    </row>
    <row r="537" spans="1:28">
      <c r="A537" s="97">
        <f t="shared" si="63"/>
        <v>539</v>
      </c>
      <c r="B537" s="115">
        <v>46112</v>
      </c>
      <c r="C537" s="116">
        <v>46282</v>
      </c>
      <c r="D537" s="135"/>
      <c r="E537" s="136"/>
      <c r="F537" s="124"/>
      <c r="G537" s="137"/>
      <c r="H537" s="137"/>
      <c r="I537" s="137"/>
      <c r="J537" s="137"/>
      <c r="K537" s="137"/>
      <c r="L537" s="137"/>
      <c r="M537" s="125">
        <f t="shared" si="65"/>
        <v>0</v>
      </c>
      <c r="N537" s="126">
        <f t="shared" si="66"/>
        <v>0</v>
      </c>
      <c r="O537" s="137"/>
      <c r="P537" s="23">
        <f t="shared" si="64"/>
        <v>0</v>
      </c>
      <c r="Q537" s="23">
        <f t="shared" si="67"/>
        <v>0</v>
      </c>
      <c r="R537" s="137"/>
      <c r="S537" s="23">
        <f t="shared" si="61"/>
        <v>0</v>
      </c>
      <c r="T537" s="123">
        <f t="shared" si="62"/>
        <v>0</v>
      </c>
      <c r="U537" s="138"/>
      <c r="V537" s="137"/>
      <c r="W537" s="137"/>
      <c r="X537" s="137"/>
      <c r="Y537" s="137"/>
      <c r="Z537" s="137"/>
      <c r="AA537" s="137"/>
      <c r="AB537" s="139"/>
    </row>
    <row r="538" spans="1:28">
      <c r="A538" s="97">
        <f t="shared" si="63"/>
        <v>540</v>
      </c>
      <c r="B538" s="115">
        <v>46112</v>
      </c>
      <c r="C538" s="116">
        <v>46283</v>
      </c>
      <c r="D538" s="135"/>
      <c r="E538" s="136"/>
      <c r="F538" s="124"/>
      <c r="G538" s="137"/>
      <c r="H538" s="137"/>
      <c r="I538" s="137"/>
      <c r="J538" s="137"/>
      <c r="K538" s="137"/>
      <c r="L538" s="137"/>
      <c r="M538" s="125">
        <f t="shared" si="65"/>
        <v>0</v>
      </c>
      <c r="N538" s="126">
        <f t="shared" si="66"/>
        <v>0</v>
      </c>
      <c r="O538" s="137"/>
      <c r="P538" s="23">
        <f t="shared" si="64"/>
        <v>0</v>
      </c>
      <c r="Q538" s="23">
        <f t="shared" si="67"/>
        <v>0</v>
      </c>
      <c r="R538" s="137"/>
      <c r="S538" s="23">
        <f t="shared" si="61"/>
        <v>0</v>
      </c>
      <c r="T538" s="123">
        <f t="shared" si="62"/>
        <v>0</v>
      </c>
      <c r="U538" s="138"/>
      <c r="V538" s="137"/>
      <c r="W538" s="137"/>
      <c r="X538" s="137"/>
      <c r="Y538" s="137"/>
      <c r="Z538" s="137"/>
      <c r="AA538" s="137"/>
      <c r="AB538" s="139"/>
    </row>
    <row r="539" spans="1:28">
      <c r="A539" s="97">
        <f t="shared" si="63"/>
        <v>541</v>
      </c>
      <c r="B539" s="115">
        <v>46112</v>
      </c>
      <c r="C539" s="116">
        <v>46284</v>
      </c>
      <c r="D539" s="135"/>
      <c r="E539" s="136"/>
      <c r="F539" s="124"/>
      <c r="G539" s="137"/>
      <c r="H539" s="137"/>
      <c r="I539" s="137"/>
      <c r="J539" s="137"/>
      <c r="K539" s="137"/>
      <c r="L539" s="137"/>
      <c r="M539" s="125">
        <f t="shared" si="65"/>
        <v>0</v>
      </c>
      <c r="N539" s="126">
        <f t="shared" si="66"/>
        <v>0</v>
      </c>
      <c r="O539" s="137"/>
      <c r="P539" s="23">
        <f t="shared" si="64"/>
        <v>0</v>
      </c>
      <c r="Q539" s="23">
        <f t="shared" si="67"/>
        <v>0</v>
      </c>
      <c r="R539" s="137"/>
      <c r="S539" s="23">
        <f t="shared" si="61"/>
        <v>0</v>
      </c>
      <c r="T539" s="123">
        <f t="shared" si="62"/>
        <v>0</v>
      </c>
      <c r="U539" s="138"/>
      <c r="V539" s="137"/>
      <c r="W539" s="137"/>
      <c r="X539" s="137"/>
      <c r="Y539" s="137"/>
      <c r="Z539" s="137"/>
      <c r="AA539" s="137"/>
      <c r="AB539" s="139"/>
    </row>
    <row r="540" spans="1:28">
      <c r="A540" s="97">
        <f t="shared" si="63"/>
        <v>542</v>
      </c>
      <c r="B540" s="115">
        <v>46112</v>
      </c>
      <c r="C540" s="116">
        <v>46285</v>
      </c>
      <c r="D540" s="135"/>
      <c r="E540" s="136"/>
      <c r="F540" s="124"/>
      <c r="G540" s="137"/>
      <c r="H540" s="137"/>
      <c r="I540" s="137"/>
      <c r="J540" s="137"/>
      <c r="K540" s="137"/>
      <c r="L540" s="137"/>
      <c r="M540" s="125">
        <f t="shared" si="65"/>
        <v>0</v>
      </c>
      <c r="N540" s="126">
        <f t="shared" si="66"/>
        <v>0</v>
      </c>
      <c r="O540" s="137"/>
      <c r="P540" s="23">
        <f t="shared" si="64"/>
        <v>0</v>
      </c>
      <c r="Q540" s="23">
        <f t="shared" si="67"/>
        <v>0</v>
      </c>
      <c r="R540" s="137"/>
      <c r="S540" s="23">
        <f t="shared" si="61"/>
        <v>0</v>
      </c>
      <c r="T540" s="123">
        <f t="shared" si="62"/>
        <v>0</v>
      </c>
      <c r="U540" s="138"/>
      <c r="V540" s="137"/>
      <c r="W540" s="137"/>
      <c r="X540" s="137"/>
      <c r="Y540" s="137"/>
      <c r="Z540" s="137"/>
      <c r="AA540" s="137"/>
      <c r="AB540" s="139"/>
    </row>
    <row r="541" spans="1:28">
      <c r="A541" s="97">
        <f t="shared" si="63"/>
        <v>543</v>
      </c>
      <c r="B541" s="115">
        <v>46112</v>
      </c>
      <c r="C541" s="116">
        <v>46286</v>
      </c>
      <c r="D541" s="135"/>
      <c r="E541" s="136"/>
      <c r="F541" s="124"/>
      <c r="G541" s="137"/>
      <c r="H541" s="137"/>
      <c r="I541" s="137"/>
      <c r="J541" s="137"/>
      <c r="K541" s="137"/>
      <c r="L541" s="137"/>
      <c r="M541" s="125">
        <f t="shared" si="65"/>
        <v>0</v>
      </c>
      <c r="N541" s="126">
        <f t="shared" si="66"/>
        <v>0</v>
      </c>
      <c r="O541" s="137"/>
      <c r="P541" s="23">
        <f t="shared" si="64"/>
        <v>0</v>
      </c>
      <c r="Q541" s="23">
        <f t="shared" si="67"/>
        <v>0</v>
      </c>
      <c r="R541" s="137"/>
      <c r="S541" s="23">
        <f t="shared" si="61"/>
        <v>0</v>
      </c>
      <c r="T541" s="123">
        <f t="shared" si="62"/>
        <v>0</v>
      </c>
      <c r="U541" s="138"/>
      <c r="V541" s="137"/>
      <c r="W541" s="137"/>
      <c r="X541" s="137"/>
      <c r="Y541" s="137"/>
      <c r="Z541" s="137"/>
      <c r="AA541" s="137"/>
      <c r="AB541" s="139"/>
    </row>
    <row r="542" spans="1:28">
      <c r="A542" s="97">
        <f t="shared" si="63"/>
        <v>544</v>
      </c>
      <c r="B542" s="115">
        <v>46112</v>
      </c>
      <c r="C542" s="116">
        <v>46287</v>
      </c>
      <c r="D542" s="135"/>
      <c r="E542" s="136"/>
      <c r="F542" s="124"/>
      <c r="G542" s="137"/>
      <c r="H542" s="137"/>
      <c r="I542" s="137"/>
      <c r="J542" s="137"/>
      <c r="K542" s="137"/>
      <c r="L542" s="137"/>
      <c r="M542" s="125">
        <f t="shared" si="65"/>
        <v>0</v>
      </c>
      <c r="N542" s="126">
        <f t="shared" si="66"/>
        <v>0</v>
      </c>
      <c r="O542" s="137"/>
      <c r="P542" s="23">
        <f t="shared" si="64"/>
        <v>0</v>
      </c>
      <c r="Q542" s="23">
        <f t="shared" si="67"/>
        <v>0</v>
      </c>
      <c r="R542" s="137"/>
      <c r="S542" s="23">
        <f t="shared" si="61"/>
        <v>0</v>
      </c>
      <c r="T542" s="123">
        <f t="shared" si="62"/>
        <v>0</v>
      </c>
      <c r="U542" s="138"/>
      <c r="V542" s="137"/>
      <c r="W542" s="137"/>
      <c r="X542" s="137"/>
      <c r="Y542" s="137"/>
      <c r="Z542" s="137"/>
      <c r="AA542" s="137"/>
      <c r="AB542" s="139"/>
    </row>
    <row r="543" spans="1:28">
      <c r="A543" s="97">
        <f t="shared" si="63"/>
        <v>545</v>
      </c>
      <c r="B543" s="115">
        <v>46112</v>
      </c>
      <c r="C543" s="116">
        <v>46288</v>
      </c>
      <c r="D543" s="135"/>
      <c r="E543" s="136"/>
      <c r="F543" s="124"/>
      <c r="G543" s="137"/>
      <c r="H543" s="137"/>
      <c r="I543" s="137"/>
      <c r="J543" s="137"/>
      <c r="K543" s="137"/>
      <c r="L543" s="137"/>
      <c r="M543" s="125">
        <f t="shared" si="65"/>
        <v>0</v>
      </c>
      <c r="N543" s="126">
        <f t="shared" si="66"/>
        <v>0</v>
      </c>
      <c r="O543" s="137"/>
      <c r="P543" s="23">
        <f t="shared" si="64"/>
        <v>0</v>
      </c>
      <c r="Q543" s="23">
        <f t="shared" si="67"/>
        <v>0</v>
      </c>
      <c r="R543" s="137"/>
      <c r="S543" s="23">
        <f t="shared" si="61"/>
        <v>0</v>
      </c>
      <c r="T543" s="123">
        <f t="shared" si="62"/>
        <v>0</v>
      </c>
      <c r="U543" s="138"/>
      <c r="V543" s="137"/>
      <c r="W543" s="137"/>
      <c r="X543" s="137"/>
      <c r="Y543" s="137"/>
      <c r="Z543" s="137"/>
      <c r="AA543" s="137"/>
      <c r="AB543" s="139"/>
    </row>
    <row r="544" spans="1:28">
      <c r="A544" s="97">
        <f t="shared" si="63"/>
        <v>546</v>
      </c>
      <c r="B544" s="115">
        <v>46112</v>
      </c>
      <c r="C544" s="116">
        <v>46289</v>
      </c>
      <c r="D544" s="135"/>
      <c r="E544" s="136"/>
      <c r="F544" s="124"/>
      <c r="G544" s="137"/>
      <c r="H544" s="137"/>
      <c r="I544" s="137"/>
      <c r="J544" s="137"/>
      <c r="K544" s="137"/>
      <c r="L544" s="137"/>
      <c r="M544" s="125">
        <f t="shared" si="65"/>
        <v>0</v>
      </c>
      <c r="N544" s="126">
        <f t="shared" si="66"/>
        <v>0</v>
      </c>
      <c r="O544" s="137"/>
      <c r="P544" s="23">
        <f t="shared" si="64"/>
        <v>0</v>
      </c>
      <c r="Q544" s="23">
        <f t="shared" si="67"/>
        <v>0</v>
      </c>
      <c r="R544" s="137"/>
      <c r="S544" s="23">
        <f t="shared" si="61"/>
        <v>0</v>
      </c>
      <c r="T544" s="123">
        <f t="shared" si="62"/>
        <v>0</v>
      </c>
      <c r="U544" s="138"/>
      <c r="V544" s="137"/>
      <c r="W544" s="137"/>
      <c r="X544" s="137"/>
      <c r="Y544" s="137"/>
      <c r="Z544" s="137"/>
      <c r="AA544" s="137"/>
      <c r="AB544" s="139"/>
    </row>
    <row r="545" spans="1:28">
      <c r="A545" s="97">
        <f t="shared" si="63"/>
        <v>547</v>
      </c>
      <c r="B545" s="115">
        <v>46112</v>
      </c>
      <c r="C545" s="116">
        <v>46290</v>
      </c>
      <c r="D545" s="135"/>
      <c r="E545" s="136"/>
      <c r="F545" s="124"/>
      <c r="G545" s="137"/>
      <c r="H545" s="137"/>
      <c r="I545" s="137"/>
      <c r="J545" s="137"/>
      <c r="K545" s="137"/>
      <c r="L545" s="137"/>
      <c r="M545" s="125">
        <f t="shared" si="65"/>
        <v>0</v>
      </c>
      <c r="N545" s="126">
        <f t="shared" si="66"/>
        <v>0</v>
      </c>
      <c r="O545" s="137"/>
      <c r="P545" s="23">
        <f t="shared" si="64"/>
        <v>0</v>
      </c>
      <c r="Q545" s="23">
        <f t="shared" si="67"/>
        <v>0</v>
      </c>
      <c r="R545" s="137"/>
      <c r="S545" s="23">
        <f t="shared" si="61"/>
        <v>0</v>
      </c>
      <c r="T545" s="123">
        <f t="shared" si="62"/>
        <v>0</v>
      </c>
      <c r="U545" s="138"/>
      <c r="V545" s="137"/>
      <c r="W545" s="137"/>
      <c r="X545" s="137"/>
      <c r="Y545" s="137"/>
      <c r="Z545" s="137"/>
      <c r="AA545" s="137"/>
      <c r="AB545" s="139"/>
    </row>
    <row r="546" spans="1:28">
      <c r="A546" s="97">
        <f t="shared" si="63"/>
        <v>548</v>
      </c>
      <c r="B546" s="115">
        <v>46112</v>
      </c>
      <c r="C546" s="116">
        <v>46291</v>
      </c>
      <c r="D546" s="135"/>
      <c r="E546" s="136"/>
      <c r="F546" s="124"/>
      <c r="G546" s="137"/>
      <c r="H546" s="137"/>
      <c r="I546" s="137"/>
      <c r="J546" s="137"/>
      <c r="K546" s="137"/>
      <c r="L546" s="137"/>
      <c r="M546" s="125">
        <f t="shared" si="65"/>
        <v>0</v>
      </c>
      <c r="N546" s="126">
        <f t="shared" si="66"/>
        <v>0</v>
      </c>
      <c r="O546" s="137"/>
      <c r="P546" s="23">
        <f t="shared" si="64"/>
        <v>0</v>
      </c>
      <c r="Q546" s="23">
        <f t="shared" si="67"/>
        <v>0</v>
      </c>
      <c r="R546" s="137"/>
      <c r="S546" s="23">
        <f t="shared" si="61"/>
        <v>0</v>
      </c>
      <c r="T546" s="123">
        <f t="shared" si="62"/>
        <v>0</v>
      </c>
      <c r="U546" s="138"/>
      <c r="V546" s="137"/>
      <c r="W546" s="137"/>
      <c r="X546" s="137"/>
      <c r="Y546" s="137"/>
      <c r="Z546" s="137"/>
      <c r="AA546" s="137"/>
      <c r="AB546" s="139"/>
    </row>
    <row r="547" spans="1:28">
      <c r="A547" s="97">
        <f t="shared" si="63"/>
        <v>549</v>
      </c>
      <c r="B547" s="115">
        <v>46112</v>
      </c>
      <c r="C547" s="116">
        <v>46292</v>
      </c>
      <c r="D547" s="135"/>
      <c r="E547" s="136"/>
      <c r="F547" s="124"/>
      <c r="G547" s="137"/>
      <c r="H547" s="137"/>
      <c r="I547" s="137"/>
      <c r="J547" s="137"/>
      <c r="K547" s="137"/>
      <c r="L547" s="137"/>
      <c r="M547" s="125">
        <f t="shared" si="65"/>
        <v>0</v>
      </c>
      <c r="N547" s="126">
        <f t="shared" si="66"/>
        <v>0</v>
      </c>
      <c r="O547" s="137"/>
      <c r="P547" s="23">
        <f t="shared" si="64"/>
        <v>0</v>
      </c>
      <c r="Q547" s="23">
        <f t="shared" si="67"/>
        <v>0</v>
      </c>
      <c r="R547" s="137"/>
      <c r="S547" s="23">
        <f t="shared" si="61"/>
        <v>0</v>
      </c>
      <c r="T547" s="123">
        <f t="shared" si="62"/>
        <v>0</v>
      </c>
      <c r="U547" s="138"/>
      <c r="V547" s="137"/>
      <c r="W547" s="137"/>
      <c r="X547" s="137"/>
      <c r="Y547" s="137"/>
      <c r="Z547" s="137"/>
      <c r="AA547" s="137"/>
      <c r="AB547" s="139"/>
    </row>
    <row r="548" spans="1:28">
      <c r="A548" s="97">
        <f t="shared" si="63"/>
        <v>550</v>
      </c>
      <c r="B548" s="115">
        <v>46112</v>
      </c>
      <c r="C548" s="116">
        <v>46293</v>
      </c>
      <c r="D548" s="135"/>
      <c r="E548" s="136"/>
      <c r="F548" s="124"/>
      <c r="G548" s="137"/>
      <c r="H548" s="137"/>
      <c r="I548" s="137"/>
      <c r="J548" s="137"/>
      <c r="K548" s="137"/>
      <c r="L548" s="137"/>
      <c r="M548" s="125">
        <f t="shared" si="65"/>
        <v>0</v>
      </c>
      <c r="N548" s="126">
        <f t="shared" si="66"/>
        <v>0</v>
      </c>
      <c r="O548" s="137"/>
      <c r="P548" s="23">
        <f t="shared" si="64"/>
        <v>0</v>
      </c>
      <c r="Q548" s="23">
        <f t="shared" si="67"/>
        <v>0</v>
      </c>
      <c r="R548" s="137"/>
      <c r="S548" s="23">
        <f t="shared" si="61"/>
        <v>0</v>
      </c>
      <c r="T548" s="123">
        <f t="shared" si="62"/>
        <v>0</v>
      </c>
      <c r="U548" s="138"/>
      <c r="V548" s="137"/>
      <c r="W548" s="137"/>
      <c r="X548" s="137"/>
      <c r="Y548" s="137"/>
      <c r="Z548" s="137"/>
      <c r="AA548" s="137"/>
      <c r="AB548" s="139"/>
    </row>
    <row r="549" spans="1:28">
      <c r="A549" s="97">
        <f t="shared" si="63"/>
        <v>551</v>
      </c>
      <c r="B549" s="115">
        <v>46112</v>
      </c>
      <c r="C549" s="116">
        <v>46294</v>
      </c>
      <c r="D549" s="135"/>
      <c r="E549" s="136"/>
      <c r="F549" s="124"/>
      <c r="G549" s="137"/>
      <c r="H549" s="137"/>
      <c r="I549" s="137"/>
      <c r="J549" s="137"/>
      <c r="K549" s="137"/>
      <c r="L549" s="137"/>
      <c r="M549" s="125">
        <f t="shared" si="65"/>
        <v>0</v>
      </c>
      <c r="N549" s="126">
        <f t="shared" si="66"/>
        <v>0</v>
      </c>
      <c r="O549" s="137"/>
      <c r="P549" s="23">
        <f t="shared" si="64"/>
        <v>0</v>
      </c>
      <c r="Q549" s="23">
        <f t="shared" si="67"/>
        <v>0</v>
      </c>
      <c r="R549" s="137"/>
      <c r="S549" s="23">
        <f t="shared" si="61"/>
        <v>0</v>
      </c>
      <c r="T549" s="123">
        <f t="shared" si="62"/>
        <v>0</v>
      </c>
      <c r="U549" s="138"/>
      <c r="V549" s="137"/>
      <c r="W549" s="137"/>
      <c r="X549" s="137"/>
      <c r="Y549" s="137"/>
      <c r="Z549" s="137"/>
      <c r="AA549" s="137"/>
      <c r="AB549" s="139"/>
    </row>
    <row r="550" spans="1:28">
      <c r="A550" s="97">
        <f t="shared" si="63"/>
        <v>552</v>
      </c>
      <c r="B550" s="115">
        <v>46112</v>
      </c>
      <c r="C550" s="116">
        <v>46295</v>
      </c>
      <c r="D550" s="135"/>
      <c r="E550" s="136"/>
      <c r="F550" s="124"/>
      <c r="G550" s="137"/>
      <c r="H550" s="137"/>
      <c r="I550" s="137"/>
      <c r="J550" s="137"/>
      <c r="K550" s="137"/>
      <c r="L550" s="137"/>
      <c r="M550" s="125">
        <f t="shared" si="65"/>
        <v>0</v>
      </c>
      <c r="N550" s="126">
        <f t="shared" si="66"/>
        <v>0</v>
      </c>
      <c r="O550" s="137"/>
      <c r="P550" s="23">
        <f t="shared" si="64"/>
        <v>0</v>
      </c>
      <c r="Q550" s="23">
        <f t="shared" si="67"/>
        <v>0</v>
      </c>
      <c r="R550" s="137"/>
      <c r="S550" s="23">
        <f t="shared" si="61"/>
        <v>0</v>
      </c>
      <c r="T550" s="123">
        <f t="shared" si="62"/>
        <v>0</v>
      </c>
      <c r="U550" s="138"/>
      <c r="V550" s="137"/>
      <c r="W550" s="137"/>
      <c r="X550" s="137"/>
      <c r="Y550" s="137"/>
      <c r="Z550" s="137"/>
      <c r="AA550" s="137"/>
      <c r="AB550" s="139"/>
    </row>
    <row r="551" spans="1:28">
      <c r="A551" s="97">
        <f t="shared" si="63"/>
        <v>553</v>
      </c>
      <c r="B551" s="115">
        <v>46112</v>
      </c>
      <c r="C551" s="116">
        <v>46296</v>
      </c>
      <c r="D551" s="135"/>
      <c r="E551" s="136"/>
      <c r="F551" s="124"/>
      <c r="G551" s="137"/>
      <c r="H551" s="137"/>
      <c r="I551" s="137"/>
      <c r="J551" s="137"/>
      <c r="K551" s="137"/>
      <c r="L551" s="137"/>
      <c r="M551" s="125">
        <f t="shared" si="65"/>
        <v>0</v>
      </c>
      <c r="N551" s="126">
        <f t="shared" si="66"/>
        <v>0</v>
      </c>
      <c r="O551" s="137"/>
      <c r="P551" s="23">
        <f t="shared" si="64"/>
        <v>0</v>
      </c>
      <c r="Q551" s="23">
        <f t="shared" si="67"/>
        <v>0</v>
      </c>
      <c r="R551" s="137"/>
      <c r="S551" s="23">
        <f t="shared" si="61"/>
        <v>0</v>
      </c>
      <c r="T551" s="123">
        <f t="shared" si="62"/>
        <v>0</v>
      </c>
      <c r="U551" s="138"/>
      <c r="V551" s="137"/>
      <c r="W551" s="137"/>
      <c r="X551" s="137"/>
      <c r="Y551" s="137"/>
      <c r="Z551" s="137"/>
      <c r="AA551" s="137"/>
      <c r="AB551" s="139"/>
    </row>
    <row r="552" spans="1:28">
      <c r="A552" s="97">
        <f t="shared" si="63"/>
        <v>554</v>
      </c>
      <c r="B552" s="115">
        <v>46112</v>
      </c>
      <c r="C552" s="116">
        <v>46297</v>
      </c>
      <c r="D552" s="135"/>
      <c r="E552" s="136"/>
      <c r="F552" s="124"/>
      <c r="G552" s="137"/>
      <c r="H552" s="137"/>
      <c r="I552" s="137"/>
      <c r="J552" s="137"/>
      <c r="K552" s="137"/>
      <c r="L552" s="137"/>
      <c r="M552" s="125">
        <f t="shared" si="65"/>
        <v>0</v>
      </c>
      <c r="N552" s="126">
        <f t="shared" si="66"/>
        <v>0</v>
      </c>
      <c r="O552" s="137"/>
      <c r="P552" s="23">
        <f t="shared" si="64"/>
        <v>0</v>
      </c>
      <c r="Q552" s="23">
        <f t="shared" si="67"/>
        <v>0</v>
      </c>
      <c r="R552" s="137"/>
      <c r="S552" s="23">
        <f t="shared" si="61"/>
        <v>0</v>
      </c>
      <c r="T552" s="123">
        <f t="shared" si="62"/>
        <v>0</v>
      </c>
      <c r="U552" s="138"/>
      <c r="V552" s="137"/>
      <c r="W552" s="137"/>
      <c r="X552" s="137"/>
      <c r="Y552" s="137"/>
      <c r="Z552" s="137"/>
      <c r="AA552" s="137"/>
      <c r="AB552" s="139"/>
    </row>
    <row r="553" spans="1:28">
      <c r="A553" s="97">
        <f t="shared" si="63"/>
        <v>555</v>
      </c>
      <c r="B553" s="115">
        <v>46112</v>
      </c>
      <c r="C553" s="116">
        <v>46298</v>
      </c>
      <c r="D553" s="135"/>
      <c r="E553" s="136"/>
      <c r="F553" s="124"/>
      <c r="G553" s="137"/>
      <c r="H553" s="137"/>
      <c r="I553" s="137"/>
      <c r="J553" s="137"/>
      <c r="K553" s="137"/>
      <c r="L553" s="137"/>
      <c r="M553" s="125">
        <f t="shared" si="65"/>
        <v>0</v>
      </c>
      <c r="N553" s="126">
        <f t="shared" si="66"/>
        <v>0</v>
      </c>
      <c r="O553" s="137"/>
      <c r="P553" s="23">
        <f t="shared" si="64"/>
        <v>0</v>
      </c>
      <c r="Q553" s="23">
        <f t="shared" si="67"/>
        <v>0</v>
      </c>
      <c r="R553" s="137"/>
      <c r="S553" s="23">
        <f t="shared" si="61"/>
        <v>0</v>
      </c>
      <c r="T553" s="123">
        <f t="shared" si="62"/>
        <v>0</v>
      </c>
      <c r="U553" s="138"/>
      <c r="V553" s="137"/>
      <c r="W553" s="137"/>
      <c r="X553" s="137"/>
      <c r="Y553" s="137"/>
      <c r="Z553" s="137"/>
      <c r="AA553" s="137"/>
      <c r="AB553" s="139"/>
    </row>
    <row r="554" spans="1:28">
      <c r="A554" s="97">
        <f t="shared" si="63"/>
        <v>556</v>
      </c>
      <c r="B554" s="115">
        <v>46112</v>
      </c>
      <c r="C554" s="116">
        <v>46299</v>
      </c>
      <c r="D554" s="135"/>
      <c r="E554" s="136"/>
      <c r="F554" s="124"/>
      <c r="G554" s="137"/>
      <c r="H554" s="137"/>
      <c r="I554" s="137"/>
      <c r="J554" s="137"/>
      <c r="K554" s="137"/>
      <c r="L554" s="137"/>
      <c r="M554" s="125">
        <f t="shared" si="65"/>
        <v>0</v>
      </c>
      <c r="N554" s="126">
        <f t="shared" si="66"/>
        <v>0</v>
      </c>
      <c r="O554" s="137"/>
      <c r="P554" s="23">
        <f t="shared" si="64"/>
        <v>0</v>
      </c>
      <c r="Q554" s="23">
        <f t="shared" si="67"/>
        <v>0</v>
      </c>
      <c r="R554" s="137"/>
      <c r="S554" s="23">
        <f t="shared" si="61"/>
        <v>0</v>
      </c>
      <c r="T554" s="123">
        <f t="shared" si="62"/>
        <v>0</v>
      </c>
      <c r="U554" s="138"/>
      <c r="V554" s="137"/>
      <c r="W554" s="137"/>
      <c r="X554" s="137"/>
      <c r="Y554" s="137"/>
      <c r="Z554" s="137"/>
      <c r="AA554" s="137"/>
      <c r="AB554" s="139"/>
    </row>
    <row r="555" spans="1:28">
      <c r="A555" s="97">
        <f t="shared" si="63"/>
        <v>557</v>
      </c>
      <c r="B555" s="115">
        <v>46112</v>
      </c>
      <c r="C555" s="116">
        <v>46300</v>
      </c>
      <c r="D555" s="135"/>
      <c r="E555" s="136"/>
      <c r="F555" s="124"/>
      <c r="G555" s="137"/>
      <c r="H555" s="137"/>
      <c r="I555" s="137"/>
      <c r="J555" s="137"/>
      <c r="K555" s="137"/>
      <c r="L555" s="137"/>
      <c r="M555" s="125">
        <f t="shared" si="65"/>
        <v>0</v>
      </c>
      <c r="N555" s="126">
        <f t="shared" si="66"/>
        <v>0</v>
      </c>
      <c r="O555" s="137"/>
      <c r="P555" s="23">
        <f t="shared" si="64"/>
        <v>0</v>
      </c>
      <c r="Q555" s="23">
        <f t="shared" si="67"/>
        <v>0</v>
      </c>
      <c r="R555" s="137"/>
      <c r="S555" s="23">
        <f t="shared" si="61"/>
        <v>0</v>
      </c>
      <c r="T555" s="123">
        <f t="shared" si="62"/>
        <v>0</v>
      </c>
      <c r="U555" s="138"/>
      <c r="V555" s="137"/>
      <c r="W555" s="137"/>
      <c r="X555" s="137"/>
      <c r="Y555" s="137"/>
      <c r="Z555" s="137"/>
      <c r="AA555" s="137"/>
      <c r="AB555" s="139"/>
    </row>
    <row r="556" spans="1:28">
      <c r="A556" s="97">
        <f t="shared" si="63"/>
        <v>558</v>
      </c>
      <c r="B556" s="115">
        <v>46112</v>
      </c>
      <c r="C556" s="116">
        <v>46301</v>
      </c>
      <c r="D556" s="135"/>
      <c r="E556" s="136"/>
      <c r="F556" s="124"/>
      <c r="G556" s="137"/>
      <c r="H556" s="137"/>
      <c r="I556" s="137"/>
      <c r="J556" s="137"/>
      <c r="K556" s="137"/>
      <c r="L556" s="137"/>
      <c r="M556" s="125">
        <f t="shared" si="65"/>
        <v>0</v>
      </c>
      <c r="N556" s="126">
        <f t="shared" si="66"/>
        <v>0</v>
      </c>
      <c r="O556" s="137"/>
      <c r="P556" s="23">
        <f t="shared" si="64"/>
        <v>0</v>
      </c>
      <c r="Q556" s="23">
        <f t="shared" si="67"/>
        <v>0</v>
      </c>
      <c r="R556" s="137"/>
      <c r="S556" s="23">
        <f t="shared" si="61"/>
        <v>0</v>
      </c>
      <c r="T556" s="123">
        <f t="shared" si="62"/>
        <v>0</v>
      </c>
      <c r="U556" s="138"/>
      <c r="V556" s="137"/>
      <c r="W556" s="137"/>
      <c r="X556" s="137"/>
      <c r="Y556" s="137"/>
      <c r="Z556" s="137"/>
      <c r="AA556" s="137"/>
      <c r="AB556" s="139"/>
    </row>
    <row r="557" spans="1:28">
      <c r="A557" s="97">
        <f t="shared" si="63"/>
        <v>559</v>
      </c>
      <c r="B557" s="115">
        <v>46112</v>
      </c>
      <c r="C557" s="116">
        <v>46302</v>
      </c>
      <c r="D557" s="135"/>
      <c r="E557" s="136"/>
      <c r="F557" s="124"/>
      <c r="G557" s="137"/>
      <c r="H557" s="137"/>
      <c r="I557" s="137"/>
      <c r="J557" s="137"/>
      <c r="K557" s="137"/>
      <c r="L557" s="137"/>
      <c r="M557" s="125">
        <f t="shared" si="65"/>
        <v>0</v>
      </c>
      <c r="N557" s="126">
        <f t="shared" si="66"/>
        <v>0</v>
      </c>
      <c r="O557" s="137"/>
      <c r="P557" s="23">
        <f t="shared" si="64"/>
        <v>0</v>
      </c>
      <c r="Q557" s="23">
        <f t="shared" si="67"/>
        <v>0</v>
      </c>
      <c r="R557" s="137"/>
      <c r="S557" s="23">
        <f t="shared" si="61"/>
        <v>0</v>
      </c>
      <c r="T557" s="123">
        <f t="shared" si="62"/>
        <v>0</v>
      </c>
      <c r="U557" s="138"/>
      <c r="V557" s="137"/>
      <c r="W557" s="137"/>
      <c r="X557" s="137"/>
      <c r="Y557" s="137"/>
      <c r="Z557" s="137"/>
      <c r="AA557" s="137"/>
      <c r="AB557" s="139"/>
    </row>
    <row r="558" spans="1:28">
      <c r="A558" s="97">
        <f t="shared" si="63"/>
        <v>560</v>
      </c>
      <c r="B558" s="115">
        <v>46112</v>
      </c>
      <c r="C558" s="116">
        <v>46303</v>
      </c>
      <c r="D558" s="135"/>
      <c r="E558" s="136"/>
      <c r="F558" s="124"/>
      <c r="G558" s="137"/>
      <c r="H558" s="137"/>
      <c r="I558" s="137"/>
      <c r="J558" s="137"/>
      <c r="K558" s="137"/>
      <c r="L558" s="137"/>
      <c r="M558" s="125">
        <f t="shared" si="65"/>
        <v>0</v>
      </c>
      <c r="N558" s="126">
        <f t="shared" si="66"/>
        <v>0</v>
      </c>
      <c r="O558" s="137"/>
      <c r="P558" s="23">
        <f t="shared" si="64"/>
        <v>0</v>
      </c>
      <c r="Q558" s="23">
        <f t="shared" si="67"/>
        <v>0</v>
      </c>
      <c r="R558" s="137"/>
      <c r="S558" s="23">
        <f t="shared" si="61"/>
        <v>0</v>
      </c>
      <c r="T558" s="123">
        <f t="shared" si="62"/>
        <v>0</v>
      </c>
      <c r="U558" s="138"/>
      <c r="V558" s="137"/>
      <c r="W558" s="137"/>
      <c r="X558" s="137"/>
      <c r="Y558" s="137"/>
      <c r="Z558" s="137"/>
      <c r="AA558" s="137"/>
      <c r="AB558" s="139"/>
    </row>
    <row r="559" spans="1:28">
      <c r="A559" s="97">
        <f t="shared" si="63"/>
        <v>561</v>
      </c>
      <c r="B559" s="115">
        <v>46112</v>
      </c>
      <c r="C559" s="116">
        <v>46304</v>
      </c>
      <c r="D559" s="135"/>
      <c r="E559" s="136"/>
      <c r="F559" s="124"/>
      <c r="G559" s="137"/>
      <c r="H559" s="137"/>
      <c r="I559" s="137"/>
      <c r="J559" s="137"/>
      <c r="K559" s="137"/>
      <c r="L559" s="137"/>
      <c r="M559" s="125">
        <f t="shared" si="65"/>
        <v>0</v>
      </c>
      <c r="N559" s="126">
        <f t="shared" si="66"/>
        <v>0</v>
      </c>
      <c r="O559" s="137"/>
      <c r="P559" s="23">
        <f t="shared" si="64"/>
        <v>0</v>
      </c>
      <c r="Q559" s="23">
        <f t="shared" si="67"/>
        <v>0</v>
      </c>
      <c r="R559" s="137"/>
      <c r="S559" s="23">
        <f t="shared" si="61"/>
        <v>0</v>
      </c>
      <c r="T559" s="123">
        <f t="shared" si="62"/>
        <v>0</v>
      </c>
      <c r="U559" s="138"/>
      <c r="V559" s="137"/>
      <c r="W559" s="137"/>
      <c r="X559" s="137"/>
      <c r="Y559" s="137"/>
      <c r="Z559" s="137"/>
      <c r="AA559" s="137"/>
      <c r="AB559" s="139"/>
    </row>
    <row r="560" spans="1:28">
      <c r="A560" s="97">
        <f t="shared" si="63"/>
        <v>562</v>
      </c>
      <c r="B560" s="115">
        <v>46112</v>
      </c>
      <c r="C560" s="116">
        <v>46305</v>
      </c>
      <c r="D560" s="135"/>
      <c r="E560" s="136"/>
      <c r="F560" s="124"/>
      <c r="G560" s="137"/>
      <c r="H560" s="137"/>
      <c r="I560" s="137"/>
      <c r="J560" s="137"/>
      <c r="K560" s="137"/>
      <c r="L560" s="137"/>
      <c r="M560" s="125">
        <f t="shared" si="65"/>
        <v>0</v>
      </c>
      <c r="N560" s="126">
        <f t="shared" si="66"/>
        <v>0</v>
      </c>
      <c r="O560" s="137"/>
      <c r="P560" s="23">
        <f t="shared" si="64"/>
        <v>0</v>
      </c>
      <c r="Q560" s="23">
        <f t="shared" si="67"/>
        <v>0</v>
      </c>
      <c r="R560" s="137"/>
      <c r="S560" s="23">
        <f t="shared" ref="S560:S623" si="68">MAX((R560-Q560)*3000,0)</f>
        <v>0</v>
      </c>
      <c r="T560" s="123">
        <f t="shared" ref="T560:T623" si="69">P560-S560</f>
        <v>0</v>
      </c>
      <c r="U560" s="138"/>
      <c r="V560" s="137"/>
      <c r="W560" s="137"/>
      <c r="X560" s="137"/>
      <c r="Y560" s="137"/>
      <c r="Z560" s="137"/>
      <c r="AA560" s="137"/>
      <c r="AB560" s="139"/>
    </row>
    <row r="561" spans="1:28">
      <c r="A561" s="97">
        <f t="shared" si="63"/>
        <v>563</v>
      </c>
      <c r="B561" s="115">
        <v>46112</v>
      </c>
      <c r="C561" s="116">
        <v>46306</v>
      </c>
      <c r="D561" s="135"/>
      <c r="E561" s="136"/>
      <c r="F561" s="124"/>
      <c r="G561" s="137"/>
      <c r="H561" s="137"/>
      <c r="I561" s="137"/>
      <c r="J561" s="137"/>
      <c r="K561" s="137"/>
      <c r="L561" s="137"/>
      <c r="M561" s="125">
        <f t="shared" si="65"/>
        <v>0</v>
      </c>
      <c r="N561" s="126">
        <f t="shared" si="66"/>
        <v>0</v>
      </c>
      <c r="O561" s="137"/>
      <c r="P561" s="23">
        <f t="shared" si="64"/>
        <v>0</v>
      </c>
      <c r="Q561" s="23">
        <f t="shared" si="67"/>
        <v>0</v>
      </c>
      <c r="R561" s="137"/>
      <c r="S561" s="23">
        <f t="shared" si="68"/>
        <v>0</v>
      </c>
      <c r="T561" s="123">
        <f t="shared" si="69"/>
        <v>0</v>
      </c>
      <c r="U561" s="138"/>
      <c r="V561" s="137"/>
      <c r="W561" s="137"/>
      <c r="X561" s="137"/>
      <c r="Y561" s="137"/>
      <c r="Z561" s="137"/>
      <c r="AA561" s="137"/>
      <c r="AB561" s="139"/>
    </row>
    <row r="562" spans="1:28">
      <c r="A562" s="97">
        <f t="shared" si="63"/>
        <v>564</v>
      </c>
      <c r="B562" s="115">
        <v>46112</v>
      </c>
      <c r="C562" s="116">
        <v>46307</v>
      </c>
      <c r="D562" s="135"/>
      <c r="E562" s="136"/>
      <c r="F562" s="124"/>
      <c r="G562" s="137"/>
      <c r="H562" s="137"/>
      <c r="I562" s="137"/>
      <c r="J562" s="137"/>
      <c r="K562" s="137"/>
      <c r="L562" s="137"/>
      <c r="M562" s="125">
        <f t="shared" si="65"/>
        <v>0</v>
      </c>
      <c r="N562" s="126">
        <f t="shared" si="66"/>
        <v>0</v>
      </c>
      <c r="O562" s="137"/>
      <c r="P562" s="23">
        <f t="shared" si="64"/>
        <v>0</v>
      </c>
      <c r="Q562" s="23">
        <f t="shared" si="67"/>
        <v>0</v>
      </c>
      <c r="R562" s="137"/>
      <c r="S562" s="23">
        <f t="shared" si="68"/>
        <v>0</v>
      </c>
      <c r="T562" s="123">
        <f t="shared" si="69"/>
        <v>0</v>
      </c>
      <c r="U562" s="138"/>
      <c r="V562" s="137"/>
      <c r="W562" s="137"/>
      <c r="X562" s="137"/>
      <c r="Y562" s="137"/>
      <c r="Z562" s="137"/>
      <c r="AA562" s="137"/>
      <c r="AB562" s="139"/>
    </row>
    <row r="563" spans="1:28">
      <c r="A563" s="97">
        <f t="shared" si="63"/>
        <v>565</v>
      </c>
      <c r="B563" s="115">
        <v>46112</v>
      </c>
      <c r="C563" s="116">
        <v>46308</v>
      </c>
      <c r="D563" s="135"/>
      <c r="E563" s="136"/>
      <c r="F563" s="124"/>
      <c r="G563" s="137"/>
      <c r="H563" s="137"/>
      <c r="I563" s="137"/>
      <c r="J563" s="137"/>
      <c r="K563" s="137"/>
      <c r="L563" s="137"/>
      <c r="M563" s="125">
        <f t="shared" si="65"/>
        <v>0</v>
      </c>
      <c r="N563" s="126">
        <f t="shared" si="66"/>
        <v>0</v>
      </c>
      <c r="O563" s="137"/>
      <c r="P563" s="23">
        <f t="shared" si="64"/>
        <v>0</v>
      </c>
      <c r="Q563" s="23">
        <f t="shared" si="67"/>
        <v>0</v>
      </c>
      <c r="R563" s="137"/>
      <c r="S563" s="23">
        <f t="shared" si="68"/>
        <v>0</v>
      </c>
      <c r="T563" s="123">
        <f t="shared" si="69"/>
        <v>0</v>
      </c>
      <c r="U563" s="138"/>
      <c r="V563" s="137"/>
      <c r="W563" s="137"/>
      <c r="X563" s="137"/>
      <c r="Y563" s="137"/>
      <c r="Z563" s="137"/>
      <c r="AA563" s="137"/>
      <c r="AB563" s="139"/>
    </row>
    <row r="564" spans="1:28">
      <c r="A564" s="97">
        <f t="shared" si="63"/>
        <v>566</v>
      </c>
      <c r="B564" s="115">
        <v>46112</v>
      </c>
      <c r="C564" s="116">
        <v>46309</v>
      </c>
      <c r="D564" s="135"/>
      <c r="E564" s="136"/>
      <c r="F564" s="124"/>
      <c r="G564" s="137"/>
      <c r="H564" s="137"/>
      <c r="I564" s="137"/>
      <c r="J564" s="137"/>
      <c r="K564" s="137"/>
      <c r="L564" s="137"/>
      <c r="M564" s="125">
        <f t="shared" si="65"/>
        <v>0</v>
      </c>
      <c r="N564" s="126">
        <f t="shared" si="66"/>
        <v>0</v>
      </c>
      <c r="O564" s="137"/>
      <c r="P564" s="23">
        <f t="shared" si="64"/>
        <v>0</v>
      </c>
      <c r="Q564" s="23">
        <f t="shared" si="67"/>
        <v>0</v>
      </c>
      <c r="R564" s="137"/>
      <c r="S564" s="23">
        <f t="shared" si="68"/>
        <v>0</v>
      </c>
      <c r="T564" s="123">
        <f t="shared" si="69"/>
        <v>0</v>
      </c>
      <c r="U564" s="138"/>
      <c r="V564" s="137"/>
      <c r="W564" s="137"/>
      <c r="X564" s="137"/>
      <c r="Y564" s="137"/>
      <c r="Z564" s="137"/>
      <c r="AA564" s="137"/>
      <c r="AB564" s="139"/>
    </row>
    <row r="565" spans="1:28">
      <c r="A565" s="97">
        <f t="shared" si="63"/>
        <v>567</v>
      </c>
      <c r="B565" s="115">
        <v>46112</v>
      </c>
      <c r="C565" s="116">
        <v>46310</v>
      </c>
      <c r="D565" s="135"/>
      <c r="E565" s="136"/>
      <c r="F565" s="124"/>
      <c r="G565" s="137"/>
      <c r="H565" s="137"/>
      <c r="I565" s="137"/>
      <c r="J565" s="137"/>
      <c r="K565" s="137"/>
      <c r="L565" s="137"/>
      <c r="M565" s="125">
        <f t="shared" si="65"/>
        <v>0</v>
      </c>
      <c r="N565" s="126">
        <f t="shared" si="66"/>
        <v>0</v>
      </c>
      <c r="O565" s="137"/>
      <c r="P565" s="23">
        <f t="shared" si="64"/>
        <v>0</v>
      </c>
      <c r="Q565" s="23">
        <f t="shared" si="67"/>
        <v>0</v>
      </c>
      <c r="R565" s="137"/>
      <c r="S565" s="23">
        <f t="shared" si="68"/>
        <v>0</v>
      </c>
      <c r="T565" s="123">
        <f t="shared" si="69"/>
        <v>0</v>
      </c>
      <c r="U565" s="138"/>
      <c r="V565" s="137"/>
      <c r="W565" s="137"/>
      <c r="X565" s="137"/>
      <c r="Y565" s="137"/>
      <c r="Z565" s="137"/>
      <c r="AA565" s="137"/>
      <c r="AB565" s="139"/>
    </row>
    <row r="566" spans="1:28">
      <c r="A566" s="97">
        <f t="shared" si="63"/>
        <v>568</v>
      </c>
      <c r="B566" s="115">
        <v>46112</v>
      </c>
      <c r="C566" s="116">
        <v>46311</v>
      </c>
      <c r="D566" s="135"/>
      <c r="E566" s="136"/>
      <c r="F566" s="124"/>
      <c r="G566" s="137"/>
      <c r="H566" s="137"/>
      <c r="I566" s="137"/>
      <c r="J566" s="137"/>
      <c r="K566" s="137"/>
      <c r="L566" s="137"/>
      <c r="M566" s="125">
        <f t="shared" si="65"/>
        <v>0</v>
      </c>
      <c r="N566" s="126">
        <f t="shared" si="66"/>
        <v>0</v>
      </c>
      <c r="O566" s="137"/>
      <c r="P566" s="23">
        <f t="shared" si="64"/>
        <v>0</v>
      </c>
      <c r="Q566" s="23">
        <f t="shared" si="67"/>
        <v>0</v>
      </c>
      <c r="R566" s="137"/>
      <c r="S566" s="23">
        <f t="shared" si="68"/>
        <v>0</v>
      </c>
      <c r="T566" s="123">
        <f t="shared" si="69"/>
        <v>0</v>
      </c>
      <c r="U566" s="138"/>
      <c r="V566" s="137"/>
      <c r="W566" s="137"/>
      <c r="X566" s="137"/>
      <c r="Y566" s="137"/>
      <c r="Z566" s="137"/>
      <c r="AA566" s="137"/>
      <c r="AB566" s="139"/>
    </row>
    <row r="567" spans="1:28">
      <c r="A567" s="97">
        <f t="shared" si="63"/>
        <v>569</v>
      </c>
      <c r="B567" s="115">
        <v>46112</v>
      </c>
      <c r="C567" s="116">
        <v>46312</v>
      </c>
      <c r="D567" s="135"/>
      <c r="E567" s="136"/>
      <c r="F567" s="124"/>
      <c r="G567" s="137"/>
      <c r="H567" s="137"/>
      <c r="I567" s="137"/>
      <c r="J567" s="137"/>
      <c r="K567" s="137"/>
      <c r="L567" s="137"/>
      <c r="M567" s="125">
        <f t="shared" si="65"/>
        <v>0</v>
      </c>
      <c r="N567" s="126">
        <f t="shared" si="66"/>
        <v>0</v>
      </c>
      <c r="O567" s="137"/>
      <c r="P567" s="23">
        <f t="shared" si="64"/>
        <v>0</v>
      </c>
      <c r="Q567" s="23">
        <f t="shared" si="67"/>
        <v>0</v>
      </c>
      <c r="R567" s="137"/>
      <c r="S567" s="23">
        <f t="shared" si="68"/>
        <v>0</v>
      </c>
      <c r="T567" s="123">
        <f t="shared" si="69"/>
        <v>0</v>
      </c>
      <c r="U567" s="138"/>
      <c r="V567" s="137"/>
      <c r="W567" s="137"/>
      <c r="X567" s="137"/>
      <c r="Y567" s="137"/>
      <c r="Z567" s="137"/>
      <c r="AA567" s="137"/>
      <c r="AB567" s="139"/>
    </row>
    <row r="568" spans="1:28">
      <c r="A568" s="97">
        <f t="shared" si="63"/>
        <v>570</v>
      </c>
      <c r="B568" s="115">
        <v>46112</v>
      </c>
      <c r="C568" s="116">
        <v>46313</v>
      </c>
      <c r="D568" s="135"/>
      <c r="E568" s="136"/>
      <c r="F568" s="124"/>
      <c r="G568" s="137"/>
      <c r="H568" s="137"/>
      <c r="I568" s="137"/>
      <c r="J568" s="137"/>
      <c r="K568" s="137"/>
      <c r="L568" s="137"/>
      <c r="M568" s="125">
        <f t="shared" si="65"/>
        <v>0</v>
      </c>
      <c r="N568" s="126">
        <f t="shared" si="66"/>
        <v>0</v>
      </c>
      <c r="O568" s="137"/>
      <c r="P568" s="23">
        <f t="shared" si="64"/>
        <v>0</v>
      </c>
      <c r="Q568" s="23">
        <f t="shared" si="67"/>
        <v>0</v>
      </c>
      <c r="R568" s="137"/>
      <c r="S568" s="23">
        <f t="shared" si="68"/>
        <v>0</v>
      </c>
      <c r="T568" s="123">
        <f t="shared" si="69"/>
        <v>0</v>
      </c>
      <c r="U568" s="138"/>
      <c r="V568" s="137"/>
      <c r="W568" s="137"/>
      <c r="X568" s="137"/>
      <c r="Y568" s="137"/>
      <c r="Z568" s="137"/>
      <c r="AA568" s="137"/>
      <c r="AB568" s="139"/>
    </row>
    <row r="569" spans="1:28">
      <c r="A569" s="97">
        <f t="shared" si="63"/>
        <v>571</v>
      </c>
      <c r="B569" s="115">
        <v>46112</v>
      </c>
      <c r="C569" s="116">
        <v>46314</v>
      </c>
      <c r="D569" s="135"/>
      <c r="E569" s="136"/>
      <c r="F569" s="124"/>
      <c r="G569" s="137"/>
      <c r="H569" s="137"/>
      <c r="I569" s="137"/>
      <c r="J569" s="137"/>
      <c r="K569" s="137"/>
      <c r="L569" s="137"/>
      <c r="M569" s="125">
        <f t="shared" si="65"/>
        <v>0</v>
      </c>
      <c r="N569" s="126">
        <f t="shared" si="66"/>
        <v>0</v>
      </c>
      <c r="O569" s="137"/>
      <c r="P569" s="23">
        <f t="shared" si="64"/>
        <v>0</v>
      </c>
      <c r="Q569" s="23">
        <f t="shared" si="67"/>
        <v>0</v>
      </c>
      <c r="R569" s="137"/>
      <c r="S569" s="23">
        <f t="shared" si="68"/>
        <v>0</v>
      </c>
      <c r="T569" s="123">
        <f t="shared" si="69"/>
        <v>0</v>
      </c>
      <c r="U569" s="138"/>
      <c r="V569" s="137"/>
      <c r="W569" s="137"/>
      <c r="X569" s="137"/>
      <c r="Y569" s="137"/>
      <c r="Z569" s="137"/>
      <c r="AA569" s="137"/>
      <c r="AB569" s="139"/>
    </row>
    <row r="570" spans="1:28">
      <c r="A570" s="97">
        <f t="shared" si="63"/>
        <v>572</v>
      </c>
      <c r="B570" s="115">
        <v>46112</v>
      </c>
      <c r="C570" s="116">
        <v>46315</v>
      </c>
      <c r="D570" s="135"/>
      <c r="E570" s="136"/>
      <c r="F570" s="124"/>
      <c r="G570" s="137"/>
      <c r="H570" s="137"/>
      <c r="I570" s="137"/>
      <c r="J570" s="137"/>
      <c r="K570" s="137"/>
      <c r="L570" s="137"/>
      <c r="M570" s="125">
        <f t="shared" si="65"/>
        <v>0</v>
      </c>
      <c r="N570" s="126">
        <f t="shared" si="66"/>
        <v>0</v>
      </c>
      <c r="O570" s="137"/>
      <c r="P570" s="23">
        <f t="shared" si="64"/>
        <v>0</v>
      </c>
      <c r="Q570" s="23">
        <f t="shared" si="67"/>
        <v>0</v>
      </c>
      <c r="R570" s="137"/>
      <c r="S570" s="23">
        <f t="shared" si="68"/>
        <v>0</v>
      </c>
      <c r="T570" s="123">
        <f t="shared" si="69"/>
        <v>0</v>
      </c>
      <c r="U570" s="138"/>
      <c r="V570" s="137"/>
      <c r="W570" s="137"/>
      <c r="X570" s="137"/>
      <c r="Y570" s="137"/>
      <c r="Z570" s="137"/>
      <c r="AA570" s="137"/>
      <c r="AB570" s="139"/>
    </row>
    <row r="571" spans="1:28">
      <c r="A571" s="97">
        <f t="shared" si="63"/>
        <v>573</v>
      </c>
      <c r="B571" s="115">
        <v>46112</v>
      </c>
      <c r="C571" s="116">
        <v>46316</v>
      </c>
      <c r="D571" s="135"/>
      <c r="E571" s="136"/>
      <c r="F571" s="124"/>
      <c r="G571" s="137"/>
      <c r="H571" s="137"/>
      <c r="I571" s="137"/>
      <c r="J571" s="137"/>
      <c r="K571" s="137"/>
      <c r="L571" s="137"/>
      <c r="M571" s="125">
        <f t="shared" si="65"/>
        <v>0</v>
      </c>
      <c r="N571" s="126">
        <f t="shared" si="66"/>
        <v>0</v>
      </c>
      <c r="O571" s="137"/>
      <c r="P571" s="23">
        <f t="shared" si="64"/>
        <v>0</v>
      </c>
      <c r="Q571" s="23">
        <f t="shared" si="67"/>
        <v>0</v>
      </c>
      <c r="R571" s="137"/>
      <c r="S571" s="23">
        <f t="shared" si="68"/>
        <v>0</v>
      </c>
      <c r="T571" s="123">
        <f t="shared" si="69"/>
        <v>0</v>
      </c>
      <c r="U571" s="138"/>
      <c r="V571" s="137"/>
      <c r="W571" s="137"/>
      <c r="X571" s="137"/>
      <c r="Y571" s="137"/>
      <c r="Z571" s="137"/>
      <c r="AA571" s="137"/>
      <c r="AB571" s="139"/>
    </row>
    <row r="572" spans="1:28">
      <c r="A572" s="97">
        <f t="shared" si="63"/>
        <v>574</v>
      </c>
      <c r="B572" s="115">
        <v>46112</v>
      </c>
      <c r="C572" s="116">
        <v>46317</v>
      </c>
      <c r="D572" s="135"/>
      <c r="E572" s="136"/>
      <c r="F572" s="124"/>
      <c r="G572" s="137"/>
      <c r="H572" s="137"/>
      <c r="I572" s="137"/>
      <c r="J572" s="137"/>
      <c r="K572" s="137"/>
      <c r="L572" s="137"/>
      <c r="M572" s="125">
        <f t="shared" si="65"/>
        <v>0</v>
      </c>
      <c r="N572" s="126">
        <f t="shared" si="66"/>
        <v>0</v>
      </c>
      <c r="O572" s="137"/>
      <c r="P572" s="23">
        <f t="shared" si="64"/>
        <v>0</v>
      </c>
      <c r="Q572" s="23">
        <f t="shared" si="67"/>
        <v>0</v>
      </c>
      <c r="R572" s="137"/>
      <c r="S572" s="23">
        <f t="shared" si="68"/>
        <v>0</v>
      </c>
      <c r="T572" s="123">
        <f t="shared" si="69"/>
        <v>0</v>
      </c>
      <c r="U572" s="138"/>
      <c r="V572" s="137"/>
      <c r="W572" s="137"/>
      <c r="X572" s="137"/>
      <c r="Y572" s="137"/>
      <c r="Z572" s="137"/>
      <c r="AA572" s="137"/>
      <c r="AB572" s="139"/>
    </row>
    <row r="573" spans="1:28">
      <c r="A573" s="97">
        <f t="shared" si="63"/>
        <v>575</v>
      </c>
      <c r="B573" s="115">
        <v>46112</v>
      </c>
      <c r="C573" s="116">
        <v>46318</v>
      </c>
      <c r="D573" s="135"/>
      <c r="E573" s="136"/>
      <c r="F573" s="124"/>
      <c r="G573" s="137"/>
      <c r="H573" s="137"/>
      <c r="I573" s="137"/>
      <c r="J573" s="137"/>
      <c r="K573" s="137"/>
      <c r="L573" s="137"/>
      <c r="M573" s="125">
        <f t="shared" si="65"/>
        <v>0</v>
      </c>
      <c r="N573" s="126">
        <f t="shared" si="66"/>
        <v>0</v>
      </c>
      <c r="O573" s="137"/>
      <c r="P573" s="23">
        <f t="shared" si="64"/>
        <v>0</v>
      </c>
      <c r="Q573" s="23">
        <f t="shared" si="67"/>
        <v>0</v>
      </c>
      <c r="R573" s="137"/>
      <c r="S573" s="23">
        <f t="shared" si="68"/>
        <v>0</v>
      </c>
      <c r="T573" s="123">
        <f t="shared" si="69"/>
        <v>0</v>
      </c>
      <c r="U573" s="138"/>
      <c r="V573" s="137"/>
      <c r="W573" s="137"/>
      <c r="X573" s="137"/>
      <c r="Y573" s="137"/>
      <c r="Z573" s="137"/>
      <c r="AA573" s="137"/>
      <c r="AB573" s="139"/>
    </row>
    <row r="574" spans="1:28">
      <c r="A574" s="97">
        <f t="shared" si="63"/>
        <v>576</v>
      </c>
      <c r="B574" s="115">
        <v>46112</v>
      </c>
      <c r="C574" s="116">
        <v>46319</v>
      </c>
      <c r="D574" s="135"/>
      <c r="E574" s="136"/>
      <c r="F574" s="124"/>
      <c r="G574" s="137"/>
      <c r="H574" s="137"/>
      <c r="I574" s="137"/>
      <c r="J574" s="137"/>
      <c r="K574" s="137"/>
      <c r="L574" s="137"/>
      <c r="M574" s="125">
        <f t="shared" si="65"/>
        <v>0</v>
      </c>
      <c r="N574" s="126">
        <f t="shared" si="66"/>
        <v>0</v>
      </c>
      <c r="O574" s="137"/>
      <c r="P574" s="23">
        <f t="shared" si="64"/>
        <v>0</v>
      </c>
      <c r="Q574" s="23">
        <f t="shared" si="67"/>
        <v>0</v>
      </c>
      <c r="R574" s="137"/>
      <c r="S574" s="23">
        <f t="shared" si="68"/>
        <v>0</v>
      </c>
      <c r="T574" s="123">
        <f t="shared" si="69"/>
        <v>0</v>
      </c>
      <c r="U574" s="138"/>
      <c r="V574" s="137"/>
      <c r="W574" s="137"/>
      <c r="X574" s="137"/>
      <c r="Y574" s="137"/>
      <c r="Z574" s="137"/>
      <c r="AA574" s="137"/>
      <c r="AB574" s="139"/>
    </row>
    <row r="575" spans="1:28">
      <c r="A575" s="97">
        <f t="shared" si="63"/>
        <v>577</v>
      </c>
      <c r="B575" s="115">
        <v>46112</v>
      </c>
      <c r="C575" s="116">
        <v>46320</v>
      </c>
      <c r="D575" s="135"/>
      <c r="E575" s="136"/>
      <c r="F575" s="124"/>
      <c r="G575" s="137"/>
      <c r="H575" s="137"/>
      <c r="I575" s="137"/>
      <c r="J575" s="137"/>
      <c r="K575" s="137"/>
      <c r="L575" s="137"/>
      <c r="M575" s="125">
        <f t="shared" si="65"/>
        <v>0</v>
      </c>
      <c r="N575" s="126">
        <f t="shared" si="66"/>
        <v>0</v>
      </c>
      <c r="O575" s="137"/>
      <c r="P575" s="23">
        <f t="shared" si="64"/>
        <v>0</v>
      </c>
      <c r="Q575" s="23">
        <f t="shared" si="67"/>
        <v>0</v>
      </c>
      <c r="R575" s="137"/>
      <c r="S575" s="23">
        <f t="shared" si="68"/>
        <v>0</v>
      </c>
      <c r="T575" s="123">
        <f t="shared" si="69"/>
        <v>0</v>
      </c>
      <c r="U575" s="138"/>
      <c r="V575" s="137"/>
      <c r="W575" s="137"/>
      <c r="X575" s="137"/>
      <c r="Y575" s="137"/>
      <c r="Z575" s="137"/>
      <c r="AA575" s="137"/>
      <c r="AB575" s="139"/>
    </row>
    <row r="576" spans="1:28">
      <c r="A576" s="97">
        <f t="shared" si="63"/>
        <v>578</v>
      </c>
      <c r="B576" s="115">
        <v>46112</v>
      </c>
      <c r="C576" s="116">
        <v>46321</v>
      </c>
      <c r="D576" s="135"/>
      <c r="E576" s="136"/>
      <c r="F576" s="124"/>
      <c r="G576" s="137"/>
      <c r="H576" s="137"/>
      <c r="I576" s="137"/>
      <c r="J576" s="137"/>
      <c r="K576" s="137"/>
      <c r="L576" s="137"/>
      <c r="M576" s="125">
        <f t="shared" si="65"/>
        <v>0</v>
      </c>
      <c r="N576" s="126">
        <f t="shared" si="66"/>
        <v>0</v>
      </c>
      <c r="O576" s="137"/>
      <c r="P576" s="23">
        <f t="shared" si="64"/>
        <v>0</v>
      </c>
      <c r="Q576" s="23">
        <f t="shared" si="67"/>
        <v>0</v>
      </c>
      <c r="R576" s="137"/>
      <c r="S576" s="23">
        <f t="shared" si="68"/>
        <v>0</v>
      </c>
      <c r="T576" s="123">
        <f t="shared" si="69"/>
        <v>0</v>
      </c>
      <c r="U576" s="138"/>
      <c r="V576" s="137"/>
      <c r="W576" s="137"/>
      <c r="X576" s="137"/>
      <c r="Y576" s="137"/>
      <c r="Z576" s="137"/>
      <c r="AA576" s="137"/>
      <c r="AB576" s="139"/>
    </row>
    <row r="577" spans="1:28">
      <c r="A577" s="97">
        <f t="shared" si="63"/>
        <v>579</v>
      </c>
      <c r="B577" s="115">
        <v>46112</v>
      </c>
      <c r="C577" s="116">
        <v>46322</v>
      </c>
      <c r="D577" s="135"/>
      <c r="E577" s="136"/>
      <c r="F577" s="124"/>
      <c r="G577" s="137"/>
      <c r="H577" s="137"/>
      <c r="I577" s="137"/>
      <c r="J577" s="137"/>
      <c r="K577" s="137"/>
      <c r="L577" s="137"/>
      <c r="M577" s="125">
        <f t="shared" si="65"/>
        <v>0</v>
      </c>
      <c r="N577" s="126">
        <f t="shared" si="66"/>
        <v>0</v>
      </c>
      <c r="O577" s="137"/>
      <c r="P577" s="23">
        <f t="shared" si="64"/>
        <v>0</v>
      </c>
      <c r="Q577" s="23">
        <f t="shared" si="67"/>
        <v>0</v>
      </c>
      <c r="R577" s="137"/>
      <c r="S577" s="23">
        <f t="shared" si="68"/>
        <v>0</v>
      </c>
      <c r="T577" s="123">
        <f t="shared" si="69"/>
        <v>0</v>
      </c>
      <c r="U577" s="138"/>
      <c r="V577" s="137"/>
      <c r="W577" s="137"/>
      <c r="X577" s="137"/>
      <c r="Y577" s="137"/>
      <c r="Z577" s="137"/>
      <c r="AA577" s="137"/>
      <c r="AB577" s="139"/>
    </row>
    <row r="578" spans="1:28">
      <c r="A578" s="97">
        <f t="shared" si="63"/>
        <v>580</v>
      </c>
      <c r="B578" s="115">
        <v>46112</v>
      </c>
      <c r="C578" s="116">
        <v>46323</v>
      </c>
      <c r="D578" s="135"/>
      <c r="E578" s="136"/>
      <c r="F578" s="124"/>
      <c r="G578" s="137"/>
      <c r="H578" s="137"/>
      <c r="I578" s="137"/>
      <c r="J578" s="137"/>
      <c r="K578" s="137"/>
      <c r="L578" s="137"/>
      <c r="M578" s="125">
        <f t="shared" si="65"/>
        <v>0</v>
      </c>
      <c r="N578" s="126">
        <f t="shared" si="66"/>
        <v>0</v>
      </c>
      <c r="O578" s="137"/>
      <c r="P578" s="23">
        <f t="shared" si="64"/>
        <v>0</v>
      </c>
      <c r="Q578" s="23">
        <f t="shared" si="67"/>
        <v>0</v>
      </c>
      <c r="R578" s="137"/>
      <c r="S578" s="23">
        <f t="shared" si="68"/>
        <v>0</v>
      </c>
      <c r="T578" s="123">
        <f t="shared" si="69"/>
        <v>0</v>
      </c>
      <c r="U578" s="138"/>
      <c r="V578" s="137"/>
      <c r="W578" s="137"/>
      <c r="X578" s="137"/>
      <c r="Y578" s="137"/>
      <c r="Z578" s="137"/>
      <c r="AA578" s="137"/>
      <c r="AB578" s="139"/>
    </row>
    <row r="579" spans="1:28">
      <c r="A579" s="97">
        <f t="shared" ref="A579:A642" si="70">A578+1</f>
        <v>581</v>
      </c>
      <c r="B579" s="115">
        <v>46112</v>
      </c>
      <c r="C579" s="116">
        <v>46324</v>
      </c>
      <c r="D579" s="135"/>
      <c r="E579" s="136"/>
      <c r="F579" s="124"/>
      <c r="G579" s="137"/>
      <c r="H579" s="137"/>
      <c r="I579" s="137"/>
      <c r="J579" s="137"/>
      <c r="K579" s="137"/>
      <c r="L579" s="137"/>
      <c r="M579" s="125">
        <f t="shared" si="65"/>
        <v>0</v>
      </c>
      <c r="N579" s="126">
        <f t="shared" si="66"/>
        <v>0</v>
      </c>
      <c r="O579" s="137"/>
      <c r="P579" s="23">
        <f t="shared" ref="P579:P642" si="71">MAX((O579-N579)*3000,0)</f>
        <v>0</v>
      </c>
      <c r="Q579" s="23">
        <f t="shared" si="67"/>
        <v>0</v>
      </c>
      <c r="R579" s="137"/>
      <c r="S579" s="23">
        <f t="shared" si="68"/>
        <v>0</v>
      </c>
      <c r="T579" s="123">
        <f t="shared" si="69"/>
        <v>0</v>
      </c>
      <c r="U579" s="138"/>
      <c r="V579" s="137"/>
      <c r="W579" s="137"/>
      <c r="X579" s="137"/>
      <c r="Y579" s="137"/>
      <c r="Z579" s="137"/>
      <c r="AA579" s="137"/>
      <c r="AB579" s="139"/>
    </row>
    <row r="580" spans="1:28">
      <c r="A580" s="97">
        <f t="shared" si="70"/>
        <v>582</v>
      </c>
      <c r="B580" s="115">
        <v>46112</v>
      </c>
      <c r="C580" s="116">
        <v>46325</v>
      </c>
      <c r="D580" s="135"/>
      <c r="E580" s="136"/>
      <c r="F580" s="124"/>
      <c r="G580" s="137"/>
      <c r="H580" s="137"/>
      <c r="I580" s="137"/>
      <c r="J580" s="137"/>
      <c r="K580" s="137"/>
      <c r="L580" s="137"/>
      <c r="M580" s="125">
        <f t="shared" ref="M580:M643" si="72">SUM(F580:L580)</f>
        <v>0</v>
      </c>
      <c r="N580" s="126">
        <f t="shared" si="66"/>
        <v>0</v>
      </c>
      <c r="O580" s="137"/>
      <c r="P580" s="23">
        <f t="shared" si="71"/>
        <v>0</v>
      </c>
      <c r="Q580" s="23">
        <f t="shared" si="67"/>
        <v>0</v>
      </c>
      <c r="R580" s="137"/>
      <c r="S580" s="23">
        <f t="shared" si="68"/>
        <v>0</v>
      </c>
      <c r="T580" s="123">
        <f t="shared" si="69"/>
        <v>0</v>
      </c>
      <c r="U580" s="138"/>
      <c r="V580" s="137"/>
      <c r="W580" s="137"/>
      <c r="X580" s="137"/>
      <c r="Y580" s="137"/>
      <c r="Z580" s="137"/>
      <c r="AA580" s="137"/>
      <c r="AB580" s="139"/>
    </row>
    <row r="581" spans="1:28">
      <c r="A581" s="97">
        <f t="shared" si="70"/>
        <v>583</v>
      </c>
      <c r="B581" s="115">
        <v>46112</v>
      </c>
      <c r="C581" s="116">
        <v>46326</v>
      </c>
      <c r="D581" s="135"/>
      <c r="E581" s="136"/>
      <c r="F581" s="124"/>
      <c r="G581" s="137"/>
      <c r="H581" s="137"/>
      <c r="I581" s="137"/>
      <c r="J581" s="137"/>
      <c r="K581" s="137"/>
      <c r="L581" s="137"/>
      <c r="M581" s="125">
        <f t="shared" si="72"/>
        <v>0</v>
      </c>
      <c r="N581" s="126">
        <f t="shared" si="66"/>
        <v>0</v>
      </c>
      <c r="O581" s="137"/>
      <c r="P581" s="23">
        <f t="shared" si="71"/>
        <v>0</v>
      </c>
      <c r="Q581" s="23">
        <f t="shared" si="67"/>
        <v>0</v>
      </c>
      <c r="R581" s="137"/>
      <c r="S581" s="23">
        <f t="shared" si="68"/>
        <v>0</v>
      </c>
      <c r="T581" s="123">
        <f t="shared" si="69"/>
        <v>0</v>
      </c>
      <c r="U581" s="138"/>
      <c r="V581" s="137"/>
      <c r="W581" s="137"/>
      <c r="X581" s="137"/>
      <c r="Y581" s="137"/>
      <c r="Z581" s="137"/>
      <c r="AA581" s="137"/>
      <c r="AB581" s="139"/>
    </row>
    <row r="582" spans="1:28">
      <c r="A582" s="97">
        <f t="shared" si="70"/>
        <v>584</v>
      </c>
      <c r="B582" s="115">
        <v>46112</v>
      </c>
      <c r="C582" s="116">
        <v>46327</v>
      </c>
      <c r="D582" s="135"/>
      <c r="E582" s="136"/>
      <c r="F582" s="124"/>
      <c r="G582" s="137"/>
      <c r="H582" s="137"/>
      <c r="I582" s="137"/>
      <c r="J582" s="137"/>
      <c r="K582" s="137"/>
      <c r="L582" s="137"/>
      <c r="M582" s="125">
        <f t="shared" si="72"/>
        <v>0</v>
      </c>
      <c r="N582" s="126">
        <f t="shared" si="66"/>
        <v>0</v>
      </c>
      <c r="O582" s="137"/>
      <c r="P582" s="23">
        <f t="shared" si="71"/>
        <v>0</v>
      </c>
      <c r="Q582" s="23">
        <f t="shared" si="67"/>
        <v>0</v>
      </c>
      <c r="R582" s="137"/>
      <c r="S582" s="23">
        <f t="shared" si="68"/>
        <v>0</v>
      </c>
      <c r="T582" s="123">
        <f t="shared" si="69"/>
        <v>0</v>
      </c>
      <c r="U582" s="138"/>
      <c r="V582" s="137"/>
      <c r="W582" s="137"/>
      <c r="X582" s="137"/>
      <c r="Y582" s="137"/>
      <c r="Z582" s="137"/>
      <c r="AA582" s="137"/>
      <c r="AB582" s="139"/>
    </row>
    <row r="583" spans="1:28">
      <c r="A583" s="97">
        <f t="shared" si="70"/>
        <v>585</v>
      </c>
      <c r="B583" s="115">
        <v>46112</v>
      </c>
      <c r="C583" s="116">
        <v>46328</v>
      </c>
      <c r="D583" s="135"/>
      <c r="E583" s="136"/>
      <c r="F583" s="124"/>
      <c r="G583" s="137"/>
      <c r="H583" s="137"/>
      <c r="I583" s="137"/>
      <c r="J583" s="137"/>
      <c r="K583" s="137"/>
      <c r="L583" s="137"/>
      <c r="M583" s="125">
        <f t="shared" si="72"/>
        <v>0</v>
      </c>
      <c r="N583" s="126">
        <f t="shared" si="66"/>
        <v>0</v>
      </c>
      <c r="O583" s="137"/>
      <c r="P583" s="23">
        <f t="shared" si="71"/>
        <v>0</v>
      </c>
      <c r="Q583" s="23">
        <f t="shared" si="67"/>
        <v>0</v>
      </c>
      <c r="R583" s="137"/>
      <c r="S583" s="23">
        <f t="shared" si="68"/>
        <v>0</v>
      </c>
      <c r="T583" s="123">
        <f t="shared" si="69"/>
        <v>0</v>
      </c>
      <c r="U583" s="138"/>
      <c r="V583" s="137"/>
      <c r="W583" s="137"/>
      <c r="X583" s="137"/>
      <c r="Y583" s="137"/>
      <c r="Z583" s="137"/>
      <c r="AA583" s="137"/>
      <c r="AB583" s="139"/>
    </row>
    <row r="584" spans="1:28">
      <c r="A584" s="97">
        <f t="shared" si="70"/>
        <v>586</v>
      </c>
      <c r="B584" s="115">
        <v>46112</v>
      </c>
      <c r="C584" s="116">
        <v>46329</v>
      </c>
      <c r="D584" s="135"/>
      <c r="E584" s="136"/>
      <c r="F584" s="124"/>
      <c r="G584" s="137"/>
      <c r="H584" s="137"/>
      <c r="I584" s="137"/>
      <c r="J584" s="137"/>
      <c r="K584" s="137"/>
      <c r="L584" s="137"/>
      <c r="M584" s="125">
        <f t="shared" si="72"/>
        <v>0</v>
      </c>
      <c r="N584" s="126">
        <f t="shared" si="66"/>
        <v>0</v>
      </c>
      <c r="O584" s="137"/>
      <c r="P584" s="23">
        <f t="shared" si="71"/>
        <v>0</v>
      </c>
      <c r="Q584" s="23">
        <f t="shared" si="67"/>
        <v>0</v>
      </c>
      <c r="R584" s="137"/>
      <c r="S584" s="23">
        <f t="shared" si="68"/>
        <v>0</v>
      </c>
      <c r="T584" s="123">
        <f t="shared" si="69"/>
        <v>0</v>
      </c>
      <c r="U584" s="138"/>
      <c r="V584" s="137"/>
      <c r="W584" s="137"/>
      <c r="X584" s="137"/>
      <c r="Y584" s="137"/>
      <c r="Z584" s="137"/>
      <c r="AA584" s="137"/>
      <c r="AB584" s="139"/>
    </row>
    <row r="585" spans="1:28">
      <c r="A585" s="97">
        <f t="shared" si="70"/>
        <v>587</v>
      </c>
      <c r="B585" s="115">
        <v>46112</v>
      </c>
      <c r="C585" s="116">
        <v>46330</v>
      </c>
      <c r="D585" s="135"/>
      <c r="E585" s="136"/>
      <c r="F585" s="124"/>
      <c r="G585" s="137"/>
      <c r="H585" s="137"/>
      <c r="I585" s="137"/>
      <c r="J585" s="137"/>
      <c r="K585" s="137"/>
      <c r="L585" s="137"/>
      <c r="M585" s="125">
        <f t="shared" si="72"/>
        <v>0</v>
      </c>
      <c r="N585" s="126">
        <f t="shared" si="66"/>
        <v>0</v>
      </c>
      <c r="O585" s="137"/>
      <c r="P585" s="23">
        <f t="shared" si="71"/>
        <v>0</v>
      </c>
      <c r="Q585" s="23">
        <f t="shared" si="67"/>
        <v>0</v>
      </c>
      <c r="R585" s="137"/>
      <c r="S585" s="23">
        <f t="shared" si="68"/>
        <v>0</v>
      </c>
      <c r="T585" s="123">
        <f t="shared" si="69"/>
        <v>0</v>
      </c>
      <c r="U585" s="138"/>
      <c r="V585" s="137"/>
      <c r="W585" s="137"/>
      <c r="X585" s="137"/>
      <c r="Y585" s="137"/>
      <c r="Z585" s="137"/>
      <c r="AA585" s="137"/>
      <c r="AB585" s="139"/>
    </row>
    <row r="586" spans="1:28">
      <c r="A586" s="97">
        <f t="shared" si="70"/>
        <v>588</v>
      </c>
      <c r="B586" s="115">
        <v>46112</v>
      </c>
      <c r="C586" s="116">
        <v>46331</v>
      </c>
      <c r="D586" s="135"/>
      <c r="E586" s="136"/>
      <c r="F586" s="124"/>
      <c r="G586" s="137"/>
      <c r="H586" s="137"/>
      <c r="I586" s="137"/>
      <c r="J586" s="137"/>
      <c r="K586" s="137"/>
      <c r="L586" s="137"/>
      <c r="M586" s="125">
        <f t="shared" si="72"/>
        <v>0</v>
      </c>
      <c r="N586" s="126">
        <f t="shared" si="66"/>
        <v>0</v>
      </c>
      <c r="O586" s="137"/>
      <c r="P586" s="23">
        <f t="shared" si="71"/>
        <v>0</v>
      </c>
      <c r="Q586" s="23">
        <f t="shared" si="67"/>
        <v>0</v>
      </c>
      <c r="R586" s="137"/>
      <c r="S586" s="23">
        <f t="shared" si="68"/>
        <v>0</v>
      </c>
      <c r="T586" s="123">
        <f t="shared" si="69"/>
        <v>0</v>
      </c>
      <c r="U586" s="138"/>
      <c r="V586" s="137"/>
      <c r="W586" s="137"/>
      <c r="X586" s="137"/>
      <c r="Y586" s="137"/>
      <c r="Z586" s="137"/>
      <c r="AA586" s="137"/>
      <c r="AB586" s="139"/>
    </row>
    <row r="587" spans="1:28">
      <c r="A587" s="97">
        <f t="shared" si="70"/>
        <v>589</v>
      </c>
      <c r="B587" s="115">
        <v>46112</v>
      </c>
      <c r="C587" s="116">
        <v>46332</v>
      </c>
      <c r="D587" s="135"/>
      <c r="E587" s="136"/>
      <c r="F587" s="124"/>
      <c r="G587" s="137"/>
      <c r="H587" s="137"/>
      <c r="I587" s="137"/>
      <c r="J587" s="137"/>
      <c r="K587" s="137"/>
      <c r="L587" s="137"/>
      <c r="M587" s="125">
        <f t="shared" si="72"/>
        <v>0</v>
      </c>
      <c r="N587" s="126">
        <f t="shared" si="66"/>
        <v>0</v>
      </c>
      <c r="O587" s="137"/>
      <c r="P587" s="23">
        <f t="shared" si="71"/>
        <v>0</v>
      </c>
      <c r="Q587" s="23">
        <f t="shared" si="67"/>
        <v>0</v>
      </c>
      <c r="R587" s="137"/>
      <c r="S587" s="23">
        <f t="shared" si="68"/>
        <v>0</v>
      </c>
      <c r="T587" s="123">
        <f t="shared" si="69"/>
        <v>0</v>
      </c>
      <c r="U587" s="138"/>
      <c r="V587" s="137"/>
      <c r="W587" s="137"/>
      <c r="X587" s="137"/>
      <c r="Y587" s="137"/>
      <c r="Z587" s="137"/>
      <c r="AA587" s="137"/>
      <c r="AB587" s="139"/>
    </row>
    <row r="588" spans="1:28">
      <c r="A588" s="97">
        <f t="shared" si="70"/>
        <v>590</v>
      </c>
      <c r="B588" s="115">
        <v>46112</v>
      </c>
      <c r="C588" s="116">
        <v>46333</v>
      </c>
      <c r="D588" s="135"/>
      <c r="E588" s="136"/>
      <c r="F588" s="124"/>
      <c r="G588" s="137"/>
      <c r="H588" s="137"/>
      <c r="I588" s="137"/>
      <c r="J588" s="137"/>
      <c r="K588" s="137"/>
      <c r="L588" s="137"/>
      <c r="M588" s="125">
        <f t="shared" si="72"/>
        <v>0</v>
      </c>
      <c r="N588" s="126">
        <f t="shared" si="66"/>
        <v>0</v>
      </c>
      <c r="O588" s="137"/>
      <c r="P588" s="23">
        <f t="shared" si="71"/>
        <v>0</v>
      </c>
      <c r="Q588" s="23">
        <f t="shared" si="67"/>
        <v>0</v>
      </c>
      <c r="R588" s="137"/>
      <c r="S588" s="23">
        <f t="shared" si="68"/>
        <v>0</v>
      </c>
      <c r="T588" s="123">
        <f t="shared" si="69"/>
        <v>0</v>
      </c>
      <c r="U588" s="138"/>
      <c r="V588" s="137"/>
      <c r="W588" s="137"/>
      <c r="X588" s="137"/>
      <c r="Y588" s="137"/>
      <c r="Z588" s="137"/>
      <c r="AA588" s="137"/>
      <c r="AB588" s="139"/>
    </row>
    <row r="589" spans="1:28">
      <c r="A589" s="97">
        <f t="shared" si="70"/>
        <v>591</v>
      </c>
      <c r="B589" s="115">
        <v>46112</v>
      </c>
      <c r="C589" s="116">
        <v>46334</v>
      </c>
      <c r="D589" s="135"/>
      <c r="E589" s="136"/>
      <c r="F589" s="124"/>
      <c r="G589" s="137"/>
      <c r="H589" s="137"/>
      <c r="I589" s="137"/>
      <c r="J589" s="137"/>
      <c r="K589" s="137"/>
      <c r="L589" s="137"/>
      <c r="M589" s="125">
        <f t="shared" si="72"/>
        <v>0</v>
      </c>
      <c r="N589" s="126">
        <f t="shared" ref="N589:N652" si="73">O588</f>
        <v>0</v>
      </c>
      <c r="O589" s="137"/>
      <c r="P589" s="23">
        <f t="shared" si="71"/>
        <v>0</v>
      </c>
      <c r="Q589" s="23">
        <f t="shared" ref="Q589:Q652" si="74">R588</f>
        <v>0</v>
      </c>
      <c r="R589" s="137"/>
      <c r="S589" s="23">
        <f t="shared" si="68"/>
        <v>0</v>
      </c>
      <c r="T589" s="123">
        <f t="shared" si="69"/>
        <v>0</v>
      </c>
      <c r="U589" s="138"/>
      <c r="V589" s="137"/>
      <c r="W589" s="137"/>
      <c r="X589" s="137"/>
      <c r="Y589" s="137"/>
      <c r="Z589" s="137"/>
      <c r="AA589" s="137"/>
      <c r="AB589" s="139"/>
    </row>
    <row r="590" spans="1:28">
      <c r="A590" s="97">
        <f t="shared" si="70"/>
        <v>592</v>
      </c>
      <c r="B590" s="115">
        <v>46112</v>
      </c>
      <c r="C590" s="116">
        <v>46335</v>
      </c>
      <c r="D590" s="135"/>
      <c r="E590" s="136"/>
      <c r="F590" s="124"/>
      <c r="G590" s="137"/>
      <c r="H590" s="137"/>
      <c r="I590" s="137"/>
      <c r="J590" s="137"/>
      <c r="K590" s="137"/>
      <c r="L590" s="137"/>
      <c r="M590" s="125">
        <f t="shared" si="72"/>
        <v>0</v>
      </c>
      <c r="N590" s="126">
        <f t="shared" si="73"/>
        <v>0</v>
      </c>
      <c r="O590" s="137"/>
      <c r="P590" s="23">
        <f t="shared" si="71"/>
        <v>0</v>
      </c>
      <c r="Q590" s="23">
        <f t="shared" si="74"/>
        <v>0</v>
      </c>
      <c r="R590" s="137"/>
      <c r="S590" s="23">
        <f t="shared" si="68"/>
        <v>0</v>
      </c>
      <c r="T590" s="123">
        <f t="shared" si="69"/>
        <v>0</v>
      </c>
      <c r="U590" s="138"/>
      <c r="V590" s="137"/>
      <c r="W590" s="137"/>
      <c r="X590" s="137"/>
      <c r="Y590" s="137"/>
      <c r="Z590" s="137"/>
      <c r="AA590" s="137"/>
      <c r="AB590" s="139"/>
    </row>
    <row r="591" spans="1:28">
      <c r="A591" s="97">
        <f t="shared" si="70"/>
        <v>593</v>
      </c>
      <c r="B591" s="115">
        <v>46112</v>
      </c>
      <c r="C591" s="116">
        <v>46336</v>
      </c>
      <c r="D591" s="135"/>
      <c r="E591" s="136"/>
      <c r="F591" s="124"/>
      <c r="G591" s="137"/>
      <c r="H591" s="137"/>
      <c r="I591" s="137"/>
      <c r="J591" s="137"/>
      <c r="K591" s="137"/>
      <c r="L591" s="137"/>
      <c r="M591" s="125">
        <f t="shared" si="72"/>
        <v>0</v>
      </c>
      <c r="N591" s="126">
        <f t="shared" si="73"/>
        <v>0</v>
      </c>
      <c r="O591" s="137"/>
      <c r="P591" s="23">
        <f t="shared" si="71"/>
        <v>0</v>
      </c>
      <c r="Q591" s="23">
        <f t="shared" si="74"/>
        <v>0</v>
      </c>
      <c r="R591" s="137"/>
      <c r="S591" s="23">
        <f t="shared" si="68"/>
        <v>0</v>
      </c>
      <c r="T591" s="123">
        <f t="shared" si="69"/>
        <v>0</v>
      </c>
      <c r="U591" s="138"/>
      <c r="V591" s="137"/>
      <c r="W591" s="137"/>
      <c r="X591" s="137"/>
      <c r="Y591" s="137"/>
      <c r="Z591" s="137"/>
      <c r="AA591" s="137"/>
      <c r="AB591" s="139"/>
    </row>
    <row r="592" spans="1:28">
      <c r="A592" s="97">
        <f t="shared" si="70"/>
        <v>594</v>
      </c>
      <c r="B592" s="115">
        <v>46112</v>
      </c>
      <c r="C592" s="116">
        <v>46337</v>
      </c>
      <c r="D592" s="135"/>
      <c r="E592" s="136"/>
      <c r="F592" s="124"/>
      <c r="G592" s="137"/>
      <c r="H592" s="137"/>
      <c r="I592" s="137"/>
      <c r="J592" s="137"/>
      <c r="K592" s="137"/>
      <c r="L592" s="137"/>
      <c r="M592" s="125">
        <f t="shared" si="72"/>
        <v>0</v>
      </c>
      <c r="N592" s="126">
        <f t="shared" si="73"/>
        <v>0</v>
      </c>
      <c r="O592" s="137"/>
      <c r="P592" s="23">
        <f t="shared" si="71"/>
        <v>0</v>
      </c>
      <c r="Q592" s="23">
        <f t="shared" si="74"/>
        <v>0</v>
      </c>
      <c r="R592" s="137"/>
      <c r="S592" s="23">
        <f t="shared" si="68"/>
        <v>0</v>
      </c>
      <c r="T592" s="123">
        <f t="shared" si="69"/>
        <v>0</v>
      </c>
      <c r="U592" s="138"/>
      <c r="V592" s="137"/>
      <c r="W592" s="137"/>
      <c r="X592" s="137"/>
      <c r="Y592" s="137"/>
      <c r="Z592" s="137"/>
      <c r="AA592" s="137"/>
      <c r="AB592" s="139"/>
    </row>
    <row r="593" spans="1:28">
      <c r="A593" s="97">
        <f t="shared" si="70"/>
        <v>595</v>
      </c>
      <c r="B593" s="115">
        <v>46112</v>
      </c>
      <c r="C593" s="116">
        <v>46338</v>
      </c>
      <c r="D593" s="135"/>
      <c r="E593" s="136"/>
      <c r="F593" s="124"/>
      <c r="G593" s="137"/>
      <c r="H593" s="137"/>
      <c r="I593" s="137"/>
      <c r="J593" s="137"/>
      <c r="K593" s="137"/>
      <c r="L593" s="137"/>
      <c r="M593" s="125">
        <f t="shared" si="72"/>
        <v>0</v>
      </c>
      <c r="N593" s="126">
        <f t="shared" si="73"/>
        <v>0</v>
      </c>
      <c r="O593" s="137"/>
      <c r="P593" s="23">
        <f t="shared" si="71"/>
        <v>0</v>
      </c>
      <c r="Q593" s="23">
        <f t="shared" si="74"/>
        <v>0</v>
      </c>
      <c r="R593" s="137"/>
      <c r="S593" s="23">
        <f t="shared" si="68"/>
        <v>0</v>
      </c>
      <c r="T593" s="123">
        <f t="shared" si="69"/>
        <v>0</v>
      </c>
      <c r="U593" s="138"/>
      <c r="V593" s="137"/>
      <c r="W593" s="137"/>
      <c r="X593" s="137"/>
      <c r="Y593" s="137"/>
      <c r="Z593" s="137"/>
      <c r="AA593" s="137"/>
      <c r="AB593" s="139"/>
    </row>
    <row r="594" spans="1:28">
      <c r="A594" s="97">
        <f t="shared" si="70"/>
        <v>596</v>
      </c>
      <c r="B594" s="115">
        <v>46112</v>
      </c>
      <c r="C594" s="116">
        <v>46339</v>
      </c>
      <c r="D594" s="135"/>
      <c r="E594" s="136"/>
      <c r="F594" s="124"/>
      <c r="G594" s="137"/>
      <c r="H594" s="137"/>
      <c r="I594" s="137"/>
      <c r="J594" s="137"/>
      <c r="K594" s="137"/>
      <c r="L594" s="137"/>
      <c r="M594" s="125">
        <f t="shared" si="72"/>
        <v>0</v>
      </c>
      <c r="N594" s="126">
        <f t="shared" si="73"/>
        <v>0</v>
      </c>
      <c r="O594" s="137"/>
      <c r="P594" s="23">
        <f t="shared" si="71"/>
        <v>0</v>
      </c>
      <c r="Q594" s="23">
        <f t="shared" si="74"/>
        <v>0</v>
      </c>
      <c r="R594" s="137"/>
      <c r="S594" s="23">
        <f t="shared" si="68"/>
        <v>0</v>
      </c>
      <c r="T594" s="123">
        <f t="shared" si="69"/>
        <v>0</v>
      </c>
      <c r="U594" s="138"/>
      <c r="V594" s="137"/>
      <c r="W594" s="137"/>
      <c r="X594" s="137"/>
      <c r="Y594" s="137"/>
      <c r="Z594" s="137"/>
      <c r="AA594" s="137"/>
      <c r="AB594" s="139"/>
    </row>
    <row r="595" spans="1:28">
      <c r="A595" s="97">
        <f t="shared" si="70"/>
        <v>597</v>
      </c>
      <c r="B595" s="115">
        <v>46112</v>
      </c>
      <c r="C595" s="116">
        <v>46340</v>
      </c>
      <c r="D595" s="135"/>
      <c r="E595" s="136"/>
      <c r="F595" s="124"/>
      <c r="G595" s="137"/>
      <c r="H595" s="137"/>
      <c r="I595" s="137"/>
      <c r="J595" s="137"/>
      <c r="K595" s="137"/>
      <c r="L595" s="137"/>
      <c r="M595" s="125">
        <f t="shared" si="72"/>
        <v>0</v>
      </c>
      <c r="N595" s="126">
        <f t="shared" si="73"/>
        <v>0</v>
      </c>
      <c r="O595" s="137"/>
      <c r="P595" s="23">
        <f t="shared" si="71"/>
        <v>0</v>
      </c>
      <c r="Q595" s="23">
        <f t="shared" si="74"/>
        <v>0</v>
      </c>
      <c r="R595" s="137"/>
      <c r="S595" s="23">
        <f t="shared" si="68"/>
        <v>0</v>
      </c>
      <c r="T595" s="123">
        <f t="shared" si="69"/>
        <v>0</v>
      </c>
      <c r="U595" s="138"/>
      <c r="V595" s="137"/>
      <c r="W595" s="137"/>
      <c r="X595" s="137"/>
      <c r="Y595" s="137"/>
      <c r="Z595" s="137"/>
      <c r="AA595" s="137"/>
      <c r="AB595" s="139"/>
    </row>
    <row r="596" spans="1:28">
      <c r="A596" s="97">
        <f t="shared" si="70"/>
        <v>598</v>
      </c>
      <c r="B596" s="115">
        <v>46112</v>
      </c>
      <c r="C596" s="116">
        <v>46341</v>
      </c>
      <c r="D596" s="135"/>
      <c r="E596" s="136"/>
      <c r="F596" s="124"/>
      <c r="G596" s="137"/>
      <c r="H596" s="137"/>
      <c r="I596" s="137"/>
      <c r="J596" s="137"/>
      <c r="K596" s="137"/>
      <c r="L596" s="137"/>
      <c r="M596" s="125">
        <f t="shared" si="72"/>
        <v>0</v>
      </c>
      <c r="N596" s="126">
        <f t="shared" si="73"/>
        <v>0</v>
      </c>
      <c r="O596" s="137"/>
      <c r="P596" s="23">
        <f t="shared" si="71"/>
        <v>0</v>
      </c>
      <c r="Q596" s="23">
        <f t="shared" si="74"/>
        <v>0</v>
      </c>
      <c r="R596" s="137"/>
      <c r="S596" s="23">
        <f t="shared" si="68"/>
        <v>0</v>
      </c>
      <c r="T596" s="123">
        <f t="shared" si="69"/>
        <v>0</v>
      </c>
      <c r="U596" s="138"/>
      <c r="V596" s="137"/>
      <c r="W596" s="137"/>
      <c r="X596" s="137"/>
      <c r="Y596" s="137"/>
      <c r="Z596" s="137"/>
      <c r="AA596" s="137"/>
      <c r="AB596" s="139"/>
    </row>
    <row r="597" spans="1:28">
      <c r="A597" s="97">
        <f t="shared" si="70"/>
        <v>599</v>
      </c>
      <c r="B597" s="115">
        <v>46112</v>
      </c>
      <c r="C597" s="116">
        <v>46342</v>
      </c>
      <c r="D597" s="135"/>
      <c r="E597" s="136"/>
      <c r="F597" s="124"/>
      <c r="G597" s="137"/>
      <c r="H597" s="137"/>
      <c r="I597" s="137"/>
      <c r="J597" s="137"/>
      <c r="K597" s="137"/>
      <c r="L597" s="137"/>
      <c r="M597" s="125">
        <f t="shared" si="72"/>
        <v>0</v>
      </c>
      <c r="N597" s="126">
        <f t="shared" si="73"/>
        <v>0</v>
      </c>
      <c r="O597" s="137"/>
      <c r="P597" s="23">
        <f t="shared" si="71"/>
        <v>0</v>
      </c>
      <c r="Q597" s="23">
        <f t="shared" si="74"/>
        <v>0</v>
      </c>
      <c r="R597" s="137"/>
      <c r="S597" s="23">
        <f t="shared" si="68"/>
        <v>0</v>
      </c>
      <c r="T597" s="123">
        <f t="shared" si="69"/>
        <v>0</v>
      </c>
      <c r="U597" s="138"/>
      <c r="V597" s="137"/>
      <c r="W597" s="137"/>
      <c r="X597" s="137"/>
      <c r="Y597" s="137"/>
      <c r="Z597" s="137"/>
      <c r="AA597" s="137"/>
      <c r="AB597" s="139"/>
    </row>
    <row r="598" spans="1:28">
      <c r="A598" s="97">
        <f t="shared" si="70"/>
        <v>600</v>
      </c>
      <c r="B598" s="115">
        <v>46112</v>
      </c>
      <c r="C598" s="116">
        <v>46343</v>
      </c>
      <c r="D598" s="135"/>
      <c r="E598" s="136"/>
      <c r="F598" s="124"/>
      <c r="G598" s="137"/>
      <c r="H598" s="137"/>
      <c r="I598" s="137"/>
      <c r="J598" s="137"/>
      <c r="K598" s="137"/>
      <c r="L598" s="137"/>
      <c r="M598" s="125">
        <f t="shared" si="72"/>
        <v>0</v>
      </c>
      <c r="N598" s="126">
        <f t="shared" si="73"/>
        <v>0</v>
      </c>
      <c r="O598" s="137"/>
      <c r="P598" s="23">
        <f t="shared" si="71"/>
        <v>0</v>
      </c>
      <c r="Q598" s="23">
        <f t="shared" si="74"/>
        <v>0</v>
      </c>
      <c r="R598" s="137"/>
      <c r="S598" s="23">
        <f t="shared" si="68"/>
        <v>0</v>
      </c>
      <c r="T598" s="123">
        <f t="shared" si="69"/>
        <v>0</v>
      </c>
      <c r="U598" s="138"/>
      <c r="V598" s="137"/>
      <c r="W598" s="137"/>
      <c r="X598" s="137"/>
      <c r="Y598" s="137"/>
      <c r="Z598" s="137"/>
      <c r="AA598" s="137"/>
      <c r="AB598" s="139"/>
    </row>
    <row r="599" spans="1:28">
      <c r="A599" s="97">
        <f t="shared" si="70"/>
        <v>601</v>
      </c>
      <c r="B599" s="115">
        <v>46112</v>
      </c>
      <c r="C599" s="116">
        <v>46344</v>
      </c>
      <c r="D599" s="135"/>
      <c r="E599" s="136"/>
      <c r="F599" s="124"/>
      <c r="G599" s="137"/>
      <c r="H599" s="137"/>
      <c r="I599" s="137"/>
      <c r="J599" s="137"/>
      <c r="K599" s="137"/>
      <c r="L599" s="137"/>
      <c r="M599" s="125">
        <f t="shared" si="72"/>
        <v>0</v>
      </c>
      <c r="N599" s="126">
        <f t="shared" si="73"/>
        <v>0</v>
      </c>
      <c r="O599" s="137"/>
      <c r="P599" s="23">
        <f t="shared" si="71"/>
        <v>0</v>
      </c>
      <c r="Q599" s="23">
        <f t="shared" si="74"/>
        <v>0</v>
      </c>
      <c r="R599" s="137"/>
      <c r="S599" s="23">
        <f t="shared" si="68"/>
        <v>0</v>
      </c>
      <c r="T599" s="123">
        <f t="shared" si="69"/>
        <v>0</v>
      </c>
      <c r="U599" s="138"/>
      <c r="V599" s="137"/>
      <c r="W599" s="137"/>
      <c r="X599" s="137"/>
      <c r="Y599" s="137"/>
      <c r="Z599" s="137"/>
      <c r="AA599" s="137"/>
      <c r="AB599" s="139"/>
    </row>
    <row r="600" spans="1:28">
      <c r="A600" s="97">
        <f t="shared" si="70"/>
        <v>602</v>
      </c>
      <c r="B600" s="115">
        <v>46112</v>
      </c>
      <c r="C600" s="116">
        <v>46345</v>
      </c>
      <c r="D600" s="135"/>
      <c r="E600" s="136"/>
      <c r="F600" s="124"/>
      <c r="G600" s="137"/>
      <c r="H600" s="137"/>
      <c r="I600" s="137"/>
      <c r="J600" s="137"/>
      <c r="K600" s="137"/>
      <c r="L600" s="137"/>
      <c r="M600" s="125">
        <f t="shared" si="72"/>
        <v>0</v>
      </c>
      <c r="N600" s="126">
        <f t="shared" si="73"/>
        <v>0</v>
      </c>
      <c r="O600" s="137"/>
      <c r="P600" s="23">
        <f t="shared" si="71"/>
        <v>0</v>
      </c>
      <c r="Q600" s="23">
        <f t="shared" si="74"/>
        <v>0</v>
      </c>
      <c r="R600" s="137"/>
      <c r="S600" s="23">
        <f t="shared" si="68"/>
        <v>0</v>
      </c>
      <c r="T600" s="123">
        <f t="shared" si="69"/>
        <v>0</v>
      </c>
      <c r="U600" s="138"/>
      <c r="V600" s="137"/>
      <c r="W600" s="137"/>
      <c r="X600" s="137"/>
      <c r="Y600" s="137"/>
      <c r="Z600" s="137"/>
      <c r="AA600" s="137"/>
      <c r="AB600" s="139"/>
    </row>
    <row r="601" spans="1:28">
      <c r="A601" s="97">
        <f t="shared" si="70"/>
        <v>603</v>
      </c>
      <c r="B601" s="115">
        <v>46112</v>
      </c>
      <c r="C601" s="116">
        <v>46346</v>
      </c>
      <c r="D601" s="135"/>
      <c r="E601" s="136"/>
      <c r="F601" s="124"/>
      <c r="G601" s="137"/>
      <c r="H601" s="137"/>
      <c r="I601" s="137"/>
      <c r="J601" s="137"/>
      <c r="K601" s="137"/>
      <c r="L601" s="137"/>
      <c r="M601" s="125">
        <f t="shared" si="72"/>
        <v>0</v>
      </c>
      <c r="N601" s="126">
        <f t="shared" si="73"/>
        <v>0</v>
      </c>
      <c r="O601" s="137"/>
      <c r="P601" s="23">
        <f t="shared" si="71"/>
        <v>0</v>
      </c>
      <c r="Q601" s="23">
        <f t="shared" si="74"/>
        <v>0</v>
      </c>
      <c r="R601" s="137"/>
      <c r="S601" s="23">
        <f t="shared" si="68"/>
        <v>0</v>
      </c>
      <c r="T601" s="123">
        <f t="shared" si="69"/>
        <v>0</v>
      </c>
      <c r="U601" s="138"/>
      <c r="V601" s="137"/>
      <c r="W601" s="137"/>
      <c r="X601" s="137"/>
      <c r="Y601" s="137"/>
      <c r="Z601" s="137"/>
      <c r="AA601" s="137"/>
      <c r="AB601" s="139"/>
    </row>
    <row r="602" spans="1:28">
      <c r="A602" s="97">
        <f t="shared" si="70"/>
        <v>604</v>
      </c>
      <c r="B602" s="115">
        <v>46112</v>
      </c>
      <c r="C602" s="116">
        <v>46347</v>
      </c>
      <c r="D602" s="135"/>
      <c r="E602" s="136"/>
      <c r="F602" s="124"/>
      <c r="G602" s="137"/>
      <c r="H602" s="137"/>
      <c r="I602" s="137"/>
      <c r="J602" s="137"/>
      <c r="K602" s="137"/>
      <c r="L602" s="137"/>
      <c r="M602" s="125">
        <f t="shared" si="72"/>
        <v>0</v>
      </c>
      <c r="N602" s="126">
        <f t="shared" si="73"/>
        <v>0</v>
      </c>
      <c r="O602" s="137"/>
      <c r="P602" s="23">
        <f t="shared" si="71"/>
        <v>0</v>
      </c>
      <c r="Q602" s="23">
        <f t="shared" si="74"/>
        <v>0</v>
      </c>
      <c r="R602" s="137"/>
      <c r="S602" s="23">
        <f t="shared" si="68"/>
        <v>0</v>
      </c>
      <c r="T602" s="123">
        <f t="shared" si="69"/>
        <v>0</v>
      </c>
      <c r="U602" s="138"/>
      <c r="V602" s="137"/>
      <c r="W602" s="137"/>
      <c r="X602" s="137"/>
      <c r="Y602" s="137"/>
      <c r="Z602" s="137"/>
      <c r="AA602" s="137"/>
      <c r="AB602" s="139"/>
    </row>
    <row r="603" spans="1:28">
      <c r="A603" s="97">
        <f t="shared" si="70"/>
        <v>605</v>
      </c>
      <c r="B603" s="115">
        <v>46112</v>
      </c>
      <c r="C603" s="116">
        <v>46348</v>
      </c>
      <c r="D603" s="135"/>
      <c r="E603" s="136"/>
      <c r="F603" s="124"/>
      <c r="G603" s="137"/>
      <c r="H603" s="137"/>
      <c r="I603" s="137"/>
      <c r="J603" s="137"/>
      <c r="K603" s="137"/>
      <c r="L603" s="137"/>
      <c r="M603" s="125">
        <f t="shared" si="72"/>
        <v>0</v>
      </c>
      <c r="N603" s="126">
        <f t="shared" si="73"/>
        <v>0</v>
      </c>
      <c r="O603" s="137"/>
      <c r="P603" s="23">
        <f t="shared" si="71"/>
        <v>0</v>
      </c>
      <c r="Q603" s="23">
        <f t="shared" si="74"/>
        <v>0</v>
      </c>
      <c r="R603" s="137"/>
      <c r="S603" s="23">
        <f t="shared" si="68"/>
        <v>0</v>
      </c>
      <c r="T603" s="123">
        <f t="shared" si="69"/>
        <v>0</v>
      </c>
      <c r="U603" s="138"/>
      <c r="V603" s="137"/>
      <c r="W603" s="137"/>
      <c r="X603" s="137"/>
      <c r="Y603" s="137"/>
      <c r="Z603" s="137"/>
      <c r="AA603" s="137"/>
      <c r="AB603" s="139"/>
    </row>
    <row r="604" spans="1:28">
      <c r="A604" s="97">
        <f t="shared" si="70"/>
        <v>606</v>
      </c>
      <c r="B604" s="115">
        <v>46112</v>
      </c>
      <c r="C604" s="116">
        <v>46349</v>
      </c>
      <c r="D604" s="135"/>
      <c r="E604" s="136"/>
      <c r="F604" s="124"/>
      <c r="G604" s="137"/>
      <c r="H604" s="137"/>
      <c r="I604" s="137"/>
      <c r="J604" s="137"/>
      <c r="K604" s="137"/>
      <c r="L604" s="137"/>
      <c r="M604" s="125">
        <f t="shared" si="72"/>
        <v>0</v>
      </c>
      <c r="N604" s="126">
        <f t="shared" si="73"/>
        <v>0</v>
      </c>
      <c r="O604" s="137"/>
      <c r="P604" s="23">
        <f t="shared" si="71"/>
        <v>0</v>
      </c>
      <c r="Q604" s="23">
        <f t="shared" si="74"/>
        <v>0</v>
      </c>
      <c r="R604" s="137"/>
      <c r="S604" s="23">
        <f t="shared" si="68"/>
        <v>0</v>
      </c>
      <c r="T604" s="123">
        <f t="shared" si="69"/>
        <v>0</v>
      </c>
      <c r="U604" s="138"/>
      <c r="V604" s="137"/>
      <c r="W604" s="137"/>
      <c r="X604" s="137"/>
      <c r="Y604" s="137"/>
      <c r="Z604" s="137"/>
      <c r="AA604" s="137"/>
      <c r="AB604" s="139"/>
    </row>
    <row r="605" spans="1:28">
      <c r="A605" s="97">
        <f t="shared" si="70"/>
        <v>607</v>
      </c>
      <c r="B605" s="115">
        <v>46112</v>
      </c>
      <c r="C605" s="116">
        <v>46350</v>
      </c>
      <c r="D605" s="135"/>
      <c r="E605" s="136"/>
      <c r="F605" s="124"/>
      <c r="G605" s="137"/>
      <c r="H605" s="137"/>
      <c r="I605" s="137"/>
      <c r="J605" s="137"/>
      <c r="K605" s="137"/>
      <c r="L605" s="137"/>
      <c r="M605" s="125">
        <f t="shared" si="72"/>
        <v>0</v>
      </c>
      <c r="N605" s="126">
        <f t="shared" si="73"/>
        <v>0</v>
      </c>
      <c r="O605" s="137"/>
      <c r="P605" s="23">
        <f t="shared" si="71"/>
        <v>0</v>
      </c>
      <c r="Q605" s="23">
        <f t="shared" si="74"/>
        <v>0</v>
      </c>
      <c r="R605" s="137"/>
      <c r="S605" s="23">
        <f t="shared" si="68"/>
        <v>0</v>
      </c>
      <c r="T605" s="123">
        <f t="shared" si="69"/>
        <v>0</v>
      </c>
      <c r="U605" s="138"/>
      <c r="V605" s="137"/>
      <c r="W605" s="137"/>
      <c r="X605" s="137"/>
      <c r="Y605" s="137"/>
      <c r="Z605" s="137"/>
      <c r="AA605" s="137"/>
      <c r="AB605" s="139"/>
    </row>
    <row r="606" spans="1:28">
      <c r="A606" s="97">
        <f t="shared" si="70"/>
        <v>608</v>
      </c>
      <c r="B606" s="115">
        <v>46112</v>
      </c>
      <c r="C606" s="116">
        <v>46351</v>
      </c>
      <c r="D606" s="135"/>
      <c r="E606" s="136"/>
      <c r="F606" s="124"/>
      <c r="G606" s="137"/>
      <c r="H606" s="137"/>
      <c r="I606" s="137"/>
      <c r="J606" s="137"/>
      <c r="K606" s="137"/>
      <c r="L606" s="137"/>
      <c r="M606" s="125">
        <f t="shared" si="72"/>
        <v>0</v>
      </c>
      <c r="N606" s="126">
        <f t="shared" si="73"/>
        <v>0</v>
      </c>
      <c r="O606" s="137"/>
      <c r="P606" s="23">
        <f t="shared" si="71"/>
        <v>0</v>
      </c>
      <c r="Q606" s="23">
        <f t="shared" si="74"/>
        <v>0</v>
      </c>
      <c r="R606" s="137"/>
      <c r="S606" s="23">
        <f t="shared" si="68"/>
        <v>0</v>
      </c>
      <c r="T606" s="123">
        <f t="shared" si="69"/>
        <v>0</v>
      </c>
      <c r="U606" s="138"/>
      <c r="V606" s="137"/>
      <c r="W606" s="137"/>
      <c r="X606" s="137"/>
      <c r="Y606" s="137"/>
      <c r="Z606" s="137"/>
      <c r="AA606" s="137"/>
      <c r="AB606" s="139"/>
    </row>
    <row r="607" spans="1:28">
      <c r="A607" s="97">
        <f t="shared" si="70"/>
        <v>609</v>
      </c>
      <c r="B607" s="115">
        <v>46112</v>
      </c>
      <c r="C607" s="116">
        <v>46352</v>
      </c>
      <c r="D607" s="135"/>
      <c r="E607" s="136"/>
      <c r="F607" s="124"/>
      <c r="G607" s="137"/>
      <c r="H607" s="137"/>
      <c r="I607" s="137"/>
      <c r="J607" s="137"/>
      <c r="K607" s="137"/>
      <c r="L607" s="137"/>
      <c r="M607" s="125">
        <f t="shared" si="72"/>
        <v>0</v>
      </c>
      <c r="N607" s="126">
        <f t="shared" si="73"/>
        <v>0</v>
      </c>
      <c r="O607" s="137"/>
      <c r="P607" s="23">
        <f t="shared" si="71"/>
        <v>0</v>
      </c>
      <c r="Q607" s="23">
        <f t="shared" si="74"/>
        <v>0</v>
      </c>
      <c r="R607" s="137"/>
      <c r="S607" s="23">
        <f t="shared" si="68"/>
        <v>0</v>
      </c>
      <c r="T607" s="123">
        <f t="shared" si="69"/>
        <v>0</v>
      </c>
      <c r="U607" s="138"/>
      <c r="V607" s="137"/>
      <c r="W607" s="137"/>
      <c r="X607" s="137"/>
      <c r="Y607" s="137"/>
      <c r="Z607" s="137"/>
      <c r="AA607" s="137"/>
      <c r="AB607" s="139"/>
    </row>
    <row r="608" spans="1:28">
      <c r="A608" s="97">
        <f t="shared" si="70"/>
        <v>610</v>
      </c>
      <c r="B608" s="115">
        <v>46112</v>
      </c>
      <c r="C608" s="116">
        <v>46353</v>
      </c>
      <c r="D608" s="135"/>
      <c r="E608" s="136"/>
      <c r="F608" s="124"/>
      <c r="G608" s="137"/>
      <c r="H608" s="137"/>
      <c r="I608" s="137"/>
      <c r="J608" s="137"/>
      <c r="K608" s="137"/>
      <c r="L608" s="137"/>
      <c r="M608" s="125">
        <f t="shared" si="72"/>
        <v>0</v>
      </c>
      <c r="N608" s="126">
        <f t="shared" si="73"/>
        <v>0</v>
      </c>
      <c r="O608" s="137"/>
      <c r="P608" s="23">
        <f t="shared" si="71"/>
        <v>0</v>
      </c>
      <c r="Q608" s="23">
        <f t="shared" si="74"/>
        <v>0</v>
      </c>
      <c r="R608" s="137"/>
      <c r="S608" s="23">
        <f t="shared" si="68"/>
        <v>0</v>
      </c>
      <c r="T608" s="123">
        <f t="shared" si="69"/>
        <v>0</v>
      </c>
      <c r="U608" s="138"/>
      <c r="V608" s="137"/>
      <c r="W608" s="137"/>
      <c r="X608" s="137"/>
      <c r="Y608" s="137"/>
      <c r="Z608" s="137"/>
      <c r="AA608" s="137"/>
      <c r="AB608" s="139"/>
    </row>
    <row r="609" spans="1:28">
      <c r="A609" s="97">
        <f t="shared" si="70"/>
        <v>611</v>
      </c>
      <c r="B609" s="115">
        <v>46112</v>
      </c>
      <c r="C609" s="116">
        <v>46354</v>
      </c>
      <c r="D609" s="135"/>
      <c r="E609" s="136"/>
      <c r="F609" s="124"/>
      <c r="G609" s="137"/>
      <c r="H609" s="137"/>
      <c r="I609" s="137"/>
      <c r="J609" s="137"/>
      <c r="K609" s="137"/>
      <c r="L609" s="137"/>
      <c r="M609" s="125">
        <f t="shared" si="72"/>
        <v>0</v>
      </c>
      <c r="N609" s="126">
        <f t="shared" si="73"/>
        <v>0</v>
      </c>
      <c r="O609" s="137"/>
      <c r="P609" s="23">
        <f t="shared" si="71"/>
        <v>0</v>
      </c>
      <c r="Q609" s="23">
        <f t="shared" si="74"/>
        <v>0</v>
      </c>
      <c r="R609" s="137"/>
      <c r="S609" s="23">
        <f t="shared" si="68"/>
        <v>0</v>
      </c>
      <c r="T609" s="123">
        <f t="shared" si="69"/>
        <v>0</v>
      </c>
      <c r="U609" s="138"/>
      <c r="V609" s="137"/>
      <c r="W609" s="137"/>
      <c r="X609" s="137"/>
      <c r="Y609" s="137"/>
      <c r="Z609" s="137"/>
      <c r="AA609" s="137"/>
      <c r="AB609" s="139"/>
    </row>
    <row r="610" spans="1:28">
      <c r="A610" s="97">
        <f t="shared" si="70"/>
        <v>612</v>
      </c>
      <c r="B610" s="115">
        <v>46112</v>
      </c>
      <c r="C610" s="116">
        <v>46355</v>
      </c>
      <c r="D610" s="135"/>
      <c r="E610" s="136"/>
      <c r="F610" s="124"/>
      <c r="G610" s="137"/>
      <c r="H610" s="137"/>
      <c r="I610" s="137"/>
      <c r="J610" s="137"/>
      <c r="K610" s="137"/>
      <c r="L610" s="137"/>
      <c r="M610" s="125">
        <f t="shared" si="72"/>
        <v>0</v>
      </c>
      <c r="N610" s="126">
        <f t="shared" si="73"/>
        <v>0</v>
      </c>
      <c r="O610" s="137"/>
      <c r="P610" s="23">
        <f t="shared" si="71"/>
        <v>0</v>
      </c>
      <c r="Q610" s="23">
        <f t="shared" si="74"/>
        <v>0</v>
      </c>
      <c r="R610" s="137"/>
      <c r="S610" s="23">
        <f t="shared" si="68"/>
        <v>0</v>
      </c>
      <c r="T610" s="123">
        <f t="shared" si="69"/>
        <v>0</v>
      </c>
      <c r="U610" s="138"/>
      <c r="V610" s="137"/>
      <c r="W610" s="137"/>
      <c r="X610" s="137"/>
      <c r="Y610" s="137"/>
      <c r="Z610" s="137"/>
      <c r="AA610" s="137"/>
      <c r="AB610" s="139"/>
    </row>
    <row r="611" spans="1:28">
      <c r="A611" s="97">
        <f t="shared" si="70"/>
        <v>613</v>
      </c>
      <c r="B611" s="115">
        <v>46112</v>
      </c>
      <c r="C611" s="116">
        <v>46356</v>
      </c>
      <c r="D611" s="135"/>
      <c r="E611" s="136"/>
      <c r="F611" s="124"/>
      <c r="G611" s="137"/>
      <c r="H611" s="137"/>
      <c r="I611" s="137"/>
      <c r="J611" s="137"/>
      <c r="K611" s="137"/>
      <c r="L611" s="137"/>
      <c r="M611" s="125">
        <f t="shared" si="72"/>
        <v>0</v>
      </c>
      <c r="N611" s="126">
        <f t="shared" si="73"/>
        <v>0</v>
      </c>
      <c r="O611" s="137"/>
      <c r="P611" s="23">
        <f t="shared" si="71"/>
        <v>0</v>
      </c>
      <c r="Q611" s="23">
        <f t="shared" si="74"/>
        <v>0</v>
      </c>
      <c r="R611" s="137"/>
      <c r="S611" s="23">
        <f t="shared" si="68"/>
        <v>0</v>
      </c>
      <c r="T611" s="123">
        <f t="shared" si="69"/>
        <v>0</v>
      </c>
      <c r="U611" s="138"/>
      <c r="V611" s="137"/>
      <c r="W611" s="137"/>
      <c r="X611" s="137"/>
      <c r="Y611" s="137"/>
      <c r="Z611" s="137"/>
      <c r="AA611" s="137"/>
      <c r="AB611" s="139"/>
    </row>
    <row r="612" spans="1:28">
      <c r="A612" s="97">
        <f t="shared" si="70"/>
        <v>614</v>
      </c>
      <c r="B612" s="115">
        <v>46112</v>
      </c>
      <c r="C612" s="116">
        <v>46357</v>
      </c>
      <c r="D612" s="135"/>
      <c r="E612" s="136"/>
      <c r="F612" s="124"/>
      <c r="G612" s="137"/>
      <c r="H612" s="137"/>
      <c r="I612" s="137"/>
      <c r="J612" s="137"/>
      <c r="K612" s="137"/>
      <c r="L612" s="137"/>
      <c r="M612" s="125">
        <f t="shared" si="72"/>
        <v>0</v>
      </c>
      <c r="N612" s="126">
        <f t="shared" si="73"/>
        <v>0</v>
      </c>
      <c r="O612" s="137"/>
      <c r="P612" s="23">
        <f t="shared" si="71"/>
        <v>0</v>
      </c>
      <c r="Q612" s="23">
        <f t="shared" si="74"/>
        <v>0</v>
      </c>
      <c r="R612" s="137"/>
      <c r="S612" s="23">
        <f t="shared" si="68"/>
        <v>0</v>
      </c>
      <c r="T612" s="123">
        <f t="shared" si="69"/>
        <v>0</v>
      </c>
      <c r="U612" s="138"/>
      <c r="V612" s="137"/>
      <c r="W612" s="137"/>
      <c r="X612" s="137"/>
      <c r="Y612" s="137"/>
      <c r="Z612" s="137"/>
      <c r="AA612" s="137"/>
      <c r="AB612" s="139"/>
    </row>
    <row r="613" spans="1:28">
      <c r="A613" s="97">
        <f t="shared" si="70"/>
        <v>615</v>
      </c>
      <c r="B613" s="115">
        <v>46112</v>
      </c>
      <c r="C613" s="116">
        <v>46358</v>
      </c>
      <c r="D613" s="135"/>
      <c r="E613" s="136"/>
      <c r="F613" s="124"/>
      <c r="G613" s="137"/>
      <c r="H613" s="137"/>
      <c r="I613" s="137"/>
      <c r="J613" s="137"/>
      <c r="K613" s="137"/>
      <c r="L613" s="137"/>
      <c r="M613" s="125">
        <f t="shared" si="72"/>
        <v>0</v>
      </c>
      <c r="N613" s="126">
        <f t="shared" si="73"/>
        <v>0</v>
      </c>
      <c r="O613" s="137"/>
      <c r="P613" s="23">
        <f t="shared" si="71"/>
        <v>0</v>
      </c>
      <c r="Q613" s="23">
        <f t="shared" si="74"/>
        <v>0</v>
      </c>
      <c r="R613" s="137"/>
      <c r="S613" s="23">
        <f t="shared" si="68"/>
        <v>0</v>
      </c>
      <c r="T613" s="123">
        <f t="shared" si="69"/>
        <v>0</v>
      </c>
      <c r="U613" s="138"/>
      <c r="V613" s="137"/>
      <c r="W613" s="137"/>
      <c r="X613" s="137"/>
      <c r="Y613" s="137"/>
      <c r="Z613" s="137"/>
      <c r="AA613" s="137"/>
      <c r="AB613" s="139"/>
    </row>
    <row r="614" spans="1:28">
      <c r="A614" s="97">
        <f t="shared" si="70"/>
        <v>616</v>
      </c>
      <c r="B614" s="115">
        <v>46112</v>
      </c>
      <c r="C614" s="116">
        <v>46359</v>
      </c>
      <c r="D614" s="135"/>
      <c r="E614" s="136"/>
      <c r="F614" s="124"/>
      <c r="G614" s="137"/>
      <c r="H614" s="137"/>
      <c r="I614" s="137"/>
      <c r="J614" s="137"/>
      <c r="K614" s="137"/>
      <c r="L614" s="137"/>
      <c r="M614" s="125">
        <f t="shared" si="72"/>
        <v>0</v>
      </c>
      <c r="N614" s="126">
        <f t="shared" si="73"/>
        <v>0</v>
      </c>
      <c r="O614" s="137"/>
      <c r="P614" s="23">
        <f t="shared" si="71"/>
        <v>0</v>
      </c>
      <c r="Q614" s="23">
        <f t="shared" si="74"/>
        <v>0</v>
      </c>
      <c r="R614" s="137"/>
      <c r="S614" s="23">
        <f t="shared" si="68"/>
        <v>0</v>
      </c>
      <c r="T614" s="123">
        <f t="shared" si="69"/>
        <v>0</v>
      </c>
      <c r="U614" s="138"/>
      <c r="V614" s="137"/>
      <c r="W614" s="137"/>
      <c r="X614" s="137"/>
      <c r="Y614" s="137"/>
      <c r="Z614" s="137"/>
      <c r="AA614" s="137"/>
      <c r="AB614" s="139"/>
    </row>
    <row r="615" spans="1:28">
      <c r="A615" s="97">
        <f t="shared" si="70"/>
        <v>617</v>
      </c>
      <c r="B615" s="115">
        <v>46112</v>
      </c>
      <c r="C615" s="116">
        <v>46360</v>
      </c>
      <c r="D615" s="135"/>
      <c r="E615" s="136"/>
      <c r="F615" s="124"/>
      <c r="G615" s="137"/>
      <c r="H615" s="137"/>
      <c r="I615" s="137"/>
      <c r="J615" s="137"/>
      <c r="K615" s="137"/>
      <c r="L615" s="137"/>
      <c r="M615" s="125">
        <f t="shared" si="72"/>
        <v>0</v>
      </c>
      <c r="N615" s="126">
        <f t="shared" si="73"/>
        <v>0</v>
      </c>
      <c r="O615" s="137"/>
      <c r="P615" s="23">
        <f t="shared" si="71"/>
        <v>0</v>
      </c>
      <c r="Q615" s="23">
        <f t="shared" si="74"/>
        <v>0</v>
      </c>
      <c r="R615" s="137"/>
      <c r="S615" s="23">
        <f t="shared" si="68"/>
        <v>0</v>
      </c>
      <c r="T615" s="123">
        <f t="shared" si="69"/>
        <v>0</v>
      </c>
      <c r="U615" s="138"/>
      <c r="V615" s="137"/>
      <c r="W615" s="137"/>
      <c r="X615" s="137"/>
      <c r="Y615" s="137"/>
      <c r="Z615" s="137"/>
      <c r="AA615" s="137"/>
      <c r="AB615" s="139"/>
    </row>
    <row r="616" spans="1:28">
      <c r="A616" s="97">
        <f t="shared" si="70"/>
        <v>618</v>
      </c>
      <c r="B616" s="115">
        <v>46112</v>
      </c>
      <c r="C616" s="116">
        <v>46361</v>
      </c>
      <c r="D616" s="135"/>
      <c r="E616" s="136"/>
      <c r="F616" s="124"/>
      <c r="G616" s="137"/>
      <c r="H616" s="137"/>
      <c r="I616" s="137"/>
      <c r="J616" s="137"/>
      <c r="K616" s="137"/>
      <c r="L616" s="137"/>
      <c r="M616" s="125">
        <f t="shared" si="72"/>
        <v>0</v>
      </c>
      <c r="N616" s="126">
        <f t="shared" si="73"/>
        <v>0</v>
      </c>
      <c r="O616" s="137"/>
      <c r="P616" s="23">
        <f t="shared" si="71"/>
        <v>0</v>
      </c>
      <c r="Q616" s="23">
        <f t="shared" si="74"/>
        <v>0</v>
      </c>
      <c r="R616" s="137"/>
      <c r="S616" s="23">
        <f t="shared" si="68"/>
        <v>0</v>
      </c>
      <c r="T616" s="123">
        <f t="shared" si="69"/>
        <v>0</v>
      </c>
      <c r="U616" s="138"/>
      <c r="V616" s="137"/>
      <c r="W616" s="137"/>
      <c r="X616" s="137"/>
      <c r="Y616" s="137"/>
      <c r="Z616" s="137"/>
      <c r="AA616" s="137"/>
      <c r="AB616" s="139"/>
    </row>
    <row r="617" spans="1:28">
      <c r="A617" s="97">
        <f t="shared" si="70"/>
        <v>619</v>
      </c>
      <c r="B617" s="115">
        <v>46112</v>
      </c>
      <c r="C617" s="116">
        <v>46362</v>
      </c>
      <c r="D617" s="135"/>
      <c r="E617" s="136"/>
      <c r="F617" s="124"/>
      <c r="G617" s="137"/>
      <c r="H617" s="137"/>
      <c r="I617" s="137"/>
      <c r="J617" s="137"/>
      <c r="K617" s="137"/>
      <c r="L617" s="137"/>
      <c r="M617" s="125">
        <f t="shared" si="72"/>
        <v>0</v>
      </c>
      <c r="N617" s="126">
        <f t="shared" si="73"/>
        <v>0</v>
      </c>
      <c r="O617" s="137"/>
      <c r="P617" s="23">
        <f t="shared" si="71"/>
        <v>0</v>
      </c>
      <c r="Q617" s="23">
        <f t="shared" si="74"/>
        <v>0</v>
      </c>
      <c r="R617" s="137"/>
      <c r="S617" s="23">
        <f t="shared" si="68"/>
        <v>0</v>
      </c>
      <c r="T617" s="123">
        <f t="shared" si="69"/>
        <v>0</v>
      </c>
      <c r="U617" s="138"/>
      <c r="V617" s="137"/>
      <c r="W617" s="137"/>
      <c r="X617" s="137"/>
      <c r="Y617" s="137"/>
      <c r="Z617" s="137"/>
      <c r="AA617" s="137"/>
      <c r="AB617" s="139"/>
    </row>
    <row r="618" spans="1:28">
      <c r="A618" s="97">
        <f t="shared" si="70"/>
        <v>620</v>
      </c>
      <c r="B618" s="115">
        <v>46112</v>
      </c>
      <c r="C618" s="116">
        <v>46363</v>
      </c>
      <c r="D618" s="135"/>
      <c r="E618" s="136"/>
      <c r="F618" s="124"/>
      <c r="G618" s="137"/>
      <c r="H618" s="137"/>
      <c r="I618" s="137"/>
      <c r="J618" s="137"/>
      <c r="K618" s="137"/>
      <c r="L618" s="137"/>
      <c r="M618" s="125">
        <f t="shared" si="72"/>
        <v>0</v>
      </c>
      <c r="N618" s="126">
        <f t="shared" si="73"/>
        <v>0</v>
      </c>
      <c r="O618" s="137"/>
      <c r="P618" s="23">
        <f t="shared" si="71"/>
        <v>0</v>
      </c>
      <c r="Q618" s="23">
        <f t="shared" si="74"/>
        <v>0</v>
      </c>
      <c r="R618" s="137"/>
      <c r="S618" s="23">
        <f t="shared" si="68"/>
        <v>0</v>
      </c>
      <c r="T618" s="123">
        <f t="shared" si="69"/>
        <v>0</v>
      </c>
      <c r="U618" s="138"/>
      <c r="V618" s="137"/>
      <c r="W618" s="137"/>
      <c r="X618" s="137"/>
      <c r="Y618" s="137"/>
      <c r="Z618" s="137"/>
      <c r="AA618" s="137"/>
      <c r="AB618" s="139"/>
    </row>
    <row r="619" spans="1:28">
      <c r="A619" s="97">
        <f t="shared" si="70"/>
        <v>621</v>
      </c>
      <c r="B619" s="115">
        <v>46112</v>
      </c>
      <c r="C619" s="116">
        <v>46364</v>
      </c>
      <c r="D619" s="135"/>
      <c r="E619" s="136"/>
      <c r="F619" s="124"/>
      <c r="G619" s="137"/>
      <c r="H619" s="137"/>
      <c r="I619" s="137"/>
      <c r="J619" s="137"/>
      <c r="K619" s="137"/>
      <c r="L619" s="137"/>
      <c r="M619" s="125">
        <f t="shared" si="72"/>
        <v>0</v>
      </c>
      <c r="N619" s="126">
        <f t="shared" si="73"/>
        <v>0</v>
      </c>
      <c r="O619" s="137"/>
      <c r="P619" s="23">
        <f t="shared" si="71"/>
        <v>0</v>
      </c>
      <c r="Q619" s="23">
        <f t="shared" si="74"/>
        <v>0</v>
      </c>
      <c r="R619" s="137"/>
      <c r="S619" s="23">
        <f t="shared" si="68"/>
        <v>0</v>
      </c>
      <c r="T619" s="123">
        <f t="shared" si="69"/>
        <v>0</v>
      </c>
      <c r="U619" s="138"/>
      <c r="V619" s="137"/>
      <c r="W619" s="137"/>
      <c r="X619" s="137"/>
      <c r="Y619" s="137"/>
      <c r="Z619" s="137"/>
      <c r="AA619" s="137"/>
      <c r="AB619" s="139"/>
    </row>
    <row r="620" spans="1:28">
      <c r="A620" s="97">
        <f t="shared" si="70"/>
        <v>622</v>
      </c>
      <c r="B620" s="115">
        <v>46112</v>
      </c>
      <c r="C620" s="116">
        <v>46365</v>
      </c>
      <c r="D620" s="135"/>
      <c r="E620" s="136"/>
      <c r="F620" s="124"/>
      <c r="G620" s="137"/>
      <c r="H620" s="137"/>
      <c r="I620" s="137"/>
      <c r="J620" s="137"/>
      <c r="K620" s="137"/>
      <c r="L620" s="137"/>
      <c r="M620" s="125">
        <f t="shared" si="72"/>
        <v>0</v>
      </c>
      <c r="N620" s="126">
        <f t="shared" si="73"/>
        <v>0</v>
      </c>
      <c r="O620" s="137"/>
      <c r="P620" s="23">
        <f t="shared" si="71"/>
        <v>0</v>
      </c>
      <c r="Q620" s="23">
        <f t="shared" si="74"/>
        <v>0</v>
      </c>
      <c r="R620" s="137"/>
      <c r="S620" s="23">
        <f t="shared" si="68"/>
        <v>0</v>
      </c>
      <c r="T620" s="123">
        <f t="shared" si="69"/>
        <v>0</v>
      </c>
      <c r="U620" s="138"/>
      <c r="V620" s="137"/>
      <c r="W620" s="137"/>
      <c r="X620" s="137"/>
      <c r="Y620" s="137"/>
      <c r="Z620" s="137"/>
      <c r="AA620" s="137"/>
      <c r="AB620" s="139"/>
    </row>
    <row r="621" spans="1:28">
      <c r="A621" s="97">
        <f t="shared" si="70"/>
        <v>623</v>
      </c>
      <c r="B621" s="115">
        <v>46112</v>
      </c>
      <c r="C621" s="116">
        <v>46366</v>
      </c>
      <c r="D621" s="135"/>
      <c r="E621" s="136"/>
      <c r="F621" s="124"/>
      <c r="G621" s="137"/>
      <c r="H621" s="137"/>
      <c r="I621" s="137"/>
      <c r="J621" s="137"/>
      <c r="K621" s="137"/>
      <c r="L621" s="137"/>
      <c r="M621" s="125">
        <f t="shared" si="72"/>
        <v>0</v>
      </c>
      <c r="N621" s="126">
        <f t="shared" si="73"/>
        <v>0</v>
      </c>
      <c r="O621" s="137"/>
      <c r="P621" s="23">
        <f t="shared" si="71"/>
        <v>0</v>
      </c>
      <c r="Q621" s="23">
        <f t="shared" si="74"/>
        <v>0</v>
      </c>
      <c r="R621" s="137"/>
      <c r="S621" s="23">
        <f t="shared" si="68"/>
        <v>0</v>
      </c>
      <c r="T621" s="123">
        <f t="shared" si="69"/>
        <v>0</v>
      </c>
      <c r="U621" s="138"/>
      <c r="V621" s="137"/>
      <c r="W621" s="137"/>
      <c r="X621" s="137"/>
      <c r="Y621" s="137"/>
      <c r="Z621" s="137"/>
      <c r="AA621" s="137"/>
      <c r="AB621" s="139"/>
    </row>
    <row r="622" spans="1:28">
      <c r="A622" s="97">
        <f t="shared" si="70"/>
        <v>624</v>
      </c>
      <c r="B622" s="115">
        <v>46112</v>
      </c>
      <c r="C622" s="116">
        <v>46367</v>
      </c>
      <c r="D622" s="135"/>
      <c r="E622" s="136"/>
      <c r="F622" s="124"/>
      <c r="G622" s="137"/>
      <c r="H622" s="137"/>
      <c r="I622" s="137"/>
      <c r="J622" s="137"/>
      <c r="K622" s="137"/>
      <c r="L622" s="137"/>
      <c r="M622" s="125">
        <f t="shared" si="72"/>
        <v>0</v>
      </c>
      <c r="N622" s="126">
        <f t="shared" si="73"/>
        <v>0</v>
      </c>
      <c r="O622" s="137"/>
      <c r="P622" s="23">
        <f t="shared" si="71"/>
        <v>0</v>
      </c>
      <c r="Q622" s="23">
        <f t="shared" si="74"/>
        <v>0</v>
      </c>
      <c r="R622" s="137"/>
      <c r="S622" s="23">
        <f t="shared" si="68"/>
        <v>0</v>
      </c>
      <c r="T622" s="123">
        <f t="shared" si="69"/>
        <v>0</v>
      </c>
      <c r="U622" s="138"/>
      <c r="V622" s="137"/>
      <c r="W622" s="137"/>
      <c r="X622" s="137"/>
      <c r="Y622" s="137"/>
      <c r="Z622" s="137"/>
      <c r="AA622" s="137"/>
      <c r="AB622" s="139"/>
    </row>
    <row r="623" spans="1:28">
      <c r="A623" s="97">
        <f t="shared" si="70"/>
        <v>625</v>
      </c>
      <c r="B623" s="115">
        <v>46112</v>
      </c>
      <c r="C623" s="116">
        <v>46368</v>
      </c>
      <c r="D623" s="135"/>
      <c r="E623" s="136"/>
      <c r="F623" s="124"/>
      <c r="G623" s="137"/>
      <c r="H623" s="137"/>
      <c r="I623" s="137"/>
      <c r="J623" s="137"/>
      <c r="K623" s="137"/>
      <c r="L623" s="137"/>
      <c r="M623" s="125">
        <f t="shared" si="72"/>
        <v>0</v>
      </c>
      <c r="N623" s="126">
        <f t="shared" si="73"/>
        <v>0</v>
      </c>
      <c r="O623" s="137"/>
      <c r="P623" s="23">
        <f t="shared" si="71"/>
        <v>0</v>
      </c>
      <c r="Q623" s="23">
        <f t="shared" si="74"/>
        <v>0</v>
      </c>
      <c r="R623" s="137"/>
      <c r="S623" s="23">
        <f t="shared" si="68"/>
        <v>0</v>
      </c>
      <c r="T623" s="123">
        <f t="shared" si="69"/>
        <v>0</v>
      </c>
      <c r="U623" s="138"/>
      <c r="V623" s="137"/>
      <c r="W623" s="137"/>
      <c r="X623" s="137"/>
      <c r="Y623" s="137"/>
      <c r="Z623" s="137"/>
      <c r="AA623" s="137"/>
      <c r="AB623" s="139"/>
    </row>
    <row r="624" spans="1:28">
      <c r="A624" s="97">
        <f t="shared" si="70"/>
        <v>626</v>
      </c>
      <c r="B624" s="115">
        <v>46112</v>
      </c>
      <c r="C624" s="116">
        <v>46369</v>
      </c>
      <c r="D624" s="135"/>
      <c r="E624" s="136"/>
      <c r="F624" s="124"/>
      <c r="G624" s="137"/>
      <c r="H624" s="137"/>
      <c r="I624" s="137"/>
      <c r="J624" s="137"/>
      <c r="K624" s="137"/>
      <c r="L624" s="137"/>
      <c r="M624" s="125">
        <f t="shared" si="72"/>
        <v>0</v>
      </c>
      <c r="N624" s="126">
        <f t="shared" si="73"/>
        <v>0</v>
      </c>
      <c r="O624" s="137"/>
      <c r="P624" s="23">
        <f t="shared" si="71"/>
        <v>0</v>
      </c>
      <c r="Q624" s="23">
        <f t="shared" si="74"/>
        <v>0</v>
      </c>
      <c r="R624" s="137"/>
      <c r="S624" s="23">
        <f t="shared" ref="S624:S687" si="75">MAX((R624-Q624)*3000,0)</f>
        <v>0</v>
      </c>
      <c r="T624" s="123">
        <f t="shared" ref="T624:T687" si="76">P624-S624</f>
        <v>0</v>
      </c>
      <c r="U624" s="138"/>
      <c r="V624" s="137"/>
      <c r="W624" s="137"/>
      <c r="X624" s="137"/>
      <c r="Y624" s="137"/>
      <c r="Z624" s="137"/>
      <c r="AA624" s="137"/>
      <c r="AB624" s="139"/>
    </row>
    <row r="625" spans="1:28">
      <c r="A625" s="97">
        <f t="shared" si="70"/>
        <v>627</v>
      </c>
      <c r="B625" s="115">
        <v>46112</v>
      </c>
      <c r="C625" s="116">
        <v>46370</v>
      </c>
      <c r="D625" s="135"/>
      <c r="E625" s="136"/>
      <c r="F625" s="124"/>
      <c r="G625" s="137"/>
      <c r="H625" s="137"/>
      <c r="I625" s="137"/>
      <c r="J625" s="137"/>
      <c r="K625" s="137"/>
      <c r="L625" s="137"/>
      <c r="M625" s="125">
        <f t="shared" si="72"/>
        <v>0</v>
      </c>
      <c r="N625" s="126">
        <f t="shared" si="73"/>
        <v>0</v>
      </c>
      <c r="O625" s="137"/>
      <c r="P625" s="23">
        <f t="shared" si="71"/>
        <v>0</v>
      </c>
      <c r="Q625" s="23">
        <f t="shared" si="74"/>
        <v>0</v>
      </c>
      <c r="R625" s="137"/>
      <c r="S625" s="23">
        <f t="shared" si="75"/>
        <v>0</v>
      </c>
      <c r="T625" s="123">
        <f t="shared" si="76"/>
        <v>0</v>
      </c>
      <c r="U625" s="138"/>
      <c r="V625" s="137"/>
      <c r="W625" s="137"/>
      <c r="X625" s="137"/>
      <c r="Y625" s="137"/>
      <c r="Z625" s="137"/>
      <c r="AA625" s="137"/>
      <c r="AB625" s="139"/>
    </row>
    <row r="626" spans="1:28">
      <c r="A626" s="97">
        <f t="shared" si="70"/>
        <v>628</v>
      </c>
      <c r="B626" s="115">
        <v>46112</v>
      </c>
      <c r="C626" s="116">
        <v>46371</v>
      </c>
      <c r="D626" s="135"/>
      <c r="E626" s="136"/>
      <c r="F626" s="124"/>
      <c r="G626" s="137"/>
      <c r="H626" s="137"/>
      <c r="I626" s="137"/>
      <c r="J626" s="137"/>
      <c r="K626" s="137"/>
      <c r="L626" s="137"/>
      <c r="M626" s="125">
        <f t="shared" si="72"/>
        <v>0</v>
      </c>
      <c r="N626" s="126">
        <f t="shared" si="73"/>
        <v>0</v>
      </c>
      <c r="O626" s="137"/>
      <c r="P626" s="23">
        <f t="shared" si="71"/>
        <v>0</v>
      </c>
      <c r="Q626" s="23">
        <f t="shared" si="74"/>
        <v>0</v>
      </c>
      <c r="R626" s="137"/>
      <c r="S626" s="23">
        <f t="shared" si="75"/>
        <v>0</v>
      </c>
      <c r="T626" s="123">
        <f t="shared" si="76"/>
        <v>0</v>
      </c>
      <c r="U626" s="138"/>
      <c r="V626" s="137"/>
      <c r="W626" s="137"/>
      <c r="X626" s="137"/>
      <c r="Y626" s="137"/>
      <c r="Z626" s="137"/>
      <c r="AA626" s="137"/>
      <c r="AB626" s="139"/>
    </row>
    <row r="627" spans="1:28">
      <c r="A627" s="97">
        <f t="shared" si="70"/>
        <v>629</v>
      </c>
      <c r="B627" s="115">
        <v>46112</v>
      </c>
      <c r="C627" s="116">
        <v>46372</v>
      </c>
      <c r="D627" s="135"/>
      <c r="E627" s="136"/>
      <c r="F627" s="124"/>
      <c r="G627" s="137"/>
      <c r="H627" s="137"/>
      <c r="I627" s="137"/>
      <c r="J627" s="137"/>
      <c r="K627" s="137"/>
      <c r="L627" s="137"/>
      <c r="M627" s="125">
        <f t="shared" si="72"/>
        <v>0</v>
      </c>
      <c r="N627" s="126">
        <f t="shared" si="73"/>
        <v>0</v>
      </c>
      <c r="O627" s="137"/>
      <c r="P627" s="23">
        <f t="shared" si="71"/>
        <v>0</v>
      </c>
      <c r="Q627" s="23">
        <f t="shared" si="74"/>
        <v>0</v>
      </c>
      <c r="R627" s="137"/>
      <c r="S627" s="23">
        <f t="shared" si="75"/>
        <v>0</v>
      </c>
      <c r="T627" s="123">
        <f t="shared" si="76"/>
        <v>0</v>
      </c>
      <c r="U627" s="138"/>
      <c r="V627" s="137"/>
      <c r="W627" s="137"/>
      <c r="X627" s="137"/>
      <c r="Y627" s="137"/>
      <c r="Z627" s="137"/>
      <c r="AA627" s="137"/>
      <c r="AB627" s="139"/>
    </row>
    <row r="628" spans="1:28">
      <c r="A628" s="97">
        <f t="shared" si="70"/>
        <v>630</v>
      </c>
      <c r="B628" s="115">
        <v>46112</v>
      </c>
      <c r="C628" s="116">
        <v>46373</v>
      </c>
      <c r="D628" s="135"/>
      <c r="E628" s="136"/>
      <c r="F628" s="124"/>
      <c r="G628" s="137"/>
      <c r="H628" s="137"/>
      <c r="I628" s="137"/>
      <c r="J628" s="137"/>
      <c r="K628" s="137"/>
      <c r="L628" s="137"/>
      <c r="M628" s="125">
        <f t="shared" si="72"/>
        <v>0</v>
      </c>
      <c r="N628" s="126">
        <f t="shared" si="73"/>
        <v>0</v>
      </c>
      <c r="O628" s="137"/>
      <c r="P628" s="23">
        <f t="shared" si="71"/>
        <v>0</v>
      </c>
      <c r="Q628" s="23">
        <f t="shared" si="74"/>
        <v>0</v>
      </c>
      <c r="R628" s="137"/>
      <c r="S628" s="23">
        <f t="shared" si="75"/>
        <v>0</v>
      </c>
      <c r="T628" s="123">
        <f t="shared" si="76"/>
        <v>0</v>
      </c>
      <c r="U628" s="138"/>
      <c r="V628" s="137"/>
      <c r="W628" s="137"/>
      <c r="X628" s="137"/>
      <c r="Y628" s="137"/>
      <c r="Z628" s="137"/>
      <c r="AA628" s="137"/>
      <c r="AB628" s="139"/>
    </row>
    <row r="629" spans="1:28">
      <c r="A629" s="97">
        <f t="shared" si="70"/>
        <v>631</v>
      </c>
      <c r="B629" s="115">
        <v>46112</v>
      </c>
      <c r="C629" s="116">
        <v>46374</v>
      </c>
      <c r="D629" s="135"/>
      <c r="E629" s="136"/>
      <c r="F629" s="124"/>
      <c r="G629" s="137"/>
      <c r="H629" s="137"/>
      <c r="I629" s="137"/>
      <c r="J629" s="137"/>
      <c r="K629" s="137"/>
      <c r="L629" s="137"/>
      <c r="M629" s="125">
        <f t="shared" si="72"/>
        <v>0</v>
      </c>
      <c r="N629" s="126">
        <f t="shared" si="73"/>
        <v>0</v>
      </c>
      <c r="O629" s="137"/>
      <c r="P629" s="23">
        <f t="shared" si="71"/>
        <v>0</v>
      </c>
      <c r="Q629" s="23">
        <f t="shared" si="74"/>
        <v>0</v>
      </c>
      <c r="R629" s="137"/>
      <c r="S629" s="23">
        <f t="shared" si="75"/>
        <v>0</v>
      </c>
      <c r="T629" s="123">
        <f t="shared" si="76"/>
        <v>0</v>
      </c>
      <c r="U629" s="138"/>
      <c r="V629" s="137"/>
      <c r="W629" s="137"/>
      <c r="X629" s="137"/>
      <c r="Y629" s="137"/>
      <c r="Z629" s="137"/>
      <c r="AA629" s="137"/>
      <c r="AB629" s="139"/>
    </row>
    <row r="630" spans="1:28">
      <c r="A630" s="97">
        <f t="shared" si="70"/>
        <v>632</v>
      </c>
      <c r="B630" s="115">
        <v>46112</v>
      </c>
      <c r="C630" s="116">
        <v>46375</v>
      </c>
      <c r="D630" s="135"/>
      <c r="E630" s="136"/>
      <c r="F630" s="124"/>
      <c r="G630" s="137"/>
      <c r="H630" s="137"/>
      <c r="I630" s="137"/>
      <c r="J630" s="137"/>
      <c r="K630" s="137"/>
      <c r="L630" s="137"/>
      <c r="M630" s="125">
        <f t="shared" si="72"/>
        <v>0</v>
      </c>
      <c r="N630" s="126">
        <f t="shared" si="73"/>
        <v>0</v>
      </c>
      <c r="O630" s="137"/>
      <c r="P630" s="23">
        <f t="shared" si="71"/>
        <v>0</v>
      </c>
      <c r="Q630" s="23">
        <f t="shared" si="74"/>
        <v>0</v>
      </c>
      <c r="R630" s="137"/>
      <c r="S630" s="23">
        <f t="shared" si="75"/>
        <v>0</v>
      </c>
      <c r="T630" s="123">
        <f t="shared" si="76"/>
        <v>0</v>
      </c>
      <c r="U630" s="138"/>
      <c r="V630" s="137"/>
      <c r="W630" s="137"/>
      <c r="X630" s="137"/>
      <c r="Y630" s="137"/>
      <c r="Z630" s="137"/>
      <c r="AA630" s="137"/>
      <c r="AB630" s="139"/>
    </row>
    <row r="631" spans="1:28">
      <c r="A631" s="97">
        <f t="shared" si="70"/>
        <v>633</v>
      </c>
      <c r="B631" s="115">
        <v>46112</v>
      </c>
      <c r="C631" s="116">
        <v>46376</v>
      </c>
      <c r="D631" s="135"/>
      <c r="E631" s="136"/>
      <c r="F631" s="124"/>
      <c r="G631" s="137"/>
      <c r="H631" s="137"/>
      <c r="I631" s="137"/>
      <c r="J631" s="137"/>
      <c r="K631" s="137"/>
      <c r="L631" s="137"/>
      <c r="M631" s="125">
        <f t="shared" si="72"/>
        <v>0</v>
      </c>
      <c r="N631" s="126">
        <f t="shared" si="73"/>
        <v>0</v>
      </c>
      <c r="O631" s="137"/>
      <c r="P631" s="23">
        <f t="shared" si="71"/>
        <v>0</v>
      </c>
      <c r="Q631" s="23">
        <f t="shared" si="74"/>
        <v>0</v>
      </c>
      <c r="R631" s="137"/>
      <c r="S631" s="23">
        <f t="shared" si="75"/>
        <v>0</v>
      </c>
      <c r="T631" s="123">
        <f t="shared" si="76"/>
        <v>0</v>
      </c>
      <c r="U631" s="138"/>
      <c r="V631" s="137"/>
      <c r="W631" s="137"/>
      <c r="X631" s="137"/>
      <c r="Y631" s="137"/>
      <c r="Z631" s="137"/>
      <c r="AA631" s="137"/>
      <c r="AB631" s="139"/>
    </row>
    <row r="632" spans="1:28">
      <c r="A632" s="97">
        <f t="shared" si="70"/>
        <v>634</v>
      </c>
      <c r="B632" s="115">
        <v>46112</v>
      </c>
      <c r="C632" s="116">
        <v>46377</v>
      </c>
      <c r="D632" s="135"/>
      <c r="E632" s="136"/>
      <c r="F632" s="124"/>
      <c r="G632" s="137"/>
      <c r="H632" s="137"/>
      <c r="I632" s="137"/>
      <c r="J632" s="137"/>
      <c r="K632" s="137"/>
      <c r="L632" s="137"/>
      <c r="M632" s="125">
        <f t="shared" si="72"/>
        <v>0</v>
      </c>
      <c r="N632" s="126">
        <f t="shared" si="73"/>
        <v>0</v>
      </c>
      <c r="O632" s="137"/>
      <c r="P632" s="23">
        <f t="shared" si="71"/>
        <v>0</v>
      </c>
      <c r="Q632" s="23">
        <f t="shared" si="74"/>
        <v>0</v>
      </c>
      <c r="R632" s="137"/>
      <c r="S632" s="23">
        <f t="shared" si="75"/>
        <v>0</v>
      </c>
      <c r="T632" s="123">
        <f t="shared" si="76"/>
        <v>0</v>
      </c>
      <c r="U632" s="138"/>
      <c r="V632" s="137"/>
      <c r="W632" s="137"/>
      <c r="X632" s="137"/>
      <c r="Y632" s="137"/>
      <c r="Z632" s="137"/>
      <c r="AA632" s="137"/>
      <c r="AB632" s="139"/>
    </row>
    <row r="633" spans="1:28">
      <c r="A633" s="97">
        <f t="shared" si="70"/>
        <v>635</v>
      </c>
      <c r="B633" s="115">
        <v>46112</v>
      </c>
      <c r="C633" s="116">
        <v>46378</v>
      </c>
      <c r="D633" s="135"/>
      <c r="E633" s="136"/>
      <c r="F633" s="124"/>
      <c r="G633" s="137"/>
      <c r="H633" s="137"/>
      <c r="I633" s="137"/>
      <c r="J633" s="137"/>
      <c r="K633" s="137"/>
      <c r="L633" s="137"/>
      <c r="M633" s="125">
        <f t="shared" si="72"/>
        <v>0</v>
      </c>
      <c r="N633" s="126">
        <f t="shared" si="73"/>
        <v>0</v>
      </c>
      <c r="O633" s="137"/>
      <c r="P633" s="23">
        <f t="shared" si="71"/>
        <v>0</v>
      </c>
      <c r="Q633" s="23">
        <f t="shared" si="74"/>
        <v>0</v>
      </c>
      <c r="R633" s="137"/>
      <c r="S633" s="23">
        <f t="shared" si="75"/>
        <v>0</v>
      </c>
      <c r="T633" s="123">
        <f t="shared" si="76"/>
        <v>0</v>
      </c>
      <c r="U633" s="138"/>
      <c r="V633" s="137"/>
      <c r="W633" s="137"/>
      <c r="X633" s="137"/>
      <c r="Y633" s="137"/>
      <c r="Z633" s="137"/>
      <c r="AA633" s="137"/>
      <c r="AB633" s="139"/>
    </row>
    <row r="634" spans="1:28">
      <c r="A634" s="97">
        <f t="shared" si="70"/>
        <v>636</v>
      </c>
      <c r="B634" s="115">
        <v>46112</v>
      </c>
      <c r="C634" s="116">
        <v>46379</v>
      </c>
      <c r="D634" s="135"/>
      <c r="E634" s="136"/>
      <c r="F634" s="124"/>
      <c r="G634" s="137"/>
      <c r="H634" s="137"/>
      <c r="I634" s="137"/>
      <c r="J634" s="137"/>
      <c r="K634" s="137"/>
      <c r="L634" s="137"/>
      <c r="M634" s="125">
        <f t="shared" si="72"/>
        <v>0</v>
      </c>
      <c r="N634" s="126">
        <f t="shared" si="73"/>
        <v>0</v>
      </c>
      <c r="O634" s="137"/>
      <c r="P634" s="23">
        <f t="shared" si="71"/>
        <v>0</v>
      </c>
      <c r="Q634" s="23">
        <f t="shared" si="74"/>
        <v>0</v>
      </c>
      <c r="R634" s="137"/>
      <c r="S634" s="23">
        <f t="shared" si="75"/>
        <v>0</v>
      </c>
      <c r="T634" s="123">
        <f t="shared" si="76"/>
        <v>0</v>
      </c>
      <c r="U634" s="138"/>
      <c r="V634" s="137"/>
      <c r="W634" s="137"/>
      <c r="X634" s="137"/>
      <c r="Y634" s="137"/>
      <c r="Z634" s="137"/>
      <c r="AA634" s="137"/>
      <c r="AB634" s="139"/>
    </row>
    <row r="635" spans="1:28">
      <c r="A635" s="97">
        <f t="shared" si="70"/>
        <v>637</v>
      </c>
      <c r="B635" s="115">
        <v>46112</v>
      </c>
      <c r="C635" s="116">
        <v>46380</v>
      </c>
      <c r="D635" s="135"/>
      <c r="E635" s="136"/>
      <c r="F635" s="124"/>
      <c r="G635" s="137"/>
      <c r="H635" s="137"/>
      <c r="I635" s="137"/>
      <c r="J635" s="137"/>
      <c r="K635" s="137"/>
      <c r="L635" s="137"/>
      <c r="M635" s="125">
        <f t="shared" si="72"/>
        <v>0</v>
      </c>
      <c r="N635" s="126">
        <f t="shared" si="73"/>
        <v>0</v>
      </c>
      <c r="O635" s="137"/>
      <c r="P635" s="23">
        <f t="shared" si="71"/>
        <v>0</v>
      </c>
      <c r="Q635" s="23">
        <f t="shared" si="74"/>
        <v>0</v>
      </c>
      <c r="R635" s="137"/>
      <c r="S635" s="23">
        <f t="shared" si="75"/>
        <v>0</v>
      </c>
      <c r="T635" s="123">
        <f t="shared" si="76"/>
        <v>0</v>
      </c>
      <c r="U635" s="138"/>
      <c r="V635" s="137"/>
      <c r="W635" s="137"/>
      <c r="X635" s="137"/>
      <c r="Y635" s="137"/>
      <c r="Z635" s="137"/>
      <c r="AA635" s="137"/>
      <c r="AB635" s="139"/>
    </row>
    <row r="636" spans="1:28">
      <c r="A636" s="97">
        <f t="shared" si="70"/>
        <v>638</v>
      </c>
      <c r="B636" s="115">
        <v>46112</v>
      </c>
      <c r="C636" s="116">
        <v>46381</v>
      </c>
      <c r="D636" s="135"/>
      <c r="E636" s="136"/>
      <c r="F636" s="124"/>
      <c r="G636" s="137"/>
      <c r="H636" s="137"/>
      <c r="I636" s="137"/>
      <c r="J636" s="137"/>
      <c r="K636" s="137"/>
      <c r="L636" s="137"/>
      <c r="M636" s="125">
        <f t="shared" si="72"/>
        <v>0</v>
      </c>
      <c r="N636" s="126">
        <f t="shared" si="73"/>
        <v>0</v>
      </c>
      <c r="O636" s="137"/>
      <c r="P636" s="23">
        <f t="shared" si="71"/>
        <v>0</v>
      </c>
      <c r="Q636" s="23">
        <f t="shared" si="74"/>
        <v>0</v>
      </c>
      <c r="R636" s="137"/>
      <c r="S636" s="23">
        <f t="shared" si="75"/>
        <v>0</v>
      </c>
      <c r="T636" s="123">
        <f t="shared" si="76"/>
        <v>0</v>
      </c>
      <c r="U636" s="138"/>
      <c r="V636" s="137"/>
      <c r="W636" s="137"/>
      <c r="X636" s="137"/>
      <c r="Y636" s="137"/>
      <c r="Z636" s="137"/>
      <c r="AA636" s="137"/>
      <c r="AB636" s="139"/>
    </row>
    <row r="637" spans="1:28">
      <c r="A637" s="97">
        <f t="shared" si="70"/>
        <v>639</v>
      </c>
      <c r="B637" s="115">
        <v>46112</v>
      </c>
      <c r="C637" s="116">
        <v>46382</v>
      </c>
      <c r="D637" s="135"/>
      <c r="E637" s="136"/>
      <c r="F637" s="124"/>
      <c r="G637" s="137"/>
      <c r="H637" s="137"/>
      <c r="I637" s="137"/>
      <c r="J637" s="137"/>
      <c r="K637" s="137"/>
      <c r="L637" s="137"/>
      <c r="M637" s="125">
        <f t="shared" si="72"/>
        <v>0</v>
      </c>
      <c r="N637" s="126">
        <f t="shared" si="73"/>
        <v>0</v>
      </c>
      <c r="O637" s="137"/>
      <c r="P637" s="23">
        <f t="shared" si="71"/>
        <v>0</v>
      </c>
      <c r="Q637" s="23">
        <f t="shared" si="74"/>
        <v>0</v>
      </c>
      <c r="R637" s="137"/>
      <c r="S637" s="23">
        <f t="shared" si="75"/>
        <v>0</v>
      </c>
      <c r="T637" s="123">
        <f t="shared" si="76"/>
        <v>0</v>
      </c>
      <c r="U637" s="138"/>
      <c r="V637" s="137"/>
      <c r="W637" s="137"/>
      <c r="X637" s="137"/>
      <c r="Y637" s="137"/>
      <c r="Z637" s="137"/>
      <c r="AA637" s="137"/>
      <c r="AB637" s="139"/>
    </row>
    <row r="638" spans="1:28">
      <c r="A638" s="97">
        <f t="shared" si="70"/>
        <v>640</v>
      </c>
      <c r="B638" s="115">
        <v>46112</v>
      </c>
      <c r="C638" s="116">
        <v>46383</v>
      </c>
      <c r="D638" s="135"/>
      <c r="E638" s="136"/>
      <c r="F638" s="124"/>
      <c r="G638" s="137"/>
      <c r="H638" s="137"/>
      <c r="I638" s="137"/>
      <c r="J638" s="137"/>
      <c r="K638" s="137"/>
      <c r="L638" s="137"/>
      <c r="M638" s="125">
        <f t="shared" si="72"/>
        <v>0</v>
      </c>
      <c r="N638" s="126">
        <f t="shared" si="73"/>
        <v>0</v>
      </c>
      <c r="O638" s="137"/>
      <c r="P638" s="23">
        <f t="shared" si="71"/>
        <v>0</v>
      </c>
      <c r="Q638" s="23">
        <f t="shared" si="74"/>
        <v>0</v>
      </c>
      <c r="R638" s="137"/>
      <c r="S638" s="23">
        <f t="shared" si="75"/>
        <v>0</v>
      </c>
      <c r="T638" s="123">
        <f t="shared" si="76"/>
        <v>0</v>
      </c>
      <c r="U638" s="138"/>
      <c r="V638" s="137"/>
      <c r="W638" s="137"/>
      <c r="X638" s="137"/>
      <c r="Y638" s="137"/>
      <c r="Z638" s="137"/>
      <c r="AA638" s="137"/>
      <c r="AB638" s="139"/>
    </row>
    <row r="639" spans="1:28">
      <c r="A639" s="97">
        <f t="shared" si="70"/>
        <v>641</v>
      </c>
      <c r="B639" s="115">
        <v>46112</v>
      </c>
      <c r="C639" s="116">
        <v>46384</v>
      </c>
      <c r="D639" s="135"/>
      <c r="E639" s="136"/>
      <c r="F639" s="124"/>
      <c r="G639" s="137"/>
      <c r="H639" s="137"/>
      <c r="I639" s="137"/>
      <c r="J639" s="137"/>
      <c r="K639" s="137"/>
      <c r="L639" s="137"/>
      <c r="M639" s="125">
        <f t="shared" si="72"/>
        <v>0</v>
      </c>
      <c r="N639" s="126">
        <f t="shared" si="73"/>
        <v>0</v>
      </c>
      <c r="O639" s="137"/>
      <c r="P639" s="23">
        <f t="shared" si="71"/>
        <v>0</v>
      </c>
      <c r="Q639" s="23">
        <f t="shared" si="74"/>
        <v>0</v>
      </c>
      <c r="R639" s="137"/>
      <c r="S639" s="23">
        <f t="shared" si="75"/>
        <v>0</v>
      </c>
      <c r="T639" s="123">
        <f t="shared" si="76"/>
        <v>0</v>
      </c>
      <c r="U639" s="138"/>
      <c r="V639" s="137"/>
      <c r="W639" s="137"/>
      <c r="X639" s="137"/>
      <c r="Y639" s="137"/>
      <c r="Z639" s="137"/>
      <c r="AA639" s="137"/>
      <c r="AB639" s="139"/>
    </row>
    <row r="640" spans="1:28">
      <c r="A640" s="97">
        <f t="shared" si="70"/>
        <v>642</v>
      </c>
      <c r="B640" s="115">
        <v>46112</v>
      </c>
      <c r="C640" s="116">
        <v>46385</v>
      </c>
      <c r="D640" s="135"/>
      <c r="E640" s="136"/>
      <c r="F640" s="124"/>
      <c r="G640" s="137"/>
      <c r="H640" s="137"/>
      <c r="I640" s="137"/>
      <c r="J640" s="137"/>
      <c r="K640" s="137"/>
      <c r="L640" s="137"/>
      <c r="M640" s="125">
        <f t="shared" si="72"/>
        <v>0</v>
      </c>
      <c r="N640" s="126">
        <f t="shared" si="73"/>
        <v>0</v>
      </c>
      <c r="O640" s="137"/>
      <c r="P640" s="23">
        <f t="shared" si="71"/>
        <v>0</v>
      </c>
      <c r="Q640" s="23">
        <f t="shared" si="74"/>
        <v>0</v>
      </c>
      <c r="R640" s="137"/>
      <c r="S640" s="23">
        <f t="shared" si="75"/>
        <v>0</v>
      </c>
      <c r="T640" s="123">
        <f t="shared" si="76"/>
        <v>0</v>
      </c>
      <c r="U640" s="138"/>
      <c r="V640" s="137"/>
      <c r="W640" s="137"/>
      <c r="X640" s="137"/>
      <c r="Y640" s="137"/>
      <c r="Z640" s="137"/>
      <c r="AA640" s="137"/>
      <c r="AB640" s="139"/>
    </row>
    <row r="641" spans="1:28">
      <c r="A641" s="97">
        <f t="shared" si="70"/>
        <v>643</v>
      </c>
      <c r="B641" s="115">
        <v>46112</v>
      </c>
      <c r="C641" s="116">
        <v>46386</v>
      </c>
      <c r="D641" s="135"/>
      <c r="E641" s="136"/>
      <c r="F641" s="124"/>
      <c r="G641" s="137"/>
      <c r="H641" s="137"/>
      <c r="I641" s="137"/>
      <c r="J641" s="137"/>
      <c r="K641" s="137"/>
      <c r="L641" s="137"/>
      <c r="M641" s="125">
        <f t="shared" si="72"/>
        <v>0</v>
      </c>
      <c r="N641" s="126">
        <f t="shared" si="73"/>
        <v>0</v>
      </c>
      <c r="O641" s="137"/>
      <c r="P641" s="23">
        <f t="shared" si="71"/>
        <v>0</v>
      </c>
      <c r="Q641" s="23">
        <f t="shared" si="74"/>
        <v>0</v>
      </c>
      <c r="R641" s="137"/>
      <c r="S641" s="23">
        <f t="shared" si="75"/>
        <v>0</v>
      </c>
      <c r="T641" s="123">
        <f t="shared" si="76"/>
        <v>0</v>
      </c>
      <c r="U641" s="138"/>
      <c r="V641" s="137"/>
      <c r="W641" s="137"/>
      <c r="X641" s="137"/>
      <c r="Y641" s="137"/>
      <c r="Z641" s="137"/>
      <c r="AA641" s="137"/>
      <c r="AB641" s="139"/>
    </row>
    <row r="642" spans="1:28">
      <c r="A642" s="97">
        <f t="shared" si="70"/>
        <v>644</v>
      </c>
      <c r="B642" s="115">
        <v>46112</v>
      </c>
      <c r="C642" s="116">
        <v>46387</v>
      </c>
      <c r="D642" s="135"/>
      <c r="E642" s="136"/>
      <c r="F642" s="124"/>
      <c r="G642" s="137"/>
      <c r="H642" s="137"/>
      <c r="I642" s="137"/>
      <c r="J642" s="137"/>
      <c r="K642" s="137"/>
      <c r="L642" s="137"/>
      <c r="M642" s="125">
        <f t="shared" si="72"/>
        <v>0</v>
      </c>
      <c r="N642" s="126">
        <f t="shared" si="73"/>
        <v>0</v>
      </c>
      <c r="O642" s="137"/>
      <c r="P642" s="23">
        <f t="shared" si="71"/>
        <v>0</v>
      </c>
      <c r="Q642" s="23">
        <f t="shared" si="74"/>
        <v>0</v>
      </c>
      <c r="R642" s="137"/>
      <c r="S642" s="23">
        <f t="shared" si="75"/>
        <v>0</v>
      </c>
      <c r="T642" s="123">
        <f t="shared" si="76"/>
        <v>0</v>
      </c>
      <c r="U642" s="138"/>
      <c r="V642" s="137"/>
      <c r="W642" s="137"/>
      <c r="X642" s="137"/>
      <c r="Y642" s="137"/>
      <c r="Z642" s="137"/>
      <c r="AA642" s="137"/>
      <c r="AB642" s="139"/>
    </row>
    <row r="643" spans="1:28">
      <c r="A643" s="97">
        <f t="shared" ref="A643:A706" si="77">A642+1</f>
        <v>645</v>
      </c>
      <c r="B643" s="115">
        <v>46112</v>
      </c>
      <c r="C643" s="116">
        <v>46388</v>
      </c>
      <c r="D643" s="135"/>
      <c r="E643" s="136"/>
      <c r="F643" s="124"/>
      <c r="G643" s="137"/>
      <c r="H643" s="137"/>
      <c r="I643" s="137"/>
      <c r="J643" s="137"/>
      <c r="K643" s="137"/>
      <c r="L643" s="137"/>
      <c r="M643" s="125">
        <f t="shared" si="72"/>
        <v>0</v>
      </c>
      <c r="N643" s="126">
        <f t="shared" si="73"/>
        <v>0</v>
      </c>
      <c r="O643" s="137"/>
      <c r="P643" s="23">
        <f t="shared" ref="P643:P706" si="78">MAX((O643-N643)*3000,0)</f>
        <v>0</v>
      </c>
      <c r="Q643" s="23">
        <f t="shared" si="74"/>
        <v>0</v>
      </c>
      <c r="R643" s="137"/>
      <c r="S643" s="23">
        <f t="shared" si="75"/>
        <v>0</v>
      </c>
      <c r="T643" s="123">
        <f t="shared" si="76"/>
        <v>0</v>
      </c>
      <c r="U643" s="138"/>
      <c r="V643" s="137"/>
      <c r="W643" s="137"/>
      <c r="X643" s="137"/>
      <c r="Y643" s="137"/>
      <c r="Z643" s="137"/>
      <c r="AA643" s="137"/>
      <c r="AB643" s="139"/>
    </row>
    <row r="644" spans="1:28">
      <c r="A644" s="97">
        <f t="shared" si="77"/>
        <v>646</v>
      </c>
      <c r="B644" s="115">
        <v>46112</v>
      </c>
      <c r="C644" s="116">
        <v>46389</v>
      </c>
      <c r="D644" s="135"/>
      <c r="E644" s="136"/>
      <c r="F644" s="124"/>
      <c r="G644" s="137"/>
      <c r="H644" s="137"/>
      <c r="I644" s="137"/>
      <c r="J644" s="137"/>
      <c r="K644" s="137"/>
      <c r="L644" s="137"/>
      <c r="M644" s="125">
        <f t="shared" ref="M644:M707" si="79">SUM(F644:L644)</f>
        <v>0</v>
      </c>
      <c r="N644" s="126">
        <f t="shared" si="73"/>
        <v>0</v>
      </c>
      <c r="O644" s="137"/>
      <c r="P644" s="23">
        <f t="shared" si="78"/>
        <v>0</v>
      </c>
      <c r="Q644" s="23">
        <f t="shared" si="74"/>
        <v>0</v>
      </c>
      <c r="R644" s="137"/>
      <c r="S644" s="23">
        <f t="shared" si="75"/>
        <v>0</v>
      </c>
      <c r="T644" s="123">
        <f t="shared" si="76"/>
        <v>0</v>
      </c>
      <c r="U644" s="138"/>
      <c r="V644" s="137"/>
      <c r="W644" s="137"/>
      <c r="X644" s="137"/>
      <c r="Y644" s="137"/>
      <c r="Z644" s="137"/>
      <c r="AA644" s="137"/>
      <c r="AB644" s="139"/>
    </row>
    <row r="645" spans="1:28">
      <c r="A645" s="97">
        <f t="shared" si="77"/>
        <v>647</v>
      </c>
      <c r="B645" s="115">
        <v>46112</v>
      </c>
      <c r="C645" s="116">
        <v>46390</v>
      </c>
      <c r="D645" s="135"/>
      <c r="E645" s="136"/>
      <c r="F645" s="124"/>
      <c r="G645" s="137"/>
      <c r="H645" s="137"/>
      <c r="I645" s="137"/>
      <c r="J645" s="137"/>
      <c r="K645" s="137"/>
      <c r="L645" s="137"/>
      <c r="M645" s="125">
        <f t="shared" si="79"/>
        <v>0</v>
      </c>
      <c r="N645" s="126">
        <f t="shared" si="73"/>
        <v>0</v>
      </c>
      <c r="O645" s="137"/>
      <c r="P645" s="23">
        <f t="shared" si="78"/>
        <v>0</v>
      </c>
      <c r="Q645" s="23">
        <f t="shared" si="74"/>
        <v>0</v>
      </c>
      <c r="R645" s="137"/>
      <c r="S645" s="23">
        <f t="shared" si="75"/>
        <v>0</v>
      </c>
      <c r="T645" s="123">
        <f t="shared" si="76"/>
        <v>0</v>
      </c>
      <c r="U645" s="138"/>
      <c r="V645" s="137"/>
      <c r="W645" s="137"/>
      <c r="X645" s="137"/>
      <c r="Y645" s="137"/>
      <c r="Z645" s="137"/>
      <c r="AA645" s="137"/>
      <c r="AB645" s="139"/>
    </row>
    <row r="646" spans="1:28">
      <c r="A646" s="97">
        <f t="shared" si="77"/>
        <v>648</v>
      </c>
      <c r="B646" s="115">
        <v>46112</v>
      </c>
      <c r="C646" s="116">
        <v>46391</v>
      </c>
      <c r="D646" s="135"/>
      <c r="E646" s="136"/>
      <c r="F646" s="124"/>
      <c r="G646" s="137"/>
      <c r="H646" s="137"/>
      <c r="I646" s="137"/>
      <c r="J646" s="137"/>
      <c r="K646" s="137"/>
      <c r="L646" s="137"/>
      <c r="M646" s="125">
        <f t="shared" si="79"/>
        <v>0</v>
      </c>
      <c r="N646" s="126">
        <f t="shared" si="73"/>
        <v>0</v>
      </c>
      <c r="O646" s="137"/>
      <c r="P646" s="23">
        <f t="shared" si="78"/>
        <v>0</v>
      </c>
      <c r="Q646" s="23">
        <f t="shared" si="74"/>
        <v>0</v>
      </c>
      <c r="R646" s="137"/>
      <c r="S646" s="23">
        <f t="shared" si="75"/>
        <v>0</v>
      </c>
      <c r="T646" s="123">
        <f t="shared" si="76"/>
        <v>0</v>
      </c>
      <c r="U646" s="138"/>
      <c r="V646" s="137"/>
      <c r="W646" s="137"/>
      <c r="X646" s="137"/>
      <c r="Y646" s="137"/>
      <c r="Z646" s="137"/>
      <c r="AA646" s="137"/>
      <c r="AB646" s="139"/>
    </row>
    <row r="647" spans="1:28">
      <c r="A647" s="97">
        <f t="shared" si="77"/>
        <v>649</v>
      </c>
      <c r="B647" s="115">
        <v>46112</v>
      </c>
      <c r="C647" s="116">
        <v>46392</v>
      </c>
      <c r="D647" s="135"/>
      <c r="E647" s="136"/>
      <c r="F647" s="124"/>
      <c r="G647" s="137"/>
      <c r="H647" s="137"/>
      <c r="I647" s="137"/>
      <c r="J647" s="137"/>
      <c r="K647" s="137"/>
      <c r="L647" s="137"/>
      <c r="M647" s="125">
        <f t="shared" si="79"/>
        <v>0</v>
      </c>
      <c r="N647" s="126">
        <f t="shared" si="73"/>
        <v>0</v>
      </c>
      <c r="O647" s="137"/>
      <c r="P647" s="23">
        <f t="shared" si="78"/>
        <v>0</v>
      </c>
      <c r="Q647" s="23">
        <f t="shared" si="74"/>
        <v>0</v>
      </c>
      <c r="R647" s="137"/>
      <c r="S647" s="23">
        <f t="shared" si="75"/>
        <v>0</v>
      </c>
      <c r="T647" s="123">
        <f t="shared" si="76"/>
        <v>0</v>
      </c>
      <c r="U647" s="138"/>
      <c r="V647" s="137"/>
      <c r="W647" s="137"/>
      <c r="X647" s="137"/>
      <c r="Y647" s="137"/>
      <c r="Z647" s="137"/>
      <c r="AA647" s="137"/>
      <c r="AB647" s="139"/>
    </row>
    <row r="648" spans="1:28">
      <c r="A648" s="97">
        <f t="shared" si="77"/>
        <v>650</v>
      </c>
      <c r="B648" s="115">
        <v>46112</v>
      </c>
      <c r="C648" s="116">
        <v>46393</v>
      </c>
      <c r="D648" s="135"/>
      <c r="E648" s="136"/>
      <c r="F648" s="124"/>
      <c r="G648" s="137"/>
      <c r="H648" s="137"/>
      <c r="I648" s="137"/>
      <c r="J648" s="137"/>
      <c r="K648" s="137"/>
      <c r="L648" s="137"/>
      <c r="M648" s="125">
        <f t="shared" si="79"/>
        <v>0</v>
      </c>
      <c r="N648" s="126">
        <f t="shared" si="73"/>
        <v>0</v>
      </c>
      <c r="O648" s="137"/>
      <c r="P648" s="23">
        <f t="shared" si="78"/>
        <v>0</v>
      </c>
      <c r="Q648" s="23">
        <f t="shared" si="74"/>
        <v>0</v>
      </c>
      <c r="R648" s="137"/>
      <c r="S648" s="23">
        <f t="shared" si="75"/>
        <v>0</v>
      </c>
      <c r="T648" s="123">
        <f t="shared" si="76"/>
        <v>0</v>
      </c>
      <c r="U648" s="138"/>
      <c r="V648" s="137"/>
      <c r="W648" s="137"/>
      <c r="X648" s="137"/>
      <c r="Y648" s="137"/>
      <c r="Z648" s="137"/>
      <c r="AA648" s="137"/>
      <c r="AB648" s="139"/>
    </row>
    <row r="649" spans="1:28">
      <c r="A649" s="97">
        <f t="shared" si="77"/>
        <v>651</v>
      </c>
      <c r="B649" s="115">
        <v>46112</v>
      </c>
      <c r="C649" s="116">
        <v>46394</v>
      </c>
      <c r="D649" s="135"/>
      <c r="E649" s="136"/>
      <c r="F649" s="124"/>
      <c r="G649" s="137"/>
      <c r="H649" s="137"/>
      <c r="I649" s="137"/>
      <c r="J649" s="137"/>
      <c r="K649" s="137"/>
      <c r="L649" s="137"/>
      <c r="M649" s="125">
        <f t="shared" si="79"/>
        <v>0</v>
      </c>
      <c r="N649" s="126">
        <f t="shared" si="73"/>
        <v>0</v>
      </c>
      <c r="O649" s="137"/>
      <c r="P649" s="23">
        <f t="shared" si="78"/>
        <v>0</v>
      </c>
      <c r="Q649" s="23">
        <f t="shared" si="74"/>
        <v>0</v>
      </c>
      <c r="R649" s="137"/>
      <c r="S649" s="23">
        <f t="shared" si="75"/>
        <v>0</v>
      </c>
      <c r="T649" s="123">
        <f t="shared" si="76"/>
        <v>0</v>
      </c>
      <c r="U649" s="138"/>
      <c r="V649" s="137"/>
      <c r="W649" s="137"/>
      <c r="X649" s="137"/>
      <c r="Y649" s="137"/>
      <c r="Z649" s="137"/>
      <c r="AA649" s="137"/>
      <c r="AB649" s="139"/>
    </row>
    <row r="650" spans="1:28">
      <c r="A650" s="97">
        <f t="shared" si="77"/>
        <v>652</v>
      </c>
      <c r="B650" s="115">
        <v>46112</v>
      </c>
      <c r="C650" s="116">
        <v>46395</v>
      </c>
      <c r="D650" s="135"/>
      <c r="E650" s="136"/>
      <c r="F650" s="124"/>
      <c r="G650" s="137"/>
      <c r="H650" s="137"/>
      <c r="I650" s="137"/>
      <c r="J650" s="137"/>
      <c r="K650" s="137"/>
      <c r="L650" s="137"/>
      <c r="M650" s="125">
        <f t="shared" si="79"/>
        <v>0</v>
      </c>
      <c r="N650" s="126">
        <f t="shared" si="73"/>
        <v>0</v>
      </c>
      <c r="O650" s="137"/>
      <c r="P650" s="23">
        <f t="shared" si="78"/>
        <v>0</v>
      </c>
      <c r="Q650" s="23">
        <f t="shared" si="74"/>
        <v>0</v>
      </c>
      <c r="R650" s="137"/>
      <c r="S650" s="23">
        <f t="shared" si="75"/>
        <v>0</v>
      </c>
      <c r="T650" s="123">
        <f t="shared" si="76"/>
        <v>0</v>
      </c>
      <c r="U650" s="138"/>
      <c r="V650" s="137"/>
      <c r="W650" s="137"/>
      <c r="X650" s="137"/>
      <c r="Y650" s="137"/>
      <c r="Z650" s="137"/>
      <c r="AA650" s="137"/>
      <c r="AB650" s="139"/>
    </row>
    <row r="651" spans="1:28">
      <c r="A651" s="97">
        <f t="shared" si="77"/>
        <v>653</v>
      </c>
      <c r="B651" s="115">
        <v>46112</v>
      </c>
      <c r="C651" s="116">
        <v>46396</v>
      </c>
      <c r="D651" s="135"/>
      <c r="E651" s="136"/>
      <c r="F651" s="124"/>
      <c r="G651" s="137"/>
      <c r="H651" s="137"/>
      <c r="I651" s="137"/>
      <c r="J651" s="137"/>
      <c r="K651" s="137"/>
      <c r="L651" s="137"/>
      <c r="M651" s="125">
        <f t="shared" si="79"/>
        <v>0</v>
      </c>
      <c r="N651" s="126">
        <f t="shared" si="73"/>
        <v>0</v>
      </c>
      <c r="O651" s="137"/>
      <c r="P651" s="23">
        <f t="shared" si="78"/>
        <v>0</v>
      </c>
      <c r="Q651" s="23">
        <f t="shared" si="74"/>
        <v>0</v>
      </c>
      <c r="R651" s="137"/>
      <c r="S651" s="23">
        <f t="shared" si="75"/>
        <v>0</v>
      </c>
      <c r="T651" s="123">
        <f t="shared" si="76"/>
        <v>0</v>
      </c>
      <c r="U651" s="138"/>
      <c r="V651" s="137"/>
      <c r="W651" s="137"/>
      <c r="X651" s="137"/>
      <c r="Y651" s="137"/>
      <c r="Z651" s="137"/>
      <c r="AA651" s="137"/>
      <c r="AB651" s="139"/>
    </row>
    <row r="652" spans="1:28">
      <c r="A652" s="97">
        <f t="shared" si="77"/>
        <v>654</v>
      </c>
      <c r="B652" s="115">
        <v>46112</v>
      </c>
      <c r="C652" s="116">
        <v>46397</v>
      </c>
      <c r="D652" s="135"/>
      <c r="E652" s="136"/>
      <c r="F652" s="124"/>
      <c r="G652" s="137"/>
      <c r="H652" s="137"/>
      <c r="I652" s="137"/>
      <c r="J652" s="137"/>
      <c r="K652" s="137"/>
      <c r="L652" s="137"/>
      <c r="M652" s="125">
        <f t="shared" si="79"/>
        <v>0</v>
      </c>
      <c r="N652" s="126">
        <f t="shared" si="73"/>
        <v>0</v>
      </c>
      <c r="O652" s="137"/>
      <c r="P652" s="23">
        <f t="shared" si="78"/>
        <v>0</v>
      </c>
      <c r="Q652" s="23">
        <f t="shared" si="74"/>
        <v>0</v>
      </c>
      <c r="R652" s="137"/>
      <c r="S652" s="23">
        <f t="shared" si="75"/>
        <v>0</v>
      </c>
      <c r="T652" s="123">
        <f t="shared" si="76"/>
        <v>0</v>
      </c>
      <c r="U652" s="138"/>
      <c r="V652" s="137"/>
      <c r="W652" s="137"/>
      <c r="X652" s="137"/>
      <c r="Y652" s="137"/>
      <c r="Z652" s="137"/>
      <c r="AA652" s="137"/>
      <c r="AB652" s="139"/>
    </row>
    <row r="653" spans="1:28">
      <c r="A653" s="97">
        <f t="shared" si="77"/>
        <v>655</v>
      </c>
      <c r="B653" s="115">
        <v>46112</v>
      </c>
      <c r="C653" s="116">
        <v>46398</v>
      </c>
      <c r="D653" s="135"/>
      <c r="E653" s="136"/>
      <c r="F653" s="124"/>
      <c r="G653" s="137"/>
      <c r="H653" s="137"/>
      <c r="I653" s="137"/>
      <c r="J653" s="137"/>
      <c r="K653" s="137"/>
      <c r="L653" s="137"/>
      <c r="M653" s="125">
        <f t="shared" si="79"/>
        <v>0</v>
      </c>
      <c r="N653" s="126">
        <f t="shared" ref="N653:N716" si="80">O652</f>
        <v>0</v>
      </c>
      <c r="O653" s="137"/>
      <c r="P653" s="23">
        <f t="shared" si="78"/>
        <v>0</v>
      </c>
      <c r="Q653" s="23">
        <f t="shared" ref="Q653:Q716" si="81">R652</f>
        <v>0</v>
      </c>
      <c r="R653" s="137"/>
      <c r="S653" s="23">
        <f t="shared" si="75"/>
        <v>0</v>
      </c>
      <c r="T653" s="123">
        <f t="shared" si="76"/>
        <v>0</v>
      </c>
      <c r="U653" s="138"/>
      <c r="V653" s="137"/>
      <c r="W653" s="137"/>
      <c r="X653" s="137"/>
      <c r="Y653" s="137"/>
      <c r="Z653" s="137"/>
      <c r="AA653" s="137"/>
      <c r="AB653" s="139"/>
    </row>
    <row r="654" spans="1:28">
      <c r="A654" s="97">
        <f t="shared" si="77"/>
        <v>656</v>
      </c>
      <c r="B654" s="115">
        <v>46112</v>
      </c>
      <c r="C654" s="116">
        <v>46399</v>
      </c>
      <c r="D654" s="135"/>
      <c r="E654" s="136"/>
      <c r="F654" s="124"/>
      <c r="G654" s="137"/>
      <c r="H654" s="137"/>
      <c r="I654" s="137"/>
      <c r="J654" s="137"/>
      <c r="K654" s="137"/>
      <c r="L654" s="137"/>
      <c r="M654" s="125">
        <f t="shared" si="79"/>
        <v>0</v>
      </c>
      <c r="N654" s="126">
        <f t="shared" si="80"/>
        <v>0</v>
      </c>
      <c r="O654" s="137"/>
      <c r="P654" s="23">
        <f t="shared" si="78"/>
        <v>0</v>
      </c>
      <c r="Q654" s="23">
        <f t="shared" si="81"/>
        <v>0</v>
      </c>
      <c r="R654" s="137"/>
      <c r="S654" s="23">
        <f t="shared" si="75"/>
        <v>0</v>
      </c>
      <c r="T654" s="123">
        <f t="shared" si="76"/>
        <v>0</v>
      </c>
      <c r="U654" s="138"/>
      <c r="V654" s="137"/>
      <c r="W654" s="137"/>
      <c r="X654" s="137"/>
      <c r="Y654" s="137"/>
      <c r="Z654" s="137"/>
      <c r="AA654" s="137"/>
      <c r="AB654" s="139"/>
    </row>
    <row r="655" spans="1:28">
      <c r="A655" s="97">
        <f t="shared" si="77"/>
        <v>657</v>
      </c>
      <c r="B655" s="115">
        <v>46112</v>
      </c>
      <c r="C655" s="116">
        <v>46400</v>
      </c>
      <c r="D655" s="135"/>
      <c r="E655" s="136"/>
      <c r="F655" s="124"/>
      <c r="G655" s="137"/>
      <c r="H655" s="137"/>
      <c r="I655" s="137"/>
      <c r="J655" s="137"/>
      <c r="K655" s="137"/>
      <c r="L655" s="137"/>
      <c r="M655" s="125">
        <f t="shared" si="79"/>
        <v>0</v>
      </c>
      <c r="N655" s="126">
        <f t="shared" si="80"/>
        <v>0</v>
      </c>
      <c r="O655" s="137"/>
      <c r="P655" s="23">
        <f t="shared" si="78"/>
        <v>0</v>
      </c>
      <c r="Q655" s="23">
        <f t="shared" si="81"/>
        <v>0</v>
      </c>
      <c r="R655" s="137"/>
      <c r="S655" s="23">
        <f t="shared" si="75"/>
        <v>0</v>
      </c>
      <c r="T655" s="123">
        <f t="shared" si="76"/>
        <v>0</v>
      </c>
      <c r="U655" s="138"/>
      <c r="V655" s="137"/>
      <c r="W655" s="137"/>
      <c r="X655" s="137"/>
      <c r="Y655" s="137"/>
      <c r="Z655" s="137"/>
      <c r="AA655" s="137"/>
      <c r="AB655" s="139"/>
    </row>
    <row r="656" spans="1:28">
      <c r="A656" s="97">
        <f t="shared" si="77"/>
        <v>658</v>
      </c>
      <c r="B656" s="115">
        <v>46112</v>
      </c>
      <c r="C656" s="116">
        <v>46401</v>
      </c>
      <c r="D656" s="135"/>
      <c r="E656" s="136"/>
      <c r="F656" s="124"/>
      <c r="G656" s="137"/>
      <c r="H656" s="137"/>
      <c r="I656" s="137"/>
      <c r="J656" s="137"/>
      <c r="K656" s="137"/>
      <c r="L656" s="137"/>
      <c r="M656" s="125">
        <f t="shared" si="79"/>
        <v>0</v>
      </c>
      <c r="N656" s="126">
        <f t="shared" si="80"/>
        <v>0</v>
      </c>
      <c r="O656" s="137"/>
      <c r="P656" s="23">
        <f t="shared" si="78"/>
        <v>0</v>
      </c>
      <c r="Q656" s="23">
        <f t="shared" si="81"/>
        <v>0</v>
      </c>
      <c r="R656" s="137"/>
      <c r="S656" s="23">
        <f t="shared" si="75"/>
        <v>0</v>
      </c>
      <c r="T656" s="123">
        <f t="shared" si="76"/>
        <v>0</v>
      </c>
      <c r="U656" s="138"/>
      <c r="V656" s="137"/>
      <c r="W656" s="137"/>
      <c r="X656" s="137"/>
      <c r="Y656" s="137"/>
      <c r="Z656" s="137"/>
      <c r="AA656" s="137"/>
      <c r="AB656" s="139"/>
    </row>
    <row r="657" spans="1:28">
      <c r="A657" s="97">
        <f t="shared" si="77"/>
        <v>659</v>
      </c>
      <c r="B657" s="115">
        <v>46112</v>
      </c>
      <c r="C657" s="116">
        <v>46402</v>
      </c>
      <c r="D657" s="135"/>
      <c r="E657" s="136"/>
      <c r="F657" s="124"/>
      <c r="G657" s="137"/>
      <c r="H657" s="137"/>
      <c r="I657" s="137"/>
      <c r="J657" s="137"/>
      <c r="K657" s="137"/>
      <c r="L657" s="137"/>
      <c r="M657" s="125">
        <f t="shared" si="79"/>
        <v>0</v>
      </c>
      <c r="N657" s="126">
        <f t="shared" si="80"/>
        <v>0</v>
      </c>
      <c r="O657" s="137"/>
      <c r="P657" s="23">
        <f t="shared" si="78"/>
        <v>0</v>
      </c>
      <c r="Q657" s="23">
        <f t="shared" si="81"/>
        <v>0</v>
      </c>
      <c r="R657" s="137"/>
      <c r="S657" s="23">
        <f t="shared" si="75"/>
        <v>0</v>
      </c>
      <c r="T657" s="123">
        <f t="shared" si="76"/>
        <v>0</v>
      </c>
      <c r="U657" s="138"/>
      <c r="V657" s="137"/>
      <c r="W657" s="137"/>
      <c r="X657" s="137"/>
      <c r="Y657" s="137"/>
      <c r="Z657" s="137"/>
      <c r="AA657" s="137"/>
      <c r="AB657" s="139"/>
    </row>
    <row r="658" spans="1:28">
      <c r="A658" s="97">
        <f t="shared" si="77"/>
        <v>660</v>
      </c>
      <c r="B658" s="115">
        <v>46112</v>
      </c>
      <c r="C658" s="116">
        <v>46403</v>
      </c>
      <c r="D658" s="135"/>
      <c r="E658" s="136"/>
      <c r="F658" s="124"/>
      <c r="G658" s="137"/>
      <c r="H658" s="137"/>
      <c r="I658" s="137"/>
      <c r="J658" s="137"/>
      <c r="K658" s="137"/>
      <c r="L658" s="137"/>
      <c r="M658" s="125">
        <f t="shared" si="79"/>
        <v>0</v>
      </c>
      <c r="N658" s="126">
        <f t="shared" si="80"/>
        <v>0</v>
      </c>
      <c r="O658" s="137"/>
      <c r="P658" s="23">
        <f t="shared" si="78"/>
        <v>0</v>
      </c>
      <c r="Q658" s="23">
        <f t="shared" si="81"/>
        <v>0</v>
      </c>
      <c r="R658" s="137"/>
      <c r="S658" s="23">
        <f t="shared" si="75"/>
        <v>0</v>
      </c>
      <c r="T658" s="123">
        <f t="shared" si="76"/>
        <v>0</v>
      </c>
      <c r="U658" s="138"/>
      <c r="V658" s="137"/>
      <c r="W658" s="137"/>
      <c r="X658" s="137"/>
      <c r="Y658" s="137"/>
      <c r="Z658" s="137"/>
      <c r="AA658" s="137"/>
      <c r="AB658" s="139"/>
    </row>
    <row r="659" spans="1:28">
      <c r="A659" s="97">
        <f t="shared" si="77"/>
        <v>661</v>
      </c>
      <c r="B659" s="115">
        <v>46112</v>
      </c>
      <c r="C659" s="116">
        <v>46404</v>
      </c>
      <c r="D659" s="135"/>
      <c r="E659" s="136"/>
      <c r="F659" s="124"/>
      <c r="G659" s="137"/>
      <c r="H659" s="137"/>
      <c r="I659" s="137"/>
      <c r="J659" s="137"/>
      <c r="K659" s="137"/>
      <c r="L659" s="137"/>
      <c r="M659" s="125">
        <f t="shared" si="79"/>
        <v>0</v>
      </c>
      <c r="N659" s="126">
        <f t="shared" si="80"/>
        <v>0</v>
      </c>
      <c r="O659" s="137"/>
      <c r="P659" s="23">
        <f t="shared" si="78"/>
        <v>0</v>
      </c>
      <c r="Q659" s="23">
        <f t="shared" si="81"/>
        <v>0</v>
      </c>
      <c r="R659" s="137"/>
      <c r="S659" s="23">
        <f t="shared" si="75"/>
        <v>0</v>
      </c>
      <c r="T659" s="123">
        <f t="shared" si="76"/>
        <v>0</v>
      </c>
      <c r="U659" s="138"/>
      <c r="V659" s="137"/>
      <c r="W659" s="137"/>
      <c r="X659" s="137"/>
      <c r="Y659" s="137"/>
      <c r="Z659" s="137"/>
      <c r="AA659" s="137"/>
      <c r="AB659" s="139"/>
    </row>
    <row r="660" spans="1:28">
      <c r="A660" s="97">
        <f t="shared" si="77"/>
        <v>662</v>
      </c>
      <c r="B660" s="115">
        <v>46112</v>
      </c>
      <c r="C660" s="116">
        <v>46405</v>
      </c>
      <c r="D660" s="135"/>
      <c r="E660" s="136"/>
      <c r="F660" s="124"/>
      <c r="G660" s="137"/>
      <c r="H660" s="137"/>
      <c r="I660" s="137"/>
      <c r="J660" s="137"/>
      <c r="K660" s="137"/>
      <c r="L660" s="137"/>
      <c r="M660" s="125">
        <f t="shared" si="79"/>
        <v>0</v>
      </c>
      <c r="N660" s="126">
        <f t="shared" si="80"/>
        <v>0</v>
      </c>
      <c r="O660" s="137"/>
      <c r="P660" s="23">
        <f t="shared" si="78"/>
        <v>0</v>
      </c>
      <c r="Q660" s="23">
        <f t="shared" si="81"/>
        <v>0</v>
      </c>
      <c r="R660" s="137"/>
      <c r="S660" s="23">
        <f t="shared" si="75"/>
        <v>0</v>
      </c>
      <c r="T660" s="123">
        <f t="shared" si="76"/>
        <v>0</v>
      </c>
      <c r="U660" s="138"/>
      <c r="V660" s="137"/>
      <c r="W660" s="137"/>
      <c r="X660" s="137"/>
      <c r="Y660" s="137"/>
      <c r="Z660" s="137"/>
      <c r="AA660" s="137"/>
      <c r="AB660" s="139"/>
    </row>
    <row r="661" spans="1:28">
      <c r="A661" s="97">
        <f t="shared" si="77"/>
        <v>663</v>
      </c>
      <c r="B661" s="115">
        <v>46112</v>
      </c>
      <c r="C661" s="116">
        <v>46406</v>
      </c>
      <c r="D661" s="135"/>
      <c r="E661" s="136"/>
      <c r="F661" s="124"/>
      <c r="G661" s="137"/>
      <c r="H661" s="137"/>
      <c r="I661" s="137"/>
      <c r="J661" s="137"/>
      <c r="K661" s="137"/>
      <c r="L661" s="137"/>
      <c r="M661" s="125">
        <f t="shared" si="79"/>
        <v>0</v>
      </c>
      <c r="N661" s="126">
        <f t="shared" si="80"/>
        <v>0</v>
      </c>
      <c r="O661" s="137"/>
      <c r="P661" s="23">
        <f t="shared" si="78"/>
        <v>0</v>
      </c>
      <c r="Q661" s="23">
        <f t="shared" si="81"/>
        <v>0</v>
      </c>
      <c r="R661" s="137"/>
      <c r="S661" s="23">
        <f t="shared" si="75"/>
        <v>0</v>
      </c>
      <c r="T661" s="123">
        <f t="shared" si="76"/>
        <v>0</v>
      </c>
      <c r="U661" s="138"/>
      <c r="V661" s="137"/>
      <c r="W661" s="137"/>
      <c r="X661" s="137"/>
      <c r="Y661" s="137"/>
      <c r="Z661" s="137"/>
      <c r="AA661" s="137"/>
      <c r="AB661" s="139"/>
    </row>
    <row r="662" spans="1:28">
      <c r="A662" s="97">
        <f t="shared" si="77"/>
        <v>664</v>
      </c>
      <c r="B662" s="115">
        <v>46112</v>
      </c>
      <c r="C662" s="116">
        <v>46407</v>
      </c>
      <c r="D662" s="135"/>
      <c r="E662" s="136"/>
      <c r="F662" s="124"/>
      <c r="G662" s="137"/>
      <c r="H662" s="137"/>
      <c r="I662" s="137"/>
      <c r="J662" s="137"/>
      <c r="K662" s="137"/>
      <c r="L662" s="137"/>
      <c r="M662" s="125">
        <f t="shared" si="79"/>
        <v>0</v>
      </c>
      <c r="N662" s="126">
        <f t="shared" si="80"/>
        <v>0</v>
      </c>
      <c r="O662" s="137"/>
      <c r="P662" s="23">
        <f t="shared" si="78"/>
        <v>0</v>
      </c>
      <c r="Q662" s="23">
        <f t="shared" si="81"/>
        <v>0</v>
      </c>
      <c r="R662" s="137"/>
      <c r="S662" s="23">
        <f t="shared" si="75"/>
        <v>0</v>
      </c>
      <c r="T662" s="123">
        <f t="shared" si="76"/>
        <v>0</v>
      </c>
      <c r="U662" s="138"/>
      <c r="V662" s="137"/>
      <c r="W662" s="137"/>
      <c r="X662" s="137"/>
      <c r="Y662" s="137"/>
      <c r="Z662" s="137"/>
      <c r="AA662" s="137"/>
      <c r="AB662" s="139"/>
    </row>
    <row r="663" spans="1:28">
      <c r="A663" s="97">
        <f t="shared" si="77"/>
        <v>665</v>
      </c>
      <c r="B663" s="115">
        <v>46112</v>
      </c>
      <c r="C663" s="116">
        <v>46408</v>
      </c>
      <c r="D663" s="135"/>
      <c r="E663" s="136"/>
      <c r="F663" s="124"/>
      <c r="G663" s="137"/>
      <c r="H663" s="137"/>
      <c r="I663" s="137"/>
      <c r="J663" s="137"/>
      <c r="K663" s="137"/>
      <c r="L663" s="137"/>
      <c r="M663" s="125">
        <f t="shared" si="79"/>
        <v>0</v>
      </c>
      <c r="N663" s="126">
        <f t="shared" si="80"/>
        <v>0</v>
      </c>
      <c r="O663" s="137"/>
      <c r="P663" s="23">
        <f t="shared" si="78"/>
        <v>0</v>
      </c>
      <c r="Q663" s="23">
        <f t="shared" si="81"/>
        <v>0</v>
      </c>
      <c r="R663" s="137"/>
      <c r="S663" s="23">
        <f t="shared" si="75"/>
        <v>0</v>
      </c>
      <c r="T663" s="123">
        <f t="shared" si="76"/>
        <v>0</v>
      </c>
      <c r="U663" s="138"/>
      <c r="V663" s="137"/>
      <c r="W663" s="137"/>
      <c r="X663" s="137"/>
      <c r="Y663" s="137"/>
      <c r="Z663" s="137"/>
      <c r="AA663" s="137"/>
      <c r="AB663" s="139"/>
    </row>
    <row r="664" spans="1:28">
      <c r="A664" s="97">
        <f t="shared" si="77"/>
        <v>666</v>
      </c>
      <c r="B664" s="115">
        <v>46112</v>
      </c>
      <c r="C664" s="116">
        <v>46409</v>
      </c>
      <c r="D664" s="135"/>
      <c r="E664" s="136"/>
      <c r="F664" s="124"/>
      <c r="G664" s="137"/>
      <c r="H664" s="137"/>
      <c r="I664" s="137"/>
      <c r="J664" s="137"/>
      <c r="K664" s="137"/>
      <c r="L664" s="137"/>
      <c r="M664" s="125">
        <f t="shared" si="79"/>
        <v>0</v>
      </c>
      <c r="N664" s="126">
        <f t="shared" si="80"/>
        <v>0</v>
      </c>
      <c r="O664" s="137"/>
      <c r="P664" s="23">
        <f t="shared" si="78"/>
        <v>0</v>
      </c>
      <c r="Q664" s="23">
        <f t="shared" si="81"/>
        <v>0</v>
      </c>
      <c r="R664" s="137"/>
      <c r="S664" s="23">
        <f t="shared" si="75"/>
        <v>0</v>
      </c>
      <c r="T664" s="123">
        <f t="shared" si="76"/>
        <v>0</v>
      </c>
      <c r="U664" s="138"/>
      <c r="V664" s="137"/>
      <c r="W664" s="137"/>
      <c r="X664" s="137"/>
      <c r="Y664" s="137"/>
      <c r="Z664" s="137"/>
      <c r="AA664" s="137"/>
      <c r="AB664" s="139"/>
    </row>
    <row r="665" spans="1:28">
      <c r="A665" s="97">
        <f t="shared" si="77"/>
        <v>667</v>
      </c>
      <c r="B665" s="115">
        <v>46112</v>
      </c>
      <c r="C665" s="116">
        <v>46410</v>
      </c>
      <c r="D665" s="135"/>
      <c r="E665" s="136"/>
      <c r="F665" s="124"/>
      <c r="G665" s="137"/>
      <c r="H665" s="137"/>
      <c r="I665" s="137"/>
      <c r="J665" s="137"/>
      <c r="K665" s="137"/>
      <c r="L665" s="137"/>
      <c r="M665" s="125">
        <f t="shared" si="79"/>
        <v>0</v>
      </c>
      <c r="N665" s="126">
        <f t="shared" si="80"/>
        <v>0</v>
      </c>
      <c r="O665" s="137"/>
      <c r="P665" s="23">
        <f t="shared" si="78"/>
        <v>0</v>
      </c>
      <c r="Q665" s="23">
        <f t="shared" si="81"/>
        <v>0</v>
      </c>
      <c r="R665" s="137"/>
      <c r="S665" s="23">
        <f t="shared" si="75"/>
        <v>0</v>
      </c>
      <c r="T665" s="123">
        <f t="shared" si="76"/>
        <v>0</v>
      </c>
      <c r="U665" s="138"/>
      <c r="V665" s="137"/>
      <c r="W665" s="137"/>
      <c r="X665" s="137"/>
      <c r="Y665" s="137"/>
      <c r="Z665" s="137"/>
      <c r="AA665" s="137"/>
      <c r="AB665" s="139"/>
    </row>
    <row r="666" spans="1:28">
      <c r="A666" s="97">
        <f t="shared" si="77"/>
        <v>668</v>
      </c>
      <c r="B666" s="115">
        <v>46112</v>
      </c>
      <c r="C666" s="116">
        <v>46411</v>
      </c>
      <c r="D666" s="135"/>
      <c r="E666" s="136"/>
      <c r="F666" s="124"/>
      <c r="G666" s="137"/>
      <c r="H666" s="137"/>
      <c r="I666" s="137"/>
      <c r="J666" s="137"/>
      <c r="K666" s="137"/>
      <c r="L666" s="137"/>
      <c r="M666" s="125">
        <f t="shared" si="79"/>
        <v>0</v>
      </c>
      <c r="N666" s="126">
        <f t="shared" si="80"/>
        <v>0</v>
      </c>
      <c r="O666" s="137"/>
      <c r="P666" s="23">
        <f t="shared" si="78"/>
        <v>0</v>
      </c>
      <c r="Q666" s="23">
        <f t="shared" si="81"/>
        <v>0</v>
      </c>
      <c r="R666" s="137"/>
      <c r="S666" s="23">
        <f t="shared" si="75"/>
        <v>0</v>
      </c>
      <c r="T666" s="123">
        <f t="shared" si="76"/>
        <v>0</v>
      </c>
      <c r="U666" s="138"/>
      <c r="V666" s="137"/>
      <c r="W666" s="137"/>
      <c r="X666" s="137"/>
      <c r="Y666" s="137"/>
      <c r="Z666" s="137"/>
      <c r="AA666" s="137"/>
      <c r="AB666" s="139"/>
    </row>
    <row r="667" spans="1:28">
      <c r="A667" s="97">
        <f t="shared" si="77"/>
        <v>669</v>
      </c>
      <c r="B667" s="115">
        <v>46112</v>
      </c>
      <c r="C667" s="116">
        <v>46412</v>
      </c>
      <c r="D667" s="135"/>
      <c r="E667" s="136"/>
      <c r="F667" s="124"/>
      <c r="G667" s="137"/>
      <c r="H667" s="137"/>
      <c r="I667" s="137"/>
      <c r="J667" s="137"/>
      <c r="K667" s="137"/>
      <c r="L667" s="137"/>
      <c r="M667" s="125">
        <f t="shared" si="79"/>
        <v>0</v>
      </c>
      <c r="N667" s="126">
        <f t="shared" si="80"/>
        <v>0</v>
      </c>
      <c r="O667" s="137"/>
      <c r="P667" s="23">
        <f t="shared" si="78"/>
        <v>0</v>
      </c>
      <c r="Q667" s="23">
        <f t="shared" si="81"/>
        <v>0</v>
      </c>
      <c r="R667" s="137"/>
      <c r="S667" s="23">
        <f t="shared" si="75"/>
        <v>0</v>
      </c>
      <c r="T667" s="123">
        <f t="shared" si="76"/>
        <v>0</v>
      </c>
      <c r="U667" s="138"/>
      <c r="V667" s="137"/>
      <c r="W667" s="137"/>
      <c r="X667" s="137"/>
      <c r="Y667" s="137"/>
      <c r="Z667" s="137"/>
      <c r="AA667" s="137"/>
      <c r="AB667" s="139"/>
    </row>
    <row r="668" spans="1:28">
      <c r="A668" s="97">
        <f t="shared" si="77"/>
        <v>670</v>
      </c>
      <c r="B668" s="115">
        <v>46112</v>
      </c>
      <c r="C668" s="116">
        <v>46413</v>
      </c>
      <c r="D668" s="135"/>
      <c r="E668" s="136"/>
      <c r="F668" s="124"/>
      <c r="G668" s="137"/>
      <c r="H668" s="137"/>
      <c r="I668" s="137"/>
      <c r="J668" s="137"/>
      <c r="K668" s="137"/>
      <c r="L668" s="137"/>
      <c r="M668" s="125">
        <f t="shared" si="79"/>
        <v>0</v>
      </c>
      <c r="N668" s="126">
        <f t="shared" si="80"/>
        <v>0</v>
      </c>
      <c r="O668" s="137"/>
      <c r="P668" s="23">
        <f t="shared" si="78"/>
        <v>0</v>
      </c>
      <c r="Q668" s="23">
        <f t="shared" si="81"/>
        <v>0</v>
      </c>
      <c r="R668" s="137"/>
      <c r="S668" s="23">
        <f t="shared" si="75"/>
        <v>0</v>
      </c>
      <c r="T668" s="123">
        <f t="shared" si="76"/>
        <v>0</v>
      </c>
      <c r="U668" s="138"/>
      <c r="V668" s="137"/>
      <c r="W668" s="137"/>
      <c r="X668" s="137"/>
      <c r="Y668" s="137"/>
      <c r="Z668" s="137"/>
      <c r="AA668" s="137"/>
      <c r="AB668" s="139"/>
    </row>
    <row r="669" spans="1:28">
      <c r="A669" s="97">
        <f t="shared" si="77"/>
        <v>671</v>
      </c>
      <c r="B669" s="115">
        <v>46112</v>
      </c>
      <c r="C669" s="116">
        <v>46414</v>
      </c>
      <c r="D669" s="135"/>
      <c r="E669" s="136"/>
      <c r="F669" s="124"/>
      <c r="G669" s="137"/>
      <c r="H669" s="137"/>
      <c r="I669" s="137"/>
      <c r="J669" s="137"/>
      <c r="K669" s="137"/>
      <c r="L669" s="137"/>
      <c r="M669" s="125">
        <f t="shared" si="79"/>
        <v>0</v>
      </c>
      <c r="N669" s="126">
        <f t="shared" si="80"/>
        <v>0</v>
      </c>
      <c r="O669" s="137"/>
      <c r="P669" s="23">
        <f t="shared" si="78"/>
        <v>0</v>
      </c>
      <c r="Q669" s="23">
        <f t="shared" si="81"/>
        <v>0</v>
      </c>
      <c r="R669" s="137"/>
      <c r="S669" s="23">
        <f t="shared" si="75"/>
        <v>0</v>
      </c>
      <c r="T669" s="123">
        <f t="shared" si="76"/>
        <v>0</v>
      </c>
      <c r="U669" s="138"/>
      <c r="V669" s="137"/>
      <c r="W669" s="137"/>
      <c r="X669" s="137"/>
      <c r="Y669" s="137"/>
      <c r="Z669" s="137"/>
      <c r="AA669" s="137"/>
      <c r="AB669" s="139"/>
    </row>
    <row r="670" spans="1:28">
      <c r="A670" s="97">
        <f t="shared" si="77"/>
        <v>672</v>
      </c>
      <c r="B670" s="115">
        <v>46112</v>
      </c>
      <c r="C670" s="116">
        <v>46415</v>
      </c>
      <c r="D670" s="135"/>
      <c r="E670" s="136"/>
      <c r="F670" s="124"/>
      <c r="G670" s="137"/>
      <c r="H670" s="137"/>
      <c r="I670" s="137"/>
      <c r="J670" s="137"/>
      <c r="K670" s="137"/>
      <c r="L670" s="137"/>
      <c r="M670" s="125">
        <f t="shared" si="79"/>
        <v>0</v>
      </c>
      <c r="N670" s="126">
        <f t="shared" si="80"/>
        <v>0</v>
      </c>
      <c r="O670" s="137"/>
      <c r="P670" s="23">
        <f t="shared" si="78"/>
        <v>0</v>
      </c>
      <c r="Q670" s="23">
        <f t="shared" si="81"/>
        <v>0</v>
      </c>
      <c r="R670" s="137"/>
      <c r="S670" s="23">
        <f t="shared" si="75"/>
        <v>0</v>
      </c>
      <c r="T670" s="123">
        <f t="shared" si="76"/>
        <v>0</v>
      </c>
      <c r="U670" s="138"/>
      <c r="V670" s="137"/>
      <c r="W670" s="137"/>
      <c r="X670" s="137"/>
      <c r="Y670" s="137"/>
      <c r="Z670" s="137"/>
      <c r="AA670" s="137"/>
      <c r="AB670" s="139"/>
    </row>
    <row r="671" spans="1:28">
      <c r="A671" s="97">
        <f t="shared" si="77"/>
        <v>673</v>
      </c>
      <c r="B671" s="115">
        <v>46112</v>
      </c>
      <c r="C671" s="116">
        <v>46416</v>
      </c>
      <c r="D671" s="135"/>
      <c r="E671" s="136"/>
      <c r="F671" s="124"/>
      <c r="G671" s="137"/>
      <c r="H671" s="137"/>
      <c r="I671" s="137"/>
      <c r="J671" s="137"/>
      <c r="K671" s="137"/>
      <c r="L671" s="137"/>
      <c r="M671" s="125">
        <f t="shared" si="79"/>
        <v>0</v>
      </c>
      <c r="N671" s="126">
        <f t="shared" si="80"/>
        <v>0</v>
      </c>
      <c r="O671" s="137"/>
      <c r="P671" s="23">
        <f t="shared" si="78"/>
        <v>0</v>
      </c>
      <c r="Q671" s="23">
        <f t="shared" si="81"/>
        <v>0</v>
      </c>
      <c r="R671" s="137"/>
      <c r="S671" s="23">
        <f t="shared" si="75"/>
        <v>0</v>
      </c>
      <c r="T671" s="123">
        <f t="shared" si="76"/>
        <v>0</v>
      </c>
      <c r="U671" s="138"/>
      <c r="V671" s="137"/>
      <c r="W671" s="137"/>
      <c r="X671" s="137"/>
      <c r="Y671" s="137"/>
      <c r="Z671" s="137"/>
      <c r="AA671" s="137"/>
      <c r="AB671" s="139"/>
    </row>
    <row r="672" spans="1:28">
      <c r="A672" s="97">
        <f t="shared" si="77"/>
        <v>674</v>
      </c>
      <c r="B672" s="115">
        <v>46112</v>
      </c>
      <c r="C672" s="116">
        <v>46417</v>
      </c>
      <c r="D672" s="135"/>
      <c r="E672" s="136"/>
      <c r="F672" s="124"/>
      <c r="G672" s="137"/>
      <c r="H672" s="137"/>
      <c r="I672" s="137"/>
      <c r="J672" s="137"/>
      <c r="K672" s="137"/>
      <c r="L672" s="137"/>
      <c r="M672" s="125">
        <f t="shared" si="79"/>
        <v>0</v>
      </c>
      <c r="N672" s="126">
        <f t="shared" si="80"/>
        <v>0</v>
      </c>
      <c r="O672" s="137"/>
      <c r="P672" s="23">
        <f t="shared" si="78"/>
        <v>0</v>
      </c>
      <c r="Q672" s="23">
        <f t="shared" si="81"/>
        <v>0</v>
      </c>
      <c r="R672" s="137"/>
      <c r="S672" s="23">
        <f t="shared" si="75"/>
        <v>0</v>
      </c>
      <c r="T672" s="123">
        <f t="shared" si="76"/>
        <v>0</v>
      </c>
      <c r="U672" s="138"/>
      <c r="V672" s="137"/>
      <c r="W672" s="137"/>
      <c r="X672" s="137"/>
      <c r="Y672" s="137"/>
      <c r="Z672" s="137"/>
      <c r="AA672" s="137"/>
      <c r="AB672" s="139"/>
    </row>
    <row r="673" spans="1:28">
      <c r="A673" s="97">
        <f t="shared" si="77"/>
        <v>675</v>
      </c>
      <c r="B673" s="115">
        <v>46112</v>
      </c>
      <c r="C673" s="116">
        <v>46418</v>
      </c>
      <c r="D673" s="135"/>
      <c r="E673" s="136"/>
      <c r="F673" s="124"/>
      <c r="G673" s="137"/>
      <c r="H673" s="137"/>
      <c r="I673" s="137"/>
      <c r="J673" s="137"/>
      <c r="K673" s="137"/>
      <c r="L673" s="137"/>
      <c r="M673" s="125">
        <f t="shared" si="79"/>
        <v>0</v>
      </c>
      <c r="N673" s="126">
        <f t="shared" si="80"/>
        <v>0</v>
      </c>
      <c r="O673" s="137"/>
      <c r="P673" s="23">
        <f t="shared" si="78"/>
        <v>0</v>
      </c>
      <c r="Q673" s="23">
        <f t="shared" si="81"/>
        <v>0</v>
      </c>
      <c r="R673" s="137"/>
      <c r="S673" s="23">
        <f t="shared" si="75"/>
        <v>0</v>
      </c>
      <c r="T673" s="123">
        <f t="shared" si="76"/>
        <v>0</v>
      </c>
      <c r="U673" s="138"/>
      <c r="V673" s="137"/>
      <c r="W673" s="137"/>
      <c r="X673" s="137"/>
      <c r="Y673" s="137"/>
      <c r="Z673" s="137"/>
      <c r="AA673" s="137"/>
      <c r="AB673" s="139"/>
    </row>
    <row r="674" spans="1:28">
      <c r="A674" s="97">
        <f t="shared" si="77"/>
        <v>676</v>
      </c>
      <c r="B674" s="115">
        <v>46112</v>
      </c>
      <c r="C674" s="116">
        <v>46419</v>
      </c>
      <c r="D674" s="135"/>
      <c r="E674" s="136"/>
      <c r="F674" s="124"/>
      <c r="G674" s="137"/>
      <c r="H674" s="137"/>
      <c r="I674" s="137"/>
      <c r="J674" s="137"/>
      <c r="K674" s="137"/>
      <c r="L674" s="137"/>
      <c r="M674" s="125">
        <f t="shared" si="79"/>
        <v>0</v>
      </c>
      <c r="N674" s="126">
        <f t="shared" si="80"/>
        <v>0</v>
      </c>
      <c r="O674" s="137"/>
      <c r="P674" s="23">
        <f t="shared" si="78"/>
        <v>0</v>
      </c>
      <c r="Q674" s="23">
        <f t="shared" si="81"/>
        <v>0</v>
      </c>
      <c r="R674" s="137"/>
      <c r="S674" s="23">
        <f t="shared" si="75"/>
        <v>0</v>
      </c>
      <c r="T674" s="123">
        <f t="shared" si="76"/>
        <v>0</v>
      </c>
      <c r="U674" s="138"/>
      <c r="V674" s="137"/>
      <c r="W674" s="137"/>
      <c r="X674" s="137"/>
      <c r="Y674" s="137"/>
      <c r="Z674" s="137"/>
      <c r="AA674" s="137"/>
      <c r="AB674" s="139"/>
    </row>
    <row r="675" spans="1:28">
      <c r="A675" s="97">
        <f t="shared" si="77"/>
        <v>677</v>
      </c>
      <c r="B675" s="115">
        <v>46112</v>
      </c>
      <c r="C675" s="116">
        <v>46420</v>
      </c>
      <c r="D675" s="135"/>
      <c r="E675" s="136"/>
      <c r="F675" s="124"/>
      <c r="G675" s="137"/>
      <c r="H675" s="137"/>
      <c r="I675" s="137"/>
      <c r="J675" s="137"/>
      <c r="K675" s="137"/>
      <c r="L675" s="137"/>
      <c r="M675" s="125">
        <f t="shared" si="79"/>
        <v>0</v>
      </c>
      <c r="N675" s="126">
        <f t="shared" si="80"/>
        <v>0</v>
      </c>
      <c r="O675" s="137"/>
      <c r="P675" s="23">
        <f t="shared" si="78"/>
        <v>0</v>
      </c>
      <c r="Q675" s="23">
        <f t="shared" si="81"/>
        <v>0</v>
      </c>
      <c r="R675" s="137"/>
      <c r="S675" s="23">
        <f t="shared" si="75"/>
        <v>0</v>
      </c>
      <c r="T675" s="123">
        <f t="shared" si="76"/>
        <v>0</v>
      </c>
      <c r="U675" s="138"/>
      <c r="V675" s="137"/>
      <c r="W675" s="137"/>
      <c r="X675" s="137"/>
      <c r="Y675" s="137"/>
      <c r="Z675" s="137"/>
      <c r="AA675" s="137"/>
      <c r="AB675" s="139"/>
    </row>
    <row r="676" spans="1:28">
      <c r="A676" s="97">
        <f t="shared" si="77"/>
        <v>678</v>
      </c>
      <c r="B676" s="115">
        <v>46112</v>
      </c>
      <c r="C676" s="116">
        <v>46421</v>
      </c>
      <c r="D676" s="135"/>
      <c r="E676" s="136"/>
      <c r="F676" s="124"/>
      <c r="G676" s="137"/>
      <c r="H676" s="137"/>
      <c r="I676" s="137"/>
      <c r="J676" s="137"/>
      <c r="K676" s="137"/>
      <c r="L676" s="137"/>
      <c r="M676" s="125">
        <f t="shared" si="79"/>
        <v>0</v>
      </c>
      <c r="N676" s="126">
        <f t="shared" si="80"/>
        <v>0</v>
      </c>
      <c r="O676" s="137"/>
      <c r="P676" s="23">
        <f t="shared" si="78"/>
        <v>0</v>
      </c>
      <c r="Q676" s="23">
        <f t="shared" si="81"/>
        <v>0</v>
      </c>
      <c r="R676" s="137"/>
      <c r="S676" s="23">
        <f t="shared" si="75"/>
        <v>0</v>
      </c>
      <c r="T676" s="123">
        <f t="shared" si="76"/>
        <v>0</v>
      </c>
      <c r="U676" s="138"/>
      <c r="V676" s="137"/>
      <c r="W676" s="137"/>
      <c r="X676" s="137"/>
      <c r="Y676" s="137"/>
      <c r="Z676" s="137"/>
      <c r="AA676" s="137"/>
      <c r="AB676" s="139"/>
    </row>
    <row r="677" spans="1:28">
      <c r="A677" s="97">
        <f t="shared" si="77"/>
        <v>679</v>
      </c>
      <c r="B677" s="115">
        <v>46112</v>
      </c>
      <c r="C677" s="116">
        <v>46422</v>
      </c>
      <c r="D677" s="135"/>
      <c r="E677" s="136"/>
      <c r="F677" s="124"/>
      <c r="G677" s="137"/>
      <c r="H677" s="137"/>
      <c r="I677" s="137"/>
      <c r="J677" s="137"/>
      <c r="K677" s="137"/>
      <c r="L677" s="137"/>
      <c r="M677" s="125">
        <f t="shared" si="79"/>
        <v>0</v>
      </c>
      <c r="N677" s="126">
        <f t="shared" si="80"/>
        <v>0</v>
      </c>
      <c r="O677" s="137"/>
      <c r="P677" s="23">
        <f t="shared" si="78"/>
        <v>0</v>
      </c>
      <c r="Q677" s="23">
        <f t="shared" si="81"/>
        <v>0</v>
      </c>
      <c r="R677" s="137"/>
      <c r="S677" s="23">
        <f t="shared" si="75"/>
        <v>0</v>
      </c>
      <c r="T677" s="123">
        <f t="shared" si="76"/>
        <v>0</v>
      </c>
      <c r="U677" s="138"/>
      <c r="V677" s="137"/>
      <c r="W677" s="137"/>
      <c r="X677" s="137"/>
      <c r="Y677" s="137"/>
      <c r="Z677" s="137"/>
      <c r="AA677" s="137"/>
      <c r="AB677" s="139"/>
    </row>
    <row r="678" spans="1:28">
      <c r="A678" s="97">
        <f t="shared" si="77"/>
        <v>680</v>
      </c>
      <c r="B678" s="115">
        <v>46112</v>
      </c>
      <c r="C678" s="116">
        <v>46423</v>
      </c>
      <c r="D678" s="135"/>
      <c r="E678" s="136"/>
      <c r="F678" s="124"/>
      <c r="G678" s="137"/>
      <c r="H678" s="137"/>
      <c r="I678" s="137"/>
      <c r="J678" s="137"/>
      <c r="K678" s="137"/>
      <c r="L678" s="137"/>
      <c r="M678" s="125">
        <f t="shared" si="79"/>
        <v>0</v>
      </c>
      <c r="N678" s="126">
        <f t="shared" si="80"/>
        <v>0</v>
      </c>
      <c r="O678" s="137"/>
      <c r="P678" s="23">
        <f t="shared" si="78"/>
        <v>0</v>
      </c>
      <c r="Q678" s="23">
        <f t="shared" si="81"/>
        <v>0</v>
      </c>
      <c r="R678" s="137"/>
      <c r="S678" s="23">
        <f t="shared" si="75"/>
        <v>0</v>
      </c>
      <c r="T678" s="123">
        <f t="shared" si="76"/>
        <v>0</v>
      </c>
      <c r="U678" s="138"/>
      <c r="V678" s="137"/>
      <c r="W678" s="137"/>
      <c r="X678" s="137"/>
      <c r="Y678" s="137"/>
      <c r="Z678" s="137"/>
      <c r="AA678" s="137"/>
      <c r="AB678" s="139"/>
    </row>
    <row r="679" spans="1:28">
      <c r="A679" s="97">
        <f t="shared" si="77"/>
        <v>681</v>
      </c>
      <c r="B679" s="115">
        <v>46112</v>
      </c>
      <c r="C679" s="116">
        <v>46424</v>
      </c>
      <c r="D679" s="135"/>
      <c r="E679" s="136"/>
      <c r="F679" s="124"/>
      <c r="G679" s="137"/>
      <c r="H679" s="137"/>
      <c r="I679" s="137"/>
      <c r="J679" s="137"/>
      <c r="K679" s="137"/>
      <c r="L679" s="137"/>
      <c r="M679" s="125">
        <f t="shared" si="79"/>
        <v>0</v>
      </c>
      <c r="N679" s="126">
        <f t="shared" si="80"/>
        <v>0</v>
      </c>
      <c r="O679" s="137"/>
      <c r="P679" s="23">
        <f t="shared" si="78"/>
        <v>0</v>
      </c>
      <c r="Q679" s="23">
        <f t="shared" si="81"/>
        <v>0</v>
      </c>
      <c r="R679" s="137"/>
      <c r="S679" s="23">
        <f t="shared" si="75"/>
        <v>0</v>
      </c>
      <c r="T679" s="123">
        <f t="shared" si="76"/>
        <v>0</v>
      </c>
      <c r="U679" s="138"/>
      <c r="V679" s="137"/>
      <c r="W679" s="137"/>
      <c r="X679" s="137"/>
      <c r="Y679" s="137"/>
      <c r="Z679" s="137"/>
      <c r="AA679" s="137"/>
      <c r="AB679" s="139"/>
    </row>
    <row r="680" spans="1:28">
      <c r="A680" s="97">
        <f t="shared" si="77"/>
        <v>682</v>
      </c>
      <c r="B680" s="115">
        <v>46112</v>
      </c>
      <c r="C680" s="116">
        <v>46425</v>
      </c>
      <c r="D680" s="135"/>
      <c r="E680" s="136"/>
      <c r="F680" s="124"/>
      <c r="G680" s="137"/>
      <c r="H680" s="137"/>
      <c r="I680" s="137"/>
      <c r="J680" s="137"/>
      <c r="K680" s="137"/>
      <c r="L680" s="137"/>
      <c r="M680" s="125">
        <f t="shared" si="79"/>
        <v>0</v>
      </c>
      <c r="N680" s="126">
        <f t="shared" si="80"/>
        <v>0</v>
      </c>
      <c r="O680" s="137"/>
      <c r="P680" s="23">
        <f t="shared" si="78"/>
        <v>0</v>
      </c>
      <c r="Q680" s="23">
        <f t="shared" si="81"/>
        <v>0</v>
      </c>
      <c r="R680" s="137"/>
      <c r="S680" s="23">
        <f t="shared" si="75"/>
        <v>0</v>
      </c>
      <c r="T680" s="123">
        <f t="shared" si="76"/>
        <v>0</v>
      </c>
      <c r="U680" s="138"/>
      <c r="V680" s="137"/>
      <c r="W680" s="137"/>
      <c r="X680" s="137"/>
      <c r="Y680" s="137"/>
      <c r="Z680" s="137"/>
      <c r="AA680" s="137"/>
      <c r="AB680" s="139"/>
    </row>
    <row r="681" spans="1:28">
      <c r="A681" s="97">
        <f t="shared" si="77"/>
        <v>683</v>
      </c>
      <c r="B681" s="115">
        <v>46112</v>
      </c>
      <c r="C681" s="116">
        <v>46426</v>
      </c>
      <c r="D681" s="135"/>
      <c r="E681" s="136"/>
      <c r="F681" s="124"/>
      <c r="G681" s="137"/>
      <c r="H681" s="137"/>
      <c r="I681" s="137"/>
      <c r="J681" s="137"/>
      <c r="K681" s="137"/>
      <c r="L681" s="137"/>
      <c r="M681" s="125">
        <f t="shared" si="79"/>
        <v>0</v>
      </c>
      <c r="N681" s="126">
        <f t="shared" si="80"/>
        <v>0</v>
      </c>
      <c r="O681" s="137"/>
      <c r="P681" s="23">
        <f t="shared" si="78"/>
        <v>0</v>
      </c>
      <c r="Q681" s="23">
        <f t="shared" si="81"/>
        <v>0</v>
      </c>
      <c r="R681" s="137"/>
      <c r="S681" s="23">
        <f t="shared" si="75"/>
        <v>0</v>
      </c>
      <c r="T681" s="123">
        <f t="shared" si="76"/>
        <v>0</v>
      </c>
      <c r="U681" s="138"/>
      <c r="V681" s="137"/>
      <c r="W681" s="137"/>
      <c r="X681" s="137"/>
      <c r="Y681" s="137"/>
      <c r="Z681" s="137"/>
      <c r="AA681" s="137"/>
      <c r="AB681" s="139"/>
    </row>
    <row r="682" spans="1:28">
      <c r="A682" s="97">
        <f t="shared" si="77"/>
        <v>684</v>
      </c>
      <c r="B682" s="115">
        <v>46112</v>
      </c>
      <c r="C682" s="116">
        <v>46427</v>
      </c>
      <c r="D682" s="135"/>
      <c r="E682" s="136"/>
      <c r="F682" s="124"/>
      <c r="G682" s="137"/>
      <c r="H682" s="137"/>
      <c r="I682" s="137"/>
      <c r="J682" s="137"/>
      <c r="K682" s="137"/>
      <c r="L682" s="137"/>
      <c r="M682" s="125">
        <f t="shared" si="79"/>
        <v>0</v>
      </c>
      <c r="N682" s="126">
        <f t="shared" si="80"/>
        <v>0</v>
      </c>
      <c r="O682" s="137"/>
      <c r="P682" s="23">
        <f t="shared" si="78"/>
        <v>0</v>
      </c>
      <c r="Q682" s="23">
        <f t="shared" si="81"/>
        <v>0</v>
      </c>
      <c r="R682" s="137"/>
      <c r="S682" s="23">
        <f t="shared" si="75"/>
        <v>0</v>
      </c>
      <c r="T682" s="123">
        <f t="shared" si="76"/>
        <v>0</v>
      </c>
      <c r="U682" s="138"/>
      <c r="V682" s="137"/>
      <c r="W682" s="137"/>
      <c r="X682" s="137"/>
      <c r="Y682" s="137"/>
      <c r="Z682" s="137"/>
      <c r="AA682" s="137"/>
      <c r="AB682" s="139"/>
    </row>
    <row r="683" spans="1:28">
      <c r="A683" s="97">
        <f t="shared" si="77"/>
        <v>685</v>
      </c>
      <c r="B683" s="115">
        <v>46112</v>
      </c>
      <c r="C683" s="116">
        <v>46428</v>
      </c>
      <c r="D683" s="135"/>
      <c r="E683" s="136"/>
      <c r="F683" s="124"/>
      <c r="G683" s="137"/>
      <c r="H683" s="137"/>
      <c r="I683" s="137"/>
      <c r="J683" s="137"/>
      <c r="K683" s="137"/>
      <c r="L683" s="137"/>
      <c r="M683" s="125">
        <f t="shared" si="79"/>
        <v>0</v>
      </c>
      <c r="N683" s="126">
        <f t="shared" si="80"/>
        <v>0</v>
      </c>
      <c r="O683" s="137"/>
      <c r="P683" s="23">
        <f t="shared" si="78"/>
        <v>0</v>
      </c>
      <c r="Q683" s="23">
        <f t="shared" si="81"/>
        <v>0</v>
      </c>
      <c r="R683" s="137"/>
      <c r="S683" s="23">
        <f t="shared" si="75"/>
        <v>0</v>
      </c>
      <c r="T683" s="123">
        <f t="shared" si="76"/>
        <v>0</v>
      </c>
      <c r="U683" s="138"/>
      <c r="V683" s="137"/>
      <c r="W683" s="137"/>
      <c r="X683" s="137"/>
      <c r="Y683" s="137"/>
      <c r="Z683" s="137"/>
      <c r="AA683" s="137"/>
      <c r="AB683" s="139"/>
    </row>
    <row r="684" spans="1:28">
      <c r="A684" s="97">
        <f t="shared" si="77"/>
        <v>686</v>
      </c>
      <c r="B684" s="115">
        <v>46112</v>
      </c>
      <c r="C684" s="116">
        <v>46429</v>
      </c>
      <c r="D684" s="135"/>
      <c r="E684" s="136"/>
      <c r="F684" s="124"/>
      <c r="G684" s="137"/>
      <c r="H684" s="137"/>
      <c r="I684" s="137"/>
      <c r="J684" s="137"/>
      <c r="K684" s="137"/>
      <c r="L684" s="137"/>
      <c r="M684" s="125">
        <f t="shared" si="79"/>
        <v>0</v>
      </c>
      <c r="N684" s="126">
        <f t="shared" si="80"/>
        <v>0</v>
      </c>
      <c r="O684" s="137"/>
      <c r="P684" s="23">
        <f t="shared" si="78"/>
        <v>0</v>
      </c>
      <c r="Q684" s="23">
        <f t="shared" si="81"/>
        <v>0</v>
      </c>
      <c r="R684" s="137"/>
      <c r="S684" s="23">
        <f t="shared" si="75"/>
        <v>0</v>
      </c>
      <c r="T684" s="123">
        <f t="shared" si="76"/>
        <v>0</v>
      </c>
      <c r="U684" s="138"/>
      <c r="V684" s="137"/>
      <c r="W684" s="137"/>
      <c r="X684" s="137"/>
      <c r="Y684" s="137"/>
      <c r="Z684" s="137"/>
      <c r="AA684" s="137"/>
      <c r="AB684" s="139"/>
    </row>
    <row r="685" spans="1:28">
      <c r="A685" s="97">
        <f t="shared" si="77"/>
        <v>687</v>
      </c>
      <c r="B685" s="115">
        <v>46112</v>
      </c>
      <c r="C685" s="116">
        <v>46430</v>
      </c>
      <c r="D685" s="135"/>
      <c r="E685" s="136"/>
      <c r="F685" s="124"/>
      <c r="G685" s="137"/>
      <c r="H685" s="137"/>
      <c r="I685" s="137"/>
      <c r="J685" s="137"/>
      <c r="K685" s="137"/>
      <c r="L685" s="137"/>
      <c r="M685" s="125">
        <f t="shared" si="79"/>
        <v>0</v>
      </c>
      <c r="N685" s="126">
        <f t="shared" si="80"/>
        <v>0</v>
      </c>
      <c r="O685" s="137"/>
      <c r="P685" s="23">
        <f t="shared" si="78"/>
        <v>0</v>
      </c>
      <c r="Q685" s="23">
        <f t="shared" si="81"/>
        <v>0</v>
      </c>
      <c r="R685" s="137"/>
      <c r="S685" s="23">
        <f t="shared" si="75"/>
        <v>0</v>
      </c>
      <c r="T685" s="123">
        <f t="shared" si="76"/>
        <v>0</v>
      </c>
      <c r="U685" s="138"/>
      <c r="V685" s="137"/>
      <c r="W685" s="137"/>
      <c r="X685" s="137"/>
      <c r="Y685" s="137"/>
      <c r="Z685" s="137"/>
      <c r="AA685" s="137"/>
      <c r="AB685" s="139"/>
    </row>
    <row r="686" spans="1:28">
      <c r="A686" s="97">
        <f t="shared" si="77"/>
        <v>688</v>
      </c>
      <c r="B686" s="115">
        <v>46112</v>
      </c>
      <c r="C686" s="116">
        <v>46431</v>
      </c>
      <c r="D686" s="135"/>
      <c r="E686" s="136"/>
      <c r="F686" s="124"/>
      <c r="G686" s="137"/>
      <c r="H686" s="137"/>
      <c r="I686" s="137"/>
      <c r="J686" s="137"/>
      <c r="K686" s="137"/>
      <c r="L686" s="137"/>
      <c r="M686" s="125">
        <f t="shared" si="79"/>
        <v>0</v>
      </c>
      <c r="N686" s="126">
        <f t="shared" si="80"/>
        <v>0</v>
      </c>
      <c r="O686" s="137"/>
      <c r="P686" s="23">
        <f t="shared" si="78"/>
        <v>0</v>
      </c>
      <c r="Q686" s="23">
        <f t="shared" si="81"/>
        <v>0</v>
      </c>
      <c r="R686" s="137"/>
      <c r="S686" s="23">
        <f t="shared" si="75"/>
        <v>0</v>
      </c>
      <c r="T686" s="123">
        <f t="shared" si="76"/>
        <v>0</v>
      </c>
      <c r="U686" s="138"/>
      <c r="V686" s="137"/>
      <c r="W686" s="137"/>
      <c r="X686" s="137"/>
      <c r="Y686" s="137"/>
      <c r="Z686" s="137"/>
      <c r="AA686" s="137"/>
      <c r="AB686" s="139"/>
    </row>
    <row r="687" spans="1:28">
      <c r="A687" s="97">
        <f t="shared" si="77"/>
        <v>689</v>
      </c>
      <c r="B687" s="115">
        <v>46112</v>
      </c>
      <c r="C687" s="116">
        <v>46432</v>
      </c>
      <c r="D687" s="135"/>
      <c r="E687" s="136"/>
      <c r="F687" s="124"/>
      <c r="G687" s="137"/>
      <c r="H687" s="137"/>
      <c r="I687" s="137"/>
      <c r="J687" s="137"/>
      <c r="K687" s="137"/>
      <c r="L687" s="137"/>
      <c r="M687" s="125">
        <f t="shared" si="79"/>
        <v>0</v>
      </c>
      <c r="N687" s="126">
        <f t="shared" si="80"/>
        <v>0</v>
      </c>
      <c r="O687" s="137"/>
      <c r="P687" s="23">
        <f t="shared" si="78"/>
        <v>0</v>
      </c>
      <c r="Q687" s="23">
        <f t="shared" si="81"/>
        <v>0</v>
      </c>
      <c r="R687" s="137"/>
      <c r="S687" s="23">
        <f t="shared" si="75"/>
        <v>0</v>
      </c>
      <c r="T687" s="123">
        <f t="shared" si="76"/>
        <v>0</v>
      </c>
      <c r="U687" s="138"/>
      <c r="V687" s="137"/>
      <c r="W687" s="137"/>
      <c r="X687" s="137"/>
      <c r="Y687" s="137"/>
      <c r="Z687" s="137"/>
      <c r="AA687" s="137"/>
      <c r="AB687" s="139"/>
    </row>
    <row r="688" spans="1:28">
      <c r="A688" s="97">
        <f t="shared" si="77"/>
        <v>690</v>
      </c>
      <c r="B688" s="115">
        <v>46112</v>
      </c>
      <c r="C688" s="116">
        <v>46433</v>
      </c>
      <c r="D688" s="135"/>
      <c r="E688" s="136"/>
      <c r="F688" s="124"/>
      <c r="G688" s="137"/>
      <c r="H688" s="137"/>
      <c r="I688" s="137"/>
      <c r="J688" s="137"/>
      <c r="K688" s="137"/>
      <c r="L688" s="137"/>
      <c r="M688" s="125">
        <f t="shared" si="79"/>
        <v>0</v>
      </c>
      <c r="N688" s="126">
        <f t="shared" si="80"/>
        <v>0</v>
      </c>
      <c r="O688" s="137"/>
      <c r="P688" s="23">
        <f t="shared" si="78"/>
        <v>0</v>
      </c>
      <c r="Q688" s="23">
        <f t="shared" si="81"/>
        <v>0</v>
      </c>
      <c r="R688" s="137"/>
      <c r="S688" s="23">
        <f t="shared" ref="S688:S733" si="82">MAX((R688-Q688)*3000,0)</f>
        <v>0</v>
      </c>
      <c r="T688" s="123">
        <f t="shared" ref="T688:T733" si="83">P688-S688</f>
        <v>0</v>
      </c>
      <c r="U688" s="138"/>
      <c r="V688" s="137"/>
      <c r="W688" s="137"/>
      <c r="X688" s="137"/>
      <c r="Y688" s="137"/>
      <c r="Z688" s="137"/>
      <c r="AA688" s="137"/>
      <c r="AB688" s="139"/>
    </row>
    <row r="689" spans="1:28">
      <c r="A689" s="97">
        <f t="shared" si="77"/>
        <v>691</v>
      </c>
      <c r="B689" s="115">
        <v>46112</v>
      </c>
      <c r="C689" s="116">
        <v>46434</v>
      </c>
      <c r="D689" s="135"/>
      <c r="E689" s="136"/>
      <c r="F689" s="124"/>
      <c r="G689" s="137"/>
      <c r="H689" s="137"/>
      <c r="I689" s="137"/>
      <c r="J689" s="137"/>
      <c r="K689" s="137"/>
      <c r="L689" s="137"/>
      <c r="M689" s="125">
        <f t="shared" si="79"/>
        <v>0</v>
      </c>
      <c r="N689" s="126">
        <f t="shared" si="80"/>
        <v>0</v>
      </c>
      <c r="O689" s="137"/>
      <c r="P689" s="23">
        <f t="shared" si="78"/>
        <v>0</v>
      </c>
      <c r="Q689" s="23">
        <f t="shared" si="81"/>
        <v>0</v>
      </c>
      <c r="R689" s="137"/>
      <c r="S689" s="23">
        <f t="shared" si="82"/>
        <v>0</v>
      </c>
      <c r="T689" s="123">
        <f t="shared" si="83"/>
        <v>0</v>
      </c>
      <c r="U689" s="138"/>
      <c r="V689" s="137"/>
      <c r="W689" s="137"/>
      <c r="X689" s="137"/>
      <c r="Y689" s="137"/>
      <c r="Z689" s="137"/>
      <c r="AA689" s="137"/>
      <c r="AB689" s="139"/>
    </row>
    <row r="690" spans="1:28">
      <c r="A690" s="97">
        <f t="shared" si="77"/>
        <v>692</v>
      </c>
      <c r="B690" s="115">
        <v>46112</v>
      </c>
      <c r="C690" s="116">
        <v>46435</v>
      </c>
      <c r="D690" s="135"/>
      <c r="E690" s="136"/>
      <c r="F690" s="124"/>
      <c r="G690" s="137"/>
      <c r="H690" s="137"/>
      <c r="I690" s="137"/>
      <c r="J690" s="137"/>
      <c r="K690" s="137"/>
      <c r="L690" s="137"/>
      <c r="M690" s="125">
        <f t="shared" si="79"/>
        <v>0</v>
      </c>
      <c r="N690" s="126">
        <f t="shared" si="80"/>
        <v>0</v>
      </c>
      <c r="O690" s="137"/>
      <c r="P690" s="23">
        <f t="shared" si="78"/>
        <v>0</v>
      </c>
      <c r="Q690" s="23">
        <f t="shared" si="81"/>
        <v>0</v>
      </c>
      <c r="R690" s="137"/>
      <c r="S690" s="23">
        <f t="shared" si="82"/>
        <v>0</v>
      </c>
      <c r="T690" s="123">
        <f t="shared" si="83"/>
        <v>0</v>
      </c>
      <c r="U690" s="138"/>
      <c r="V690" s="137"/>
      <c r="W690" s="137"/>
      <c r="X690" s="137"/>
      <c r="Y690" s="137"/>
      <c r="Z690" s="137"/>
      <c r="AA690" s="137"/>
      <c r="AB690" s="139"/>
    </row>
    <row r="691" spans="1:28">
      <c r="A691" s="97">
        <f t="shared" si="77"/>
        <v>693</v>
      </c>
      <c r="B691" s="115">
        <v>46112</v>
      </c>
      <c r="C691" s="116">
        <v>46436</v>
      </c>
      <c r="D691" s="135"/>
      <c r="E691" s="136"/>
      <c r="F691" s="124"/>
      <c r="G691" s="137"/>
      <c r="H691" s="137"/>
      <c r="I691" s="137"/>
      <c r="J691" s="137"/>
      <c r="K691" s="137"/>
      <c r="L691" s="137"/>
      <c r="M691" s="125">
        <f t="shared" si="79"/>
        <v>0</v>
      </c>
      <c r="N691" s="126">
        <f t="shared" si="80"/>
        <v>0</v>
      </c>
      <c r="O691" s="137"/>
      <c r="P691" s="23">
        <f t="shared" si="78"/>
        <v>0</v>
      </c>
      <c r="Q691" s="23">
        <f t="shared" si="81"/>
        <v>0</v>
      </c>
      <c r="R691" s="137"/>
      <c r="S691" s="23">
        <f t="shared" si="82"/>
        <v>0</v>
      </c>
      <c r="T691" s="123">
        <f t="shared" si="83"/>
        <v>0</v>
      </c>
      <c r="U691" s="138"/>
      <c r="V691" s="137"/>
      <c r="W691" s="137"/>
      <c r="X691" s="137"/>
      <c r="Y691" s="137"/>
      <c r="Z691" s="137"/>
      <c r="AA691" s="137"/>
      <c r="AB691" s="139"/>
    </row>
    <row r="692" spans="1:28">
      <c r="A692" s="97">
        <f t="shared" si="77"/>
        <v>694</v>
      </c>
      <c r="B692" s="115">
        <v>46112</v>
      </c>
      <c r="C692" s="116">
        <v>46437</v>
      </c>
      <c r="D692" s="135"/>
      <c r="E692" s="136"/>
      <c r="F692" s="124"/>
      <c r="G692" s="137"/>
      <c r="H692" s="137"/>
      <c r="I692" s="137"/>
      <c r="J692" s="137"/>
      <c r="K692" s="137"/>
      <c r="L692" s="137"/>
      <c r="M692" s="125">
        <f t="shared" si="79"/>
        <v>0</v>
      </c>
      <c r="N692" s="126">
        <f t="shared" si="80"/>
        <v>0</v>
      </c>
      <c r="O692" s="137"/>
      <c r="P692" s="23">
        <f t="shared" si="78"/>
        <v>0</v>
      </c>
      <c r="Q692" s="23">
        <f t="shared" si="81"/>
        <v>0</v>
      </c>
      <c r="R692" s="137"/>
      <c r="S692" s="23">
        <f t="shared" si="82"/>
        <v>0</v>
      </c>
      <c r="T692" s="123">
        <f t="shared" si="83"/>
        <v>0</v>
      </c>
      <c r="U692" s="138"/>
      <c r="V692" s="137"/>
      <c r="W692" s="137"/>
      <c r="X692" s="137"/>
      <c r="Y692" s="137"/>
      <c r="Z692" s="137"/>
      <c r="AA692" s="137"/>
      <c r="AB692" s="139"/>
    </row>
    <row r="693" spans="1:28">
      <c r="A693" s="97">
        <f t="shared" si="77"/>
        <v>695</v>
      </c>
      <c r="B693" s="115">
        <v>46112</v>
      </c>
      <c r="C693" s="116">
        <v>46438</v>
      </c>
      <c r="D693" s="135"/>
      <c r="E693" s="136"/>
      <c r="F693" s="124"/>
      <c r="G693" s="137"/>
      <c r="H693" s="137"/>
      <c r="I693" s="137"/>
      <c r="J693" s="137"/>
      <c r="K693" s="137"/>
      <c r="L693" s="137"/>
      <c r="M693" s="125">
        <f t="shared" si="79"/>
        <v>0</v>
      </c>
      <c r="N693" s="126">
        <f t="shared" si="80"/>
        <v>0</v>
      </c>
      <c r="O693" s="137"/>
      <c r="P693" s="23">
        <f t="shared" si="78"/>
        <v>0</v>
      </c>
      <c r="Q693" s="23">
        <f t="shared" si="81"/>
        <v>0</v>
      </c>
      <c r="R693" s="137"/>
      <c r="S693" s="23">
        <f t="shared" si="82"/>
        <v>0</v>
      </c>
      <c r="T693" s="123">
        <f t="shared" si="83"/>
        <v>0</v>
      </c>
      <c r="U693" s="138"/>
      <c r="V693" s="137"/>
      <c r="W693" s="137"/>
      <c r="X693" s="137"/>
      <c r="Y693" s="137"/>
      <c r="Z693" s="137"/>
      <c r="AA693" s="137"/>
      <c r="AB693" s="139"/>
    </row>
    <row r="694" spans="1:28">
      <c r="A694" s="97">
        <f t="shared" si="77"/>
        <v>696</v>
      </c>
      <c r="B694" s="115">
        <v>46112</v>
      </c>
      <c r="C694" s="116">
        <v>46439</v>
      </c>
      <c r="D694" s="135"/>
      <c r="E694" s="136"/>
      <c r="F694" s="124"/>
      <c r="G694" s="137"/>
      <c r="H694" s="137"/>
      <c r="I694" s="137"/>
      <c r="J694" s="137"/>
      <c r="K694" s="137"/>
      <c r="L694" s="137"/>
      <c r="M694" s="125">
        <f t="shared" si="79"/>
        <v>0</v>
      </c>
      <c r="N694" s="126">
        <f t="shared" si="80"/>
        <v>0</v>
      </c>
      <c r="O694" s="137"/>
      <c r="P694" s="23">
        <f t="shared" si="78"/>
        <v>0</v>
      </c>
      <c r="Q694" s="23">
        <f t="shared" si="81"/>
        <v>0</v>
      </c>
      <c r="R694" s="137"/>
      <c r="S694" s="23">
        <f t="shared" si="82"/>
        <v>0</v>
      </c>
      <c r="T694" s="123">
        <f t="shared" si="83"/>
        <v>0</v>
      </c>
      <c r="U694" s="138"/>
      <c r="V694" s="137"/>
      <c r="W694" s="137"/>
      <c r="X694" s="137"/>
      <c r="Y694" s="137"/>
      <c r="Z694" s="137"/>
      <c r="AA694" s="137"/>
      <c r="AB694" s="139"/>
    </row>
    <row r="695" spans="1:28">
      <c r="A695" s="97">
        <f t="shared" si="77"/>
        <v>697</v>
      </c>
      <c r="B695" s="115">
        <v>46112</v>
      </c>
      <c r="C695" s="116">
        <v>46440</v>
      </c>
      <c r="D695" s="135"/>
      <c r="E695" s="136"/>
      <c r="F695" s="124"/>
      <c r="G695" s="137"/>
      <c r="H695" s="137"/>
      <c r="I695" s="137"/>
      <c r="J695" s="137"/>
      <c r="K695" s="137"/>
      <c r="L695" s="137"/>
      <c r="M695" s="125">
        <f t="shared" si="79"/>
        <v>0</v>
      </c>
      <c r="N695" s="126">
        <f t="shared" si="80"/>
        <v>0</v>
      </c>
      <c r="O695" s="137"/>
      <c r="P695" s="23">
        <f t="shared" si="78"/>
        <v>0</v>
      </c>
      <c r="Q695" s="23">
        <f t="shared" si="81"/>
        <v>0</v>
      </c>
      <c r="R695" s="137"/>
      <c r="S695" s="23">
        <f t="shared" si="82"/>
        <v>0</v>
      </c>
      <c r="T695" s="123">
        <f t="shared" si="83"/>
        <v>0</v>
      </c>
      <c r="U695" s="138"/>
      <c r="V695" s="137"/>
      <c r="W695" s="137"/>
      <c r="X695" s="137"/>
      <c r="Y695" s="137"/>
      <c r="Z695" s="137"/>
      <c r="AA695" s="137"/>
      <c r="AB695" s="139"/>
    </row>
    <row r="696" spans="1:28">
      <c r="A696" s="97">
        <f t="shared" si="77"/>
        <v>698</v>
      </c>
      <c r="B696" s="115">
        <v>46112</v>
      </c>
      <c r="C696" s="116">
        <v>46441</v>
      </c>
      <c r="D696" s="135"/>
      <c r="E696" s="136"/>
      <c r="F696" s="124"/>
      <c r="G696" s="137"/>
      <c r="H696" s="137"/>
      <c r="I696" s="137"/>
      <c r="J696" s="137"/>
      <c r="K696" s="137"/>
      <c r="L696" s="137"/>
      <c r="M696" s="125">
        <f t="shared" si="79"/>
        <v>0</v>
      </c>
      <c r="N696" s="126">
        <f t="shared" si="80"/>
        <v>0</v>
      </c>
      <c r="O696" s="137"/>
      <c r="P696" s="23">
        <f t="shared" si="78"/>
        <v>0</v>
      </c>
      <c r="Q696" s="23">
        <f t="shared" si="81"/>
        <v>0</v>
      </c>
      <c r="R696" s="137"/>
      <c r="S696" s="23">
        <f t="shared" si="82"/>
        <v>0</v>
      </c>
      <c r="T696" s="123">
        <f t="shared" si="83"/>
        <v>0</v>
      </c>
      <c r="U696" s="138"/>
      <c r="V696" s="137"/>
      <c r="W696" s="137"/>
      <c r="X696" s="137"/>
      <c r="Y696" s="137"/>
      <c r="Z696" s="137"/>
      <c r="AA696" s="137"/>
      <c r="AB696" s="139"/>
    </row>
    <row r="697" spans="1:28">
      <c r="A697" s="97">
        <f t="shared" si="77"/>
        <v>699</v>
      </c>
      <c r="B697" s="115">
        <v>46112</v>
      </c>
      <c r="C697" s="116">
        <v>46442</v>
      </c>
      <c r="D697" s="135"/>
      <c r="E697" s="136"/>
      <c r="F697" s="124"/>
      <c r="G697" s="137"/>
      <c r="H697" s="137"/>
      <c r="I697" s="137"/>
      <c r="J697" s="137"/>
      <c r="K697" s="137"/>
      <c r="L697" s="137"/>
      <c r="M697" s="125">
        <f t="shared" si="79"/>
        <v>0</v>
      </c>
      <c r="N697" s="126">
        <f t="shared" si="80"/>
        <v>0</v>
      </c>
      <c r="O697" s="137"/>
      <c r="P697" s="23">
        <f t="shared" si="78"/>
        <v>0</v>
      </c>
      <c r="Q697" s="23">
        <f t="shared" si="81"/>
        <v>0</v>
      </c>
      <c r="R697" s="137"/>
      <c r="S697" s="23">
        <f t="shared" si="82"/>
        <v>0</v>
      </c>
      <c r="T697" s="123">
        <f t="shared" si="83"/>
        <v>0</v>
      </c>
      <c r="U697" s="138"/>
      <c r="V697" s="137"/>
      <c r="W697" s="137"/>
      <c r="X697" s="137"/>
      <c r="Y697" s="137"/>
      <c r="Z697" s="137"/>
      <c r="AA697" s="137"/>
      <c r="AB697" s="139"/>
    </row>
    <row r="698" spans="1:28">
      <c r="A698" s="97">
        <f t="shared" si="77"/>
        <v>700</v>
      </c>
      <c r="B698" s="115">
        <v>46112</v>
      </c>
      <c r="C698" s="116">
        <v>46443</v>
      </c>
      <c r="D698" s="135"/>
      <c r="E698" s="136"/>
      <c r="F698" s="124"/>
      <c r="G698" s="137"/>
      <c r="H698" s="137"/>
      <c r="I698" s="137"/>
      <c r="J698" s="137"/>
      <c r="K698" s="137"/>
      <c r="L698" s="137"/>
      <c r="M698" s="125">
        <f t="shared" si="79"/>
        <v>0</v>
      </c>
      <c r="N698" s="126">
        <f t="shared" si="80"/>
        <v>0</v>
      </c>
      <c r="O698" s="137"/>
      <c r="P698" s="23">
        <f t="shared" si="78"/>
        <v>0</v>
      </c>
      <c r="Q698" s="23">
        <f t="shared" si="81"/>
        <v>0</v>
      </c>
      <c r="R698" s="137"/>
      <c r="S698" s="23">
        <f t="shared" si="82"/>
        <v>0</v>
      </c>
      <c r="T698" s="123">
        <f t="shared" si="83"/>
        <v>0</v>
      </c>
      <c r="U698" s="138"/>
      <c r="V698" s="137"/>
      <c r="W698" s="137"/>
      <c r="X698" s="137"/>
      <c r="Y698" s="137"/>
      <c r="Z698" s="137"/>
      <c r="AA698" s="137"/>
      <c r="AB698" s="139"/>
    </row>
    <row r="699" spans="1:28">
      <c r="A699" s="97">
        <f t="shared" si="77"/>
        <v>701</v>
      </c>
      <c r="B699" s="115">
        <v>46112</v>
      </c>
      <c r="C699" s="116">
        <v>46444</v>
      </c>
      <c r="D699" s="135"/>
      <c r="E699" s="136"/>
      <c r="F699" s="124"/>
      <c r="G699" s="137"/>
      <c r="H699" s="137"/>
      <c r="I699" s="137"/>
      <c r="J699" s="137"/>
      <c r="K699" s="137"/>
      <c r="L699" s="137"/>
      <c r="M699" s="125">
        <f t="shared" si="79"/>
        <v>0</v>
      </c>
      <c r="N699" s="126">
        <f t="shared" si="80"/>
        <v>0</v>
      </c>
      <c r="O699" s="137"/>
      <c r="P699" s="23">
        <f t="shared" si="78"/>
        <v>0</v>
      </c>
      <c r="Q699" s="23">
        <f t="shared" si="81"/>
        <v>0</v>
      </c>
      <c r="R699" s="137"/>
      <c r="S699" s="23">
        <f t="shared" si="82"/>
        <v>0</v>
      </c>
      <c r="T699" s="123">
        <f t="shared" si="83"/>
        <v>0</v>
      </c>
      <c r="U699" s="138"/>
      <c r="V699" s="137"/>
      <c r="W699" s="137"/>
      <c r="X699" s="137"/>
      <c r="Y699" s="137"/>
      <c r="Z699" s="137"/>
      <c r="AA699" s="137"/>
      <c r="AB699" s="139"/>
    </row>
    <row r="700" spans="1:28">
      <c r="A700" s="97">
        <f t="shared" si="77"/>
        <v>702</v>
      </c>
      <c r="B700" s="115">
        <v>46112</v>
      </c>
      <c r="C700" s="116">
        <v>46445</v>
      </c>
      <c r="D700" s="135"/>
      <c r="E700" s="136"/>
      <c r="F700" s="124"/>
      <c r="G700" s="137"/>
      <c r="H700" s="137"/>
      <c r="I700" s="137"/>
      <c r="J700" s="137"/>
      <c r="K700" s="137"/>
      <c r="L700" s="137"/>
      <c r="M700" s="125">
        <f t="shared" si="79"/>
        <v>0</v>
      </c>
      <c r="N700" s="126">
        <f t="shared" si="80"/>
        <v>0</v>
      </c>
      <c r="O700" s="137"/>
      <c r="P700" s="23">
        <f t="shared" si="78"/>
        <v>0</v>
      </c>
      <c r="Q700" s="23">
        <f t="shared" si="81"/>
        <v>0</v>
      </c>
      <c r="R700" s="137"/>
      <c r="S700" s="23">
        <f t="shared" si="82"/>
        <v>0</v>
      </c>
      <c r="T700" s="123">
        <f t="shared" si="83"/>
        <v>0</v>
      </c>
      <c r="U700" s="138"/>
      <c r="V700" s="137"/>
      <c r="W700" s="137"/>
      <c r="X700" s="137"/>
      <c r="Y700" s="137"/>
      <c r="Z700" s="137"/>
      <c r="AA700" s="137"/>
      <c r="AB700" s="139"/>
    </row>
    <row r="701" spans="1:28">
      <c r="A701" s="97">
        <f t="shared" si="77"/>
        <v>703</v>
      </c>
      <c r="B701" s="115">
        <v>46112</v>
      </c>
      <c r="C701" s="116">
        <v>46446</v>
      </c>
      <c r="D701" s="135"/>
      <c r="E701" s="136"/>
      <c r="F701" s="124"/>
      <c r="G701" s="137"/>
      <c r="H701" s="137"/>
      <c r="I701" s="137"/>
      <c r="J701" s="137"/>
      <c r="K701" s="137"/>
      <c r="L701" s="137"/>
      <c r="M701" s="125">
        <f t="shared" si="79"/>
        <v>0</v>
      </c>
      <c r="N701" s="126">
        <f t="shared" si="80"/>
        <v>0</v>
      </c>
      <c r="O701" s="137"/>
      <c r="P701" s="23">
        <f t="shared" si="78"/>
        <v>0</v>
      </c>
      <c r="Q701" s="23">
        <f t="shared" si="81"/>
        <v>0</v>
      </c>
      <c r="R701" s="137"/>
      <c r="S701" s="23">
        <f t="shared" si="82"/>
        <v>0</v>
      </c>
      <c r="T701" s="123">
        <f t="shared" si="83"/>
        <v>0</v>
      </c>
      <c r="U701" s="138"/>
      <c r="V701" s="137"/>
      <c r="W701" s="137"/>
      <c r="X701" s="137"/>
      <c r="Y701" s="137"/>
      <c r="Z701" s="137"/>
      <c r="AA701" s="137"/>
      <c r="AB701" s="139"/>
    </row>
    <row r="702" spans="1:28">
      <c r="A702" s="97">
        <f t="shared" si="77"/>
        <v>704</v>
      </c>
      <c r="B702" s="115">
        <v>46112</v>
      </c>
      <c r="C702" s="116">
        <v>46447</v>
      </c>
      <c r="D702" s="135"/>
      <c r="E702" s="136"/>
      <c r="F702" s="124"/>
      <c r="G702" s="137"/>
      <c r="H702" s="137"/>
      <c r="I702" s="137"/>
      <c r="J702" s="137"/>
      <c r="K702" s="137"/>
      <c r="L702" s="137"/>
      <c r="M702" s="125">
        <f t="shared" si="79"/>
        <v>0</v>
      </c>
      <c r="N702" s="126">
        <f t="shared" si="80"/>
        <v>0</v>
      </c>
      <c r="O702" s="137"/>
      <c r="P702" s="23">
        <f t="shared" si="78"/>
        <v>0</v>
      </c>
      <c r="Q702" s="23">
        <f t="shared" si="81"/>
        <v>0</v>
      </c>
      <c r="R702" s="137"/>
      <c r="S702" s="23">
        <f t="shared" si="82"/>
        <v>0</v>
      </c>
      <c r="T702" s="123">
        <f t="shared" si="83"/>
        <v>0</v>
      </c>
      <c r="U702" s="138"/>
      <c r="V702" s="137"/>
      <c r="W702" s="137"/>
      <c r="X702" s="137"/>
      <c r="Y702" s="137"/>
      <c r="Z702" s="137"/>
      <c r="AA702" s="137"/>
      <c r="AB702" s="139"/>
    </row>
    <row r="703" spans="1:28">
      <c r="A703" s="97">
        <f t="shared" si="77"/>
        <v>705</v>
      </c>
      <c r="B703" s="115">
        <v>46112</v>
      </c>
      <c r="C703" s="116">
        <v>46448</v>
      </c>
      <c r="D703" s="135"/>
      <c r="E703" s="136"/>
      <c r="F703" s="124"/>
      <c r="G703" s="137"/>
      <c r="H703" s="137"/>
      <c r="I703" s="137"/>
      <c r="J703" s="137"/>
      <c r="K703" s="137"/>
      <c r="L703" s="137"/>
      <c r="M703" s="125">
        <f t="shared" si="79"/>
        <v>0</v>
      </c>
      <c r="N703" s="126">
        <f t="shared" si="80"/>
        <v>0</v>
      </c>
      <c r="O703" s="137"/>
      <c r="P703" s="23">
        <f t="shared" si="78"/>
        <v>0</v>
      </c>
      <c r="Q703" s="23">
        <f t="shared" si="81"/>
        <v>0</v>
      </c>
      <c r="R703" s="137"/>
      <c r="S703" s="23">
        <f t="shared" si="82"/>
        <v>0</v>
      </c>
      <c r="T703" s="123">
        <f t="shared" si="83"/>
        <v>0</v>
      </c>
      <c r="U703" s="138"/>
      <c r="V703" s="137"/>
      <c r="W703" s="137"/>
      <c r="X703" s="137"/>
      <c r="Y703" s="137"/>
      <c r="Z703" s="137"/>
      <c r="AA703" s="137"/>
      <c r="AB703" s="139"/>
    </row>
    <row r="704" spans="1:28">
      <c r="A704" s="97">
        <f t="shared" si="77"/>
        <v>706</v>
      </c>
      <c r="B704" s="115">
        <v>46112</v>
      </c>
      <c r="C704" s="116">
        <v>46449</v>
      </c>
      <c r="D704" s="135"/>
      <c r="E704" s="136"/>
      <c r="F704" s="124"/>
      <c r="G704" s="137"/>
      <c r="H704" s="137"/>
      <c r="I704" s="137"/>
      <c r="J704" s="137"/>
      <c r="K704" s="137"/>
      <c r="L704" s="137"/>
      <c r="M704" s="125">
        <f t="shared" si="79"/>
        <v>0</v>
      </c>
      <c r="N704" s="126">
        <f t="shared" si="80"/>
        <v>0</v>
      </c>
      <c r="O704" s="137"/>
      <c r="P704" s="23">
        <f t="shared" si="78"/>
        <v>0</v>
      </c>
      <c r="Q704" s="23">
        <f t="shared" si="81"/>
        <v>0</v>
      </c>
      <c r="R704" s="137"/>
      <c r="S704" s="23">
        <f t="shared" si="82"/>
        <v>0</v>
      </c>
      <c r="T704" s="123">
        <f t="shared" si="83"/>
        <v>0</v>
      </c>
      <c r="U704" s="138"/>
      <c r="V704" s="137"/>
      <c r="W704" s="137"/>
      <c r="X704" s="137"/>
      <c r="Y704" s="137"/>
      <c r="Z704" s="137"/>
      <c r="AA704" s="137"/>
      <c r="AB704" s="139"/>
    </row>
    <row r="705" spans="1:28">
      <c r="A705" s="97">
        <f t="shared" si="77"/>
        <v>707</v>
      </c>
      <c r="B705" s="115">
        <v>46112</v>
      </c>
      <c r="C705" s="116">
        <v>46450</v>
      </c>
      <c r="D705" s="135"/>
      <c r="E705" s="136"/>
      <c r="F705" s="124"/>
      <c r="G705" s="137"/>
      <c r="H705" s="137"/>
      <c r="I705" s="137"/>
      <c r="J705" s="137"/>
      <c r="K705" s="137"/>
      <c r="L705" s="137"/>
      <c r="M705" s="125">
        <f t="shared" si="79"/>
        <v>0</v>
      </c>
      <c r="N705" s="126">
        <f t="shared" si="80"/>
        <v>0</v>
      </c>
      <c r="O705" s="137"/>
      <c r="P705" s="23">
        <f t="shared" si="78"/>
        <v>0</v>
      </c>
      <c r="Q705" s="23">
        <f t="shared" si="81"/>
        <v>0</v>
      </c>
      <c r="R705" s="137"/>
      <c r="S705" s="23">
        <f t="shared" si="82"/>
        <v>0</v>
      </c>
      <c r="T705" s="123">
        <f t="shared" si="83"/>
        <v>0</v>
      </c>
      <c r="U705" s="138"/>
      <c r="V705" s="137"/>
      <c r="W705" s="137"/>
      <c r="X705" s="137"/>
      <c r="Y705" s="137"/>
      <c r="Z705" s="137"/>
      <c r="AA705" s="137"/>
      <c r="AB705" s="139"/>
    </row>
    <row r="706" spans="1:28">
      <c r="A706" s="97">
        <f t="shared" si="77"/>
        <v>708</v>
      </c>
      <c r="B706" s="115">
        <v>46112</v>
      </c>
      <c r="C706" s="116">
        <v>46451</v>
      </c>
      <c r="D706" s="135"/>
      <c r="E706" s="136"/>
      <c r="F706" s="124"/>
      <c r="G706" s="137"/>
      <c r="H706" s="137"/>
      <c r="I706" s="137"/>
      <c r="J706" s="137"/>
      <c r="K706" s="137"/>
      <c r="L706" s="137"/>
      <c r="M706" s="125">
        <f t="shared" si="79"/>
        <v>0</v>
      </c>
      <c r="N706" s="126">
        <f t="shared" si="80"/>
        <v>0</v>
      </c>
      <c r="O706" s="137"/>
      <c r="P706" s="23">
        <f t="shared" si="78"/>
        <v>0</v>
      </c>
      <c r="Q706" s="23">
        <f t="shared" si="81"/>
        <v>0</v>
      </c>
      <c r="R706" s="137"/>
      <c r="S706" s="23">
        <f t="shared" si="82"/>
        <v>0</v>
      </c>
      <c r="T706" s="123">
        <f t="shared" si="83"/>
        <v>0</v>
      </c>
      <c r="U706" s="138"/>
      <c r="V706" s="137"/>
      <c r="W706" s="137"/>
      <c r="X706" s="137"/>
      <c r="Y706" s="137"/>
      <c r="Z706" s="137"/>
      <c r="AA706" s="137"/>
      <c r="AB706" s="139"/>
    </row>
    <row r="707" spans="1:28">
      <c r="A707" s="97">
        <f t="shared" ref="A707:A733" si="84">A706+1</f>
        <v>709</v>
      </c>
      <c r="B707" s="115">
        <v>46112</v>
      </c>
      <c r="C707" s="116">
        <v>46452</v>
      </c>
      <c r="D707" s="135"/>
      <c r="E707" s="136"/>
      <c r="F707" s="124"/>
      <c r="G707" s="137"/>
      <c r="H707" s="137"/>
      <c r="I707" s="137"/>
      <c r="J707" s="137"/>
      <c r="K707" s="137"/>
      <c r="L707" s="137"/>
      <c r="M707" s="125">
        <f t="shared" si="79"/>
        <v>0</v>
      </c>
      <c r="N707" s="126">
        <f t="shared" si="80"/>
        <v>0</v>
      </c>
      <c r="O707" s="137"/>
      <c r="P707" s="23">
        <f t="shared" ref="P707:P733" si="85">MAX((O707-N707)*3000,0)</f>
        <v>0</v>
      </c>
      <c r="Q707" s="23">
        <f t="shared" si="81"/>
        <v>0</v>
      </c>
      <c r="R707" s="137"/>
      <c r="S707" s="23">
        <f t="shared" si="82"/>
        <v>0</v>
      </c>
      <c r="T707" s="123">
        <f t="shared" si="83"/>
        <v>0</v>
      </c>
      <c r="U707" s="138"/>
      <c r="V707" s="137"/>
      <c r="W707" s="137"/>
      <c r="X707" s="137"/>
      <c r="Y707" s="137"/>
      <c r="Z707" s="137"/>
      <c r="AA707" s="137"/>
      <c r="AB707" s="139"/>
    </row>
    <row r="708" spans="1:28">
      <c r="A708" s="97">
        <f t="shared" si="84"/>
        <v>710</v>
      </c>
      <c r="B708" s="115">
        <v>46112</v>
      </c>
      <c r="C708" s="116">
        <v>46453</v>
      </c>
      <c r="D708" s="135"/>
      <c r="E708" s="136"/>
      <c r="F708" s="124"/>
      <c r="G708" s="137"/>
      <c r="H708" s="137"/>
      <c r="I708" s="137"/>
      <c r="J708" s="137"/>
      <c r="K708" s="137"/>
      <c r="L708" s="137"/>
      <c r="M708" s="125">
        <f t="shared" ref="M708:M733" si="86">SUM(F708:L708)</f>
        <v>0</v>
      </c>
      <c r="N708" s="126">
        <f t="shared" si="80"/>
        <v>0</v>
      </c>
      <c r="O708" s="137"/>
      <c r="P708" s="23">
        <f t="shared" si="85"/>
        <v>0</v>
      </c>
      <c r="Q708" s="23">
        <f t="shared" si="81"/>
        <v>0</v>
      </c>
      <c r="R708" s="137"/>
      <c r="S708" s="23">
        <f t="shared" si="82"/>
        <v>0</v>
      </c>
      <c r="T708" s="123">
        <f t="shared" si="83"/>
        <v>0</v>
      </c>
      <c r="U708" s="138"/>
      <c r="V708" s="137"/>
      <c r="W708" s="137"/>
      <c r="X708" s="137"/>
      <c r="Y708" s="137"/>
      <c r="Z708" s="137"/>
      <c r="AA708" s="137"/>
      <c r="AB708" s="139"/>
    </row>
    <row r="709" spans="1:28">
      <c r="A709" s="97">
        <f t="shared" si="84"/>
        <v>711</v>
      </c>
      <c r="B709" s="115">
        <v>46112</v>
      </c>
      <c r="C709" s="116">
        <v>46454</v>
      </c>
      <c r="D709" s="135"/>
      <c r="E709" s="136"/>
      <c r="F709" s="124"/>
      <c r="G709" s="137"/>
      <c r="H709" s="137"/>
      <c r="I709" s="137"/>
      <c r="J709" s="137"/>
      <c r="K709" s="137"/>
      <c r="L709" s="137"/>
      <c r="M709" s="125">
        <f t="shared" si="86"/>
        <v>0</v>
      </c>
      <c r="N709" s="126">
        <f t="shared" si="80"/>
        <v>0</v>
      </c>
      <c r="O709" s="137"/>
      <c r="P709" s="23">
        <f t="shared" si="85"/>
        <v>0</v>
      </c>
      <c r="Q709" s="23">
        <f t="shared" si="81"/>
        <v>0</v>
      </c>
      <c r="R709" s="137"/>
      <c r="S709" s="23">
        <f t="shared" si="82"/>
        <v>0</v>
      </c>
      <c r="T709" s="123">
        <f t="shared" si="83"/>
        <v>0</v>
      </c>
      <c r="U709" s="138"/>
      <c r="V709" s="137"/>
      <c r="W709" s="137"/>
      <c r="X709" s="137"/>
      <c r="Y709" s="137"/>
      <c r="Z709" s="137"/>
      <c r="AA709" s="137"/>
      <c r="AB709" s="139"/>
    </row>
    <row r="710" spans="1:28">
      <c r="A710" s="97">
        <f t="shared" si="84"/>
        <v>712</v>
      </c>
      <c r="B710" s="115">
        <v>46112</v>
      </c>
      <c r="C710" s="116">
        <v>46455</v>
      </c>
      <c r="D710" s="135"/>
      <c r="E710" s="136"/>
      <c r="F710" s="124"/>
      <c r="G710" s="137"/>
      <c r="H710" s="137"/>
      <c r="I710" s="137"/>
      <c r="J710" s="137"/>
      <c r="K710" s="137"/>
      <c r="L710" s="137"/>
      <c r="M710" s="125">
        <f t="shared" si="86"/>
        <v>0</v>
      </c>
      <c r="N710" s="126">
        <f t="shared" si="80"/>
        <v>0</v>
      </c>
      <c r="O710" s="137"/>
      <c r="P710" s="23">
        <f t="shared" si="85"/>
        <v>0</v>
      </c>
      <c r="Q710" s="23">
        <f t="shared" si="81"/>
        <v>0</v>
      </c>
      <c r="R710" s="137"/>
      <c r="S710" s="23">
        <f t="shared" si="82"/>
        <v>0</v>
      </c>
      <c r="T710" s="123">
        <f t="shared" si="83"/>
        <v>0</v>
      </c>
      <c r="U710" s="138"/>
      <c r="V710" s="137"/>
      <c r="W710" s="137"/>
      <c r="X710" s="137"/>
      <c r="Y710" s="137"/>
      <c r="Z710" s="137"/>
      <c r="AA710" s="137"/>
      <c r="AB710" s="139"/>
    </row>
    <row r="711" spans="1:28">
      <c r="A711" s="97">
        <f t="shared" si="84"/>
        <v>713</v>
      </c>
      <c r="B711" s="115">
        <v>46112</v>
      </c>
      <c r="C711" s="116">
        <v>46456</v>
      </c>
      <c r="D711" s="135"/>
      <c r="E711" s="136"/>
      <c r="F711" s="124"/>
      <c r="G711" s="137"/>
      <c r="H711" s="137"/>
      <c r="I711" s="137"/>
      <c r="J711" s="137"/>
      <c r="K711" s="137"/>
      <c r="L711" s="137"/>
      <c r="M711" s="125">
        <f t="shared" si="86"/>
        <v>0</v>
      </c>
      <c r="N711" s="126">
        <f t="shared" si="80"/>
        <v>0</v>
      </c>
      <c r="O711" s="137"/>
      <c r="P711" s="23">
        <f t="shared" si="85"/>
        <v>0</v>
      </c>
      <c r="Q711" s="23">
        <f t="shared" si="81"/>
        <v>0</v>
      </c>
      <c r="R711" s="137"/>
      <c r="S711" s="23">
        <f t="shared" si="82"/>
        <v>0</v>
      </c>
      <c r="T711" s="123">
        <f t="shared" si="83"/>
        <v>0</v>
      </c>
      <c r="U711" s="138"/>
      <c r="V711" s="137"/>
      <c r="W711" s="137"/>
      <c r="X711" s="137"/>
      <c r="Y711" s="137"/>
      <c r="Z711" s="137"/>
      <c r="AA711" s="137"/>
      <c r="AB711" s="139"/>
    </row>
    <row r="712" spans="1:28">
      <c r="A712" s="97">
        <f t="shared" si="84"/>
        <v>714</v>
      </c>
      <c r="B712" s="115">
        <v>46112</v>
      </c>
      <c r="C712" s="116">
        <v>46457</v>
      </c>
      <c r="D712" s="135"/>
      <c r="E712" s="136"/>
      <c r="F712" s="124"/>
      <c r="G712" s="137"/>
      <c r="H712" s="137"/>
      <c r="I712" s="137"/>
      <c r="J712" s="137"/>
      <c r="K712" s="137"/>
      <c r="L712" s="137"/>
      <c r="M712" s="125">
        <f t="shared" si="86"/>
        <v>0</v>
      </c>
      <c r="N712" s="126">
        <f t="shared" si="80"/>
        <v>0</v>
      </c>
      <c r="O712" s="137"/>
      <c r="P712" s="23">
        <f t="shared" si="85"/>
        <v>0</v>
      </c>
      <c r="Q712" s="23">
        <f t="shared" si="81"/>
        <v>0</v>
      </c>
      <c r="R712" s="137"/>
      <c r="S712" s="23">
        <f t="shared" si="82"/>
        <v>0</v>
      </c>
      <c r="T712" s="123">
        <f t="shared" si="83"/>
        <v>0</v>
      </c>
      <c r="U712" s="138"/>
      <c r="V712" s="137"/>
      <c r="W712" s="137"/>
      <c r="X712" s="137"/>
      <c r="Y712" s="137"/>
      <c r="Z712" s="137"/>
      <c r="AA712" s="137"/>
      <c r="AB712" s="139"/>
    </row>
    <row r="713" spans="1:28">
      <c r="A713" s="97">
        <f t="shared" si="84"/>
        <v>715</v>
      </c>
      <c r="B713" s="115">
        <v>46112</v>
      </c>
      <c r="C713" s="116">
        <v>46458</v>
      </c>
      <c r="D713" s="135"/>
      <c r="E713" s="136"/>
      <c r="F713" s="124"/>
      <c r="G713" s="137"/>
      <c r="H713" s="137"/>
      <c r="I713" s="137"/>
      <c r="J713" s="137"/>
      <c r="K713" s="137"/>
      <c r="L713" s="137"/>
      <c r="M713" s="125">
        <f t="shared" si="86"/>
        <v>0</v>
      </c>
      <c r="N713" s="126">
        <f t="shared" si="80"/>
        <v>0</v>
      </c>
      <c r="O713" s="137"/>
      <c r="P713" s="23">
        <f t="shared" si="85"/>
        <v>0</v>
      </c>
      <c r="Q713" s="23">
        <f t="shared" si="81"/>
        <v>0</v>
      </c>
      <c r="R713" s="137"/>
      <c r="S713" s="23">
        <f t="shared" si="82"/>
        <v>0</v>
      </c>
      <c r="T713" s="123">
        <f t="shared" si="83"/>
        <v>0</v>
      </c>
      <c r="U713" s="138"/>
      <c r="V713" s="137"/>
      <c r="W713" s="137"/>
      <c r="X713" s="137"/>
      <c r="Y713" s="137"/>
      <c r="Z713" s="137"/>
      <c r="AA713" s="137"/>
      <c r="AB713" s="139"/>
    </row>
    <row r="714" spans="1:28">
      <c r="A714" s="97">
        <f t="shared" si="84"/>
        <v>716</v>
      </c>
      <c r="B714" s="115">
        <v>46112</v>
      </c>
      <c r="C714" s="116">
        <v>46459</v>
      </c>
      <c r="D714" s="135"/>
      <c r="E714" s="136"/>
      <c r="F714" s="124"/>
      <c r="G714" s="137"/>
      <c r="H714" s="137"/>
      <c r="I714" s="137"/>
      <c r="J714" s="137"/>
      <c r="K714" s="137"/>
      <c r="L714" s="137"/>
      <c r="M714" s="125">
        <f t="shared" si="86"/>
        <v>0</v>
      </c>
      <c r="N714" s="126">
        <f t="shared" si="80"/>
        <v>0</v>
      </c>
      <c r="O714" s="137"/>
      <c r="P714" s="23">
        <f t="shared" si="85"/>
        <v>0</v>
      </c>
      <c r="Q714" s="23">
        <f t="shared" si="81"/>
        <v>0</v>
      </c>
      <c r="R714" s="137"/>
      <c r="S714" s="23">
        <f t="shared" si="82"/>
        <v>0</v>
      </c>
      <c r="T714" s="123">
        <f t="shared" si="83"/>
        <v>0</v>
      </c>
      <c r="U714" s="138"/>
      <c r="V714" s="137"/>
      <c r="W714" s="137"/>
      <c r="X714" s="137"/>
      <c r="Y714" s="137"/>
      <c r="Z714" s="137"/>
      <c r="AA714" s="137"/>
      <c r="AB714" s="139"/>
    </row>
    <row r="715" spans="1:28">
      <c r="A715" s="97">
        <f t="shared" si="84"/>
        <v>717</v>
      </c>
      <c r="B715" s="115">
        <v>46112</v>
      </c>
      <c r="C715" s="116">
        <v>46460</v>
      </c>
      <c r="D715" s="135"/>
      <c r="E715" s="136"/>
      <c r="F715" s="124"/>
      <c r="G715" s="137"/>
      <c r="H715" s="137"/>
      <c r="I715" s="137"/>
      <c r="J715" s="137"/>
      <c r="K715" s="137"/>
      <c r="L715" s="137"/>
      <c r="M715" s="125">
        <f t="shared" si="86"/>
        <v>0</v>
      </c>
      <c r="N715" s="126">
        <f t="shared" si="80"/>
        <v>0</v>
      </c>
      <c r="O715" s="137"/>
      <c r="P715" s="23">
        <f t="shared" si="85"/>
        <v>0</v>
      </c>
      <c r="Q715" s="23">
        <f t="shared" si="81"/>
        <v>0</v>
      </c>
      <c r="R715" s="137"/>
      <c r="S715" s="23">
        <f t="shared" si="82"/>
        <v>0</v>
      </c>
      <c r="T715" s="123">
        <f t="shared" si="83"/>
        <v>0</v>
      </c>
      <c r="U715" s="138"/>
      <c r="V715" s="137"/>
      <c r="W715" s="137"/>
      <c r="X715" s="137"/>
      <c r="Y715" s="137"/>
      <c r="Z715" s="137"/>
      <c r="AA715" s="137"/>
      <c r="AB715" s="139"/>
    </row>
    <row r="716" spans="1:28">
      <c r="A716" s="97">
        <f t="shared" si="84"/>
        <v>718</v>
      </c>
      <c r="B716" s="115">
        <v>46112</v>
      </c>
      <c r="C716" s="116">
        <v>46461</v>
      </c>
      <c r="D716" s="135"/>
      <c r="E716" s="136"/>
      <c r="F716" s="124"/>
      <c r="G716" s="137"/>
      <c r="H716" s="137"/>
      <c r="I716" s="137"/>
      <c r="J716" s="137"/>
      <c r="K716" s="137"/>
      <c r="L716" s="137"/>
      <c r="M716" s="125">
        <f t="shared" si="86"/>
        <v>0</v>
      </c>
      <c r="N716" s="126">
        <f t="shared" si="80"/>
        <v>0</v>
      </c>
      <c r="O716" s="137"/>
      <c r="P716" s="23">
        <f t="shared" si="85"/>
        <v>0</v>
      </c>
      <c r="Q716" s="23">
        <f t="shared" si="81"/>
        <v>0</v>
      </c>
      <c r="R716" s="137"/>
      <c r="S716" s="23">
        <f t="shared" si="82"/>
        <v>0</v>
      </c>
      <c r="T716" s="123">
        <f t="shared" si="83"/>
        <v>0</v>
      </c>
      <c r="U716" s="138"/>
      <c r="V716" s="137"/>
      <c r="W716" s="137"/>
      <c r="X716" s="137"/>
      <c r="Y716" s="137"/>
      <c r="Z716" s="137"/>
      <c r="AA716" s="137"/>
      <c r="AB716" s="139"/>
    </row>
    <row r="717" spans="1:28">
      <c r="A717" s="97">
        <f t="shared" si="84"/>
        <v>719</v>
      </c>
      <c r="B717" s="115">
        <v>46112</v>
      </c>
      <c r="C717" s="116">
        <v>46462</v>
      </c>
      <c r="D717" s="135"/>
      <c r="E717" s="136"/>
      <c r="F717" s="124"/>
      <c r="G717" s="137"/>
      <c r="H717" s="137"/>
      <c r="I717" s="137"/>
      <c r="J717" s="137"/>
      <c r="K717" s="137"/>
      <c r="L717" s="137"/>
      <c r="M717" s="125">
        <f t="shared" si="86"/>
        <v>0</v>
      </c>
      <c r="N717" s="126">
        <f t="shared" ref="N717:N733" si="87">O716</f>
        <v>0</v>
      </c>
      <c r="O717" s="137"/>
      <c r="P717" s="23">
        <f t="shared" si="85"/>
        <v>0</v>
      </c>
      <c r="Q717" s="23">
        <f t="shared" ref="Q717:Q733" si="88">R716</f>
        <v>0</v>
      </c>
      <c r="R717" s="137"/>
      <c r="S717" s="23">
        <f t="shared" si="82"/>
        <v>0</v>
      </c>
      <c r="T717" s="123">
        <f t="shared" si="83"/>
        <v>0</v>
      </c>
      <c r="U717" s="138"/>
      <c r="V717" s="137"/>
      <c r="W717" s="137"/>
      <c r="X717" s="137"/>
      <c r="Y717" s="137"/>
      <c r="Z717" s="137"/>
      <c r="AA717" s="137"/>
      <c r="AB717" s="139"/>
    </row>
    <row r="718" spans="1:28">
      <c r="A718" s="97">
        <f t="shared" si="84"/>
        <v>720</v>
      </c>
      <c r="B718" s="115">
        <v>46112</v>
      </c>
      <c r="C718" s="116">
        <v>46463</v>
      </c>
      <c r="D718" s="135"/>
      <c r="E718" s="136"/>
      <c r="F718" s="124"/>
      <c r="G718" s="137"/>
      <c r="H718" s="137"/>
      <c r="I718" s="137"/>
      <c r="J718" s="137"/>
      <c r="K718" s="137"/>
      <c r="L718" s="137"/>
      <c r="M718" s="125">
        <f t="shared" si="86"/>
        <v>0</v>
      </c>
      <c r="N718" s="126">
        <f t="shared" si="87"/>
        <v>0</v>
      </c>
      <c r="O718" s="137"/>
      <c r="P718" s="23">
        <f t="shared" si="85"/>
        <v>0</v>
      </c>
      <c r="Q718" s="23">
        <f t="shared" si="88"/>
        <v>0</v>
      </c>
      <c r="R718" s="137"/>
      <c r="S718" s="23">
        <f t="shared" si="82"/>
        <v>0</v>
      </c>
      <c r="T718" s="123">
        <f t="shared" si="83"/>
        <v>0</v>
      </c>
      <c r="U718" s="138"/>
      <c r="V718" s="137"/>
      <c r="W718" s="137"/>
      <c r="X718" s="137"/>
      <c r="Y718" s="137"/>
      <c r="Z718" s="137"/>
      <c r="AA718" s="137"/>
      <c r="AB718" s="139"/>
    </row>
    <row r="719" spans="1:28">
      <c r="A719" s="97">
        <f t="shared" si="84"/>
        <v>721</v>
      </c>
      <c r="B719" s="115">
        <v>46112</v>
      </c>
      <c r="C719" s="116">
        <v>46464</v>
      </c>
      <c r="D719" s="135"/>
      <c r="E719" s="136"/>
      <c r="F719" s="124"/>
      <c r="G719" s="137"/>
      <c r="H719" s="137"/>
      <c r="I719" s="137"/>
      <c r="J719" s="137"/>
      <c r="K719" s="137"/>
      <c r="L719" s="137"/>
      <c r="M719" s="125">
        <f t="shared" si="86"/>
        <v>0</v>
      </c>
      <c r="N719" s="126">
        <f t="shared" si="87"/>
        <v>0</v>
      </c>
      <c r="O719" s="137"/>
      <c r="P719" s="23">
        <f t="shared" si="85"/>
        <v>0</v>
      </c>
      <c r="Q719" s="23">
        <f t="shared" si="88"/>
        <v>0</v>
      </c>
      <c r="R719" s="137"/>
      <c r="S719" s="23">
        <f t="shared" si="82"/>
        <v>0</v>
      </c>
      <c r="T719" s="123">
        <f t="shared" si="83"/>
        <v>0</v>
      </c>
      <c r="U719" s="138"/>
      <c r="V719" s="137"/>
      <c r="W719" s="137"/>
      <c r="X719" s="137"/>
      <c r="Y719" s="137"/>
      <c r="Z719" s="137"/>
      <c r="AA719" s="137"/>
      <c r="AB719" s="139"/>
    </row>
    <row r="720" spans="1:28">
      <c r="A720" s="97">
        <f t="shared" si="84"/>
        <v>722</v>
      </c>
      <c r="B720" s="115">
        <v>46112</v>
      </c>
      <c r="C720" s="116">
        <v>46465</v>
      </c>
      <c r="D720" s="135"/>
      <c r="E720" s="136"/>
      <c r="F720" s="124"/>
      <c r="G720" s="137"/>
      <c r="H720" s="137"/>
      <c r="I720" s="137"/>
      <c r="J720" s="137"/>
      <c r="K720" s="137"/>
      <c r="L720" s="137"/>
      <c r="M720" s="125">
        <f t="shared" si="86"/>
        <v>0</v>
      </c>
      <c r="N720" s="126">
        <f t="shared" si="87"/>
        <v>0</v>
      </c>
      <c r="O720" s="137"/>
      <c r="P720" s="23">
        <f t="shared" si="85"/>
        <v>0</v>
      </c>
      <c r="Q720" s="23">
        <f t="shared" si="88"/>
        <v>0</v>
      </c>
      <c r="R720" s="137"/>
      <c r="S720" s="23">
        <f t="shared" si="82"/>
        <v>0</v>
      </c>
      <c r="T720" s="123">
        <f t="shared" si="83"/>
        <v>0</v>
      </c>
      <c r="U720" s="138"/>
      <c r="V720" s="137"/>
      <c r="W720" s="137"/>
      <c r="X720" s="137"/>
      <c r="Y720" s="137"/>
      <c r="Z720" s="137"/>
      <c r="AA720" s="137"/>
      <c r="AB720" s="139"/>
    </row>
    <row r="721" spans="1:28">
      <c r="A721" s="97">
        <f t="shared" si="84"/>
        <v>723</v>
      </c>
      <c r="B721" s="115">
        <v>46112</v>
      </c>
      <c r="C721" s="116">
        <v>46466</v>
      </c>
      <c r="D721" s="135"/>
      <c r="E721" s="136"/>
      <c r="F721" s="124"/>
      <c r="G721" s="137"/>
      <c r="H721" s="137"/>
      <c r="I721" s="137"/>
      <c r="J721" s="137"/>
      <c r="K721" s="137"/>
      <c r="L721" s="137"/>
      <c r="M721" s="125">
        <f t="shared" si="86"/>
        <v>0</v>
      </c>
      <c r="N721" s="126">
        <f t="shared" si="87"/>
        <v>0</v>
      </c>
      <c r="O721" s="137"/>
      <c r="P721" s="23">
        <f t="shared" si="85"/>
        <v>0</v>
      </c>
      <c r="Q721" s="23">
        <f t="shared" si="88"/>
        <v>0</v>
      </c>
      <c r="R721" s="137"/>
      <c r="S721" s="23">
        <f t="shared" si="82"/>
        <v>0</v>
      </c>
      <c r="T721" s="123">
        <f t="shared" si="83"/>
        <v>0</v>
      </c>
      <c r="U721" s="138"/>
      <c r="V721" s="137"/>
      <c r="W721" s="137"/>
      <c r="X721" s="137"/>
      <c r="Y721" s="137"/>
      <c r="Z721" s="137"/>
      <c r="AA721" s="137"/>
      <c r="AB721" s="139"/>
    </row>
    <row r="722" spans="1:28">
      <c r="A722" s="97">
        <f t="shared" si="84"/>
        <v>724</v>
      </c>
      <c r="B722" s="115">
        <v>46112</v>
      </c>
      <c r="C722" s="116">
        <v>46467</v>
      </c>
      <c r="D722" s="135"/>
      <c r="E722" s="136"/>
      <c r="F722" s="124"/>
      <c r="G722" s="137"/>
      <c r="H722" s="137"/>
      <c r="I722" s="137"/>
      <c r="J722" s="137"/>
      <c r="K722" s="137"/>
      <c r="L722" s="137"/>
      <c r="M722" s="125">
        <f t="shared" si="86"/>
        <v>0</v>
      </c>
      <c r="N722" s="126">
        <f t="shared" si="87"/>
        <v>0</v>
      </c>
      <c r="O722" s="137"/>
      <c r="P722" s="23">
        <f t="shared" si="85"/>
        <v>0</v>
      </c>
      <c r="Q722" s="23">
        <f t="shared" si="88"/>
        <v>0</v>
      </c>
      <c r="R722" s="137"/>
      <c r="S722" s="23">
        <f t="shared" si="82"/>
        <v>0</v>
      </c>
      <c r="T722" s="123">
        <f t="shared" si="83"/>
        <v>0</v>
      </c>
      <c r="U722" s="138"/>
      <c r="V722" s="137"/>
      <c r="W722" s="137"/>
      <c r="X722" s="137"/>
      <c r="Y722" s="137"/>
      <c r="Z722" s="137"/>
      <c r="AA722" s="137"/>
      <c r="AB722" s="139"/>
    </row>
    <row r="723" spans="1:28">
      <c r="A723" s="97">
        <f t="shared" si="84"/>
        <v>725</v>
      </c>
      <c r="B723" s="115">
        <v>46112</v>
      </c>
      <c r="C723" s="116">
        <v>46468</v>
      </c>
      <c r="D723" s="135"/>
      <c r="E723" s="136"/>
      <c r="F723" s="124"/>
      <c r="G723" s="137"/>
      <c r="H723" s="137"/>
      <c r="I723" s="137"/>
      <c r="J723" s="137"/>
      <c r="K723" s="137"/>
      <c r="L723" s="137"/>
      <c r="M723" s="125">
        <f t="shared" si="86"/>
        <v>0</v>
      </c>
      <c r="N723" s="126">
        <f t="shared" si="87"/>
        <v>0</v>
      </c>
      <c r="O723" s="137"/>
      <c r="P723" s="23">
        <f t="shared" si="85"/>
        <v>0</v>
      </c>
      <c r="Q723" s="23">
        <f t="shared" si="88"/>
        <v>0</v>
      </c>
      <c r="R723" s="137"/>
      <c r="S723" s="23">
        <f t="shared" si="82"/>
        <v>0</v>
      </c>
      <c r="T723" s="123">
        <f t="shared" si="83"/>
        <v>0</v>
      </c>
      <c r="U723" s="138"/>
      <c r="V723" s="137"/>
      <c r="W723" s="137"/>
      <c r="X723" s="137"/>
      <c r="Y723" s="137"/>
      <c r="Z723" s="137"/>
      <c r="AA723" s="137"/>
      <c r="AB723" s="139"/>
    </row>
    <row r="724" spans="1:28">
      <c r="A724" s="97">
        <f t="shared" si="84"/>
        <v>726</v>
      </c>
      <c r="B724" s="115">
        <v>46112</v>
      </c>
      <c r="C724" s="116">
        <v>46469</v>
      </c>
      <c r="D724" s="135"/>
      <c r="E724" s="136"/>
      <c r="F724" s="124"/>
      <c r="G724" s="137"/>
      <c r="H724" s="137"/>
      <c r="I724" s="137"/>
      <c r="J724" s="137"/>
      <c r="K724" s="137"/>
      <c r="L724" s="137"/>
      <c r="M724" s="125">
        <f t="shared" si="86"/>
        <v>0</v>
      </c>
      <c r="N724" s="126">
        <f t="shared" si="87"/>
        <v>0</v>
      </c>
      <c r="O724" s="137"/>
      <c r="P724" s="23">
        <f t="shared" si="85"/>
        <v>0</v>
      </c>
      <c r="Q724" s="23">
        <f t="shared" si="88"/>
        <v>0</v>
      </c>
      <c r="R724" s="137"/>
      <c r="S724" s="23">
        <f t="shared" si="82"/>
        <v>0</v>
      </c>
      <c r="T724" s="123">
        <f t="shared" si="83"/>
        <v>0</v>
      </c>
      <c r="U724" s="138"/>
      <c r="V724" s="137"/>
      <c r="W724" s="137"/>
      <c r="X724" s="137"/>
      <c r="Y724" s="137"/>
      <c r="Z724" s="137"/>
      <c r="AA724" s="137"/>
      <c r="AB724" s="139"/>
    </row>
    <row r="725" spans="1:28">
      <c r="A725" s="97">
        <f t="shared" si="84"/>
        <v>727</v>
      </c>
      <c r="B725" s="115">
        <v>46112</v>
      </c>
      <c r="C725" s="116">
        <v>46470</v>
      </c>
      <c r="D725" s="135"/>
      <c r="E725" s="136"/>
      <c r="F725" s="124"/>
      <c r="G725" s="137"/>
      <c r="H725" s="137"/>
      <c r="I725" s="137"/>
      <c r="J725" s="137"/>
      <c r="K725" s="137"/>
      <c r="L725" s="137"/>
      <c r="M725" s="125">
        <f t="shared" si="86"/>
        <v>0</v>
      </c>
      <c r="N725" s="126">
        <f t="shared" si="87"/>
        <v>0</v>
      </c>
      <c r="O725" s="137"/>
      <c r="P725" s="23">
        <f t="shared" si="85"/>
        <v>0</v>
      </c>
      <c r="Q725" s="23">
        <f t="shared" si="88"/>
        <v>0</v>
      </c>
      <c r="R725" s="137"/>
      <c r="S725" s="23">
        <f t="shared" si="82"/>
        <v>0</v>
      </c>
      <c r="T725" s="123">
        <f t="shared" si="83"/>
        <v>0</v>
      </c>
      <c r="U725" s="138"/>
      <c r="V725" s="137"/>
      <c r="W725" s="137"/>
      <c r="X725" s="137"/>
      <c r="Y725" s="137"/>
      <c r="Z725" s="137"/>
      <c r="AA725" s="137"/>
      <c r="AB725" s="139"/>
    </row>
    <row r="726" spans="1:28">
      <c r="A726" s="97">
        <f t="shared" si="84"/>
        <v>728</v>
      </c>
      <c r="B726" s="115">
        <v>46112</v>
      </c>
      <c r="C726" s="116">
        <v>46471</v>
      </c>
      <c r="D726" s="135"/>
      <c r="E726" s="136"/>
      <c r="F726" s="124"/>
      <c r="G726" s="137"/>
      <c r="H726" s="137"/>
      <c r="I726" s="137"/>
      <c r="J726" s="137"/>
      <c r="K726" s="137"/>
      <c r="L726" s="137"/>
      <c r="M726" s="125">
        <f t="shared" si="86"/>
        <v>0</v>
      </c>
      <c r="N726" s="126">
        <f t="shared" si="87"/>
        <v>0</v>
      </c>
      <c r="O726" s="137"/>
      <c r="P726" s="23">
        <f t="shared" si="85"/>
        <v>0</v>
      </c>
      <c r="Q726" s="23">
        <f t="shared" si="88"/>
        <v>0</v>
      </c>
      <c r="R726" s="137"/>
      <c r="S726" s="23">
        <f t="shared" si="82"/>
        <v>0</v>
      </c>
      <c r="T726" s="123">
        <f t="shared" si="83"/>
        <v>0</v>
      </c>
      <c r="U726" s="138"/>
      <c r="V726" s="137"/>
      <c r="W726" s="137"/>
      <c r="X726" s="137"/>
      <c r="Y726" s="137"/>
      <c r="Z726" s="137"/>
      <c r="AA726" s="137"/>
      <c r="AB726" s="139"/>
    </row>
    <row r="727" spans="1:28">
      <c r="A727" s="97">
        <f t="shared" si="84"/>
        <v>729</v>
      </c>
      <c r="B727" s="115">
        <v>46112</v>
      </c>
      <c r="C727" s="116">
        <v>46472</v>
      </c>
      <c r="D727" s="135"/>
      <c r="E727" s="136"/>
      <c r="F727" s="124"/>
      <c r="G727" s="137"/>
      <c r="H727" s="137"/>
      <c r="I727" s="137"/>
      <c r="J727" s="137"/>
      <c r="K727" s="137"/>
      <c r="L727" s="137"/>
      <c r="M727" s="125">
        <f t="shared" si="86"/>
        <v>0</v>
      </c>
      <c r="N727" s="126">
        <f t="shared" si="87"/>
        <v>0</v>
      </c>
      <c r="O727" s="137"/>
      <c r="P727" s="23">
        <f t="shared" si="85"/>
        <v>0</v>
      </c>
      <c r="Q727" s="23">
        <f t="shared" si="88"/>
        <v>0</v>
      </c>
      <c r="R727" s="137"/>
      <c r="S727" s="23">
        <f t="shared" si="82"/>
        <v>0</v>
      </c>
      <c r="T727" s="123">
        <f t="shared" si="83"/>
        <v>0</v>
      </c>
      <c r="U727" s="138"/>
      <c r="V727" s="137"/>
      <c r="W727" s="137"/>
      <c r="X727" s="137"/>
      <c r="Y727" s="137"/>
      <c r="Z727" s="137"/>
      <c r="AA727" s="137"/>
      <c r="AB727" s="139"/>
    </row>
    <row r="728" spans="1:28">
      <c r="A728" s="97">
        <f t="shared" si="84"/>
        <v>730</v>
      </c>
      <c r="B728" s="115">
        <v>46112</v>
      </c>
      <c r="C728" s="116">
        <v>46473</v>
      </c>
      <c r="D728" s="135"/>
      <c r="E728" s="136"/>
      <c r="F728" s="124"/>
      <c r="G728" s="137"/>
      <c r="H728" s="137"/>
      <c r="I728" s="137"/>
      <c r="J728" s="137"/>
      <c r="K728" s="137"/>
      <c r="L728" s="137"/>
      <c r="M728" s="125">
        <f t="shared" si="86"/>
        <v>0</v>
      </c>
      <c r="N728" s="126">
        <f t="shared" si="87"/>
        <v>0</v>
      </c>
      <c r="O728" s="137"/>
      <c r="P728" s="23">
        <f t="shared" si="85"/>
        <v>0</v>
      </c>
      <c r="Q728" s="23">
        <f t="shared" si="88"/>
        <v>0</v>
      </c>
      <c r="R728" s="137"/>
      <c r="S728" s="23">
        <f t="shared" si="82"/>
        <v>0</v>
      </c>
      <c r="T728" s="123">
        <f t="shared" si="83"/>
        <v>0</v>
      </c>
      <c r="U728" s="138"/>
      <c r="V728" s="137"/>
      <c r="W728" s="137"/>
      <c r="X728" s="137"/>
      <c r="Y728" s="137"/>
      <c r="Z728" s="137"/>
      <c r="AA728" s="137"/>
      <c r="AB728" s="139"/>
    </row>
    <row r="729" spans="1:28">
      <c r="A729" s="97">
        <f t="shared" si="84"/>
        <v>731</v>
      </c>
      <c r="B729" s="115">
        <v>46112</v>
      </c>
      <c r="C729" s="116">
        <v>46474</v>
      </c>
      <c r="D729" s="135"/>
      <c r="E729" s="136"/>
      <c r="F729" s="124"/>
      <c r="G729" s="137"/>
      <c r="H729" s="137"/>
      <c r="I729" s="137"/>
      <c r="J729" s="137"/>
      <c r="K729" s="137"/>
      <c r="L729" s="137"/>
      <c r="M729" s="125">
        <f t="shared" si="86"/>
        <v>0</v>
      </c>
      <c r="N729" s="126">
        <f t="shared" si="87"/>
        <v>0</v>
      </c>
      <c r="O729" s="137"/>
      <c r="P729" s="23">
        <f t="shared" si="85"/>
        <v>0</v>
      </c>
      <c r="Q729" s="23">
        <f t="shared" si="88"/>
        <v>0</v>
      </c>
      <c r="R729" s="137"/>
      <c r="S729" s="23">
        <f t="shared" si="82"/>
        <v>0</v>
      </c>
      <c r="T729" s="123">
        <f t="shared" si="83"/>
        <v>0</v>
      </c>
      <c r="U729" s="138"/>
      <c r="V729" s="137"/>
      <c r="W729" s="137"/>
      <c r="X729" s="137"/>
      <c r="Y729" s="137"/>
      <c r="Z729" s="137"/>
      <c r="AA729" s="137"/>
      <c r="AB729" s="139"/>
    </row>
    <row r="730" spans="1:28">
      <c r="A730" s="97">
        <f t="shared" si="84"/>
        <v>732</v>
      </c>
      <c r="B730" s="115">
        <v>46112</v>
      </c>
      <c r="C730" s="116">
        <v>46475</v>
      </c>
      <c r="D730" s="135"/>
      <c r="E730" s="136"/>
      <c r="F730" s="124"/>
      <c r="G730" s="137"/>
      <c r="H730" s="137"/>
      <c r="I730" s="137"/>
      <c r="J730" s="137"/>
      <c r="K730" s="137"/>
      <c r="L730" s="137"/>
      <c r="M730" s="125">
        <f t="shared" si="86"/>
        <v>0</v>
      </c>
      <c r="N730" s="126">
        <f t="shared" si="87"/>
        <v>0</v>
      </c>
      <c r="O730" s="137"/>
      <c r="P730" s="23">
        <f t="shared" si="85"/>
        <v>0</v>
      </c>
      <c r="Q730" s="23">
        <f t="shared" si="88"/>
        <v>0</v>
      </c>
      <c r="R730" s="137"/>
      <c r="S730" s="23">
        <f t="shared" si="82"/>
        <v>0</v>
      </c>
      <c r="T730" s="123">
        <f t="shared" si="83"/>
        <v>0</v>
      </c>
      <c r="U730" s="138"/>
      <c r="V730" s="137"/>
      <c r="W730" s="137"/>
      <c r="X730" s="137"/>
      <c r="Y730" s="137"/>
      <c r="Z730" s="137"/>
      <c r="AA730" s="137"/>
      <c r="AB730" s="139"/>
    </row>
    <row r="731" spans="1:28">
      <c r="A731" s="97">
        <f t="shared" si="84"/>
        <v>733</v>
      </c>
      <c r="B731" s="115">
        <v>46112</v>
      </c>
      <c r="C731" s="116">
        <v>46476</v>
      </c>
      <c r="D731" s="135"/>
      <c r="E731" s="136"/>
      <c r="F731" s="124"/>
      <c r="G731" s="137"/>
      <c r="H731" s="137"/>
      <c r="I731" s="137"/>
      <c r="J731" s="137"/>
      <c r="K731" s="137"/>
      <c r="L731" s="137"/>
      <c r="M731" s="125">
        <f t="shared" si="86"/>
        <v>0</v>
      </c>
      <c r="N731" s="126">
        <f t="shared" si="87"/>
        <v>0</v>
      </c>
      <c r="O731" s="137"/>
      <c r="P731" s="23">
        <f t="shared" si="85"/>
        <v>0</v>
      </c>
      <c r="Q731" s="23">
        <f t="shared" si="88"/>
        <v>0</v>
      </c>
      <c r="R731" s="137"/>
      <c r="S731" s="23">
        <f t="shared" si="82"/>
        <v>0</v>
      </c>
      <c r="T731" s="123">
        <f t="shared" si="83"/>
        <v>0</v>
      </c>
      <c r="U731" s="138"/>
      <c r="V731" s="137"/>
      <c r="W731" s="137"/>
      <c r="X731" s="137"/>
      <c r="Y731" s="137"/>
      <c r="Z731" s="137"/>
      <c r="AA731" s="137"/>
      <c r="AB731" s="139"/>
    </row>
    <row r="732" spans="1:28">
      <c r="A732" s="97">
        <f t="shared" si="84"/>
        <v>734</v>
      </c>
      <c r="B732" s="115">
        <v>46112</v>
      </c>
      <c r="C732" s="116">
        <v>46477</v>
      </c>
      <c r="D732" s="135"/>
      <c r="E732" s="136"/>
      <c r="F732" s="124"/>
      <c r="G732" s="137"/>
      <c r="H732" s="137"/>
      <c r="I732" s="137"/>
      <c r="J732" s="137"/>
      <c r="K732" s="137"/>
      <c r="L732" s="137"/>
      <c r="M732" s="125">
        <f t="shared" si="86"/>
        <v>0</v>
      </c>
      <c r="N732" s="126">
        <f t="shared" si="87"/>
        <v>0</v>
      </c>
      <c r="O732" s="137"/>
      <c r="P732" s="23">
        <f t="shared" si="85"/>
        <v>0</v>
      </c>
      <c r="Q732" s="23">
        <f t="shared" si="88"/>
        <v>0</v>
      </c>
      <c r="R732" s="137"/>
      <c r="S732" s="23">
        <f t="shared" si="82"/>
        <v>0</v>
      </c>
      <c r="T732" s="123">
        <f t="shared" si="83"/>
        <v>0</v>
      </c>
      <c r="U732" s="138"/>
      <c r="V732" s="137"/>
      <c r="W732" s="137"/>
      <c r="X732" s="137"/>
      <c r="Y732" s="137"/>
      <c r="Z732" s="137"/>
      <c r="AA732" s="137"/>
      <c r="AB732" s="139"/>
    </row>
    <row r="733" spans="1:28">
      <c r="A733" s="97">
        <f t="shared" si="84"/>
        <v>735</v>
      </c>
      <c r="B733" s="115">
        <v>46112</v>
      </c>
      <c r="C733" s="116">
        <v>46478</v>
      </c>
      <c r="D733" s="135"/>
      <c r="E733" s="136"/>
      <c r="F733" s="124"/>
      <c r="G733" s="137"/>
      <c r="H733" s="137"/>
      <c r="I733" s="137"/>
      <c r="J733" s="137"/>
      <c r="K733" s="137"/>
      <c r="L733" s="137"/>
      <c r="M733" s="125">
        <f t="shared" si="86"/>
        <v>0</v>
      </c>
      <c r="N733" s="126">
        <f t="shared" si="87"/>
        <v>0</v>
      </c>
      <c r="O733" s="137"/>
      <c r="P733" s="23">
        <f t="shared" si="85"/>
        <v>0</v>
      </c>
      <c r="Q733" s="23">
        <f t="shared" si="88"/>
        <v>0</v>
      </c>
      <c r="R733" s="137"/>
      <c r="S733" s="23">
        <f t="shared" si="82"/>
        <v>0</v>
      </c>
      <c r="T733" s="123">
        <f t="shared" si="83"/>
        <v>0</v>
      </c>
      <c r="U733" s="138"/>
      <c r="V733" s="137"/>
      <c r="W733" s="137"/>
      <c r="X733" s="137"/>
      <c r="Y733" s="137"/>
      <c r="Z733" s="137"/>
      <c r="AA733" s="137"/>
      <c r="AB733" s="139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9"/>
  <sheetViews>
    <sheetView workbookViewId="0">
      <pane xSplit="2" ySplit="3" topLeftCell="C349" activePane="bottomRight" state="frozen"/>
      <selection pane="topRight"/>
      <selection pane="bottomLeft"/>
      <selection pane="bottomRight" activeCell="C5" sqref="C5"/>
    </sheetView>
  </sheetViews>
  <sheetFormatPr defaultColWidth="9" defaultRowHeight="14.25"/>
  <cols>
    <col min="3" max="3" width="9" customWidth="1"/>
  </cols>
  <sheetData>
    <row r="1" spans="1:9">
      <c r="A1" t="s">
        <v>54</v>
      </c>
    </row>
    <row r="2" spans="1:9" ht="18" customHeight="1">
      <c r="C2" s="112">
        <v>335.72</v>
      </c>
      <c r="D2" s="112">
        <v>335.72</v>
      </c>
      <c r="E2" s="112">
        <v>335.72</v>
      </c>
      <c r="F2" s="112">
        <v>350.98</v>
      </c>
      <c r="G2" s="112">
        <v>350.98</v>
      </c>
      <c r="H2" s="112">
        <v>350.98</v>
      </c>
      <c r="I2" s="112">
        <v>350.98</v>
      </c>
    </row>
    <row r="3" spans="1:9"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 ht="15">
      <c r="A4" s="113">
        <v>45747</v>
      </c>
      <c r="B4" s="19">
        <v>45747</v>
      </c>
    </row>
    <row r="5" spans="1:9" ht="15">
      <c r="A5" s="113">
        <v>45748</v>
      </c>
      <c r="B5" s="19">
        <v>45748</v>
      </c>
      <c r="C5" s="114">
        <f>IFERROR((Data_Entry!F3/Data_Entry!$V3/C$2),"")</f>
        <v>1.02542689648973</v>
      </c>
      <c r="D5" s="114">
        <f>IFERROR((Data_Entry!G3/Data_Entry!$V3/D$2),"")</f>
        <v>1.0427074995021199</v>
      </c>
      <c r="E5" s="114">
        <f>IFERROR((Data_Entry!H3/Data_Entry!$V3/E$2),"")</f>
        <v>1.0239913267933001</v>
      </c>
      <c r="F5" s="114">
        <f>IFERROR((Data_Entry!I3/Data_Entry!$V3/F$2),"")</f>
        <v>1.0325755239635399</v>
      </c>
      <c r="G5" s="114">
        <f>IFERROR((Data_Entry!J3/Data_Entry!$V3/G$2),"")</f>
        <v>1.0407681596223699</v>
      </c>
      <c r="H5" s="114">
        <f>IFERROR((Data_Entry!K3/Data_Entry!$V3/H$2),"")</f>
        <v>1.04001215369528</v>
      </c>
      <c r="I5" s="114">
        <f>IFERROR((Data_Entry!L3/Data_Entry!$V3/I$2),"")</f>
        <v>1.0309966544423399</v>
      </c>
    </row>
    <row r="6" spans="1:9" ht="15">
      <c r="A6" s="113">
        <v>45749</v>
      </c>
      <c r="B6" s="19">
        <v>45749</v>
      </c>
      <c r="C6" s="114">
        <f>IFERROR((Data_Entry!F4/Data_Entry!$V4/C$2),"")</f>
        <v>1.04484151539493</v>
      </c>
      <c r="D6" s="114">
        <f>IFERROR((Data_Entry!G4/Data_Entry!$V4/D$2),"")</f>
        <v>1.06388793870297</v>
      </c>
      <c r="E6" s="114">
        <f>IFERROR((Data_Entry!H4/Data_Entry!$V4/E$2),"")</f>
        <v>1.04457994736184</v>
      </c>
      <c r="F6" s="114">
        <f>IFERROR((Data_Entry!I4/Data_Entry!$V4/F$2),"")</f>
        <v>1.05263888863359</v>
      </c>
      <c r="G6" s="114">
        <f>IFERROR((Data_Entry!J4/Data_Entry!$V4/G$2),"")</f>
        <v>1.0569739087952601</v>
      </c>
      <c r="H6" s="114">
        <f>IFERROR((Data_Entry!K4/Data_Entry!$V4/H$2),"")</f>
        <v>1.0550387231164899</v>
      </c>
      <c r="I6" s="114">
        <f>IFERROR((Data_Entry!L4/Data_Entry!$V4/I$2),"")</f>
        <v>1.05241422327774</v>
      </c>
    </row>
    <row r="7" spans="1:9" ht="15">
      <c r="A7" s="113">
        <v>45750</v>
      </c>
      <c r="B7" s="19">
        <v>45750</v>
      </c>
      <c r="C7" s="114">
        <f>IFERROR((Data_Entry!F5/Data_Entry!$V5/C$2),"")</f>
        <v>1.0402279455634</v>
      </c>
      <c r="D7" s="114">
        <f>IFERROR((Data_Entry!G5/Data_Entry!$V5/D$2),"")</f>
        <v>1.0627704518330301</v>
      </c>
      <c r="E7" s="114">
        <f>IFERROR((Data_Entry!H5/Data_Entry!$V5/E$2),"")</f>
        <v>1.0426075556002301</v>
      </c>
      <c r="F7" s="114">
        <f>IFERROR((Data_Entry!I5/Data_Entry!$V5/F$2),"")</f>
        <v>1.0507477175109501</v>
      </c>
      <c r="G7" s="114">
        <f>IFERROR((Data_Entry!J5/Data_Entry!$V5/G$2),"")</f>
        <v>1.0559844513043699</v>
      </c>
      <c r="H7" s="114">
        <f>IFERROR((Data_Entry!K5/Data_Entry!$V5/H$2),"")</f>
        <v>1.0554008234246599</v>
      </c>
      <c r="I7" s="114">
        <f>IFERROR((Data_Entry!L5/Data_Entry!$V5/I$2),"")</f>
        <v>1.0573480182596999</v>
      </c>
    </row>
    <row r="8" spans="1:9" ht="15">
      <c r="A8" s="113">
        <v>45751</v>
      </c>
      <c r="B8" s="19">
        <v>45751</v>
      </c>
      <c r="C8" s="114">
        <f>IFERROR((Data_Entry!F6/Data_Entry!$V6/C$2),"")</f>
        <v>1.0476008415603799</v>
      </c>
      <c r="D8" s="114">
        <f>IFERROR((Data_Entry!G6/Data_Entry!$V6/D$2),"")</f>
        <v>1.0654068074068399</v>
      </c>
      <c r="E8" s="114">
        <f>IFERROR((Data_Entry!H6/Data_Entry!$V6/E$2),"")</f>
        <v>1.0471053137538899</v>
      </c>
      <c r="F8" s="114">
        <f>IFERROR((Data_Entry!I6/Data_Entry!$V6/F$2),"")</f>
        <v>1.0582463109103899</v>
      </c>
      <c r="G8" s="114">
        <f>IFERROR((Data_Entry!J6/Data_Entry!$V6/G$2),"")</f>
        <v>1.0643975585024199</v>
      </c>
      <c r="H8" s="114">
        <f>IFERROR((Data_Entry!K6/Data_Entry!$V6/H$2),"")</f>
        <v>1.05804091822538</v>
      </c>
      <c r="I8" s="114">
        <f>IFERROR((Data_Entry!L6/Data_Entry!$V6/I$2),"")</f>
        <v>1.0607636879215101</v>
      </c>
    </row>
    <row r="9" spans="1:9" ht="15">
      <c r="A9" s="113">
        <v>45752</v>
      </c>
      <c r="B9" s="19">
        <v>45752</v>
      </c>
      <c r="C9" s="114">
        <f>IFERROR((Data_Entry!F7/Data_Entry!$V7/C$2),"")</f>
        <v>1.0512718069060301</v>
      </c>
      <c r="D9" s="114">
        <f>IFERROR((Data_Entry!G7/Data_Entry!$V7/D$2),"")</f>
        <v>1.0658144209201299</v>
      </c>
      <c r="E9" s="114">
        <f>IFERROR((Data_Entry!H7/Data_Entry!$V7/E$2),"")</f>
        <v>1.0500900508878199</v>
      </c>
      <c r="F9" s="114">
        <f>IFERROR((Data_Entry!I7/Data_Entry!$V7/F$2),"")</f>
        <v>1.0581655009864701</v>
      </c>
      <c r="G9" s="114">
        <f>IFERROR((Data_Entry!J7/Data_Entry!$V7/G$2),"")</f>
        <v>1.064116746402</v>
      </c>
      <c r="H9" s="114">
        <f>IFERROR((Data_Entry!K7/Data_Entry!$V7/H$2),"")</f>
        <v>1.0616753421682199</v>
      </c>
      <c r="I9" s="114">
        <f>IFERROR((Data_Entry!L7/Data_Entry!$V7/I$2),"")</f>
        <v>1.06261990236861</v>
      </c>
    </row>
    <row r="10" spans="1:9" ht="15">
      <c r="A10" s="113">
        <v>45753</v>
      </c>
      <c r="B10" s="19">
        <v>45753</v>
      </c>
      <c r="C10" s="114">
        <f>IFERROR((Data_Entry!F8/Data_Entry!$V8/C$2),"")</f>
        <v>1.0559501880206801</v>
      </c>
      <c r="D10" s="114">
        <f>IFERROR((Data_Entry!G8/Data_Entry!$V8/D$2),"")</f>
        <v>1.0714007133385399</v>
      </c>
      <c r="E10" s="114">
        <f>IFERROR((Data_Entry!H8/Data_Entry!$V8/E$2),"")</f>
        <v>1.05547874342013</v>
      </c>
      <c r="F10" s="114">
        <f>IFERROR((Data_Entry!I8/Data_Entry!$V8/F$2),"")</f>
        <v>1.0632356841747499</v>
      </c>
      <c r="G10" s="114">
        <f>IFERROR((Data_Entry!J8/Data_Entry!$V8/G$2),"")</f>
        <v>1.06855993352221</v>
      </c>
      <c r="H10" s="114">
        <f>IFERROR((Data_Entry!K8/Data_Entry!$V8/H$2),"")</f>
        <v>1.0611603030527901</v>
      </c>
      <c r="I10" s="114">
        <f>IFERROR((Data_Entry!L8/Data_Entry!$V8/I$2),"")</f>
        <v>1.0670482361617699</v>
      </c>
    </row>
    <row r="11" spans="1:9" ht="15">
      <c r="A11" s="113">
        <v>45754</v>
      </c>
      <c r="B11" s="19">
        <v>45754</v>
      </c>
      <c r="C11" s="114">
        <f>IFERROR((Data_Entry!F9/Data_Entry!$V9/C$2),"")</f>
        <v>1.0496514679664199</v>
      </c>
      <c r="D11" s="114">
        <f>IFERROR((Data_Entry!G9/Data_Entry!$V9/D$2),"")</f>
        <v>1.0735027114119799</v>
      </c>
      <c r="E11" s="114">
        <f>IFERROR((Data_Entry!H9/Data_Entry!$V9/E$2),"")</f>
        <v>1.05133482795296</v>
      </c>
      <c r="F11" s="114">
        <f>IFERROR((Data_Entry!I9/Data_Entry!$V9/F$2),"")</f>
        <v>1.06449516713621</v>
      </c>
      <c r="G11" s="114">
        <f>IFERROR((Data_Entry!J9/Data_Entry!$V9/G$2),"")</f>
        <v>1.08473730958297</v>
      </c>
      <c r="H11" s="114">
        <f>IFERROR((Data_Entry!K9/Data_Entry!$V9/H$2),"")</f>
        <v>1.0600462871717999</v>
      </c>
      <c r="I11" s="114">
        <f>IFERROR((Data_Entry!L9/Data_Entry!$V9/I$2),"")</f>
        <v>1.0703346488286301</v>
      </c>
    </row>
    <row r="12" spans="1:9" ht="15">
      <c r="A12" s="113">
        <v>45755</v>
      </c>
      <c r="B12" s="19">
        <v>45755</v>
      </c>
      <c r="C12" s="114">
        <f>IFERROR((Data_Entry!F10/Data_Entry!$V10/C$2),"")</f>
        <v>1.03291579829405</v>
      </c>
      <c r="D12" s="114">
        <f>IFERROR((Data_Entry!G10/Data_Entry!$V10/D$2),"")</f>
        <v>1.0660935461657399</v>
      </c>
      <c r="E12" s="114">
        <f>IFERROR((Data_Entry!H10/Data_Entry!$V10/E$2),"")</f>
        <v>1.03193375865958</v>
      </c>
      <c r="F12" s="114">
        <f>IFERROR((Data_Entry!I10/Data_Entry!$V10/F$2),"")</f>
        <v>1.0558466478611399</v>
      </c>
      <c r="G12" s="114">
        <f>IFERROR((Data_Entry!J10/Data_Entry!$V10/G$2),"")</f>
        <v>1.06583689011906</v>
      </c>
      <c r="H12" s="114">
        <f>IFERROR((Data_Entry!K10/Data_Entry!$V10/H$2),"")</f>
        <v>1.04291901489257</v>
      </c>
      <c r="I12" s="114">
        <f>IFERROR((Data_Entry!L10/Data_Entry!$V10/I$2),"")</f>
        <v>1.06620536139195</v>
      </c>
    </row>
    <row r="13" spans="1:9" ht="15">
      <c r="A13" s="113">
        <v>45756</v>
      </c>
      <c r="B13" s="19">
        <v>45756</v>
      </c>
      <c r="C13" s="114">
        <f>IFERROR((Data_Entry!F11/Data_Entry!$V11/C$2),"")</f>
        <v>1.0390311253775899</v>
      </c>
      <c r="D13" s="114">
        <f>IFERROR((Data_Entry!G11/Data_Entry!$V11/D$2),"")</f>
        <v>1.06575157168789</v>
      </c>
      <c r="E13" s="114">
        <f>IFERROR((Data_Entry!H11/Data_Entry!$V11/E$2),"")</f>
        <v>1.03612910969225</v>
      </c>
      <c r="F13" s="114">
        <f>IFERROR((Data_Entry!I11/Data_Entry!$V11/F$2),"")</f>
        <v>1.0523056450342401</v>
      </c>
      <c r="G13" s="114">
        <f>IFERROR((Data_Entry!J11/Data_Entry!$V11/G$2),"")</f>
        <v>1.06228296065135</v>
      </c>
      <c r="H13" s="114">
        <f>IFERROR((Data_Entry!K11/Data_Entry!$V11/H$2),"")</f>
        <v>1.04955599112401</v>
      </c>
      <c r="I13" s="114">
        <f>IFERROR((Data_Entry!L11/Data_Entry!$V11/I$2),"")</f>
        <v>1.0628328914334</v>
      </c>
    </row>
    <row r="14" spans="1:9" ht="15">
      <c r="A14" s="113">
        <v>45757</v>
      </c>
      <c r="B14" s="19">
        <v>45757</v>
      </c>
      <c r="C14" s="114">
        <f>IFERROR((Data_Entry!F12/Data_Entry!$V12/C$2),"")</f>
        <v>1.03150630673566</v>
      </c>
      <c r="D14" s="114">
        <f>IFERROR((Data_Entry!G12/Data_Entry!$V12/D$2),"")</f>
        <v>1.0582392233768401</v>
      </c>
      <c r="E14" s="114">
        <f>IFERROR((Data_Entry!H12/Data_Entry!$V12/E$2),"")</f>
        <v>1.0260588242239601</v>
      </c>
      <c r="F14" s="114">
        <f>IFERROR((Data_Entry!I12/Data_Entry!$V12/F$2),"")</f>
        <v>1.0459259761214299</v>
      </c>
      <c r="G14" s="114">
        <f>IFERROR((Data_Entry!J12/Data_Entry!$V12/G$2),"")</f>
        <v>1.0562959107035701</v>
      </c>
      <c r="H14" s="114">
        <f>IFERROR((Data_Entry!K12/Data_Entry!$V12/H$2),"")</f>
        <v>1.03949353650191</v>
      </c>
      <c r="I14" s="114">
        <f>IFERROR((Data_Entry!L12/Data_Entry!$V12/I$2),"")</f>
        <v>1.05614190177413</v>
      </c>
    </row>
    <row r="15" spans="1:9" ht="15">
      <c r="A15" s="113">
        <v>45758</v>
      </c>
      <c r="B15" s="19">
        <v>45758</v>
      </c>
      <c r="C15" s="114">
        <f>IFERROR((Data_Entry!F13/Data_Entry!$V13/C$2),"")</f>
        <v>1.05491470065159</v>
      </c>
      <c r="D15" s="114">
        <f>IFERROR((Data_Entry!G13/Data_Entry!$V13/D$2),"")</f>
        <v>1.08016510044959</v>
      </c>
      <c r="E15" s="114">
        <f>IFERROR((Data_Entry!H13/Data_Entry!$V13/E$2),"")</f>
        <v>1.04978263887447</v>
      </c>
      <c r="F15" s="114">
        <f>IFERROR((Data_Entry!I13/Data_Entry!$V13/F$2),"")</f>
        <v>1.0703189653504901</v>
      </c>
      <c r="G15" s="114">
        <f>IFERROR((Data_Entry!J13/Data_Entry!$V13/G$2),"")</f>
        <v>1.0796506348410599</v>
      </c>
      <c r="H15" s="114">
        <f>IFERROR((Data_Entry!K13/Data_Entry!$V13/H$2),"")</f>
        <v>1.0586609132698399</v>
      </c>
      <c r="I15" s="114">
        <f>IFERROR((Data_Entry!L13/Data_Entry!$V13/I$2),"")</f>
        <v>1.07698444355804</v>
      </c>
    </row>
    <row r="16" spans="1:9" ht="15">
      <c r="A16" s="113">
        <v>45759</v>
      </c>
      <c r="B16" s="19">
        <v>45759</v>
      </c>
      <c r="C16" s="114">
        <f>IFERROR((Data_Entry!F14/Data_Entry!$V14/C$2),"")</f>
        <v>2.8075079988259701</v>
      </c>
      <c r="D16" s="114">
        <f>IFERROR((Data_Entry!G14/Data_Entry!$V14/D$2),"")</f>
        <v>2.8797226492460299</v>
      </c>
      <c r="E16" s="114">
        <f>IFERROR((Data_Entry!H14/Data_Entry!$V14/E$2),"")</f>
        <v>2.78556753159573</v>
      </c>
      <c r="F16" s="114">
        <f>IFERROR((Data_Entry!I14/Data_Entry!$V14/F$2),"")</f>
        <v>2.8440227988808999</v>
      </c>
      <c r="G16" s="114">
        <f>IFERROR((Data_Entry!J14/Data_Entry!$V14/G$2),"")</f>
        <v>2.8649954343865098</v>
      </c>
      <c r="H16" s="114">
        <f>IFERROR((Data_Entry!K14/Data_Entry!$V14/H$2),"")</f>
        <v>2.81775488562339</v>
      </c>
      <c r="I16" s="114">
        <f>IFERROR((Data_Entry!L14/Data_Entry!$V14/I$2),"")</f>
        <v>2.8703602039724299</v>
      </c>
    </row>
    <row r="17" spans="1:9" ht="15">
      <c r="A17" s="113">
        <v>45760</v>
      </c>
      <c r="B17" s="19">
        <v>45760</v>
      </c>
      <c r="C17" s="114">
        <f>IFERROR((Data_Entry!F15/Data_Entry!$V15/C$2),"")</f>
        <v>1.03905521005682</v>
      </c>
      <c r="D17" s="114">
        <f>IFERROR((Data_Entry!G15/Data_Entry!$V15/D$2),"")</f>
        <v>1.0634373350726301</v>
      </c>
      <c r="E17" s="114">
        <f>IFERROR((Data_Entry!H15/Data_Entry!$V15/E$2),"")</f>
        <v>1.03301597674056</v>
      </c>
      <c r="F17" s="114">
        <f>IFERROR((Data_Entry!I15/Data_Entry!$V15/F$2),"")</f>
        <v>1.05136153869803</v>
      </c>
      <c r="G17" s="114">
        <f>IFERROR((Data_Entry!J15/Data_Entry!$V15/G$2),"")</f>
        <v>1.0607755329750199</v>
      </c>
      <c r="H17" s="114">
        <f>IFERROR((Data_Entry!K15/Data_Entry!$V15/H$2),"")</f>
        <v>1.03799200236393</v>
      </c>
      <c r="I17" s="114">
        <f>IFERROR((Data_Entry!L15/Data_Entry!$V15/I$2),"")</f>
        <v>1.0583767512819799</v>
      </c>
    </row>
    <row r="18" spans="1:9" ht="15">
      <c r="A18" s="113">
        <v>45761</v>
      </c>
      <c r="B18" s="19">
        <v>45761</v>
      </c>
      <c r="C18" s="114">
        <f>IFERROR((Data_Entry!F16/Data_Entry!$V16/C$2),"")</f>
        <v>1.0928102611389401</v>
      </c>
      <c r="D18" s="114">
        <f>IFERROR((Data_Entry!G16/Data_Entry!$V16/D$2),"")</f>
        <v>1.1062479602567401</v>
      </c>
      <c r="E18" s="114">
        <f>IFERROR((Data_Entry!H16/Data_Entry!$V16/E$2),"")</f>
        <v>1.03650557659333</v>
      </c>
      <c r="F18" s="114">
        <f>IFERROR((Data_Entry!I16/Data_Entry!$V16/F$2),"")</f>
        <v>1.1124924744875799</v>
      </c>
      <c r="G18" s="114">
        <f>IFERROR((Data_Entry!J16/Data_Entry!$V16/G$2),"")</f>
        <v>1.13441370374133</v>
      </c>
      <c r="H18" s="114">
        <f>IFERROR((Data_Entry!K16/Data_Entry!$V16/H$2),"")</f>
        <v>1.1078793044072901</v>
      </c>
      <c r="I18" s="114">
        <f>IFERROR((Data_Entry!L16/Data_Entry!$V16/I$2),"")</f>
        <v>1.1542290282860199</v>
      </c>
    </row>
    <row r="19" spans="1:9" ht="15">
      <c r="A19" s="113">
        <v>45762</v>
      </c>
      <c r="B19" s="19">
        <v>45762</v>
      </c>
      <c r="C19" s="114">
        <f>IFERROR((Data_Entry!F17/Data_Entry!$V17/C$2),"")</f>
        <v>1.0263743430944501</v>
      </c>
      <c r="D19" s="114">
        <f>IFERROR((Data_Entry!G17/Data_Entry!$V17/D$2),"")</f>
        <v>1.0467251709593199</v>
      </c>
      <c r="E19" s="114">
        <f>IFERROR((Data_Entry!H17/Data_Entry!$V17/E$2),"")</f>
        <v>1.02069528198857</v>
      </c>
      <c r="F19" s="114">
        <f>IFERROR((Data_Entry!I17/Data_Entry!$V17/F$2),"")</f>
        <v>1.03728344619248</v>
      </c>
      <c r="G19" s="114">
        <f>IFERROR((Data_Entry!J17/Data_Entry!$V17/G$2),"")</f>
        <v>1.04524434894209</v>
      </c>
      <c r="H19" s="114">
        <f>IFERROR((Data_Entry!K17/Data_Entry!$V17/H$2),"")</f>
        <v>1.03524762400326</v>
      </c>
      <c r="I19" s="114">
        <f>IFERROR((Data_Entry!L17/Data_Entry!$V17/I$2),"")</f>
        <v>1.04504717488018</v>
      </c>
    </row>
    <row r="20" spans="1:9" ht="15">
      <c r="A20" s="113">
        <v>45763</v>
      </c>
      <c r="B20" s="19">
        <v>45763</v>
      </c>
      <c r="C20" s="114">
        <f>IFERROR((Data_Entry!F18/Data_Entry!$V18/C$2),"")</f>
        <v>1.0932557765803199</v>
      </c>
      <c r="D20" s="114">
        <f>IFERROR((Data_Entry!G18/Data_Entry!$V18/D$2),"")</f>
        <v>1.1164109502861199</v>
      </c>
      <c r="E20" s="114">
        <f>IFERROR((Data_Entry!H18/Data_Entry!$V18/E$2),"")</f>
        <v>1.0876300088398601</v>
      </c>
      <c r="F20" s="114">
        <f>IFERROR((Data_Entry!I18/Data_Entry!$V18/F$2),"")</f>
        <v>1.1044717515578699</v>
      </c>
      <c r="G20" s="114">
        <f>IFERROR((Data_Entry!J18/Data_Entry!$V18/G$2),"")</f>
        <v>1.11138058070321</v>
      </c>
      <c r="H20" s="114">
        <f>IFERROR((Data_Entry!K18/Data_Entry!$V18/H$2),"")</f>
        <v>1.0985144061509799</v>
      </c>
      <c r="I20" s="114">
        <f>IFERROR((Data_Entry!L18/Data_Entry!$V18/I$2),"")</f>
        <v>1.1089225810455301</v>
      </c>
    </row>
    <row r="21" spans="1:9" ht="15">
      <c r="A21" s="113">
        <v>45764</v>
      </c>
      <c r="B21" s="19">
        <v>45764</v>
      </c>
      <c r="C21" s="114" t="str">
        <f>IFERROR((Data_Entry!F19/Data_Entry!$V19/C$2),"")</f>
        <v/>
      </c>
      <c r="D21" s="114" t="str">
        <f>IFERROR((Data_Entry!G19/Data_Entry!$V19/D$2),"")</f>
        <v/>
      </c>
      <c r="E21" s="114" t="str">
        <f>IFERROR((Data_Entry!H19/Data_Entry!$V19/E$2),"")</f>
        <v/>
      </c>
      <c r="F21" s="114" t="str">
        <f>IFERROR((Data_Entry!I19/Data_Entry!$V19/F$2),"")</f>
        <v/>
      </c>
      <c r="G21" s="114" t="str">
        <f>IFERROR((Data_Entry!J19/Data_Entry!$V19/G$2),"")</f>
        <v/>
      </c>
      <c r="H21" s="114" t="str">
        <f>IFERROR((Data_Entry!K19/Data_Entry!$V19/H$2),"")</f>
        <v/>
      </c>
      <c r="I21" s="114" t="str">
        <f>IFERROR((Data_Entry!L19/Data_Entry!$V19/I$2),"")</f>
        <v/>
      </c>
    </row>
    <row r="22" spans="1:9" ht="15">
      <c r="A22" s="113">
        <v>45765</v>
      </c>
      <c r="B22" s="19">
        <v>45765</v>
      </c>
      <c r="C22" s="114">
        <f>IFERROR((Data_Entry!F20/Data_Entry!$V20/C$2),"")</f>
        <v>1.0483319225287699</v>
      </c>
      <c r="D22" s="114">
        <f>IFERROR((Data_Entry!G20/Data_Entry!$V20/D$2),"")</f>
        <v>1.0712064683071301</v>
      </c>
      <c r="E22" s="114">
        <f>IFERROR((Data_Entry!H20/Data_Entry!$V20/E$2),"")</f>
        <v>1.0431166506351099</v>
      </c>
      <c r="F22" s="114">
        <f>IFERROR((Data_Entry!I20/Data_Entry!$V20/F$2),"")</f>
        <v>1.05751183892666</v>
      </c>
      <c r="G22" s="114">
        <f>IFERROR((Data_Entry!J20/Data_Entry!$V20/G$2),"")</f>
        <v>1.06580122198412</v>
      </c>
      <c r="H22" s="114">
        <f>IFERROR((Data_Entry!K20/Data_Entry!$V20/H$2),"")</f>
        <v>1.04835380794403</v>
      </c>
      <c r="I22" s="114">
        <f>IFERROR((Data_Entry!L20/Data_Entry!$V20/I$2),"")</f>
        <v>1.0607878825302099</v>
      </c>
    </row>
    <row r="23" spans="1:9" ht="15">
      <c r="A23" s="113">
        <v>45766</v>
      </c>
      <c r="B23" s="19">
        <v>45766</v>
      </c>
      <c r="C23" s="114">
        <f>IFERROR((Data_Entry!F21/Data_Entry!$V21/C$2),"")</f>
        <v>1.0404107625669601</v>
      </c>
      <c r="D23" s="114">
        <f>IFERROR((Data_Entry!G21/Data_Entry!$V21/D$2),"")</f>
        <v>1.0610299684312099</v>
      </c>
      <c r="E23" s="114">
        <f>IFERROR((Data_Entry!H21/Data_Entry!$V21/E$2),"")</f>
        <v>1.0349730129166399</v>
      </c>
      <c r="F23" s="114">
        <f>IFERROR((Data_Entry!I21/Data_Entry!$V21/F$2),"")</f>
        <v>1.05185864479531</v>
      </c>
      <c r="G23" s="114">
        <f>IFERROR((Data_Entry!J21/Data_Entry!$V21/G$2),"")</f>
        <v>1.05802937563128</v>
      </c>
      <c r="H23" s="114">
        <f>IFERROR((Data_Entry!K21/Data_Entry!$V21/H$2),"")</f>
        <v>1.0443543668648101</v>
      </c>
      <c r="I23" s="114">
        <f>IFERROR((Data_Entry!L21/Data_Entry!$V21/I$2),"")</f>
        <v>1.0561102488162699</v>
      </c>
    </row>
    <row r="24" spans="1:9" ht="15">
      <c r="A24" s="113">
        <v>45767</v>
      </c>
      <c r="B24" s="19">
        <v>45767</v>
      </c>
      <c r="C24" s="114">
        <f>IFERROR((Data_Entry!F22/Data_Entry!$V22/C$2),"")</f>
        <v>1.0434871810067901</v>
      </c>
      <c r="D24" s="114">
        <f>IFERROR((Data_Entry!G22/Data_Entry!$V22/D$2),"")</f>
        <v>1.0655828619416601</v>
      </c>
      <c r="E24" s="114">
        <f>IFERROR((Data_Entry!H22/Data_Entry!$V22/E$2),"")</f>
        <v>1.0390629003073699</v>
      </c>
      <c r="F24" s="114">
        <f>IFERROR((Data_Entry!I22/Data_Entry!$V22/F$2),"")</f>
        <v>1.05580023602307</v>
      </c>
      <c r="G24" s="114">
        <f>IFERROR((Data_Entry!J22/Data_Entry!$V22/G$2),"")</f>
        <v>1.0617150832837099</v>
      </c>
      <c r="H24" s="114">
        <f>IFERROR((Data_Entry!K22/Data_Entry!$V22/H$2),"")</f>
        <v>1.04813357043899</v>
      </c>
      <c r="I24" s="114">
        <f>IFERROR((Data_Entry!L22/Data_Entry!$V22/I$2),"")</f>
        <v>1.0588068680332601</v>
      </c>
    </row>
    <row r="25" spans="1:9" ht="15">
      <c r="A25" s="113">
        <v>45768</v>
      </c>
      <c r="B25" s="19">
        <v>45768</v>
      </c>
      <c r="C25" s="114">
        <f>IFERROR((Data_Entry!F23/Data_Entry!$V23/C$2),"")</f>
        <v>1.0347919572020901</v>
      </c>
      <c r="D25" s="114">
        <f>IFERROR((Data_Entry!G23/Data_Entry!$V23/D$2),"")</f>
        <v>1.05598187440559</v>
      </c>
      <c r="E25" s="114">
        <f>IFERROR((Data_Entry!H23/Data_Entry!$V23/E$2),"")</f>
        <v>1.0315164772541801</v>
      </c>
      <c r="F25" s="114">
        <f>IFERROR((Data_Entry!I23/Data_Entry!$V23/F$2),"")</f>
        <v>1.0469414667907999</v>
      </c>
      <c r="G25" s="114">
        <f>IFERROR((Data_Entry!J23/Data_Entry!$V23/G$2),"")</f>
        <v>1.05202129512708</v>
      </c>
      <c r="H25" s="114">
        <f>IFERROR((Data_Entry!K23/Data_Entry!$V23/H$2),"")</f>
        <v>1.03836862276221</v>
      </c>
      <c r="I25" s="114">
        <f>IFERROR((Data_Entry!L23/Data_Entry!$V23/I$2),"")</f>
        <v>1.0507031759979</v>
      </c>
    </row>
    <row r="26" spans="1:9" ht="15">
      <c r="A26" s="113">
        <v>45769</v>
      </c>
      <c r="B26" s="19">
        <v>45769</v>
      </c>
      <c r="C26" s="114">
        <f>IFERROR((Data_Entry!F24/Data_Entry!$V24/C$2),"")</f>
        <v>1.0369340757435099</v>
      </c>
      <c r="D26" s="114">
        <f>IFERROR((Data_Entry!G24/Data_Entry!$V24/D$2),"")</f>
        <v>1.0637421300745</v>
      </c>
      <c r="E26" s="114">
        <f>IFERROR((Data_Entry!H24/Data_Entry!$V24/E$2),"")</f>
        <v>1.0331806340416301</v>
      </c>
      <c r="F26" s="114">
        <f>IFERROR((Data_Entry!I24/Data_Entry!$V24/F$2),"")</f>
        <v>1.063284415487</v>
      </c>
      <c r="G26" s="114">
        <f>IFERROR((Data_Entry!J24/Data_Entry!$V24/G$2),"")</f>
        <v>1.06548262905542</v>
      </c>
      <c r="H26" s="114">
        <f>IFERROR((Data_Entry!K24/Data_Entry!$V24/H$2),"")</f>
        <v>1.0367205818185601</v>
      </c>
      <c r="I26" s="114">
        <f>IFERROR((Data_Entry!L24/Data_Entry!$V24/I$2),"")</f>
        <v>1.0796984111072001</v>
      </c>
    </row>
    <row r="27" spans="1:9" ht="15">
      <c r="A27" s="113">
        <v>45770</v>
      </c>
      <c r="B27" s="19">
        <v>45770</v>
      </c>
      <c r="C27" s="114">
        <f>IFERROR((Data_Entry!F25/Data_Entry!$V25/C$2),"")</f>
        <v>1.0137594464353801</v>
      </c>
      <c r="D27" s="114">
        <f>IFERROR((Data_Entry!G25/Data_Entry!$V25/D$2),"")</f>
        <v>1.0533502279368301</v>
      </c>
      <c r="E27" s="114">
        <f>IFERROR((Data_Entry!H25/Data_Entry!$V25/E$2),"")</f>
        <v>0.99894337382663501</v>
      </c>
      <c r="F27" s="114">
        <f>IFERROR((Data_Entry!I25/Data_Entry!$V25/F$2),"")</f>
        <v>1.0439773481699199</v>
      </c>
      <c r="G27" s="114">
        <f>IFERROR((Data_Entry!J25/Data_Entry!$V25/G$2),"")</f>
        <v>1.0503467394233099</v>
      </c>
      <c r="H27" s="114">
        <f>IFERROR((Data_Entry!K25/Data_Entry!$V25/H$2),"")</f>
        <v>1.01890355706616</v>
      </c>
      <c r="I27" s="114">
        <f>IFERROR((Data_Entry!L25/Data_Entry!$V25/I$2),"")</f>
        <v>1.05411719156706</v>
      </c>
    </row>
    <row r="28" spans="1:9" ht="15">
      <c r="A28" s="113">
        <v>45771</v>
      </c>
      <c r="B28" s="19">
        <v>45771</v>
      </c>
      <c r="C28" s="114">
        <f>IFERROR((Data_Entry!F26/Data_Entry!$V26/C$2),"")</f>
        <v>1.01849653817073</v>
      </c>
      <c r="D28" s="114">
        <f>IFERROR((Data_Entry!G26/Data_Entry!$V26/D$2),"")</f>
        <v>1.03061509251554</v>
      </c>
      <c r="E28" s="114">
        <f>IFERROR((Data_Entry!H26/Data_Entry!$V26/E$2),"")</f>
        <v>1.0006131761983399</v>
      </c>
      <c r="F28" s="114">
        <f>IFERROR((Data_Entry!I26/Data_Entry!$V26/F$2),"")</f>
        <v>1.02114405574224</v>
      </c>
      <c r="G28" s="114">
        <f>IFERROR((Data_Entry!J26/Data_Entry!$V26/G$2),"")</f>
        <v>1.0278878022579701</v>
      </c>
      <c r="H28" s="114">
        <f>IFERROR((Data_Entry!K26/Data_Entry!$V26/H$2),"")</f>
        <v>1.0291228016198899</v>
      </c>
      <c r="I28" s="114">
        <f>IFERROR((Data_Entry!L26/Data_Entry!$V26/I$2),"")</f>
        <v>1.03056363420879</v>
      </c>
    </row>
    <row r="29" spans="1:9" ht="15">
      <c r="A29" s="113">
        <v>45772</v>
      </c>
      <c r="B29" s="19">
        <v>45772</v>
      </c>
      <c r="C29" s="114">
        <f>IFERROR((Data_Entry!F27/Data_Entry!$V27/C$2),"")</f>
        <v>1.0992257999568</v>
      </c>
      <c r="D29" s="114">
        <f>IFERROR((Data_Entry!G27/Data_Entry!$V27/D$2),"")</f>
        <v>1.10909099404414</v>
      </c>
      <c r="E29" s="114">
        <f>IFERROR((Data_Entry!H27/Data_Entry!$V27/E$2),"")</f>
        <v>1.09497813834761</v>
      </c>
      <c r="F29" s="114">
        <f>IFERROR((Data_Entry!I27/Data_Entry!$V27/F$2),"")</f>
        <v>1.0974872597623</v>
      </c>
      <c r="G29" s="114">
        <f>IFERROR((Data_Entry!J27/Data_Entry!$V27/G$2),"")</f>
        <v>1.1039626352045699</v>
      </c>
      <c r="H29" s="114">
        <f>IFERROR((Data_Entry!K27/Data_Entry!$V27/H$2),"")</f>
        <v>1.10139279993101</v>
      </c>
      <c r="I29" s="114">
        <f>IFERROR((Data_Entry!L27/Data_Entry!$V27/I$2),"")</f>
        <v>1.1022104747907799</v>
      </c>
    </row>
    <row r="30" spans="1:9" ht="15">
      <c r="A30" s="113">
        <v>45773</v>
      </c>
      <c r="B30" s="19">
        <v>45773</v>
      </c>
      <c r="C30" s="114">
        <f>IFERROR((Data_Entry!F28/Data_Entry!$V28/C$2),"")</f>
        <v>1.10166839233902</v>
      </c>
      <c r="D30" s="114">
        <f>IFERROR((Data_Entry!G28/Data_Entry!$V28/D$2),"")</f>
        <v>1.1060105419841799</v>
      </c>
      <c r="E30" s="114">
        <f>IFERROR((Data_Entry!H28/Data_Entry!$V28/E$2),"")</f>
        <v>1.09414829259124</v>
      </c>
      <c r="F30" s="114">
        <f>IFERROR((Data_Entry!I28/Data_Entry!$V28/F$2),"")</f>
        <v>1.08396188860326</v>
      </c>
      <c r="G30" s="114">
        <f>IFERROR((Data_Entry!J28/Data_Entry!$V28/G$2),"")</f>
        <v>1.10090137955776</v>
      </c>
      <c r="H30" s="114">
        <f>IFERROR((Data_Entry!K28/Data_Entry!$V28/H$2),"")</f>
        <v>1.1048992398748301</v>
      </c>
      <c r="I30" s="114">
        <f>IFERROR((Data_Entry!L28/Data_Entry!$V28/I$2),"")</f>
        <v>1.10105186363494</v>
      </c>
    </row>
    <row r="31" spans="1:9" ht="15">
      <c r="A31" s="113">
        <v>45774</v>
      </c>
      <c r="B31" s="19">
        <v>45774</v>
      </c>
      <c r="C31" s="114">
        <f>IFERROR((Data_Entry!F29/Data_Entry!$V29/C$2),"")</f>
        <v>1.0728951934650499</v>
      </c>
      <c r="D31" s="114">
        <f>IFERROR((Data_Entry!G29/Data_Entry!$V29/D$2),"")</f>
        <v>1.0739328246841</v>
      </c>
      <c r="E31" s="114">
        <f>IFERROR((Data_Entry!H29/Data_Entry!$V29/E$2),"")</f>
        <v>1.0710883729343701</v>
      </c>
      <c r="F31" s="114">
        <f>IFERROR((Data_Entry!I29/Data_Entry!$V29/F$2),"")</f>
        <v>1.06840238271192</v>
      </c>
      <c r="G31" s="114">
        <f>IFERROR((Data_Entry!J29/Data_Entry!$V29/G$2),"")</f>
        <v>1.0812853497703301</v>
      </c>
      <c r="H31" s="114">
        <f>IFERROR((Data_Entry!K29/Data_Entry!$V29/H$2),"")</f>
        <v>1.08554181493107</v>
      </c>
      <c r="I31" s="114">
        <f>IFERROR((Data_Entry!L29/Data_Entry!$V29/I$2),"")</f>
        <v>1.0924104263447301</v>
      </c>
    </row>
    <row r="32" spans="1:9" ht="15">
      <c r="A32" s="113">
        <v>45775</v>
      </c>
      <c r="B32" s="19">
        <v>45775</v>
      </c>
      <c r="C32" s="114">
        <f>IFERROR((Data_Entry!F30/Data_Entry!$V30/C$2),"")</f>
        <v>1.06111323066219</v>
      </c>
      <c r="D32" s="114">
        <f>IFERROR((Data_Entry!G30/Data_Entry!$V30/D$2),"")</f>
        <v>1.06826931020583</v>
      </c>
      <c r="E32" s="114">
        <f>IFERROR((Data_Entry!H30/Data_Entry!$V30/E$2),"")</f>
        <v>1.0555606526261501</v>
      </c>
      <c r="F32" s="114">
        <f>IFERROR((Data_Entry!I30/Data_Entry!$V30/F$2),"")</f>
        <v>1.0576607499995501</v>
      </c>
      <c r="G32" s="114">
        <f>IFERROR((Data_Entry!J30/Data_Entry!$V30/G$2),"")</f>
        <v>1.06437167568439</v>
      </c>
      <c r="H32" s="114">
        <f>IFERROR((Data_Entry!K30/Data_Entry!$V30/H$2),"")</f>
        <v>1.06304140343325</v>
      </c>
      <c r="I32" s="114">
        <f>IFERROR((Data_Entry!L30/Data_Entry!$V30/I$2),"")</f>
        <v>1.06181536893314</v>
      </c>
    </row>
    <row r="33" spans="1:9" ht="15">
      <c r="A33" s="113">
        <v>45776</v>
      </c>
      <c r="B33" s="19">
        <v>45776</v>
      </c>
      <c r="C33" s="114">
        <f>IFERROR((Data_Entry!F31/Data_Entry!$V31/C$2),"")</f>
        <v>1.1158537305326299</v>
      </c>
      <c r="D33" s="114">
        <f>IFERROR((Data_Entry!G31/Data_Entry!$V31/D$2),"")</f>
        <v>1.1178341453570799</v>
      </c>
      <c r="E33" s="114">
        <f>IFERROR((Data_Entry!H31/Data_Entry!$V31/E$2),"")</f>
        <v>1.10791060332345</v>
      </c>
      <c r="F33" s="114">
        <f>IFERROR((Data_Entry!I31/Data_Entry!$V31/F$2),"")</f>
        <v>1.1027552710839501</v>
      </c>
      <c r="G33" s="114">
        <f>IFERROR((Data_Entry!J31/Data_Entry!$V31/G$2),"")</f>
        <v>1.1121138803627799</v>
      </c>
      <c r="H33" s="114">
        <f>IFERROR((Data_Entry!K31/Data_Entry!$V31/H$2),"")</f>
        <v>1.10485492615529</v>
      </c>
      <c r="I33" s="114">
        <f>IFERROR((Data_Entry!L31/Data_Entry!$V31/I$2),"")</f>
        <v>1.10606646306686</v>
      </c>
    </row>
    <row r="34" spans="1:9" ht="15">
      <c r="A34" s="113">
        <v>45777</v>
      </c>
      <c r="B34" s="19">
        <v>45777</v>
      </c>
      <c r="C34" s="114">
        <f>IFERROR((Data_Entry!F32/Data_Entry!$V32/C$2),"")</f>
        <v>1.0729806166793101</v>
      </c>
      <c r="D34" s="114">
        <f>IFERROR((Data_Entry!G32/Data_Entry!$V32/D$2),"")</f>
        <v>1.0769051486096399</v>
      </c>
      <c r="E34" s="114">
        <f>IFERROR((Data_Entry!H32/Data_Entry!$V32/E$2),"")</f>
        <v>1.0639505352204499</v>
      </c>
      <c r="F34" s="114">
        <f>IFERROR((Data_Entry!I32/Data_Entry!$V32/F$2),"")</f>
        <v>1.06880184106057</v>
      </c>
      <c r="G34" s="114">
        <f>IFERROR((Data_Entry!J32/Data_Entry!$V32/G$2),"")</f>
        <v>1.0750899986303999</v>
      </c>
      <c r="H34" s="114">
        <f>IFERROR((Data_Entry!K32/Data_Entry!$V32/H$2),"")</f>
        <v>1.0702764090121599</v>
      </c>
      <c r="I34" s="114">
        <f>IFERROR((Data_Entry!L32/Data_Entry!$V32/I$2),"")</f>
        <v>1.06993650860298</v>
      </c>
    </row>
    <row r="35" spans="1:9" ht="15">
      <c r="A35" s="113">
        <v>45778</v>
      </c>
      <c r="B35" s="19">
        <v>45778</v>
      </c>
      <c r="C35" s="114">
        <f>IFERROR((Data_Entry!F33/Data_Entry!$V33/C$2),"")</f>
        <v>1.07806749506864</v>
      </c>
      <c r="D35" s="114">
        <f>IFERROR((Data_Entry!G33/Data_Entry!$V33/D$2),"")</f>
        <v>1.08376110382991</v>
      </c>
      <c r="E35" s="114">
        <f>IFERROR((Data_Entry!H33/Data_Entry!$V33/E$2),"")</f>
        <v>1.06933315792261</v>
      </c>
      <c r="F35" s="114">
        <f>IFERROR((Data_Entry!I33/Data_Entry!$V33/F$2),"")</f>
        <v>1.0737642933120599</v>
      </c>
      <c r="G35" s="114">
        <f>IFERROR((Data_Entry!J33/Data_Entry!$V33/G$2),"")</f>
        <v>1.0804073989654399</v>
      </c>
      <c r="H35" s="114">
        <f>IFERROR((Data_Entry!K33/Data_Entry!$V33/H$2),"")</f>
        <v>1.0713751495811701</v>
      </c>
      <c r="I35" s="114">
        <f>IFERROR((Data_Entry!L33/Data_Entry!$V33/I$2),"")</f>
        <v>1.07504048188881</v>
      </c>
    </row>
    <row r="36" spans="1:9" ht="15">
      <c r="A36" s="113">
        <v>45779</v>
      </c>
      <c r="B36" s="19">
        <v>45779</v>
      </c>
      <c r="C36" s="114">
        <f>IFERROR((Data_Entry!F34/Data_Entry!$V34/C$2),"")</f>
        <v>1.0861722453023199</v>
      </c>
      <c r="D36" s="114">
        <f>IFERROR((Data_Entry!G34/Data_Entry!$V34/D$2),"")</f>
        <v>1.0884553903694201</v>
      </c>
      <c r="E36" s="114">
        <f>IFERROR((Data_Entry!H34/Data_Entry!$V34/E$2),"")</f>
        <v>1.02574198182637</v>
      </c>
      <c r="F36" s="114">
        <f>IFERROR((Data_Entry!I34/Data_Entry!$V34/F$2),"")</f>
        <v>1.0723611788852501</v>
      </c>
      <c r="G36" s="114">
        <f>IFERROR((Data_Entry!J34/Data_Entry!$V34/G$2),"")</f>
        <v>1.07611185658643</v>
      </c>
      <c r="H36" s="114">
        <f>IFERROR((Data_Entry!K34/Data_Entry!$V34/H$2),"")</f>
        <v>1.0645078961407499</v>
      </c>
      <c r="I36" s="114">
        <f>IFERROR((Data_Entry!L34/Data_Entry!$V34/I$2),"")</f>
        <v>1.06564081292709</v>
      </c>
    </row>
    <row r="37" spans="1:9" ht="15">
      <c r="A37" s="113">
        <v>45780</v>
      </c>
      <c r="B37" s="19">
        <v>45780</v>
      </c>
      <c r="C37" s="114">
        <f>IFERROR((Data_Entry!F35/Data_Entry!$V35/C$2),"")</f>
        <v>1.08071661449476</v>
      </c>
      <c r="D37" s="114">
        <f>IFERROR((Data_Entry!G35/Data_Entry!$V35/D$2),"")</f>
        <v>1.08336492531655</v>
      </c>
      <c r="E37" s="114">
        <f>IFERROR((Data_Entry!H35/Data_Entry!$V35/E$2),"")</f>
        <v>1.0724683989904999</v>
      </c>
      <c r="F37" s="114">
        <f>IFERROR((Data_Entry!I35/Data_Entry!$V35/F$2),"")</f>
        <v>1.07207351882262</v>
      </c>
      <c r="G37" s="114">
        <f>IFERROR((Data_Entry!J35/Data_Entry!$V35/G$2),"")</f>
        <v>1.0739591481514099</v>
      </c>
      <c r="H37" s="114">
        <f>IFERROR((Data_Entry!K35/Data_Entry!$V35/H$2),"")</f>
        <v>1.0706074938224901</v>
      </c>
      <c r="I37" s="114">
        <f>IFERROR((Data_Entry!L35/Data_Entry!$V35/I$2),"")</f>
        <v>1.0689705189106899</v>
      </c>
    </row>
    <row r="38" spans="1:9" ht="15">
      <c r="A38" s="113">
        <v>45781</v>
      </c>
      <c r="B38" s="19">
        <v>45781</v>
      </c>
      <c r="C38" s="114">
        <f>IFERROR((Data_Entry!F36/Data_Entry!$V36/C$2),"")</f>
        <v>1.01026071929635</v>
      </c>
      <c r="D38" s="114">
        <f>IFERROR((Data_Entry!G36/Data_Entry!$V36/D$2),"")</f>
        <v>1.01061862183048</v>
      </c>
      <c r="E38" s="114">
        <f>IFERROR((Data_Entry!H36/Data_Entry!$V36/E$2),"")</f>
        <v>1.0006262139823101</v>
      </c>
      <c r="F38" s="114">
        <f>IFERROR((Data_Entry!I36/Data_Entry!$V36/F$2),"")</f>
        <v>1.0030165812579701</v>
      </c>
      <c r="G38" s="114">
        <f>IFERROR((Data_Entry!J36/Data_Entry!$V36/G$2),"")</f>
        <v>1.0060037874019201</v>
      </c>
      <c r="H38" s="114">
        <f>IFERROR((Data_Entry!K36/Data_Entry!$V36/H$2),"")</f>
        <v>1.00309388418961</v>
      </c>
      <c r="I38" s="114">
        <f>IFERROR((Data_Entry!L36/Data_Entry!$V36/I$2),"")</f>
        <v>1.0058767897285199</v>
      </c>
    </row>
    <row r="39" spans="1:9" ht="15">
      <c r="A39" s="113">
        <v>45782</v>
      </c>
      <c r="B39" s="19">
        <v>45782</v>
      </c>
      <c r="C39" s="114">
        <f>IFERROR((Data_Entry!F37/Data_Entry!$V37/C$2),"")</f>
        <v>1.1501760867366999</v>
      </c>
      <c r="D39" s="114">
        <f>IFERROR((Data_Entry!G37/Data_Entry!$V37/D$2),"")</f>
        <v>1.1571896990596999</v>
      </c>
      <c r="E39" s="114">
        <f>IFERROR((Data_Entry!H37/Data_Entry!$V37/E$2),"")</f>
        <v>1.1373952570517101</v>
      </c>
      <c r="F39" s="114">
        <f>IFERROR((Data_Entry!I37/Data_Entry!$V37/F$2),"")</f>
        <v>1.1458022232110101</v>
      </c>
      <c r="G39" s="114">
        <f>IFERROR((Data_Entry!J37/Data_Entry!$V37/G$2),"")</f>
        <v>1.1450680411632299</v>
      </c>
      <c r="H39" s="114">
        <f>IFERROR((Data_Entry!K37/Data_Entry!$V37/H$2),"")</f>
        <v>1.13338848454991</v>
      </c>
      <c r="I39" s="114">
        <f>IFERROR((Data_Entry!L37/Data_Entry!$V37/I$2),"")</f>
        <v>1.14217172666281</v>
      </c>
    </row>
    <row r="40" spans="1:9" ht="15">
      <c r="A40" s="113">
        <v>45783</v>
      </c>
      <c r="B40" s="19">
        <v>45783</v>
      </c>
      <c r="C40" s="114">
        <f>IFERROR((Data_Entry!F38/Data_Entry!$V38/C$2),"")</f>
        <v>0.80000115837271801</v>
      </c>
      <c r="D40" s="114">
        <f>IFERROR((Data_Entry!G38/Data_Entry!$V38/D$2),"")</f>
        <v>0.80622741173199897</v>
      </c>
      <c r="E40" s="114">
        <f>IFERROR((Data_Entry!H38/Data_Entry!$V38/E$2),"")</f>
        <v>0.79288544024782504</v>
      </c>
      <c r="F40" s="114">
        <f>IFERROR((Data_Entry!I38/Data_Entry!$V38/F$2),"")</f>
        <v>0.80019991642448796</v>
      </c>
      <c r="G40" s="114">
        <f>IFERROR((Data_Entry!J38/Data_Entry!$V38/G$2),"")</f>
        <v>0.798498331655492</v>
      </c>
      <c r="H40" s="114">
        <f>IFERROR((Data_Entry!K38/Data_Entry!$V38/H$2),"")</f>
        <v>0.78965404803059402</v>
      </c>
      <c r="I40" s="114">
        <f>IFERROR((Data_Entry!L38/Data_Entry!$V38/I$2),"")</f>
        <v>0.79669781753946101</v>
      </c>
    </row>
    <row r="41" spans="1:9" ht="15">
      <c r="A41" s="113">
        <v>45784</v>
      </c>
      <c r="B41" s="19">
        <v>45784</v>
      </c>
      <c r="C41" s="114">
        <f>IFERROR((Data_Entry!F39/Data_Entry!$V39/C$2),"")</f>
        <v>0.855684112564846</v>
      </c>
      <c r="D41" s="114">
        <f>IFERROR((Data_Entry!G39/Data_Entry!$V39/D$2),"")</f>
        <v>0.88396808580294794</v>
      </c>
      <c r="E41" s="114">
        <f>IFERROR((Data_Entry!H39/Data_Entry!$V39/E$2),"")</f>
        <v>0.87520202199101305</v>
      </c>
      <c r="F41" s="114">
        <f>IFERROR((Data_Entry!I39/Data_Entry!$V39/F$2),"")</f>
        <v>0.90145704425720397</v>
      </c>
      <c r="G41" s="114">
        <f>IFERROR((Data_Entry!J39/Data_Entry!$V39/G$2),"")</f>
        <v>0.89117267019141799</v>
      </c>
      <c r="H41" s="114">
        <f>IFERROR((Data_Entry!K39/Data_Entry!$V39/H$2),"")</f>
        <v>0.91246012666036602</v>
      </c>
      <c r="I41" s="114">
        <f>IFERROR((Data_Entry!L39/Data_Entry!$V39/I$2),"")</f>
        <v>0.91524939949351602</v>
      </c>
    </row>
    <row r="42" spans="1:9" ht="15">
      <c r="A42" s="113">
        <v>45785</v>
      </c>
      <c r="B42" s="19">
        <v>45785</v>
      </c>
      <c r="C42" s="114">
        <f>IFERROR((Data_Entry!F40/Data_Entry!$V40/C$2),"")</f>
        <v>1.0424245774941201</v>
      </c>
      <c r="D42" s="114">
        <f>IFERROR((Data_Entry!G40/Data_Entry!$V40/D$2),"")</f>
        <v>1.0491284388887201</v>
      </c>
      <c r="E42" s="114">
        <f>IFERROR((Data_Entry!H40/Data_Entry!$V40/E$2),"")</f>
        <v>1.0334442118993801</v>
      </c>
      <c r="F42" s="114">
        <f>IFERROR((Data_Entry!I40/Data_Entry!$V40/F$2),"")</f>
        <v>1.0425187355588701</v>
      </c>
      <c r="G42" s="114">
        <f>IFERROR((Data_Entry!J40/Data_Entry!$V40/G$2),"")</f>
        <v>1.0429853482210101</v>
      </c>
      <c r="H42" s="114">
        <f>IFERROR((Data_Entry!K40/Data_Entry!$V40/H$2),"")</f>
        <v>1.0416774187892499</v>
      </c>
      <c r="I42" s="114">
        <f>IFERROR((Data_Entry!L40/Data_Entry!$V40/I$2),"")</f>
        <v>1.04599005096966</v>
      </c>
    </row>
    <row r="43" spans="1:9" ht="15">
      <c r="A43" s="113">
        <v>45786</v>
      </c>
      <c r="B43" s="19">
        <v>45786</v>
      </c>
      <c r="C43" s="114">
        <f>IFERROR((Data_Entry!F41/Data_Entry!$V41/C$2),"")</f>
        <v>1.0963437272996299</v>
      </c>
      <c r="D43" s="114">
        <f>IFERROR((Data_Entry!G41/Data_Entry!$V41/D$2),"")</f>
        <v>1.1011043625588</v>
      </c>
      <c r="E43" s="114">
        <f>IFERROR((Data_Entry!H41/Data_Entry!$V41/E$2),"")</f>
        <v>1.0878706700493701</v>
      </c>
      <c r="F43" s="114">
        <f>IFERROR((Data_Entry!I41/Data_Entry!$V41/F$2),"")</f>
        <v>1.0922830402480901</v>
      </c>
      <c r="G43" s="114">
        <f>IFERROR((Data_Entry!J41/Data_Entry!$V41/G$2),"")</f>
        <v>1.0937953537384799</v>
      </c>
      <c r="H43" s="114">
        <f>IFERROR((Data_Entry!K41/Data_Entry!$V41/H$2),"")</f>
        <v>1.09794794934468</v>
      </c>
      <c r="I43" s="114">
        <f>IFERROR((Data_Entry!L41/Data_Entry!$V41/I$2),"")</f>
        <v>1.09593431646522</v>
      </c>
    </row>
    <row r="44" spans="1:9" ht="15">
      <c r="A44" s="113">
        <v>45787</v>
      </c>
      <c r="B44" s="19">
        <v>45787</v>
      </c>
      <c r="C44" s="114">
        <f>IFERROR((Data_Entry!F42/Data_Entry!$V42/C$2),"")</f>
        <v>1.1193724665362701</v>
      </c>
      <c r="D44" s="114">
        <f>IFERROR((Data_Entry!G42/Data_Entry!$V42/D$2),"")</f>
        <v>1.12315064046416</v>
      </c>
      <c r="E44" s="114">
        <f>IFERROR((Data_Entry!H42/Data_Entry!$V42/E$2),"")</f>
        <v>1.1151980796122101</v>
      </c>
      <c r="F44" s="114">
        <f>IFERROR((Data_Entry!I42/Data_Entry!$V42/F$2),"")</f>
        <v>1.1178540602092899</v>
      </c>
      <c r="G44" s="114">
        <f>IFERROR((Data_Entry!J42/Data_Entry!$V42/G$2),"")</f>
        <v>1.1240464263685701</v>
      </c>
      <c r="H44" s="114">
        <f>IFERROR((Data_Entry!K42/Data_Entry!$V42/H$2),"")</f>
        <v>1.1287702204441701</v>
      </c>
      <c r="I44" s="114">
        <f>IFERROR((Data_Entry!L42/Data_Entry!$V42/I$2),"")</f>
        <v>1.1280257829824001</v>
      </c>
    </row>
    <row r="45" spans="1:9" ht="15">
      <c r="A45" s="113">
        <v>45788</v>
      </c>
      <c r="B45" s="19">
        <v>45788</v>
      </c>
      <c r="C45" s="114">
        <f>IFERROR((Data_Entry!F43/Data_Entry!$V43/C$2),"")</f>
        <v>1.13165280072939</v>
      </c>
      <c r="D45" s="114">
        <f>IFERROR((Data_Entry!G43/Data_Entry!$V43/D$2),"")</f>
        <v>1.13784487849606</v>
      </c>
      <c r="E45" s="114">
        <f>IFERROR((Data_Entry!H43/Data_Entry!$V43/E$2),"")</f>
        <v>1.11796547588829</v>
      </c>
      <c r="F45" s="114">
        <f>IFERROR((Data_Entry!I43/Data_Entry!$V43/F$2),"")</f>
        <v>1.1276345487293999</v>
      </c>
      <c r="G45" s="114">
        <f>IFERROR((Data_Entry!J43/Data_Entry!$V43/G$2),"")</f>
        <v>1.1283313554345999</v>
      </c>
      <c r="H45" s="114">
        <f>IFERROR((Data_Entry!K43/Data_Entry!$V43/H$2),"")</f>
        <v>1.1243750418084</v>
      </c>
      <c r="I45" s="114">
        <f>IFERROR((Data_Entry!L43/Data_Entry!$V43/I$2),"")</f>
        <v>1.12720098011283</v>
      </c>
    </row>
    <row r="46" spans="1:9" ht="15">
      <c r="A46" s="113">
        <v>45789</v>
      </c>
      <c r="B46" s="19">
        <v>45789</v>
      </c>
      <c r="C46" s="114">
        <f>IFERROR((Data_Entry!F44/Data_Entry!$V44/C$2),"")</f>
        <v>1.0457662506531999</v>
      </c>
      <c r="D46" s="114">
        <f>IFERROR((Data_Entry!G44/Data_Entry!$V44/D$2),"")</f>
        <v>1.0505098455687201</v>
      </c>
      <c r="E46" s="114">
        <f>IFERROR((Data_Entry!H44/Data_Entry!$V44/E$2),"")</f>
        <v>1.04106956396922</v>
      </c>
      <c r="F46" s="114">
        <f>IFERROR((Data_Entry!I44/Data_Entry!$V44/F$2),"")</f>
        <v>1.0453183280291001</v>
      </c>
      <c r="G46" s="114">
        <f>IFERROR((Data_Entry!J44/Data_Entry!$V44/G$2),"")</f>
        <v>1.0511120044976401</v>
      </c>
      <c r="H46" s="114">
        <f>IFERROR((Data_Entry!K44/Data_Entry!$V44/H$2),"")</f>
        <v>1.04901439075201</v>
      </c>
      <c r="I46" s="114">
        <f>IFERROR((Data_Entry!L44/Data_Entry!$V44/I$2),"")</f>
        <v>1.03400018755135</v>
      </c>
    </row>
    <row r="47" spans="1:9" ht="15">
      <c r="A47" s="113">
        <v>45790</v>
      </c>
      <c r="B47" s="19">
        <v>45790</v>
      </c>
      <c r="C47" s="114" t="str">
        <f>IFERROR((Data_Entry!F45/Data_Entry!$V45/C$2),"")</f>
        <v/>
      </c>
      <c r="D47" s="114" t="str">
        <f>IFERROR((Data_Entry!G45/Data_Entry!$V45/D$2),"")</f>
        <v/>
      </c>
      <c r="E47" s="114" t="str">
        <f>IFERROR((Data_Entry!H45/Data_Entry!$V45/E$2),"")</f>
        <v/>
      </c>
      <c r="F47" s="114" t="str">
        <f>IFERROR((Data_Entry!I45/Data_Entry!$V45/F$2),"")</f>
        <v/>
      </c>
      <c r="G47" s="114" t="str">
        <f>IFERROR((Data_Entry!J45/Data_Entry!$V45/G$2),"")</f>
        <v/>
      </c>
      <c r="H47" s="114" t="str">
        <f>IFERROR((Data_Entry!K45/Data_Entry!$V45/H$2),"")</f>
        <v/>
      </c>
      <c r="I47" s="114" t="str">
        <f>IFERROR((Data_Entry!L45/Data_Entry!$V45/I$2),"")</f>
        <v/>
      </c>
    </row>
    <row r="48" spans="1:9" ht="15">
      <c r="A48" s="113">
        <v>45791</v>
      </c>
      <c r="B48" s="19">
        <v>45791</v>
      </c>
      <c r="C48" s="114" t="str">
        <f>IFERROR((Data_Entry!F46/Data_Entry!$V46/C$2),"")</f>
        <v/>
      </c>
      <c r="D48" s="114" t="str">
        <f>IFERROR((Data_Entry!G46/Data_Entry!$V46/D$2),"")</f>
        <v/>
      </c>
      <c r="E48" s="114" t="str">
        <f>IFERROR((Data_Entry!H46/Data_Entry!$V46/E$2),"")</f>
        <v/>
      </c>
      <c r="F48" s="114" t="str">
        <f>IFERROR((Data_Entry!I46/Data_Entry!$V46/F$2),"")</f>
        <v/>
      </c>
      <c r="G48" s="114" t="str">
        <f>IFERROR((Data_Entry!J46/Data_Entry!$V46/G$2),"")</f>
        <v/>
      </c>
      <c r="H48" s="114" t="str">
        <f>IFERROR((Data_Entry!K46/Data_Entry!$V46/H$2),"")</f>
        <v/>
      </c>
      <c r="I48" s="114" t="str">
        <f>IFERROR((Data_Entry!L46/Data_Entry!$V46/I$2),"")</f>
        <v/>
      </c>
    </row>
    <row r="49" spans="1:9" ht="15">
      <c r="A49" s="113">
        <v>45792</v>
      </c>
      <c r="B49" s="19">
        <v>45792</v>
      </c>
      <c r="C49" s="114" t="str">
        <f>IFERROR((Data_Entry!F47/Data_Entry!$V47/C$2),"")</f>
        <v/>
      </c>
      <c r="D49" s="114" t="str">
        <f>IFERROR((Data_Entry!G47/Data_Entry!$V47/D$2),"")</f>
        <v/>
      </c>
      <c r="E49" s="114" t="str">
        <f>IFERROR((Data_Entry!H47/Data_Entry!$V47/E$2),"")</f>
        <v/>
      </c>
      <c r="F49" s="114" t="str">
        <f>IFERROR((Data_Entry!I47/Data_Entry!$V47/F$2),"")</f>
        <v/>
      </c>
      <c r="G49" s="114" t="str">
        <f>IFERROR((Data_Entry!J47/Data_Entry!$V47/G$2),"")</f>
        <v/>
      </c>
      <c r="H49" s="114" t="str">
        <f>IFERROR((Data_Entry!K47/Data_Entry!$V47/H$2),"")</f>
        <v/>
      </c>
      <c r="I49" s="114" t="str">
        <f>IFERROR((Data_Entry!L47/Data_Entry!$V47/I$2),"")</f>
        <v/>
      </c>
    </row>
    <row r="50" spans="1:9" ht="15">
      <c r="A50" s="113">
        <v>45793</v>
      </c>
      <c r="B50" s="19">
        <v>45793</v>
      </c>
      <c r="C50" s="114">
        <f>IFERROR((Data_Entry!F48/Data_Entry!$V48/C$2),"")</f>
        <v>1.1178596761208399</v>
      </c>
      <c r="D50" s="114">
        <f>IFERROR((Data_Entry!G48/Data_Entry!$V48/D$2),"")</f>
        <v>1.1189509281766801</v>
      </c>
      <c r="E50" s="114">
        <f>IFERROR((Data_Entry!H48/Data_Entry!$V48/E$2),"")</f>
        <v>1.10978663795263</v>
      </c>
      <c r="F50" s="114">
        <f>IFERROR((Data_Entry!I48/Data_Entry!$V48/F$2),"")</f>
        <v>1.11076968466931</v>
      </c>
      <c r="G50" s="114">
        <f>IFERROR((Data_Entry!J48/Data_Entry!$V48/G$2),"")</f>
        <v>1.11373068625472</v>
      </c>
      <c r="H50" s="114">
        <f>IFERROR((Data_Entry!K48/Data_Entry!$V48/H$2),"")</f>
        <v>1.1197165959345901</v>
      </c>
      <c r="I50" s="114">
        <f>IFERROR((Data_Entry!L48/Data_Entry!$V48/I$2),"")</f>
        <v>1.1159035075620001</v>
      </c>
    </row>
    <row r="51" spans="1:9" ht="15">
      <c r="A51" s="113">
        <v>45794</v>
      </c>
      <c r="B51" s="19">
        <v>45794</v>
      </c>
      <c r="C51" s="114">
        <f>IFERROR((Data_Entry!F49/Data_Entry!$V49/C$2),"")</f>
        <v>1.0983912876114701</v>
      </c>
      <c r="D51" s="114">
        <f>IFERROR((Data_Entry!G49/Data_Entry!$V49/D$2),"")</f>
        <v>1.1001212090661601</v>
      </c>
      <c r="E51" s="114">
        <f>IFERROR((Data_Entry!H49/Data_Entry!$V49/E$2),"")</f>
        <v>1.0995025616585199</v>
      </c>
      <c r="F51" s="114">
        <f>IFERROR((Data_Entry!I49/Data_Entry!$V49/F$2),"")</f>
        <v>1.0943369554259099</v>
      </c>
      <c r="G51" s="114">
        <f>IFERROR((Data_Entry!J49/Data_Entry!$V49/G$2),"")</f>
        <v>1.09918053625672</v>
      </c>
      <c r="H51" s="114">
        <f>IFERROR((Data_Entry!K49/Data_Entry!$V49/H$2),"")</f>
        <v>1.1067308240224101</v>
      </c>
      <c r="I51" s="114">
        <f>IFERROR((Data_Entry!L49/Data_Entry!$V49/I$2),"")</f>
        <v>1.10258857616257</v>
      </c>
    </row>
    <row r="52" spans="1:9" ht="15">
      <c r="A52" s="113">
        <v>45795</v>
      </c>
      <c r="B52" s="19">
        <v>45795</v>
      </c>
      <c r="C52" s="114">
        <f>IFERROR((Data_Entry!F50/Data_Entry!$V50/C$2),"")</f>
        <v>0.98327303937436294</v>
      </c>
      <c r="D52" s="114">
        <f>IFERROR((Data_Entry!G50/Data_Entry!$V50/D$2),"")</f>
        <v>0.96097780598876603</v>
      </c>
      <c r="E52" s="114">
        <f>IFERROR((Data_Entry!H50/Data_Entry!$V50/E$2),"")</f>
        <v>0.94889968357533505</v>
      </c>
      <c r="F52" s="114">
        <f>IFERROR((Data_Entry!I50/Data_Entry!$V50/F$2),"")</f>
        <v>0.95352229938221</v>
      </c>
      <c r="G52" s="114">
        <f>IFERROR((Data_Entry!J50/Data_Entry!$V50/G$2),"")</f>
        <v>0.95515615694513001</v>
      </c>
      <c r="H52" s="114">
        <f>IFERROR((Data_Entry!K50/Data_Entry!$V50/H$2),"")</f>
        <v>0.94043126779782704</v>
      </c>
      <c r="I52" s="114">
        <f>IFERROR((Data_Entry!L50/Data_Entry!$V50/I$2),"")</f>
        <v>0.93456652599018597</v>
      </c>
    </row>
    <row r="53" spans="1:9" ht="15">
      <c r="A53" s="113">
        <v>45796</v>
      </c>
      <c r="B53" s="19">
        <v>45796</v>
      </c>
      <c r="C53" s="114">
        <f>IFERROR((Data_Entry!F51/Data_Entry!$V51/C$2),"")</f>
        <v>1.04581582608852</v>
      </c>
      <c r="D53" s="114">
        <f>IFERROR((Data_Entry!G51/Data_Entry!$V51/D$2),"")</f>
        <v>1.05042920314855</v>
      </c>
      <c r="E53" s="114">
        <f>IFERROR((Data_Entry!H51/Data_Entry!$V51/E$2),"")</f>
        <v>1.0375600205292499</v>
      </c>
      <c r="F53" s="114">
        <f>IFERROR((Data_Entry!I51/Data_Entry!$V51/F$2),"")</f>
        <v>1.04278396706008</v>
      </c>
      <c r="G53" s="114">
        <f>IFERROR((Data_Entry!J51/Data_Entry!$V51/G$2),"")</f>
        <v>1.04701836174156</v>
      </c>
      <c r="H53" s="114">
        <f>IFERROR((Data_Entry!K51/Data_Entry!$V51/H$2),"")</f>
        <v>1.04985178569199</v>
      </c>
      <c r="I53" s="114">
        <f>IFERROR((Data_Entry!L51/Data_Entry!$V51/I$2),"")</f>
        <v>1.0480992605078301</v>
      </c>
    </row>
    <row r="54" spans="1:9" ht="15">
      <c r="A54" s="113">
        <v>45797</v>
      </c>
      <c r="B54" s="19">
        <v>45797</v>
      </c>
      <c r="C54" s="114">
        <f>IFERROR((Data_Entry!F52/Data_Entry!$V52/C$2),"")</f>
        <v>0.99323602365352803</v>
      </c>
      <c r="D54" s="114">
        <f>IFERROR((Data_Entry!G52/Data_Entry!$V52/D$2),"")</f>
        <v>0.99424484328570994</v>
      </c>
      <c r="E54" s="114">
        <f>IFERROR((Data_Entry!H52/Data_Entry!$V52/E$2),"")</f>
        <v>0.98768220609951496</v>
      </c>
      <c r="F54" s="114">
        <f>IFERROR((Data_Entry!I52/Data_Entry!$V52/F$2),"")</f>
        <v>0.98854859055708399</v>
      </c>
      <c r="G54" s="114">
        <f>IFERROR((Data_Entry!J52/Data_Entry!$V52/G$2),"")</f>
        <v>0.99410471662284206</v>
      </c>
      <c r="H54" s="114">
        <f>IFERROR((Data_Entry!K52/Data_Entry!$V52/H$2),"")</f>
        <v>1.0001839514498201</v>
      </c>
      <c r="I54" s="114">
        <f>IFERROR((Data_Entry!L52/Data_Entry!$V52/I$2),"")</f>
        <v>1.00058009206511</v>
      </c>
    </row>
    <row r="55" spans="1:9" ht="15">
      <c r="A55" s="113">
        <v>45798</v>
      </c>
      <c r="B55" s="19">
        <v>45798</v>
      </c>
      <c r="C55" s="114">
        <f>IFERROR((Data_Entry!F53/Data_Entry!$V53/C$2),"")</f>
        <v>0.95363569085098299</v>
      </c>
      <c r="D55" s="114">
        <f>IFERROR((Data_Entry!G53/Data_Entry!$V53/D$2),"")</f>
        <v>0.95578747649479601</v>
      </c>
      <c r="E55" s="114">
        <f>IFERROR((Data_Entry!H53/Data_Entry!$V53/E$2),"")</f>
        <v>0.94505673760731201</v>
      </c>
      <c r="F55" s="114">
        <f>IFERROR((Data_Entry!I53/Data_Entry!$V53/F$2),"")</f>
        <v>0.94939217509585105</v>
      </c>
      <c r="G55" s="114">
        <f>IFERROR((Data_Entry!J53/Data_Entry!$V53/G$2),"")</f>
        <v>0.95381422328431298</v>
      </c>
      <c r="H55" s="114">
        <f>IFERROR((Data_Entry!K53/Data_Entry!$V53/H$2),"")</f>
        <v>0.95494669903989404</v>
      </c>
      <c r="I55" s="114">
        <f>IFERROR((Data_Entry!L53/Data_Entry!$V53/I$2),"")</f>
        <v>0.955899416739034</v>
      </c>
    </row>
    <row r="56" spans="1:9" ht="15">
      <c r="A56" s="113">
        <v>45799</v>
      </c>
      <c r="B56" s="19">
        <v>45799</v>
      </c>
      <c r="C56" s="114">
        <f>IFERROR((Data_Entry!F54/Data_Entry!$V54/C$2),"")</f>
        <v>0.93549042827477202</v>
      </c>
      <c r="D56" s="114">
        <f>IFERROR((Data_Entry!G54/Data_Entry!$V54/D$2),"")</f>
        <v>0.94008782514607603</v>
      </c>
      <c r="E56" s="114">
        <f>IFERROR((Data_Entry!H54/Data_Entry!$V54/E$2),"")</f>
        <v>0.93569965112640097</v>
      </c>
      <c r="F56" s="114">
        <f>IFERROR((Data_Entry!I54/Data_Entry!$V54/F$2),"")</f>
        <v>0.93860770513278402</v>
      </c>
      <c r="G56" s="114">
        <f>IFERROR((Data_Entry!J54/Data_Entry!$V54/G$2),"")</f>
        <v>0.94283142137320497</v>
      </c>
      <c r="H56" s="114">
        <f>IFERROR((Data_Entry!K54/Data_Entry!$V54/H$2),"")</f>
        <v>0.94856135063701796</v>
      </c>
      <c r="I56" s="114">
        <f>IFERROR((Data_Entry!L54/Data_Entry!$V54/I$2),"")</f>
        <v>0.94577011671254996</v>
      </c>
    </row>
    <row r="57" spans="1:9" ht="15">
      <c r="A57" s="113">
        <v>45800</v>
      </c>
      <c r="B57" s="19">
        <v>45800</v>
      </c>
      <c r="C57" s="114">
        <f>IFERROR((Data_Entry!F55/Data_Entry!$V55/C$2),"")</f>
        <v>0.965917054527482</v>
      </c>
      <c r="D57" s="114">
        <f>IFERROR((Data_Entry!G55/Data_Entry!$V55/D$2),"")</f>
        <v>0.966151771701111</v>
      </c>
      <c r="E57" s="114">
        <f>IFERROR((Data_Entry!H55/Data_Entry!$V55/E$2),"")</f>
        <v>0.96432433084928004</v>
      </c>
      <c r="F57" s="114">
        <f>IFERROR((Data_Entry!I55/Data_Entry!$V55/F$2),"")</f>
        <v>0.96262761239849803</v>
      </c>
      <c r="G57" s="114">
        <f>IFERROR((Data_Entry!J55/Data_Entry!$V55/G$2),"")</f>
        <v>0.97062986436156196</v>
      </c>
      <c r="H57" s="114">
        <f>IFERROR((Data_Entry!K55/Data_Entry!$V55/H$2),"")</f>
        <v>0.97924685177936999</v>
      </c>
      <c r="I57" s="114">
        <f>IFERROR((Data_Entry!L55/Data_Entry!$V55/I$2),"")</f>
        <v>0.97653132472710802</v>
      </c>
    </row>
    <row r="58" spans="1:9" ht="15">
      <c r="A58" s="113">
        <v>45801</v>
      </c>
      <c r="B58" s="19">
        <v>45801</v>
      </c>
      <c r="C58" s="114">
        <f>IFERROR((Data_Entry!F56/Data_Entry!$V56/C$2),"")</f>
        <v>0.98285108411011202</v>
      </c>
      <c r="D58" s="114">
        <f>IFERROR((Data_Entry!G56/Data_Entry!$V56/D$2),"")</f>
        <v>0.98460976852544302</v>
      </c>
      <c r="E58" s="114">
        <f>IFERROR((Data_Entry!H56/Data_Entry!$V56/E$2),"")</f>
        <v>0.82856217567324297</v>
      </c>
      <c r="F58" s="114">
        <f>IFERROR((Data_Entry!I56/Data_Entry!$V56/F$2),"")</f>
        <v>0.97891557135461404</v>
      </c>
      <c r="G58" s="114">
        <f>IFERROR((Data_Entry!J56/Data_Entry!$V56/G$2),"")</f>
        <v>0.98640220755744101</v>
      </c>
      <c r="H58" s="114">
        <f>IFERROR((Data_Entry!K56/Data_Entry!$V56/H$2),"")</f>
        <v>0.989301889865418</v>
      </c>
      <c r="I58" s="114">
        <f>IFERROR((Data_Entry!L56/Data_Entry!$V56/I$2),"")</f>
        <v>0.99159031510150497</v>
      </c>
    </row>
    <row r="59" spans="1:9" ht="15">
      <c r="A59" s="113">
        <v>45802</v>
      </c>
      <c r="B59" s="19">
        <v>45802</v>
      </c>
      <c r="C59" s="114">
        <f>IFERROR((Data_Entry!F57/Data_Entry!$V57/C$2),"")</f>
        <v>1.0209732539615299</v>
      </c>
      <c r="D59" s="114">
        <f>IFERROR((Data_Entry!G57/Data_Entry!$V57/D$2),"")</f>
        <v>1.0222156949822201</v>
      </c>
      <c r="E59" s="114">
        <f>IFERROR((Data_Entry!H57/Data_Entry!$V57/E$2),"")</f>
        <v>0.99854560066501397</v>
      </c>
      <c r="F59" s="114">
        <f>IFERROR((Data_Entry!I57/Data_Entry!$V57/F$2),"")</f>
        <v>1.01302804909178</v>
      </c>
      <c r="G59" s="114">
        <f>IFERROR((Data_Entry!J57/Data_Entry!$V57/G$2),"")</f>
        <v>1.01907173283789</v>
      </c>
      <c r="H59" s="114">
        <f>IFERROR((Data_Entry!K57/Data_Entry!$V57/H$2),"")</f>
        <v>1.02197168529086</v>
      </c>
      <c r="I59" s="114">
        <f>IFERROR((Data_Entry!L57/Data_Entry!$V57/I$2),"")</f>
        <v>1.01986401406848</v>
      </c>
    </row>
    <row r="60" spans="1:9" ht="15">
      <c r="A60" s="113">
        <v>45803</v>
      </c>
      <c r="B60" s="19">
        <v>45803</v>
      </c>
      <c r="C60" s="114">
        <f>IFERROR((Data_Entry!F58/Data_Entry!$V58/C$2),"")</f>
        <v>0.99445705469393397</v>
      </c>
      <c r="D60" s="114">
        <f>IFERROR((Data_Entry!G58/Data_Entry!$V58/D$2),"")</f>
        <v>0.99917615278761096</v>
      </c>
      <c r="E60" s="114">
        <f>IFERROR((Data_Entry!H58/Data_Entry!$V58/E$2),"")</f>
        <v>0.98922889937149305</v>
      </c>
      <c r="F60" s="114">
        <f>IFERROR((Data_Entry!I58/Data_Entry!$V58/F$2),"")</f>
        <v>0.99279259906639505</v>
      </c>
      <c r="G60" s="114">
        <f>IFERROR((Data_Entry!J58/Data_Entry!$V58/G$2),"")</f>
        <v>1.00046494691143</v>
      </c>
      <c r="H60" s="114">
        <f>IFERROR((Data_Entry!K58/Data_Entry!$V58/H$2),"")</f>
        <v>1.0017612183741</v>
      </c>
      <c r="I60" s="114">
        <f>IFERROR((Data_Entry!L58/Data_Entry!$V58/I$2),"")</f>
        <v>1.0037352358299401</v>
      </c>
    </row>
    <row r="61" spans="1:9" ht="15">
      <c r="A61" s="113">
        <v>45804</v>
      </c>
      <c r="B61" s="19">
        <v>45804</v>
      </c>
      <c r="C61" s="114">
        <f>IFERROR((Data_Entry!F59/Data_Entry!$V59/C$2),"")</f>
        <v>0.96010241092383197</v>
      </c>
      <c r="D61" s="114">
        <f>IFERROR((Data_Entry!G59/Data_Entry!$V59/D$2),"")</f>
        <v>0.96483596056883902</v>
      </c>
      <c r="E61" s="114">
        <f>IFERROR((Data_Entry!H59/Data_Entry!$V59/E$2),"")</f>
        <v>0.95233246236019897</v>
      </c>
      <c r="F61" s="114">
        <f>IFERROR((Data_Entry!I59/Data_Entry!$V59/F$2),"")</f>
        <v>0.96168159938440401</v>
      </c>
      <c r="G61" s="114">
        <f>IFERROR((Data_Entry!J59/Data_Entry!$V59/G$2),"")</f>
        <v>0.96667316011292403</v>
      </c>
      <c r="H61" s="114">
        <f>IFERROR((Data_Entry!K59/Data_Entry!$V59/H$2),"")</f>
        <v>0.96972110427458702</v>
      </c>
      <c r="I61" s="114">
        <f>IFERROR((Data_Entry!L59/Data_Entry!$V59/I$2),"")</f>
        <v>0.97048309031500302</v>
      </c>
    </row>
    <row r="62" spans="1:9" ht="15">
      <c r="A62" s="113">
        <v>45805</v>
      </c>
      <c r="B62" s="19">
        <v>45805</v>
      </c>
      <c r="C62" s="114">
        <f>IFERROR((Data_Entry!F60/Data_Entry!$V60/C$2),"")</f>
        <v>0.92024902990484503</v>
      </c>
      <c r="D62" s="114">
        <f>IFERROR((Data_Entry!G60/Data_Entry!$V60/D$2),"")</f>
        <v>0.926167774801535</v>
      </c>
      <c r="E62" s="114">
        <f>IFERROR((Data_Entry!H60/Data_Entry!$V60/E$2),"")</f>
        <v>0.91400861408985501</v>
      </c>
      <c r="F62" s="114">
        <f>IFERROR((Data_Entry!I60/Data_Entry!$V60/F$2),"")</f>
        <v>0.921861859917809</v>
      </c>
      <c r="G62" s="114">
        <f>IFERROR((Data_Entry!J60/Data_Entry!$V60/G$2),"")</f>
        <v>0.92685251428674797</v>
      </c>
      <c r="H62" s="114">
        <f>IFERROR((Data_Entry!K60/Data_Entry!$V60/H$2),"")</f>
        <v>0.92810171630511396</v>
      </c>
      <c r="I62" s="114">
        <f>IFERROR((Data_Entry!L60/Data_Entry!$V60/I$2),"")</f>
        <v>0.93050166106946197</v>
      </c>
    </row>
    <row r="63" spans="1:9" ht="15">
      <c r="A63" s="113">
        <v>45806</v>
      </c>
      <c r="B63" s="19">
        <v>45806</v>
      </c>
      <c r="C63" s="114">
        <f>IFERROR((Data_Entry!F61/Data_Entry!$V61/C$2),"")</f>
        <v>0.97524319194801001</v>
      </c>
      <c r="D63" s="114">
        <f>IFERROR((Data_Entry!G61/Data_Entry!$V61/D$2),"")</f>
        <v>0.98359400913428396</v>
      </c>
      <c r="E63" s="114">
        <f>IFERROR((Data_Entry!H61/Data_Entry!$V61/E$2),"")</f>
        <v>0.96806862861908705</v>
      </c>
      <c r="F63" s="114">
        <f>IFERROR((Data_Entry!I61/Data_Entry!$V61/F$2),"")</f>
        <v>0.97310466422336295</v>
      </c>
      <c r="G63" s="114">
        <f>IFERROR((Data_Entry!J61/Data_Entry!$V61/G$2),"")</f>
        <v>0.97625609841699501</v>
      </c>
      <c r="H63" s="114">
        <f>IFERROR((Data_Entry!K61/Data_Entry!$V61/H$2),"")</f>
        <v>0.98075095038411098</v>
      </c>
      <c r="I63" s="114">
        <f>IFERROR((Data_Entry!L61/Data_Entry!$V61/I$2),"")</f>
        <v>0.98443415411308099</v>
      </c>
    </row>
    <row r="64" spans="1:9" ht="15">
      <c r="A64" s="113">
        <v>45807</v>
      </c>
      <c r="B64" s="19">
        <v>45807</v>
      </c>
      <c r="C64" s="114">
        <f>IFERROR((Data_Entry!F62/Data_Entry!$V62/C$2),"")</f>
        <v>1.0693623927520399</v>
      </c>
      <c r="D64" s="114">
        <f>IFERROR((Data_Entry!G62/Data_Entry!$V62/D$2),"")</f>
        <v>1.0789470436075199</v>
      </c>
      <c r="E64" s="114">
        <f>IFERROR((Data_Entry!H62/Data_Entry!$V62/E$2),"")</f>
        <v>1.0650297779106701</v>
      </c>
      <c r="F64" s="114">
        <f>IFERROR((Data_Entry!I62/Data_Entry!$V62/F$2),"")</f>
        <v>1.0710632397815301</v>
      </c>
      <c r="G64" s="114">
        <f>IFERROR((Data_Entry!J62/Data_Entry!$V62/G$2),"")</f>
        <v>1.07608090279865</v>
      </c>
      <c r="H64" s="114">
        <f>IFERROR((Data_Entry!K62/Data_Entry!$V62/H$2),"")</f>
        <v>1.07923727185144</v>
      </c>
      <c r="I64" s="114">
        <f>IFERROR((Data_Entry!L62/Data_Entry!$V62/I$2),"")</f>
        <v>1.07888790275781</v>
      </c>
    </row>
    <row r="65" spans="1:9" ht="15">
      <c r="A65" s="113">
        <v>45808</v>
      </c>
      <c r="B65" s="19">
        <v>45808</v>
      </c>
      <c r="C65" s="114">
        <f>IFERROR((Data_Entry!F63/Data_Entry!$V63/C$2),"")</f>
        <v>1.0843291782900499</v>
      </c>
      <c r="D65" s="114">
        <f>IFERROR((Data_Entry!G63/Data_Entry!$V63/D$2),"")</f>
        <v>1.08752325087908</v>
      </c>
      <c r="E65" s="114">
        <f>IFERROR((Data_Entry!H63/Data_Entry!$V63/E$2),"")</f>
        <v>1.0690727121085799</v>
      </c>
      <c r="F65" s="114">
        <f>IFERROR((Data_Entry!I63/Data_Entry!$V63/F$2),"")</f>
        <v>1.07928025848757</v>
      </c>
      <c r="G65" s="114">
        <f>IFERROR((Data_Entry!J63/Data_Entry!$V63/G$2),"")</f>
        <v>1.08174090115563</v>
      </c>
      <c r="H65" s="114">
        <f>IFERROR((Data_Entry!K63/Data_Entry!$V63/H$2),"")</f>
        <v>1.0834421588854599</v>
      </c>
      <c r="I65" s="114">
        <f>IFERROR((Data_Entry!L63/Data_Entry!$V63/I$2),"")</f>
        <v>1.08265922712744</v>
      </c>
    </row>
    <row r="66" spans="1:9" ht="15">
      <c r="A66" s="113">
        <v>45809</v>
      </c>
      <c r="B66" s="19">
        <v>45809</v>
      </c>
      <c r="C66" s="114">
        <f>IFERROR((Data_Entry!F64/Data_Entry!$V64/C$2),"")</f>
        <v>1.1348675456520401</v>
      </c>
      <c r="D66" s="114">
        <f>IFERROR((Data_Entry!G64/Data_Entry!$V64/D$2),"")</f>
        <v>1.13556999907871</v>
      </c>
      <c r="E66" s="114">
        <f>IFERROR((Data_Entry!H64/Data_Entry!$V64/E$2),"")</f>
        <v>1.1275188021115701</v>
      </c>
      <c r="F66" s="114">
        <f>IFERROR((Data_Entry!I64/Data_Entry!$V64/F$2),"")</f>
        <v>1.1253879484059499</v>
      </c>
      <c r="G66" s="114">
        <f>IFERROR((Data_Entry!J64/Data_Entry!$V64/G$2),"")</f>
        <v>1.12950986993464</v>
      </c>
      <c r="H66" s="114">
        <f>IFERROR((Data_Entry!K64/Data_Entry!$V64/H$2),"")</f>
        <v>1.1374629818497199</v>
      </c>
      <c r="I66" s="114">
        <f>IFERROR((Data_Entry!L64/Data_Entry!$V64/I$2),"")</f>
        <v>1.1307890869607899</v>
      </c>
    </row>
    <row r="67" spans="1:9" ht="15">
      <c r="A67" s="113">
        <v>45810</v>
      </c>
      <c r="B67" s="19">
        <v>45810</v>
      </c>
      <c r="C67" s="114">
        <f>IFERROR((Data_Entry!F65/Data_Entry!$V65/C$2),"")</f>
        <v>1.0257233057930999</v>
      </c>
      <c r="D67" s="114">
        <f>IFERROR((Data_Entry!G65/Data_Entry!$V65/D$2),"")</f>
        <v>1.02501061723215</v>
      </c>
      <c r="E67" s="114">
        <f>IFERROR((Data_Entry!H65/Data_Entry!$V65/E$2),"")</f>
        <v>1.01745733675716</v>
      </c>
      <c r="F67" s="114">
        <f>IFERROR((Data_Entry!I65/Data_Entry!$V65/F$2),"")</f>
        <v>1.0185911233530001</v>
      </c>
      <c r="G67" s="114">
        <f>IFERROR((Data_Entry!J65/Data_Entry!$V65/G$2),"")</f>
        <v>1.0242719742011299</v>
      </c>
      <c r="H67" s="114">
        <f>IFERROR((Data_Entry!K65/Data_Entry!$V65/H$2),"")</f>
        <v>1.02512264519993</v>
      </c>
      <c r="I67" s="114">
        <f>IFERROR((Data_Entry!L65/Data_Entry!$V65/I$2),"")</f>
        <v>1.02561789886361</v>
      </c>
    </row>
    <row r="68" spans="1:9" ht="15">
      <c r="A68" s="113">
        <v>45811</v>
      </c>
      <c r="B68" s="19">
        <v>45811</v>
      </c>
      <c r="C68" s="114">
        <f>IFERROR((Data_Entry!F66/Data_Entry!$V66/C$2),"")</f>
        <v>1.0948406792983201</v>
      </c>
      <c r="D68" s="114">
        <f>IFERROR((Data_Entry!G66/Data_Entry!$V66/D$2),"")</f>
        <v>1.0965603922970399</v>
      </c>
      <c r="E68" s="114">
        <f>IFERROR((Data_Entry!H66/Data_Entry!$V66/E$2),"")</f>
        <v>1.0862810512028001</v>
      </c>
      <c r="F68" s="114">
        <f>IFERROR((Data_Entry!I66/Data_Entry!$V66/F$2),"")</f>
        <v>1.08731965063648</v>
      </c>
      <c r="G68" s="114">
        <f>IFERROR((Data_Entry!J66/Data_Entry!$V66/G$2),"")</f>
        <v>1.0888901055258799</v>
      </c>
      <c r="H68" s="114">
        <f>IFERROR((Data_Entry!K66/Data_Entry!$V66/H$2),"")</f>
        <v>1.09083300030999</v>
      </c>
      <c r="I68" s="114">
        <f>IFERROR((Data_Entry!L66/Data_Entry!$V66/I$2),"")</f>
        <v>1.0892749600837499</v>
      </c>
    </row>
    <row r="69" spans="1:9" ht="15">
      <c r="A69" s="113">
        <v>45812</v>
      </c>
      <c r="B69" s="19">
        <v>45812</v>
      </c>
      <c r="C69" s="114">
        <f>IFERROR((Data_Entry!F67/Data_Entry!$V67/C$2),"")</f>
        <v>0.94982719007496896</v>
      </c>
      <c r="D69" s="114">
        <f>IFERROR((Data_Entry!G67/Data_Entry!$V67/D$2),"")</f>
        <v>0.95586662488706797</v>
      </c>
      <c r="E69" s="114">
        <f>IFERROR((Data_Entry!H67/Data_Entry!$V67/E$2),"")</f>
        <v>0.94877761839403096</v>
      </c>
      <c r="F69" s="114">
        <f>IFERROR((Data_Entry!I67/Data_Entry!$V67/F$2),"")</f>
        <v>0.94756055373413395</v>
      </c>
      <c r="G69" s="114">
        <f>IFERROR((Data_Entry!J67/Data_Entry!$V67/G$2),"")</f>
        <v>0.948244802068269</v>
      </c>
      <c r="H69" s="114">
        <f>IFERROR((Data_Entry!K67/Data_Entry!$V67/H$2),"")</f>
        <v>0.94885053010176701</v>
      </c>
      <c r="I69" s="114">
        <f>IFERROR((Data_Entry!L67/Data_Entry!$V67/I$2),"")</f>
        <v>0.95211473117116796</v>
      </c>
    </row>
    <row r="70" spans="1:9" ht="15">
      <c r="A70" s="113">
        <v>45813</v>
      </c>
      <c r="B70" s="19">
        <v>45813</v>
      </c>
      <c r="C70" s="114">
        <f>IFERROR((Data_Entry!F68/Data_Entry!$V68/C$2),"")</f>
        <v>1.0172508351652501</v>
      </c>
      <c r="D70" s="114">
        <f>IFERROR((Data_Entry!G68/Data_Entry!$V68/D$2),"")</f>
        <v>1.0195075776524101</v>
      </c>
      <c r="E70" s="114">
        <f>IFERROR((Data_Entry!H68/Data_Entry!$V68/E$2),"")</f>
        <v>1.0070187533595301</v>
      </c>
      <c r="F70" s="114">
        <f>IFERROR((Data_Entry!I68/Data_Entry!$V68/F$2),"")</f>
        <v>1.0121333113519899</v>
      </c>
      <c r="G70" s="114">
        <f>IFERROR((Data_Entry!J68/Data_Entry!$V68/G$2),"")</f>
        <v>1.01660824065572</v>
      </c>
      <c r="H70" s="114">
        <f>IFERROR((Data_Entry!K68/Data_Entry!$V68/H$2),"")</f>
        <v>1.01323709099799</v>
      </c>
      <c r="I70" s="114">
        <f>IFERROR((Data_Entry!L68/Data_Entry!$V68/I$2),"")</f>
        <v>1.0180708846201201</v>
      </c>
    </row>
    <row r="71" spans="1:9" ht="15">
      <c r="A71" s="113">
        <v>45814</v>
      </c>
      <c r="B71" s="19">
        <v>45814</v>
      </c>
      <c r="C71" s="114">
        <f>IFERROR((Data_Entry!F69/Data_Entry!$V69/C$2),"")</f>
        <v>1.0073057630258899</v>
      </c>
      <c r="D71" s="114">
        <f>IFERROR((Data_Entry!G69/Data_Entry!$V69/D$2),"")</f>
        <v>1.0123180676955399</v>
      </c>
      <c r="E71" s="114">
        <f>IFERROR((Data_Entry!I69/Data_Entry!$V69/E$2),"")</f>
        <v>1.0503709105455501</v>
      </c>
      <c r="F71" s="114">
        <f>IFERROR((Data_Entry!J69/Data_Entry!$V69/F$2),"")</f>
        <v>1.01088152255726</v>
      </c>
      <c r="G71" s="114">
        <f>IFERROR((Data_Entry!K69/Data_Entry!$V69/G$2),"")</f>
        <v>1.0043307310957901</v>
      </c>
      <c r="H71" s="114">
        <f>IFERROR((Data_Entry!L69/Data_Entry!$V69/H$2),"")</f>
        <v>1.01280957209658</v>
      </c>
      <c r="I71" s="114" t="str">
        <f>IFERROR((Data_Entry!#REF!/Data_Entry!$V69/I$2),"")</f>
        <v/>
      </c>
    </row>
    <row r="72" spans="1:9" ht="15">
      <c r="A72" s="113">
        <v>45815</v>
      </c>
      <c r="B72" s="19">
        <v>45815</v>
      </c>
      <c r="C72" s="114">
        <f>IFERROR((Data_Entry!F70/Data_Entry!$V70/C$2),"")</f>
        <v>0.970472963674608</v>
      </c>
      <c r="D72" s="114">
        <f>IFERROR((Data_Entry!G70/Data_Entry!$V70/D$2),"")</f>
        <v>0.97349668246808396</v>
      </c>
      <c r="E72" s="114">
        <f>IFERROR((Data_Entry!H70/Data_Entry!$V70/E$2),"")</f>
        <v>0.96415524954745602</v>
      </c>
      <c r="F72" s="114">
        <f>IFERROR((Data_Entry!I70/Data_Entry!$V70/F$2),"")</f>
        <v>0.96677722576623404</v>
      </c>
      <c r="G72" s="114">
        <f>IFERROR((Data_Entry!J70/Data_Entry!$V70/G$2),"")</f>
        <v>0.972852572343751</v>
      </c>
      <c r="H72" s="114">
        <f>IFERROR((Data_Entry!K70/Data_Entry!$V70/H$2),"")</f>
        <v>0.96705190898915405</v>
      </c>
      <c r="I72" s="114">
        <f>IFERROR((Data_Entry!L70/Data_Entry!$V70/I$2),"")</f>
        <v>0.97377356903236401</v>
      </c>
    </row>
    <row r="73" spans="1:9" ht="15">
      <c r="A73" s="113">
        <v>45816</v>
      </c>
      <c r="B73" s="19">
        <v>45816</v>
      </c>
      <c r="C73" s="114">
        <f>IFERROR((Data_Entry!F71/Data_Entry!$V71/C$2),"")</f>
        <v>0.95181306721919801</v>
      </c>
      <c r="D73" s="114">
        <f>IFERROR((Data_Entry!G71/Data_Entry!$V71/D$2),"")</f>
        <v>0.95384122851117703</v>
      </c>
      <c r="E73" s="114">
        <f>IFERROR((Data_Entry!H71/Data_Entry!$V71/E$2),"")</f>
        <v>0.94690310062876604</v>
      </c>
      <c r="F73" s="114">
        <f>IFERROR((Data_Entry!I71/Data_Entry!$V71/F$2),"")</f>
        <v>0.946357168569121</v>
      </c>
      <c r="G73" s="114">
        <f>IFERROR((Data_Entry!J71/Data_Entry!$V71/G$2),"")</f>
        <v>0.95059617044401101</v>
      </c>
      <c r="H73" s="114">
        <f>IFERROR((Data_Entry!K71/Data_Entry!$V71/H$2),"")</f>
        <v>0.945725951076822</v>
      </c>
      <c r="I73" s="114">
        <f>IFERROR((Data_Entry!L71/Data_Entry!$V71/I$2),"")</f>
        <v>0.94983755125601899</v>
      </c>
    </row>
    <row r="74" spans="1:9" ht="15">
      <c r="A74" s="113">
        <v>45817</v>
      </c>
      <c r="B74" s="19">
        <v>45817</v>
      </c>
      <c r="C74" s="114">
        <f>IFERROR((Data_Entry!F72/Data_Entry!$V72/C$2),"")</f>
        <v>0.99383522673311298</v>
      </c>
      <c r="D74" s="114">
        <f>IFERROR((Data_Entry!G72/Data_Entry!$V72/D$2),"")</f>
        <v>0.99722940269410199</v>
      </c>
      <c r="E74" s="114">
        <f>IFERROR((Data_Entry!H72/Data_Entry!$V72/E$2),"")</f>
        <v>0.98482366257595599</v>
      </c>
      <c r="F74" s="114">
        <f>IFERROR((Data_Entry!I72/Data_Entry!$V72/F$2),"")</f>
        <v>0.98743703964303697</v>
      </c>
      <c r="G74" s="114">
        <f>IFERROR((Data_Entry!J72/Data_Entry!$V72/G$2),"")</f>
        <v>0.99178821040217802</v>
      </c>
      <c r="H74" s="114">
        <f>IFERROR((Data_Entry!K72/Data_Entry!$V72/H$2),"")</f>
        <v>0.98125868685692497</v>
      </c>
      <c r="I74" s="114">
        <f>IFERROR((Data_Entry!L72/Data_Entry!$V72/I$2),"")</f>
        <v>0.991927571743218</v>
      </c>
    </row>
    <row r="75" spans="1:9" ht="15">
      <c r="A75" s="113">
        <v>45818</v>
      </c>
      <c r="B75" s="19">
        <v>45818</v>
      </c>
      <c r="C75" s="114">
        <f>IFERROR((Data_Entry!F73/Data_Entry!$V73/C$2),"")</f>
        <v>1.04670938247751</v>
      </c>
      <c r="D75" s="114">
        <f>IFERROR((Data_Entry!G73/Data_Entry!$V73/D$2),"")</f>
        <v>1.0366603146945601</v>
      </c>
      <c r="E75" s="114">
        <f>IFERROR((Data_Entry!H73/Data_Entry!$V73/E$2),"")</f>
        <v>1.03589509304463</v>
      </c>
      <c r="F75" s="114">
        <f>IFERROR((Data_Entry!I73/Data_Entry!$V73/F$2),"")</f>
        <v>1.04112488671393</v>
      </c>
      <c r="G75" s="114">
        <f>IFERROR((Data_Entry!J73/Data_Entry!$V73/G$2),"")</f>
        <v>1.04493587200606</v>
      </c>
      <c r="H75" s="114">
        <f>IFERROR((Data_Entry!K73/Data_Entry!$V73/H$2),"")</f>
        <v>1.03059930828802</v>
      </c>
      <c r="I75" s="114">
        <f>IFERROR((Data_Entry!L73/Data_Entry!$V73/I$2),"")</f>
        <v>1.04672038099206</v>
      </c>
    </row>
    <row r="76" spans="1:9" ht="15">
      <c r="A76" s="113">
        <v>45819</v>
      </c>
      <c r="B76" s="19">
        <v>45819</v>
      </c>
      <c r="C76" s="114">
        <f>IFERROR((Data_Entry!F74/Data_Entry!$V74/C$2),"")</f>
        <v>1.04015797349692</v>
      </c>
      <c r="D76" s="114">
        <f>IFERROR((Data_Entry!G74/Data_Entry!$V74/D$2),"")</f>
        <v>1.0555227324649099</v>
      </c>
      <c r="E76" s="114">
        <f>IFERROR((Data_Entry!H74/Data_Entry!$V74/E$2),"")</f>
        <v>1.0292885508566001</v>
      </c>
      <c r="F76" s="114">
        <f>IFERROR((Data_Entry!I74/Data_Entry!$V74/F$2),"")</f>
        <v>1.0613205697703001</v>
      </c>
      <c r="G76" s="114">
        <f>IFERROR((Data_Entry!J74/Data_Entry!$V74/G$2),"")</f>
        <v>0.99707058767560897</v>
      </c>
      <c r="H76" s="114">
        <f>IFERROR((Data_Entry!K74/Data_Entry!$V74/H$2),"")</f>
        <v>1.0271044483049001</v>
      </c>
      <c r="I76" s="114">
        <f>IFERROR((Data_Entry!L74/Data_Entry!$V74/I$2),"")</f>
        <v>1.09098194779388</v>
      </c>
    </row>
    <row r="77" spans="1:9" ht="15">
      <c r="A77" s="113">
        <v>45820</v>
      </c>
      <c r="B77" s="19">
        <v>45820</v>
      </c>
      <c r="C77" s="114">
        <f>IFERROR((Data_Entry!F75/Data_Entry!$V75/C$2),"")</f>
        <v>0.97229544960109904</v>
      </c>
      <c r="D77" s="114">
        <f>IFERROR((Data_Entry!G75/Data_Entry!$V75/D$2),"")</f>
        <v>1.00248616665806</v>
      </c>
      <c r="E77" s="114">
        <f>IFERROR((Data_Entry!H75/Data_Entry!$V75/E$2),"")</f>
        <v>0.96978106393847596</v>
      </c>
      <c r="F77" s="114">
        <f>IFERROR((Data_Entry!I75/Data_Entry!$V75/F$2),"")</f>
        <v>0.99420292931094201</v>
      </c>
      <c r="G77" s="114">
        <f>IFERROR((Data_Entry!J75/Data_Entry!$V75/G$2),"")</f>
        <v>1.00099132492641</v>
      </c>
      <c r="H77" s="114">
        <f>IFERROR((Data_Entry!K75/Data_Entry!$V75/H$2),"")</f>
        <v>0.98996955430520395</v>
      </c>
      <c r="I77" s="114">
        <f>IFERROR((Data_Entry!L75/Data_Entry!$V75/I$2),"")</f>
        <v>1.00303303439784</v>
      </c>
    </row>
    <row r="78" spans="1:9" ht="15">
      <c r="A78" s="113">
        <v>45821</v>
      </c>
      <c r="B78" s="19">
        <v>45821</v>
      </c>
      <c r="C78" s="114">
        <f>IFERROR((Data_Entry!F76/Data_Entry!$V76/C$2),"")</f>
        <v>0.96503187594649598</v>
      </c>
      <c r="D78" s="114">
        <f>IFERROR((Data_Entry!G76/Data_Entry!$V76/D$2),"")</f>
        <v>0.97118005553772602</v>
      </c>
      <c r="E78" s="114">
        <f>IFERROR((Data_Entry!H76/Data_Entry!$V76/E$2),"")</f>
        <v>0.96066758112195205</v>
      </c>
      <c r="F78" s="114">
        <f>IFERROR((Data_Entry!I76/Data_Entry!$V76/F$2),"")</f>
        <v>0.96568446392282303</v>
      </c>
      <c r="G78" s="114">
        <f>IFERROR((Data_Entry!J76/Data_Entry!$V76/G$2),"")</f>
        <v>0.969708215325779</v>
      </c>
      <c r="H78" s="114">
        <f>IFERROR((Data_Entry!K76/Data_Entry!$V76/H$2),"")</f>
        <v>0.97454941523860505</v>
      </c>
      <c r="I78" s="114">
        <f>IFERROR((Data_Entry!L76/Data_Entry!$V76/I$2),"")</f>
        <v>0.97450973327210699</v>
      </c>
    </row>
    <row r="79" spans="1:9" ht="15">
      <c r="A79" s="113">
        <v>45822</v>
      </c>
      <c r="B79" s="19">
        <v>45822</v>
      </c>
      <c r="C79" s="114">
        <f>IFERROR((Data_Entry!F77/Data_Entry!$V77/C$2),"")</f>
        <v>0.962911801501251</v>
      </c>
      <c r="D79" s="114">
        <f>IFERROR((Data_Entry!G77/Data_Entry!$V77/D$2),"")</f>
        <v>0.96571051272886099</v>
      </c>
      <c r="E79" s="114">
        <f>IFERROR((Data_Entry!H77/Data_Entry!$V77/E$2),"")</f>
        <v>0.95519207474482704</v>
      </c>
      <c r="F79" s="114">
        <f>IFERROR((Data_Entry!I77/Data_Entry!$V77/F$2),"")</f>
        <v>0.95774094440329005</v>
      </c>
      <c r="G79" s="114">
        <f>IFERROR((Data_Entry!J77/Data_Entry!$V77/G$2),"")</f>
        <v>0.96031706460007205</v>
      </c>
      <c r="H79" s="114">
        <f>IFERROR((Data_Entry!K77/Data_Entry!$V77/H$2),"")</f>
        <v>0.95960477330142302</v>
      </c>
      <c r="I79" s="114">
        <f>IFERROR((Data_Entry!L77/Data_Entry!$V77/I$2),"")</f>
        <v>0.9628516344711</v>
      </c>
    </row>
    <row r="80" spans="1:9" ht="15">
      <c r="A80" s="113">
        <v>45823</v>
      </c>
      <c r="B80" s="19">
        <v>45823</v>
      </c>
      <c r="C80" s="114">
        <f>IFERROR((Data_Entry!F78/Data_Entry!$V78/C$2),"")</f>
        <v>0.69826359058613996</v>
      </c>
      <c r="D80" s="114">
        <f>IFERROR((Data_Entry!G78/Data_Entry!$V78/D$2),"")</f>
        <v>0.70152314689977702</v>
      </c>
      <c r="E80" s="114">
        <f>IFERROR((Data_Entry!H78/Data_Entry!$V78/E$2),"")</f>
        <v>0.69278309409888394</v>
      </c>
      <c r="F80" s="114">
        <f>IFERROR((Data_Entry!I78/Data_Entry!$V78/F$2),"")</f>
        <v>0.69720196982284199</v>
      </c>
      <c r="G80" s="114">
        <f>IFERROR((Data_Entry!J78/Data_Entry!$V78/G$2),"")</f>
        <v>0.69892021637660195</v>
      </c>
      <c r="H80" s="114">
        <f>IFERROR((Data_Entry!K78/Data_Entry!$V78/H$2),"")</f>
        <v>0.69951379245880996</v>
      </c>
      <c r="I80" s="114">
        <f>IFERROR((Data_Entry!L78/Data_Entry!$V78/I$2),"")</f>
        <v>0.70135700239829701</v>
      </c>
    </row>
    <row r="81" spans="1:9" ht="15">
      <c r="A81" s="113">
        <v>45824</v>
      </c>
      <c r="B81" s="19">
        <v>45824</v>
      </c>
      <c r="C81" s="114">
        <f>IFERROR((Data_Entry!F79/Data_Entry!$V79/C$2),"")</f>
        <v>1.2718932443703099</v>
      </c>
      <c r="D81" s="114">
        <f>IFERROR((Data_Entry!G79/Data_Entry!$V79/D$2),"")</f>
        <v>1.23109837908402</v>
      </c>
      <c r="E81" s="114">
        <f>IFERROR((Data_Entry!H79/Data_Entry!$V79/E$2),"")</f>
        <v>1.21911893451582</v>
      </c>
      <c r="F81" s="114">
        <f>IFERROR((Data_Entry!I79/Data_Entry!$V79/F$2),"")</f>
        <v>1.30832426968463</v>
      </c>
      <c r="G81" s="114">
        <f>IFERROR((Data_Entry!J79/Data_Entry!$V79/G$2),"")</f>
        <v>1.3601047501777599</v>
      </c>
      <c r="H81" s="114">
        <f>IFERROR((Data_Entry!K79/Data_Entry!$V79/H$2),"")</f>
        <v>1.38364133222009</v>
      </c>
      <c r="I81" s="114">
        <f>IFERROR((Data_Entry!L79/Data_Entry!$V79/I$2),"")</f>
        <v>1.3952857464936701</v>
      </c>
    </row>
    <row r="82" spans="1:9" ht="15">
      <c r="A82" s="113">
        <v>45825</v>
      </c>
      <c r="B82" s="19">
        <v>45825</v>
      </c>
      <c r="C82" s="114">
        <f>IFERROR((Data_Entry!F80/Data_Entry!$V80/C$2),"")</f>
        <v>1.0991302275705901</v>
      </c>
      <c r="D82" s="114">
        <f>IFERROR((Data_Entry!G80/Data_Entry!$V80/D$2),"")</f>
        <v>1.10547950359636</v>
      </c>
      <c r="E82" s="114">
        <f>IFERROR((Data_Entry!H80/Data_Entry!$V80/E$2),"")</f>
        <v>1.0912524221312201</v>
      </c>
      <c r="F82" s="114">
        <f>IFERROR((Data_Entry!I80/Data_Entry!$V80/F$2),"")</f>
        <v>1.0897681979180101</v>
      </c>
      <c r="G82" s="114">
        <f>IFERROR((Data_Entry!J80/Data_Entry!$V80/G$2),"")</f>
        <v>1.0855694281575501</v>
      </c>
      <c r="H82" s="114">
        <f>IFERROR((Data_Entry!K80/Data_Entry!$V80/H$2),"")</f>
        <v>1.10577600762976</v>
      </c>
      <c r="I82" s="114">
        <f>IFERROR((Data_Entry!L80/Data_Entry!$V80/I$2),"")</f>
        <v>1.1033767106237899</v>
      </c>
    </row>
    <row r="83" spans="1:9" ht="15">
      <c r="A83" s="113">
        <v>45826</v>
      </c>
      <c r="B83" s="19">
        <v>45826</v>
      </c>
      <c r="C83" s="114">
        <f>IFERROR((Data_Entry!F81/Data_Entry!$V81/C$2),"")</f>
        <v>1.09346586636405</v>
      </c>
      <c r="D83" s="114">
        <f>IFERROR((Data_Entry!G81/Data_Entry!$V81/D$2),"")</f>
        <v>1.0862145074056599</v>
      </c>
      <c r="E83" s="114">
        <f>IFERROR((Data_Entry!H81/Data_Entry!$V81/E$2),"")</f>
        <v>1.0827231123516301</v>
      </c>
      <c r="F83" s="114">
        <f>IFERROR((Data_Entry!I81/Data_Entry!$V81/F$2),"")</f>
        <v>1.0634392319771599</v>
      </c>
      <c r="G83" s="114">
        <f>IFERROR((Data_Entry!J81/Data_Entry!$V81/G$2),"")</f>
        <v>1.0493802365087399</v>
      </c>
      <c r="H83" s="114">
        <f>IFERROR((Data_Entry!K81/Data_Entry!$V81/H$2),"")</f>
        <v>1.0558959503554</v>
      </c>
      <c r="I83" s="114">
        <f>IFERROR((Data_Entry!L81/Data_Entry!$V81/I$2),"")</f>
        <v>1.0954573096967799</v>
      </c>
    </row>
    <row r="84" spans="1:9" ht="15">
      <c r="A84" s="113">
        <v>45827</v>
      </c>
      <c r="B84" s="19">
        <v>45827</v>
      </c>
      <c r="C84" s="114">
        <f>IFERROR((Data_Entry!F82/Data_Entry!$V82/C$2),"")</f>
        <v>1.1087083547667</v>
      </c>
      <c r="D84" s="114">
        <f>IFERROR((Data_Entry!G82/Data_Entry!$V82/D$2),"")</f>
        <v>1.1099569002112499</v>
      </c>
      <c r="E84" s="114">
        <f>IFERROR((Data_Entry!H82/Data_Entry!$V82/E$2),"")</f>
        <v>1.10188594573037</v>
      </c>
      <c r="F84" s="114">
        <f>IFERROR((Data_Entry!I82/Data_Entry!$V82/F$2),"")</f>
        <v>1.1041197563844301</v>
      </c>
      <c r="G84" s="114">
        <f>IFERROR((Data_Entry!J82/Data_Entry!$V82/G$2),"")</f>
        <v>1.1058514346314501</v>
      </c>
      <c r="H84" s="114">
        <f>IFERROR((Data_Entry!K82/Data_Entry!$V82/H$2),"")</f>
        <v>1.1111147128502099</v>
      </c>
      <c r="I84" s="114">
        <f>IFERROR((Data_Entry!L82/Data_Entry!$V82/I$2),"")</f>
        <v>1.1102190172052</v>
      </c>
    </row>
    <row r="85" spans="1:9" ht="15">
      <c r="A85" s="113">
        <v>45828</v>
      </c>
      <c r="B85" s="19">
        <v>45828</v>
      </c>
      <c r="C85" s="114">
        <f>IFERROR((Data_Entry!F83/Data_Entry!$V83/C$2),"")</f>
        <v>1.03795583313399</v>
      </c>
      <c r="D85" s="114">
        <f>IFERROR((Data_Entry!G83/Data_Entry!$V83/D$2),"")</f>
        <v>1.0397722847050801</v>
      </c>
      <c r="E85" s="114">
        <f>IFERROR((Data_Entry!H83/Data_Entry!$V83/E$2),"")</f>
        <v>1.0319138226115001</v>
      </c>
      <c r="F85" s="114">
        <f>IFERROR((Data_Entry!I83/Data_Entry!$V83/F$2),"")</f>
        <v>1.03079410135931</v>
      </c>
      <c r="G85" s="114">
        <f>IFERROR((Data_Entry!J83/Data_Entry!$V83/G$2),"")</f>
        <v>1.0346445235732</v>
      </c>
      <c r="H85" s="114">
        <f>IFERROR((Data_Entry!K83/Data_Entry!$V83/H$2),"")</f>
        <v>1.0377071921027901</v>
      </c>
      <c r="I85" s="114">
        <f>IFERROR((Data_Entry!L83/Data_Entry!$V83/I$2),"")</f>
        <v>1.0386274650984599</v>
      </c>
    </row>
    <row r="86" spans="1:9" ht="15">
      <c r="A86" s="113">
        <v>45829</v>
      </c>
      <c r="B86" s="19">
        <v>45829</v>
      </c>
      <c r="C86" s="114">
        <f>IFERROR((Data_Entry!F84/Data_Entry!$V84/C$2),"")</f>
        <v>1.0232192050373901</v>
      </c>
      <c r="D86" s="114">
        <f>IFERROR((Data_Entry!G84/Data_Entry!$V84/D$2),"")</f>
        <v>1.0171377482678601</v>
      </c>
      <c r="E86" s="114">
        <f>IFERROR((Data_Entry!H84/Data_Entry!$V84/E$2),"")</f>
        <v>1.0138431557322301</v>
      </c>
      <c r="F86" s="114">
        <f>IFERROR((Data_Entry!I84/Data_Entry!$V84/F$2),"")</f>
        <v>1.02022777780656</v>
      </c>
      <c r="G86" s="114">
        <f>IFERROR((Data_Entry!J84/Data_Entry!$V84/G$2),"")</f>
        <v>1.02473895603134</v>
      </c>
      <c r="H86" s="114">
        <f>IFERROR((Data_Entry!K84/Data_Entry!$V84/H$2),"")</f>
        <v>1.0303077789116899</v>
      </c>
      <c r="I86" s="114">
        <f>IFERROR((Data_Entry!L84/Data_Entry!$V84/I$2),"")</f>
        <v>1.0312359160584099</v>
      </c>
    </row>
    <row r="87" spans="1:9" ht="15">
      <c r="A87" s="113">
        <v>45830</v>
      </c>
      <c r="B87" s="19">
        <v>45830</v>
      </c>
      <c r="C87" s="114">
        <f>IFERROR((Data_Entry!F85/Data_Entry!$V85/C$2),"")</f>
        <v>1.45695283309962</v>
      </c>
      <c r="D87" s="114">
        <f>IFERROR((Data_Entry!G85/Data_Entry!$V85/D$2),"")</f>
        <v>1.45072817091166</v>
      </c>
      <c r="E87" s="114">
        <f>IFERROR((Data_Entry!H85/Data_Entry!$V85/E$2),"")</f>
        <v>1.4460310331870001</v>
      </c>
      <c r="F87" s="114">
        <f>IFERROR((Data_Entry!I85/Data_Entry!$V85/F$2),"")</f>
        <v>1.46421521571103</v>
      </c>
      <c r="G87" s="114">
        <f>IFERROR((Data_Entry!J85/Data_Entry!$V85/G$2),"")</f>
        <v>1.46034327326709</v>
      </c>
      <c r="H87" s="114">
        <f>IFERROR((Data_Entry!K85/Data_Entry!$V85/H$2),"")</f>
        <v>1.4696213240289799</v>
      </c>
      <c r="I87" s="114">
        <f>IFERROR((Data_Entry!L85/Data_Entry!$V85/I$2),"")</f>
        <v>1.46490924313022</v>
      </c>
    </row>
    <row r="88" spans="1:9" ht="15">
      <c r="A88" s="113">
        <v>45831</v>
      </c>
      <c r="B88" s="19">
        <v>45831</v>
      </c>
      <c r="C88" s="114">
        <f>IFERROR((Data_Entry!F86/Data_Entry!$V86/C$2),"")</f>
        <v>1.04311256404146</v>
      </c>
      <c r="D88" s="114">
        <f>IFERROR((Data_Entry!G86/Data_Entry!$V86/D$2),"")</f>
        <v>0</v>
      </c>
      <c r="E88" s="114">
        <f>IFERROR((Data_Entry!H86/Data_Entry!$V86/E$2),"")</f>
        <v>1.26906350530204</v>
      </c>
      <c r="F88" s="114">
        <f>IFERROR((Data_Entry!I86/Data_Entry!$V86/F$2),"")</f>
        <v>1.27649723630976</v>
      </c>
      <c r="G88" s="114">
        <f>IFERROR((Data_Entry!J86/Data_Entry!$V86/G$2),"")</f>
        <v>1.2802189583451999</v>
      </c>
      <c r="H88" s="114">
        <f>IFERROR((Data_Entry!K86/Data_Entry!$V86/H$2),"")</f>
        <v>1.2885527665394001</v>
      </c>
      <c r="I88" s="114">
        <f>IFERROR((Data_Entry!L86/Data_Entry!$V86/I$2),"")</f>
        <v>1.2845995498319001</v>
      </c>
    </row>
    <row r="89" spans="1:9" ht="15">
      <c r="A89" s="113">
        <v>45832</v>
      </c>
      <c r="B89" s="19">
        <v>45832</v>
      </c>
      <c r="C89" s="114">
        <f>IFERROR((Data_Entry!F87/Data_Entry!$V87/C$2),"")</f>
        <v>1.0296869651391301</v>
      </c>
      <c r="D89" s="114">
        <f>IFERROR((Data_Entry!G87/Data_Entry!$V87/D$2),"")</f>
        <v>0</v>
      </c>
      <c r="E89" s="114">
        <f>IFERROR((Data_Entry!H87/Data_Entry!$V87/E$2),"")</f>
        <v>1.0206091054714901</v>
      </c>
      <c r="F89" s="114">
        <f>IFERROR((Data_Entry!I87/Data_Entry!$V87/F$2),"")</f>
        <v>1.02658135452027</v>
      </c>
      <c r="G89" s="114">
        <f>IFERROR((Data_Entry!J87/Data_Entry!$V87/G$2),"")</f>
        <v>1.02581253216617</v>
      </c>
      <c r="H89" s="114">
        <f>IFERROR((Data_Entry!K87/Data_Entry!$V87/H$2),"")</f>
        <v>0.96028173269041694</v>
      </c>
      <c r="I89" s="114">
        <f>IFERROR((Data_Entry!L87/Data_Entry!$V87/I$2),"")</f>
        <v>1.03423565942798</v>
      </c>
    </row>
    <row r="90" spans="1:9" ht="15">
      <c r="A90" s="113">
        <v>45833</v>
      </c>
      <c r="B90" s="19">
        <v>45833</v>
      </c>
      <c r="C90" s="114">
        <f>IFERROR((Data_Entry!F88/Data_Entry!$V88/C$2),"")</f>
        <v>1.0651414444009499</v>
      </c>
      <c r="D90" s="114">
        <f>IFERROR((Data_Entry!G88/Data_Entry!$V88/D$2),"")</f>
        <v>0</v>
      </c>
      <c r="E90" s="114">
        <f>IFERROR((Data_Entry!H88/Data_Entry!$V88/E$2),"")</f>
        <v>1.0519856399607399</v>
      </c>
      <c r="F90" s="114">
        <f>IFERROR((Data_Entry!I88/Data_Entry!$V88/F$2),"")</f>
        <v>1.05956722537439</v>
      </c>
      <c r="G90" s="114">
        <f>IFERROR((Data_Entry!J88/Data_Entry!$V88/G$2),"")</f>
        <v>1.0567519788130599</v>
      </c>
      <c r="H90" s="114">
        <f>IFERROR((Data_Entry!K88/Data_Entry!$V88/H$2),"")</f>
        <v>1.06687669084387</v>
      </c>
      <c r="I90" s="114">
        <f>IFERROR((Data_Entry!L88/Data_Entry!$V88/I$2),"")</f>
        <v>1.0629590887013001</v>
      </c>
    </row>
    <row r="91" spans="1:9" ht="15">
      <c r="A91" s="113">
        <v>45834</v>
      </c>
      <c r="B91" s="19">
        <v>45834</v>
      </c>
      <c r="C91" s="114">
        <f>IFERROR((Data_Entry!F89/Data_Entry!$V89/C$2),"")</f>
        <v>0.83772023299094001</v>
      </c>
      <c r="D91" s="114">
        <f>IFERROR((Data_Entry!G89/Data_Entry!$V89/D$2),"")</f>
        <v>0</v>
      </c>
      <c r="E91" s="114">
        <f>IFERROR((Data_Entry!H89/Data_Entry!$V89/E$2),"")</f>
        <v>1.3749301480274501</v>
      </c>
      <c r="F91" s="114">
        <f>IFERROR((Data_Entry!I89/Data_Entry!$V89/F$2),"")</f>
        <v>1.39805727062816</v>
      </c>
      <c r="G91" s="114">
        <f>IFERROR((Data_Entry!J89/Data_Entry!$V89/G$2),"")</f>
        <v>1.35828934516553</v>
      </c>
      <c r="H91" s="114">
        <f>IFERROR((Data_Entry!K89/Data_Entry!$V89/H$2),"")</f>
        <v>1.3979368833664101</v>
      </c>
      <c r="I91" s="114">
        <f>IFERROR((Data_Entry!L89/Data_Entry!$V89/I$2),"")</f>
        <v>1.39259971476245</v>
      </c>
    </row>
    <row r="92" spans="1:9" ht="15">
      <c r="A92" s="113">
        <v>45835</v>
      </c>
      <c r="B92" s="19">
        <v>45835</v>
      </c>
      <c r="C92" s="114">
        <f>IFERROR((Data_Entry!F90/Data_Entry!$V90/C$2),"")</f>
        <v>1.7091977874065301</v>
      </c>
      <c r="D92" s="114">
        <f>IFERROR((Data_Entry!G90/Data_Entry!$V90/D$2),"")</f>
        <v>0</v>
      </c>
      <c r="E92" s="114">
        <f>IFERROR((Data_Entry!H90/Data_Entry!$V90/E$2),"")</f>
        <v>1.7166887068785499</v>
      </c>
      <c r="F92" s="114">
        <f>IFERROR((Data_Entry!I90/Data_Entry!$V90/F$2),"")</f>
        <v>1.7409245625685099</v>
      </c>
      <c r="G92" s="114">
        <f>IFERROR((Data_Entry!J90/Data_Entry!$V90/G$2),"")</f>
        <v>1.73700343423139</v>
      </c>
      <c r="H92" s="114">
        <f>IFERROR((Data_Entry!K90/Data_Entry!$V90/H$2),"")</f>
        <v>1.74594586360454</v>
      </c>
      <c r="I92" s="114">
        <f>IFERROR((Data_Entry!L90/Data_Entry!$V90/I$2),"")</f>
        <v>1.74366088953758</v>
      </c>
    </row>
    <row r="93" spans="1:9" ht="15">
      <c r="A93" s="113">
        <v>45836</v>
      </c>
      <c r="B93" s="19">
        <v>45836</v>
      </c>
      <c r="C93" s="114">
        <f>IFERROR((Data_Entry!F91/Data_Entry!$V91/C$2),"")</f>
        <v>1.3369557808883199</v>
      </c>
      <c r="D93" s="114">
        <f>IFERROR((Data_Entry!G91/Data_Entry!$V91/D$2),"")</f>
        <v>2.7445412245700702E-2</v>
      </c>
      <c r="E93" s="114">
        <f>IFERROR((Data_Entry!H91/Data_Entry!$V91/E$2),"")</f>
        <v>1.3251321412052199</v>
      </c>
      <c r="F93" s="114">
        <f>IFERROR((Data_Entry!I91/Data_Entry!$V91/F$2),"")</f>
        <v>1.32669075559114</v>
      </c>
      <c r="G93" s="114">
        <f>IFERROR((Data_Entry!J91/Data_Entry!$V91/G$2),"")</f>
        <v>1.3277731895297</v>
      </c>
      <c r="H93" s="114">
        <f>IFERROR((Data_Entry!K91/Data_Entry!$V91/H$2),"")</f>
        <v>1.33666905465694</v>
      </c>
      <c r="I93" s="114">
        <f>IFERROR((Data_Entry!L91/Data_Entry!$V91/I$2),"")</f>
        <v>1.33484011455386</v>
      </c>
    </row>
    <row r="94" spans="1:9" ht="15">
      <c r="A94" s="113">
        <v>45837</v>
      </c>
      <c r="B94" s="19">
        <v>45837</v>
      </c>
      <c r="C94" s="114">
        <f>IFERROR((Data_Entry!F92/Data_Entry!$V92/C$2),"")</f>
        <v>1.0995427861167799</v>
      </c>
      <c r="D94" s="114">
        <f>IFERROR((Data_Entry!G92/Data_Entry!$V92/D$2),"")</f>
        <v>1.09245503029335</v>
      </c>
      <c r="E94" s="114">
        <f>IFERROR((Data_Entry!H92/Data_Entry!$V92/E$2),"")</f>
        <v>1.08879976157416</v>
      </c>
      <c r="F94" s="114">
        <f>IFERROR((Data_Entry!I92/Data_Entry!$V92/F$2),"")</f>
        <v>1.09111977558996</v>
      </c>
      <c r="G94" s="114">
        <f>IFERROR((Data_Entry!J92/Data_Entry!$V92/G$2),"")</f>
        <v>1.0859107755112001</v>
      </c>
      <c r="H94" s="114">
        <f>IFERROR((Data_Entry!K92/Data_Entry!$V92/H$2),"")</f>
        <v>1.0888388649494101</v>
      </c>
      <c r="I94" s="114">
        <f>IFERROR((Data_Entry!L92/Data_Entry!$V92/I$2),"")</f>
        <v>1.0888704346468601</v>
      </c>
    </row>
    <row r="95" spans="1:9" ht="15">
      <c r="A95" s="113">
        <v>45838</v>
      </c>
      <c r="B95" s="19">
        <v>45838</v>
      </c>
      <c r="C95" s="114">
        <f>IFERROR((Data_Entry!F93/Data_Entry!$V93/C$2),"")</f>
        <v>1.17040042079201</v>
      </c>
      <c r="D95" s="114">
        <f>IFERROR((Data_Entry!G93/Data_Entry!$V93/D$2),"")</f>
        <v>1.1793848726048299</v>
      </c>
      <c r="E95" s="114">
        <f>IFERROR((Data_Entry!H93/Data_Entry!$V93/E$2),"")</f>
        <v>1.17061837245323</v>
      </c>
      <c r="F95" s="114">
        <f>IFERROR((Data_Entry!I93/Data_Entry!$V93/F$2),"")</f>
        <v>1.18061993201846</v>
      </c>
      <c r="G95" s="114">
        <f>IFERROR((Data_Entry!J93/Data_Entry!$V93/G$2),"")</f>
        <v>1.17913743955948</v>
      </c>
      <c r="H95" s="114">
        <f>IFERROR((Data_Entry!K93/Data_Entry!$V93/H$2),"")</f>
        <v>1.18569283590152</v>
      </c>
      <c r="I95" s="114">
        <f>IFERROR((Data_Entry!L93/Data_Entry!$V93/I$2),"")</f>
        <v>1.1843029992212299</v>
      </c>
    </row>
    <row r="96" spans="1:9" ht="15">
      <c r="A96" s="113">
        <v>45839</v>
      </c>
      <c r="B96" s="19">
        <v>45839</v>
      </c>
      <c r="C96" s="114">
        <f>IFERROR((Data_Entry!F94/Data_Entry!$V94/C$2),"")</f>
        <v>1.1262487624439601</v>
      </c>
      <c r="D96" s="114">
        <f>IFERROR((Data_Entry!G94/Data_Entry!$V94/D$2),"")</f>
        <v>1.1350489453170001</v>
      </c>
      <c r="E96" s="114">
        <f>IFERROR((Data_Entry!H94/Data_Entry!$V94/E$2),"")</f>
        <v>1.11764262990991</v>
      </c>
      <c r="F96" s="114">
        <f>IFERROR((Data_Entry!I94/Data_Entry!$V94/F$2),"")</f>
        <v>1.1200003415286</v>
      </c>
      <c r="G96" s="114">
        <f>IFERROR((Data_Entry!J94/Data_Entry!$V94/G$2),"")</f>
        <v>1.1176894551004</v>
      </c>
      <c r="H96" s="114">
        <f>IFERROR((Data_Entry!K94/Data_Entry!$V94/H$2),"")</f>
        <v>1.1242880103230699</v>
      </c>
      <c r="I96" s="114">
        <f>IFERROR((Data_Entry!L94/Data_Entry!$V94/I$2),"")</f>
        <v>1.1242508876495301</v>
      </c>
    </row>
    <row r="97" spans="1:9" ht="15">
      <c r="A97" s="113">
        <v>45840</v>
      </c>
      <c r="B97" s="19">
        <v>45840</v>
      </c>
      <c r="C97" s="114">
        <f>IFERROR((Data_Entry!F95/Data_Entry!$V95/C$2),"")</f>
        <v>1.15378454580556</v>
      </c>
      <c r="D97" s="114">
        <f>IFERROR((Data_Entry!G95/Data_Entry!$V95/D$2),"")</f>
        <v>1.1496440671513899</v>
      </c>
      <c r="E97" s="114">
        <f>IFERROR((Data_Entry!H95/Data_Entry!$V95/E$2),"")</f>
        <v>1.14423054580655</v>
      </c>
      <c r="F97" s="114">
        <f>IFERROR((Data_Entry!I95/Data_Entry!$V95/F$2),"")</f>
        <v>1.1492539324981901</v>
      </c>
      <c r="G97" s="114">
        <f>IFERROR((Data_Entry!J95/Data_Entry!$V95/G$2),"")</f>
        <v>1.15372274761669</v>
      </c>
      <c r="H97" s="114">
        <f>IFERROR((Data_Entry!K95/Data_Entry!$V95/H$2),"")</f>
        <v>1.1569620474644899</v>
      </c>
      <c r="I97" s="114">
        <f>IFERROR((Data_Entry!L95/Data_Entry!$V95/I$2),"")</f>
        <v>1.15791965070417</v>
      </c>
    </row>
    <row r="98" spans="1:9" ht="15">
      <c r="A98" s="113">
        <v>45841</v>
      </c>
      <c r="B98" s="19">
        <v>45841</v>
      </c>
      <c r="C98" s="114">
        <f>IFERROR((Data_Entry!F96/Data_Entry!$V96/C$2),"")</f>
        <v>2.0326171926082401</v>
      </c>
      <c r="D98" s="114">
        <f>IFERROR((Data_Entry!G96/Data_Entry!$V96/D$2),"")</f>
        <v>2.0029031161275501</v>
      </c>
      <c r="E98" s="114">
        <f>IFERROR((Data_Entry!H96/Data_Entry!$V96/E$2),"")</f>
        <v>2.00108685228399</v>
      </c>
      <c r="F98" s="114">
        <f>IFERROR((Data_Entry!I96/Data_Entry!$V96/F$2),"")</f>
        <v>2.03541581828719</v>
      </c>
      <c r="G98" s="114">
        <f>IFERROR((Data_Entry!J96/Data_Entry!$V96/G$2),"")</f>
        <v>2.01936320462982</v>
      </c>
      <c r="H98" s="114">
        <f>IFERROR((Data_Entry!K96/Data_Entry!$V96/H$2),"")</f>
        <v>2.03458191627902</v>
      </c>
      <c r="I98" s="114">
        <f>IFERROR((Data_Entry!L96/Data_Entry!$V96/I$2),"")</f>
        <v>2.0315242755823801</v>
      </c>
    </row>
    <row r="99" spans="1:9" ht="15">
      <c r="A99" s="113">
        <v>45842</v>
      </c>
      <c r="B99" s="19">
        <v>45842</v>
      </c>
      <c r="C99" s="114">
        <f>IFERROR((Data_Entry!F97/Data_Entry!$V97/C$2),"")</f>
        <v>2.6621714108379302</v>
      </c>
      <c r="D99" s="114">
        <f>IFERROR((Data_Entry!G97/Data_Entry!$V97/D$2),"")</f>
        <v>2.68444218465554</v>
      </c>
      <c r="E99" s="114">
        <f>IFERROR((Data_Entry!H97/Data_Entry!$V97/E$2),"")</f>
        <v>2.6699644498876398</v>
      </c>
      <c r="F99" s="114">
        <f>IFERROR((Data_Entry!I97/Data_Entry!$V97/F$2),"")</f>
        <v>2.67672444066912</v>
      </c>
      <c r="G99" s="114">
        <f>IFERROR((Data_Entry!K97/Data_Entry!$V97/G$2),"")</f>
        <v>2.70806525780969</v>
      </c>
      <c r="H99" s="114">
        <f>IFERROR((Data_Entry!L97/Data_Entry!$V97/H$2),"")</f>
        <v>2.7063756365896401</v>
      </c>
      <c r="I99" s="114" t="str">
        <f>IFERROR((Data_Entry!#REF!/Data_Entry!$V97/I$2),"")</f>
        <v/>
      </c>
    </row>
    <row r="100" spans="1:9" ht="15">
      <c r="A100" s="113">
        <v>45843</v>
      </c>
      <c r="B100" s="19">
        <v>45843</v>
      </c>
      <c r="C100" s="114">
        <f>IFERROR((Data_Entry!F98/Data_Entry!$V98/C$2),"")</f>
        <v>1.89501502574897</v>
      </c>
      <c r="D100" s="114">
        <f>IFERROR((Data_Entry!G98/Data_Entry!$V98/D$2),"")</f>
        <v>2.0921038696268002</v>
      </c>
      <c r="E100" s="114">
        <f>IFERROR((Data_Entry!H98/Data_Entry!$V98/E$2),"")</f>
        <v>2.06937770011164</v>
      </c>
      <c r="F100" s="114">
        <f>IFERROR((Data_Entry!I98/Data_Entry!$V98/F$2),"")</f>
        <v>2.08189556015643</v>
      </c>
      <c r="G100" s="114">
        <f>IFERROR((Data_Entry!J98/Data_Entry!$V98/G$2),"")</f>
        <v>2.0702087066267398</v>
      </c>
      <c r="H100" s="114">
        <f>IFERROR((Data_Entry!K98/Data_Entry!$V98/H$2),"")</f>
        <v>2.0946376600544898</v>
      </c>
      <c r="I100" s="114">
        <f>IFERROR((Data_Entry!L98/Data_Entry!$V98/I$2),"")</f>
        <v>2.0936087948453301</v>
      </c>
    </row>
    <row r="101" spans="1:9" ht="15">
      <c r="A101" s="113">
        <v>45844</v>
      </c>
      <c r="B101" s="19">
        <v>45844</v>
      </c>
      <c r="C101" s="114">
        <f>IFERROR((Data_Entry!F99/Data_Entry!$V99/C$2),"")</f>
        <v>5.8309379840343096</v>
      </c>
      <c r="D101" s="114">
        <f>IFERROR((Data_Entry!G99/Data_Entry!$V99/D$2),"")</f>
        <v>5.8270905317923702</v>
      </c>
      <c r="E101" s="114">
        <f>IFERROR((Data_Entry!H99/Data_Entry!$V99/E$2),"")</f>
        <v>5.7862578934826603</v>
      </c>
      <c r="F101" s="114">
        <f>IFERROR((Data_Entry!I99/Data_Entry!$V99/F$2),"")</f>
        <v>5.7933619199574498</v>
      </c>
      <c r="G101" s="114">
        <f>IFERROR((Data_Entry!J99/Data_Entry!$V99/G$2),"")</f>
        <v>5.789206887382</v>
      </c>
      <c r="H101" s="114">
        <f>IFERROR((Data_Entry!K99/Data_Entry!$V99/H$2),"")</f>
        <v>5.8381175565559298</v>
      </c>
      <c r="I101" s="114">
        <f>IFERROR((Data_Entry!L99/Data_Entry!$V99/I$2),"")</f>
        <v>5.8320037229091897</v>
      </c>
    </row>
    <row r="102" spans="1:9" ht="15">
      <c r="A102" s="113">
        <v>45845</v>
      </c>
      <c r="B102" s="19">
        <v>45845</v>
      </c>
      <c r="C102" s="114">
        <f>IFERROR((Data_Entry!F100/Data_Entry!$V100/C$2),"")</f>
        <v>5.2418020307928597</v>
      </c>
      <c r="D102" s="114">
        <f>IFERROR((Data_Entry!G100/Data_Entry!$V100/D$2),"")</f>
        <v>5.9054944376045304</v>
      </c>
      <c r="E102" s="114">
        <f>IFERROR((Data_Entry!H100/Data_Entry!$V100/E$2),"")</f>
        <v>5.8662200864035698</v>
      </c>
      <c r="F102" s="114">
        <f>IFERROR((Data_Entry!I100/Data_Entry!$V100/F$2),"")</f>
        <v>5.8941841151653698</v>
      </c>
      <c r="G102" s="114">
        <f>IFERROR((Data_Entry!J100/Data_Entry!$V100/G$2),"")</f>
        <v>5.8744510080768597</v>
      </c>
      <c r="H102" s="114">
        <f>IFERROR((Data_Entry!K100/Data_Entry!$V100/H$2),"")</f>
        <v>5.9341779525265803</v>
      </c>
      <c r="I102" s="114">
        <f>IFERROR((Data_Entry!L100/Data_Entry!$V100/I$2),"")</f>
        <v>5.9196155526430703</v>
      </c>
    </row>
    <row r="103" spans="1:9" ht="15">
      <c r="A103" s="113">
        <v>45846</v>
      </c>
      <c r="B103" s="19">
        <v>45846</v>
      </c>
      <c r="C103" s="114">
        <f>IFERROR((Data_Entry!F101/Data_Entry!$V101/C$2),"")</f>
        <v>8.5288500999510202</v>
      </c>
      <c r="D103" s="114">
        <f>IFERROR((Data_Entry!G101/Data_Entry!$V101/D$2),"")</f>
        <v>8.5426678316586599</v>
      </c>
      <c r="E103" s="114">
        <f>IFERROR((Data_Entry!H101/Data_Entry!$V101/E$2),"")</f>
        <v>8.5078339092100492</v>
      </c>
      <c r="F103" s="114">
        <f>IFERROR((Data_Entry!I101/Data_Entry!$V101/F$2),"")</f>
        <v>8.5212990926991701</v>
      </c>
      <c r="G103" s="114">
        <f>IFERROR((Data_Entry!J101/Data_Entry!$V101/G$2),"")</f>
        <v>8.5360989230155599</v>
      </c>
      <c r="H103" s="114">
        <f>IFERROR((Data_Entry!K101/Data_Entry!$V101/H$2),"")</f>
        <v>8.56672744885749</v>
      </c>
      <c r="I103" s="114">
        <f>IFERROR((Data_Entry!L101/Data_Entry!$V101/I$2),"")</f>
        <v>8.5304797361039899</v>
      </c>
    </row>
    <row r="104" spans="1:9" ht="15">
      <c r="A104" s="113">
        <v>45847</v>
      </c>
      <c r="B104" s="19">
        <v>45847</v>
      </c>
      <c r="C104" s="114" t="str">
        <f>IFERROR((Data_Entry!F102/Data_Entry!$V102/C$2),"")</f>
        <v/>
      </c>
      <c r="D104" s="114" t="str">
        <f>IFERROR((Data_Entry!G102/Data_Entry!$V102/D$2),"")</f>
        <v/>
      </c>
      <c r="E104" s="114" t="str">
        <f>IFERROR((Data_Entry!H102/Data_Entry!$V102/E$2),"")</f>
        <v/>
      </c>
      <c r="F104" s="114" t="str">
        <f>IFERROR((Data_Entry!I102/Data_Entry!$V102/F$2),"")</f>
        <v/>
      </c>
      <c r="G104" s="114" t="str">
        <f>IFERROR((Data_Entry!J102/Data_Entry!$V102/G$2),"")</f>
        <v/>
      </c>
      <c r="H104" s="114" t="str">
        <f>IFERROR((Data_Entry!K102/Data_Entry!$V102/H$2),"")</f>
        <v/>
      </c>
      <c r="I104" s="114" t="str">
        <f>IFERROR((Data_Entry!L102/Data_Entry!$V102/I$2),"")</f>
        <v/>
      </c>
    </row>
    <row r="105" spans="1:9" ht="15">
      <c r="A105" s="113">
        <v>45848</v>
      </c>
      <c r="B105" s="19">
        <v>45848</v>
      </c>
      <c r="C105" s="114" t="str">
        <f>IFERROR((Data_Entry!F103/Data_Entry!$V103/C$2),"")</f>
        <v/>
      </c>
      <c r="D105" s="114" t="str">
        <f>IFERROR((Data_Entry!G103/Data_Entry!$V103/D$2),"")</f>
        <v/>
      </c>
      <c r="E105" s="114" t="str">
        <f>IFERROR((Data_Entry!H103/Data_Entry!$V103/E$2),"")</f>
        <v/>
      </c>
      <c r="F105" s="114" t="str">
        <f>IFERROR((Data_Entry!I103/Data_Entry!$V103/F$2),"")</f>
        <v/>
      </c>
      <c r="G105" s="114" t="str">
        <f>IFERROR((Data_Entry!J103/Data_Entry!$V103/G$2),"")</f>
        <v/>
      </c>
      <c r="H105" s="114" t="str">
        <f>IFERROR((Data_Entry!K103/Data_Entry!$V103/H$2),"")</f>
        <v/>
      </c>
      <c r="I105" s="114" t="str">
        <f>IFERROR((Data_Entry!L103/Data_Entry!$V103/I$2),"")</f>
        <v/>
      </c>
    </row>
    <row r="106" spans="1:9" ht="15">
      <c r="A106" s="113">
        <v>45849</v>
      </c>
      <c r="B106" s="19">
        <v>45849</v>
      </c>
      <c r="C106" s="114">
        <f>IFERROR((Data_Entry!F104/Data_Entry!$V104/C$2),"")</f>
        <v>1.7805802380422</v>
      </c>
      <c r="D106" s="114">
        <f>IFERROR((Data_Entry!G104/Data_Entry!$V104/D$2),"")</f>
        <v>1.7860935577044801</v>
      </c>
      <c r="E106" s="114">
        <f>IFERROR((Data_Entry!H104/Data_Entry!$V104/E$2),"")</f>
        <v>1.76703745283151</v>
      </c>
      <c r="F106" s="114">
        <f>IFERROR((Data_Entry!I104/Data_Entry!$V104/F$2),"")</f>
        <v>1.77113664702453</v>
      </c>
      <c r="G106" s="114">
        <f>IFERROR((Data_Entry!J104/Data_Entry!$V104/G$2),"")</f>
        <v>1.7637748288819699</v>
      </c>
      <c r="H106" s="114">
        <f>IFERROR((Data_Entry!K104/Data_Entry!$V104/H$2),"")</f>
        <v>1.78883332525185</v>
      </c>
      <c r="I106" s="114">
        <f>IFERROR((Data_Entry!L104/Data_Entry!$V104/I$2),"")</f>
        <v>1.7853647763192999</v>
      </c>
    </row>
    <row r="107" spans="1:9" ht="15">
      <c r="A107" s="113">
        <v>45850</v>
      </c>
      <c r="B107" s="19">
        <v>45850</v>
      </c>
      <c r="C107" s="114">
        <f>IFERROR((Data_Entry!F105/Data_Entry!$V105/C$2),"")</f>
        <v>1.10308357299351</v>
      </c>
      <c r="D107" s="114">
        <f>IFERROR((Data_Entry!G105/Data_Entry!$V105/D$2),"")</f>
        <v>1.103056245721</v>
      </c>
      <c r="E107" s="114">
        <f>IFERROR((Data_Entry!H105/Data_Entry!$V105/E$2),"")</f>
        <v>1.09143304581399</v>
      </c>
      <c r="F107" s="114">
        <f>IFERROR((Data_Entry!I105/Data_Entry!$V105/F$2),"")</f>
        <v>1.0914219564860199</v>
      </c>
      <c r="G107" s="114">
        <f>IFERROR((Data_Entry!J105/Data_Entry!$V105/G$2),"")</f>
        <v>1.0846693478443801</v>
      </c>
      <c r="H107" s="114">
        <f>IFERROR((Data_Entry!K105/Data_Entry!$V105/H$2),"")</f>
        <v>1.10045738250069</v>
      </c>
      <c r="I107" s="114">
        <f>IFERROR((Data_Entry!L105/Data_Entry!$V105/I$2),"")</f>
        <v>1.09630997383822</v>
      </c>
    </row>
    <row r="108" spans="1:9" ht="15">
      <c r="A108" s="113">
        <v>45851</v>
      </c>
      <c r="B108" s="19">
        <v>45851</v>
      </c>
      <c r="C108" s="114">
        <f>IFERROR((Data_Entry!F106/Data_Entry!$V106/C$2),"")</f>
        <v>1.3756060180535901</v>
      </c>
      <c r="D108" s="114">
        <f>IFERROR((Data_Entry!G106/Data_Entry!$V106/D$2),"")</f>
        <v>1.3632923978598901</v>
      </c>
      <c r="E108" s="114">
        <f>IFERROR((Data_Entry!H106/Data_Entry!$V106/E$2),"")</f>
        <v>1.36787565318037</v>
      </c>
      <c r="F108" s="114">
        <f>IFERROR((Data_Entry!I106/Data_Entry!$V106/F$2),"")</f>
        <v>1.3553377074802799</v>
      </c>
      <c r="G108" s="114">
        <f>IFERROR((Data_Entry!J106/Data_Entry!$V106/G$2),"")</f>
        <v>1.3488592485258999</v>
      </c>
      <c r="H108" s="114">
        <f>IFERROR((Data_Entry!K106/Data_Entry!$V106/H$2),"")</f>
        <v>1.3685744541135201</v>
      </c>
      <c r="I108" s="114">
        <f>IFERROR((Data_Entry!L106/Data_Entry!$V106/I$2),"")</f>
        <v>1.36057813632034</v>
      </c>
    </row>
    <row r="109" spans="1:9" ht="15">
      <c r="A109" s="113">
        <v>45852</v>
      </c>
      <c r="B109" s="19">
        <v>45852</v>
      </c>
      <c r="C109" s="114">
        <f>IFERROR((Data_Entry!F107/Data_Entry!$V107/C$2),"")</f>
        <v>1.2524613706688501</v>
      </c>
      <c r="D109" s="114">
        <f>IFERROR((Data_Entry!G107/Data_Entry!$V107/D$2),"")</f>
        <v>1.2464423367740201</v>
      </c>
      <c r="E109" s="114">
        <f>IFERROR((Data_Entry!H107/Data_Entry!$V107/E$2),"")</f>
        <v>1.24637183564495</v>
      </c>
      <c r="F109" s="114">
        <f>IFERROR((Data_Entry!I107/Data_Entry!$V107/F$2),"")</f>
        <v>1.2379117001558799</v>
      </c>
      <c r="G109" s="114">
        <f>IFERROR((Data_Entry!J107/Data_Entry!$V107/G$2),"")</f>
        <v>1.24057541672834</v>
      </c>
      <c r="H109" s="114">
        <f>IFERROR((Data_Entry!K107/Data_Entry!$V107/H$2),"")</f>
        <v>1.2462568881518901</v>
      </c>
      <c r="I109" s="114">
        <f>IFERROR((Data_Entry!L107/Data_Entry!$V107/I$2),"")</f>
        <v>1.24087044862719</v>
      </c>
    </row>
    <row r="110" spans="1:9" ht="15">
      <c r="A110" s="113">
        <v>45853</v>
      </c>
      <c r="B110" s="19">
        <v>45853</v>
      </c>
      <c r="C110" s="114">
        <f>IFERROR((Data_Entry!F108/Data_Entry!$V108/C$2),"")</f>
        <v>1.27146129183325</v>
      </c>
      <c r="D110" s="114">
        <f>IFERROR((Data_Entry!G108/Data_Entry!$V108/D$2),"")</f>
        <v>1.27607778457303</v>
      </c>
      <c r="E110" s="114">
        <f>IFERROR((Data_Entry!H108/Data_Entry!$V108/E$2),"")</f>
        <v>1.2621563142641901</v>
      </c>
      <c r="F110" s="114">
        <f>IFERROR((Data_Entry!I108/Data_Entry!$V108/F$2),"")</f>
        <v>1.26706938311184</v>
      </c>
      <c r="G110" s="114">
        <f>IFERROR((Data_Entry!J108/Data_Entry!$V108/G$2),"")</f>
        <v>1.26863599358137</v>
      </c>
      <c r="H110" s="114">
        <f>IFERROR((Data_Entry!K108/Data_Entry!$V108/H$2),"")</f>
        <v>1.2730517692455099</v>
      </c>
      <c r="I110" s="114">
        <f>IFERROR((Data_Entry!L108/Data_Entry!$V108/I$2),"")</f>
        <v>1.27366291948362</v>
      </c>
    </row>
    <row r="111" spans="1:9" ht="15">
      <c r="A111" s="113">
        <v>45854</v>
      </c>
      <c r="B111" s="19">
        <v>45854</v>
      </c>
      <c r="C111" s="114">
        <f>IFERROR((Data_Entry!F109/Data_Entry!$V109/C$2),"")</f>
        <v>1.3857826157483499</v>
      </c>
      <c r="D111" s="114">
        <f>IFERROR((Data_Entry!G109/Data_Entry!$V109/D$2),"")</f>
        <v>1.3838177683927699</v>
      </c>
      <c r="E111" s="114">
        <f>IFERROR((Data_Entry!H109/Data_Entry!$V109/E$2),"")</f>
        <v>1.3689333767812799</v>
      </c>
      <c r="F111" s="114">
        <f>IFERROR((Data_Entry!I109/Data_Entry!$V109/F$2),"")</f>
        <v>1.38157908287089</v>
      </c>
      <c r="G111" s="114">
        <f>IFERROR((Data_Entry!J109/Data_Entry!$V109/G$2),"")</f>
        <v>1.3822313014094101</v>
      </c>
      <c r="H111" s="114">
        <f>IFERROR((Data_Entry!K109/Data_Entry!$V109/H$2),"")</f>
        <v>1.38378461134984</v>
      </c>
      <c r="I111" s="114">
        <f>IFERROR((Data_Entry!L109/Data_Entry!$V109/I$2),"")</f>
        <v>1.3850890484268801</v>
      </c>
    </row>
    <row r="112" spans="1:9" ht="15">
      <c r="A112" s="113">
        <v>45855</v>
      </c>
      <c r="B112" s="19">
        <v>45855</v>
      </c>
      <c r="C112" s="114">
        <f>IFERROR((Data_Entry!F110/Data_Entry!$V110/C$2),"")</f>
        <v>2.81818443679518</v>
      </c>
      <c r="D112" s="114">
        <f>IFERROR((Data_Entry!G110/Data_Entry!$V110/D$2),"")</f>
        <v>2.8138800910753701</v>
      </c>
      <c r="E112" s="114">
        <f>IFERROR((Data_Entry!H110/Data_Entry!$V110/E$2),"")</f>
        <v>2.80147441025554</v>
      </c>
      <c r="F112" s="114">
        <f>IFERROR((Data_Entry!I110/Data_Entry!$V110/F$2),"")</f>
        <v>2.78828385700572</v>
      </c>
      <c r="G112" s="114">
        <f>IFERROR((Data_Entry!J110/Data_Entry!$V110/G$2),"")</f>
        <v>2.7951562939311501</v>
      </c>
      <c r="H112" s="114">
        <f>IFERROR((Data_Entry!K110/Data_Entry!$V110/H$2),"")</f>
        <v>2.8082593228755401</v>
      </c>
      <c r="I112" s="114">
        <f>IFERROR((Data_Entry!L110/Data_Entry!$V110/I$2),"")</f>
        <v>2.8080714658297401</v>
      </c>
    </row>
    <row r="113" spans="1:9" ht="15">
      <c r="A113" s="113">
        <v>45856</v>
      </c>
      <c r="B113" s="19">
        <v>45856</v>
      </c>
      <c r="C113" s="114" t="str">
        <f>IFERROR((Data_Entry!F111/Data_Entry!$V111/C$2),"")</f>
        <v/>
      </c>
      <c r="D113" s="114" t="str">
        <f>IFERROR((Data_Entry!G111/Data_Entry!$V111/D$2),"")</f>
        <v/>
      </c>
      <c r="E113" s="114" t="str">
        <f>IFERROR((Data_Entry!H111/Data_Entry!$V111/E$2),"")</f>
        <v/>
      </c>
      <c r="F113" s="114" t="str">
        <f>IFERROR((Data_Entry!I111/Data_Entry!$V111/F$2),"")</f>
        <v/>
      </c>
      <c r="G113" s="114" t="str">
        <f>IFERROR((Data_Entry!J111/Data_Entry!$V111/G$2),"")</f>
        <v/>
      </c>
      <c r="H113" s="114" t="str">
        <f>IFERROR((Data_Entry!K111/Data_Entry!$V111/H$2),"")</f>
        <v/>
      </c>
      <c r="I113" s="114" t="str">
        <f>IFERROR((Data_Entry!L111/Data_Entry!$V111/I$2),"")</f>
        <v/>
      </c>
    </row>
    <row r="114" spans="1:9" ht="15">
      <c r="A114" s="113">
        <v>45857</v>
      </c>
      <c r="B114" s="19">
        <v>45857</v>
      </c>
      <c r="C114" s="114" t="str">
        <f>IFERROR((Data_Entry!F112/Data_Entry!$V112/C$2),"")</f>
        <v/>
      </c>
      <c r="D114" s="114" t="str">
        <f>IFERROR((Data_Entry!G112/Data_Entry!$V112/D$2),"")</f>
        <v/>
      </c>
      <c r="E114" s="114" t="str">
        <f>IFERROR((Data_Entry!H112/Data_Entry!$V112/E$2),"")</f>
        <v/>
      </c>
      <c r="F114" s="114" t="str">
        <f>IFERROR((Data_Entry!I112/Data_Entry!$V112/F$2),"")</f>
        <v/>
      </c>
      <c r="G114" s="114" t="str">
        <f>IFERROR((Data_Entry!J112/Data_Entry!$V112/G$2),"")</f>
        <v/>
      </c>
      <c r="H114" s="114" t="str">
        <f>IFERROR((Data_Entry!K112/Data_Entry!$V112/H$2),"")</f>
        <v/>
      </c>
      <c r="I114" s="114" t="str">
        <f>IFERROR((Data_Entry!L112/Data_Entry!$V112/I$2),"")</f>
        <v/>
      </c>
    </row>
    <row r="115" spans="1:9" ht="15">
      <c r="A115" s="113">
        <v>45858</v>
      </c>
      <c r="B115" s="19">
        <v>45858</v>
      </c>
      <c r="C115" s="114" t="str">
        <f>IFERROR((Data_Entry!F113/Data_Entry!$V113/C$2),"")</f>
        <v/>
      </c>
      <c r="D115" s="114" t="str">
        <f>IFERROR((Data_Entry!G113/Data_Entry!$V113/D$2),"")</f>
        <v/>
      </c>
      <c r="E115" s="114" t="str">
        <f>IFERROR((Data_Entry!H113/Data_Entry!$V113/E$2),"")</f>
        <v/>
      </c>
      <c r="F115" s="114" t="str">
        <f>IFERROR((Data_Entry!I113/Data_Entry!$V113/F$2),"")</f>
        <v/>
      </c>
      <c r="G115" s="114" t="str">
        <f>IFERROR((Data_Entry!J113/Data_Entry!$V113/G$2),"")</f>
        <v/>
      </c>
      <c r="H115" s="114" t="str">
        <f>IFERROR((Data_Entry!K113/Data_Entry!$V113/H$2),"")</f>
        <v/>
      </c>
      <c r="I115" s="114" t="str">
        <f>IFERROR((Data_Entry!L113/Data_Entry!$V113/I$2),"")</f>
        <v/>
      </c>
    </row>
    <row r="116" spans="1:9" ht="15">
      <c r="A116" s="113">
        <v>45859</v>
      </c>
      <c r="B116" s="19">
        <v>45859</v>
      </c>
      <c r="C116" s="114" t="str">
        <f>IFERROR((Data_Entry!F114/Data_Entry!$V114/C$2),"")</f>
        <v/>
      </c>
      <c r="D116" s="114" t="str">
        <f>IFERROR((Data_Entry!G114/Data_Entry!$V114/D$2),"")</f>
        <v/>
      </c>
      <c r="E116" s="114" t="str">
        <f>IFERROR((Data_Entry!H114/Data_Entry!$V114/E$2),"")</f>
        <v/>
      </c>
      <c r="F116" s="114" t="str">
        <f>IFERROR((Data_Entry!I114/Data_Entry!$V114/F$2),"")</f>
        <v/>
      </c>
      <c r="G116" s="114" t="str">
        <f>IFERROR((Data_Entry!J114/Data_Entry!$V114/G$2),"")</f>
        <v/>
      </c>
      <c r="H116" s="114" t="str">
        <f>IFERROR((Data_Entry!K114/Data_Entry!$V114/H$2),"")</f>
        <v/>
      </c>
      <c r="I116" s="114" t="str">
        <f>IFERROR((Data_Entry!L114/Data_Entry!$V114/I$2),"")</f>
        <v/>
      </c>
    </row>
    <row r="117" spans="1:9" ht="15">
      <c r="A117" s="113">
        <v>45860</v>
      </c>
      <c r="B117" s="19">
        <v>45860</v>
      </c>
      <c r="C117" s="114" t="str">
        <f>IFERROR((Data_Entry!F115/Data_Entry!$V115/C$2),"")</f>
        <v/>
      </c>
      <c r="D117" s="114" t="str">
        <f>IFERROR((Data_Entry!G115/Data_Entry!$V115/D$2),"")</f>
        <v/>
      </c>
      <c r="E117" s="114" t="str">
        <f>IFERROR((Data_Entry!H115/Data_Entry!$V115/E$2),"")</f>
        <v/>
      </c>
      <c r="F117" s="114" t="str">
        <f>IFERROR((Data_Entry!I115/Data_Entry!$V115/F$2),"")</f>
        <v/>
      </c>
      <c r="G117" s="114" t="str">
        <f>IFERROR((Data_Entry!J115/Data_Entry!$V115/G$2),"")</f>
        <v/>
      </c>
      <c r="H117" s="114" t="str">
        <f>IFERROR((Data_Entry!K115/Data_Entry!$V115/H$2),"")</f>
        <v/>
      </c>
      <c r="I117" s="114" t="str">
        <f>IFERROR((Data_Entry!L115/Data_Entry!$V115/I$2),"")</f>
        <v/>
      </c>
    </row>
    <row r="118" spans="1:9" ht="15">
      <c r="A118" s="113">
        <v>45861</v>
      </c>
      <c r="B118" s="19">
        <v>45861</v>
      </c>
      <c r="C118" s="114" t="str">
        <f>IFERROR((Data_Entry!F116/Data_Entry!$V116/C$2),"")</f>
        <v/>
      </c>
      <c r="D118" s="114" t="str">
        <f>IFERROR((Data_Entry!G116/Data_Entry!$V116/D$2),"")</f>
        <v/>
      </c>
      <c r="E118" s="114" t="str">
        <f>IFERROR((Data_Entry!H116/Data_Entry!$V116/E$2),"")</f>
        <v/>
      </c>
      <c r="F118" s="114" t="str">
        <f>IFERROR((Data_Entry!I116/Data_Entry!$V116/F$2),"")</f>
        <v/>
      </c>
      <c r="G118" s="114" t="str">
        <f>IFERROR((Data_Entry!J116/Data_Entry!$V116/G$2),"")</f>
        <v/>
      </c>
      <c r="H118" s="114" t="str">
        <f>IFERROR((Data_Entry!K116/Data_Entry!$V116/H$2),"")</f>
        <v/>
      </c>
      <c r="I118" s="114" t="str">
        <f>IFERROR((Data_Entry!L116/Data_Entry!$V116/I$2),"")</f>
        <v/>
      </c>
    </row>
    <row r="119" spans="1:9" ht="15">
      <c r="A119" s="113">
        <v>45862</v>
      </c>
      <c r="B119" s="19">
        <v>45862</v>
      </c>
      <c r="C119" s="114" t="str">
        <f>IFERROR((Data_Entry!F117/Data_Entry!$V117/C$2),"")</f>
        <v/>
      </c>
      <c r="D119" s="114" t="str">
        <f>IFERROR((Data_Entry!G117/Data_Entry!$V117/D$2),"")</f>
        <v/>
      </c>
      <c r="E119" s="114" t="str">
        <f>IFERROR((Data_Entry!H117/Data_Entry!$V117/E$2),"")</f>
        <v/>
      </c>
      <c r="F119" s="114" t="str">
        <f>IFERROR((Data_Entry!I117/Data_Entry!$V117/F$2),"")</f>
        <v/>
      </c>
      <c r="G119" s="114" t="str">
        <f>IFERROR((Data_Entry!J117/Data_Entry!$V117/G$2),"")</f>
        <v/>
      </c>
      <c r="H119" s="114" t="str">
        <f>IFERROR((Data_Entry!K117/Data_Entry!$V117/H$2),"")</f>
        <v/>
      </c>
      <c r="I119" s="114" t="str">
        <f>IFERROR((Data_Entry!L117/Data_Entry!$V117/I$2),"")</f>
        <v/>
      </c>
    </row>
    <row r="120" spans="1:9" ht="15">
      <c r="A120" s="113">
        <v>45863</v>
      </c>
      <c r="B120" s="19">
        <v>45863</v>
      </c>
      <c r="C120" s="114" t="str">
        <f>IFERROR((Data_Entry!F118/Data_Entry!$V118/C$2),"")</f>
        <v/>
      </c>
      <c r="D120" s="114" t="str">
        <f>IFERROR((Data_Entry!G118/Data_Entry!$V118/D$2),"")</f>
        <v/>
      </c>
      <c r="E120" s="114" t="str">
        <f>IFERROR((Data_Entry!H118/Data_Entry!$V118/E$2),"")</f>
        <v/>
      </c>
      <c r="F120" s="114" t="str">
        <f>IFERROR((Data_Entry!I118/Data_Entry!$V118/F$2),"")</f>
        <v/>
      </c>
      <c r="G120" s="114" t="str">
        <f>IFERROR((Data_Entry!J118/Data_Entry!$V118/G$2),"")</f>
        <v/>
      </c>
      <c r="H120" s="114" t="str">
        <f>IFERROR((Data_Entry!K118/Data_Entry!$V118/H$2),"")</f>
        <v/>
      </c>
      <c r="I120" s="114" t="str">
        <f>IFERROR((Data_Entry!L118/Data_Entry!$V118/I$2),"")</f>
        <v/>
      </c>
    </row>
    <row r="121" spans="1:9" ht="15">
      <c r="A121" s="113">
        <v>45864</v>
      </c>
      <c r="B121" s="19">
        <v>45864</v>
      </c>
      <c r="C121" s="114" t="str">
        <f>IFERROR((Data_Entry!F119/Data_Entry!$V119/C$2),"")</f>
        <v/>
      </c>
      <c r="D121" s="114" t="str">
        <f>IFERROR((Data_Entry!G119/Data_Entry!$V119/D$2),"")</f>
        <v/>
      </c>
      <c r="E121" s="114" t="str">
        <f>IFERROR((Data_Entry!H119/Data_Entry!$V119/E$2),"")</f>
        <v/>
      </c>
      <c r="F121" s="114" t="str">
        <f>IFERROR((Data_Entry!I119/Data_Entry!$V119/F$2),"")</f>
        <v/>
      </c>
      <c r="G121" s="114" t="str">
        <f>IFERROR((Data_Entry!J119/Data_Entry!$V119/G$2),"")</f>
        <v/>
      </c>
      <c r="H121" s="114" t="str">
        <f>IFERROR((Data_Entry!K119/Data_Entry!$V119/H$2),"")</f>
        <v/>
      </c>
      <c r="I121" s="114" t="str">
        <f>IFERROR((Data_Entry!L119/Data_Entry!$V119/I$2),"")</f>
        <v/>
      </c>
    </row>
    <row r="122" spans="1:9" ht="15">
      <c r="A122" s="113">
        <v>45865</v>
      </c>
      <c r="B122" s="19">
        <v>45865</v>
      </c>
      <c r="C122" s="114" t="str">
        <f>IFERROR((Data_Entry!F120/Data_Entry!$V120/C$2),"")</f>
        <v/>
      </c>
      <c r="D122" s="114" t="str">
        <f>IFERROR((Data_Entry!G120/Data_Entry!$V120/D$2),"")</f>
        <v/>
      </c>
      <c r="E122" s="114" t="str">
        <f>IFERROR((Data_Entry!H120/Data_Entry!$V120/E$2),"")</f>
        <v/>
      </c>
      <c r="F122" s="114" t="str">
        <f>IFERROR((Data_Entry!I120/Data_Entry!$V120/F$2),"")</f>
        <v/>
      </c>
      <c r="G122" s="114" t="str">
        <f>IFERROR((Data_Entry!J120/Data_Entry!$V120/G$2),"")</f>
        <v/>
      </c>
      <c r="H122" s="114" t="str">
        <f>IFERROR((Data_Entry!K120/Data_Entry!$V120/H$2),"")</f>
        <v/>
      </c>
      <c r="I122" s="114" t="str">
        <f>IFERROR((Data_Entry!L120/Data_Entry!$V120/I$2),"")</f>
        <v/>
      </c>
    </row>
    <row r="123" spans="1:9" ht="15">
      <c r="A123" s="113">
        <v>45866</v>
      </c>
      <c r="B123" s="19">
        <v>45866</v>
      </c>
      <c r="C123" s="114" t="str">
        <f>IFERROR((Data_Entry!F121/Data_Entry!$V121/C$2),"")</f>
        <v/>
      </c>
      <c r="D123" s="114" t="str">
        <f>IFERROR((Data_Entry!G121/Data_Entry!$V121/D$2),"")</f>
        <v/>
      </c>
      <c r="E123" s="114" t="str">
        <f>IFERROR((Data_Entry!H121/Data_Entry!$V121/E$2),"")</f>
        <v/>
      </c>
      <c r="F123" s="114" t="str">
        <f>IFERROR((Data_Entry!I121/Data_Entry!$V121/F$2),"")</f>
        <v/>
      </c>
      <c r="G123" s="114" t="str">
        <f>IFERROR((Data_Entry!J121/Data_Entry!$V121/G$2),"")</f>
        <v/>
      </c>
      <c r="H123" s="114" t="str">
        <f>IFERROR((Data_Entry!K121/Data_Entry!$V121/H$2),"")</f>
        <v/>
      </c>
      <c r="I123" s="114" t="str">
        <f>IFERROR((Data_Entry!L121/Data_Entry!$V121/I$2),"")</f>
        <v/>
      </c>
    </row>
    <row r="124" spans="1:9" ht="15">
      <c r="A124" s="113">
        <v>45867</v>
      </c>
      <c r="B124" s="19">
        <v>45867</v>
      </c>
      <c r="C124" s="114" t="str">
        <f>IFERROR((Data_Entry!F122/Data_Entry!$V122/C$2),"")</f>
        <v/>
      </c>
      <c r="D124" s="114" t="str">
        <f>IFERROR((Data_Entry!G122/Data_Entry!$V122/D$2),"")</f>
        <v/>
      </c>
      <c r="E124" s="114" t="str">
        <f>IFERROR((Data_Entry!H122/Data_Entry!$V122/E$2),"")</f>
        <v/>
      </c>
      <c r="F124" s="114" t="str">
        <f>IFERROR((Data_Entry!I122/Data_Entry!$V122/F$2),"")</f>
        <v/>
      </c>
      <c r="G124" s="114" t="str">
        <f>IFERROR((Data_Entry!J122/Data_Entry!$V122/G$2),"")</f>
        <v/>
      </c>
      <c r="H124" s="114" t="str">
        <f>IFERROR((Data_Entry!K122/Data_Entry!$V122/H$2),"")</f>
        <v/>
      </c>
      <c r="I124" s="114" t="str">
        <f>IFERROR((Data_Entry!L122/Data_Entry!$V122/I$2),"")</f>
        <v/>
      </c>
    </row>
    <row r="125" spans="1:9" ht="15">
      <c r="A125" s="113">
        <v>45868</v>
      </c>
      <c r="B125" s="19">
        <v>45868</v>
      </c>
      <c r="C125" s="114" t="str">
        <f>IFERROR((Data_Entry!F123/Data_Entry!$V123/C$2),"")</f>
        <v/>
      </c>
      <c r="D125" s="114" t="str">
        <f>IFERROR((Data_Entry!G123/Data_Entry!$V123/D$2),"")</f>
        <v/>
      </c>
      <c r="E125" s="114" t="str">
        <f>IFERROR((Data_Entry!H123/Data_Entry!$V123/E$2),"")</f>
        <v/>
      </c>
      <c r="F125" s="114" t="str">
        <f>IFERROR((Data_Entry!I123/Data_Entry!$V123/F$2),"")</f>
        <v/>
      </c>
      <c r="G125" s="114" t="str">
        <f>IFERROR((Data_Entry!J123/Data_Entry!$V123/G$2),"")</f>
        <v/>
      </c>
      <c r="H125" s="114" t="str">
        <f>IFERROR((Data_Entry!K123/Data_Entry!$V123/H$2),"")</f>
        <v/>
      </c>
      <c r="I125" s="114" t="str">
        <f>IFERROR((Data_Entry!L123/Data_Entry!$V123/I$2),"")</f>
        <v/>
      </c>
    </row>
    <row r="126" spans="1:9" ht="15">
      <c r="A126" s="113">
        <v>45869</v>
      </c>
      <c r="B126" s="19">
        <v>45869</v>
      </c>
      <c r="C126" s="114">
        <f>IFERROR((Data_Entry!F124/Data_Entry!$V124/C$2),"")</f>
        <v>1.11870247962641</v>
      </c>
      <c r="D126" s="114">
        <f>IFERROR((Data_Entry!G124/Data_Entry!$V124/D$2),"")</f>
        <v>1.1176217222738301</v>
      </c>
      <c r="E126" s="114">
        <f>IFERROR((Data_Entry!H124/Data_Entry!$V124/E$2),"")</f>
        <v>1.10784218622978</v>
      </c>
      <c r="F126" s="114">
        <f>IFERROR((Data_Entry!I124/Data_Entry!$V124/F$2),"")</f>
        <v>1.10843872302937</v>
      </c>
      <c r="G126" s="114">
        <f>IFERROR((Data_Entry!J124/Data_Entry!$V124/G$2),"")</f>
        <v>1.11106096356245</v>
      </c>
      <c r="H126" s="114">
        <f>IFERROR((Data_Entry!K124/Data_Entry!$V124/H$2),"")</f>
        <v>1.1221424511998499</v>
      </c>
      <c r="I126" s="114">
        <f>IFERROR((Data_Entry!L124/Data_Entry!$V124/I$2),"")</f>
        <v>1.1177930618541201</v>
      </c>
    </row>
    <row r="127" spans="1:9" ht="15">
      <c r="A127" s="113">
        <v>45870</v>
      </c>
      <c r="B127" s="19">
        <v>45870</v>
      </c>
      <c r="C127" s="114">
        <f>IFERROR((Data_Entry!F125/Data_Entry!$V125/C$2),"")</f>
        <v>1.00246685558643</v>
      </c>
      <c r="D127" s="114">
        <f>IFERROR((Data_Entry!G125/Data_Entry!$V125/D$2),"")</f>
        <v>1.0012397611836801</v>
      </c>
      <c r="E127" s="114">
        <f>IFERROR((Data_Entry!H125/Data_Entry!$V125/E$2),"")</f>
        <v>0.99508449732473603</v>
      </c>
      <c r="F127" s="114">
        <f>IFERROR((Data_Entry!I125/Data_Entry!$V125/F$2),"")</f>
        <v>0.99238032890914496</v>
      </c>
      <c r="G127" s="114">
        <f>IFERROR((Data_Entry!J125/Data_Entry!$V125/G$2),"")</f>
        <v>0.99570277735865897</v>
      </c>
      <c r="H127" s="114">
        <f>IFERROR((Data_Entry!K125/Data_Entry!$V125/H$2),"")</f>
        <v>1.0073266140994099</v>
      </c>
      <c r="I127" s="114">
        <f>IFERROR((Data_Entry!L125/Data_Entry!$V125/I$2),"")</f>
        <v>1.00143897040825</v>
      </c>
    </row>
    <row r="128" spans="1:9" ht="15">
      <c r="A128" s="113">
        <v>45871</v>
      </c>
      <c r="B128" s="19">
        <v>45871</v>
      </c>
      <c r="C128" s="114">
        <f>IFERROR((Data_Entry!F126/Data_Entry!$V126/C$2),"")</f>
        <v>0.95275225832741695</v>
      </c>
      <c r="D128" s="114">
        <f>IFERROR((Data_Entry!G126/Data_Entry!$V126/D$2),"")</f>
        <v>0.95095447953598999</v>
      </c>
      <c r="E128" s="114">
        <f>IFERROR((Data_Entry!H126/Data_Entry!$V126/E$2),"")</f>
        <v>0.94338442080149898</v>
      </c>
      <c r="F128" s="114">
        <f>IFERROR((Data_Entry!I126/Data_Entry!$V126/F$2),"")</f>
        <v>0.94724627340993806</v>
      </c>
      <c r="G128" s="114">
        <f>IFERROR((Data_Entry!J126/Data_Entry!$V126/G$2),"")</f>
        <v>0.94906704169997702</v>
      </c>
      <c r="H128" s="114">
        <f>IFERROR((Data_Entry!K126/Data_Entry!$V126/H$2),"")</f>
        <v>0.95468950674375497</v>
      </c>
      <c r="I128" s="114">
        <f>IFERROR((Data_Entry!L126/Data_Entry!$V126/I$2),"")</f>
        <v>0.95111540602627098</v>
      </c>
    </row>
    <row r="129" spans="1:9" ht="15">
      <c r="A129" s="113">
        <v>45872</v>
      </c>
      <c r="B129" s="19">
        <v>45872</v>
      </c>
      <c r="C129" s="114">
        <f>IFERROR((Data_Entry!F127/Data_Entry!$V127/C$2),"")</f>
        <v>0.82887055001975296</v>
      </c>
      <c r="D129" s="114">
        <f>IFERROR((Data_Entry!G127/Data_Entry!$V127/D$2),"")</f>
        <v>0.82633083960944897</v>
      </c>
      <c r="E129" s="114">
        <f>IFERROR((Data_Entry!H127/Data_Entry!$V127/E$2),"")</f>
        <v>0.82299942934901904</v>
      </c>
      <c r="F129" s="114">
        <f>IFERROR((Data_Entry!I127/Data_Entry!$V127/F$2),"")</f>
        <v>0.81991476497386295</v>
      </c>
      <c r="G129" s="114">
        <f>IFERROR((Data_Entry!J127/Data_Entry!$V127/G$2),"")</f>
        <v>0.822696449940167</v>
      </c>
      <c r="H129" s="114">
        <f>IFERROR((Data_Entry!K127/Data_Entry!$V127/H$2),"")</f>
        <v>0.83067411248504197</v>
      </c>
      <c r="I129" s="114">
        <f>IFERROR((Data_Entry!L127/Data_Entry!$V127/I$2),"")</f>
        <v>0.82647534272458201</v>
      </c>
    </row>
    <row r="130" spans="1:9" ht="15">
      <c r="A130" s="113">
        <v>45873</v>
      </c>
      <c r="B130" s="19">
        <v>45873</v>
      </c>
      <c r="C130" s="114">
        <f>IFERROR((Data_Entry!F128/Data_Entry!$V128/C$2),"")</f>
        <v>0.95481546929181804</v>
      </c>
      <c r="D130" s="114">
        <f>IFERROR((Data_Entry!G128/Data_Entry!$V128/D$2),"")</f>
        <v>0.95787151011742899</v>
      </c>
      <c r="E130" s="114">
        <f>IFERROR((Data_Entry!H128/Data_Entry!$V128/E$2),"")</f>
        <v>0.94727981419271801</v>
      </c>
      <c r="F130" s="114">
        <f>IFERROR((Data_Entry!I128/Data_Entry!$V128/F$2),"")</f>
        <v>0.94955645528327703</v>
      </c>
      <c r="G130" s="114">
        <f>IFERROR((Data_Entry!J128/Data_Entry!$V128/G$2),"")</f>
        <v>0.95276084107356596</v>
      </c>
      <c r="H130" s="114">
        <f>IFERROR((Data_Entry!K128/Data_Entry!$V128/H$2),"")</f>
        <v>0.95409291830740295</v>
      </c>
      <c r="I130" s="114">
        <f>IFERROR((Data_Entry!L128/Data_Entry!$V128/I$2),"")</f>
        <v>0.956083633729084</v>
      </c>
    </row>
    <row r="131" spans="1:9" ht="15">
      <c r="A131" s="113">
        <v>45874</v>
      </c>
      <c r="B131" s="19">
        <v>45874</v>
      </c>
      <c r="C131" s="114">
        <f>IFERROR((Data_Entry!F129/Data_Entry!$V129/C$2),"")</f>
        <v>1.0731495823238899</v>
      </c>
      <c r="D131" s="114">
        <f>IFERROR((Data_Entry!G129/Data_Entry!$V129/D$2),"")</f>
        <v>1.0746783191082001</v>
      </c>
      <c r="E131" s="114">
        <f>IFERROR((Data_Entry!H129/Data_Entry!$V129/E$2),"")</f>
        <v>1.0639062408394</v>
      </c>
      <c r="F131" s="114">
        <f>IFERROR((Data_Entry!I129/Data_Entry!$V129/F$2),"")</f>
        <v>1.06383155132372</v>
      </c>
      <c r="G131" s="114">
        <f>IFERROR((Data_Entry!J129/Data_Entry!$V129/G$2),"")</f>
        <v>1.0674420013983501</v>
      </c>
      <c r="H131" s="114">
        <f>IFERROR((Data_Entry!K129/Data_Entry!$V129/H$2),"")</f>
        <v>1.06920577032834</v>
      </c>
      <c r="I131" s="114">
        <f>IFERROR((Data_Entry!L129/Data_Entry!$V129/I$2),"")</f>
        <v>1.07060774050346</v>
      </c>
    </row>
    <row r="132" spans="1:9" ht="15">
      <c r="A132" s="113">
        <v>45875</v>
      </c>
      <c r="B132" s="19">
        <v>45875</v>
      </c>
      <c r="C132" s="114">
        <f>IFERROR((Data_Entry!F130/Data_Entry!$V130/C$2),"")</f>
        <v>0.90625307580333503</v>
      </c>
      <c r="D132" s="114">
        <f>IFERROR((Data_Entry!G130/Data_Entry!$V130/D$2),"")</f>
        <v>0.90932887913841198</v>
      </c>
      <c r="E132" s="114">
        <f>IFERROR((Data_Entry!H130/Data_Entry!$V130/E$2),"")</f>
        <v>0.90291825745056697</v>
      </c>
      <c r="F132" s="114">
        <f>IFERROR((Data_Entry!I130/Data_Entry!$V130/F$2),"")</f>
        <v>0.907312010841693</v>
      </c>
      <c r="G132" s="114">
        <f>IFERROR((Data_Entry!J130/Data_Entry!$V130/G$2),"")</f>
        <v>0.90927855420970305</v>
      </c>
      <c r="H132" s="114">
        <f>IFERROR((Data_Entry!K130/Data_Entry!$V130/H$2),"")</f>
        <v>0.91065668302665603</v>
      </c>
      <c r="I132" s="114">
        <f>IFERROR((Data_Entry!L130/Data_Entry!$V130/I$2),"")</f>
        <v>0.91525560728097999</v>
      </c>
    </row>
    <row r="133" spans="1:9" ht="15">
      <c r="A133" s="113">
        <v>45876</v>
      </c>
      <c r="B133" s="19">
        <v>45876</v>
      </c>
      <c r="C133" s="114">
        <f>IFERROR((Data_Entry!F131/Data_Entry!$V131/C$2),"")</f>
        <v>1.1217320349930899</v>
      </c>
      <c r="D133" s="114">
        <f>IFERROR((Data_Entry!G131/Data_Entry!$V131/D$2),"")</f>
        <v>1.1244038141452699</v>
      </c>
      <c r="E133" s="114">
        <f>IFERROR((Data_Entry!H131/Data_Entry!$V131/E$2),"")</f>
        <v>1.1126606226689599</v>
      </c>
      <c r="F133" s="114">
        <f>IFERROR((Data_Entry!I131/Data_Entry!$V131/F$2),"")</f>
        <v>1.11365233622912</v>
      </c>
      <c r="G133" s="114">
        <f>IFERROR((Data_Entry!J131/Data_Entry!$V131/G$2),"")</f>
        <v>1.11857362156525</v>
      </c>
      <c r="H133" s="114">
        <f>IFERROR((Data_Entry!K131/Data_Entry!$V131/H$2),"")</f>
        <v>1.1188671719186301</v>
      </c>
      <c r="I133" s="114">
        <f>IFERROR((Data_Entry!L131/Data_Entry!$V131/I$2),"")</f>
        <v>1.12295960919814</v>
      </c>
    </row>
    <row r="134" spans="1:9" ht="15">
      <c r="A134" s="113">
        <v>45877</v>
      </c>
      <c r="B134" s="19">
        <v>45877</v>
      </c>
      <c r="C134" s="114">
        <f>IFERROR((Data_Entry!F132/Data_Entry!$V132/C$2),"")</f>
        <v>1.09025713916527</v>
      </c>
      <c r="D134" s="114">
        <f>IFERROR((Data_Entry!G132/Data_Entry!$V132/D$2),"")</f>
        <v>1.08869088872965</v>
      </c>
      <c r="E134" s="114">
        <f>IFERROR((Data_Entry!H132/Data_Entry!$V132/E$2),"")</f>
        <v>1.0872574898934899</v>
      </c>
      <c r="F134" s="114">
        <f>IFERROR((Data_Entry!I132/Data_Entry!$V132/F$2),"")</f>
        <v>1.0790979088197601</v>
      </c>
      <c r="G134" s="114">
        <f>IFERROR((Data_Entry!J132/Data_Entry!$V132/G$2),"")</f>
        <v>1.08779254439013</v>
      </c>
      <c r="H134" s="114">
        <f>IFERROR((Data_Entry!K132/Data_Entry!$V132/H$2),"")</f>
        <v>1.0979452034638399</v>
      </c>
      <c r="I134" s="114">
        <f>IFERROR((Data_Entry!L132/Data_Entry!$V132/I$2),"")</f>
        <v>1.09377846657127</v>
      </c>
    </row>
    <row r="135" spans="1:9" ht="15">
      <c r="A135" s="113">
        <v>45878</v>
      </c>
      <c r="B135" s="19">
        <v>45878</v>
      </c>
      <c r="C135" s="114">
        <f>IFERROR((Data_Entry!F133/Data_Entry!$V133/C$2),"")</f>
        <v>1.0109721220983601</v>
      </c>
      <c r="D135" s="114">
        <f>IFERROR((Data_Entry!G133/Data_Entry!$V133/D$2),"")</f>
        <v>1.01259845971685</v>
      </c>
      <c r="E135" s="114">
        <f>IFERROR((Data_Entry!H133/Data_Entry!$V133/E$2),"")</f>
        <v>1.0038922501830501</v>
      </c>
      <c r="F135" s="114">
        <f>IFERROR((Data_Entry!I133/Data_Entry!$V133/F$2),"")</f>
        <v>1.0091117486552701</v>
      </c>
      <c r="G135" s="114">
        <f>IFERROR((Data_Entry!J133/Data_Entry!$V133/G$2),"")</f>
        <v>1.0111239187333501</v>
      </c>
      <c r="H135" s="114">
        <f>IFERROR((Data_Entry!K133/Data_Entry!$V133/H$2),"")</f>
        <v>1.01810733253376</v>
      </c>
      <c r="I135" s="114">
        <f>IFERROR((Data_Entry!L133/Data_Entry!$V133/I$2),"")</f>
        <v>1.016517887262</v>
      </c>
    </row>
    <row r="136" spans="1:9" ht="15">
      <c r="A136" s="113">
        <v>45879</v>
      </c>
      <c r="B136" s="19">
        <v>45879</v>
      </c>
      <c r="C136" s="114">
        <f>IFERROR((Data_Entry!F134/Data_Entry!$V134/C$2),"")</f>
        <v>0.98829801931057104</v>
      </c>
      <c r="D136" s="114">
        <f>IFERROR((Data_Entry!G134/Data_Entry!$V134/D$2),"")</f>
        <v>0.98669903856485697</v>
      </c>
      <c r="E136" s="114">
        <f>IFERROR((Data_Entry!H134/Data_Entry!$V134/E$2),"")</f>
        <v>0.98078737832213403</v>
      </c>
      <c r="F136" s="114">
        <f>IFERROR((Data_Entry!I134/Data_Entry!$V134/F$2),"")</f>
        <v>0.989237147380848</v>
      </c>
      <c r="G136" s="114">
        <f>IFERROR((Data_Entry!J134/Data_Entry!$V134/G$2),"")</f>
        <v>0.991273513915638</v>
      </c>
      <c r="H136" s="114">
        <f>IFERROR((Data_Entry!K134/Data_Entry!$V134/H$2),"")</f>
        <v>0.99405276094595096</v>
      </c>
      <c r="I136" s="114">
        <f>IFERROR((Data_Entry!L134/Data_Entry!$V134/I$2),"")</f>
        <v>1.00128055117887</v>
      </c>
    </row>
    <row r="137" spans="1:9" ht="15">
      <c r="A137" s="113">
        <v>45880</v>
      </c>
      <c r="B137" s="19">
        <v>45880</v>
      </c>
      <c r="C137" s="114">
        <f>IFERROR((Data_Entry!F135/Data_Entry!$V135/C$2),"")</f>
        <v>1.0464341140220801</v>
      </c>
      <c r="D137" s="114">
        <f>IFERROR((Data_Entry!G135/Data_Entry!$V135/D$2),"")</f>
        <v>1.04883213407194</v>
      </c>
      <c r="E137" s="114">
        <f>IFERROR((Data_Entry!H135/Data_Entry!$V135/E$2),"")</f>
        <v>1.0392174310418401</v>
      </c>
      <c r="F137" s="114">
        <f>IFERROR((Data_Entry!I135/Data_Entry!$V135/F$2),"")</f>
        <v>1.0420154489671201</v>
      </c>
      <c r="G137" s="114">
        <f>IFERROR((Data_Entry!J135/Data_Entry!$V135/G$2),"")</f>
        <v>1.0453551033597801</v>
      </c>
      <c r="H137" s="114">
        <f>IFERROR((Data_Entry!K135/Data_Entry!$V135/H$2),"")</f>
        <v>1.04398461883579</v>
      </c>
      <c r="I137" s="114">
        <f>IFERROR((Data_Entry!L135/Data_Entry!$V135/I$2),"")</f>
        <v>1.0496685230721099</v>
      </c>
    </row>
    <row r="138" spans="1:9" ht="15">
      <c r="A138" s="113">
        <v>45881</v>
      </c>
      <c r="B138" s="19">
        <v>45881</v>
      </c>
      <c r="C138" s="114">
        <f>IFERROR((Data_Entry!F136/Data_Entry!$V136/C$2),"")</f>
        <v>1.0161889779589801</v>
      </c>
      <c r="D138" s="114">
        <f>IFERROR((Data_Entry!G136/Data_Entry!$V136/D$2),"")</f>
        <v>1.01484749340004</v>
      </c>
      <c r="E138" s="114">
        <f>IFERROR((Data_Entry!H136/Data_Entry!$V136/E$2),"")</f>
        <v>1.01044800102934</v>
      </c>
      <c r="F138" s="114">
        <f>IFERROR((Data_Entry!I136/Data_Entry!$V136/F$2),"")</f>
        <v>1.0099773211969501</v>
      </c>
      <c r="G138" s="114">
        <f>IFERROR((Data_Entry!J136/Data_Entry!$V136/G$2),"")</f>
        <v>1.0184351336148101</v>
      </c>
      <c r="H138" s="114">
        <f>IFERROR((Data_Entry!K136/Data_Entry!$V136/H$2),"")</f>
        <v>1.0129299669676199</v>
      </c>
      <c r="I138" s="114">
        <f>IFERROR((Data_Entry!L136/Data_Entry!$V136/I$2),"")</f>
        <v>1.0251337762393999</v>
      </c>
    </row>
    <row r="139" spans="1:9" ht="15">
      <c r="A139" s="113">
        <v>45882</v>
      </c>
      <c r="B139" s="19">
        <v>45882</v>
      </c>
      <c r="C139" s="114">
        <f>IFERROR((Data_Entry!F137/Data_Entry!$V137/C$2),"")</f>
        <v>0.96758921164043299</v>
      </c>
      <c r="D139" s="114">
        <f>IFERROR((Data_Entry!G137/Data_Entry!$V137/D$2),"")</f>
        <v>0.95768650027806201</v>
      </c>
      <c r="E139" s="114">
        <f>IFERROR((Data_Entry!H137/Data_Entry!$V137/E$2),"")</f>
        <v>0.96233134346469795</v>
      </c>
      <c r="F139" s="114">
        <f>IFERROR((Data_Entry!I137/Data_Entry!$V137/F$2),"")</f>
        <v>0.95108742637088095</v>
      </c>
      <c r="G139" s="114">
        <f>IFERROR((Data_Entry!J137/Data_Entry!$V137/G$2),"")</f>
        <v>0.96098808748245201</v>
      </c>
      <c r="H139" s="114">
        <f>IFERROR((Data_Entry!K137/Data_Entry!$V137/H$2),"")</f>
        <v>0.96533325234387102</v>
      </c>
      <c r="I139" s="114">
        <f>IFERROR((Data_Entry!L137/Data_Entry!$V137/I$2),"")</f>
        <v>0.96289003680760599</v>
      </c>
    </row>
    <row r="140" spans="1:9" ht="15">
      <c r="A140" s="113">
        <v>45883</v>
      </c>
      <c r="B140" s="19">
        <v>45883</v>
      </c>
      <c r="C140" s="114">
        <f>IFERROR((Data_Entry!F138/Data_Entry!$V138/C$2),"")</f>
        <v>1.1047974425193501</v>
      </c>
      <c r="D140" s="114">
        <f>IFERROR((Data_Entry!G138/Data_Entry!$V138/D$2),"")</f>
        <v>1.0964030012641901</v>
      </c>
      <c r="E140" s="114">
        <f>IFERROR((Data_Entry!H138/Data_Entry!$V138/E$2),"")</f>
        <v>1.0832310784651999</v>
      </c>
      <c r="F140" s="114">
        <f>IFERROR((Data_Entry!I138/Data_Entry!$V138/F$2),"")</f>
        <v>1.0794635872987901</v>
      </c>
      <c r="G140" s="114">
        <f>IFERROR((Data_Entry!J138/Data_Entry!$V138/G$2),"")</f>
        <v>1.08571694986875</v>
      </c>
      <c r="H140" s="114">
        <f>IFERROR((Data_Entry!K138/Data_Entry!$V138/H$2),"")</f>
        <v>1.09581853555869</v>
      </c>
      <c r="I140" s="114">
        <f>IFERROR((Data_Entry!L138/Data_Entry!$V138/I$2),"")</f>
        <v>1.0869565217391299</v>
      </c>
    </row>
    <row r="141" spans="1:9" ht="15">
      <c r="A141" s="113">
        <v>45884</v>
      </c>
      <c r="B141" s="19">
        <v>45884</v>
      </c>
      <c r="C141" s="114">
        <f>IFERROR((Data_Entry!F139/Data_Entry!$V139/C$2),"")</f>
        <v>1.04660213708173</v>
      </c>
      <c r="D141" s="114">
        <f>IFERROR((Data_Entry!G139/Data_Entry!$V139/D$2),"")</f>
        <v>1.0581333460803899</v>
      </c>
      <c r="E141" s="114">
        <f>IFERROR((Data_Entry!H139/Data_Entry!$V139/E$2),"")</f>
        <v>1.04380182801322</v>
      </c>
      <c r="F141" s="114">
        <f>IFERROR((Data_Entry!I139/Data_Entry!$V139/F$2),"")</f>
        <v>1.0430674351337199</v>
      </c>
      <c r="G141" s="114">
        <f>IFERROR((Data_Entry!J139/Data_Entry!$V139/G$2),"")</f>
        <v>1.04872311334935</v>
      </c>
      <c r="H141" s="114">
        <f>IFERROR((Data_Entry!K139/Data_Entry!$V139/H$2),"")</f>
        <v>1.0544640959121101</v>
      </c>
      <c r="I141" s="114">
        <f>IFERROR((Data_Entry!L139/Data_Entry!$V139/I$2),"")</f>
        <v>1.0533295480950999</v>
      </c>
    </row>
    <row r="142" spans="1:9" ht="15">
      <c r="A142" s="113">
        <v>45885</v>
      </c>
      <c r="B142" s="19">
        <v>45885</v>
      </c>
      <c r="C142" s="114">
        <f>IFERROR((Data_Entry!F140/Data_Entry!$V140/C$2),"")</f>
        <v>1.04477189226776</v>
      </c>
      <c r="D142" s="114">
        <f>IFERROR((Data_Entry!G140/Data_Entry!$V140/D$2),"")</f>
        <v>1.04150023536397</v>
      </c>
      <c r="E142" s="114">
        <f>IFERROR((Data_Entry!H140/Data_Entry!$V140/E$2),"")</f>
        <v>1.0362753504579301</v>
      </c>
      <c r="F142" s="114">
        <f>IFERROR((Data_Entry!I140/Data_Entry!$V140/F$2),"")</f>
        <v>1.0293613479447199</v>
      </c>
      <c r="G142" s="114">
        <f>IFERROR((Data_Entry!J140/Data_Entry!$V140/G$2),"")</f>
        <v>1.04013212653283</v>
      </c>
      <c r="H142" s="114">
        <f>IFERROR((Data_Entry!K140/Data_Entry!$V140/H$2),"")</f>
        <v>1.0440368840782099</v>
      </c>
      <c r="I142" s="114">
        <f>IFERROR((Data_Entry!L140/Data_Entry!$V140/I$2),"")</f>
        <v>1.0419910900532401</v>
      </c>
    </row>
    <row r="143" spans="1:9" ht="15">
      <c r="A143" s="113">
        <v>45886</v>
      </c>
      <c r="B143" s="19">
        <v>45886</v>
      </c>
      <c r="C143" s="114">
        <f>IFERROR((Data_Entry!F141/Data_Entry!$V141/C$2),"")</f>
        <v>0.94376373598767804</v>
      </c>
      <c r="D143" s="114">
        <f>IFERROR((Data_Entry!G141/Data_Entry!$V141/D$2),"")</f>
        <v>0.96871460583188196</v>
      </c>
      <c r="E143" s="114">
        <f>IFERROR((Data_Entry!H141/Data_Entry!$V141/E$2),"")</f>
        <v>0.95264592266360804</v>
      </c>
      <c r="F143" s="114">
        <f>IFERROR((Data_Entry!I141/Data_Entry!$V141/F$2),"")</f>
        <v>0.95834074230708199</v>
      </c>
      <c r="G143" s="114">
        <f>IFERROR((Data_Entry!J141/Data_Entry!$V141/G$2),"")</f>
        <v>0.96569536451120996</v>
      </c>
      <c r="H143" s="114">
        <f>IFERROR((Data_Entry!K141/Data_Entry!$V141/H$2),"")</f>
        <v>0.95621245023400903</v>
      </c>
      <c r="I143" s="114">
        <f>IFERROR((Data_Entry!L141/Data_Entry!$V141/I$2),"")</f>
        <v>0.96341259962638204</v>
      </c>
    </row>
    <row r="144" spans="1:9" ht="15">
      <c r="A144" s="113">
        <v>45887</v>
      </c>
      <c r="B144" s="19">
        <v>45887</v>
      </c>
      <c r="C144" s="114">
        <f>IFERROR((Data_Entry!F142/Data_Entry!$V142/C$2),"")</f>
        <v>0.89407095198379605</v>
      </c>
      <c r="D144" s="114">
        <f>IFERROR((Data_Entry!G142/Data_Entry!$V142/D$2),"")</f>
        <v>0.88157541999285105</v>
      </c>
      <c r="E144" s="114">
        <f>IFERROR((Data_Entry!H142/Data_Entry!$V142/E$2),"")</f>
        <v>0.87743506493506496</v>
      </c>
      <c r="F144" s="114">
        <f>IFERROR((Data_Entry!I142/Data_Entry!$V142/F$2),"")</f>
        <v>0.87480055843637805</v>
      </c>
      <c r="G144" s="114">
        <f>IFERROR((Data_Entry!J142/Data_Entry!$V142/G$2),"")</f>
        <v>0.87688757194142097</v>
      </c>
      <c r="H144" s="114">
        <f>IFERROR((Data_Entry!K142/Data_Entry!$V142/H$2),"")</f>
        <v>0.86660208558892204</v>
      </c>
      <c r="I144" s="114">
        <f>IFERROR((Data_Entry!L142/Data_Entry!$V142/I$2),"")</f>
        <v>0.87727933215567799</v>
      </c>
    </row>
    <row r="145" spans="1:9" ht="15">
      <c r="A145" s="113">
        <v>45888</v>
      </c>
      <c r="B145" s="19">
        <v>45888</v>
      </c>
      <c r="C145" s="114" t="str">
        <f>IFERROR((Data_Entry!F143/Data_Entry!$V143/C$2),"")</f>
        <v/>
      </c>
      <c r="D145" s="114" t="str">
        <f>IFERROR((Data_Entry!G143/Data_Entry!$V143/D$2),"")</f>
        <v/>
      </c>
      <c r="E145" s="114" t="str">
        <f>IFERROR((Data_Entry!H143/Data_Entry!$V143/E$2),"")</f>
        <v/>
      </c>
      <c r="F145" s="114" t="str">
        <f>IFERROR((Data_Entry!I143/Data_Entry!$V143/F$2),"")</f>
        <v/>
      </c>
      <c r="G145" s="114" t="str">
        <f>IFERROR((Data_Entry!J143/Data_Entry!$V143/G$2),"")</f>
        <v/>
      </c>
      <c r="H145" s="114" t="str">
        <f>IFERROR((Data_Entry!K143/Data_Entry!$V143/H$2),"")</f>
        <v/>
      </c>
      <c r="I145" s="114" t="str">
        <f>IFERROR((Data_Entry!L143/Data_Entry!$V143/I$2),"")</f>
        <v/>
      </c>
    </row>
    <row r="146" spans="1:9" ht="15">
      <c r="A146" s="113">
        <v>45889</v>
      </c>
      <c r="B146" s="19">
        <v>45889</v>
      </c>
      <c r="C146" s="114" t="str">
        <f>IFERROR((Data_Entry!F144/Data_Entry!$V144/C$2),"")</f>
        <v/>
      </c>
      <c r="D146" s="114" t="str">
        <f>IFERROR((Data_Entry!G144/Data_Entry!$V144/D$2),"")</f>
        <v/>
      </c>
      <c r="E146" s="114" t="str">
        <f>IFERROR((Data_Entry!H144/Data_Entry!$V144/E$2),"")</f>
        <v/>
      </c>
      <c r="F146" s="114" t="str">
        <f>IFERROR((Data_Entry!I144/Data_Entry!$V144/F$2),"")</f>
        <v/>
      </c>
      <c r="G146" s="114" t="str">
        <f>IFERROR((Data_Entry!J144/Data_Entry!$V144/G$2),"")</f>
        <v/>
      </c>
      <c r="H146" s="114" t="str">
        <f>IFERROR((Data_Entry!K144/Data_Entry!$V144/H$2),"")</f>
        <v/>
      </c>
      <c r="I146" s="114" t="str">
        <f>IFERROR((Data_Entry!L144/Data_Entry!$V144/I$2),"")</f>
        <v/>
      </c>
    </row>
    <row r="147" spans="1:9" ht="15">
      <c r="A147" s="113">
        <v>45890</v>
      </c>
      <c r="B147" s="19">
        <v>45890</v>
      </c>
      <c r="C147" s="114" t="str">
        <f>IFERROR((Data_Entry!F145/Data_Entry!$V145/C$2),"")</f>
        <v/>
      </c>
      <c r="D147" s="114" t="str">
        <f>IFERROR((Data_Entry!G145/Data_Entry!$V145/D$2),"")</f>
        <v/>
      </c>
      <c r="E147" s="114" t="str">
        <f>IFERROR((Data_Entry!H145/Data_Entry!$V145/E$2),"")</f>
        <v/>
      </c>
      <c r="F147" s="114" t="str">
        <f>IFERROR((Data_Entry!I145/Data_Entry!$V145/F$2),"")</f>
        <v/>
      </c>
      <c r="G147" s="114" t="str">
        <f>IFERROR((Data_Entry!J145/Data_Entry!$V145/G$2),"")</f>
        <v/>
      </c>
      <c r="H147" s="114" t="str">
        <f>IFERROR((Data_Entry!K145/Data_Entry!$V145/H$2),"")</f>
        <v/>
      </c>
      <c r="I147" s="114" t="str">
        <f>IFERROR((Data_Entry!L145/Data_Entry!$V145/I$2),"")</f>
        <v/>
      </c>
    </row>
    <row r="148" spans="1:9" ht="15">
      <c r="A148" s="113">
        <v>45891</v>
      </c>
      <c r="B148" s="19">
        <v>45891</v>
      </c>
      <c r="C148" s="114" t="str">
        <f>IFERROR((Data_Entry!F146/Data_Entry!$V146/C$2),"")</f>
        <v/>
      </c>
      <c r="D148" s="114" t="str">
        <f>IFERROR((Data_Entry!G146/Data_Entry!$V146/D$2),"")</f>
        <v/>
      </c>
      <c r="E148" s="114" t="str">
        <f>IFERROR((Data_Entry!H146/Data_Entry!$V146/E$2),"")</f>
        <v/>
      </c>
      <c r="F148" s="114" t="str">
        <f>IFERROR((Data_Entry!I146/Data_Entry!$V146/F$2),"")</f>
        <v/>
      </c>
      <c r="G148" s="114" t="str">
        <f>IFERROR((Data_Entry!J146/Data_Entry!$V146/G$2),"")</f>
        <v/>
      </c>
      <c r="H148" s="114" t="str">
        <f>IFERROR((Data_Entry!K146/Data_Entry!$V146/H$2),"")</f>
        <v/>
      </c>
      <c r="I148" s="114" t="str">
        <f>IFERROR((Data_Entry!L146/Data_Entry!$V146/I$2),"")</f>
        <v/>
      </c>
    </row>
    <row r="149" spans="1:9" ht="15">
      <c r="A149" s="113">
        <v>45892</v>
      </c>
      <c r="B149" s="19">
        <v>45892</v>
      </c>
      <c r="C149" s="114" t="str">
        <f>IFERROR((Data_Entry!F147/Data_Entry!$V147/C$2),"")</f>
        <v/>
      </c>
      <c r="D149" s="114" t="str">
        <f>IFERROR((Data_Entry!G147/Data_Entry!$V147/D$2),"")</f>
        <v/>
      </c>
      <c r="E149" s="114" t="str">
        <f>IFERROR((Data_Entry!H147/Data_Entry!$V147/E$2),"")</f>
        <v/>
      </c>
      <c r="F149" s="114" t="str">
        <f>IFERROR((Data_Entry!I147/Data_Entry!$V147/F$2),"")</f>
        <v/>
      </c>
      <c r="G149" s="114" t="str">
        <f>IFERROR((Data_Entry!J147/Data_Entry!$V147/G$2),"")</f>
        <v/>
      </c>
      <c r="H149" s="114" t="str">
        <f>IFERROR((Data_Entry!K147/Data_Entry!$V147/H$2),"")</f>
        <v/>
      </c>
      <c r="I149" s="114" t="str">
        <f>IFERROR((Data_Entry!L147/Data_Entry!$V147/I$2),"")</f>
        <v/>
      </c>
    </row>
    <row r="150" spans="1:9" ht="15">
      <c r="A150" s="113">
        <v>45893</v>
      </c>
      <c r="B150" s="19">
        <v>45893</v>
      </c>
      <c r="C150" s="114" t="str">
        <f>IFERROR((Data_Entry!F148/Data_Entry!$V148/C$2),"")</f>
        <v/>
      </c>
      <c r="D150" s="114" t="str">
        <f>IFERROR((Data_Entry!G148/Data_Entry!$V148/D$2),"")</f>
        <v/>
      </c>
      <c r="E150" s="114" t="str">
        <f>IFERROR((Data_Entry!H148/Data_Entry!$V148/E$2),"")</f>
        <v/>
      </c>
      <c r="F150" s="114" t="str">
        <f>IFERROR((Data_Entry!I148/Data_Entry!$V148/F$2),"")</f>
        <v/>
      </c>
      <c r="G150" s="114" t="str">
        <f>IFERROR((Data_Entry!J148/Data_Entry!$V148/G$2),"")</f>
        <v/>
      </c>
      <c r="H150" s="114" t="str">
        <f>IFERROR((Data_Entry!K148/Data_Entry!$V148/H$2),"")</f>
        <v/>
      </c>
      <c r="I150" s="114" t="str">
        <f>IFERROR((Data_Entry!L148/Data_Entry!$V148/I$2),"")</f>
        <v/>
      </c>
    </row>
    <row r="151" spans="1:9" ht="15">
      <c r="A151" s="113">
        <v>45894</v>
      </c>
      <c r="B151" s="19">
        <v>45894</v>
      </c>
      <c r="C151" s="114" t="str">
        <f>IFERROR((Data_Entry!F149/Data_Entry!$V149/C$2),"")</f>
        <v/>
      </c>
      <c r="D151" s="114" t="str">
        <f>IFERROR((Data_Entry!G149/Data_Entry!$V149/D$2),"")</f>
        <v/>
      </c>
      <c r="E151" s="114" t="str">
        <f>IFERROR((Data_Entry!H149/Data_Entry!$V149/E$2),"")</f>
        <v/>
      </c>
      <c r="F151" s="114" t="str">
        <f>IFERROR((Data_Entry!I149/Data_Entry!$V149/F$2),"")</f>
        <v/>
      </c>
      <c r="G151" s="114" t="str">
        <f>IFERROR((Data_Entry!J149/Data_Entry!$V149/G$2),"")</f>
        <v/>
      </c>
      <c r="H151" s="114" t="str">
        <f>IFERROR((Data_Entry!K149/Data_Entry!$V149/H$2),"")</f>
        <v/>
      </c>
      <c r="I151" s="114" t="str">
        <f>IFERROR((Data_Entry!L149/Data_Entry!$V149/I$2),"")</f>
        <v/>
      </c>
    </row>
    <row r="152" spans="1:9" ht="15">
      <c r="A152" s="113">
        <v>45895</v>
      </c>
      <c r="B152" s="19">
        <v>45895</v>
      </c>
      <c r="C152" s="114" t="str">
        <f>IFERROR((Data_Entry!F150/Data_Entry!$V150/C$2),"")</f>
        <v/>
      </c>
      <c r="D152" s="114" t="str">
        <f>IFERROR((Data_Entry!G150/Data_Entry!$V150/D$2),"")</f>
        <v/>
      </c>
      <c r="E152" s="114" t="str">
        <f>IFERROR((Data_Entry!H150/Data_Entry!$V150/E$2),"")</f>
        <v/>
      </c>
      <c r="F152" s="114" t="str">
        <f>IFERROR((Data_Entry!I150/Data_Entry!$V150/F$2),"")</f>
        <v/>
      </c>
      <c r="G152" s="114" t="str">
        <f>IFERROR((Data_Entry!J150/Data_Entry!$V150/G$2),"")</f>
        <v/>
      </c>
      <c r="H152" s="114" t="str">
        <f>IFERROR((Data_Entry!K150/Data_Entry!$V150/H$2),"")</f>
        <v/>
      </c>
      <c r="I152" s="114" t="str">
        <f>IFERROR((Data_Entry!L150/Data_Entry!$V150/I$2),"")</f>
        <v/>
      </c>
    </row>
    <row r="153" spans="1:9" ht="15">
      <c r="A153" s="113">
        <v>45896</v>
      </c>
      <c r="B153" s="19">
        <v>45896</v>
      </c>
      <c r="C153" s="114" t="str">
        <f>IFERROR((Data_Entry!F151/Data_Entry!$V151/C$2),"")</f>
        <v/>
      </c>
      <c r="D153" s="114" t="str">
        <f>IFERROR((Data_Entry!G151/Data_Entry!$V151/D$2),"")</f>
        <v/>
      </c>
      <c r="E153" s="114" t="str">
        <f>IFERROR((Data_Entry!H151/Data_Entry!$V151/E$2),"")</f>
        <v/>
      </c>
      <c r="F153" s="114" t="str">
        <f>IFERROR((Data_Entry!I151/Data_Entry!$V151/F$2),"")</f>
        <v/>
      </c>
      <c r="G153" s="114" t="str">
        <f>IFERROR((Data_Entry!J151/Data_Entry!$V151/G$2),"")</f>
        <v/>
      </c>
      <c r="H153" s="114" t="str">
        <f>IFERROR((Data_Entry!K151/Data_Entry!$V151/H$2),"")</f>
        <v/>
      </c>
      <c r="I153" s="114" t="str">
        <f>IFERROR((Data_Entry!L151/Data_Entry!$V151/I$2),"")</f>
        <v/>
      </c>
    </row>
    <row r="154" spans="1:9" ht="15">
      <c r="A154" s="113">
        <v>45897</v>
      </c>
      <c r="B154" s="19">
        <v>45897</v>
      </c>
      <c r="C154" s="114" t="str">
        <f>IFERROR((Data_Entry!F152/Data_Entry!$V152/C$2),"")</f>
        <v/>
      </c>
      <c r="D154" s="114" t="str">
        <f>IFERROR((Data_Entry!G152/Data_Entry!$V152/D$2),"")</f>
        <v/>
      </c>
      <c r="E154" s="114" t="str">
        <f>IFERROR((Data_Entry!H152/Data_Entry!$V152/E$2),"")</f>
        <v/>
      </c>
      <c r="F154" s="114" t="str">
        <f>IFERROR((Data_Entry!I152/Data_Entry!$V152/F$2),"")</f>
        <v/>
      </c>
      <c r="G154" s="114" t="str">
        <f>IFERROR((Data_Entry!J152/Data_Entry!$V152/G$2),"")</f>
        <v/>
      </c>
      <c r="H154" s="114" t="str">
        <f>IFERROR((Data_Entry!K152/Data_Entry!$V152/H$2),"")</f>
        <v/>
      </c>
      <c r="I154" s="114" t="str">
        <f>IFERROR((Data_Entry!L152/Data_Entry!$V152/I$2),"")</f>
        <v/>
      </c>
    </row>
    <row r="155" spans="1:9" ht="15">
      <c r="A155" s="113">
        <v>45898</v>
      </c>
      <c r="B155" s="19">
        <v>45898</v>
      </c>
      <c r="C155" s="114" t="str">
        <f>IFERROR((Data_Entry!F153/Data_Entry!$V153/C$2),"")</f>
        <v/>
      </c>
      <c r="D155" s="114" t="str">
        <f>IFERROR((Data_Entry!G153/Data_Entry!$V153/D$2),"")</f>
        <v/>
      </c>
      <c r="E155" s="114" t="str">
        <f>IFERROR((Data_Entry!H153/Data_Entry!$V153/E$2),"")</f>
        <v/>
      </c>
      <c r="F155" s="114" t="str">
        <f>IFERROR((Data_Entry!I153/Data_Entry!$V153/F$2),"")</f>
        <v/>
      </c>
      <c r="G155" s="114" t="str">
        <f>IFERROR((Data_Entry!J153/Data_Entry!$V153/G$2),"")</f>
        <v/>
      </c>
      <c r="H155" s="114" t="str">
        <f>IFERROR((Data_Entry!K153/Data_Entry!$V153/H$2),"")</f>
        <v/>
      </c>
      <c r="I155" s="114" t="str">
        <f>IFERROR((Data_Entry!L153/Data_Entry!$V153/I$2),"")</f>
        <v/>
      </c>
    </row>
    <row r="156" spans="1:9" ht="15">
      <c r="A156" s="113">
        <v>45899</v>
      </c>
      <c r="B156" s="19">
        <v>45899</v>
      </c>
      <c r="C156" s="114" t="str">
        <f>IFERROR((Data_Entry!F154/Data_Entry!$V154/C$2),"")</f>
        <v/>
      </c>
      <c r="D156" s="114" t="str">
        <f>IFERROR((Data_Entry!G154/Data_Entry!$V154/D$2),"")</f>
        <v/>
      </c>
      <c r="E156" s="114" t="str">
        <f>IFERROR((Data_Entry!H154/Data_Entry!$V154/E$2),"")</f>
        <v/>
      </c>
      <c r="F156" s="114" t="str">
        <f>IFERROR((Data_Entry!I154/Data_Entry!$V154/F$2),"")</f>
        <v/>
      </c>
      <c r="G156" s="114" t="str">
        <f>IFERROR((Data_Entry!J154/Data_Entry!$V154/G$2),"")</f>
        <v/>
      </c>
      <c r="H156" s="114" t="str">
        <f>IFERROR((Data_Entry!K154/Data_Entry!$V154/H$2),"")</f>
        <v/>
      </c>
      <c r="I156" s="114" t="str">
        <f>IFERROR((Data_Entry!L154/Data_Entry!$V154/I$2),"")</f>
        <v/>
      </c>
    </row>
    <row r="157" spans="1:9" ht="15">
      <c r="A157" s="113">
        <v>45900</v>
      </c>
      <c r="B157" s="19">
        <v>45900</v>
      </c>
      <c r="C157" s="114" t="str">
        <f>IFERROR((Data_Entry!F155/Data_Entry!$V155/C$2),"")</f>
        <v/>
      </c>
      <c r="D157" s="114" t="str">
        <f>IFERROR((Data_Entry!G155/Data_Entry!$V155/D$2),"")</f>
        <v/>
      </c>
      <c r="E157" s="114" t="str">
        <f>IFERROR((Data_Entry!H155/Data_Entry!$V155/E$2),"")</f>
        <v/>
      </c>
      <c r="F157" s="114" t="str">
        <f>IFERROR((Data_Entry!I155/Data_Entry!$V155/F$2),"")</f>
        <v/>
      </c>
      <c r="G157" s="114" t="str">
        <f>IFERROR((Data_Entry!J155/Data_Entry!$V155/G$2),"")</f>
        <v/>
      </c>
      <c r="H157" s="114" t="str">
        <f>IFERROR((Data_Entry!K155/Data_Entry!$V155/H$2),"")</f>
        <v/>
      </c>
      <c r="I157" s="114" t="str">
        <f>IFERROR((Data_Entry!L155/Data_Entry!$V155/I$2),"")</f>
        <v/>
      </c>
    </row>
    <row r="158" spans="1:9" ht="15">
      <c r="A158" s="113">
        <v>45901</v>
      </c>
      <c r="B158" s="19">
        <v>45901</v>
      </c>
      <c r="C158" s="114" t="str">
        <f>IFERROR((Data_Entry!F156/Data_Entry!$V156/C$2),"")</f>
        <v/>
      </c>
      <c r="D158" s="114" t="str">
        <f>IFERROR((Data_Entry!G156/Data_Entry!$V156/D$2),"")</f>
        <v/>
      </c>
      <c r="E158" s="114" t="str">
        <f>IFERROR((Data_Entry!H156/Data_Entry!$V156/E$2),"")</f>
        <v/>
      </c>
      <c r="F158" s="114" t="str">
        <f>IFERROR((Data_Entry!I156/Data_Entry!$V156/F$2),"")</f>
        <v/>
      </c>
      <c r="G158" s="114" t="str">
        <f>IFERROR((Data_Entry!J156/Data_Entry!$V156/G$2),"")</f>
        <v/>
      </c>
      <c r="H158" s="114" t="str">
        <f>IFERROR((Data_Entry!K156/Data_Entry!$V156/H$2),"")</f>
        <v/>
      </c>
      <c r="I158" s="114" t="str">
        <f>IFERROR((Data_Entry!L156/Data_Entry!$V156/I$2),"")</f>
        <v/>
      </c>
    </row>
    <row r="159" spans="1:9" ht="15">
      <c r="A159" s="113">
        <v>45902</v>
      </c>
      <c r="B159" s="19">
        <v>45902</v>
      </c>
      <c r="C159" s="114" t="str">
        <f>IFERROR((Data_Entry!F157/Data_Entry!$V157/C$2),"")</f>
        <v/>
      </c>
      <c r="D159" s="114" t="str">
        <f>IFERROR((Data_Entry!G157/Data_Entry!$V157/D$2),"")</f>
        <v/>
      </c>
      <c r="E159" s="114" t="str">
        <f>IFERROR((Data_Entry!H157/Data_Entry!$V157/E$2),"")</f>
        <v/>
      </c>
      <c r="F159" s="114" t="str">
        <f>IFERROR((Data_Entry!I157/Data_Entry!$V157/F$2),"")</f>
        <v/>
      </c>
      <c r="G159" s="114" t="str">
        <f>IFERROR((Data_Entry!J157/Data_Entry!$V157/G$2),"")</f>
        <v/>
      </c>
      <c r="H159" s="114" t="str">
        <f>IFERROR((Data_Entry!K157/Data_Entry!$V157/H$2),"")</f>
        <v/>
      </c>
      <c r="I159" s="114" t="str">
        <f>IFERROR((Data_Entry!L157/Data_Entry!$V157/I$2),"")</f>
        <v/>
      </c>
    </row>
    <row r="160" spans="1:9" ht="15">
      <c r="A160" s="113">
        <v>45903</v>
      </c>
      <c r="B160" s="19">
        <v>45903</v>
      </c>
      <c r="C160" s="114" t="str">
        <f>IFERROR((Data_Entry!F158/Data_Entry!$V158/C$2),"")</f>
        <v/>
      </c>
      <c r="D160" s="114" t="str">
        <f>IFERROR((Data_Entry!G158/Data_Entry!$V158/D$2),"")</f>
        <v/>
      </c>
      <c r="E160" s="114" t="str">
        <f>IFERROR((Data_Entry!H158/Data_Entry!$V158/E$2),"")</f>
        <v/>
      </c>
      <c r="F160" s="114" t="str">
        <f>IFERROR((Data_Entry!I158/Data_Entry!$V158/F$2),"")</f>
        <v/>
      </c>
      <c r="G160" s="114" t="str">
        <f>IFERROR((Data_Entry!J158/Data_Entry!$V158/G$2),"")</f>
        <v/>
      </c>
      <c r="H160" s="114" t="str">
        <f>IFERROR((Data_Entry!K158/Data_Entry!$V158/H$2),"")</f>
        <v/>
      </c>
      <c r="I160" s="114" t="str">
        <f>IFERROR((Data_Entry!L158/Data_Entry!$V158/I$2),"")</f>
        <v/>
      </c>
    </row>
    <row r="161" spans="1:9" ht="15">
      <c r="A161" s="113">
        <v>45904</v>
      </c>
      <c r="B161" s="19">
        <v>45904</v>
      </c>
      <c r="C161" s="114" t="str">
        <f>IFERROR((Data_Entry!F159/Data_Entry!$V159/C$2),"")</f>
        <v/>
      </c>
      <c r="D161" s="114" t="str">
        <f>IFERROR((Data_Entry!G159/Data_Entry!$V159/D$2),"")</f>
        <v/>
      </c>
      <c r="E161" s="114" t="str">
        <f>IFERROR((Data_Entry!H159/Data_Entry!$V159/E$2),"")</f>
        <v/>
      </c>
      <c r="F161" s="114" t="str">
        <f>IFERROR((Data_Entry!I159/Data_Entry!$V159/F$2),"")</f>
        <v/>
      </c>
      <c r="G161" s="114" t="str">
        <f>IFERROR((Data_Entry!J159/Data_Entry!$V159/G$2),"")</f>
        <v/>
      </c>
      <c r="H161" s="114" t="str">
        <f>IFERROR((Data_Entry!K159/Data_Entry!$V159/H$2),"")</f>
        <v/>
      </c>
      <c r="I161" s="114" t="str">
        <f>IFERROR((Data_Entry!L159/Data_Entry!$V159/I$2),"")</f>
        <v/>
      </c>
    </row>
    <row r="162" spans="1:9" ht="15">
      <c r="A162" s="113">
        <v>45905</v>
      </c>
      <c r="B162" s="19">
        <v>45905</v>
      </c>
      <c r="C162" s="114" t="str">
        <f>IFERROR((Data_Entry!F160/Data_Entry!$V160/C$2),"")</f>
        <v/>
      </c>
      <c r="D162" s="114" t="str">
        <f>IFERROR((Data_Entry!G160/Data_Entry!$V160/D$2),"")</f>
        <v/>
      </c>
      <c r="E162" s="114" t="str">
        <f>IFERROR((Data_Entry!H160/Data_Entry!$V160/E$2),"")</f>
        <v/>
      </c>
      <c r="F162" s="114" t="str">
        <f>IFERROR((Data_Entry!I160/Data_Entry!$V160/F$2),"")</f>
        <v/>
      </c>
      <c r="G162" s="114" t="str">
        <f>IFERROR((Data_Entry!J160/Data_Entry!$V160/G$2),"")</f>
        <v/>
      </c>
      <c r="H162" s="114" t="str">
        <f>IFERROR((Data_Entry!K160/Data_Entry!$V160/H$2),"")</f>
        <v/>
      </c>
      <c r="I162" s="114" t="str">
        <f>IFERROR((Data_Entry!L160/Data_Entry!$V160/I$2),"")</f>
        <v/>
      </c>
    </row>
    <row r="163" spans="1:9" ht="15">
      <c r="A163" s="113">
        <v>45906</v>
      </c>
      <c r="B163" s="19">
        <v>45906</v>
      </c>
      <c r="C163" s="114" t="str">
        <f>IFERROR((Data_Entry!F161/Data_Entry!$V161/C$2),"")</f>
        <v/>
      </c>
      <c r="D163" s="114" t="str">
        <f>IFERROR((Data_Entry!G161/Data_Entry!$V161/D$2),"")</f>
        <v/>
      </c>
      <c r="E163" s="114" t="str">
        <f>IFERROR((Data_Entry!H161/Data_Entry!$V161/E$2),"")</f>
        <v/>
      </c>
      <c r="F163" s="114" t="str">
        <f>IFERROR((Data_Entry!I161/Data_Entry!$V161/F$2),"")</f>
        <v/>
      </c>
      <c r="G163" s="114" t="str">
        <f>IFERROR((Data_Entry!J161/Data_Entry!$V161/G$2),"")</f>
        <v/>
      </c>
      <c r="H163" s="114" t="str">
        <f>IFERROR((Data_Entry!K161/Data_Entry!$V161/H$2),"")</f>
        <v/>
      </c>
      <c r="I163" s="114" t="str">
        <f>IFERROR((Data_Entry!L161/Data_Entry!$V161/I$2),"")</f>
        <v/>
      </c>
    </row>
    <row r="164" spans="1:9" ht="15">
      <c r="A164" s="113">
        <v>45907</v>
      </c>
      <c r="B164" s="19">
        <v>45907</v>
      </c>
      <c r="C164" s="114" t="str">
        <f>IFERROR((Data_Entry!F162/Data_Entry!$V162/C$2),"")</f>
        <v/>
      </c>
      <c r="D164" s="114" t="str">
        <f>IFERROR((Data_Entry!G162/Data_Entry!$V162/D$2),"")</f>
        <v/>
      </c>
      <c r="E164" s="114" t="str">
        <f>IFERROR((Data_Entry!H162/Data_Entry!$V162/E$2),"")</f>
        <v/>
      </c>
      <c r="F164" s="114" t="str">
        <f>IFERROR((Data_Entry!I162/Data_Entry!$V162/F$2),"")</f>
        <v/>
      </c>
      <c r="G164" s="114" t="str">
        <f>IFERROR((Data_Entry!J162/Data_Entry!$V162/G$2),"")</f>
        <v/>
      </c>
      <c r="H164" s="114" t="str">
        <f>IFERROR((Data_Entry!K162/Data_Entry!$V162/H$2),"")</f>
        <v/>
      </c>
      <c r="I164" s="114" t="str">
        <f>IFERROR((Data_Entry!L162/Data_Entry!$V162/I$2),"")</f>
        <v/>
      </c>
    </row>
    <row r="165" spans="1:9" ht="15">
      <c r="A165" s="113">
        <v>45908</v>
      </c>
      <c r="B165" s="19">
        <v>45908</v>
      </c>
      <c r="C165" s="114" t="str">
        <f>IFERROR((Data_Entry!F163/Data_Entry!$V163/C$2),"")</f>
        <v/>
      </c>
      <c r="D165" s="114" t="str">
        <f>IFERROR((Data_Entry!G163/Data_Entry!$V163/D$2),"")</f>
        <v/>
      </c>
      <c r="E165" s="114" t="str">
        <f>IFERROR((Data_Entry!H163/Data_Entry!$V163/E$2),"")</f>
        <v/>
      </c>
      <c r="F165" s="114" t="str">
        <f>IFERROR((Data_Entry!I163/Data_Entry!$V163/F$2),"")</f>
        <v/>
      </c>
      <c r="G165" s="114" t="str">
        <f>IFERROR((Data_Entry!J163/Data_Entry!$V163/G$2),"")</f>
        <v/>
      </c>
      <c r="H165" s="114" t="str">
        <f>IFERROR((Data_Entry!K163/Data_Entry!$V163/H$2),"")</f>
        <v/>
      </c>
      <c r="I165" s="114" t="str">
        <f>IFERROR((Data_Entry!L163/Data_Entry!$V163/I$2),"")</f>
        <v/>
      </c>
    </row>
    <row r="166" spans="1:9" ht="15">
      <c r="A166" s="113">
        <v>45909</v>
      </c>
      <c r="B166" s="19">
        <v>45909</v>
      </c>
      <c r="C166" s="114" t="str">
        <f>IFERROR((Data_Entry!F164/Data_Entry!$V164/C$2),"")</f>
        <v/>
      </c>
      <c r="D166" s="114" t="str">
        <f>IFERROR((Data_Entry!G164/Data_Entry!$V164/D$2),"")</f>
        <v/>
      </c>
      <c r="E166" s="114" t="str">
        <f>IFERROR((Data_Entry!H164/Data_Entry!$V164/E$2),"")</f>
        <v/>
      </c>
      <c r="F166" s="114" t="str">
        <f>IFERROR((Data_Entry!I164/Data_Entry!$V164/F$2),"")</f>
        <v/>
      </c>
      <c r="G166" s="114" t="str">
        <f>IFERROR((Data_Entry!J164/Data_Entry!$V164/G$2),"")</f>
        <v/>
      </c>
      <c r="H166" s="114" t="str">
        <f>IFERROR((Data_Entry!K164/Data_Entry!$V164/H$2),"")</f>
        <v/>
      </c>
      <c r="I166" s="114" t="str">
        <f>IFERROR((Data_Entry!L164/Data_Entry!$V164/I$2),"")</f>
        <v/>
      </c>
    </row>
    <row r="167" spans="1:9" ht="15">
      <c r="A167" s="113">
        <v>45910</v>
      </c>
      <c r="B167" s="19">
        <v>45910</v>
      </c>
      <c r="C167" s="114" t="str">
        <f>IFERROR((Data_Entry!F165/Data_Entry!$V165/C$2),"")</f>
        <v/>
      </c>
      <c r="D167" s="114" t="str">
        <f>IFERROR((Data_Entry!G165/Data_Entry!$V165/D$2),"")</f>
        <v/>
      </c>
      <c r="E167" s="114" t="str">
        <f>IFERROR((Data_Entry!H165/Data_Entry!$V165/E$2),"")</f>
        <v/>
      </c>
      <c r="F167" s="114" t="str">
        <f>IFERROR((Data_Entry!I165/Data_Entry!$V165/F$2),"")</f>
        <v/>
      </c>
      <c r="G167" s="114" t="str">
        <f>IFERROR((Data_Entry!J165/Data_Entry!$V165/G$2),"")</f>
        <v/>
      </c>
      <c r="H167" s="114" t="str">
        <f>IFERROR((Data_Entry!K165/Data_Entry!$V165/H$2),"")</f>
        <v/>
      </c>
      <c r="I167" s="114" t="str">
        <f>IFERROR((Data_Entry!L165/Data_Entry!$V165/I$2),"")</f>
        <v/>
      </c>
    </row>
    <row r="168" spans="1:9" ht="15">
      <c r="A168" s="113">
        <v>45911</v>
      </c>
      <c r="B168" s="19">
        <v>45911</v>
      </c>
      <c r="C168" s="114" t="str">
        <f>IFERROR((Data_Entry!F166/Data_Entry!$V166/C$2),"")</f>
        <v/>
      </c>
      <c r="D168" s="114" t="str">
        <f>IFERROR((Data_Entry!G166/Data_Entry!$V166/D$2),"")</f>
        <v/>
      </c>
      <c r="E168" s="114" t="str">
        <f>IFERROR((Data_Entry!H166/Data_Entry!$V166/E$2),"")</f>
        <v/>
      </c>
      <c r="F168" s="114" t="str">
        <f>IFERROR((Data_Entry!I166/Data_Entry!$V166/F$2),"")</f>
        <v/>
      </c>
      <c r="G168" s="114" t="str">
        <f>IFERROR((Data_Entry!J166/Data_Entry!$V166/G$2),"")</f>
        <v/>
      </c>
      <c r="H168" s="114" t="str">
        <f>IFERROR((Data_Entry!K166/Data_Entry!$V166/H$2),"")</f>
        <v/>
      </c>
      <c r="I168" s="114" t="str">
        <f>IFERROR((Data_Entry!L166/Data_Entry!$V166/I$2),"")</f>
        <v/>
      </c>
    </row>
    <row r="169" spans="1:9" ht="15">
      <c r="A169" s="113">
        <v>45912</v>
      </c>
      <c r="B169" s="19">
        <v>45912</v>
      </c>
      <c r="C169" s="114" t="str">
        <f>IFERROR((Data_Entry!F167/Data_Entry!$V167/C$2),"")</f>
        <v/>
      </c>
      <c r="D169" s="114" t="str">
        <f>IFERROR((Data_Entry!G167/Data_Entry!$V167/D$2),"")</f>
        <v/>
      </c>
      <c r="E169" s="114" t="str">
        <f>IFERROR((Data_Entry!H167/Data_Entry!$V167/E$2),"")</f>
        <v/>
      </c>
      <c r="F169" s="114" t="str">
        <f>IFERROR((Data_Entry!I167/Data_Entry!$V167/F$2),"")</f>
        <v/>
      </c>
      <c r="G169" s="114" t="str">
        <f>IFERROR((Data_Entry!J167/Data_Entry!$V167/G$2),"")</f>
        <v/>
      </c>
      <c r="H169" s="114" t="str">
        <f>IFERROR((Data_Entry!K167/Data_Entry!$V167/H$2),"")</f>
        <v/>
      </c>
      <c r="I169" s="114" t="str">
        <f>IFERROR((Data_Entry!L167/Data_Entry!$V167/I$2),"")</f>
        <v/>
      </c>
    </row>
    <row r="170" spans="1:9" ht="15">
      <c r="A170" s="113">
        <v>45913</v>
      </c>
      <c r="B170" s="19">
        <v>45913</v>
      </c>
      <c r="C170" s="114" t="str">
        <f>IFERROR((Data_Entry!F168/Data_Entry!$V168/C$2),"")</f>
        <v/>
      </c>
      <c r="D170" s="114" t="str">
        <f>IFERROR((Data_Entry!G168/Data_Entry!$V168/D$2),"")</f>
        <v/>
      </c>
      <c r="E170" s="114" t="str">
        <f>IFERROR((Data_Entry!H168/Data_Entry!$V168/E$2),"")</f>
        <v/>
      </c>
      <c r="F170" s="114" t="str">
        <f>IFERROR((Data_Entry!I168/Data_Entry!$V168/F$2),"")</f>
        <v/>
      </c>
      <c r="G170" s="114" t="str">
        <f>IFERROR((Data_Entry!J168/Data_Entry!$V168/G$2),"")</f>
        <v/>
      </c>
      <c r="H170" s="114" t="str">
        <f>IFERROR((Data_Entry!K168/Data_Entry!$V168/H$2),"")</f>
        <v/>
      </c>
      <c r="I170" s="114" t="str">
        <f>IFERROR((Data_Entry!L168/Data_Entry!$V168/I$2),"")</f>
        <v/>
      </c>
    </row>
    <row r="171" spans="1:9" ht="15">
      <c r="A171" s="113">
        <v>45914</v>
      </c>
      <c r="B171" s="19">
        <v>45914</v>
      </c>
      <c r="C171" s="114" t="str">
        <f>IFERROR((Data_Entry!F169/Data_Entry!$V169/C$2),"")</f>
        <v/>
      </c>
      <c r="D171" s="114" t="str">
        <f>IFERROR((Data_Entry!G169/Data_Entry!$V169/D$2),"")</f>
        <v/>
      </c>
      <c r="E171" s="114" t="str">
        <f>IFERROR((Data_Entry!H169/Data_Entry!$V169/E$2),"")</f>
        <v/>
      </c>
      <c r="F171" s="114" t="str">
        <f>IFERROR((Data_Entry!I169/Data_Entry!$V169/F$2),"")</f>
        <v/>
      </c>
      <c r="G171" s="114" t="str">
        <f>IFERROR((Data_Entry!J169/Data_Entry!$V169/G$2),"")</f>
        <v/>
      </c>
      <c r="H171" s="114" t="str">
        <f>IFERROR((Data_Entry!K169/Data_Entry!$V169/H$2),"")</f>
        <v/>
      </c>
      <c r="I171" s="114" t="str">
        <f>IFERROR((Data_Entry!L169/Data_Entry!$V169/I$2),"")</f>
        <v/>
      </c>
    </row>
    <row r="172" spans="1:9" ht="15">
      <c r="A172" s="113">
        <v>45915</v>
      </c>
      <c r="B172" s="19">
        <v>45915</v>
      </c>
      <c r="C172" s="114" t="str">
        <f>IFERROR((Data_Entry!F170/Data_Entry!$V170/C$2),"")</f>
        <v/>
      </c>
      <c r="D172" s="114" t="str">
        <f>IFERROR((Data_Entry!G170/Data_Entry!$V170/D$2),"")</f>
        <v/>
      </c>
      <c r="E172" s="114" t="str">
        <f>IFERROR((Data_Entry!H170/Data_Entry!$V170/E$2),"")</f>
        <v/>
      </c>
      <c r="F172" s="114" t="str">
        <f>IFERROR((Data_Entry!I170/Data_Entry!$V170/F$2),"")</f>
        <v/>
      </c>
      <c r="G172" s="114" t="str">
        <f>IFERROR((Data_Entry!J170/Data_Entry!$V170/G$2),"")</f>
        <v/>
      </c>
      <c r="H172" s="114" t="str">
        <f>IFERROR((Data_Entry!K170/Data_Entry!$V170/H$2),"")</f>
        <v/>
      </c>
      <c r="I172" s="114" t="str">
        <f>IFERROR((Data_Entry!L170/Data_Entry!$V170/I$2),"")</f>
        <v/>
      </c>
    </row>
    <row r="173" spans="1:9" ht="15">
      <c r="A173" s="113">
        <v>45916</v>
      </c>
      <c r="B173" s="19">
        <v>45916</v>
      </c>
      <c r="C173" s="114" t="str">
        <f>IFERROR((Data_Entry!F171/Data_Entry!$V171/C$2),"")</f>
        <v/>
      </c>
      <c r="D173" s="114" t="str">
        <f>IFERROR((Data_Entry!G171/Data_Entry!$V171/D$2),"")</f>
        <v/>
      </c>
      <c r="E173" s="114" t="str">
        <f>IFERROR((Data_Entry!H171/Data_Entry!$V171/E$2),"")</f>
        <v/>
      </c>
      <c r="F173" s="114" t="str">
        <f>IFERROR((Data_Entry!I171/Data_Entry!$V171/F$2),"")</f>
        <v/>
      </c>
      <c r="G173" s="114" t="str">
        <f>IFERROR((Data_Entry!J171/Data_Entry!$V171/G$2),"")</f>
        <v/>
      </c>
      <c r="H173" s="114" t="str">
        <f>IFERROR((Data_Entry!K171/Data_Entry!$V171/H$2),"")</f>
        <v/>
      </c>
      <c r="I173" s="114" t="str">
        <f>IFERROR((Data_Entry!L171/Data_Entry!$V171/I$2),"")</f>
        <v/>
      </c>
    </row>
    <row r="174" spans="1:9" ht="15">
      <c r="A174" s="113">
        <v>45917</v>
      </c>
      <c r="B174" s="19">
        <v>45917</v>
      </c>
      <c r="C174" s="114" t="str">
        <f>IFERROR((Data_Entry!F172/Data_Entry!$V172/C$2),"")</f>
        <v/>
      </c>
      <c r="D174" s="114" t="str">
        <f>IFERROR((Data_Entry!G172/Data_Entry!$V172/D$2),"")</f>
        <v/>
      </c>
      <c r="E174" s="114" t="str">
        <f>IFERROR((Data_Entry!H172/Data_Entry!$V172/E$2),"")</f>
        <v/>
      </c>
      <c r="F174" s="114" t="str">
        <f>IFERROR((Data_Entry!I172/Data_Entry!$V172/F$2),"")</f>
        <v/>
      </c>
      <c r="G174" s="114" t="str">
        <f>IFERROR((Data_Entry!J172/Data_Entry!$V172/G$2),"")</f>
        <v/>
      </c>
      <c r="H174" s="114" t="str">
        <f>IFERROR((Data_Entry!K172/Data_Entry!$V172/H$2),"")</f>
        <v/>
      </c>
      <c r="I174" s="114" t="str">
        <f>IFERROR((Data_Entry!L172/Data_Entry!$V172/I$2),"")</f>
        <v/>
      </c>
    </row>
    <row r="175" spans="1:9" ht="15">
      <c r="A175" s="113">
        <v>45918</v>
      </c>
      <c r="B175" s="19">
        <v>45918</v>
      </c>
      <c r="C175" s="114" t="str">
        <f>IFERROR((Data_Entry!F173/Data_Entry!$V173/C$2),"")</f>
        <v/>
      </c>
      <c r="D175" s="114" t="str">
        <f>IFERROR((Data_Entry!G173/Data_Entry!$V173/D$2),"")</f>
        <v/>
      </c>
      <c r="E175" s="114" t="str">
        <f>IFERROR((Data_Entry!H173/Data_Entry!$V173/E$2),"")</f>
        <v/>
      </c>
      <c r="F175" s="114" t="str">
        <f>IFERROR((Data_Entry!I173/Data_Entry!$V173/F$2),"")</f>
        <v/>
      </c>
      <c r="G175" s="114" t="str">
        <f>IFERROR((Data_Entry!J173/Data_Entry!$V173/G$2),"")</f>
        <v/>
      </c>
      <c r="H175" s="114" t="str">
        <f>IFERROR((Data_Entry!K173/Data_Entry!$V173/H$2),"")</f>
        <v/>
      </c>
      <c r="I175" s="114" t="str">
        <f>IFERROR((Data_Entry!L173/Data_Entry!$V173/I$2),"")</f>
        <v/>
      </c>
    </row>
    <row r="176" spans="1:9" ht="15">
      <c r="A176" s="113">
        <v>45919</v>
      </c>
      <c r="B176" s="19">
        <v>45919</v>
      </c>
      <c r="C176" s="114" t="str">
        <f>IFERROR((Data_Entry!F174/Data_Entry!$V174/C$2),"")</f>
        <v/>
      </c>
      <c r="D176" s="114" t="str">
        <f>IFERROR((Data_Entry!G174/Data_Entry!$V174/D$2),"")</f>
        <v/>
      </c>
      <c r="E176" s="114" t="str">
        <f>IFERROR((Data_Entry!H174/Data_Entry!$V174/E$2),"")</f>
        <v/>
      </c>
      <c r="F176" s="114" t="str">
        <f>IFERROR((Data_Entry!I174/Data_Entry!$V174/F$2),"")</f>
        <v/>
      </c>
      <c r="G176" s="114" t="str">
        <f>IFERROR((Data_Entry!J174/Data_Entry!$V174/G$2),"")</f>
        <v/>
      </c>
      <c r="H176" s="114" t="str">
        <f>IFERROR((Data_Entry!K174/Data_Entry!$V174/H$2),"")</f>
        <v/>
      </c>
      <c r="I176" s="114" t="str">
        <f>IFERROR((Data_Entry!L174/Data_Entry!$V174/I$2),"")</f>
        <v/>
      </c>
    </row>
    <row r="177" spans="1:9" ht="15">
      <c r="A177" s="113">
        <v>45920</v>
      </c>
      <c r="B177" s="19">
        <v>45920</v>
      </c>
      <c r="C177" s="114" t="str">
        <f>IFERROR((Data_Entry!F175/Data_Entry!$V175/C$2),"")</f>
        <v/>
      </c>
      <c r="D177" s="114" t="str">
        <f>IFERROR((Data_Entry!G175/Data_Entry!$V175/D$2),"")</f>
        <v/>
      </c>
      <c r="E177" s="114" t="str">
        <f>IFERROR((Data_Entry!H175/Data_Entry!$V175/E$2),"")</f>
        <v/>
      </c>
      <c r="F177" s="114" t="str">
        <f>IFERROR((Data_Entry!I175/Data_Entry!$V175/F$2),"")</f>
        <v/>
      </c>
      <c r="G177" s="114" t="str">
        <f>IFERROR((Data_Entry!J175/Data_Entry!$V175/G$2),"")</f>
        <v/>
      </c>
      <c r="H177" s="114" t="str">
        <f>IFERROR((Data_Entry!K175/Data_Entry!$V175/H$2),"")</f>
        <v/>
      </c>
      <c r="I177" s="114" t="str">
        <f>IFERROR((Data_Entry!L175/Data_Entry!$V175/I$2),"")</f>
        <v/>
      </c>
    </row>
    <row r="178" spans="1:9" ht="15">
      <c r="A178" s="113">
        <v>45921</v>
      </c>
      <c r="B178" s="19">
        <v>45921</v>
      </c>
      <c r="C178" s="114" t="str">
        <f>IFERROR((Data_Entry!F176/Data_Entry!$V176/C$2),"")</f>
        <v/>
      </c>
      <c r="D178" s="114" t="str">
        <f>IFERROR((Data_Entry!G176/Data_Entry!$V176/D$2),"")</f>
        <v/>
      </c>
      <c r="E178" s="114" t="str">
        <f>IFERROR((Data_Entry!H176/Data_Entry!$V176/E$2),"")</f>
        <v/>
      </c>
      <c r="F178" s="114" t="str">
        <f>IFERROR((Data_Entry!I176/Data_Entry!$V176/F$2),"")</f>
        <v/>
      </c>
      <c r="G178" s="114" t="str">
        <f>IFERROR((Data_Entry!J176/Data_Entry!$V176/G$2),"")</f>
        <v/>
      </c>
      <c r="H178" s="114" t="str">
        <f>IFERROR((Data_Entry!K176/Data_Entry!$V176/H$2),"")</f>
        <v/>
      </c>
      <c r="I178" s="114" t="str">
        <f>IFERROR((Data_Entry!L176/Data_Entry!$V176/I$2),"")</f>
        <v/>
      </c>
    </row>
    <row r="179" spans="1:9" ht="15">
      <c r="A179" s="113">
        <v>45922</v>
      </c>
      <c r="B179" s="19">
        <v>45922</v>
      </c>
      <c r="C179" s="114" t="str">
        <f>IFERROR((Data_Entry!F177/Data_Entry!$V177/C$2),"")</f>
        <v/>
      </c>
      <c r="D179" s="114" t="str">
        <f>IFERROR((Data_Entry!G177/Data_Entry!$V177/D$2),"")</f>
        <v/>
      </c>
      <c r="E179" s="114" t="str">
        <f>IFERROR((Data_Entry!H177/Data_Entry!$V177/E$2),"")</f>
        <v/>
      </c>
      <c r="F179" s="114" t="str">
        <f>IFERROR((Data_Entry!I177/Data_Entry!$V177/F$2),"")</f>
        <v/>
      </c>
      <c r="G179" s="114" t="str">
        <f>IFERROR((Data_Entry!J177/Data_Entry!$V177/G$2),"")</f>
        <v/>
      </c>
      <c r="H179" s="114" t="str">
        <f>IFERROR((Data_Entry!K177/Data_Entry!$V177/H$2),"")</f>
        <v/>
      </c>
      <c r="I179" s="114" t="str">
        <f>IFERROR((Data_Entry!L177/Data_Entry!$V177/I$2),"")</f>
        <v/>
      </c>
    </row>
    <row r="180" spans="1:9" ht="15">
      <c r="A180" s="113">
        <v>45923</v>
      </c>
      <c r="B180" s="19">
        <v>45923</v>
      </c>
      <c r="C180" s="114">
        <f>IFERROR((Data_Entry!F178/Data_Entry!$V178/C$2),"")</f>
        <v>1.0706002555945999</v>
      </c>
      <c r="D180" s="114">
        <f>IFERROR((Data_Entry!G178/Data_Entry!$V178/D$2),"")</f>
        <v>1.07248538818226</v>
      </c>
      <c r="E180" s="114">
        <f>IFERROR((Data_Entry!H178/Data_Entry!$V178/E$2),"")</f>
        <v>1.0655487531194501</v>
      </c>
      <c r="F180" s="114">
        <f>IFERROR((Data_Entry!I178/Data_Entry!$V178/F$2),"")</f>
        <v>1.05256748813693</v>
      </c>
      <c r="G180" s="114">
        <f>IFERROR((Data_Entry!J178/Data_Entry!$V178/G$2),"")</f>
        <v>1.0651116209252101</v>
      </c>
      <c r="H180" s="114">
        <f>IFERROR((Data_Entry!K178/Data_Entry!$V178/H$2),"")</f>
        <v>1.0689131098286799</v>
      </c>
      <c r="I180" s="114">
        <f>IFERROR((Data_Entry!L178/Data_Entry!$V178/I$2),"")</f>
        <v>1.0743148148003601</v>
      </c>
    </row>
    <row r="181" spans="1:9" ht="15">
      <c r="A181" s="113">
        <v>45924</v>
      </c>
      <c r="B181" s="19">
        <v>45924</v>
      </c>
      <c r="C181" s="114">
        <f>IFERROR((Data_Entry!F179/Data_Entry!$V179/C$2),"")</f>
        <v>1.0329776663169401</v>
      </c>
      <c r="D181" s="114">
        <f>IFERROR((Data_Entry!G179/Data_Entry!$V179/D$2),"")</f>
        <v>1.0405255651091601</v>
      </c>
      <c r="E181" s="114">
        <f>IFERROR((Data_Entry!H179/Data_Entry!$V179/E$2),"")</f>
        <v>1.0287265509052299</v>
      </c>
      <c r="F181" s="114">
        <f>IFERROR((Data_Entry!I179/Data_Entry!$V179/F$2),"")</f>
        <v>1.0092545311408201</v>
      </c>
      <c r="G181" s="114">
        <f>IFERROR((Data_Entry!J179/Data_Entry!$V179/G$2),"")</f>
        <v>1.01781585762362</v>
      </c>
      <c r="H181" s="114">
        <f>IFERROR((Data_Entry!K179/Data_Entry!$V179/H$2),"")</f>
        <v>1.03020834313022</v>
      </c>
      <c r="I181" s="114">
        <f>IFERROR((Data_Entry!L179/Data_Entry!$V179/I$2),"")</f>
        <v>1.0247727998220799</v>
      </c>
    </row>
    <row r="182" spans="1:9" ht="15">
      <c r="A182" s="113">
        <v>45925</v>
      </c>
      <c r="B182" s="19">
        <v>45925</v>
      </c>
      <c r="C182" s="114">
        <f>IFERROR((Data_Entry!F180/Data_Entry!$V180/C$2),"")</f>
        <v>1.1274964683522899</v>
      </c>
      <c r="D182" s="114">
        <f>IFERROR((Data_Entry!G180/Data_Entry!$V180/D$2),"")</f>
        <v>1.1230610725019099</v>
      </c>
      <c r="E182" s="114">
        <f>IFERROR((Data_Entry!H180/Data_Entry!$V180/E$2),"")</f>
        <v>1.12954747656415</v>
      </c>
      <c r="F182" s="114">
        <f>IFERROR((Data_Entry!I180/Data_Entry!$V180/F$2),"")</f>
        <v>1.1275415281424701</v>
      </c>
      <c r="G182" s="114">
        <f>IFERROR((Data_Entry!J180/Data_Entry!$V180/G$2),"")</f>
        <v>1.1323247981772</v>
      </c>
      <c r="H182" s="114">
        <f>IFERROR((Data_Entry!K180/Data_Entry!$V180/H$2),"")</f>
        <v>1.12911515466114</v>
      </c>
      <c r="I182" s="114">
        <f>IFERROR((Data_Entry!L180/Data_Entry!$V180/I$2),"")</f>
        <v>1.1367822512675301</v>
      </c>
    </row>
    <row r="183" spans="1:9" ht="15">
      <c r="A183" s="113">
        <v>45926</v>
      </c>
      <c r="B183" s="19">
        <v>45926</v>
      </c>
      <c r="C183" s="114">
        <f>IFERROR((Data_Entry!F181/Data_Entry!$V181/C$2),"")</f>
        <v>1.0494012249884199</v>
      </c>
      <c r="D183" s="114">
        <f>IFERROR((Data_Entry!G181/Data_Entry!$V181/D$2),"")</f>
        <v>1.03150446949221</v>
      </c>
      <c r="E183" s="114">
        <f>IFERROR((Data_Entry!H181/Data_Entry!$V181/E$2),"")</f>
        <v>1.0396432909661399</v>
      </c>
      <c r="F183" s="114">
        <f>IFERROR((Data_Entry!I181/Data_Entry!$V181/F$2),"")</f>
        <v>1.0169509960137699</v>
      </c>
      <c r="G183" s="114">
        <f>IFERROR((Data_Entry!J181/Data_Entry!$V181/G$2),"")</f>
        <v>1.0305938866136299</v>
      </c>
      <c r="H183" s="114">
        <f>IFERROR((Data_Entry!K181/Data_Entry!$V181/H$2),"")</f>
        <v>1.02505515676438</v>
      </c>
      <c r="I183" s="114">
        <f>IFERROR((Data_Entry!L181/Data_Entry!$V181/I$2),"")</f>
        <v>1.0349740347654901</v>
      </c>
    </row>
    <row r="184" spans="1:9" ht="15">
      <c r="A184" s="113">
        <v>45927</v>
      </c>
      <c r="B184" s="19">
        <v>45927</v>
      </c>
      <c r="C184" s="114">
        <f>IFERROR((Data_Entry!F182/Data_Entry!$V182/C$2),"")</f>
        <v>1.13857834896956</v>
      </c>
      <c r="D184" s="114">
        <f>IFERROR((Data_Entry!G182/Data_Entry!$V182/D$2),"")</f>
        <v>1.1299741519116899</v>
      </c>
      <c r="E184" s="114">
        <f>IFERROR((Data_Entry!H182/Data_Entry!$V182/E$2),"")</f>
        <v>1.13498233477318</v>
      </c>
      <c r="F184" s="114">
        <f>IFERROR((Data_Entry!I182/Data_Entry!$V182/F$2),"")</f>
        <v>1.1336282096288799</v>
      </c>
      <c r="G184" s="114">
        <f>IFERROR((Data_Entry!J182/Data_Entry!$V182/G$2),"")</f>
        <v>1.14807332954035</v>
      </c>
      <c r="H184" s="114">
        <f>IFERROR((Data_Entry!K182/Data_Entry!$V182/H$2),"")</f>
        <v>1.1377395697671999</v>
      </c>
      <c r="I184" s="114">
        <f>IFERROR((Data_Entry!L182/Data_Entry!$V182/I$2),"")</f>
        <v>1.15140965769568</v>
      </c>
    </row>
    <row r="185" spans="1:9" ht="15">
      <c r="A185" s="113">
        <v>45928</v>
      </c>
      <c r="B185" s="19">
        <v>45928</v>
      </c>
      <c r="C185" s="114">
        <f>IFERROR((Data_Entry!F183/Data_Entry!$V183/C$2),"")</f>
        <v>1.0373780871814899</v>
      </c>
      <c r="D185" s="114">
        <f>IFERROR((Data_Entry!G183/Data_Entry!$V183/D$2),"")</f>
        <v>1.0337526169767299</v>
      </c>
      <c r="E185" s="114">
        <f>IFERROR((Data_Entry!H183/Data_Entry!$V183/E$2),"")</f>
        <v>1.0205783731340701</v>
      </c>
      <c r="F185" s="114">
        <f>IFERROR((Data_Entry!I183/Data_Entry!$V183/F$2),"")</f>
        <v>1.0087184454954701</v>
      </c>
      <c r="G185" s="114">
        <f>IFERROR((Data_Entry!J183/Data_Entry!$V183/G$2),"")</f>
        <v>1.0264809553657901</v>
      </c>
      <c r="H185" s="114">
        <f>IFERROR((Data_Entry!K183/Data_Entry!$V183/H$2),"")</f>
        <v>1.0380241446399101</v>
      </c>
      <c r="I185" s="114">
        <f>IFERROR((Data_Entry!L183/Data_Entry!$V183/I$2),"")</f>
        <v>1.03890331561424</v>
      </c>
    </row>
    <row r="186" spans="1:9" ht="15">
      <c r="A186" s="113">
        <v>45929</v>
      </c>
      <c r="B186" s="19">
        <v>45929</v>
      </c>
      <c r="C186" s="114">
        <f>IFERROR((Data_Entry!F184/Data_Entry!$V184/C$2),"")</f>
        <v>1.08350212478653</v>
      </c>
      <c r="D186" s="114">
        <f>IFERROR((Data_Entry!G184/Data_Entry!$V184/D$2),"")</f>
        <v>1.10183089082172</v>
      </c>
      <c r="E186" s="114">
        <f>IFERROR((Data_Entry!H184/Data_Entry!$V184/E$2),"")</f>
        <v>1.0786369593709</v>
      </c>
      <c r="F186" s="114">
        <f>IFERROR((Data_Entry!I184/Data_Entry!$V184/F$2),"")</f>
        <v>1.0738693562786099</v>
      </c>
      <c r="G186" s="114">
        <f>IFERROR((Data_Entry!J184/Data_Entry!$V184/G$2),"")</f>
        <v>1.08232187968925</v>
      </c>
      <c r="H186" s="114">
        <f>IFERROR((Data_Entry!K184/Data_Entry!$V184/H$2),"")</f>
        <v>1.0832716014207799</v>
      </c>
      <c r="I186" s="114">
        <f>IFERROR((Data_Entry!L184/Data_Entry!$V184/I$2),"")</f>
        <v>1.0901665811917101</v>
      </c>
    </row>
    <row r="187" spans="1:9" ht="15">
      <c r="A187" s="113">
        <v>45930</v>
      </c>
      <c r="B187" s="19">
        <v>45930</v>
      </c>
      <c r="C187" s="114">
        <f>IFERROR((Data_Entry!F185/Data_Entry!$V185/C$2),"")</f>
        <v>1.22137689266801</v>
      </c>
      <c r="D187" s="114">
        <f>IFERROR((Data_Entry!G185/Data_Entry!$V185/D$2),"")</f>
        <v>1.2178654492371199</v>
      </c>
      <c r="E187" s="114">
        <f>IFERROR((Data_Entry!H185/Data_Entry!$V185/E$2),"")</f>
        <v>1.2088325637218</v>
      </c>
      <c r="F187" s="114">
        <f>IFERROR((Data_Entry!I185/Data_Entry!$V185/F$2),"")</f>
        <v>1.20649405821655</v>
      </c>
      <c r="G187" s="114">
        <f>IFERROR((Data_Entry!J185/Data_Entry!$V185/G$2),"")</f>
        <v>1.2178907189949399</v>
      </c>
      <c r="H187" s="114">
        <f>IFERROR((Data_Entry!K185/Data_Entry!$V185/H$2),"")</f>
        <v>1.22504837789845</v>
      </c>
      <c r="I187" s="114">
        <f>IFERROR((Data_Entry!L185/Data_Entry!$V185/I$2),"")</f>
        <v>1.22717946080823</v>
      </c>
    </row>
    <row r="188" spans="1:9" ht="15">
      <c r="A188" s="113">
        <v>45931</v>
      </c>
      <c r="B188" s="19">
        <v>45931</v>
      </c>
      <c r="C188" s="114" t="str">
        <f>IFERROR((Data_Entry!F186/Data_Entry!$V186/C$2),"")</f>
        <v/>
      </c>
      <c r="D188" s="114" t="str">
        <f>IFERROR((Data_Entry!G186/Data_Entry!$V186/D$2),"")</f>
        <v/>
      </c>
      <c r="E188" s="114" t="str">
        <f>IFERROR((Data_Entry!H186/Data_Entry!$V186/E$2),"")</f>
        <v/>
      </c>
      <c r="F188" s="114" t="str">
        <f>IFERROR((Data_Entry!I186/Data_Entry!$V186/F$2),"")</f>
        <v/>
      </c>
      <c r="G188" s="114" t="str">
        <f>IFERROR((Data_Entry!J186/Data_Entry!$V186/G$2),"")</f>
        <v/>
      </c>
      <c r="H188" s="114" t="str">
        <f>IFERROR((Data_Entry!K186/Data_Entry!$V186/H$2),"")</f>
        <v/>
      </c>
      <c r="I188" s="114" t="str">
        <f>IFERROR((Data_Entry!L186/Data_Entry!$V186/I$2),"")</f>
        <v/>
      </c>
    </row>
    <row r="189" spans="1:9" ht="15">
      <c r="A189" s="113">
        <v>45932</v>
      </c>
      <c r="B189" s="19">
        <v>45932</v>
      </c>
      <c r="C189" s="114" t="str">
        <f>IFERROR((Data_Entry!F187/Data_Entry!$V187/C$2),"")</f>
        <v/>
      </c>
      <c r="D189" s="114" t="str">
        <f>IFERROR((Data_Entry!G187/Data_Entry!$V187/D$2),"")</f>
        <v/>
      </c>
      <c r="E189" s="114" t="str">
        <f>IFERROR((Data_Entry!H187/Data_Entry!$V187/E$2),"")</f>
        <v/>
      </c>
      <c r="F189" s="114" t="str">
        <f>IFERROR((Data_Entry!I187/Data_Entry!$V187/F$2),"")</f>
        <v/>
      </c>
      <c r="G189" s="114" t="str">
        <f>IFERROR((Data_Entry!J187/Data_Entry!$V187/G$2),"")</f>
        <v/>
      </c>
      <c r="H189" s="114" t="str">
        <f>IFERROR((Data_Entry!K187/Data_Entry!$V187/H$2),"")</f>
        <v/>
      </c>
      <c r="I189" s="114" t="str">
        <f>IFERROR((Data_Entry!L187/Data_Entry!$V187/I$2),"")</f>
        <v/>
      </c>
    </row>
    <row r="190" spans="1:9" ht="15">
      <c r="A190" s="113">
        <v>45933</v>
      </c>
      <c r="B190" s="19">
        <v>45933</v>
      </c>
      <c r="C190" s="114">
        <f>IFERROR((Data_Entry!F188/Data_Entry!$V188/C$2),"")</f>
        <v>1.05884591498084</v>
      </c>
      <c r="D190" s="114">
        <f>IFERROR((Data_Entry!G188/Data_Entry!$V188/D$2),"")</f>
        <v>1.0558328465186999</v>
      </c>
      <c r="E190" s="114">
        <f>IFERROR((Data_Entry!H188/Data_Entry!$V188/E$2),"")</f>
        <v>1.05257212859391</v>
      </c>
      <c r="F190" s="114">
        <f>IFERROR((Data_Entry!I188/Data_Entry!$V188/F$2),"")</f>
        <v>1.05386869915013</v>
      </c>
      <c r="G190" s="114">
        <f>IFERROR((Data_Entry!J188/Data_Entry!$V188/G$2),"")</f>
        <v>1.05763907249079</v>
      </c>
      <c r="H190" s="114">
        <f>IFERROR((Data_Entry!K188/Data_Entry!$V188/H$2),"")</f>
        <v>1.0589616641862001</v>
      </c>
      <c r="I190" s="114">
        <f>IFERROR((Data_Entry!L188/Data_Entry!$V188/I$2),"")</f>
        <v>1.06355454480013</v>
      </c>
    </row>
    <row r="191" spans="1:9" ht="15">
      <c r="A191" s="113">
        <v>45934</v>
      </c>
      <c r="B191" s="19">
        <v>45934</v>
      </c>
      <c r="C191" s="114">
        <f>IFERROR((Data_Entry!F189/Data_Entry!$V189/C$2),"")</f>
        <v>0.97282872111410401</v>
      </c>
      <c r="D191" s="114">
        <f>IFERROR((Data_Entry!G189/Data_Entry!$V189/D$2),"")</f>
        <v>0.97137697966058201</v>
      </c>
      <c r="E191" s="114">
        <f>IFERROR((Data_Entry!H189/Data_Entry!$V189/E$2),"")</f>
        <v>0.97803416855701497</v>
      </c>
      <c r="F191" s="114">
        <f>IFERROR((Data_Entry!I189/Data_Entry!$V189/F$2),"")</f>
        <v>0.95544956783973001</v>
      </c>
      <c r="G191" s="114">
        <f>IFERROR((Data_Entry!J189/Data_Entry!$V189/G$2),"")</f>
        <v>0.97206324372201602</v>
      </c>
      <c r="H191" s="114">
        <f>IFERROR((Data_Entry!K189/Data_Entry!$V189/H$2),"")</f>
        <v>0.97970896469082103</v>
      </c>
      <c r="I191" s="114">
        <f>IFERROR((Data_Entry!L189/Data_Entry!$V189/I$2),"")</f>
        <v>0.98376418427847201</v>
      </c>
    </row>
    <row r="192" spans="1:9" ht="15">
      <c r="A192" s="113">
        <v>45935</v>
      </c>
      <c r="B192" s="19">
        <v>45935</v>
      </c>
      <c r="C192" s="114">
        <f>IFERROR((Data_Entry!F190/Data_Entry!$V190/C$2),"")</f>
        <v>1.1006907930521801</v>
      </c>
      <c r="D192" s="114">
        <f>IFERROR((Data_Entry!G190/Data_Entry!$V190/D$2),"")</f>
        <v>1.09798408611731</v>
      </c>
      <c r="E192" s="114">
        <f>IFERROR((Data_Entry!H190/Data_Entry!$V190/E$2),"")</f>
        <v>1.1087332093514799</v>
      </c>
      <c r="F192" s="114">
        <f>IFERROR((Data_Entry!I190/Data_Entry!$V190/F$2),"")</f>
        <v>1.0836861756027201</v>
      </c>
      <c r="G192" s="114">
        <f>IFERROR((Data_Entry!J190/Data_Entry!$V190/G$2),"")</f>
        <v>1.0969471814323599</v>
      </c>
      <c r="H192" s="114">
        <f>IFERROR((Data_Entry!K190/Data_Entry!$V190/H$2),"")</f>
        <v>1.0989415970685801</v>
      </c>
      <c r="I192" s="114">
        <f>IFERROR((Data_Entry!L190/Data_Entry!$V190/I$2),"")</f>
        <v>1.0986938435733999</v>
      </c>
    </row>
    <row r="193" spans="1:9" ht="15">
      <c r="A193" s="113">
        <v>45936</v>
      </c>
      <c r="B193" s="19">
        <v>45936</v>
      </c>
      <c r="C193" s="114">
        <f>IFERROR((Data_Entry!F191/Data_Entry!$V191/C$2),"")</f>
        <v>1.0566209295481599</v>
      </c>
      <c r="D193" s="114">
        <f>IFERROR((Data_Entry!G191/Data_Entry!$V191/D$2),"")</f>
        <v>1.0452366028182301</v>
      </c>
      <c r="E193" s="114">
        <f>IFERROR((Data_Entry!H191/Data_Entry!$V191/E$2),"")</f>
        <v>1.0543576316554799</v>
      </c>
      <c r="F193" s="114">
        <f>IFERROR((Data_Entry!I191/Data_Entry!$V191/F$2),"")</f>
        <v>1.0184438319820699</v>
      </c>
      <c r="G193" s="114">
        <f>IFERROR((Data_Entry!J191/Data_Entry!$V191/G$2),"")</f>
        <v>1.0416323793525999</v>
      </c>
      <c r="H193" s="114">
        <f>IFERROR((Data_Entry!K191/Data_Entry!$V191/H$2),"")</f>
        <v>1.05033914504044</v>
      </c>
      <c r="I193" s="114">
        <f>IFERROR((Data_Entry!L191/Data_Entry!$V191/I$2),"")</f>
        <v>1.04749587873859</v>
      </c>
    </row>
    <row r="194" spans="1:9" ht="15">
      <c r="A194" s="113">
        <v>45937</v>
      </c>
      <c r="B194" s="19">
        <v>45937</v>
      </c>
      <c r="C194" s="114">
        <f>IFERROR((Data_Entry!F192/Data_Entry!$V192/C$2),"")</f>
        <v>1.0604425944812701</v>
      </c>
      <c r="D194" s="114" t="str">
        <f>IFERROR((Data_Entry!G192/Data_Entry!$V192/D$2),"")</f>
        <v/>
      </c>
      <c r="E194" s="114">
        <f>IFERROR((Data_Entry!H192/Data_Entry!$V192/E$2),"")</f>
        <v>1.0573819936484601</v>
      </c>
      <c r="F194" s="114">
        <f>IFERROR((Data_Entry!I192/Data_Entry!$V192/F$2),"")</f>
        <v>1.02756905979004</v>
      </c>
      <c r="G194" s="114">
        <f>IFERROR((Data_Entry!J192/Data_Entry!$V192/G$2),"")</f>
        <v>1.0507933945491501</v>
      </c>
      <c r="H194" s="114">
        <f>IFERROR((Data_Entry!K192/Data_Entry!$V192/H$2),"")</f>
        <v>1.0623747752713999</v>
      </c>
      <c r="I194" s="114">
        <f>IFERROR((Data_Entry!L192/Data_Entry!$V192/I$2),"")</f>
        <v>1.05813741171086</v>
      </c>
    </row>
    <row r="195" spans="1:9" ht="15">
      <c r="A195" s="113">
        <v>45938</v>
      </c>
      <c r="B195" s="19">
        <v>45938</v>
      </c>
      <c r="C195" s="114">
        <f>IFERROR((Data_Entry!F193/Data_Entry!$V193/C$2),"")</f>
        <v>1.11401744949461</v>
      </c>
      <c r="D195" s="114">
        <f>IFERROR((Data_Entry!G193/Data_Entry!$V193/D$2),"")</f>
        <v>1.11097736085914</v>
      </c>
      <c r="E195" s="114">
        <f>IFERROR((Data_Entry!H193/Data_Entry!$V193/E$2),"")</f>
        <v>1.1113519980445199</v>
      </c>
      <c r="F195" s="114">
        <f>IFERROR((Data_Entry!I193/Data_Entry!$V193/F$2),"")</f>
        <v>1.0778303812653001</v>
      </c>
      <c r="G195" s="114">
        <f>IFERROR((Data_Entry!J193/Data_Entry!$V193/G$2),"")</f>
        <v>1.10326725815728</v>
      </c>
      <c r="H195" s="114">
        <f>IFERROR((Data_Entry!K193/Data_Entry!$V193/H$2),"")</f>
        <v>1.1175542061021499</v>
      </c>
      <c r="I195" s="114">
        <f>IFERROR((Data_Entry!L193/Data_Entry!$V193/I$2),"")</f>
        <v>1.1129074232796199</v>
      </c>
    </row>
    <row r="196" spans="1:9" ht="15">
      <c r="A196" s="113">
        <v>45939</v>
      </c>
      <c r="B196" s="19">
        <v>45939</v>
      </c>
      <c r="C196" s="114">
        <f>IFERROR((Data_Entry!F194/Data_Entry!$V194/C$2),"")</f>
        <v>1.0788391480635</v>
      </c>
      <c r="D196" s="114">
        <f>IFERROR((Data_Entry!G194/Data_Entry!$V194/D$2),"")</f>
        <v>1.0756378270973801</v>
      </c>
      <c r="E196" s="114">
        <f>IFERROR((Data_Entry!H194/Data_Entry!$V194/E$2),"")</f>
        <v>1.0763599295709401</v>
      </c>
      <c r="F196" s="114">
        <f>IFERROR((Data_Entry!I194/Data_Entry!$V194/F$2),"")</f>
        <v>1.07764637082547</v>
      </c>
      <c r="G196" s="114">
        <f>IFERROR((Data_Entry!J194/Data_Entry!$V194/G$2),"")</f>
        <v>1.0816524697657499</v>
      </c>
      <c r="H196" s="114">
        <f>IFERROR((Data_Entry!K194/Data_Entry!$V194/H$2),"")</f>
        <v>1.08499088554932</v>
      </c>
      <c r="I196" s="114">
        <f>IFERROR((Data_Entry!L194/Data_Entry!$V194/I$2),"")</f>
        <v>1.0831835363147699</v>
      </c>
    </row>
    <row r="197" spans="1:9" ht="15">
      <c r="A197" s="113">
        <v>45940</v>
      </c>
      <c r="B197" s="19">
        <v>45940</v>
      </c>
      <c r="C197" s="114">
        <f>IFERROR((Data_Entry!F195/Data_Entry!$V195/C$2),"")</f>
        <v>1.3802500626129199</v>
      </c>
      <c r="D197" s="114">
        <f>IFERROR((Data_Entry!G195/Data_Entry!$V195/D$2),"")</f>
        <v>1.36828977987001</v>
      </c>
      <c r="E197" s="114">
        <f>IFERROR((Data_Entry!H195/Data_Entry!$V195/E$2),"")</f>
        <v>1.36778826864953</v>
      </c>
      <c r="F197" s="114">
        <f>IFERROR((Data_Entry!I195/Data_Entry!$V195/F$2),"")</f>
        <v>1.33318399443657</v>
      </c>
      <c r="G197" s="114">
        <f>IFERROR((Data_Entry!J195/Data_Entry!$V195/G$2),"")</f>
        <v>1.36042550247063</v>
      </c>
      <c r="H197" s="114">
        <f>IFERROR((Data_Entry!K195/Data_Entry!$V195/H$2),"")</f>
        <v>1.3789160031212899</v>
      </c>
      <c r="I197" s="114">
        <f>IFERROR((Data_Entry!L195/Data_Entry!$V195/I$2),"")</f>
        <v>1.36914743673981</v>
      </c>
    </row>
    <row r="198" spans="1:9" ht="15">
      <c r="A198" s="113">
        <v>45941</v>
      </c>
      <c r="B198" s="19">
        <v>45941</v>
      </c>
      <c r="C198" s="114">
        <f>IFERROR((Data_Entry!F196/Data_Entry!$V196/C$2),"")</f>
        <v>1.53435122104979</v>
      </c>
      <c r="D198" s="114">
        <f>IFERROR((Data_Entry!G196/Data_Entry!$V196/D$2),"")</f>
        <v>1.52394732676572</v>
      </c>
      <c r="E198" s="114">
        <f>IFERROR((Data_Entry!H196/Data_Entry!$V196/E$2),"")</f>
        <v>1.5231919285008699</v>
      </c>
      <c r="F198" s="114">
        <f>IFERROR((Data_Entry!I196/Data_Entry!$V196/F$2),"")</f>
        <v>1.48443969893766</v>
      </c>
      <c r="G198" s="114">
        <f>IFERROR((Data_Entry!J196/Data_Entry!$V196/G$2),"")</f>
        <v>1.51270965791461</v>
      </c>
      <c r="H198" s="114">
        <f>IFERROR((Data_Entry!K196/Data_Entry!$V196/H$2),"")</f>
        <v>1.5398629411956899</v>
      </c>
      <c r="I198" s="114">
        <f>IFERROR((Data_Entry!L196/Data_Entry!$V196/I$2),"")</f>
        <v>1.5239585233803199</v>
      </c>
    </row>
    <row r="199" spans="1:9" ht="15">
      <c r="A199" s="113">
        <v>45942</v>
      </c>
      <c r="B199" s="19">
        <v>45942</v>
      </c>
      <c r="C199" s="114">
        <f>IFERROR((Data_Entry!F197/Data_Entry!$V197/C$2),"")</f>
        <v>1.5626903505730401</v>
      </c>
      <c r="D199" s="114">
        <f>IFERROR((Data_Entry!G197/Data_Entry!$V197/D$2),"")</f>
        <v>1.55718482630657</v>
      </c>
      <c r="E199" s="114">
        <f>IFERROR((Data_Entry!H197/Data_Entry!$V197/E$2),"")</f>
        <v>1.55324394191521</v>
      </c>
      <c r="F199" s="114">
        <f>IFERROR((Data_Entry!I197/Data_Entry!$V197/F$2),"")</f>
        <v>1.51067380515936</v>
      </c>
      <c r="G199" s="114">
        <f>IFERROR((Data_Entry!J197/Data_Entry!$V197/G$2),"")</f>
        <v>1.5432951459829001</v>
      </c>
      <c r="H199" s="114">
        <f>IFERROR((Data_Entry!K197/Data_Entry!$V197/H$2),"")</f>
        <v>1.5626630666877499</v>
      </c>
      <c r="I199" s="114">
        <f>IFERROR((Data_Entry!L197/Data_Entry!$V197/I$2),"")</f>
        <v>1.54466370566907</v>
      </c>
    </row>
    <row r="200" spans="1:9" ht="15">
      <c r="A200" s="113">
        <v>45943</v>
      </c>
      <c r="B200" s="19">
        <v>45943</v>
      </c>
      <c r="C200" s="114">
        <f>IFERROR((Data_Entry!F198/Data_Entry!$V198/C$2),"")</f>
        <v>1.5716453245608899</v>
      </c>
      <c r="D200" s="114">
        <f>IFERROR((Data_Entry!G198/Data_Entry!$V198/D$2),"")</f>
        <v>1.5639798702308401</v>
      </c>
      <c r="E200" s="114">
        <f>IFERROR((Data_Entry!H198/Data_Entry!$V198/E$2),"")</f>
        <v>1.55835909801079</v>
      </c>
      <c r="F200" s="114">
        <f>IFERROR((Data_Entry!I198/Data_Entry!$V198/F$2),"")</f>
        <v>1.52108398340981</v>
      </c>
      <c r="G200" s="114">
        <f>IFERROR((Data_Entry!J198/Data_Entry!$V198/G$2),"")</f>
        <v>1.5498975749257999</v>
      </c>
      <c r="H200" s="114">
        <f>IFERROR((Data_Entry!K198/Data_Entry!$V198/H$2),"")</f>
        <v>1.56508507414107</v>
      </c>
      <c r="I200" s="114">
        <f>IFERROR((Data_Entry!L198/Data_Entry!$V198/I$2),"")</f>
        <v>1.55352744357768</v>
      </c>
    </row>
    <row r="201" spans="1:9" ht="15">
      <c r="A201" s="113">
        <v>45944</v>
      </c>
      <c r="B201" s="19">
        <v>45944</v>
      </c>
      <c r="C201" s="114">
        <f>IFERROR((Data_Entry!F199/Data_Entry!$V199/C$2),"")</f>
        <v>1.4799472397353299</v>
      </c>
      <c r="D201" s="114">
        <f>IFERROR((Data_Entry!G199/Data_Entry!$V199/D$2),"")</f>
        <v>1.4761798480625199</v>
      </c>
      <c r="E201" s="114">
        <f>IFERROR((Data_Entry!H199/Data_Entry!$V199/E$2),"")</f>
        <v>1.4722865969797101</v>
      </c>
      <c r="F201" s="114">
        <f>IFERROR((Data_Entry!I199/Data_Entry!$V199/F$2),"")</f>
        <v>1.4686924900018401</v>
      </c>
      <c r="G201" s="114">
        <f>IFERROR((Data_Entry!J199/Data_Entry!$V199/G$2),"")</f>
        <v>1.4761163711426899</v>
      </c>
      <c r="H201" s="114">
        <f>IFERROR((Data_Entry!K199/Data_Entry!$V199/H$2),"")</f>
        <v>1.4809719906996801</v>
      </c>
      <c r="I201" s="114">
        <f>IFERROR((Data_Entry!L199/Data_Entry!$V199/I$2),"")</f>
        <v>1.46951914919914</v>
      </c>
    </row>
    <row r="202" spans="1:9" ht="15">
      <c r="A202" s="113">
        <v>45945</v>
      </c>
      <c r="B202" s="19">
        <v>45945</v>
      </c>
      <c r="C202" s="114">
        <f>IFERROR((Data_Entry!F200/Data_Entry!$V200/C$2),"")</f>
        <v>1.56668954511053</v>
      </c>
      <c r="D202" s="114">
        <f>IFERROR((Data_Entry!G200/Data_Entry!$V200/D$2),"")</f>
        <v>1.5635094973510799</v>
      </c>
      <c r="E202" s="114">
        <f>IFERROR((Data_Entry!H200/Data_Entry!$V200/E$2),"")</f>
        <v>1.5517458378293101</v>
      </c>
      <c r="F202" s="114">
        <f>IFERROR((Data_Entry!I200/Data_Entry!$V200/F$2),"")</f>
        <v>1.51228070457046</v>
      </c>
      <c r="G202" s="114">
        <f>IFERROR((Data_Entry!J200/Data_Entry!$V200/G$2),"")</f>
        <v>1.5460372927633601</v>
      </c>
      <c r="H202" s="114">
        <f>IFERROR((Data_Entry!K200/Data_Entry!$V200/H$2),"")</f>
        <v>1.5608047968705701</v>
      </c>
      <c r="I202" s="114">
        <f>IFERROR((Data_Entry!L200/Data_Entry!$V200/I$2),"")</f>
        <v>1.54823636674454</v>
      </c>
    </row>
    <row r="203" spans="1:9" ht="15">
      <c r="A203" s="113">
        <v>45946</v>
      </c>
      <c r="B203" s="19">
        <v>45946</v>
      </c>
      <c r="C203" s="114">
        <f>IFERROR((Data_Entry!F201/Data_Entry!$V201/C$2),"")</f>
        <v>1.3994160023189199</v>
      </c>
      <c r="D203" s="114">
        <f>IFERROR((Data_Entry!G201/Data_Entry!$V201/D$2),"")</f>
        <v>1.39553928202429</v>
      </c>
      <c r="E203" s="114">
        <f>IFERROR((Data_Entry!H201/Data_Entry!$V201/E$2),"")</f>
        <v>1.3908889959827899</v>
      </c>
      <c r="F203" s="114">
        <f>IFERROR((Data_Entry!I201/Data_Entry!$V201/F$2),"")</f>
        <v>1.37631688840543</v>
      </c>
      <c r="G203" s="114">
        <f>IFERROR((Data_Entry!J201/Data_Entry!$V201/G$2),"")</f>
        <v>1.3858254456817301</v>
      </c>
      <c r="H203" s="114">
        <f>IFERROR((Data_Entry!K201/Data_Entry!$V201/H$2),"")</f>
        <v>1.4072239520387699</v>
      </c>
      <c r="I203" s="114">
        <f>IFERROR((Data_Entry!L201/Data_Entry!$V201/I$2),"")</f>
        <v>1.3904011199345501</v>
      </c>
    </row>
    <row r="204" spans="1:9" ht="15">
      <c r="A204" s="113">
        <v>45947</v>
      </c>
      <c r="B204" s="19">
        <v>45947</v>
      </c>
      <c r="C204" s="114">
        <f>IFERROR((Data_Entry!F202/Data_Entry!$V202/C$2),"")</f>
        <v>1.35514943771824</v>
      </c>
      <c r="D204" s="114">
        <f>IFERROR((Data_Entry!G202/Data_Entry!$V202/D$2),"")</f>
        <v>1.3476523476523501</v>
      </c>
      <c r="E204" s="114">
        <f>IFERROR((Data_Entry!H202/Data_Entry!$V202/E$2),"")</f>
        <v>1.347084108552</v>
      </c>
      <c r="F204" s="114">
        <f>IFERROR((Data_Entry!I202/Data_Entry!$V202/F$2),"")</f>
        <v>1.31259725515808</v>
      </c>
      <c r="G204" s="114">
        <f>IFERROR((Data_Entry!J202/Data_Entry!$V202/G$2),"")</f>
        <v>1.3354694766741</v>
      </c>
      <c r="H204" s="114">
        <f>IFERROR((Data_Entry!K202/Data_Entry!$V202/H$2),"")</f>
        <v>1.3585871647299601</v>
      </c>
      <c r="I204" s="114">
        <f>IFERROR((Data_Entry!L202/Data_Entry!$V202/I$2),"")</f>
        <v>1.3375910089113101</v>
      </c>
    </row>
    <row r="205" spans="1:9" ht="15">
      <c r="A205" s="113">
        <v>45948</v>
      </c>
      <c r="B205" s="19">
        <v>45948</v>
      </c>
      <c r="C205" s="114">
        <f>IFERROR((Data_Entry!F203/Data_Entry!$V203/C$2),"")</f>
        <v>1.3979476568026099</v>
      </c>
      <c r="D205" s="114">
        <f>IFERROR((Data_Entry!G203/Data_Entry!$V203/D$2),"")</f>
        <v>1.3910099887338301</v>
      </c>
      <c r="E205" s="114">
        <f>IFERROR((Data_Entry!H203/Data_Entry!$V203/E$2),"")</f>
        <v>1.3903237628705101</v>
      </c>
      <c r="F205" s="114">
        <f>IFERROR((Data_Entry!I203/Data_Entry!$V203/F$2),"")</f>
        <v>1.37516581059471</v>
      </c>
      <c r="G205" s="114">
        <f>IFERROR((Data_Entry!J203/Data_Entry!$V203/G$2),"")</f>
        <v>1.3884955758595601</v>
      </c>
      <c r="H205" s="114">
        <f>IFERROR((Data_Entry!K203/Data_Entry!$V203/H$2),"")</f>
        <v>1.39789421446352</v>
      </c>
      <c r="I205" s="114">
        <f>IFERROR((Data_Entry!L203/Data_Entry!$V203/I$2),"")</f>
        <v>1.3898372080777801</v>
      </c>
    </row>
    <row r="206" spans="1:9" ht="15">
      <c r="A206" s="113">
        <v>45949</v>
      </c>
      <c r="B206" s="19">
        <v>45949</v>
      </c>
      <c r="C206" s="114">
        <f>IFERROR((Data_Entry!F204/Data_Entry!$V204/C$2),"")</f>
        <v>1.2019045216386099</v>
      </c>
      <c r="D206" s="114">
        <f>IFERROR((Data_Entry!G204/Data_Entry!$V204/D$2),"")</f>
        <v>1.21005384740966</v>
      </c>
      <c r="E206" s="114">
        <f>IFERROR((Data_Entry!H204/Data_Entry!$V204/E$2),"")</f>
        <v>1.1939165686551101</v>
      </c>
      <c r="F206" s="114">
        <f>IFERROR((Data_Entry!I204/Data_Entry!$V204/F$2),"")</f>
        <v>1.1701707968413999</v>
      </c>
      <c r="G206" s="114">
        <f>IFERROR((Data_Entry!J204/Data_Entry!$V204/G$2),"")</f>
        <v>1.19019213149328</v>
      </c>
      <c r="H206" s="114">
        <f>IFERROR((Data_Entry!K204/Data_Entry!$V204/H$2),"")</f>
        <v>1.2088692775996299</v>
      </c>
      <c r="I206" s="114">
        <f>IFERROR((Data_Entry!L204/Data_Entry!$V204/I$2),"")</f>
        <v>1.19057802294176</v>
      </c>
    </row>
    <row r="207" spans="1:9" ht="15">
      <c r="A207" s="113">
        <v>45950</v>
      </c>
      <c r="B207" s="19">
        <v>45950</v>
      </c>
      <c r="C207" s="114">
        <f>IFERROR((Data_Entry!F205/Data_Entry!$V205/C$2),"")</f>
        <v>1.17852800454768</v>
      </c>
      <c r="D207" s="114">
        <f>IFERROR((Data_Entry!G205/Data_Entry!$V205/D$2),"")</f>
        <v>1.1888492849032299</v>
      </c>
      <c r="E207" s="114">
        <f>IFERROR((Data_Entry!H205/Data_Entry!$V205/E$2),"")</f>
        <v>1.1707475678957899</v>
      </c>
      <c r="F207" s="114">
        <f>IFERROR((Data_Entry!I205/Data_Entry!$V205/F$2),"")</f>
        <v>1.15002605441425</v>
      </c>
      <c r="G207" s="114">
        <f>IFERROR((Data_Entry!J205/Data_Entry!$V205/G$2),"")</f>
        <v>1.16793116966127</v>
      </c>
      <c r="H207" s="114">
        <f>IFERROR((Data_Entry!K205/Data_Entry!$V205/H$2),"")</f>
        <v>1.1816071625953399</v>
      </c>
      <c r="I207" s="114">
        <f>IFERROR((Data_Entry!L205/Data_Entry!$V205/I$2),"")</f>
        <v>1.1685559263665899</v>
      </c>
    </row>
    <row r="208" spans="1:9" ht="15">
      <c r="A208" s="113">
        <v>45951</v>
      </c>
      <c r="B208" s="19">
        <v>45951</v>
      </c>
      <c r="C208" s="114">
        <f>IFERROR((Data_Entry!F206/Data_Entry!$V206/C$2),"")</f>
        <v>1.10708375154314</v>
      </c>
      <c r="D208" s="114">
        <f>IFERROR((Data_Entry!G206/Data_Entry!$V206/D$2),"")</f>
        <v>1.1146941823247101</v>
      </c>
      <c r="E208" s="114">
        <f>IFERROR((Data_Entry!H206/Data_Entry!$V206/E$2),"")</f>
        <v>1.10247538618258</v>
      </c>
      <c r="F208" s="114">
        <f>IFERROR((Data_Entry!I206/Data_Entry!$V206/F$2),"")</f>
        <v>1.0899473993387001</v>
      </c>
      <c r="G208" s="114">
        <f>IFERROR((Data_Entry!J206/Data_Entry!$V206/G$2),"")</f>
        <v>1.10581918869499</v>
      </c>
      <c r="H208" s="114">
        <f>IFERROR((Data_Entry!K206/Data_Entry!$V206/H$2),"")</f>
        <v>1.11875976883276</v>
      </c>
      <c r="I208" s="114">
        <f>IFERROR((Data_Entry!L206/Data_Entry!$V206/I$2),"")</f>
        <v>1.1049838313604501</v>
      </c>
    </row>
    <row r="209" spans="1:9" ht="15">
      <c r="A209" s="113">
        <v>45952</v>
      </c>
      <c r="B209" s="19">
        <v>45952</v>
      </c>
      <c r="C209" s="114">
        <f>IFERROR((Data_Entry!F207/Data_Entry!$V207/C$2),"")</f>
        <v>1.0845403780966201</v>
      </c>
      <c r="D209" s="114">
        <f>IFERROR((Data_Entry!G207/Data_Entry!$V207/D$2),"")</f>
        <v>1.0914859087605699</v>
      </c>
      <c r="E209" s="114">
        <f>IFERROR((Data_Entry!H207/Data_Entry!$V207/E$2),"")</f>
        <v>1.08503447072515</v>
      </c>
      <c r="F209" s="114">
        <f>IFERROR((Data_Entry!I207/Data_Entry!$V207/F$2),"")</f>
        <v>1.07811195679855</v>
      </c>
      <c r="G209" s="114">
        <f>IFERROR((Data_Entry!J207/Data_Entry!$V207/G$2),"")</f>
        <v>1.0853293918531199</v>
      </c>
      <c r="H209" s="114">
        <f>IFERROR((Data_Entry!K207/Data_Entry!$V207/H$2),"")</f>
        <v>1.0980358584318699</v>
      </c>
      <c r="I209" s="114">
        <f>IFERROR((Data_Entry!L207/Data_Entry!$V207/I$2),"")</f>
        <v>1.0836955103908099</v>
      </c>
    </row>
    <row r="210" spans="1:9" ht="15">
      <c r="A210" s="113">
        <v>45953</v>
      </c>
      <c r="B210" s="19">
        <v>45953</v>
      </c>
      <c r="C210" s="114">
        <f>IFERROR((Data_Entry!F208/Data_Entry!$V208/C$2),"")</f>
        <v>1.0591407788277201</v>
      </c>
      <c r="D210" s="114">
        <f>IFERROR((Data_Entry!G208/Data_Entry!$V208/D$2),"")</f>
        <v>1.0642690091522</v>
      </c>
      <c r="E210" s="114">
        <f>IFERROR((Data_Entry!H208/Data_Entry!$V208/E$2),"")</f>
        <v>1.0595169514114</v>
      </c>
      <c r="F210" s="114">
        <f>IFERROR((Data_Entry!I208/Data_Entry!$V208/F$2),"")</f>
        <v>1.0424126143411101</v>
      </c>
      <c r="G210" s="114">
        <f>IFERROR((Data_Entry!J208/Data_Entry!$V208/G$2),"")</f>
        <v>1.06114514117467</v>
      </c>
      <c r="H210" s="114">
        <f>IFERROR((Data_Entry!K208/Data_Entry!$V208/H$2),"")</f>
        <v>1.07235822172145</v>
      </c>
      <c r="I210" s="114">
        <f>IFERROR((Data_Entry!L208/Data_Entry!$V208/I$2),"")</f>
        <v>1.06019786717956</v>
      </c>
    </row>
    <row r="211" spans="1:9" ht="15">
      <c r="A211" s="113">
        <v>45954</v>
      </c>
      <c r="B211" s="19">
        <v>45954</v>
      </c>
      <c r="C211" s="114">
        <f>IFERROR((Data_Entry!F209/Data_Entry!$V209/C$2),"")</f>
        <v>0.98715783820333702</v>
      </c>
      <c r="D211" s="114">
        <f>IFERROR((Data_Entry!G209/Data_Entry!$V209/D$2),"")</f>
        <v>0.99535296817930796</v>
      </c>
      <c r="E211" s="114">
        <f>IFERROR((Data_Entry!H209/Data_Entry!$V209/E$2),"")</f>
        <v>0.98037644374905097</v>
      </c>
      <c r="F211" s="114">
        <f>IFERROR((Data_Entry!I209/Data_Entry!$V209/F$2),"")</f>
        <v>0.96664799041292104</v>
      </c>
      <c r="G211" s="114">
        <f>IFERROR((Data_Entry!J209/Data_Entry!$V209/G$2),"")</f>
        <v>0.98064794933866095</v>
      </c>
      <c r="H211" s="114">
        <f>IFERROR((Data_Entry!K209/Data_Entry!$V209/H$2),"")</f>
        <v>0.99221093194313303</v>
      </c>
      <c r="I211" s="114">
        <f>IFERROR((Data_Entry!L209/Data_Entry!$V209/I$2),"")</f>
        <v>0.97812419641248105</v>
      </c>
    </row>
    <row r="212" spans="1:9" ht="15">
      <c r="A212" s="113">
        <v>45955</v>
      </c>
      <c r="B212" s="19">
        <v>45955</v>
      </c>
      <c r="C212" s="114">
        <f>IFERROR((Data_Entry!F210/Data_Entry!$V210/C$2),"")</f>
        <v>1.09808855301245</v>
      </c>
      <c r="D212" s="114">
        <f>IFERROR((Data_Entry!G210/Data_Entry!$V210/D$2),"")</f>
        <v>1.1011877500449401</v>
      </c>
      <c r="E212" s="114">
        <f>IFERROR((Data_Entry!H210/Data_Entry!$V210/E$2),"")</f>
        <v>1.0944556053799299</v>
      </c>
      <c r="F212" s="114">
        <f>IFERROR((Data_Entry!I210/Data_Entry!$V210/F$2),"")</f>
        <v>1.0709731990723199</v>
      </c>
      <c r="G212" s="114">
        <f>IFERROR((Data_Entry!J210/Data_Entry!$V210/G$2),"")</f>
        <v>1.08724473209119</v>
      </c>
      <c r="H212" s="114">
        <f>IFERROR((Data_Entry!K210/Data_Entry!$V210/H$2),"")</f>
        <v>1.10489967479991</v>
      </c>
      <c r="I212" s="114">
        <f>IFERROR((Data_Entry!L210/Data_Entry!$V210/I$2),"")</f>
        <v>1.0821804644765101</v>
      </c>
    </row>
    <row r="213" spans="1:9" ht="15">
      <c r="A213" s="113">
        <v>45956</v>
      </c>
      <c r="B213" s="19">
        <v>45956</v>
      </c>
      <c r="C213" s="114">
        <f>IFERROR((Data_Entry!F211/Data_Entry!$V211/C$2),"")</f>
        <v>0.87970133841693499</v>
      </c>
      <c r="D213" s="114">
        <f>IFERROR((Data_Entry!G211/Data_Entry!$V211/D$2),"")</f>
        <v>0.89342913435454296</v>
      </c>
      <c r="E213" s="114">
        <f>IFERROR((Data_Entry!H211/Data_Entry!$V211/E$2),"")</f>
        <v>0.86264951641896204</v>
      </c>
      <c r="F213" s="114">
        <f>IFERROR((Data_Entry!I211/Data_Entry!$V211/F$2),"")</f>
        <v>0.912393538258508</v>
      </c>
      <c r="G213" s="114">
        <f>IFERROR((Data_Entry!J211/Data_Entry!$V211/G$2),"")</f>
        <v>1.0131879185485599</v>
      </c>
      <c r="H213" s="114">
        <f>IFERROR((Data_Entry!K211/Data_Entry!$V211/H$2),"")</f>
        <v>1.07397010936665</v>
      </c>
      <c r="I213" s="114">
        <f>IFERROR((Data_Entry!L211/Data_Entry!$V211/I$2),"")</f>
        <v>1.00600306718827</v>
      </c>
    </row>
    <row r="214" spans="1:9" ht="15">
      <c r="A214" s="113">
        <v>45957</v>
      </c>
      <c r="B214" s="19">
        <v>45957</v>
      </c>
      <c r="C214" s="114">
        <f>IFERROR((Data_Entry!F212/Data_Entry!$V212/C$2),"")</f>
        <v>1.10105760402576</v>
      </c>
      <c r="D214" s="114">
        <f>IFERROR((Data_Entry!G212/Data_Entry!$V212/D$2),"")</f>
        <v>1.0996777776999</v>
      </c>
      <c r="E214" s="114">
        <f>IFERROR((Data_Entry!H212/Data_Entry!$V212/E$2),"")</f>
        <v>1.10213080227921</v>
      </c>
      <c r="F214" s="114">
        <f>IFERROR((Data_Entry!I212/Data_Entry!$V212/F$2),"")</f>
        <v>1.0765863984205599</v>
      </c>
      <c r="G214" s="114">
        <f>IFERROR((Data_Entry!J212/Data_Entry!$V212/G$2),"")</f>
        <v>1.09129311876326</v>
      </c>
      <c r="H214" s="114">
        <f>IFERROR((Data_Entry!K212/Data_Entry!$V212/H$2),"")</f>
        <v>1.1760976827907099</v>
      </c>
      <c r="I214" s="114">
        <f>IFERROR((Data_Entry!L212/Data_Entry!$V212/I$2),"")</f>
        <v>1.11002218996893</v>
      </c>
    </row>
    <row r="215" spans="1:9" ht="15">
      <c r="A215" s="113">
        <v>45958</v>
      </c>
      <c r="B215" s="19">
        <v>45958</v>
      </c>
      <c r="C215" s="114">
        <f>IFERROR((Data_Entry!F213/Data_Entry!$V213/C$2),"")</f>
        <v>1.1948200881687101</v>
      </c>
      <c r="D215" s="114">
        <f>IFERROR((Data_Entry!G213/Data_Entry!$V213/D$2),"")</f>
        <v>1.1889159333458199</v>
      </c>
      <c r="E215" s="114">
        <f>IFERROR((Data_Entry!H213/Data_Entry!$V213/E$2),"")</f>
        <v>1.18024586815544</v>
      </c>
      <c r="F215" s="114">
        <f>IFERROR((Data_Entry!I213/Data_Entry!$V213/F$2),"")</f>
        <v>1.1634260804441401</v>
      </c>
      <c r="G215" s="114">
        <f>IFERROR((Data_Entry!J213/Data_Entry!$V213/G$2),"")</f>
        <v>1.18474394145373</v>
      </c>
      <c r="H215" s="114">
        <f>IFERROR((Data_Entry!K213/Data_Entry!$V213/H$2),"")</f>
        <v>1.20270385776967</v>
      </c>
      <c r="I215" s="114">
        <f>IFERROR((Data_Entry!L213/Data_Entry!$V213/I$2),"")</f>
        <v>1.1798596582629901</v>
      </c>
    </row>
    <row r="216" spans="1:9" ht="15">
      <c r="A216" s="113">
        <v>45959</v>
      </c>
      <c r="B216" s="19">
        <v>45959</v>
      </c>
      <c r="C216" s="114">
        <f>IFERROR((Data_Entry!F214/Data_Entry!$V214/C$2),"")</f>
        <v>1.04371357794608</v>
      </c>
      <c r="D216" s="114">
        <f>IFERROR((Data_Entry!G214/Data_Entry!$V214/D$2),"")</f>
        <v>1.0377117747376501</v>
      </c>
      <c r="E216" s="114">
        <f>IFERROR((Data_Entry!H214/Data_Entry!$V214/E$2),"")</f>
        <v>1.0292647924443099</v>
      </c>
      <c r="F216" s="114">
        <f>IFERROR((Data_Entry!I214/Data_Entry!$V214/F$2),"")</f>
        <v>1.01912938016624</v>
      </c>
      <c r="G216" s="114">
        <f>IFERROR((Data_Entry!J214/Data_Entry!$V214/G$2),"")</f>
        <v>1.034863576017</v>
      </c>
      <c r="H216" s="114">
        <f>IFERROR((Data_Entry!K214/Data_Entry!$V214/H$2),"")</f>
        <v>1.0460688749539699</v>
      </c>
      <c r="I216" s="114">
        <f>IFERROR((Data_Entry!L214/Data_Entry!$V214/I$2),"")</f>
        <v>1.0256782076284501</v>
      </c>
    </row>
    <row r="217" spans="1:9" ht="15">
      <c r="A217" s="113">
        <v>45960</v>
      </c>
      <c r="B217" s="19">
        <v>45960</v>
      </c>
      <c r="C217" s="114">
        <f>IFERROR((Data_Entry!F215/Data_Entry!$V215/C$2),"")</f>
        <v>1.0540640127796099</v>
      </c>
      <c r="D217" s="114">
        <f>IFERROR((Data_Entry!G215/Data_Entry!$V215/D$2),"")</f>
        <v>1.0529791875357599</v>
      </c>
      <c r="E217" s="114">
        <f>IFERROR((Data_Entry!H215/Data_Entry!$V215/E$2),"")</f>
        <v>1.0437489795288</v>
      </c>
      <c r="F217" s="114">
        <f>IFERROR((Data_Entry!I215/Data_Entry!$V215/F$2),"")</f>
        <v>1.03495046321798</v>
      </c>
      <c r="G217" s="114">
        <f>IFERROR((Data_Entry!J215/Data_Entry!$V215/G$2),"")</f>
        <v>1.0493018138278101</v>
      </c>
      <c r="H217" s="114">
        <f>IFERROR((Data_Entry!K215/Data_Entry!$V215/H$2),"")</f>
        <v>1.0593970040852101</v>
      </c>
      <c r="I217" s="114">
        <f>IFERROR((Data_Entry!L215/Data_Entry!$V215/I$2),"")</f>
        <v>1.0409829549571601</v>
      </c>
    </row>
    <row r="218" spans="1:9" ht="15">
      <c r="A218" s="113">
        <v>45961</v>
      </c>
      <c r="B218" s="19">
        <v>45961</v>
      </c>
      <c r="C218" s="114">
        <f>IFERROR((Data_Entry!F216/Data_Entry!$V216/C$2),"")</f>
        <v>1.13641429406267</v>
      </c>
      <c r="D218" s="114">
        <f>IFERROR((Data_Entry!G216/Data_Entry!$V216/D$2),"")</f>
        <v>1.1416016424441799</v>
      </c>
      <c r="E218" s="114">
        <f>IFERROR((Data_Entry!H216/Data_Entry!$V216/E$2),"")</f>
        <v>1.1211967212716101</v>
      </c>
      <c r="F218" s="114">
        <f>IFERROR((Data_Entry!I216/Data_Entry!$V216/F$2),"")</f>
        <v>1.11884972805009</v>
      </c>
      <c r="G218" s="114">
        <f>IFERROR((Data_Entry!J216/Data_Entry!$V216/G$2),"")</f>
        <v>1.1321652143676999</v>
      </c>
      <c r="H218" s="114">
        <f>IFERROR((Data_Entry!K216/Data_Entry!$V216/H$2),"")</f>
        <v>1.14375569590763</v>
      </c>
      <c r="I218" s="114">
        <f>IFERROR((Data_Entry!L216/Data_Entry!$V216/I$2),"")</f>
        <v>1.12264861497622</v>
      </c>
    </row>
    <row r="219" spans="1:9" ht="15">
      <c r="A219" s="113">
        <v>45962</v>
      </c>
      <c r="B219" s="19">
        <v>45962</v>
      </c>
      <c r="C219" s="114">
        <f>IFERROR((Data_Entry!F217/Data_Entry!$V217/C$2),"")</f>
        <v>1.12208007985657</v>
      </c>
      <c r="D219" s="114">
        <f>IFERROR((Data_Entry!G217/Data_Entry!$V217/D$2),"")</f>
        <v>1.12451930789719</v>
      </c>
      <c r="E219" s="114">
        <f>IFERROR((Data_Entry!H217/Data_Entry!$V217/E$2),"")</f>
        <v>1.11492657454515</v>
      </c>
      <c r="F219" s="114">
        <f>IFERROR((Data_Entry!I217/Data_Entry!$V217/F$2),"")</f>
        <v>1.0919930381658001</v>
      </c>
      <c r="G219" s="114">
        <f>IFERROR((Data_Entry!J217/Data_Entry!$V217/G$2),"")</f>
        <v>1.1078092701515601</v>
      </c>
      <c r="H219" s="114">
        <f>IFERROR((Data_Entry!K217/Data_Entry!$V217/H$2),"")</f>
        <v>1.11820760139326</v>
      </c>
      <c r="I219" s="114">
        <f>IFERROR((Data_Entry!L217/Data_Entry!$V217/I$2),"")</f>
        <v>1.0954591485797001</v>
      </c>
    </row>
    <row r="220" spans="1:9" ht="15">
      <c r="A220" s="113">
        <v>45963</v>
      </c>
      <c r="B220" s="19">
        <v>45963</v>
      </c>
      <c r="C220" s="114">
        <f>IFERROR((Data_Entry!F218/Data_Entry!$V218/C$2),"")</f>
        <v>1.0528777884771301</v>
      </c>
      <c r="D220" s="114">
        <f>IFERROR((Data_Entry!G218/Data_Entry!$V218/D$2),"")</f>
        <v>1.0561201469608701</v>
      </c>
      <c r="E220" s="114">
        <f>IFERROR((Data_Entry!H218/Data_Entry!$V218/E$2),"")</f>
        <v>1.04125608186369</v>
      </c>
      <c r="F220" s="114">
        <f>IFERROR((Data_Entry!I218/Data_Entry!$V218/F$2),"")</f>
        <v>1.0252417353190899</v>
      </c>
      <c r="G220" s="114">
        <f>IFERROR((Data_Entry!J218/Data_Entry!$V218/G$2),"")</f>
        <v>1.0352371673132601</v>
      </c>
      <c r="H220" s="114">
        <f>IFERROR((Data_Entry!K218/Data_Entry!$V218/H$2),"")</f>
        <v>1.045624943367</v>
      </c>
      <c r="I220" s="114">
        <f>IFERROR((Data_Entry!L218/Data_Entry!$V218/I$2),"")</f>
        <v>1.02099134134027</v>
      </c>
    </row>
    <row r="221" spans="1:9" ht="15">
      <c r="A221" s="113">
        <v>45964</v>
      </c>
      <c r="B221" s="19">
        <v>45964</v>
      </c>
      <c r="C221" s="114">
        <f>IFERROR((Data_Entry!F219/Data_Entry!$V219/C$2),"")</f>
        <v>1.1626825999914701</v>
      </c>
      <c r="D221" s="114">
        <f>IFERROR((Data_Entry!G219/Data_Entry!$V219/D$2),"")</f>
        <v>1.16096894384356</v>
      </c>
      <c r="E221" s="114">
        <f>IFERROR((Data_Entry!H219/Data_Entry!$V219/E$2),"")</f>
        <v>1.1554087547971299</v>
      </c>
      <c r="F221" s="114">
        <f>IFERROR((Data_Entry!I219/Data_Entry!$V219/F$2),"")</f>
        <v>1.1318994645679901</v>
      </c>
      <c r="G221" s="114">
        <f>IFERROR((Data_Entry!J219/Data_Entry!$V219/G$2),"")</f>
        <v>1.1537923092237701</v>
      </c>
      <c r="H221" s="114">
        <f>IFERROR((Data_Entry!K219/Data_Entry!$V219/H$2),"")</f>
        <v>1.16819290466412</v>
      </c>
      <c r="I221" s="114">
        <f>IFERROR((Data_Entry!L219/Data_Entry!$V219/I$2),"")</f>
        <v>1.14813618868931</v>
      </c>
    </row>
    <row r="222" spans="1:9" ht="15">
      <c r="A222" s="113">
        <v>45965</v>
      </c>
      <c r="B222" s="19">
        <v>45965</v>
      </c>
      <c r="C222" s="114">
        <f>IFERROR((Data_Entry!F220/Data_Entry!$V220/C$2),"")</f>
        <v>1.2493261426480999</v>
      </c>
      <c r="D222" s="114">
        <f>IFERROR((Data_Entry!G220/Data_Entry!$V220/D$2),"")</f>
        <v>1.26444271419735</v>
      </c>
      <c r="E222" s="114">
        <f>IFERROR((Data_Entry!H220/Data_Entry!$V220/E$2),"")</f>
        <v>1.25350552062735</v>
      </c>
      <c r="F222" s="114">
        <f>IFERROR((Data_Entry!I220/Data_Entry!$V220/F$2),"")</f>
        <v>1.2247876488467899</v>
      </c>
      <c r="G222" s="114">
        <f>IFERROR((Data_Entry!J220/Data_Entry!$V220/G$2),"")</f>
        <v>1.2499884045602501</v>
      </c>
      <c r="H222" s="114">
        <f>IFERROR((Data_Entry!K220/Data_Entry!$V220/H$2),"")</f>
        <v>1.2672821746949099</v>
      </c>
      <c r="I222" s="114">
        <f>IFERROR((Data_Entry!L220/Data_Entry!$V220/I$2),"")</f>
        <v>1.2417501207030099</v>
      </c>
    </row>
    <row r="223" spans="1:9" ht="15">
      <c r="A223" s="113">
        <v>45966</v>
      </c>
      <c r="B223" s="19">
        <v>45966</v>
      </c>
      <c r="C223" s="114">
        <f>IFERROR((Data_Entry!F221/Data_Entry!$V221/C$2),"")</f>
        <v>1.1695721719734999</v>
      </c>
      <c r="D223" s="114">
        <f>IFERROR((Data_Entry!G221/Data_Entry!$V221/D$2),"")</f>
        <v>1.18530516135343</v>
      </c>
      <c r="E223" s="114">
        <f>IFERROR((Data_Entry!H221/Data_Entry!$V221/E$2),"")</f>
        <v>1.1696588000387</v>
      </c>
      <c r="F223" s="114">
        <f>IFERROR((Data_Entry!I221/Data_Entry!$V221/F$2),"")</f>
        <v>1.1430952744268701</v>
      </c>
      <c r="G223" s="114">
        <f>IFERROR((Data_Entry!J221/Data_Entry!$V221/G$2),"")</f>
        <v>1.1647221592261401</v>
      </c>
      <c r="H223" s="114">
        <f>IFERROR((Data_Entry!K221/Data_Entry!$V221/H$2),"")</f>
        <v>1.1844432265909799</v>
      </c>
      <c r="I223" s="114">
        <f>IFERROR((Data_Entry!L221/Data_Entry!$V221/I$2),"")</f>
        <v>1.15815059476164</v>
      </c>
    </row>
    <row r="224" spans="1:9" ht="15">
      <c r="A224" s="113">
        <v>45967</v>
      </c>
      <c r="B224" s="19">
        <v>45967</v>
      </c>
      <c r="C224" s="114">
        <f>IFERROR((Data_Entry!F222/Data_Entry!$V222/C$2),"")</f>
        <v>1.18650236516112</v>
      </c>
      <c r="D224" s="114">
        <f>IFERROR((Data_Entry!G222/Data_Entry!$V222/D$2),"")</f>
        <v>1.2049850632116399</v>
      </c>
      <c r="E224" s="114">
        <f>IFERROR((Data_Entry!H222/Data_Entry!$V222/E$2),"")</f>
        <v>1.1865837867384299</v>
      </c>
      <c r="F224" s="114">
        <f>IFERROR((Data_Entry!I222/Data_Entry!$V222/F$2),"")</f>
        <v>1.15952586256691</v>
      </c>
      <c r="G224" s="114">
        <f>IFERROR((Data_Entry!J222/Data_Entry!$V222/G$2),"")</f>
        <v>1.1821504408547701</v>
      </c>
      <c r="H224" s="114">
        <f>IFERROR((Data_Entry!K222/Data_Entry!$V222/H$2),"")</f>
        <v>1.20086796345436</v>
      </c>
      <c r="I224" s="114">
        <f>IFERROR((Data_Entry!L222/Data_Entry!$V222/I$2),"")</f>
        <v>1.17995028823297</v>
      </c>
    </row>
    <row r="225" spans="1:9" ht="15">
      <c r="A225" s="113">
        <v>45968</v>
      </c>
      <c r="B225" s="19">
        <v>45968</v>
      </c>
      <c r="C225" s="114">
        <f>IFERROR((Data_Entry!F223/Data_Entry!$V223/C$2),"")</f>
        <v>1.17411325541442</v>
      </c>
      <c r="D225" s="114">
        <f>IFERROR((Data_Entry!G223/Data_Entry!$V223/D$2),"")</f>
        <v>1.1899204506041201</v>
      </c>
      <c r="E225" s="114">
        <f>IFERROR((Data_Entry!H223/Data_Entry!$V223/E$2),"")</f>
        <v>1.1742806749574699</v>
      </c>
      <c r="F225" s="114">
        <f>IFERROR((Data_Entry!I223/Data_Entry!$V223/F$2),"")</f>
        <v>1.14767977198138</v>
      </c>
      <c r="G225" s="114">
        <f>IFERROR((Data_Entry!J223/Data_Entry!$V223/G$2),"")</f>
        <v>1.1664228750999399</v>
      </c>
      <c r="H225" s="114">
        <f>IFERROR((Data_Entry!K223/Data_Entry!$V223/H$2),"")</f>
        <v>1.18858897996283</v>
      </c>
      <c r="I225" s="114">
        <f>IFERROR((Data_Entry!L223/Data_Entry!$V223/I$2),"")</f>
        <v>1.1685914434564799</v>
      </c>
    </row>
    <row r="226" spans="1:9" ht="15">
      <c r="A226" s="113">
        <v>45969</v>
      </c>
      <c r="B226" s="19">
        <v>45969</v>
      </c>
      <c r="C226" s="114" t="str">
        <f>IFERROR((Data_Entry!F224/Data_Entry!$V224/C$2),"")</f>
        <v/>
      </c>
      <c r="D226" s="114">
        <f>IFERROR((Data_Entry!G224/Data_Entry!$V224/D$2),"")</f>
        <v>1.18361924593068</v>
      </c>
      <c r="E226" s="114">
        <f>IFERROR((Data_Entry!H224/Data_Entry!$V224/E$2),"")</f>
        <v>1.1663602698637501</v>
      </c>
      <c r="F226" s="114">
        <f>IFERROR((Data_Entry!I224/Data_Entry!$V224/F$2),"")</f>
        <v>1.14538353014245</v>
      </c>
      <c r="G226" s="114">
        <f>IFERROR((Data_Entry!J224/Data_Entry!$V224/G$2),"")</f>
        <v>1.1633007636145201</v>
      </c>
      <c r="H226" s="114">
        <f>IFERROR((Data_Entry!K224/Data_Entry!$V224/H$2),"")</f>
        <v>1.1809247944043699</v>
      </c>
      <c r="I226" s="114">
        <f>IFERROR((Data_Entry!L224/Data_Entry!$V224/I$2),"")</f>
        <v>1.1615415475212101</v>
      </c>
    </row>
    <row r="227" spans="1:9" ht="15">
      <c r="A227" s="113">
        <v>45970</v>
      </c>
      <c r="B227" s="19">
        <v>45970</v>
      </c>
      <c r="C227" s="114">
        <f>IFERROR((Data_Entry!F225/Data_Entry!$V225/C$2),"")</f>
        <v>1.1551105742079499</v>
      </c>
      <c r="D227" s="114">
        <f>IFERROR((Data_Entry!G225/Data_Entry!$V225/D$2),"")</f>
        <v>1.16195617851519</v>
      </c>
      <c r="E227" s="114">
        <f>IFERROR((Data_Entry!H225/Data_Entry!$V225/E$2),"")</f>
        <v>1.1521385801428601</v>
      </c>
      <c r="F227" s="114">
        <f>IFERROR((Data_Entry!I225/Data_Entry!$V225/F$2),"")</f>
        <v>1.1309716522117299</v>
      </c>
      <c r="G227" s="114">
        <f>IFERROR((Data_Entry!J225/Data_Entry!$V225/G$2),"")</f>
        <v>1.1659090612907801</v>
      </c>
      <c r="H227" s="114">
        <f>IFERROR((Data_Entry!K225/Data_Entry!$V225/H$2),"")</f>
        <v>1.1677105513913999</v>
      </c>
      <c r="I227" s="114">
        <f>IFERROR((Data_Entry!L225/Data_Entry!$V225/I$2),"")</f>
        <v>1.1473894875258901</v>
      </c>
    </row>
    <row r="228" spans="1:9" ht="15">
      <c r="A228" s="113">
        <v>45971</v>
      </c>
      <c r="B228" s="19">
        <v>45971</v>
      </c>
      <c r="C228" s="114">
        <f>IFERROR((Data_Entry!F226/Data_Entry!$V226/C$2),"")</f>
        <v>1.1597391570262101</v>
      </c>
      <c r="D228" s="114">
        <f>IFERROR((Data_Entry!G226/Data_Entry!$V226/D$2),"")</f>
        <v>1.1635717607304199</v>
      </c>
      <c r="E228" s="114">
        <f>IFERROR((Data_Entry!H226/Data_Entry!$V226/E$2),"")</f>
        <v>1.1559468965188899</v>
      </c>
      <c r="F228" s="114">
        <f>IFERROR((Data_Entry!I226/Data_Entry!$V226/F$2),"")</f>
        <v>1.13441795413989</v>
      </c>
      <c r="G228" s="114">
        <f>IFERROR((Data_Entry!J226/Data_Entry!$V226/G$2),"")</f>
        <v>1.1646911382730101</v>
      </c>
      <c r="H228" s="114">
        <f>IFERROR((Data_Entry!K226/Data_Entry!$V226/H$2),"")</f>
        <v>1.17157286910421</v>
      </c>
      <c r="I228" s="114">
        <f>IFERROR((Data_Entry!L226/Data_Entry!$V226/I$2),"")</f>
        <v>1.14921045966489</v>
      </c>
    </row>
    <row r="229" spans="1:9" ht="15">
      <c r="A229" s="113">
        <v>45972</v>
      </c>
      <c r="B229" s="19">
        <v>45972</v>
      </c>
      <c r="C229" s="114">
        <f>IFERROR((Data_Entry!F227/Data_Entry!$V227/C$2),"")</f>
        <v>1.14884111787253</v>
      </c>
      <c r="D229" s="114">
        <f>IFERROR((Data_Entry!G227/Data_Entry!$V227/D$2),"")</f>
        <v>1.1581065744385399</v>
      </c>
      <c r="E229" s="114">
        <f>IFERROR((Data_Entry!H227/Data_Entry!$V227/E$2),"")</f>
        <v>1.14698802655933</v>
      </c>
      <c r="F229" s="114">
        <f>IFERROR((Data_Entry!I227/Data_Entry!$V227/F$2),"")</f>
        <v>1.12878147900822</v>
      </c>
      <c r="G229" s="114">
        <f>IFERROR((Data_Entry!J227/Data_Entry!$V227/G$2),"")</f>
        <v>1.1428237931815901</v>
      </c>
      <c r="H229" s="114">
        <f>IFERROR((Data_Entry!K227/Data_Entry!$V227/H$2),"")</f>
        <v>1.1643566545601201</v>
      </c>
      <c r="I229" s="114">
        <f>IFERROR((Data_Entry!L227/Data_Entry!$V227/I$2),"")</f>
        <v>1.1393050085173</v>
      </c>
    </row>
    <row r="230" spans="1:9" ht="15">
      <c r="A230" s="113">
        <v>45973</v>
      </c>
      <c r="B230" s="19">
        <v>45973</v>
      </c>
      <c r="C230" s="114">
        <f>IFERROR((Data_Entry!F228/Data_Entry!$V228/C$2),"")</f>
        <v>1.1345410219471901</v>
      </c>
      <c r="D230" s="114">
        <f>IFERROR((Data_Entry!G228/Data_Entry!$V228/D$2),"")</f>
        <v>1.1572247602272601</v>
      </c>
      <c r="E230" s="114">
        <f>IFERROR((Data_Entry!H228/Data_Entry!$V228/E$2),"")</f>
        <v>1.1329718377258</v>
      </c>
      <c r="F230" s="114">
        <f>IFERROR((Data_Entry!I228/Data_Entry!$V228/F$2),"")</f>
        <v>1.1168196249967299</v>
      </c>
      <c r="G230" s="114">
        <f>IFERROR((Data_Entry!J228/Data_Entry!$V228/G$2),"")</f>
        <v>1.13295161161136</v>
      </c>
      <c r="H230" s="114">
        <f>IFERROR((Data_Entry!K228/Data_Entry!$V228/H$2),"")</f>
        <v>1.1561699834535899</v>
      </c>
      <c r="I230" s="114">
        <f>IFERROR((Data_Entry!L228/Data_Entry!$V228/I$2),"")</f>
        <v>1.1331043640576901</v>
      </c>
    </row>
    <row r="231" spans="1:9" ht="15">
      <c r="A231" s="113">
        <v>45974</v>
      </c>
      <c r="B231" s="19">
        <v>45974</v>
      </c>
      <c r="C231" s="114">
        <f>IFERROR((Data_Entry!F229/Data_Entry!$V229/C$2),"")</f>
        <v>1.1196999296358801</v>
      </c>
      <c r="D231" s="114">
        <f>IFERROR((Data_Entry!G229/Data_Entry!$V229/D$2),"")</f>
        <v>1.1248072292948501</v>
      </c>
      <c r="E231" s="114">
        <f>IFERROR((Data_Entry!H229/Data_Entry!$V229/E$2),"")</f>
        <v>1.11755725233741</v>
      </c>
      <c r="F231" s="114">
        <f>IFERROR((Data_Entry!I229/Data_Entry!$V229/F$2),"")</f>
        <v>1.1044278177437401</v>
      </c>
      <c r="G231" s="114">
        <f>IFERROR((Data_Entry!J229/Data_Entry!$V229/G$2),"")</f>
        <v>1.1183309375258701</v>
      </c>
      <c r="H231" s="114">
        <f>IFERROR((Data_Entry!K229/Data_Entry!$V229/H$2),"")</f>
        <v>1.1402641337408901</v>
      </c>
      <c r="I231" s="114">
        <f>IFERROR((Data_Entry!L229/Data_Entry!$V229/I$2),"")</f>
        <v>1.1088225206618201</v>
      </c>
    </row>
    <row r="232" spans="1:9" ht="15">
      <c r="A232" s="113">
        <v>45975</v>
      </c>
      <c r="B232" s="19">
        <v>45975</v>
      </c>
      <c r="C232" s="114">
        <f>IFERROR((Data_Entry!F230/Data_Entry!$V230/C$2),"")</f>
        <v>1.1103194336978199</v>
      </c>
      <c r="D232" s="114">
        <f>IFERROR((Data_Entry!G230/Data_Entry!$V230/D$2),"")</f>
        <v>1.11887875783628</v>
      </c>
      <c r="E232" s="114">
        <f>IFERROR((Data_Entry!H230/Data_Entry!$V230/E$2),"")</f>
        <v>1.10821273778109</v>
      </c>
      <c r="F232" s="114">
        <f>IFERROR((Data_Entry!I230/Data_Entry!$V230/F$2),"")</f>
        <v>1.0946199086852599</v>
      </c>
      <c r="G232" s="114">
        <f>IFERROR((Data_Entry!J230/Data_Entry!$V230/G$2),"")</f>
        <v>1.10939286358184</v>
      </c>
      <c r="H232" s="114">
        <f>IFERROR((Data_Entry!K230/Data_Entry!$V230/H$2),"")</f>
        <v>1.1306781960660699</v>
      </c>
      <c r="I232" s="114">
        <f>IFERROR((Data_Entry!L230/Data_Entry!$V230/I$2),"")</f>
        <v>1.11018689322623</v>
      </c>
    </row>
    <row r="233" spans="1:9" ht="15">
      <c r="A233" s="113">
        <v>45976</v>
      </c>
      <c r="B233" s="19">
        <v>45976</v>
      </c>
      <c r="C233" s="114">
        <f>IFERROR((Data_Entry!F231/Data_Entry!$V231/C$2),"")</f>
        <v>1.1094234346824901</v>
      </c>
      <c r="D233" s="114">
        <f>IFERROR((Data_Entry!G231/Data_Entry!$V231/D$2),"")</f>
        <v>1.12307389879827</v>
      </c>
      <c r="E233" s="114">
        <f>IFERROR((Data_Entry!H231/Data_Entry!$V231/E$2),"")</f>
        <v>1.1091305675821499</v>
      </c>
      <c r="F233" s="114">
        <f>IFERROR((Data_Entry!I231/Data_Entry!$V231/F$2),"")</f>
        <v>1.0915787285836001</v>
      </c>
      <c r="G233" s="114">
        <f>IFERROR((Data_Entry!J231/Data_Entry!$V231/G$2),"")</f>
        <v>1.1102656993443401</v>
      </c>
      <c r="H233" s="114">
        <f>IFERROR((Data_Entry!K231/Data_Entry!$V231/H$2),"")</f>
        <v>1.1300937026889999</v>
      </c>
      <c r="I233" s="114">
        <f>IFERROR((Data_Entry!L231/Data_Entry!$V231/I$2),"")</f>
        <v>1.11156388012845</v>
      </c>
    </row>
    <row r="234" spans="1:9" ht="15">
      <c r="A234" s="113">
        <v>45977</v>
      </c>
      <c r="B234" s="19">
        <v>45977</v>
      </c>
      <c r="C234" s="114">
        <f>IFERROR((Data_Entry!F232/Data_Entry!$V232/C$2),"")</f>
        <v>1.0923874610030999</v>
      </c>
      <c r="D234" s="114">
        <f>IFERROR((Data_Entry!G232/Data_Entry!$V232/D$2),"")</f>
        <v>1.11901027449432</v>
      </c>
      <c r="E234" s="114">
        <f>IFERROR((Data_Entry!H232/Data_Entry!$V232/E$2),"")</f>
        <v>1.0892828245286099</v>
      </c>
      <c r="F234" s="114">
        <f>IFERROR((Data_Entry!I232/Data_Entry!$V232/F$2),"")</f>
        <v>1.07920991089909</v>
      </c>
      <c r="G234" s="114">
        <f>IFERROR((Data_Entry!J232/Data_Entry!$V232/G$2),"")</f>
        <v>1.09248475271372</v>
      </c>
      <c r="H234" s="114">
        <f>IFERROR((Data_Entry!K232/Data_Entry!$V232/H$2),"")</f>
        <v>1.1116351118077601</v>
      </c>
      <c r="I234" s="114">
        <f>IFERROR((Data_Entry!L232/Data_Entry!$V232/I$2),"")</f>
        <v>1.0946960451035599</v>
      </c>
    </row>
    <row r="235" spans="1:9" ht="15">
      <c r="A235" s="113">
        <v>45978</v>
      </c>
      <c r="B235" s="19">
        <v>45978</v>
      </c>
      <c r="C235" s="114">
        <f>IFERROR((Data_Entry!F233/Data_Entry!$V233/C$2),"")</f>
        <v>1.0953308279464899</v>
      </c>
      <c r="D235" s="114">
        <f>IFERROR((Data_Entry!G233/Data_Entry!$V233/D$2),"")</f>
        <v>1.1104647493542401</v>
      </c>
      <c r="E235" s="114">
        <f>IFERROR((Data_Entry!H233/Data_Entry!$V233/E$2),"")</f>
        <v>1.0909724849884801</v>
      </c>
      <c r="F235" s="114">
        <f>IFERROR((Data_Entry!I233/Data_Entry!$V233/F$2),"")</f>
        <v>1.0833324648229601</v>
      </c>
      <c r="G235" s="114">
        <f>IFERROR((Data_Entry!J233/Data_Entry!$V233/G$2),"")</f>
        <v>1.09556154203588</v>
      </c>
      <c r="H235" s="114">
        <f>IFERROR((Data_Entry!K233/Data_Entry!$V233/H$2),"")</f>
        <v>1.11455823253763</v>
      </c>
      <c r="I235" s="114">
        <f>IFERROR((Data_Entry!L233/Data_Entry!$V233/I$2),"")</f>
        <v>1.09649547266974</v>
      </c>
    </row>
    <row r="236" spans="1:9" ht="15">
      <c r="A236" s="113">
        <v>45979</v>
      </c>
      <c r="B236" s="19">
        <v>45979</v>
      </c>
      <c r="C236" s="114">
        <f>IFERROR((Data_Entry!F234/Data_Entry!$V234/C$2),"")</f>
        <v>1.08653792400912</v>
      </c>
      <c r="D236" s="114">
        <f>IFERROR((Data_Entry!G234/Data_Entry!$V234/D$2),"")</f>
        <v>1.1152870565236299</v>
      </c>
      <c r="E236" s="114">
        <f>IFERROR((Data_Entry!H234/Data_Entry!$V234/E$2),"")</f>
        <v>1.0855144464214399</v>
      </c>
      <c r="F236" s="114">
        <f>IFERROR((Data_Entry!I234/Data_Entry!$V234/F$2),"")</f>
        <v>1.07401374999021</v>
      </c>
      <c r="G236" s="114">
        <f>IFERROR((Data_Entry!J234/Data_Entry!$V234/G$2),"")</f>
        <v>1.09344478655432</v>
      </c>
      <c r="H236" s="114">
        <f>IFERROR((Data_Entry!K234/Data_Entry!$V234/H$2),"")</f>
        <v>1.1091962140400899</v>
      </c>
      <c r="I236" s="114">
        <f>IFERROR((Data_Entry!L234/Data_Entry!$V234/I$2),"")</f>
        <v>1.0948423628464501</v>
      </c>
    </row>
    <row r="237" spans="1:9" ht="15">
      <c r="A237" s="113">
        <v>45980</v>
      </c>
      <c r="B237" s="19">
        <v>45980</v>
      </c>
      <c r="C237" s="114">
        <f>IFERROR((Data_Entry!F235/Data_Entry!$V235/C$2),"")</f>
        <v>1.08309641505861</v>
      </c>
      <c r="D237" s="114">
        <f>IFERROR((Data_Entry!G235/Data_Entry!$V235/D$2),"")</f>
        <v>1.10254407160099</v>
      </c>
      <c r="E237" s="114">
        <f>IFERROR((Data_Entry!H235/Data_Entry!$V235/E$2),"")</f>
        <v>1.08133322088906</v>
      </c>
      <c r="F237" s="114">
        <f>IFERROR((Data_Entry!I235/Data_Entry!$V235/F$2),"")</f>
        <v>1.06826470624963</v>
      </c>
      <c r="G237" s="114">
        <f>IFERROR((Data_Entry!J235/Data_Entry!$V235/G$2),"")</f>
        <v>1.0862854966869999</v>
      </c>
      <c r="H237" s="114">
        <f>IFERROR((Data_Entry!K235/Data_Entry!$V235/H$2),"")</f>
        <v>1.1060071741549</v>
      </c>
      <c r="I237" s="114">
        <f>IFERROR((Data_Entry!L235/Data_Entry!$V235/I$2),"")</f>
        <v>1.0879002628552299</v>
      </c>
    </row>
    <row r="238" spans="1:9" ht="15">
      <c r="A238" s="113">
        <v>45981</v>
      </c>
      <c r="B238" s="19">
        <v>45981</v>
      </c>
      <c r="C238" s="114">
        <f>IFERROR((Data_Entry!F236/Data_Entry!$V236/C$2),"")</f>
        <v>1.0826532659072401</v>
      </c>
      <c r="D238" s="114">
        <f>IFERROR((Data_Entry!G236/Data_Entry!$V236/D$2),"")</f>
        <v>1.12066716235802</v>
      </c>
      <c r="E238" s="114">
        <f>IFERROR((Data_Entry!H236/Data_Entry!$V236/E$2),"")</f>
        <v>1.0838296531015099</v>
      </c>
      <c r="F238" s="114">
        <f>IFERROR((Data_Entry!I236/Data_Entry!$V236/F$2),"")</f>
        <v>1.08335359005634</v>
      </c>
      <c r="G238" s="114">
        <f>IFERROR((Data_Entry!J236/Data_Entry!$V236/G$2),"")</f>
        <v>1.0936394370626601</v>
      </c>
      <c r="H238" s="114">
        <f>IFERROR((Data_Entry!K236/Data_Entry!$V236/H$2),"")</f>
        <v>1.1174714416271001</v>
      </c>
      <c r="I238" s="114">
        <f>IFERROR((Data_Entry!L236/Data_Entry!$V236/I$2),"")</f>
        <v>1.0902132257527</v>
      </c>
    </row>
    <row r="239" spans="1:9" ht="15">
      <c r="A239" s="113">
        <v>45982</v>
      </c>
      <c r="B239" s="19">
        <v>45982</v>
      </c>
      <c r="C239" s="114">
        <f>IFERROR((Data_Entry!F237/Data_Entry!$V237/C$2),"")</f>
        <v>1.07174692692386</v>
      </c>
      <c r="D239" s="114">
        <f>IFERROR((Data_Entry!G237/Data_Entry!$V237/D$2),"")</f>
        <v>1.12672629055329</v>
      </c>
      <c r="E239" s="114">
        <f>IFERROR((Data_Entry!H237/Data_Entry!$V237/E$2),"")</f>
        <v>1.07203849012499</v>
      </c>
      <c r="F239" s="114">
        <f>IFERROR((Data_Entry!I237/Data_Entry!$V237/F$2),"")</f>
        <v>1.09517990593835</v>
      </c>
      <c r="G239" s="114">
        <f>IFERROR((Data_Entry!J237/Data_Entry!$V237/G$2),"")</f>
        <v>1.1072775518043101</v>
      </c>
      <c r="H239" s="114">
        <f>IFERROR((Data_Entry!K237/Data_Entry!$V237/H$2),"")</f>
        <v>1.11317185651906</v>
      </c>
      <c r="I239" s="114">
        <f>IFERROR((Data_Entry!L237/Data_Entry!$V237/I$2),"")</f>
        <v>1.09325785005311</v>
      </c>
    </row>
    <row r="240" spans="1:9" ht="15">
      <c r="A240" s="113">
        <v>45983</v>
      </c>
      <c r="B240" s="19">
        <v>45983</v>
      </c>
      <c r="C240" s="114">
        <f>IFERROR((Data_Entry!F238/Data_Entry!$V238/C$2),"")</f>
        <v>1.0834561941081999</v>
      </c>
      <c r="D240" s="114">
        <f>IFERROR((Data_Entry!G238/Data_Entry!$V238/D$2),"")</f>
        <v>1.1249757082798599</v>
      </c>
      <c r="E240" s="114">
        <f>IFERROR((Data_Entry!H238/Data_Entry!$V238/E$2),"")</f>
        <v>1.07942399594476</v>
      </c>
      <c r="F240" s="114">
        <f>IFERROR((Data_Entry!I238/Data_Entry!$V238/F$2),"")</f>
        <v>1.0950001573203201</v>
      </c>
      <c r="G240" s="114">
        <f>IFERROR((Data_Entry!J238/Data_Entry!$V238/G$2),"")</f>
        <v>1.1018294540463001</v>
      </c>
      <c r="H240" s="114">
        <f>IFERROR((Data_Entry!K238/Data_Entry!$V238/H$2),"")</f>
        <v>1.1185982049244301</v>
      </c>
      <c r="I240" s="114">
        <f>IFERROR((Data_Entry!L238/Data_Entry!$V238/I$2),"")</f>
        <v>1.1024094367831101</v>
      </c>
    </row>
    <row r="241" spans="1:9" ht="15">
      <c r="A241" s="113">
        <v>45984</v>
      </c>
      <c r="B241" s="19">
        <v>45984</v>
      </c>
      <c r="C241" s="114">
        <f>IFERROR((Data_Entry!F239/Data_Entry!$V239/C$2),"")</f>
        <v>1.08363078176632</v>
      </c>
      <c r="D241" s="114">
        <f>IFERROR((Data_Entry!G239/Data_Entry!$V239/D$2),"")</f>
        <v>1.1022641164695</v>
      </c>
      <c r="E241" s="114">
        <f>IFERROR((Data_Entry!H239/Data_Entry!$V239/E$2),"")</f>
        <v>1.0817681874207501</v>
      </c>
      <c r="F241" s="114">
        <f>IFERROR((Data_Entry!I239/Data_Entry!$V239/F$2),"")</f>
        <v>1.0846057837063701</v>
      </c>
      <c r="G241" s="114">
        <f>IFERROR((Data_Entry!J239/Data_Entry!$V239/G$2),"")</f>
        <v>1.1011776031012499</v>
      </c>
      <c r="H241" s="114">
        <f>IFERROR((Data_Entry!K239/Data_Entry!$V239/H$2),"")</f>
        <v>1.1193189378142501</v>
      </c>
      <c r="I241" s="114">
        <f>IFERROR((Data_Entry!L239/Data_Entry!$V239/I$2),"")</f>
        <v>1.1016230060969301</v>
      </c>
    </row>
    <row r="242" spans="1:9" ht="15">
      <c r="A242" s="113">
        <v>45985</v>
      </c>
      <c r="B242" s="19">
        <v>45985</v>
      </c>
      <c r="C242" s="114">
        <f>IFERROR((Data_Entry!F240/Data_Entry!$V240/C$2),"")</f>
        <v>1.09206304017084</v>
      </c>
      <c r="D242" s="114">
        <f>IFERROR((Data_Entry!G240/Data_Entry!$V240/D$2),"")</f>
        <v>1.1532332346552501</v>
      </c>
      <c r="E242" s="114">
        <f>IFERROR((Data_Entry!H240/Data_Entry!$V240/E$2),"")</f>
        <v>1.09534244425299</v>
      </c>
      <c r="F242" s="114">
        <f>IFERROR((Data_Entry!I240/Data_Entry!$V240/F$2),"")</f>
        <v>1.11788640159203</v>
      </c>
      <c r="G242" s="114">
        <f>IFERROR((Data_Entry!J240/Data_Entry!$V240/G$2),"")</f>
        <v>1.12889267194712</v>
      </c>
      <c r="H242" s="114">
        <f>IFERROR((Data_Entry!K240/Data_Entry!$V240/H$2),"")</f>
        <v>1.13313217496504</v>
      </c>
      <c r="I242" s="114">
        <f>IFERROR((Data_Entry!L240/Data_Entry!$V240/I$2),"")</f>
        <v>1.1125784616261301</v>
      </c>
    </row>
    <row r="243" spans="1:9" ht="15">
      <c r="A243" s="113">
        <v>45986</v>
      </c>
      <c r="B243" s="19">
        <v>45986</v>
      </c>
      <c r="C243" s="114">
        <f>IFERROR((Data_Entry!F241/Data_Entry!$V241/C$2),"")</f>
        <v>1.10048208672062</v>
      </c>
      <c r="D243" s="114">
        <f>IFERROR((Data_Entry!G241/Data_Entry!$V241/D$2),"")</f>
        <v>1.1529449144127999</v>
      </c>
      <c r="E243" s="114">
        <f>IFERROR((Data_Entry!H241/Data_Entry!$V241/E$2),"")</f>
        <v>1.10311706641982</v>
      </c>
      <c r="F243" s="114">
        <f>IFERROR((Data_Entry!I241/Data_Entry!$V241/F$2),"")</f>
        <v>1.1100493709189401</v>
      </c>
      <c r="G243" s="114">
        <f>IFERROR((Data_Entry!J241/Data_Entry!$V241/G$2),"")</f>
        <v>1.1223592256699599</v>
      </c>
      <c r="H243" s="114">
        <f>IFERROR((Data_Entry!K241/Data_Entry!$V241/H$2),"")</f>
        <v>1.1412440770238901</v>
      </c>
      <c r="I243" s="114">
        <f>IFERROR((Data_Entry!L241/Data_Entry!$V241/I$2),"")</f>
        <v>1.1159303401026599</v>
      </c>
    </row>
    <row r="244" spans="1:9" ht="15">
      <c r="A244" s="113">
        <v>45987</v>
      </c>
      <c r="B244" s="19">
        <v>45987</v>
      </c>
      <c r="C244" s="114">
        <f>IFERROR((Data_Entry!F242/Data_Entry!$V242/C$2),"")</f>
        <v>1.0776435317719699</v>
      </c>
      <c r="D244" s="114">
        <f>IFERROR((Data_Entry!G242/Data_Entry!$V242/D$2),"")</f>
        <v>1.1352043691493201</v>
      </c>
      <c r="E244" s="114">
        <f>IFERROR((Data_Entry!H242/Data_Entry!$V242/E$2),"")</f>
        <v>1.0798896119996999</v>
      </c>
      <c r="F244" s="114">
        <f>IFERROR((Data_Entry!I242/Data_Entry!$V242/F$2),"")</f>
        <v>1.02586117943118</v>
      </c>
      <c r="G244" s="114">
        <f>IFERROR((Data_Entry!J242/Data_Entry!$V242/G$2),"")</f>
        <v>1.1153942705598101</v>
      </c>
      <c r="H244" s="114">
        <f>IFERROR((Data_Entry!K242/Data_Entry!$V242/H$2),"")</f>
        <v>1.11718077414128</v>
      </c>
      <c r="I244" s="114">
        <f>IFERROR((Data_Entry!L242/Data_Entry!$V242/I$2),"")</f>
        <v>1.0992926369870899</v>
      </c>
    </row>
    <row r="245" spans="1:9" ht="15">
      <c r="A245" s="113">
        <v>45988</v>
      </c>
      <c r="B245" s="19">
        <v>45988</v>
      </c>
      <c r="C245" s="114">
        <f>IFERROR((Data_Entry!F243/Data_Entry!$V243/C$2),"")</f>
        <v>1.0911928898127301</v>
      </c>
      <c r="D245" s="114">
        <f>IFERROR((Data_Entry!G243/Data_Entry!$V243/D$2),"")</f>
        <v>1.14673688576382</v>
      </c>
      <c r="E245" s="114">
        <f>IFERROR((Data_Entry!H243/Data_Entry!$V243/E$2),"")</f>
        <v>1.08621685640435</v>
      </c>
      <c r="F245" s="114">
        <f>IFERROR((Data_Entry!I243/Data_Entry!$V243/F$2),"")</f>
        <v>1.1147213458293499</v>
      </c>
      <c r="G245" s="114">
        <f>IFERROR((Data_Entry!J243/Data_Entry!$V243/G$2),"")</f>
        <v>1.1253870254499401</v>
      </c>
      <c r="H245" s="114">
        <f>IFERROR((Data_Entry!K243/Data_Entry!$V243/H$2),"")</f>
        <v>1.12511290751577</v>
      </c>
      <c r="I245" s="114">
        <f>IFERROR((Data_Entry!L243/Data_Entry!$V243/I$2),"")</f>
        <v>1.11428940241792</v>
      </c>
    </row>
    <row r="246" spans="1:9" ht="15">
      <c r="A246" s="113">
        <v>45989</v>
      </c>
      <c r="B246" s="19">
        <v>45989</v>
      </c>
      <c r="C246" s="114">
        <f>IFERROR((Data_Entry!F244/Data_Entry!$V244/C$2),"")</f>
        <v>1.03227976297306</v>
      </c>
      <c r="D246" s="114">
        <f>IFERROR((Data_Entry!G244/Data_Entry!$V244/D$2),"")</f>
        <v>1.08079630855731</v>
      </c>
      <c r="E246" s="114">
        <f>IFERROR((Data_Entry!H244/Data_Entry!$V244/E$2),"")</f>
        <v>1.0279719989684</v>
      </c>
      <c r="F246" s="114">
        <f>IFERROR((Data_Entry!I244/Data_Entry!$V244/F$2),"")</f>
        <v>1.05493947868211</v>
      </c>
      <c r="G246" s="114">
        <f>IFERROR((Data_Entry!J244/Data_Entry!$V244/G$2),"")</f>
        <v>1.06516401453868</v>
      </c>
      <c r="H246" s="114">
        <f>IFERROR((Data_Entry!K244/Data_Entry!$V244/H$2),"")</f>
        <v>1.0651910635753301</v>
      </c>
      <c r="I246" s="114">
        <f>IFERROR((Data_Entry!L244/Data_Entry!$V244/I$2),"")</f>
        <v>1.05745503909127</v>
      </c>
    </row>
    <row r="247" spans="1:9" ht="15">
      <c r="A247" s="113">
        <v>45990</v>
      </c>
      <c r="B247" s="19">
        <v>45990</v>
      </c>
      <c r="C247" s="114">
        <f>IFERROR((Data_Entry!F245/Data_Entry!$V245/C$2),"")</f>
        <v>1.04120663712489</v>
      </c>
      <c r="D247" s="114">
        <f>IFERROR((Data_Entry!G245/Data_Entry!$V245/D$2),"")</f>
        <v>1.08331829133345</v>
      </c>
      <c r="E247" s="114">
        <f>IFERROR((Data_Entry!H245/Data_Entry!$V245/E$2),"")</f>
        <v>1.0376215280626599</v>
      </c>
      <c r="F247" s="114">
        <f>IFERROR((Data_Entry!I245/Data_Entry!$V245/F$2),"")</f>
        <v>1.057125591543</v>
      </c>
      <c r="G247" s="114">
        <f>IFERROR((Data_Entry!J245/Data_Entry!$V245/G$2),"")</f>
        <v>1.0713714175159901</v>
      </c>
      <c r="H247" s="114">
        <f>IFERROR((Data_Entry!K245/Data_Entry!$V245/H$2),"")</f>
        <v>1.0725912696801401</v>
      </c>
      <c r="I247" s="114">
        <f>IFERROR((Data_Entry!L245/Data_Entry!$V245/I$2),"")</f>
        <v>1.06264478280319</v>
      </c>
    </row>
    <row r="248" spans="1:9" ht="15">
      <c r="A248" s="113">
        <v>45991</v>
      </c>
      <c r="B248" s="19">
        <v>45991</v>
      </c>
      <c r="C248" s="114">
        <f>IFERROR((Data_Entry!F246/Data_Entry!$V246/C$2),"")</f>
        <v>1.0871914504546401</v>
      </c>
      <c r="D248" s="114">
        <f>IFERROR((Data_Entry!G246/Data_Entry!$V246/D$2),"")</f>
        <v>1.1385514754787001</v>
      </c>
      <c r="E248" s="114">
        <f>IFERROR((Data_Entry!H246/Data_Entry!$V246/E$2),"")</f>
        <v>1.08108958723465</v>
      </c>
      <c r="F248" s="114">
        <f>IFERROR((Data_Entry!I246/Data_Entry!$V246/F$2),"")</f>
        <v>1.11459956787917</v>
      </c>
      <c r="G248" s="114">
        <f>IFERROR((Data_Entry!J246/Data_Entry!$V246/G$2),"")</f>
        <v>1.1186314054187001</v>
      </c>
      <c r="H248" s="114">
        <f>IFERROR((Data_Entry!K246/Data_Entry!$V246/H$2),"")</f>
        <v>1.12120410175344</v>
      </c>
      <c r="I248" s="114">
        <f>IFERROR((Data_Entry!L246/Data_Entry!$V246/I$2),"")</f>
        <v>1.11297147348226</v>
      </c>
    </row>
    <row r="249" spans="1:9" ht="15">
      <c r="A249" s="113">
        <v>45992</v>
      </c>
      <c r="B249" s="19">
        <v>45992</v>
      </c>
      <c r="C249" s="114">
        <f>IFERROR((Data_Entry!F247/Data_Entry!$V247/C$2),"")</f>
        <v>1.0994194949984899</v>
      </c>
      <c r="D249" s="114">
        <f>IFERROR((Data_Entry!G247/Data_Entry!$V247/D$2),"")</f>
        <v>1.17381595023725</v>
      </c>
      <c r="E249" s="114">
        <f>IFERROR((Data_Entry!H247/Data_Entry!$V247/E$2),"")</f>
        <v>1.09494757692403</v>
      </c>
      <c r="F249" s="114">
        <f>IFERROR((Data_Entry!I247/Data_Entry!$V247/F$2),"")</f>
        <v>1.12945096063231</v>
      </c>
      <c r="G249" s="114">
        <f>IFERROR((Data_Entry!J247/Data_Entry!$V247/G$2),"")</f>
        <v>1.13142518533408</v>
      </c>
      <c r="H249" s="114">
        <f>IFERROR((Data_Entry!K247/Data_Entry!$V247/H$2),"")</f>
        <v>1.13430426302416</v>
      </c>
      <c r="I249" s="114">
        <f>IFERROR((Data_Entry!L247/Data_Entry!$V247/I$2),"")</f>
        <v>1.1202902588911501</v>
      </c>
    </row>
    <row r="250" spans="1:9" ht="15">
      <c r="A250" s="113">
        <v>45993</v>
      </c>
      <c r="B250" s="19">
        <v>45993</v>
      </c>
      <c r="C250" s="114">
        <f>IFERROR((Data_Entry!F248/Data_Entry!$V248/C$2),"")</f>
        <v>1.08391160668921</v>
      </c>
      <c r="D250" s="114">
        <f>IFERROR((Data_Entry!G248/Data_Entry!$V248/D$2),"")</f>
        <v>1.1384778092307399</v>
      </c>
      <c r="E250" s="114">
        <f>IFERROR((Data_Entry!H248/Data_Entry!$V248/E$2),"")</f>
        <v>1.07891291456619</v>
      </c>
      <c r="F250" s="114">
        <f>IFERROR((Data_Entry!I248/Data_Entry!$V248/F$2),"")</f>
        <v>1.1186493909008799</v>
      </c>
      <c r="G250" s="114">
        <f>IFERROR((Data_Entry!J248/Data_Entry!$V248/G$2),"")</f>
        <v>1.1166353258495301</v>
      </c>
      <c r="H250" s="114">
        <f>IFERROR((Data_Entry!K248/Data_Entry!$V248/H$2),"")</f>
        <v>1.1142773960333101</v>
      </c>
      <c r="I250" s="114">
        <f>IFERROR((Data_Entry!L248/Data_Entry!$V248/I$2),"")</f>
        <v>1.1058363347814999</v>
      </c>
    </row>
    <row r="251" spans="1:9" ht="15">
      <c r="A251" s="113">
        <v>45994</v>
      </c>
      <c r="B251" s="19">
        <v>45994</v>
      </c>
      <c r="C251" s="114">
        <f>IFERROR((Data_Entry!F249/Data_Entry!$V249/C$2),"")</f>
        <v>1.09551662726457</v>
      </c>
      <c r="D251" s="114">
        <f>IFERROR((Data_Entry!G249/Data_Entry!$V249/D$2),"")</f>
        <v>1.1748825775865901</v>
      </c>
      <c r="E251" s="114">
        <f>IFERROR((Data_Entry!H249/Data_Entry!$V249/E$2),"")</f>
        <v>1.08958279769482</v>
      </c>
      <c r="F251" s="114">
        <f>IFERROR((Data_Entry!I249/Data_Entry!$V249/F$2),"")</f>
        <v>1.13214578128608</v>
      </c>
      <c r="G251" s="114">
        <f>IFERROR((Data_Entry!J249/Data_Entry!$V249/G$2),"")</f>
        <v>1.1324082043961099</v>
      </c>
      <c r="H251" s="114">
        <f>IFERROR((Data_Entry!K249/Data_Entry!$V249/H$2),"")</f>
        <v>1.1278195488721801</v>
      </c>
      <c r="I251" s="114">
        <f>IFERROR((Data_Entry!L249/Data_Entry!$V249/I$2),"")</f>
        <v>1.1257576530076701</v>
      </c>
    </row>
    <row r="252" spans="1:9" ht="15">
      <c r="A252" s="113">
        <v>45995</v>
      </c>
      <c r="B252" s="19">
        <v>45995</v>
      </c>
      <c r="C252" s="114">
        <f>IFERROR((Data_Entry!F250/Data_Entry!$V250/C$2),"")</f>
        <v>1.07692483462246</v>
      </c>
      <c r="D252" s="114">
        <f>IFERROR((Data_Entry!G250/Data_Entry!$V250/D$2),"")</f>
        <v>1.1455893609971799</v>
      </c>
      <c r="E252" s="114">
        <f>IFERROR((Data_Entry!H250/Data_Entry!$V250/E$2),"")</f>
        <v>1.07545590013857</v>
      </c>
      <c r="F252" s="114">
        <f>IFERROR((Data_Entry!I250/Data_Entry!$V250/F$2),"")</f>
        <v>1.11124467928157</v>
      </c>
      <c r="G252" s="114">
        <f>IFERROR((Data_Entry!J250/Data_Entry!$V250/G$2),"")</f>
        <v>1.1158189554570099</v>
      </c>
      <c r="H252" s="114">
        <f>IFERROR((Data_Entry!K250/Data_Entry!$V250/H$2),"")</f>
        <v>1.1141953215926901</v>
      </c>
      <c r="I252" s="114">
        <f>IFERROR((Data_Entry!L250/Data_Entry!$V250/I$2),"")</f>
        <v>1.11474954276753</v>
      </c>
    </row>
    <row r="253" spans="1:9" ht="15">
      <c r="A253" s="113">
        <v>45996</v>
      </c>
      <c r="B253" s="19">
        <v>45996</v>
      </c>
      <c r="C253" s="114">
        <f>IFERROR((Data_Entry!F251/Data_Entry!$W251/C$2),"")</f>
        <v>0.15013286988070401</v>
      </c>
      <c r="D253" s="114">
        <f>IFERROR((Data_Entry!G251/Data_Entry!$W251/D$2),"")</f>
        <v>0.15940946621075799</v>
      </c>
      <c r="E253" s="114">
        <f>IFERROR((Data_Entry!H251/Data_Entry!$W251/E$2),"")</f>
        <v>0.14983111979677999</v>
      </c>
      <c r="F253" s="114">
        <f>IFERROR((Data_Entry!I251/Data_Entry!$W251/F$2),"")</f>
        <v>0.15555062478425699</v>
      </c>
      <c r="G253" s="114">
        <f>IFERROR((Data_Entry!J251/Data_Entry!$W251/G$2),"")</f>
        <v>0.15537129185394499</v>
      </c>
      <c r="H253" s="114">
        <f>IFERROR((Data_Entry!K251/Data_Entry!$W251/H$2),"")</f>
        <v>0.154959568913347</v>
      </c>
      <c r="I253" s="114">
        <f>IFERROR((Data_Entry!L251/Data_Entry!$W251/I$2),"")</f>
        <v>0.154937284939758</v>
      </c>
    </row>
    <row r="254" spans="1:9" ht="15">
      <c r="A254" s="113">
        <v>45997</v>
      </c>
      <c r="B254" s="19">
        <v>45997</v>
      </c>
      <c r="C254" s="114">
        <f>IFERROR((Data_Entry!F252/Data_Entry!$W252/C$2),"")</f>
        <v>0.14086312677062701</v>
      </c>
      <c r="D254" s="114">
        <f>IFERROR((Data_Entry!G252/Data_Entry!$W252/D$2),"")</f>
        <v>0.14810452008976599</v>
      </c>
      <c r="E254" s="114">
        <f>IFERROR((Data_Entry!H252/Data_Entry!$W252/E$2),"")</f>
        <v>0.14014888222776201</v>
      </c>
      <c r="F254" s="114">
        <f>IFERROR((Data_Entry!I252/Data_Entry!$W252/F$2),"")</f>
        <v>0.14555763798091501</v>
      </c>
      <c r="G254" s="114">
        <f>IFERROR((Data_Entry!J252/Data_Entry!$W252/G$2),"")</f>
        <v>0.14542817992129001</v>
      </c>
      <c r="H254" s="114">
        <f>IFERROR((Data_Entry!K252/Data_Entry!$W252/H$2),"")</f>
        <v>0.14526064596177601</v>
      </c>
      <c r="I254" s="114">
        <f>IFERROR((Data_Entry!L252/Data_Entry!$W252/I$2),"")</f>
        <v>0.14500172984252599</v>
      </c>
    </row>
    <row r="255" spans="1:9" ht="15">
      <c r="A255" s="113">
        <v>45998</v>
      </c>
      <c r="B255" s="19">
        <v>45998</v>
      </c>
      <c r="C255" s="114">
        <f>IFERROR((Data_Entry!F253/Data_Entry!$V253/C$2),"")</f>
        <v>1.0994038589213</v>
      </c>
      <c r="D255" s="114">
        <f>IFERROR((Data_Entry!G253/Data_Entry!$V253/D$2),"")</f>
        <v>1.17199434724538</v>
      </c>
      <c r="E255" s="114">
        <f>IFERROR((Data_Entry!H253/Data_Entry!$V253/E$2),"")</f>
        <v>1.09647209444941</v>
      </c>
      <c r="F255" s="114">
        <f>IFERROR((Data_Entry!I253/Data_Entry!$V253/F$2),"")</f>
        <v>1.1342444380332</v>
      </c>
      <c r="G255" s="114">
        <f>IFERROR((Data_Entry!J253/Data_Entry!$V253/G$2),"")</f>
        <v>1.1363233564691499</v>
      </c>
      <c r="H255" s="114">
        <f>IFERROR((Data_Entry!K253/Data_Entry!$V253/H$2),"")</f>
        <v>1.13488007856218</v>
      </c>
      <c r="I255" s="114">
        <f>IFERROR((Data_Entry!L253/Data_Entry!$V253/I$2),"")</f>
        <v>1.1321580414733801</v>
      </c>
    </row>
    <row r="256" spans="1:9" ht="15">
      <c r="A256" s="113">
        <v>45999</v>
      </c>
      <c r="B256" s="19">
        <v>45999</v>
      </c>
      <c r="C256" s="114">
        <f>IFERROR((Data_Entry!F254/Data_Entry!$V254/C$2),"")</f>
        <v>1.09933296445617</v>
      </c>
      <c r="D256" s="114">
        <f>IFERROR((Data_Entry!G254/Data_Entry!$V254/D$2),"")</f>
        <v>1.1716944374612901</v>
      </c>
      <c r="E256" s="114">
        <f>IFERROR((Data_Entry!H254/Data_Entry!$V254/E$2),"")</f>
        <v>1.09640887476038</v>
      </c>
      <c r="F256" s="114">
        <f>IFERROR((Data_Entry!I254/Data_Entry!$V254/F$2),"")</f>
        <v>1.13367686409243</v>
      </c>
      <c r="G256" s="114">
        <f>IFERROR((Data_Entry!J254/Data_Entry!$V254/G$2),"")</f>
        <v>1.14076248434078</v>
      </c>
      <c r="H256" s="114">
        <f>IFERROR((Data_Entry!K254/Data_Entry!$V254/H$2),"")</f>
        <v>1.13545945697596</v>
      </c>
      <c r="I256" s="114">
        <f>IFERROR((Data_Entry!L254/Data_Entry!$V254/I$2),"")</f>
        <v>1.1405461864595099</v>
      </c>
    </row>
    <row r="257" spans="1:9" ht="15">
      <c r="A257" s="113">
        <v>46000</v>
      </c>
      <c r="B257" s="19">
        <v>46000</v>
      </c>
      <c r="C257" s="114">
        <f>IFERROR((Data_Entry!F255/Data_Entry!$V255/C$2),"")</f>
        <v>1.10294552505273</v>
      </c>
      <c r="D257" s="114">
        <f>IFERROR((Data_Entry!G255/Data_Entry!$V255/D$2),"")</f>
        <v>1.16960144061017</v>
      </c>
      <c r="E257" s="114">
        <f>IFERROR((Data_Entry!H255/Data_Entry!$V255/E$2),"")</f>
        <v>1.09427636139767</v>
      </c>
      <c r="F257" s="114">
        <f>IFERROR((Data_Entry!I255/Data_Entry!$V255/F$2),"")</f>
        <v>1.18952301939212</v>
      </c>
      <c r="G257" s="114">
        <f>IFERROR((Data_Entry!J255/Data_Entry!$V255/G$2),"")</f>
        <v>1.16394951969146</v>
      </c>
      <c r="H257" s="114">
        <f>IFERROR((Data_Entry!K255/Data_Entry!$V255/H$2),"")</f>
        <v>1.1270276501479</v>
      </c>
      <c r="I257" s="114">
        <f>IFERROR((Data_Entry!L255/Data_Entry!$V255/I$2),"")</f>
        <v>1.2322191050806599</v>
      </c>
    </row>
    <row r="258" spans="1:9" ht="15">
      <c r="A258" s="113">
        <v>46001</v>
      </c>
      <c r="B258" s="19">
        <v>46001</v>
      </c>
      <c r="C258" s="114">
        <f>IFERROR((Data_Entry!F256/Data_Entry!$V256/C$2),"")</f>
        <v>1.04324587676375</v>
      </c>
      <c r="D258" s="114">
        <f>IFERROR((Data_Entry!G256/Data_Entry!$V256/D$2),"")</f>
        <v>1.20831398907957</v>
      </c>
      <c r="E258" s="114">
        <f>IFERROR((Data_Entry!H256/Data_Entry!$V256/E$2),"")</f>
        <v>1.03651818496804</v>
      </c>
      <c r="F258" s="114">
        <f>IFERROR((Data_Entry!I256/Data_Entry!$V256/F$2),"")</f>
        <v>1.1488767411837999</v>
      </c>
      <c r="G258" s="114">
        <f>IFERROR((Data_Entry!J256/Data_Entry!$V256/G$2),"")</f>
        <v>1.12239915428917</v>
      </c>
      <c r="H258" s="114">
        <f>IFERROR((Data_Entry!K256/Data_Entry!$V256/H$2),"")</f>
        <v>1.0716054161647901</v>
      </c>
      <c r="I258" s="114">
        <f>IFERROR((Data_Entry!L256/Data_Entry!$V256/I$2),"")</f>
        <v>1.1810935947491501</v>
      </c>
    </row>
    <row r="259" spans="1:9" ht="15">
      <c r="A259" s="113">
        <v>46002</v>
      </c>
      <c r="B259" s="19">
        <v>46002</v>
      </c>
      <c r="C259" s="114">
        <f>IFERROR((Data_Entry!F257/Data_Entry!$V257/C$2),"")</f>
        <v>1.13656293928175</v>
      </c>
      <c r="D259" s="114">
        <f>IFERROR((Data_Entry!G257/Data_Entry!$V257/D$2),"")</f>
        <v>1.25448504039544</v>
      </c>
      <c r="E259" s="114">
        <f>IFERROR((Data_Entry!H257/Data_Entry!$V257/E$2),"")</f>
        <v>1.1298953507484899</v>
      </c>
      <c r="F259" s="114">
        <f>IFERROR((Data_Entry!I257/Data_Entry!$V257/F$2),"")</f>
        <v>1.2499793764806499</v>
      </c>
      <c r="G259" s="114">
        <f>IFERROR((Data_Entry!J257/Data_Entry!$V257/G$2),"")</f>
        <v>1.23422924674311</v>
      </c>
      <c r="H259" s="114">
        <f>IFERROR((Data_Entry!K257/Data_Entry!$V257/H$2),"")</f>
        <v>1.18553001196927</v>
      </c>
      <c r="I259" s="114">
        <f>IFERROR((Data_Entry!L257/Data_Entry!$V257/I$2),"")</f>
        <v>1.25345244646238</v>
      </c>
    </row>
    <row r="260" spans="1:9" ht="15">
      <c r="A260" s="113">
        <v>46003</v>
      </c>
      <c r="B260" s="19">
        <v>46003</v>
      </c>
      <c r="C260" s="114">
        <f>IFERROR((Data_Entry!F258/Data_Entry!$V258/C$2),"")</f>
        <v>1.1603042696222801</v>
      </c>
      <c r="D260" s="114">
        <f>IFERROR((Data_Entry!G258/Data_Entry!$V258/D$2),"")</f>
        <v>1.24003221273034</v>
      </c>
      <c r="E260" s="114">
        <f>IFERROR((Data_Entry!H258/Data_Entry!$V258/E$2),"")</f>
        <v>1.15443305451043</v>
      </c>
      <c r="F260" s="114">
        <f>IFERROR((Data_Entry!I258/Data_Entry!$V258/F$2),"")</f>
        <v>1.23529504650318</v>
      </c>
      <c r="G260" s="114">
        <f>IFERROR((Data_Entry!J258/Data_Entry!$V258/G$2),"")</f>
        <v>1.2193465868717299</v>
      </c>
      <c r="H260" s="114">
        <f>IFERROR((Data_Entry!K258/Data_Entry!$V258/H$2),"")</f>
        <v>1.2014208752498201</v>
      </c>
      <c r="I260" s="114">
        <f>IFERROR((Data_Entry!L258/Data_Entry!$V258/I$2),"")</f>
        <v>1.2346908861727599</v>
      </c>
    </row>
    <row r="261" spans="1:9" ht="15">
      <c r="A261" s="113">
        <v>46004</v>
      </c>
      <c r="B261" s="19">
        <v>46004</v>
      </c>
      <c r="C261" s="114">
        <f>IFERROR((Data_Entry!F259/Data_Entry!$V259/C$2),"")</f>
        <v>1.16070428270894</v>
      </c>
      <c r="D261" s="114">
        <f>IFERROR((Data_Entry!G259/Data_Entry!$V259/D$2),"")</f>
        <v>1.2594746984723699</v>
      </c>
      <c r="E261" s="114">
        <f>IFERROR((Data_Entry!H259/Data_Entry!$V259/E$2),"")</f>
        <v>1.15797012791399</v>
      </c>
      <c r="F261" s="114">
        <f>IFERROR((Data_Entry!I259/Data_Entry!$V259/F$2),"")</f>
        <v>1.24241321173493</v>
      </c>
      <c r="G261" s="114">
        <f>IFERROR((Data_Entry!J259/Data_Entry!$V259/G$2),"")</f>
        <v>1.2258072563843301</v>
      </c>
      <c r="H261" s="114">
        <f>IFERROR((Data_Entry!K259/Data_Entry!$V259/H$2),"")</f>
        <v>1.2079893427046799</v>
      </c>
      <c r="I261" s="114">
        <f>IFERROR((Data_Entry!L259/Data_Entry!$V259/I$2),"")</f>
        <v>1.24071930506451</v>
      </c>
    </row>
    <row r="262" spans="1:9" ht="15">
      <c r="A262" s="113">
        <v>46005</v>
      </c>
      <c r="B262" s="19">
        <v>46005</v>
      </c>
      <c r="C262" s="114">
        <f>IFERROR((Data_Entry!F260/Data_Entry!$V260/C$2),"")</f>
        <v>1.16197184171562</v>
      </c>
      <c r="D262" s="114">
        <f>IFERROR((Data_Entry!G260/Data_Entry!$V260/D$2),"")</f>
        <v>1.24313495931788</v>
      </c>
      <c r="E262" s="114">
        <f>IFERROR((Data_Entry!H260/Data_Entry!$V260/E$2),"")</f>
        <v>1.15605258675251</v>
      </c>
      <c r="F262" s="114">
        <f>IFERROR((Data_Entry!I260/Data_Entry!$V260/F$2),"")</f>
        <v>1.23958360507277</v>
      </c>
      <c r="G262" s="114">
        <f>IFERROR((Data_Entry!J260/Data_Entry!$V260/G$2),"")</f>
        <v>1.22245217956765</v>
      </c>
      <c r="H262" s="114">
        <f>IFERROR((Data_Entry!K260/Data_Entry!$V260/H$2),"")</f>
        <v>1.2048471076746901</v>
      </c>
      <c r="I262" s="114">
        <f>IFERROR((Data_Entry!L260/Data_Entry!$V260/I$2),"")</f>
        <v>1.23659598939557</v>
      </c>
    </row>
    <row r="263" spans="1:9" ht="15">
      <c r="A263" s="113">
        <v>46006</v>
      </c>
      <c r="B263" s="19">
        <v>46006</v>
      </c>
      <c r="C263" s="114">
        <f>IFERROR((Data_Entry!F261/Data_Entry!$V261/C$2),"")</f>
        <v>1.1539496902923201</v>
      </c>
      <c r="D263" s="114">
        <f>IFERROR((Data_Entry!G261/Data_Entry!$V261/D$2),"")</f>
        <v>1.2602088250124099</v>
      </c>
      <c r="E263" s="114">
        <f>IFERROR((Data_Entry!H261/Data_Entry!$V261/E$2),"")</f>
        <v>1.1497676635291301</v>
      </c>
      <c r="F263" s="114">
        <f>IFERROR((Data_Entry!I261/Data_Entry!$V261/F$2),"")</f>
        <v>1.2292691258917501</v>
      </c>
      <c r="G263" s="114">
        <f>IFERROR((Data_Entry!J261/Data_Entry!$V261/G$2),"")</f>
        <v>1.2140285789031899</v>
      </c>
      <c r="H263" s="114">
        <f>IFERROR((Data_Entry!K261/Data_Entry!$V261/H$2),"")</f>
        <v>1.19761568214628</v>
      </c>
      <c r="I263" s="114">
        <f>IFERROR((Data_Entry!L261/Data_Entry!$V261/I$2),"")</f>
        <v>1.23325511510414</v>
      </c>
    </row>
    <row r="264" spans="1:9" ht="15">
      <c r="A264" s="113">
        <v>46007</v>
      </c>
      <c r="B264" s="19">
        <v>46007</v>
      </c>
      <c r="C264" s="114">
        <f>IFERROR((Data_Entry!F262/Data_Entry!$V262/C$2),"")</f>
        <v>1.2217307859509701</v>
      </c>
      <c r="D264" s="114">
        <f>IFERROR((Data_Entry!G262/Data_Entry!$V262/D$2),"")</f>
        <v>1.3532593119749099</v>
      </c>
      <c r="E264" s="114">
        <f>IFERROR((Data_Entry!H262/Data_Entry!$V262/E$2),"")</f>
        <v>1.2163208722841701</v>
      </c>
      <c r="F264" s="114">
        <f>IFERROR((Data_Entry!I262/Data_Entry!$V262/F$2),"")</f>
        <v>1.3044710332305101</v>
      </c>
      <c r="G264" s="114">
        <f>IFERROR((Data_Entry!J262/Data_Entry!$V262/G$2),"")</f>
        <v>1.2867138036663399</v>
      </c>
      <c r="H264" s="114">
        <f>IFERROR((Data_Entry!K262/Data_Entry!$V262/H$2),"")</f>
        <v>1.26707766516303</v>
      </c>
      <c r="I264" s="114">
        <f>IFERROR((Data_Entry!L262/Data_Entry!$V262/I$2),"")</f>
        <v>1.30618823279374</v>
      </c>
    </row>
    <row r="265" spans="1:9" ht="15">
      <c r="A265" s="113">
        <v>46008</v>
      </c>
      <c r="B265" s="19">
        <v>46008</v>
      </c>
      <c r="C265" s="114">
        <f>IFERROR((Data_Entry!F263/Data_Entry!$V263/C$2),"")</f>
        <v>1.1475542299456301</v>
      </c>
      <c r="D265" s="114">
        <f>IFERROR((Data_Entry!G263/Data_Entry!$V263/D$2),"")</f>
        <v>1.16994364548726</v>
      </c>
      <c r="E265" s="114">
        <f>IFERROR((Data_Entry!H263/Data_Entry!$V263/E$2),"")</f>
        <v>1.1424690925679299</v>
      </c>
      <c r="F265" s="114">
        <f>IFERROR((Data_Entry!I263/Data_Entry!$V263/F$2),"")</f>
        <v>1.2259359665076699</v>
      </c>
      <c r="G265" s="114">
        <f>IFERROR((Data_Entry!J263/Data_Entry!$V263/G$2),"")</f>
        <v>1.21332722992826</v>
      </c>
      <c r="H265" s="114">
        <f>IFERROR((Data_Entry!K263/Data_Entry!$V263/H$2),"")</f>
        <v>1.1909982750744601</v>
      </c>
      <c r="I265" s="114">
        <f>IFERROR((Data_Entry!L263/Data_Entry!$V263/I$2),"")</f>
        <v>1.2263767213443999</v>
      </c>
    </row>
    <row r="266" spans="1:9" ht="15">
      <c r="A266" s="113">
        <v>46009</v>
      </c>
      <c r="B266" s="19">
        <v>46009</v>
      </c>
      <c r="C266" s="114">
        <f>IFERROR((Data_Entry!F264/Data_Entry!$V264/C$2),"")</f>
        <v>1.15462297989292</v>
      </c>
      <c r="D266" s="114">
        <f>IFERROR((Data_Entry!G264/Data_Entry!$V264/D$2),"")</f>
        <v>1.2326753847279199</v>
      </c>
      <c r="E266" s="114">
        <f>IFERROR((Data_Entry!H264/Data_Entry!$V264/E$2),"")</f>
        <v>1.1450081757777799</v>
      </c>
      <c r="F266" s="114">
        <f>IFERROR((Data_Entry!I264/Data_Entry!$V264/F$2),"")</f>
        <v>1.2280742225101799</v>
      </c>
      <c r="G266" s="114">
        <f>IFERROR((Data_Entry!J264/Data_Entry!$V264/G$2),"")</f>
        <v>1.2138131195120101</v>
      </c>
      <c r="H266" s="114">
        <f>IFERROR((Data_Entry!K264/Data_Entry!$V264/H$2),"")</f>
        <v>1.19625981758926</v>
      </c>
      <c r="I266" s="114">
        <f>IFERROR((Data_Entry!L264/Data_Entry!$V264/I$2),"")</f>
        <v>1.2297776108168701</v>
      </c>
    </row>
    <row r="267" spans="1:9" ht="15">
      <c r="A267" s="113">
        <v>46010</v>
      </c>
      <c r="B267" s="19">
        <v>46010</v>
      </c>
      <c r="C267" s="114">
        <f>IFERROR((Data_Entry!F265/Data_Entry!$V265/C$2),"")</f>
        <v>1.1536522585876401</v>
      </c>
      <c r="D267" s="114">
        <f>IFERROR((Data_Entry!G265/Data_Entry!$V265/D$2),"")</f>
        <v>1.22811182879488</v>
      </c>
      <c r="E267" s="114">
        <f>IFERROR((Data_Entry!H265/Data_Entry!$V265/E$2),"")</f>
        <v>1.14360739151471</v>
      </c>
      <c r="F267" s="114">
        <f>IFERROR((Data_Entry!I265/Data_Entry!$V265/F$2),"")</f>
        <v>1.2264997596580101</v>
      </c>
      <c r="G267" s="114">
        <f>IFERROR((Data_Entry!J265/Data_Entry!$V265/G$2),"")</f>
        <v>1.2110962436911099</v>
      </c>
      <c r="H267" s="114">
        <f>IFERROR((Data_Entry!K265/Data_Entry!$V265/H$2),"")</f>
        <v>1.19045885978766</v>
      </c>
      <c r="I267" s="114">
        <f>IFERROR((Data_Entry!L265/Data_Entry!$V265/I$2),"")</f>
        <v>1.2279070115667801</v>
      </c>
    </row>
    <row r="268" spans="1:9" ht="15">
      <c r="A268" s="113">
        <v>46011</v>
      </c>
      <c r="B268" s="19">
        <v>46011</v>
      </c>
      <c r="C268" s="114">
        <f>IFERROR((Data_Entry!F266/Data_Entry!$V266/C$2),"")</f>
        <v>1.1571852850662401</v>
      </c>
      <c r="D268" s="114">
        <f>IFERROR((Data_Entry!G266/Data_Entry!$V266/D$2),"")</f>
        <v>1.2296469473690299</v>
      </c>
      <c r="E268" s="114">
        <f>IFERROR((Data_Entry!H266/Data_Entry!$V266/E$2),"")</f>
        <v>1.14759541197223</v>
      </c>
      <c r="F268" s="114">
        <f>IFERROR((Data_Entry!I266/Data_Entry!$V266/F$2),"")</f>
        <v>1.2288241008799099</v>
      </c>
      <c r="G268" s="114">
        <f>IFERROR((Data_Entry!J266/Data_Entry!$V266/G$2),"")</f>
        <v>1.2156345507839399</v>
      </c>
      <c r="H268" s="114">
        <f>IFERROR((Data_Entry!K266/Data_Entry!$V266/H$2),"")</f>
        <v>1.19189614028456</v>
      </c>
      <c r="I268" s="114">
        <f>IFERROR((Data_Entry!L266/Data_Entry!$V266/I$2),"")</f>
        <v>1.2287893549629001</v>
      </c>
    </row>
    <row r="269" spans="1:9" ht="15">
      <c r="A269" s="113">
        <v>46012</v>
      </c>
      <c r="B269" s="19">
        <v>46012</v>
      </c>
      <c r="C269" s="114">
        <f>IFERROR((Data_Entry!F267/Data_Entry!$V267/C$2),"")</f>
        <v>1.1701190067353</v>
      </c>
      <c r="D269" s="114">
        <f>IFERROR((Data_Entry!G267/Data_Entry!$V267/D$2),"")</f>
        <v>1.2433855944379399</v>
      </c>
      <c r="E269" s="114">
        <f>IFERROR((Data_Entry!H267/Data_Entry!$V267/E$2),"")</f>
        <v>1.1621116336442801</v>
      </c>
      <c r="F269" s="114">
        <f>IFERROR((Data_Entry!I267/Data_Entry!$V267/F$2),"")</f>
        <v>1.2428309975765299</v>
      </c>
      <c r="G269" s="114">
        <f>IFERROR((Data_Entry!J267/Data_Entry!$V267/G$2),"")</f>
        <v>1.22835053446987</v>
      </c>
      <c r="H269" s="114">
        <f>IFERROR((Data_Entry!K267/Data_Entry!$V267/H$2),"")</f>
        <v>1.1199733184059399</v>
      </c>
      <c r="I269" s="114">
        <f>IFERROR((Data_Entry!L267/Data_Entry!$V267/I$2),"")</f>
        <v>1.2412723366171401</v>
      </c>
    </row>
    <row r="270" spans="1:9" ht="15">
      <c r="A270" s="113">
        <v>46013</v>
      </c>
      <c r="B270" s="19">
        <v>46013</v>
      </c>
      <c r="C270" s="114">
        <f>IFERROR((Data_Entry!F268/Data_Entry!$V268/C$2),"")</f>
        <v>1.1683570764218201</v>
      </c>
      <c r="D270" s="114">
        <f>IFERROR((Data_Entry!G268/Data_Entry!$V268/D$2),"")</f>
        <v>1.2456232225433399</v>
      </c>
      <c r="E270" s="114">
        <f>IFERROR((Data_Entry!H268/Data_Entry!$V268/E$2),"")</f>
        <v>1.15988891266282</v>
      </c>
      <c r="F270" s="114">
        <f>IFERROR((Data_Entry!I268/Data_Entry!$V268/F$2),"")</f>
        <v>1.24094569610476</v>
      </c>
      <c r="G270" s="114">
        <f>IFERROR((Data_Entry!J268/Data_Entry!$V268/G$2),"")</f>
        <v>1.2268564996319999</v>
      </c>
      <c r="H270" s="114">
        <f>IFERROR((Data_Entry!K268/Data_Entry!$V268/H$2),"")</f>
        <v>1.2070242214842599</v>
      </c>
      <c r="I270" s="114">
        <f>IFERROR((Data_Entry!L268/Data_Entry!$V268/I$2),"")</f>
        <v>1.2413111649386199</v>
      </c>
    </row>
    <row r="271" spans="1:9" ht="15">
      <c r="A271" s="113">
        <v>46014</v>
      </c>
      <c r="B271" s="19">
        <v>46014</v>
      </c>
      <c r="C271" s="114">
        <f>IFERROR((Data_Entry!F269/Data_Entry!$V269/C$2),"")</f>
        <v>1.1686145380891</v>
      </c>
      <c r="D271" s="114">
        <f>IFERROR((Data_Entry!G269/Data_Entry!$V269/D$2),"")</f>
        <v>1.2469188145346799</v>
      </c>
      <c r="E271" s="114">
        <f>IFERROR((Data_Entry!H269/Data_Entry!$V269/E$2),"")</f>
        <v>1.16062241106921</v>
      </c>
      <c r="F271" s="114">
        <f>IFERROR((Data_Entry!I269/Data_Entry!$V269/F$2),"")</f>
        <v>1.24296126689425</v>
      </c>
      <c r="G271" s="114">
        <f>IFERROR((Data_Entry!J269/Data_Entry!$V269/G$2),"")</f>
        <v>1.2264805113400501</v>
      </c>
      <c r="H271" s="114">
        <f>IFERROR((Data_Entry!K269/Data_Entry!$V269/H$2),"")</f>
        <v>1.2099109506369199</v>
      </c>
      <c r="I271" s="114">
        <f>IFERROR((Data_Entry!L269/Data_Entry!$V269/I$2),"")</f>
        <v>1.2336515271155399</v>
      </c>
    </row>
    <row r="272" spans="1:9" ht="15">
      <c r="A272" s="113">
        <v>46015</v>
      </c>
      <c r="B272" s="19">
        <v>46015</v>
      </c>
      <c r="C272" s="114">
        <f>IFERROR((Data_Entry!F270/Data_Entry!$V270/C$2),"")</f>
        <v>1.1506818341798</v>
      </c>
      <c r="D272" s="114">
        <f>IFERROR((Data_Entry!G270/Data_Entry!$V270/D$2),"")</f>
        <v>1.22778451047533</v>
      </c>
      <c r="E272" s="114">
        <f>IFERROR((Data_Entry!H270/Data_Entry!$V270/E$2),"")</f>
        <v>1.1428123484952599</v>
      </c>
      <c r="F272" s="114">
        <f>IFERROR((Data_Entry!I270/Data_Entry!$V270/F$2),"")</f>
        <v>1.2238876924662101</v>
      </c>
      <c r="G272" s="114">
        <f>IFERROR((Data_Entry!J270/Data_Entry!$V270/G$2),"")</f>
        <v>1.2076598385317601</v>
      </c>
      <c r="H272" s="114">
        <f>IFERROR((Data_Entry!K270/Data_Entry!$V270/H$2),"")</f>
        <v>1.1913445421872499</v>
      </c>
      <c r="I272" s="114">
        <f>IFERROR((Data_Entry!L270/Data_Entry!$V270/I$2),"")</f>
        <v>1.21472081314446</v>
      </c>
    </row>
    <row r="273" spans="1:9" ht="15">
      <c r="A273" s="113">
        <v>46016</v>
      </c>
      <c r="B273" s="19">
        <v>46016</v>
      </c>
      <c r="C273" s="114">
        <f>IFERROR((Data_Entry!F271/Data_Entry!$V271/C$2),"")</f>
        <v>1.1552106505052699</v>
      </c>
      <c r="D273" s="114">
        <f>IFERROR((Data_Entry!G271/Data_Entry!$V271/D$2),"")</f>
        <v>1.2335159638432101</v>
      </c>
      <c r="E273" s="114">
        <f>IFERROR((Data_Entry!H271/Data_Entry!$V271/E$2),"")</f>
        <v>1.1578592125740499</v>
      </c>
      <c r="F273" s="114">
        <f>IFERROR((Data_Entry!I271/Data_Entry!$V271/F$2),"")</f>
        <v>1.2291504259355099</v>
      </c>
      <c r="G273" s="114">
        <f>IFERROR((Data_Entry!J271/Data_Entry!$V271/G$2),"")</f>
        <v>1.21493397279958</v>
      </c>
      <c r="H273" s="114">
        <f>IFERROR((Data_Entry!K271/Data_Entry!$V271/H$2),"")</f>
        <v>1.1978096087949299</v>
      </c>
      <c r="I273" s="114">
        <f>IFERROR((Data_Entry!L271/Data_Entry!$V271/I$2),"")</f>
        <v>1.2274541445954299</v>
      </c>
    </row>
    <row r="274" spans="1:9" ht="15">
      <c r="A274" s="113">
        <v>46017</v>
      </c>
      <c r="B274" s="19">
        <v>46017</v>
      </c>
      <c r="C274" s="114">
        <f>IFERROR((Data_Entry!F272/Data_Entry!$V272/C$2),"")</f>
        <v>1.1440412847222401</v>
      </c>
      <c r="D274" s="114">
        <f>IFERROR((Data_Entry!G272/Data_Entry!$V272/D$2),"")</f>
        <v>1.2194399330738399</v>
      </c>
      <c r="E274" s="114">
        <f>IFERROR((Data_Entry!H272/Data_Entry!$V272/E$2),"")</f>
        <v>1.1484535432187899</v>
      </c>
      <c r="F274" s="114">
        <f>IFERROR((Data_Entry!I272/Data_Entry!$V272/F$2),"")</f>
        <v>1.21756865345406</v>
      </c>
      <c r="G274" s="114">
        <f>IFERROR((Data_Entry!J272/Data_Entry!$V272/G$2),"")</f>
        <v>1.2050673698061001</v>
      </c>
      <c r="H274" s="114">
        <f>IFERROR((Data_Entry!K272/Data_Entry!$V272/H$2),"")</f>
        <v>1.1872943687392601</v>
      </c>
      <c r="I274" s="114">
        <f>IFERROR((Data_Entry!L272/Data_Entry!$V272/I$2),"")</f>
        <v>1.21526799064986</v>
      </c>
    </row>
    <row r="275" spans="1:9" ht="15">
      <c r="A275" s="113">
        <v>46018</v>
      </c>
      <c r="B275" s="19">
        <v>46018</v>
      </c>
      <c r="C275" s="114">
        <f>IFERROR((Data_Entry!F273/Data_Entry!$V273/C$2),"")</f>
        <v>1.1177696226871601</v>
      </c>
      <c r="D275" s="114">
        <f>IFERROR((Data_Entry!G273/Data_Entry!$V273/D$2),"")</f>
        <v>1.19078423419067</v>
      </c>
      <c r="E275" s="114">
        <f>IFERROR((Data_Entry!H273/Data_Entry!$V273/E$2),"")</f>
        <v>1.12193646400361</v>
      </c>
      <c r="F275" s="114">
        <f>IFERROR((Data_Entry!I273/Data_Entry!$V273/F$2),"")</f>
        <v>1.1894357058645</v>
      </c>
      <c r="G275" s="114">
        <f>IFERROR((Data_Entry!J273/Data_Entry!$V273/G$2),"")</f>
        <v>1.1774155435615301</v>
      </c>
      <c r="H275" s="114">
        <f>IFERROR((Data_Entry!K273/Data_Entry!$V273/H$2),"")</f>
        <v>1.1607309584607499</v>
      </c>
      <c r="I275" s="114">
        <f>IFERROR((Data_Entry!L273/Data_Entry!$V273/I$2),"")</f>
        <v>1.1890963316169401</v>
      </c>
    </row>
    <row r="276" spans="1:9" ht="15">
      <c r="A276" s="113">
        <v>46019</v>
      </c>
      <c r="B276" s="19">
        <v>46019</v>
      </c>
      <c r="C276" s="114">
        <f>IFERROR((Data_Entry!F274/Data_Entry!$V274/C$2),"")</f>
        <v>1.1776424601506099</v>
      </c>
      <c r="D276" s="114">
        <f>IFERROR((Data_Entry!G274/Data_Entry!$V274/D$2),"")</f>
        <v>1.17829891694476</v>
      </c>
      <c r="E276" s="114">
        <f>IFERROR((Data_Entry!H274/Data_Entry!$V274/E$2),"")</f>
        <v>1.16048432069359</v>
      </c>
      <c r="F276" s="114">
        <f>IFERROR((Data_Entry!I274/Data_Entry!$V274/F$2),"")</f>
        <v>1.1850486485145799</v>
      </c>
      <c r="G276" s="114">
        <f>IFERROR((Data_Entry!J274/Data_Entry!$V274/G$2),"")</f>
        <v>1.1754729417999501</v>
      </c>
      <c r="H276" s="114">
        <f>IFERROR((Data_Entry!K274/Data_Entry!$V274/H$2),"")</f>
        <v>1.1607247836714401</v>
      </c>
      <c r="I276" s="114">
        <f>IFERROR((Data_Entry!L274/Data_Entry!$V274/I$2),"")</f>
        <v>1.1974656714838801</v>
      </c>
    </row>
    <row r="277" spans="1:9" ht="15">
      <c r="A277" s="113">
        <v>46020</v>
      </c>
      <c r="B277" s="19">
        <v>46020</v>
      </c>
      <c r="C277" s="114">
        <f>IFERROR((Data_Entry!F275/Data_Entry!$V275/C$2),"")</f>
        <v>1.1760558940919299</v>
      </c>
      <c r="D277" s="114">
        <f>IFERROR((Data_Entry!G275/Data_Entry!$V275/D$2),"")</f>
        <v>1.1708494052391001</v>
      </c>
      <c r="E277" s="114">
        <f>IFERROR((Data_Entry!H275/Data_Entry!$V275/E$2),"")</f>
        <v>1.16118728408748</v>
      </c>
      <c r="F277" s="114">
        <f>IFERROR((Data_Entry!I275/Data_Entry!$V275/F$2),"")</f>
        <v>1.1754976844416201</v>
      </c>
      <c r="G277" s="114">
        <f>IFERROR((Data_Entry!J275/Data_Entry!$V275/G$2),"")</f>
        <v>1.16752633583623</v>
      </c>
      <c r="H277" s="114">
        <f>IFERROR((Data_Entry!K275/Data_Entry!$V275/H$2),"")</f>
        <v>1.1531858007708999</v>
      </c>
      <c r="I277" s="114">
        <f>IFERROR((Data_Entry!L275/Data_Entry!$V275/I$2),"")</f>
        <v>1.1873915679547999</v>
      </c>
    </row>
    <row r="278" spans="1:9" ht="15">
      <c r="A278" s="113">
        <v>46021</v>
      </c>
      <c r="B278" s="19">
        <v>46021</v>
      </c>
      <c r="C278" s="114">
        <f>IFERROR((Data_Entry!F276/Data_Entry!$V276/C$2),"")</f>
        <v>1.1900818709468799</v>
      </c>
      <c r="D278" s="114">
        <f>IFERROR((Data_Entry!G276/Data_Entry!$V276/D$2),"")</f>
        <v>1.1855798199179599</v>
      </c>
      <c r="E278" s="114">
        <f>IFERROR((Data_Entry!H276/Data_Entry!$V276/E$2),"")</f>
        <v>1.17735868325646</v>
      </c>
      <c r="F278" s="114">
        <f>IFERROR((Data_Entry!I276/Data_Entry!$V276/F$2),"")</f>
        <v>1.1921314197797199</v>
      </c>
      <c r="G278" s="114">
        <f>IFERROR((Data_Entry!J276/Data_Entry!$V276/G$2),"")</f>
        <v>1.1825419437819</v>
      </c>
      <c r="H278" s="114">
        <f>IFERROR((Data_Entry!K276/Data_Entry!$V276/H$2),"")</f>
        <v>1.1702498310852101</v>
      </c>
      <c r="I278" s="114">
        <f>IFERROR((Data_Entry!L276/Data_Entry!$V276/I$2),"")</f>
        <v>1.2062144363130201</v>
      </c>
    </row>
    <row r="279" spans="1:9" ht="15">
      <c r="A279" s="113">
        <v>46022</v>
      </c>
      <c r="B279" s="19">
        <v>46022</v>
      </c>
      <c r="C279" s="114">
        <f>IFERROR((Data_Entry!F277/Data_Entry!$V277/C$2),"")</f>
        <v>1.1501350331625599</v>
      </c>
      <c r="D279" s="114">
        <f>IFERROR((Data_Entry!G277/Data_Entry!$V277/D$2),"")</f>
        <v>1.1415365979586201</v>
      </c>
      <c r="E279" s="114">
        <f>IFERROR((Data_Entry!H277/Data_Entry!$V277/E$2),"")</f>
        <v>1.1376543945351301</v>
      </c>
      <c r="F279" s="114">
        <f>IFERROR((Data_Entry!I277/Data_Entry!$V277/F$2),"")</f>
        <v>1.1507588276634899</v>
      </c>
      <c r="G279" s="114">
        <f>IFERROR((Data_Entry!J277/Data_Entry!$V277/G$2),"")</f>
        <v>1.1426415560240799</v>
      </c>
      <c r="H279" s="114">
        <f>IFERROR((Data_Entry!K277/Data_Entry!$V277/H$2),"")</f>
        <v>1.13729177351036</v>
      </c>
      <c r="I279" s="114">
        <f>IFERROR((Data_Entry!L277/Data_Entry!$V277/I$2),"")</f>
        <v>1.1661823085835801</v>
      </c>
    </row>
    <row r="280" spans="1:9" ht="15">
      <c r="A280" s="113">
        <v>46023</v>
      </c>
      <c r="B280" s="19">
        <v>46023</v>
      </c>
      <c r="C280" s="114">
        <f>IFERROR((Data_Entry!F278/Data_Entry!$V278/C$2),"")</f>
        <v>1.2499464508278</v>
      </c>
      <c r="D280" s="114">
        <f>IFERROR((Data_Entry!G278/Data_Entry!$V278/D$2),"")</f>
        <v>1.2481642674406299</v>
      </c>
      <c r="E280" s="114">
        <f>IFERROR((Data_Entry!H278/Data_Entry!$V278/E$2),"")</f>
        <v>1.2094833575866499</v>
      </c>
      <c r="F280" s="114">
        <f>IFERROR((Data_Entry!I278/Data_Entry!$V278/F$2),"")</f>
        <v>1.2508475466126601</v>
      </c>
      <c r="G280" s="114">
        <f>IFERROR((Data_Entry!J278/Data_Entry!$V278/G$2),"")</f>
        <v>1.24254815249244</v>
      </c>
      <c r="H280" s="114">
        <f>IFERROR((Data_Entry!K278/Data_Entry!$V278/H$2),"")</f>
        <v>1.22837435597662</v>
      </c>
      <c r="I280" s="114">
        <f>IFERROR((Data_Entry!L278/Data_Entry!$V278/I$2),"")</f>
        <v>1.2633646656136499</v>
      </c>
    </row>
    <row r="281" spans="1:9" ht="15">
      <c r="A281" s="113">
        <v>46024</v>
      </c>
      <c r="B281" s="19">
        <v>46024</v>
      </c>
      <c r="C281" s="114">
        <f>IFERROR((Data_Entry!F279/Data_Entry!$V279/C$2),"")</f>
        <v>1.2285115496124701</v>
      </c>
      <c r="D281" s="114">
        <f>IFERROR((Data_Entry!G279/Data_Entry!$V279/D$2),"")</f>
        <v>1.22599877187033</v>
      </c>
      <c r="E281" s="114">
        <f>IFERROR((Data_Entry!H279/Data_Entry!$V279/E$2),"")</f>
        <v>1.1905754795663099</v>
      </c>
      <c r="F281" s="114">
        <f>IFERROR((Data_Entry!I279/Data_Entry!$V279/F$2),"")</f>
        <v>1.2296631702295799</v>
      </c>
      <c r="G281" s="114">
        <f>IFERROR((Data_Entry!J279/Data_Entry!$V279/G$2),"")</f>
        <v>1.2181496206227</v>
      </c>
      <c r="H281" s="114">
        <f>IFERROR((Data_Entry!K279/Data_Entry!$V279/H$2),"")</f>
        <v>1.20885695875724</v>
      </c>
      <c r="I281" s="114">
        <f>IFERROR((Data_Entry!L279/Data_Entry!$V279/I$2),"")</f>
        <v>1.2394379985125901</v>
      </c>
    </row>
    <row r="282" spans="1:9" ht="15">
      <c r="A282" s="113">
        <v>46025</v>
      </c>
      <c r="B282" s="19">
        <v>46025</v>
      </c>
      <c r="C282" s="114">
        <f>IFERROR((Data_Entry!F280/Data_Entry!$V280/C$2),"")</f>
        <v>1.13895976132586</v>
      </c>
      <c r="D282" s="114">
        <f>IFERROR((Data_Entry!G280/Data_Entry!$V280/D$2),"")</f>
        <v>1.1365530532063699</v>
      </c>
      <c r="E282" s="114">
        <f>IFERROR((Data_Entry!H280/Data_Entry!$V280/E$2),"")</f>
        <v>1.1020123348248001</v>
      </c>
      <c r="F282" s="114">
        <f>IFERROR((Data_Entry!I280/Data_Entry!$V280/F$2),"")</f>
        <v>1.1367742817439299</v>
      </c>
      <c r="G282" s="114">
        <f>IFERROR((Data_Entry!J280/Data_Entry!$V280/G$2),"")</f>
        <v>1.1299178118866</v>
      </c>
      <c r="H282" s="114">
        <f>IFERROR((Data_Entry!K280/Data_Entry!$V280/H$2),"")</f>
        <v>1.1188053571126599</v>
      </c>
      <c r="I282" s="114">
        <f>IFERROR((Data_Entry!L280/Data_Entry!$V280/I$2),"")</f>
        <v>1.1499188094496799</v>
      </c>
    </row>
    <row r="283" spans="1:9" ht="15">
      <c r="A283" s="113">
        <v>46026</v>
      </c>
      <c r="B283" s="19">
        <v>46026</v>
      </c>
      <c r="C283" s="114">
        <f>IFERROR((Data_Entry!F281/Data_Entry!$V281/C$2),"")</f>
        <v>1.2046450761827601</v>
      </c>
      <c r="D283" s="114">
        <f>IFERROR((Data_Entry!G281/Data_Entry!$V281/D$2),"")</f>
        <v>1.20143124510799</v>
      </c>
      <c r="E283" s="114">
        <f>IFERROR((Data_Entry!H281/Data_Entry!$V281/E$2),"")</f>
        <v>1.16525248598029</v>
      </c>
      <c r="F283" s="114">
        <f>IFERROR((Data_Entry!I281/Data_Entry!$V281/F$2),"")</f>
        <v>1.2046311339868301</v>
      </c>
      <c r="G283" s="114">
        <f>IFERROR((Data_Entry!J281/Data_Entry!$V281/G$2),"")</f>
        <v>1.19601547655628</v>
      </c>
      <c r="H283" s="114">
        <f>IFERROR((Data_Entry!K281/Data_Entry!$V281/H$2),"")</f>
        <v>1.18439388168358</v>
      </c>
      <c r="I283" s="114">
        <f>IFERROR((Data_Entry!L281/Data_Entry!$V281/I$2),"")</f>
        <v>1.2137580052680901</v>
      </c>
    </row>
    <row r="284" spans="1:9" ht="15">
      <c r="A284" s="113">
        <v>46027</v>
      </c>
      <c r="B284" s="19">
        <v>46027</v>
      </c>
      <c r="C284" s="114">
        <f>IFERROR((Data_Entry!F282/Data_Entry!$V282/C$2),"")</f>
        <v>1.18560154519769</v>
      </c>
      <c r="D284" s="114">
        <f>IFERROR((Data_Entry!G282/Data_Entry!$V282/D$2),"")</f>
        <v>1.1828848160737</v>
      </c>
      <c r="E284" s="114">
        <f>IFERROR((Data_Entry!H282/Data_Entry!$V282/E$2),"")</f>
        <v>1.1498200522450199</v>
      </c>
      <c r="F284" s="114">
        <f>IFERROR((Data_Entry!I282/Data_Entry!$V282/F$2),"")</f>
        <v>1.11466787467453</v>
      </c>
      <c r="G284" s="114">
        <f>IFERROR((Data_Entry!J282/Data_Entry!$V282/G$2),"")</f>
        <v>1.1913805737331</v>
      </c>
      <c r="H284" s="114">
        <f>IFERROR((Data_Entry!K282/Data_Entry!$V282/H$2),"")</f>
        <v>1.1666687188292</v>
      </c>
      <c r="I284" s="114">
        <f>IFERROR((Data_Entry!L282/Data_Entry!$V282/I$2),"")</f>
        <v>1.1963773508834299</v>
      </c>
    </row>
    <row r="285" spans="1:9" ht="15">
      <c r="A285" s="113">
        <v>46028</v>
      </c>
      <c r="B285" s="19">
        <v>46028</v>
      </c>
      <c r="C285" s="114">
        <f>IFERROR((Data_Entry!F283/Data_Entry!$V283/C$2),"")</f>
        <v>1.19370862934047</v>
      </c>
      <c r="D285" s="114">
        <f>IFERROR((Data_Entry!G283/Data_Entry!$V283/D$2),"")</f>
        <v>1.1915799500883799</v>
      </c>
      <c r="E285" s="114">
        <f>IFERROR((Data_Entry!H283/Data_Entry!$V283/E$2),"")</f>
        <v>1.1586815078972501</v>
      </c>
      <c r="F285" s="114">
        <f>IFERROR((Data_Entry!I283/Data_Entry!$V283/F$2),"")</f>
        <v>1.1944223667527401</v>
      </c>
      <c r="G285" s="114">
        <f>IFERROR((Data_Entry!J283/Data_Entry!$V283/G$2),"")</f>
        <v>1.18600919905654</v>
      </c>
      <c r="H285" s="114">
        <f>IFERROR((Data_Entry!K283/Data_Entry!$V283/H$2),"")</f>
        <v>1.1737712215085201</v>
      </c>
      <c r="I285" s="114">
        <f>IFERROR((Data_Entry!L283/Data_Entry!$V283/I$2),"")</f>
        <v>1.20376875977324</v>
      </c>
    </row>
    <row r="286" spans="1:9" ht="15">
      <c r="A286" s="113">
        <v>46029</v>
      </c>
      <c r="B286" s="19">
        <v>46029</v>
      </c>
      <c r="C286" s="114">
        <f>IFERROR((Data_Entry!F284/Data_Entry!$V284/C$2),"")</f>
        <v>1.2086301278823499</v>
      </c>
      <c r="D286" s="114">
        <f>IFERROR((Data_Entry!G284/Data_Entry!$V284/D$2),"")</f>
        <v>1.2058759782470101</v>
      </c>
      <c r="E286" s="114">
        <f>IFERROR((Data_Entry!H284/Data_Entry!$V284/E$2),"")</f>
        <v>1.2489993755265101</v>
      </c>
      <c r="F286" s="114">
        <f>IFERROR((Data_Entry!I284/Data_Entry!$V284/F$2),"")</f>
        <v>1.2128137410512601</v>
      </c>
      <c r="G286" s="114">
        <f>IFERROR((Data_Entry!J284/Data_Entry!$V284/G$2),"")</f>
        <v>1.2051610837823501</v>
      </c>
      <c r="H286" s="114">
        <f>IFERROR((Data_Entry!K284/Data_Entry!$V284/H$2),"")</f>
        <v>1.1873788567889301</v>
      </c>
      <c r="I286" s="114">
        <f>IFERROR((Data_Entry!L284/Data_Entry!$V284/I$2),"")</f>
        <v>1.19147363691785</v>
      </c>
    </row>
    <row r="287" spans="1:9" ht="15">
      <c r="A287" s="113">
        <v>46030</v>
      </c>
      <c r="B287" s="19">
        <v>46030</v>
      </c>
      <c r="C287" s="114">
        <f>IFERROR((Data_Entry!F285/Data_Entry!$V285/C$2),"")</f>
        <v>1.1779662918542999</v>
      </c>
      <c r="D287" s="114">
        <f>IFERROR((Data_Entry!G285/Data_Entry!$V285/D$2),"")</f>
        <v>1.16881694705168</v>
      </c>
      <c r="E287" s="114">
        <f>IFERROR((Data_Entry!H285/Data_Entry!$V285/E$2),"")</f>
        <v>1.1445530110509501</v>
      </c>
      <c r="F287" s="114">
        <f>IFERROR((Data_Entry!I285/Data_Entry!$V285/F$2),"")</f>
        <v>1.1980550706600499</v>
      </c>
      <c r="G287" s="114">
        <f>IFERROR((Data_Entry!J285/Data_Entry!$V285/G$2),"")</f>
        <v>1.1197143640096501</v>
      </c>
      <c r="H287" s="114">
        <f>IFERROR((Data_Entry!K285/Data_Entry!$V285/H$2),"")</f>
        <v>1.1565419024533501</v>
      </c>
      <c r="I287" s="114">
        <f>IFERROR((Data_Entry!L285/Data_Entry!$V285/I$2),"")</f>
        <v>1.25030739998485</v>
      </c>
    </row>
    <row r="288" spans="1:9" ht="15">
      <c r="A288" s="113">
        <v>46031</v>
      </c>
      <c r="B288" s="19">
        <v>46031</v>
      </c>
      <c r="C288" s="114">
        <f>IFERROR((Data_Entry!F286/Data_Entry!$V286/C$2),"")</f>
        <v>1.1975237201137301</v>
      </c>
      <c r="D288" s="114">
        <f>IFERROR((Data_Entry!G286/Data_Entry!$V286/D$2),"")</f>
        <v>1.20796404278033</v>
      </c>
      <c r="E288" s="114">
        <f>IFERROR((Data_Entry!H286/Data_Entry!$V286/E$2),"")</f>
        <v>1.16140544255892</v>
      </c>
      <c r="F288" s="114">
        <f>IFERROR((Data_Entry!I286/Data_Entry!$V286/F$2),"")</f>
        <v>1.2237092923733099</v>
      </c>
      <c r="G288" s="114">
        <f>IFERROR((Data_Entry!J286/Data_Entry!$V286/G$2),"")</f>
        <v>1.22054514409188</v>
      </c>
      <c r="H288" s="114">
        <f>IFERROR((Data_Entry!K286/Data_Entry!$V286/H$2),"")</f>
        <v>1.1765405751190301</v>
      </c>
      <c r="I288" s="114">
        <f>IFERROR((Data_Entry!L286/Data_Entry!$V286/I$2),"")</f>
        <v>1.27198045043154</v>
      </c>
    </row>
    <row r="289" spans="1:9" ht="15">
      <c r="A289" s="113">
        <v>46032</v>
      </c>
      <c r="B289" s="19">
        <v>46032</v>
      </c>
      <c r="C289" s="114">
        <f>IFERROR((Data_Entry!F287/Data_Entry!$V287/C$2),"")</f>
        <v>1.22710444313605</v>
      </c>
      <c r="D289" s="114">
        <f>IFERROR((Data_Entry!G287/Data_Entry!$V287/D$2),"")</f>
        <v>1.2801262667331099</v>
      </c>
      <c r="E289" s="114">
        <f>IFERROR((Data_Entry!H287/Data_Entry!$V287/E$2),"")</f>
        <v>1.18370713863917</v>
      </c>
      <c r="F289" s="114">
        <f>IFERROR((Data_Entry!I287/Data_Entry!$V287/F$2),"")</f>
        <v>1.2615978700722399</v>
      </c>
      <c r="G289" s="114">
        <f>IFERROR((Data_Entry!J287/Data_Entry!$V287/G$2),"")</f>
        <v>1.2667624152546699</v>
      </c>
      <c r="H289" s="114">
        <f>IFERROR((Data_Entry!K287/Data_Entry!$V287/H$2),"")</f>
        <v>1.2406346692243999</v>
      </c>
      <c r="I289" s="114">
        <f>IFERROR((Data_Entry!L287/Data_Entry!$V287/I$2),"")</f>
        <v>1.2798297544075099</v>
      </c>
    </row>
    <row r="290" spans="1:9" ht="15">
      <c r="A290" s="113">
        <v>46033</v>
      </c>
      <c r="B290" s="19">
        <v>46033</v>
      </c>
      <c r="C290" s="114">
        <f>IFERROR((Data_Entry!F288/Data_Entry!$V288/C$2),"")</f>
        <v>1.2653080414818101</v>
      </c>
      <c r="D290" s="114">
        <f>IFERROR((Data_Entry!G288/Data_Entry!$V288/D$2),"")</f>
        <v>1.26050420168067</v>
      </c>
      <c r="E290" s="114">
        <f>IFERROR((Data_Entry!H288/Data_Entry!$V288/E$2),"")</f>
        <v>1.23416339012669</v>
      </c>
      <c r="F290" s="114">
        <f>IFERROR((Data_Entry!I288/Data_Entry!$V288/F$2),"")</f>
        <v>1.25710335989202</v>
      </c>
      <c r="G290" s="114">
        <f>IFERROR((Data_Entry!J288/Data_Entry!$V288/G$2),"")</f>
        <v>1.2531648080053699</v>
      </c>
      <c r="H290" s="114">
        <f>IFERROR((Data_Entry!K288/Data_Entry!$V288/H$2),"")</f>
        <v>1.2688491830717099</v>
      </c>
      <c r="I290" s="114">
        <f>IFERROR((Data_Entry!L288/Data_Entry!$V288/I$2),"")</f>
        <v>1.2625572766003099</v>
      </c>
    </row>
    <row r="291" spans="1:9" ht="15">
      <c r="A291" s="113">
        <v>46034</v>
      </c>
      <c r="B291" s="19">
        <v>46034</v>
      </c>
      <c r="C291" s="114">
        <f>IFERROR((Data_Entry!F289/Data_Entry!$V289/C$2),"")</f>
        <v>1.25857593805567</v>
      </c>
      <c r="D291" s="114">
        <f>IFERROR((Data_Entry!G289/Data_Entry!$V289/D$2),"")</f>
        <v>1.2512913865834501</v>
      </c>
      <c r="E291" s="114">
        <f>IFERROR((Data_Entry!H289/Data_Entry!$V289/E$2),"")</f>
        <v>1.2298072384009</v>
      </c>
      <c r="F291" s="114">
        <f>IFERROR((Data_Entry!I289/Data_Entry!$V289/F$2),"")</f>
        <v>1.2497304112679799</v>
      </c>
      <c r="G291" s="114">
        <f>IFERROR((Data_Entry!J289/Data_Entry!$V289/G$2),"")</f>
        <v>1.2440320808787799</v>
      </c>
      <c r="H291" s="114">
        <f>IFERROR((Data_Entry!K289/Data_Entry!$V289/H$2),"")</f>
        <v>1.25806872763495</v>
      </c>
      <c r="I291" s="114">
        <f>IFERROR((Data_Entry!L289/Data_Entry!$V289/I$2),"")</f>
        <v>1.25209630034096</v>
      </c>
    </row>
    <row r="292" spans="1:9" ht="15">
      <c r="A292" s="113">
        <v>46035</v>
      </c>
      <c r="B292" s="19">
        <v>46035</v>
      </c>
      <c r="C292" s="114">
        <f>IFERROR((Data_Entry!F290/Data_Entry!$V290/C$2),"")</f>
        <v>1.2305987070718001</v>
      </c>
      <c r="D292" s="114">
        <f>IFERROR((Data_Entry!G290/Data_Entry!$V290/D$2),"")</f>
        <v>1.22518642806168</v>
      </c>
      <c r="E292" s="114">
        <f>IFERROR((Data_Entry!H290/Data_Entry!$V290/E$2),"")</f>
        <v>1.19868545339084</v>
      </c>
      <c r="F292" s="114">
        <f>IFERROR((Data_Entry!I290/Data_Entry!$V290/F$2),"")</f>
        <v>1.22160160681168</v>
      </c>
      <c r="G292" s="114">
        <f>IFERROR((Data_Entry!J290/Data_Entry!$V290/G$2),"")</f>
        <v>1.21365625438757</v>
      </c>
      <c r="H292" s="114">
        <f>IFERROR((Data_Entry!K290/Data_Entry!$V290/H$2),"")</f>
        <v>1.2272118186897001</v>
      </c>
      <c r="I292" s="114">
        <f>IFERROR((Data_Entry!L290/Data_Entry!$V290/I$2),"")</f>
        <v>1.22542741883845</v>
      </c>
    </row>
    <row r="293" spans="1:9" ht="15">
      <c r="A293" s="113">
        <v>46036</v>
      </c>
      <c r="B293" s="19">
        <v>46036</v>
      </c>
      <c r="C293" s="114">
        <f>IFERROR((Data_Entry!F291/Data_Entry!$V291/C$2),"")</f>
        <v>1.2509479744080001</v>
      </c>
      <c r="D293" s="114">
        <f>IFERROR((Data_Entry!G291/Data_Entry!$V291/D$2),"")</f>
        <v>1.2442206319757301</v>
      </c>
      <c r="E293" s="114">
        <f>IFERROR((Data_Entry!H291/Data_Entry!$V291/E$2),"")</f>
        <v>1.22033046110934</v>
      </c>
      <c r="F293" s="114">
        <f>IFERROR((Data_Entry!I291/Data_Entry!$V291/F$2),"")</f>
        <v>1.24464586297983</v>
      </c>
      <c r="G293" s="114">
        <f>IFERROR((Data_Entry!J291/Data_Entry!$V291/G$2),"")</f>
        <v>1.2399618612426799</v>
      </c>
      <c r="H293" s="114">
        <f>IFERROR((Data_Entry!K291/Data_Entry!$V291/H$2),"")</f>
        <v>1.25110009433903</v>
      </c>
      <c r="I293" s="114">
        <f>IFERROR((Data_Entry!L291/Data_Entry!$V291/I$2),"")</f>
        <v>1.24817340083981</v>
      </c>
    </row>
    <row r="294" spans="1:9" ht="15">
      <c r="A294" s="113">
        <v>46037</v>
      </c>
      <c r="B294" s="19">
        <v>46037</v>
      </c>
      <c r="C294" s="114">
        <f>IFERROR((Data_Entry!F292/Data_Entry!$V292/C$2),"")</f>
        <v>1.2422480379846801</v>
      </c>
      <c r="D294" s="114">
        <f>IFERROR((Data_Entry!G292/Data_Entry!$V292/D$2),"")</f>
        <v>1.23303571765525</v>
      </c>
      <c r="E294" s="114">
        <f>IFERROR((Data_Entry!H292/Data_Entry!$V292/E$2),"")</f>
        <v>1.21254891897094</v>
      </c>
      <c r="F294" s="114">
        <f>IFERROR((Data_Entry!I292/Data_Entry!$V292/F$2),"")</f>
        <v>1.23256691219337</v>
      </c>
      <c r="G294" s="114">
        <f>IFERROR((Data_Entry!J292/Data_Entry!$V292/G$2),"")</f>
        <v>1.22835117907738</v>
      </c>
      <c r="H294" s="114">
        <f>IFERROR((Data_Entry!K292/Data_Entry!$V292/H$2),"")</f>
        <v>1.2395286733023401</v>
      </c>
      <c r="I294" s="114">
        <f>IFERROR((Data_Entry!L292/Data_Entry!$V292/I$2),"")</f>
        <v>1.24108217740166</v>
      </c>
    </row>
    <row r="295" spans="1:9" ht="15">
      <c r="A295" s="113">
        <v>46038</v>
      </c>
      <c r="B295" s="19">
        <v>46038</v>
      </c>
      <c r="C295" s="114">
        <f>IFERROR((Data_Entry!F293/Data_Entry!$V293/C$2),"")</f>
        <v>1.2293427656113101</v>
      </c>
      <c r="D295" s="114">
        <f>IFERROR((Data_Entry!G293/Data_Entry!$V293/D$2),"")</f>
        <v>1.22043458556363</v>
      </c>
      <c r="E295" s="114">
        <f>IFERROR((Data_Entry!H293/Data_Entry!$V293/E$2),"")</f>
        <v>1.2009340226780001</v>
      </c>
      <c r="F295" s="114">
        <f>IFERROR((Data_Entry!I293/Data_Entry!$V293/F$2),"")</f>
        <v>1.2195359002802799</v>
      </c>
      <c r="G295" s="114">
        <f>IFERROR((Data_Entry!J293/Data_Entry!$V293/G$2),"")</f>
        <v>1.21014297483734</v>
      </c>
      <c r="H295" s="114">
        <f>IFERROR((Data_Entry!K293/Data_Entry!$V293/H$2),"")</f>
        <v>1.22737776149345</v>
      </c>
      <c r="I295" s="114">
        <f>IFERROR((Data_Entry!L293/Data_Entry!$V293/I$2),"")</f>
        <v>1.2277039509666701</v>
      </c>
    </row>
    <row r="296" spans="1:9" ht="15">
      <c r="A296" s="113">
        <v>46039</v>
      </c>
      <c r="B296" s="19">
        <v>46039</v>
      </c>
      <c r="C296" s="114">
        <f>IFERROR((Data_Entry!F294/Data_Entry!$V294/C$2),"")</f>
        <v>1.2532088428668899</v>
      </c>
      <c r="D296" s="114">
        <f>IFERROR((Data_Entry!G294/Data_Entry!$V294/D$2),"")</f>
        <v>1.24466802948871</v>
      </c>
      <c r="E296" s="114">
        <f>IFERROR((Data_Entry!H294/Data_Entry!$V294/E$2),"")</f>
        <v>1.2251932185209899</v>
      </c>
      <c r="F296" s="114">
        <f>IFERROR((Data_Entry!I294/Data_Entry!$V294/F$2),"")</f>
        <v>1.24635926391012</v>
      </c>
      <c r="G296" s="114">
        <f>IFERROR((Data_Entry!J294/Data_Entry!$V294/G$2),"")</f>
        <v>1.24095495056803</v>
      </c>
      <c r="H296" s="114">
        <f>IFERROR((Data_Entry!K294/Data_Entry!$V294/H$2),"")</f>
        <v>1.2522536056640601</v>
      </c>
      <c r="I296" s="114">
        <f>IFERROR((Data_Entry!L294/Data_Entry!$V294/I$2),"")</f>
        <v>1.25335966979365</v>
      </c>
    </row>
    <row r="297" spans="1:9" ht="15">
      <c r="A297" s="113">
        <v>46040</v>
      </c>
      <c r="B297" s="19">
        <v>46040</v>
      </c>
      <c r="C297" s="114">
        <f>IFERROR((Data_Entry!F295/Data_Entry!$V295/C$2),"")</f>
        <v>1.3805489710249199</v>
      </c>
      <c r="D297" s="114">
        <f>IFERROR((Data_Entry!G295/Data_Entry!$V295/D$2),"")</f>
        <v>1.37094645432625</v>
      </c>
      <c r="E297" s="114">
        <f>IFERROR((Data_Entry!H295/Data_Entry!$V295/E$2),"")</f>
        <v>1.3423446136710899</v>
      </c>
      <c r="F297" s="114">
        <f>IFERROR((Data_Entry!I295/Data_Entry!$V295/F$2),"")</f>
        <v>1.37248694972152</v>
      </c>
      <c r="G297" s="114">
        <f>IFERROR((Data_Entry!J295/Data_Entry!$V295/G$2),"")</f>
        <v>1.3639945484923199</v>
      </c>
      <c r="H297" s="114">
        <f>IFERROR((Data_Entry!K295/Data_Entry!$V295/H$2),"")</f>
        <v>1.3695118545735701</v>
      </c>
      <c r="I297" s="114">
        <f>IFERROR((Data_Entry!L295/Data_Entry!$V295/I$2),"")</f>
        <v>1.37450182897516</v>
      </c>
    </row>
    <row r="298" spans="1:9" ht="15">
      <c r="A298" s="113">
        <v>46041</v>
      </c>
      <c r="B298" s="19">
        <v>46041</v>
      </c>
      <c r="C298" s="114">
        <f>IFERROR((Data_Entry!F296/Data_Entry!$V296/C$2),"")</f>
        <v>1.25937564149126</v>
      </c>
      <c r="D298" s="114">
        <f>IFERROR((Data_Entry!G296/Data_Entry!$V296/D$2),"")</f>
        <v>1.2511286657412399</v>
      </c>
      <c r="E298" s="114">
        <f>IFERROR((Data_Entry!H296/Data_Entry!$V296/E$2),"")</f>
        <v>1.2292802808996</v>
      </c>
      <c r="F298" s="114">
        <f>IFERROR((Data_Entry!I296/Data_Entry!$V296/F$2),"")</f>
        <v>1.2531795653753</v>
      </c>
      <c r="G298" s="114">
        <f>IFERROR((Data_Entry!J296/Data_Entry!$V296/G$2),"")</f>
        <v>1.24851791918944</v>
      </c>
      <c r="H298" s="114">
        <f>IFERROR((Data_Entry!K296/Data_Entry!$V296/H$2),"")</f>
        <v>1.26084828229666</v>
      </c>
      <c r="I298" s="114">
        <f>IFERROR((Data_Entry!L296/Data_Entry!$V296/I$2),"")</f>
        <v>1.2593516123872099</v>
      </c>
    </row>
    <row r="299" spans="1:9" ht="15">
      <c r="A299" s="113">
        <v>46042</v>
      </c>
      <c r="B299" s="19">
        <v>46042</v>
      </c>
      <c r="C299" s="114">
        <f>IFERROR((Data_Entry!F297/Data_Entry!$V297/C$2),"")</f>
        <v>1.23848125470412</v>
      </c>
      <c r="D299" s="114">
        <f>IFERROR((Data_Entry!G297/Data_Entry!$V297/D$2),"")</f>
        <v>1.23076576589667</v>
      </c>
      <c r="E299" s="114">
        <f>IFERROR((Data_Entry!H297/Data_Entry!$V297/E$2),"")</f>
        <v>1.20715433593035</v>
      </c>
      <c r="F299" s="114">
        <f>IFERROR((Data_Entry!I297/Data_Entry!$V297/F$2),"")</f>
        <v>1.23503667084081</v>
      </c>
      <c r="G299" s="114">
        <f>IFERROR((Data_Entry!J297/Data_Entry!$V297/G$2),"")</f>
        <v>1.2292549502507999</v>
      </c>
      <c r="H299" s="114">
        <f>IFERROR((Data_Entry!K297/Data_Entry!$V297/H$2),"")</f>
        <v>1.2361554893684401</v>
      </c>
      <c r="I299" s="114">
        <f>IFERROR((Data_Entry!L297/Data_Entry!$V297/I$2),"")</f>
        <v>1.2309783477343601</v>
      </c>
    </row>
    <row r="300" spans="1:9" ht="15">
      <c r="A300" s="113">
        <v>46043</v>
      </c>
      <c r="B300" s="19">
        <v>46043</v>
      </c>
      <c r="C300" s="114">
        <f>IFERROR((Data_Entry!F298/Data_Entry!$V298/C$2),"")</f>
        <v>1.23305474769562</v>
      </c>
      <c r="D300" s="114">
        <f>IFERROR((Data_Entry!G298/Data_Entry!$V298/D$2),"")</f>
        <v>1.2258087019222199</v>
      </c>
      <c r="E300" s="114">
        <f>IFERROR((Data_Entry!H298/Data_Entry!$V298/E$2),"")</f>
        <v>1.20653221380511</v>
      </c>
      <c r="F300" s="114">
        <f>IFERROR((Data_Entry!I298/Data_Entry!$V298/F$2),"")</f>
        <v>1.2320056026693</v>
      </c>
      <c r="G300" s="114">
        <f>IFERROR((Data_Entry!J298/Data_Entry!$V298/G$2),"")</f>
        <v>1.2238419324485099</v>
      </c>
      <c r="H300" s="114">
        <f>IFERROR((Data_Entry!K298/Data_Entry!$V298/H$2),"")</f>
        <v>1.2353493120816099</v>
      </c>
      <c r="I300" s="114">
        <f>IFERROR((Data_Entry!L298/Data_Entry!$V298/I$2),"")</f>
        <v>1.22944430649695</v>
      </c>
    </row>
    <row r="301" spans="1:9" ht="15">
      <c r="A301" s="113">
        <v>46044</v>
      </c>
      <c r="B301" s="19">
        <v>46044</v>
      </c>
      <c r="C301" s="114">
        <f>IFERROR((Data_Entry!F299/Data_Entry!$V299/C$2),"")</f>
        <v>1.18845142081128</v>
      </c>
      <c r="D301" s="114">
        <f>IFERROR((Data_Entry!G299/Data_Entry!$V299/D$2),"")</f>
        <v>1.18713363105505</v>
      </c>
      <c r="E301" s="114">
        <f>IFERROR((Data_Entry!H299/Data_Entry!$V299/E$2),"")</f>
        <v>1.1629845489541</v>
      </c>
      <c r="F301" s="114">
        <f>IFERROR((Data_Entry!I299/Data_Entry!$V299/F$2),"")</f>
        <v>1.2047493644571601</v>
      </c>
      <c r="G301" s="114">
        <f>IFERROR((Data_Entry!J299/Data_Entry!$V299/G$2),"")</f>
        <v>1.1938225921794401</v>
      </c>
      <c r="H301" s="114">
        <f>IFERROR((Data_Entry!K299/Data_Entry!$V299/H$2),"")</f>
        <v>1.1911375150326999</v>
      </c>
      <c r="I301" s="114">
        <f>IFERROR((Data_Entry!L299/Data_Entry!$V299/I$2),"")</f>
        <v>1.22595401536878</v>
      </c>
    </row>
    <row r="302" spans="1:9" ht="15">
      <c r="A302" s="113">
        <v>46045</v>
      </c>
      <c r="B302" s="19">
        <v>46045</v>
      </c>
      <c r="C302" s="114">
        <f>IFERROR((Data_Entry!F300/Data_Entry!$V300/C$2),"")</f>
        <v>1.2945795499183801</v>
      </c>
      <c r="D302" s="114">
        <f>IFERROR((Data_Entry!G300/Data_Entry!$V300/D$2),"")</f>
        <v>1.29861786249112</v>
      </c>
      <c r="E302" s="114">
        <f>IFERROR((Data_Entry!H300/Data_Entry!$V300/E$2),"")</f>
        <v>1.2654185944603</v>
      </c>
      <c r="F302" s="114">
        <f>IFERROR((Data_Entry!I300/Data_Entry!$V300/F$2),"")</f>
        <v>1.3035848563597801</v>
      </c>
      <c r="G302" s="114">
        <f>IFERROR((Data_Entry!J300/Data_Entry!$V300/G$2),"")</f>
        <v>1.3011666573290701</v>
      </c>
      <c r="H302" s="114">
        <f>IFERROR((Data_Entry!K300/Data_Entry!$V300/H$2),"")</f>
        <v>1.2986127837652801</v>
      </c>
      <c r="I302" s="114">
        <f>IFERROR((Data_Entry!L300/Data_Entry!$V300/I$2),"")</f>
        <v>1.3083095224527801</v>
      </c>
    </row>
    <row r="303" spans="1:9" ht="15">
      <c r="A303" s="113">
        <v>46046</v>
      </c>
      <c r="B303" s="19">
        <v>46046</v>
      </c>
      <c r="C303" s="114">
        <f>IFERROR((Data_Entry!F301/Data_Entry!$V301/C$2),"")</f>
        <v>1.30709641355951</v>
      </c>
      <c r="D303" s="114">
        <f>IFERROR((Data_Entry!G301/Data_Entry!$V301/D$2),"")</f>
        <v>1.3177144184949201</v>
      </c>
      <c r="E303" s="114">
        <f>IFERROR((Data_Entry!H301/Data_Entry!$V301/E$2),"")</f>
        <v>1.27222667788189</v>
      </c>
      <c r="F303" s="114">
        <f>IFERROR((Data_Entry!I301/Data_Entry!$V301/F$2),"")</f>
        <v>1.3133871924779801</v>
      </c>
      <c r="G303" s="114">
        <f>IFERROR((Data_Entry!J301/Data_Entry!$V301/G$2),"")</f>
        <v>1.3131462183072899</v>
      </c>
      <c r="H303" s="114">
        <f>IFERROR((Data_Entry!K301/Data_Entry!$V301/H$2),"")</f>
        <v>1.3146558506118899</v>
      </c>
      <c r="I303" s="114">
        <f>IFERROR((Data_Entry!L301/Data_Entry!$V301/I$2),"")</f>
        <v>1.3192201849037299</v>
      </c>
    </row>
    <row r="304" spans="1:9" ht="15">
      <c r="A304" s="113">
        <v>46047</v>
      </c>
      <c r="B304" s="19">
        <v>46047</v>
      </c>
      <c r="C304" s="114">
        <f>IFERROR((Data_Entry!F302/Data_Entry!$V302/C$2),"")</f>
        <v>1.32745477341584</v>
      </c>
      <c r="D304" s="114">
        <f>IFERROR((Data_Entry!G302/Data_Entry!$V302/D$2),"")</f>
        <v>1.3336139259164499</v>
      </c>
      <c r="E304" s="114">
        <f>IFERROR((Data_Entry!H302/Data_Entry!$V302/E$2),"")</f>
        <v>1.2924210619444501</v>
      </c>
      <c r="F304" s="114">
        <f>IFERROR((Data_Entry!I302/Data_Entry!$V302/F$2),"")</f>
        <v>1.3317415070555101</v>
      </c>
      <c r="G304" s="114">
        <f>IFERROR((Data_Entry!J302/Data_Entry!$V302/G$2),"")</f>
        <v>1.3287533581928801</v>
      </c>
      <c r="H304" s="114">
        <f>IFERROR((Data_Entry!K302/Data_Entry!$V302/H$2),"")</f>
        <v>1.3286066532099601</v>
      </c>
      <c r="I304" s="114">
        <f>IFERROR((Data_Entry!L302/Data_Entry!$V302/I$2),"")</f>
        <v>1.3339111965397401</v>
      </c>
    </row>
    <row r="305" spans="1:9" ht="15">
      <c r="A305" s="113">
        <v>46048</v>
      </c>
      <c r="B305" s="19">
        <v>46048</v>
      </c>
      <c r="C305" s="114">
        <f>IFERROR((Data_Entry!F303/Data_Entry!$V303/C$2),"")</f>
        <v>1.25098111951418</v>
      </c>
      <c r="D305" s="114">
        <f>IFERROR((Data_Entry!G303/Data_Entry!$V303/D$2),"")</f>
        <v>1.2565162303883599</v>
      </c>
      <c r="E305" s="114">
        <f>IFERROR((Data_Entry!H303/Data_Entry!$V303/E$2),"")</f>
        <v>1.22391972446356</v>
      </c>
      <c r="F305" s="114">
        <f>IFERROR((Data_Entry!I303/Data_Entry!$V303/F$2),"")</f>
        <v>1.2545652731996899</v>
      </c>
      <c r="G305" s="114">
        <f>IFERROR((Data_Entry!J303/Data_Entry!$V303/G$2),"")</f>
        <v>1.25308194492828</v>
      </c>
      <c r="H305" s="114">
        <f>IFERROR((Data_Entry!K303/Data_Entry!$V303/H$2),"")</f>
        <v>1.2579137766242701</v>
      </c>
      <c r="I305" s="114">
        <f>IFERROR((Data_Entry!L303/Data_Entry!$V303/I$2),"")</f>
        <v>1.2603737517278599</v>
      </c>
    </row>
    <row r="306" spans="1:9" ht="15">
      <c r="A306" s="113">
        <v>46049</v>
      </c>
      <c r="B306" s="19">
        <v>46049</v>
      </c>
      <c r="C306" s="114">
        <f>IFERROR((Data_Entry!F304/Data_Entry!$V304/C$2),"")</f>
        <v>1.5601542952460401</v>
      </c>
      <c r="D306" s="114">
        <f>IFERROR((Data_Entry!G304/Data_Entry!$V304/D$2),"")</f>
        <v>15.699038633384999</v>
      </c>
      <c r="E306" s="114">
        <f>IFERROR((Data_Entry!H304/Data_Entry!$V304/E$2),"")</f>
        <v>1.5159768557130899</v>
      </c>
      <c r="F306" s="114">
        <f>IFERROR((Data_Entry!I304/Data_Entry!$V304/F$2),"")</f>
        <v>1.5610932246851701</v>
      </c>
      <c r="G306" s="114">
        <f>IFERROR((Data_Entry!J304/Data_Entry!$V304/G$2),"")</f>
        <v>1.5568372841757401</v>
      </c>
      <c r="H306" s="114">
        <f>IFERROR((Data_Entry!K304/Data_Entry!$V304/H$2),"")</f>
        <v>1.5673257735483499</v>
      </c>
      <c r="I306" s="114">
        <f>IFERROR((Data_Entry!L304/Data_Entry!$V304/I$2),"")</f>
        <v>1.5615740213117599</v>
      </c>
    </row>
    <row r="307" spans="1:9" ht="15">
      <c r="A307" s="113">
        <v>46050</v>
      </c>
      <c r="B307" s="19">
        <v>46050</v>
      </c>
      <c r="C307" s="114">
        <f>IFERROR((Data_Entry!F305/Data_Entry!$V305/C$2),"")</f>
        <v>1.2836487188257699</v>
      </c>
      <c r="D307" s="114">
        <f>IFERROR((Data_Entry!G305/Data_Entry!$V305/D$2),"")</f>
        <v>1.2909461352484599</v>
      </c>
      <c r="E307" s="114">
        <f>IFERROR((Data_Entry!H305/Data_Entry!$V305/E$2),"")</f>
        <v>1.2093344835830699</v>
      </c>
      <c r="F307" s="114">
        <f>IFERROR((Data_Entry!I305/Data_Entry!$V305/F$2),"")</f>
        <v>1.28455469451682</v>
      </c>
      <c r="G307" s="114">
        <f>IFERROR((Data_Entry!J305/Data_Entry!$V305/G$2),"")</f>
        <v>1.2848465911737299</v>
      </c>
      <c r="H307" s="114">
        <f>IFERROR((Data_Entry!K305/Data_Entry!$V305/H$2),"")</f>
        <v>1.2817372572197101</v>
      </c>
      <c r="I307" s="114">
        <f>IFERROR((Data_Entry!L305/Data_Entry!$V305/I$2),"")</f>
        <v>1.2898342166591501</v>
      </c>
    </row>
    <row r="308" spans="1:9" ht="15">
      <c r="A308" s="113">
        <v>46051</v>
      </c>
      <c r="B308" s="19">
        <v>46051</v>
      </c>
      <c r="C308" s="114">
        <f>IFERROR((Data_Entry!F306/Data_Entry!$V306/C$2),"")</f>
        <v>1.2478972237104</v>
      </c>
      <c r="D308" s="114">
        <f>IFERROR((Data_Entry!G306/Data_Entry!$V306/D$2),"")</f>
        <v>1.2526742093047301</v>
      </c>
      <c r="E308" s="114">
        <f>IFERROR((Data_Entry!H306/Data_Entry!$V306/E$2),"")</f>
        <v>1.2179785741086799</v>
      </c>
      <c r="F308" s="114">
        <f>IFERROR((Data_Entry!I306/Data_Entry!$V306/F$2),"")</f>
        <v>1.2486516275906001</v>
      </c>
      <c r="G308" s="114">
        <f>IFERROR((Data_Entry!J306/Data_Entry!$V306/G$2),"")</f>
        <v>1.2484723095014301</v>
      </c>
      <c r="H308" s="114">
        <f>IFERROR((Data_Entry!K306/Data_Entry!$V306/H$2),"")</f>
        <v>1.24852544078711</v>
      </c>
      <c r="I308" s="114">
        <f>IFERROR((Data_Entry!L306/Data_Entry!$V306/I$2),"")</f>
        <v>1.2518129390885699</v>
      </c>
    </row>
    <row r="309" spans="1:9" ht="15">
      <c r="A309" s="113">
        <v>46052</v>
      </c>
      <c r="B309" s="19">
        <v>46052</v>
      </c>
      <c r="C309" s="114">
        <f>IFERROR((Data_Entry!F307/Data_Entry!$V307/C$2),"")</f>
        <v>1.22867752922594</v>
      </c>
      <c r="D309" s="114">
        <f>IFERROR((Data_Entry!G307/Data_Entry!$V307/D$2),"")</f>
        <v>1.2329375304107499</v>
      </c>
      <c r="E309" s="114">
        <f>IFERROR((Data_Entry!H307/Data_Entry!$V307/E$2),"")</f>
        <v>1.20270982669117</v>
      </c>
      <c r="F309" s="114">
        <f>IFERROR((Data_Entry!I307/Data_Entry!$V307/F$2),"")</f>
        <v>1.23302001005326</v>
      </c>
      <c r="G309" s="114">
        <f>IFERROR((Data_Entry!J307/Data_Entry!$V307/G$2),"")</f>
        <v>1.23192968705979</v>
      </c>
      <c r="H309" s="114">
        <f>IFERROR((Data_Entry!K307/Data_Entry!$V307/H$2),"")</f>
        <v>1.23614772491772</v>
      </c>
      <c r="I309" s="114">
        <f>IFERROR((Data_Entry!L307/Data_Entry!$V307/I$2),"")</f>
        <v>1.24103428198331</v>
      </c>
    </row>
    <row r="310" spans="1:9" ht="15">
      <c r="A310" s="113">
        <v>46053</v>
      </c>
      <c r="B310" s="19">
        <v>46053</v>
      </c>
      <c r="C310" s="114">
        <f>IFERROR((Data_Entry!F308/Data_Entry!$V308/C$2),"")</f>
        <v>1.0021463107368001</v>
      </c>
      <c r="D310" s="114">
        <f>IFERROR((Data_Entry!G308/Data_Entry!$V308/D$2),"")</f>
        <v>1.00161514882115</v>
      </c>
      <c r="E310" s="114">
        <f>IFERROR((Data_Entry!H308/Data_Entry!$V308/E$2),"")</f>
        <v>0.98689883927582001</v>
      </c>
      <c r="F310" s="114">
        <f>IFERROR((Data_Entry!I308/Data_Entry!$V308/F$2),"")</f>
        <v>1.0026172471326</v>
      </c>
      <c r="G310" s="114">
        <f>IFERROR((Data_Entry!J308/Data_Entry!$V308/G$2),"")</f>
        <v>1.0019298611241201</v>
      </c>
      <c r="H310" s="114">
        <f>IFERROR((Data_Entry!K308/Data_Entry!$V308/H$2),"")</f>
        <v>1.00664194202288</v>
      </c>
      <c r="I310" s="114">
        <f>IFERROR((Data_Entry!L308/Data_Entry!$V308/I$2),"")</f>
        <v>1.00781747171855</v>
      </c>
    </row>
    <row r="311" spans="1:9" ht="15">
      <c r="A311" s="113">
        <v>46054</v>
      </c>
      <c r="B311" s="19">
        <v>46054</v>
      </c>
      <c r="C311" s="114">
        <f>IFERROR((Data_Entry!F309/Data_Entry!$V309/C$2),"")</f>
        <v>1.1954827166302799</v>
      </c>
      <c r="D311" s="114">
        <f>IFERROR((Data_Entry!G309/Data_Entry!$V309/D$2),"")</f>
        <v>1.1988316198392399</v>
      </c>
      <c r="E311" s="114">
        <f>IFERROR((Data_Entry!H309/Data_Entry!$V309/E$2),"")</f>
        <v>1.1689944068267799</v>
      </c>
      <c r="F311" s="114">
        <f>IFERROR((Data_Entry!I309/Data_Entry!$V309/F$2),"")</f>
        <v>1.19760715195194</v>
      </c>
      <c r="G311" s="114">
        <f>IFERROR((Data_Entry!J309/Data_Entry!$V309/G$2),"")</f>
        <v>1.19629524820414</v>
      </c>
      <c r="H311" s="114">
        <f>IFERROR((Data_Entry!K309/Data_Entry!$V309/H$2),"")</f>
        <v>1.1998365834742599</v>
      </c>
      <c r="I311" s="114">
        <f>IFERROR((Data_Entry!L309/Data_Entry!$V309/I$2),"")</f>
        <v>1.2013496994533099</v>
      </c>
    </row>
    <row r="312" spans="1:9" ht="15">
      <c r="A312" s="113">
        <v>46055</v>
      </c>
      <c r="B312" s="19">
        <v>46055</v>
      </c>
      <c r="C312" s="114">
        <f>IFERROR((Data_Entry!F310/Data_Entry!$V310/C$2),"")</f>
        <v>1.15299314054229</v>
      </c>
      <c r="D312" s="114">
        <f>IFERROR((Data_Entry!G310/Data_Entry!$V310/D$2),"")</f>
        <v>1.15493353304625</v>
      </c>
      <c r="E312" s="114">
        <f>IFERROR((Data_Entry!H310/Data_Entry!$V310/E$2),"")</f>
        <v>1.12577658252625</v>
      </c>
      <c r="F312" s="114">
        <f>IFERROR((Data_Entry!I310/Data_Entry!$V310/F$2),"")</f>
        <v>1.1531629803896</v>
      </c>
      <c r="G312" s="114">
        <f>IFERROR((Data_Entry!J310/Data_Entry!$V310/G$2),"")</f>
        <v>1.1532932279413599</v>
      </c>
      <c r="H312" s="114">
        <f>IFERROR((Data_Entry!K310/Data_Entry!$V310/H$2),"")</f>
        <v>1.15517367696979</v>
      </c>
      <c r="I312" s="114">
        <f>IFERROR((Data_Entry!L310/Data_Entry!$V310/I$2),"")</f>
        <v>1.1560121455842001</v>
      </c>
    </row>
    <row r="313" spans="1:9" ht="15">
      <c r="A313" s="113">
        <v>46056</v>
      </c>
      <c r="B313" s="19">
        <v>46056</v>
      </c>
      <c r="C313" s="114">
        <f>IFERROR((Data_Entry!F311/Data_Entry!$V311/C$2),"")</f>
        <v>1.18851475749708</v>
      </c>
      <c r="D313" s="114">
        <f>IFERROR((Data_Entry!G311/Data_Entry!$V311/D$2),"")</f>
        <v>1.19250796450007</v>
      </c>
      <c r="E313" s="114">
        <f>IFERROR((Data_Entry!H311/Data_Entry!$V311/E$2),"")</f>
        <v>1.1600104018172701</v>
      </c>
      <c r="F313" s="114">
        <f>IFERROR((Data_Entry!I311/Data_Entry!$V311/F$2),"")</f>
        <v>1.1921931942060899</v>
      </c>
      <c r="G313" s="114">
        <f>IFERROR((Data_Entry!J311/Data_Entry!$V311/G$2),"")</f>
        <v>1.19026787276669</v>
      </c>
      <c r="H313" s="114">
        <f>IFERROR((Data_Entry!K311/Data_Entry!$V311/H$2),"")</f>
        <v>1.1923018817066999</v>
      </c>
      <c r="I313" s="114">
        <f>IFERROR((Data_Entry!L311/Data_Entry!$V311/I$2),"")</f>
        <v>1.1937924531436499</v>
      </c>
    </row>
    <row r="314" spans="1:9" ht="15">
      <c r="A314" s="113">
        <v>46057</v>
      </c>
      <c r="B314" s="19">
        <v>46057</v>
      </c>
      <c r="C314" s="114">
        <f>IFERROR((Data_Entry!F312/Data_Entry!$V312/C$2),"")</f>
        <v>1.1886417316187201</v>
      </c>
      <c r="D314" s="114">
        <f>IFERROR((Data_Entry!G312/Data_Entry!$V312/D$2),"")</f>
        <v>1.1938902484945799</v>
      </c>
      <c r="E314" s="114">
        <f>IFERROR((Data_Entry!H312/Data_Entry!$V312/E$2),"")</f>
        <v>1.1608938821567001</v>
      </c>
      <c r="F314" s="114">
        <f>IFERROR((Data_Entry!I312/Data_Entry!$V312/F$2),"")</f>
        <v>1.1913624281347599</v>
      </c>
      <c r="G314" s="114">
        <f>IFERROR((Data_Entry!J312/Data_Entry!$V312/G$2),"")</f>
        <v>1.18967121243101</v>
      </c>
      <c r="H314" s="114">
        <f>IFERROR((Data_Entry!K312/Data_Entry!$V312/H$2),"")</f>
        <v>1.1932136237023701</v>
      </c>
      <c r="I314" s="114">
        <f>IFERROR((Data_Entry!L312/Data_Entry!$V312/I$2),"")</f>
        <v>1.19607802507448</v>
      </c>
    </row>
    <row r="315" spans="1:9" ht="15">
      <c r="A315" s="113">
        <v>46058</v>
      </c>
      <c r="B315" s="19">
        <v>46058</v>
      </c>
      <c r="C315" s="114">
        <f>IFERROR((Data_Entry!F313/Data_Entry!$V313/C$2),"")</f>
        <v>1.1994937145560201</v>
      </c>
      <c r="D315" s="114">
        <f>IFERROR((Data_Entry!G313/Data_Entry!$V313/D$2),"")</f>
        <v>1.20068666556411</v>
      </c>
      <c r="E315" s="114">
        <f>IFERROR((Data_Entry!H313/Data_Entry!$V313/E$2),"")</f>
        <v>1.1724337326829499</v>
      </c>
      <c r="F315" s="114">
        <f>IFERROR((Data_Entry!I313/Data_Entry!$V313/F$2),"")</f>
        <v>1.20027816924268</v>
      </c>
      <c r="G315" s="114">
        <f>IFERROR((Data_Entry!J313/Data_Entry!$V313/G$2),"")</f>
        <v>1.1983007635479199</v>
      </c>
      <c r="H315" s="114">
        <f>IFERROR((Data_Entry!K313/Data_Entry!$V313/H$2),"")</f>
        <v>1.2028934477422</v>
      </c>
      <c r="I315" s="114">
        <f>IFERROR((Data_Entry!L313/Data_Entry!$V313/I$2),"")</f>
        <v>1.2052890144978601</v>
      </c>
    </row>
    <row r="316" spans="1:9" ht="15">
      <c r="A316" s="113">
        <v>46059</v>
      </c>
      <c r="B316" s="19">
        <v>46059</v>
      </c>
      <c r="C316" s="114">
        <f>IFERROR((Data_Entry!F314/Data_Entry!$V314/C$2),"")</f>
        <v>1.2185324505114801</v>
      </c>
      <c r="D316" s="114">
        <f>IFERROR((Data_Entry!G314/Data_Entry!$V314/D$2),"")</f>
        <v>1.22284443385361</v>
      </c>
      <c r="E316" s="114">
        <f>IFERROR((Data_Entry!H314/Data_Entry!$V314/E$2),"")</f>
        <v>1.19026342814023</v>
      </c>
      <c r="F316" s="114">
        <f>IFERROR((Data_Entry!I314/Data_Entry!$V314/F$2),"")</f>
        <v>1.2205077483725799</v>
      </c>
      <c r="G316" s="114">
        <f>IFERROR((Data_Entry!J314/Data_Entry!$V314/G$2),"")</f>
        <v>1.22062985545235</v>
      </c>
      <c r="H316" s="114">
        <f>IFERROR((Data_Entry!K314/Data_Entry!$V314/H$2),"")</f>
        <v>1.2208130160720001</v>
      </c>
      <c r="I316" s="114">
        <f>IFERROR((Data_Entry!L314/Data_Entry!$V314/I$2),"")</f>
        <v>1.2363138314759501</v>
      </c>
    </row>
    <row r="317" spans="1:9" ht="15">
      <c r="A317" s="113">
        <v>46060</v>
      </c>
      <c r="B317" s="19">
        <v>46060</v>
      </c>
      <c r="C317" s="114">
        <f>IFERROR((Data_Entry!F315/Data_Entry!$V315/C$2),"")</f>
        <v>1.24898374696</v>
      </c>
      <c r="D317" s="114">
        <f>IFERROR((Data_Entry!G315/Data_Entry!$V315/D$2),"")</f>
        <v>1.2677172620507799</v>
      </c>
      <c r="E317" s="114">
        <f>IFERROR((Data_Entry!H315/Data_Entry!$V315/E$2),"")</f>
        <v>1.2207228596192401</v>
      </c>
      <c r="F317" s="114">
        <f>IFERROR((Data_Entry!I315/Data_Entry!$V315/F$2),"")</f>
        <v>1.2634581155956599</v>
      </c>
      <c r="G317" s="114">
        <f>IFERROR((Data_Entry!J315/Data_Entry!$V315/G$2),"")</f>
        <v>1.2639539262055</v>
      </c>
      <c r="H317" s="114">
        <f>IFERROR((Data_Entry!K315/Data_Entry!$V315/H$2),"")</f>
        <v>1.2615237558924599</v>
      </c>
      <c r="I317" s="114">
        <f>IFERROR((Data_Entry!L315/Data_Entry!$V315/I$2),"")</f>
        <v>1.2712933198808001</v>
      </c>
    </row>
    <row r="318" spans="1:9" ht="15">
      <c r="A318" s="113">
        <v>46061</v>
      </c>
      <c r="B318" s="19">
        <v>46061</v>
      </c>
      <c r="C318" s="114">
        <f>IFERROR((Data_Entry!F316/Data_Entry!$V316/C$2),"")</f>
        <v>1.2192406076198099</v>
      </c>
      <c r="D318" s="114">
        <f>IFERROR((Data_Entry!G316/Data_Entry!$V316/D$2),"")</f>
        <v>1.22210895911202</v>
      </c>
      <c r="E318" s="114">
        <f>IFERROR((Data_Entry!H316/Data_Entry!$V316/E$2),"")</f>
        <v>1.1909910227953</v>
      </c>
      <c r="F318" s="114">
        <f>IFERROR((Data_Entry!I316/Data_Entry!$V316/F$2),"")</f>
        <v>1.2163121390617699</v>
      </c>
      <c r="G318" s="114">
        <f>IFERROR((Data_Entry!J316/Data_Entry!$V316/G$2),"")</f>
        <v>1.21729000069646</v>
      </c>
      <c r="H318" s="114">
        <f>IFERROR((Data_Entry!K316/Data_Entry!$V316/H$2),"")</f>
        <v>1.22324862518986</v>
      </c>
      <c r="I318" s="114">
        <f>IFERROR((Data_Entry!L316/Data_Entry!$V316/I$2),"")</f>
        <v>1.2221370990151701</v>
      </c>
    </row>
    <row r="319" spans="1:9" ht="15">
      <c r="A319" s="113">
        <v>46062</v>
      </c>
      <c r="B319" s="19">
        <v>46062</v>
      </c>
      <c r="C319" s="114">
        <f>IFERROR((Data_Entry!F317/Data_Entry!$V317/C$2),"")</f>
        <v>1.25523784911303</v>
      </c>
      <c r="D319" s="114">
        <f>IFERROR((Data_Entry!G317/Data_Entry!$V317/D$2),"")</f>
        <v>1.2602162879976599</v>
      </c>
      <c r="E319" s="114">
        <f>IFERROR((Data_Entry!H317/Data_Entry!$V317/E$2),"")</f>
        <v>1.22717819287143</v>
      </c>
      <c r="F319" s="114">
        <f>IFERROR((Data_Entry!I317/Data_Entry!$V317/F$2),"")</f>
        <v>1.25406741740163</v>
      </c>
      <c r="G319" s="114">
        <f>IFERROR((Data_Entry!J317/Data_Entry!$V317/G$2),"")</f>
        <v>1.2575051425425301</v>
      </c>
      <c r="H319" s="114">
        <f>IFERROR((Data_Entry!K317/Data_Entry!$V317/H$2),"")</f>
        <v>1.25618088266335</v>
      </c>
      <c r="I319" s="114">
        <f>IFERROR((Data_Entry!L317/Data_Entry!$V317/I$2),"")</f>
        <v>1.2623072566498601</v>
      </c>
    </row>
    <row r="320" spans="1:9" ht="15">
      <c r="A320" s="113">
        <v>46063</v>
      </c>
      <c r="B320" s="19">
        <v>46063</v>
      </c>
      <c r="C320" s="114">
        <f>IFERROR((Data_Entry!F318/Data_Entry!$V318/C$2),"")</f>
        <v>1.3056693847334</v>
      </c>
      <c r="D320" s="114">
        <f>IFERROR((Data_Entry!G318/Data_Entry!$V318/D$2),"")</f>
        <v>1.3072022297875301</v>
      </c>
      <c r="E320" s="114">
        <f>IFERROR((Data_Entry!H318/Data_Entry!$V318/E$2),"")</f>
        <v>1.2550788043005301</v>
      </c>
      <c r="F320" s="114">
        <f>IFERROR((Data_Entry!I318/Data_Entry!$V318/F$2),"")</f>
        <v>1.3035218883114399</v>
      </c>
      <c r="G320" s="114">
        <f>IFERROR((Data_Entry!J318/Data_Entry!$V318/G$2),"")</f>
        <v>1.30427739728439</v>
      </c>
      <c r="H320" s="114">
        <f>IFERROR((Data_Entry!K318/Data_Entry!$V318/H$2),"")</f>
        <v>1.30207489654969</v>
      </c>
      <c r="I320" s="114">
        <f>IFERROR((Data_Entry!L318/Data_Entry!$V318/I$2),"")</f>
        <v>1.3059548833090799</v>
      </c>
    </row>
    <row r="321" spans="1:9" ht="15">
      <c r="A321" s="113">
        <v>46064</v>
      </c>
      <c r="B321" s="19">
        <v>46064</v>
      </c>
      <c r="C321" s="114">
        <f>IFERROR((Data_Entry!F319/Data_Entry!$V319/C$2),"")</f>
        <v>1.2947116414128601</v>
      </c>
      <c r="D321" s="114">
        <f>IFERROR((Data_Entry!G319/Data_Entry!$V319/D$2),"")</f>
        <v>1.30022795327596</v>
      </c>
      <c r="E321" s="114">
        <f>IFERROR((Data_Entry!H319/Data_Entry!$V319/E$2),"")</f>
        <v>1.2522367185801599</v>
      </c>
      <c r="F321" s="114">
        <f>IFERROR((Data_Entry!I319/Data_Entry!$V319/F$2),"")</f>
        <v>1.2909833591878299</v>
      </c>
      <c r="G321" s="114">
        <f>IFERROR((Data_Entry!J319/Data_Entry!$V319/G$2),"")</f>
        <v>1.29348854771884</v>
      </c>
      <c r="H321" s="114">
        <f>IFERROR((Data_Entry!K319/Data_Entry!$V319/H$2),"")</f>
        <v>1.2897177846708701</v>
      </c>
      <c r="I321" s="114">
        <f>IFERROR((Data_Entry!L319/Data_Entry!$V319/I$2),"")</f>
        <v>1.29555240770035</v>
      </c>
    </row>
    <row r="322" spans="1:9" ht="15">
      <c r="A322" s="113">
        <v>46065</v>
      </c>
      <c r="B322" s="19">
        <v>46065</v>
      </c>
      <c r="C322" s="114">
        <f>IFERROR((Data_Entry!F320/Data_Entry!$V320/C$2),"")</f>
        <v>1.2732453609682799</v>
      </c>
      <c r="D322" s="114">
        <f>IFERROR((Data_Entry!G320/Data_Entry!$V320/D$2),"")</f>
        <v>1.2777702660189001</v>
      </c>
      <c r="E322" s="114">
        <f>IFERROR((Data_Entry!H320/Data_Entry!$V320/E$2),"")</f>
        <v>1.2343753555999699</v>
      </c>
      <c r="F322" s="114">
        <f>IFERROR((Data_Entry!I320/Data_Entry!$V320/F$2),"")</f>
        <v>1.2716944721713399</v>
      </c>
      <c r="G322" s="114">
        <f>IFERROR((Data_Entry!J320/Data_Entry!$V320/G$2),"")</f>
        <v>1.2724115654338</v>
      </c>
      <c r="H322" s="114">
        <f>IFERROR((Data_Entry!K320/Data_Entry!$V320/H$2),"")</f>
        <v>1.27019625946227</v>
      </c>
      <c r="I322" s="114">
        <f>IFERROR((Data_Entry!L320/Data_Entry!$V320/I$2),"")</f>
        <v>1.27813550629665</v>
      </c>
    </row>
    <row r="323" spans="1:9" ht="15">
      <c r="A323" s="113">
        <v>46066</v>
      </c>
      <c r="B323" s="19">
        <v>46066</v>
      </c>
      <c r="C323" s="114">
        <f>IFERROR((Data_Entry!F321/Data_Entry!$V321/C$2),"")</f>
        <v>1.2342702047957601</v>
      </c>
      <c r="D323" s="114">
        <f>IFERROR((Data_Entry!G321/Data_Entry!$V321/D$2),"")</f>
        <v>1.23901860235724</v>
      </c>
      <c r="E323" s="114">
        <f>IFERROR((Data_Entry!H321/Data_Entry!$V321/E$2),"")</f>
        <v>1.2059400414304999</v>
      </c>
      <c r="F323" s="114">
        <f>IFERROR((Data_Entry!I321/Data_Entry!$V321/F$2),"")</f>
        <v>1.23218383566182</v>
      </c>
      <c r="G323" s="114">
        <f>IFERROR((Data_Entry!J321/Data_Entry!$V321/G$2),"")</f>
        <v>1.2323997870579899</v>
      </c>
      <c r="H323" s="114">
        <f>IFERROR((Data_Entry!K321/Data_Entry!$V321/H$2),"")</f>
        <v>1.23575051678562</v>
      </c>
      <c r="I323" s="114">
        <f>IFERROR((Data_Entry!L321/Data_Entry!$V321/I$2),"")</f>
        <v>1.2373597029957799</v>
      </c>
    </row>
    <row r="324" spans="1:9" ht="15">
      <c r="A324" s="113">
        <v>46067</v>
      </c>
      <c r="B324" s="19">
        <v>46067</v>
      </c>
      <c r="C324" s="114" t="str">
        <f>IFERROR((Data_Entry!F322/Data_Entry!$V322/C$2),"")</f>
        <v/>
      </c>
      <c r="D324" s="114" t="str">
        <f>IFERROR((Data_Entry!G322/Data_Entry!$V322/D$2),"")</f>
        <v/>
      </c>
      <c r="E324" s="114" t="str">
        <f>IFERROR((Data_Entry!H322/Data_Entry!$V322/E$2),"")</f>
        <v/>
      </c>
      <c r="F324" s="114" t="str">
        <f>IFERROR((Data_Entry!I322/Data_Entry!$V322/F$2),"")</f>
        <v/>
      </c>
      <c r="G324" s="114" t="str">
        <f>IFERROR((Data_Entry!J322/Data_Entry!$V322/G$2),"")</f>
        <v/>
      </c>
      <c r="H324" s="114" t="str">
        <f>IFERROR((Data_Entry!K322/Data_Entry!$V322/H$2),"")</f>
        <v/>
      </c>
      <c r="I324" s="114" t="str">
        <f>IFERROR((Data_Entry!L322/Data_Entry!$V322/I$2),"")</f>
        <v/>
      </c>
    </row>
    <row r="325" spans="1:9" ht="15">
      <c r="A325" s="113">
        <v>46068</v>
      </c>
      <c r="B325" s="19">
        <v>46068</v>
      </c>
      <c r="C325" s="114">
        <f>IFERROR((Data_Entry!F323/Data_Entry!$V323/C$2),"")</f>
        <v>1.2291557664513399</v>
      </c>
      <c r="D325" s="114">
        <f>IFERROR((Data_Entry!G323/Data_Entry!$V323/D$2),"")</f>
        <v>1.2339475442786201</v>
      </c>
      <c r="E325" s="114">
        <f>IFERROR((Data_Entry!H323/Data_Entry!$V323/E$2),"")</f>
        <v>1.19221886169171</v>
      </c>
      <c r="F325" s="114">
        <f>IFERROR((Data_Entry!I323/Data_Entry!$V323/F$2),"")</f>
        <v>1.2269665857469001</v>
      </c>
      <c r="G325" s="114">
        <f>IFERROR((Data_Entry!J323/Data_Entry!$V323/G$2),"")</f>
        <v>1.2292811249782101</v>
      </c>
      <c r="H325" s="114">
        <f>IFERROR((Data_Entry!K323/Data_Entry!$V323/H$2),"")</f>
        <v>1.22518667247888</v>
      </c>
      <c r="I325" s="114">
        <f>IFERROR((Data_Entry!L323/Data_Entry!$V323/I$2),"")</f>
        <v>1.2337080887473899</v>
      </c>
    </row>
    <row r="326" spans="1:9" ht="15">
      <c r="A326" s="113">
        <v>46069</v>
      </c>
      <c r="B326" s="19">
        <v>46069</v>
      </c>
      <c r="C326" s="114" t="str">
        <f>IFERROR((Data_Entry!F324/Data_Entry!$V324/C$2),"")</f>
        <v/>
      </c>
      <c r="D326" s="114" t="str">
        <f>IFERROR((Data_Entry!G324/Data_Entry!$V324/D$2),"")</f>
        <v/>
      </c>
      <c r="E326" s="114" t="str">
        <f>IFERROR((Data_Entry!H324/Data_Entry!$V324/E$2),"")</f>
        <v/>
      </c>
      <c r="F326" s="114" t="str">
        <f>IFERROR((Data_Entry!I324/Data_Entry!$V324/F$2),"")</f>
        <v/>
      </c>
      <c r="G326" s="114" t="str">
        <f>IFERROR((Data_Entry!J324/Data_Entry!$V324/G$2),"")</f>
        <v/>
      </c>
      <c r="H326" s="114" t="str">
        <f>IFERROR((Data_Entry!K324/Data_Entry!$V324/H$2),"")</f>
        <v/>
      </c>
      <c r="I326" s="114" t="str">
        <f>IFERROR((Data_Entry!L324/Data_Entry!$V324/I$2),"")</f>
        <v/>
      </c>
    </row>
    <row r="327" spans="1:9" ht="15">
      <c r="A327" s="113">
        <v>46070</v>
      </c>
      <c r="B327" s="19">
        <v>46070</v>
      </c>
      <c r="C327" s="114">
        <f>IFERROR((Data_Entry!F325/Data_Entry!$V325/C$2),"")</f>
        <v>1.2488085309186201</v>
      </c>
      <c r="D327" s="114">
        <f>IFERROR((Data_Entry!G325/Data_Entry!$V325/D$2),"")</f>
        <v>1.27439861102977</v>
      </c>
      <c r="E327" s="114">
        <f>IFERROR((Data_Entry!H325/Data_Entry!$V325/E$2),"")</f>
        <v>1.2084386807408101</v>
      </c>
      <c r="F327" s="114">
        <f>IFERROR((Data_Entry!I325/Data_Entry!$V325/F$2),"")</f>
        <v>1.2774401168254299</v>
      </c>
      <c r="G327" s="114">
        <f>IFERROR((Data_Entry!J325/Data_Entry!$V325/G$2),"")</f>
        <v>1.2822993922102901</v>
      </c>
      <c r="H327" s="114">
        <f>IFERROR((Data_Entry!K325/Data_Entry!$V325/H$2),"")</f>
        <v>1.2469081728545099</v>
      </c>
      <c r="I327" s="114">
        <f>IFERROR((Data_Entry!L325/Data_Entry!$V325/I$2),"")</f>
        <v>1.2951206355859799</v>
      </c>
    </row>
    <row r="328" spans="1:9" ht="15">
      <c r="A328" s="113">
        <v>46071</v>
      </c>
      <c r="B328" s="19">
        <v>46071</v>
      </c>
      <c r="C328" s="114">
        <f>IFERROR((Data_Entry!F326/Data_Entry!$V326/C$2),"")</f>
        <v>1.28525214013121</v>
      </c>
      <c r="D328" s="114">
        <f>IFERROR((Data_Entry!G326/Data_Entry!$V326/D$2),"")</f>
        <v>1.2878504195673299</v>
      </c>
      <c r="E328" s="114">
        <f>IFERROR((Data_Entry!H326/Data_Entry!$V326/E$2),"")</f>
        <v>1.2335702345234101</v>
      </c>
      <c r="F328" s="114">
        <f>IFERROR((Data_Entry!I326/Data_Entry!$V326/F$2),"")</f>
        <v>1.2852016826602299</v>
      </c>
      <c r="G328" s="114">
        <f>IFERROR((Data_Entry!J326/Data_Entry!$V326/G$2),"")</f>
        <v>1.28633641511868</v>
      </c>
      <c r="H328" s="114">
        <f>IFERROR((Data_Entry!K326/Data_Entry!$V326/H$2),"")</f>
        <v>1.27789992597104</v>
      </c>
      <c r="I328" s="114">
        <f>IFERROR((Data_Entry!L326/Data_Entry!$V326/I$2),"")</f>
        <v>1.2891485781679</v>
      </c>
    </row>
    <row r="329" spans="1:9" ht="15">
      <c r="A329" s="113">
        <v>46072</v>
      </c>
      <c r="B329" s="19">
        <v>46072</v>
      </c>
      <c r="C329" s="114">
        <f>IFERROR((Data_Entry!F327/Data_Entry!$V327/C$2),"")</f>
        <v>1.27813491762616</v>
      </c>
      <c r="D329" s="114">
        <f>IFERROR((Data_Entry!G327/Data_Entry!$V327/D$2),"")</f>
        <v>1.27768134700995</v>
      </c>
      <c r="E329" s="114">
        <f>IFERROR((Data_Entry!H327/Data_Entry!$V327/E$2),"")</f>
        <v>1.21883225198488</v>
      </c>
      <c r="F329" s="114">
        <f>IFERROR((Data_Entry!I327/Data_Entry!$V327/F$2),"")</f>
        <v>1.2745740498034099</v>
      </c>
      <c r="G329" s="114">
        <f>IFERROR((Data_Entry!J327/Data_Entry!$V327/G$2),"")</f>
        <v>1.2789514036023799</v>
      </c>
      <c r="H329" s="114">
        <f>IFERROR((Data_Entry!K327/Data_Entry!$V327/H$2),"")</f>
        <v>1.2706305461590699</v>
      </c>
      <c r="I329" s="114">
        <f>IFERROR((Data_Entry!L327/Data_Entry!$V327/I$2),"")</f>
        <v>1.2808486886069701</v>
      </c>
    </row>
    <row r="330" spans="1:9" ht="15">
      <c r="A330" s="113">
        <v>46073</v>
      </c>
      <c r="B330" s="19">
        <v>46073</v>
      </c>
      <c r="C330" s="114" t="str">
        <f>IFERROR((Data_Entry!F328/Data_Entry!$V328/C$2),"")</f>
        <v/>
      </c>
      <c r="D330" s="114" t="str">
        <f>IFERROR((Data_Entry!G328/Data_Entry!$V328/D$2),"")</f>
        <v/>
      </c>
      <c r="E330" s="114" t="str">
        <f>IFERROR((Data_Entry!H328/Data_Entry!$V328/E$2),"")</f>
        <v/>
      </c>
      <c r="F330" s="114" t="str">
        <f>IFERROR((Data_Entry!I328/Data_Entry!$V328/F$2),"")</f>
        <v/>
      </c>
      <c r="G330" s="114" t="str">
        <f>IFERROR((Data_Entry!J328/Data_Entry!$V328/G$2),"")</f>
        <v/>
      </c>
      <c r="H330" s="114" t="str">
        <f>IFERROR((Data_Entry!K328/Data_Entry!$V328/H$2),"")</f>
        <v/>
      </c>
      <c r="I330" s="114" t="str">
        <f>IFERROR((Data_Entry!L328/Data_Entry!$V328/I$2),"")</f>
        <v/>
      </c>
    </row>
    <row r="331" spans="1:9" ht="15">
      <c r="A331" s="113">
        <v>46074</v>
      </c>
      <c r="B331" s="19">
        <v>46074</v>
      </c>
      <c r="C331" s="114">
        <f>IFERROR((Data_Entry!F329/Data_Entry!$V329/C$2),"")</f>
        <v>1.2273124429087701</v>
      </c>
      <c r="D331" s="114">
        <f>IFERROR((Data_Entry!G329/Data_Entry!$V329/D$2),"")</f>
        <v>1.232409282868</v>
      </c>
      <c r="E331" s="114">
        <f>IFERROR((Data_Entry!H329/Data_Entry!$V329/E$2),"")</f>
        <v>1.1830758436263</v>
      </c>
      <c r="F331" s="114">
        <f>IFERROR((Data_Entry!I329/Data_Entry!$V329/F$2),"")</f>
        <v>1.2255399168043799</v>
      </c>
      <c r="G331" s="114">
        <f>IFERROR((Data_Entry!J329/Data_Entry!$V329/G$2),"")</f>
        <v>1.2290792131238899</v>
      </c>
      <c r="H331" s="114">
        <f>IFERROR((Data_Entry!K329/Data_Entry!$V329/H$2),"")</f>
        <v>1.2205380490183</v>
      </c>
      <c r="I331" s="114">
        <f>IFERROR((Data_Entry!L329/Data_Entry!$V329/I$2),"")</f>
        <v>1.2247421505498901</v>
      </c>
    </row>
    <row r="332" spans="1:9" ht="15">
      <c r="A332" s="113">
        <v>46075</v>
      </c>
      <c r="B332" s="19">
        <v>46075</v>
      </c>
      <c r="C332" s="114">
        <f>IFERROR((Data_Entry!F330/Data_Entry!$V330/C$2),"")</f>
        <v>1.1285867884740399</v>
      </c>
      <c r="D332" s="114">
        <f>IFERROR((Data_Entry!G330/Data_Entry!$V330/D$2),"")</f>
        <v>1.1331229840127801</v>
      </c>
      <c r="E332" s="114">
        <f>IFERROR((Data_Entry!H330/Data_Entry!$V330/E$2),"")</f>
        <v>1.1024605989787799</v>
      </c>
      <c r="F332" s="114">
        <f>IFERROR((Data_Entry!I330/Data_Entry!$V330/F$2),"")</f>
        <v>1.12885984647462</v>
      </c>
      <c r="G332" s="114">
        <f>IFERROR((Data_Entry!J330/Data_Entry!$V330/G$2),"")</f>
        <v>1.13056248013308</v>
      </c>
      <c r="H332" s="114">
        <f>IFERROR((Data_Entry!K330/Data_Entry!$V330/H$2),"")</f>
        <v>1.12694438360886</v>
      </c>
      <c r="I332" s="114">
        <f>IFERROR((Data_Entry!L330/Data_Entry!$V330/I$2),"")</f>
        <v>1.1355468028590501</v>
      </c>
    </row>
    <row r="333" spans="1:9" ht="15">
      <c r="A333" s="113">
        <v>46076</v>
      </c>
      <c r="B333" s="19">
        <v>46076</v>
      </c>
      <c r="C333" s="114">
        <f>IFERROR((Data_Entry!F331/Data_Entry!$V331/C$2),"")</f>
        <v>1.19539551357733</v>
      </c>
      <c r="D333" s="114">
        <f>IFERROR((Data_Entry!G331/Data_Entry!$V331/D$2),"")</f>
        <v>1.2060417743881999</v>
      </c>
      <c r="E333" s="114">
        <f>IFERROR((Data_Entry!H331/Data_Entry!$V331/E$2),"")</f>
        <v>1.1463044220605301</v>
      </c>
      <c r="F333" s="114">
        <f>IFERROR((Data_Entry!I331/Data_Entry!$V331/F$2),"")</f>
        <v>1.20116851217139</v>
      </c>
      <c r="G333" s="114">
        <f>IFERROR((Data_Entry!J331/Data_Entry!$V331/G$2),"")</f>
        <v>1.2034791987765801</v>
      </c>
      <c r="H333" s="114">
        <f>IFERROR((Data_Entry!K331/Data_Entry!$V331/H$2),"")</f>
        <v>1.2022931826429399</v>
      </c>
      <c r="I333" s="114">
        <f>IFERROR((Data_Entry!L331/Data_Entry!$V331/I$2),"")</f>
        <v>1.2090548378415999</v>
      </c>
    </row>
    <row r="334" spans="1:9" ht="15">
      <c r="A334" s="113">
        <v>46077</v>
      </c>
      <c r="B334" s="19">
        <v>46077</v>
      </c>
      <c r="C334" s="114">
        <f>IFERROR((Data_Entry!F332/Data_Entry!$V332/C$2),"")</f>
        <v>1.2252997018171099</v>
      </c>
      <c r="D334" s="114">
        <f>IFERROR((Data_Entry!G332/Data_Entry!$V332/D$2),"")</f>
        <v>1.22752877476737</v>
      </c>
      <c r="E334" s="114">
        <f>IFERROR((Data_Entry!H332/Data_Entry!$V332/E$2),"")</f>
        <v>1.2175669885737299</v>
      </c>
      <c r="F334" s="114">
        <f>IFERROR((Data_Entry!I332/Data_Entry!$V332/F$2),"")</f>
        <v>1.22454352662749</v>
      </c>
      <c r="G334" s="114">
        <f>IFERROR((Data_Entry!J332/Data_Entry!$V332/G$2),"")</f>
        <v>1.2259838330945201</v>
      </c>
      <c r="H334" s="114">
        <f>IFERROR((Data_Entry!K332/Data_Entry!$V332/H$2),"")</f>
        <v>1.2183357428591299</v>
      </c>
      <c r="I334" s="114">
        <f>IFERROR((Data_Entry!L332/Data_Entry!$V332/I$2),"")</f>
        <v>1.23163184710059</v>
      </c>
    </row>
    <row r="335" spans="1:9" ht="15">
      <c r="A335" s="113">
        <v>46078</v>
      </c>
      <c r="B335" s="19">
        <v>46078</v>
      </c>
      <c r="C335" s="114">
        <f>IFERROR((Data_Entry!F333/Data_Entry!$V333/C$2),"")</f>
        <v>1.2376197351334199</v>
      </c>
      <c r="D335" s="114">
        <f>IFERROR((Data_Entry!G333/Data_Entry!$V333/D$2),"")</f>
        <v>1.2338025285176599</v>
      </c>
      <c r="E335" s="114">
        <f>IFERROR((Data_Entry!H333/Data_Entry!$V333/E$2),"")</f>
        <v>1.22930323088368</v>
      </c>
      <c r="F335" s="114">
        <f>IFERROR((Data_Entry!I333/Data_Entry!$V333/F$2),"")</f>
        <v>1.2338980267017099</v>
      </c>
      <c r="G335" s="114">
        <f>IFERROR((Data_Entry!J333/Data_Entry!$V333/G$2),"")</f>
        <v>1.2368669047196099</v>
      </c>
      <c r="H335" s="114">
        <f>IFERROR((Data_Entry!K333/Data_Entry!$V333/H$2),"")</f>
        <v>1.2264638603746201</v>
      </c>
      <c r="I335" s="114">
        <f>IFERROR((Data_Entry!L333/Data_Entry!$V333/I$2),"")</f>
        <v>1.23903969246255</v>
      </c>
    </row>
    <row r="336" spans="1:9" ht="15">
      <c r="A336" s="113">
        <v>46079</v>
      </c>
      <c r="B336" s="19">
        <v>46079</v>
      </c>
      <c r="C336" s="114">
        <f>IFERROR((Data_Entry!F334/Data_Entry!$V334/C$2),"")</f>
        <v>1.2094272478930399</v>
      </c>
      <c r="D336" s="114">
        <f>IFERROR((Data_Entry!G334/Data_Entry!$V334/D$2),"")</f>
        <v>1.1942252508186</v>
      </c>
      <c r="E336" s="114">
        <f>IFERROR((Data_Entry!H334/Data_Entry!$V334/E$2),"")</f>
        <v>1.1984312802263499</v>
      </c>
      <c r="F336" s="114">
        <f>IFERROR((Data_Entry!I334/Data_Entry!$V334/F$2),"")</f>
        <v>1.2039061711545</v>
      </c>
      <c r="G336" s="114">
        <f>IFERROR((Data_Entry!J334/Data_Entry!$V334/G$2),"")</f>
        <v>1.21321573260962</v>
      </c>
      <c r="H336" s="114">
        <f>IFERROR((Data_Entry!K334/Data_Entry!$V334/H$2),"")</f>
        <v>1.20251934857785</v>
      </c>
      <c r="I336" s="114">
        <f>IFERROR((Data_Entry!L334/Data_Entry!$V334/I$2),"")</f>
        <v>1.2132912526509201</v>
      </c>
    </row>
    <row r="337" spans="1:9" ht="15">
      <c r="A337" s="113">
        <v>46080</v>
      </c>
      <c r="B337" s="19">
        <v>46080</v>
      </c>
      <c r="C337" s="114">
        <f>IFERROR((Data_Entry!F335/Data_Entry!$V335/C$2),"")</f>
        <v>1.1319150534347999</v>
      </c>
      <c r="D337" s="114">
        <f>IFERROR((Data_Entry!G335/Data_Entry!$V335/D$2),"")</f>
        <v>1.12093929206015</v>
      </c>
      <c r="E337" s="114">
        <f>IFERROR((Data_Entry!H335/Data_Entry!$V335/E$2),"")</f>
        <v>1.1240280461461201</v>
      </c>
      <c r="F337" s="114">
        <f>IFERROR((Data_Entry!I335/Data_Entry!$V335/F$2),"")</f>
        <v>1.1309451548087699</v>
      </c>
      <c r="G337" s="114">
        <f>IFERROR((Data_Entry!J335/Data_Entry!$V335/G$2),"")</f>
        <v>1.1329395704449901</v>
      </c>
      <c r="H337" s="114">
        <f>IFERROR((Data_Entry!K335/Data_Entry!$V335/H$2),"")</f>
        <v>1.11558443810746</v>
      </c>
      <c r="I337" s="114">
        <f>IFERROR((Data_Entry!L335/Data_Entry!$V335/I$2),"")</f>
        <v>1.1265970809683199</v>
      </c>
    </row>
    <row r="338" spans="1:9" ht="15">
      <c r="A338" s="113">
        <v>46081</v>
      </c>
      <c r="B338" s="19">
        <v>46081</v>
      </c>
      <c r="C338" s="114">
        <f>IFERROR((Data_Entry!F336/Data_Entry!$V336/C$2),"")</f>
        <v>1.1854220555019599</v>
      </c>
      <c r="D338" s="114">
        <f>IFERROR((Data_Entry!G336/Data_Entry!$V336/D$2),"")</f>
        <v>1.1847110175017801</v>
      </c>
      <c r="E338" s="114">
        <f>IFERROR((Data_Entry!H336/Data_Entry!$V336/E$2),"")</f>
        <v>1.17605685229242</v>
      </c>
      <c r="F338" s="114">
        <f>IFERROR((Data_Entry!I336/Data_Entry!$V336/F$2),"")</f>
        <v>1.1825567366826</v>
      </c>
      <c r="G338" s="114">
        <f>IFERROR((Data_Entry!J336/Data_Entry!$V336/G$2),"")</f>
        <v>1.18441328948683</v>
      </c>
      <c r="H338" s="114">
        <f>IFERROR((Data_Entry!K336/Data_Entry!$V336/H$2),"")</f>
        <v>1.1729369746277201</v>
      </c>
      <c r="I338" s="114">
        <f>IFERROR((Data_Entry!L336/Data_Entry!$V336/I$2),"")</f>
        <v>1.1868458025669399</v>
      </c>
    </row>
    <row r="339" spans="1:9" ht="15">
      <c r="A339" s="113">
        <v>46082</v>
      </c>
      <c r="B339" s="19">
        <v>46082</v>
      </c>
      <c r="C339" s="114">
        <f>IFERROR((Data_Entry!F337/Data_Entry!$V337/C$2),"")</f>
        <v>1.19694323347094</v>
      </c>
      <c r="D339" s="114">
        <f>IFERROR((Data_Entry!G337/Data_Entry!$V337/D$2),"")</f>
        <v>1.2015060462774401</v>
      </c>
      <c r="E339" s="114">
        <f>IFERROR((Data_Entry!H337/Data_Entry!$V337/E$2),"")</f>
        <v>1.1903008545059699</v>
      </c>
      <c r="F339" s="114">
        <f>IFERROR((Data_Entry!I337/Data_Entry!$V337/F$2),"")</f>
        <v>1.1978311709905101</v>
      </c>
      <c r="G339" s="114">
        <f>IFERROR((Data_Entry!J337/Data_Entry!$V337/G$2),"")</f>
        <v>1.19954535046077</v>
      </c>
      <c r="H339" s="114">
        <f>IFERROR((Data_Entry!K337/Data_Entry!$V337/H$2),"")</f>
        <v>1.1850011519520101</v>
      </c>
      <c r="I339" s="114">
        <f>IFERROR((Data_Entry!L337/Data_Entry!$V337/I$2),"")</f>
        <v>1.2013765387686</v>
      </c>
    </row>
    <row r="340" spans="1:9" ht="15">
      <c r="A340" s="113">
        <v>46083</v>
      </c>
      <c r="B340" s="19">
        <v>46083</v>
      </c>
      <c r="C340" s="114">
        <f>IFERROR((Data_Entry!F338/Data_Entry!$V338/C$2),"")</f>
        <v>1.1887053644359999</v>
      </c>
      <c r="D340" s="114">
        <f>IFERROR((Data_Entry!G338/Data_Entry!$V338/D$2),"")</f>
        <v>1.1944256443452499</v>
      </c>
      <c r="E340" s="114">
        <f>IFERROR((Data_Entry!H338/Data_Entry!$V338/E$2),"")</f>
        <v>1.1816241074729701</v>
      </c>
      <c r="F340" s="114">
        <f>IFERROR((Data_Entry!I338/Data_Entry!$V338/F$2),"")</f>
        <v>1.18875983769745</v>
      </c>
      <c r="G340" s="114">
        <f>IFERROR((Data_Entry!J338/Data_Entry!$V338/G$2),"")</f>
        <v>1.1900287442583399</v>
      </c>
      <c r="H340" s="114">
        <f>IFERROR((Data_Entry!K338/Data_Entry!$V338/H$2),"")</f>
        <v>1.1764643681050899</v>
      </c>
      <c r="I340" s="114">
        <f>IFERROR((Data_Entry!L338/Data_Entry!$V338/I$2),"")</f>
        <v>1.19211421568944</v>
      </c>
    </row>
    <row r="341" spans="1:9" ht="15">
      <c r="A341" s="113">
        <v>46084</v>
      </c>
      <c r="B341" s="19">
        <v>46084</v>
      </c>
      <c r="C341" s="114">
        <f>IFERROR((Data_Entry!F339/Data_Entry!$V339/C$2),"")</f>
        <v>1.11225100671828</v>
      </c>
      <c r="D341" s="114">
        <f>IFERROR((Data_Entry!G339/Data_Entry!$V339/D$2),"")</f>
        <v>1.1340154189256499</v>
      </c>
      <c r="E341" s="114">
        <f>IFERROR((Data_Entry!H339/Data_Entry!$V339/E$2),"")</f>
        <v>1.10684797463657</v>
      </c>
      <c r="F341" s="114">
        <f>IFERROR((Data_Entry!I339/Data_Entry!$V339/F$2),"")</f>
        <v>1.1181895483764399</v>
      </c>
      <c r="G341" s="114">
        <f>IFERROR((Data_Entry!J339/Data_Entry!$V339/G$2),"")</f>
        <v>1.1250648345310901</v>
      </c>
      <c r="H341" s="114">
        <f>IFERROR((Data_Entry!K339/Data_Entry!$V339/H$2),"")</f>
        <v>1.1195412995526099</v>
      </c>
      <c r="I341" s="114">
        <f>IFERROR((Data_Entry!L339/Data_Entry!$V339/I$2),"")</f>
        <v>1.1065773065915001</v>
      </c>
    </row>
    <row r="342" spans="1:9" ht="15">
      <c r="A342" s="113">
        <v>46085</v>
      </c>
      <c r="B342" s="19">
        <v>46085</v>
      </c>
      <c r="C342" s="114">
        <f>IFERROR((Data_Entry!F340/Data_Entry!$V340/C$2),"")</f>
        <v>1.1998959246665699</v>
      </c>
      <c r="D342" s="114">
        <f>IFERROR((Data_Entry!G340/Data_Entry!$V340/D$2),"")</f>
        <v>1.1916218338236699</v>
      </c>
      <c r="E342" s="114">
        <f>IFERROR((Data_Entry!H340/Data_Entry!$V340/E$2),"")</f>
        <v>1.1970318162978699</v>
      </c>
      <c r="F342" s="114">
        <f>IFERROR((Data_Entry!I340/Data_Entry!$V340/F$2),"")</f>
        <v>1.1775453638237801</v>
      </c>
      <c r="G342" s="114">
        <f>IFERROR((Data_Entry!J340/Data_Entry!$V340/G$2),"")</f>
        <v>1.1853623042294801</v>
      </c>
      <c r="H342" s="114">
        <f>IFERROR((Data_Entry!K340/Data_Entry!$V340/H$2),"")</f>
        <v>0.452438909758415</v>
      </c>
      <c r="I342" s="114">
        <f>IFERROR((Data_Entry!L340/Data_Entry!$V340/I$2),"")</f>
        <v>1.16489458332298</v>
      </c>
    </row>
    <row r="343" spans="1:9" ht="15">
      <c r="A343" s="113">
        <v>46086</v>
      </c>
      <c r="B343" s="19">
        <v>46086</v>
      </c>
      <c r="C343" s="114">
        <f>IFERROR((Data_Entry!F341/Data_Entry!$V341/C$2),"")</f>
        <v>1.1955678334858</v>
      </c>
      <c r="D343" s="114">
        <f>IFERROR((Data_Entry!G341/Data_Entry!$V341/D$2),"")</f>
        <v>1.1852040218481901</v>
      </c>
      <c r="E343" s="114">
        <f>IFERROR((Data_Entry!H341/Data_Entry!$V341/E$2),"")</f>
        <v>1.19045977905634</v>
      </c>
      <c r="F343" s="114">
        <f>IFERROR((Data_Entry!I341/Data_Entry!$V341/F$2),"")</f>
        <v>1.1726610590700199</v>
      </c>
      <c r="G343" s="114">
        <f>IFERROR((Data_Entry!J341/Data_Entry!$V341/G$2),"")</f>
        <v>1.1830510933023901</v>
      </c>
      <c r="H343" s="114">
        <f>IFERROR((Data_Entry!K341/Data_Entry!$V341/H$2),"")</f>
        <v>0.86496887816828305</v>
      </c>
      <c r="I343" s="114">
        <f>IFERROR((Data_Entry!L341/Data_Entry!$V341/I$2),"")</f>
        <v>1.1613409254559499</v>
      </c>
    </row>
    <row r="344" spans="1:9" ht="15">
      <c r="A344" s="113">
        <v>46087</v>
      </c>
      <c r="B344" s="19">
        <v>46087</v>
      </c>
      <c r="C344" s="114">
        <f>IFERROR((Data_Entry!F342/Data_Entry!$V342/C$2),"")</f>
        <v>1.08884319160341</v>
      </c>
      <c r="D344" s="114">
        <f>IFERROR((Data_Entry!G342/Data_Entry!$V342/D$2),"")</f>
        <v>1.0672848066590499</v>
      </c>
      <c r="E344" s="114">
        <f>IFERROR((Data_Entry!H342/Data_Entry!$V342/E$2),"")</f>
        <v>1.07886495971779</v>
      </c>
      <c r="F344" s="114">
        <f>IFERROR((Data_Entry!I342/Data_Entry!$V342/F$2),"")</f>
        <v>1.0697046111061801</v>
      </c>
      <c r="G344" s="114">
        <f>IFERROR((Data_Entry!J342/Data_Entry!$V342/G$2),"")</f>
        <v>1.0802828291828901</v>
      </c>
      <c r="H344" s="114">
        <f>IFERROR((Data_Entry!K342/Data_Entry!$V342/H$2),"")</f>
        <v>1.0647878011915299</v>
      </c>
      <c r="I344" s="114">
        <f>IFERROR((Data_Entry!L342/Data_Entry!$V342/I$2),"")</f>
        <v>1.0528249995969301</v>
      </c>
    </row>
    <row r="345" spans="1:9" ht="15">
      <c r="A345" s="113">
        <v>46088</v>
      </c>
      <c r="B345" s="19">
        <v>46088</v>
      </c>
      <c r="C345" s="114">
        <f>IFERROR((Data_Entry!F343/Data_Entry!$V343/C$2),"")</f>
        <v>1.1779188067544599</v>
      </c>
      <c r="D345" s="114">
        <f>IFERROR((Data_Entry!G343/Data_Entry!$V343/D$2),"")</f>
        <v>1.1644759792431301</v>
      </c>
      <c r="E345" s="114">
        <f>IFERROR((Data_Entry!H343/Data_Entry!$V343/E$2),"")</f>
        <v>1.1678665325408399</v>
      </c>
      <c r="F345" s="114">
        <f>IFERROR((Data_Entry!I343/Data_Entry!$V343/F$2),"")</f>
        <v>1.15489398079309</v>
      </c>
      <c r="G345" s="114">
        <f>IFERROR((Data_Entry!J343/Data_Entry!$V343/G$2),"")</f>
        <v>1.1623394946483101</v>
      </c>
      <c r="H345" s="114">
        <f>IFERROR((Data_Entry!K343/Data_Entry!$V343/H$2),"")</f>
        <v>1.1647318798517901</v>
      </c>
      <c r="I345" s="114">
        <f>IFERROR((Data_Entry!L343/Data_Entry!$V343/I$2),"")</f>
        <v>1.14153887580278</v>
      </c>
    </row>
    <row r="346" spans="1:9" ht="15">
      <c r="A346" s="113">
        <v>46089</v>
      </c>
      <c r="B346" s="19">
        <v>46089</v>
      </c>
      <c r="C346" s="114">
        <f>IFERROR((Data_Entry!F344/Data_Entry!$V344/C$2),"")</f>
        <v>1.18224440838647</v>
      </c>
      <c r="D346" s="114">
        <f>IFERROR((Data_Entry!G344/Data_Entry!$V344/D$2),"")</f>
        <v>1.173032018582</v>
      </c>
      <c r="E346" s="114">
        <f>IFERROR((Data_Entry!H344/Data_Entry!$V344/E$2),"")</f>
        <v>1.1734250805469899</v>
      </c>
      <c r="F346" s="114">
        <f>IFERROR((Data_Entry!I344/Data_Entry!$V344/F$2),"")</f>
        <v>1.1600743250268899</v>
      </c>
      <c r="G346" s="114">
        <f>IFERROR((Data_Entry!J344/Data_Entry!$V344/G$2),"")</f>
        <v>1.1677406354989499</v>
      </c>
      <c r="H346" s="114">
        <f>IFERROR((Data_Entry!K344/Data_Entry!$V344/H$2),"")</f>
        <v>1.16905653859914</v>
      </c>
      <c r="I346" s="114">
        <f>IFERROR((Data_Entry!L344/Data_Entry!$V344/I$2),"")</f>
        <v>1.1448415717287601</v>
      </c>
    </row>
    <row r="347" spans="1:9" ht="15">
      <c r="A347" s="113">
        <v>46090</v>
      </c>
      <c r="B347" s="19">
        <v>46090</v>
      </c>
      <c r="C347" s="114">
        <f>IFERROR((Data_Entry!F345/Data_Entry!$V345/C$2),"")</f>
        <v>1.1593770679329101</v>
      </c>
      <c r="D347" s="114">
        <f>IFERROR((Data_Entry!G345/Data_Entry!$V345/D$2),"")</f>
        <v>1.14604887255722</v>
      </c>
      <c r="E347" s="114">
        <f>IFERROR((Data_Entry!H345/Data_Entry!$V345/E$2),"")</f>
        <v>1.15101130488189</v>
      </c>
      <c r="F347" s="114">
        <f>IFERROR((Data_Entry!I345/Data_Entry!$V345/F$2),"")</f>
        <v>1.13658480142711</v>
      </c>
      <c r="G347" s="114">
        <f>IFERROR((Data_Entry!J345/Data_Entry!$V345/G$2),"")</f>
        <v>1.14508007198697</v>
      </c>
      <c r="H347" s="114">
        <f>IFERROR((Data_Entry!K345/Data_Entry!$V345/H$2),"")</f>
        <v>1.14324059058842</v>
      </c>
      <c r="I347" s="114">
        <f>IFERROR((Data_Entry!L345/Data_Entry!$V345/I$2),"")</f>
        <v>1.1201223133271601</v>
      </c>
    </row>
    <row r="348" spans="1:9" ht="15">
      <c r="A348" s="113">
        <v>46091</v>
      </c>
      <c r="B348" s="19">
        <v>46091</v>
      </c>
      <c r="C348" s="114">
        <f>IFERROR((Data_Entry!F346/Data_Entry!$V346/C$2),"")</f>
        <v>1.1520985354616999</v>
      </c>
      <c r="D348" s="114">
        <f>IFERROR((Data_Entry!G346/Data_Entry!$V346/D$2),"")</f>
        <v>1.1385249903374799</v>
      </c>
      <c r="E348" s="114">
        <f>IFERROR((Data_Entry!H346/Data_Entry!$V346/E$2),"")</f>
        <v>1.1422241143655301</v>
      </c>
      <c r="F348" s="114">
        <f>IFERROR((Data_Entry!I346/Data_Entry!$V346/F$2),"")</f>
        <v>1.1293465404880301</v>
      </c>
      <c r="G348" s="114">
        <f>IFERROR((Data_Entry!J346/Data_Entry!$V346/G$2),"")</f>
        <v>1.13612778529062</v>
      </c>
      <c r="H348" s="114">
        <f>IFERROR((Data_Entry!K346/Data_Entry!$V346/H$2),"")</f>
        <v>1.13545603089514</v>
      </c>
      <c r="I348" s="114">
        <f>IFERROR((Data_Entry!L346/Data_Entry!$V346/I$2),"")</f>
        <v>1.1138498615027701</v>
      </c>
    </row>
    <row r="349" spans="1:9" ht="15">
      <c r="A349" s="113">
        <v>46092</v>
      </c>
      <c r="B349" s="19">
        <v>46092</v>
      </c>
      <c r="C349" s="114">
        <f>IFERROR((Data_Entry!F347/Data_Entry!$V347/C$2),"")</f>
        <v>1.14422453027732</v>
      </c>
      <c r="D349" s="114">
        <f>IFERROR((Data_Entry!G347/Data_Entry!$V347/D$2),"")</f>
        <v>1.1353676997848801</v>
      </c>
      <c r="E349" s="114">
        <f>IFERROR((Data_Entry!H347/Data_Entry!$V347/E$2),"")</f>
        <v>1.13612302783238</v>
      </c>
      <c r="F349" s="114">
        <f>IFERROR((Data_Entry!I347/Data_Entry!$V347/F$2),"")</f>
        <v>1.1232760948281399</v>
      </c>
      <c r="G349" s="114">
        <f>IFERROR((Data_Entry!J347/Data_Entry!$V347/G$2),"")</f>
        <v>1.1314273874809899</v>
      </c>
      <c r="H349" s="114">
        <f>IFERROR((Data_Entry!K347/Data_Entry!$V347/H$2),"")</f>
        <v>1.13273835306133</v>
      </c>
      <c r="I349" s="114">
        <f>IFERROR((Data_Entry!L347/Data_Entry!$V347/I$2),"")</f>
        <v>1.1099275519634699</v>
      </c>
    </row>
    <row r="350" spans="1:9" ht="15">
      <c r="A350" s="113">
        <v>46093</v>
      </c>
      <c r="B350" s="19">
        <v>46093</v>
      </c>
      <c r="C350" s="114">
        <f>IFERROR((Data_Entry!F348/Data_Entry!$V348/C$2),"")</f>
        <v>1.13134963842189</v>
      </c>
      <c r="D350" s="114">
        <f>IFERROR((Data_Entry!G348/Data_Entry!$V348/D$2),"")</f>
        <v>1.1251981636331101</v>
      </c>
      <c r="E350" s="114">
        <f>IFERROR((Data_Entry!H348/Data_Entry!$V348/E$2),"")</f>
        <v>1.12132164253841</v>
      </c>
      <c r="F350" s="114">
        <f>IFERROR((Data_Entry!I348/Data_Entry!$V348/F$2),"")</f>
        <v>1.1097759558078799</v>
      </c>
      <c r="G350" s="114">
        <f>IFERROR((Data_Entry!J348/Data_Entry!$V348/G$2),"")</f>
        <v>1.11660002560187</v>
      </c>
      <c r="H350" s="114">
        <f>IFERROR((Data_Entry!K348/Data_Entry!$V348/H$2),"")</f>
        <v>1.1188573071918799</v>
      </c>
      <c r="I350" s="114">
        <f>IFERROR((Data_Entry!L348/Data_Entry!$V348/I$2),"")</f>
        <v>1.09525159637391</v>
      </c>
    </row>
    <row r="351" spans="1:9" ht="15">
      <c r="A351" s="113">
        <v>46094</v>
      </c>
      <c r="B351" s="19">
        <v>46094</v>
      </c>
      <c r="C351" s="114">
        <f>IFERROR((Data_Entry!F349/Data_Entry!$V349/C$2),"")</f>
        <v>1.14480119504591</v>
      </c>
      <c r="D351" s="114">
        <f>IFERROR((Data_Entry!G349/Data_Entry!$V349/D$2),"")</f>
        <v>1.14173189335554</v>
      </c>
      <c r="E351" s="114">
        <f>IFERROR((Data_Entry!H349/Data_Entry!$V349/E$2),"")</f>
        <v>1.1351582708376</v>
      </c>
      <c r="F351" s="114">
        <f>IFERROR((Data_Entry!I349/Data_Entry!$V349/F$2),"")</f>
        <v>1.1240968059644501</v>
      </c>
      <c r="G351" s="114">
        <f>IFERROR((Data_Entry!J349/Data_Entry!$V349/G$2),"")</f>
        <v>1.1323206641224901</v>
      </c>
      <c r="H351" s="114">
        <f>IFERROR((Data_Entry!K349/Data_Entry!$V349/H$2),"")</f>
        <v>1.1338117079768699</v>
      </c>
      <c r="I351" s="114">
        <f>IFERROR((Data_Entry!L349/Data_Entry!$V349/I$2),"")</f>
        <v>1.1125441057129299</v>
      </c>
    </row>
    <row r="352" spans="1:9" ht="15">
      <c r="A352" s="113">
        <v>46095</v>
      </c>
      <c r="B352" s="19">
        <v>46095</v>
      </c>
      <c r="C352" s="114">
        <f>IFERROR((Data_Entry!F350/Data_Entry!$V350/C$2),"")</f>
        <v>1.0905426579652</v>
      </c>
      <c r="D352" s="114">
        <f>IFERROR((Data_Entry!G350/Data_Entry!$V350/D$2),"")</f>
        <v>1.0815279579343999</v>
      </c>
      <c r="E352" s="114">
        <f>IFERROR((Data_Entry!H350/Data_Entry!$V350/E$2),"")</f>
        <v>1.0821911341212</v>
      </c>
      <c r="F352" s="114">
        <f>IFERROR((Data_Entry!I350/Data_Entry!$V350/F$2),"")</f>
        <v>1.0714903929375099</v>
      </c>
      <c r="G352" s="114">
        <f>IFERROR((Data_Entry!J350/Data_Entry!$V350/G$2),"")</f>
        <v>1.0791777631795401</v>
      </c>
      <c r="H352" s="114">
        <f>IFERROR((Data_Entry!K350/Data_Entry!$V350/H$2),"")</f>
        <v>1.04185369913031</v>
      </c>
      <c r="I352" s="114">
        <f>IFERROR((Data_Entry!L350/Data_Entry!$V350/I$2),"")</f>
        <v>1.06009373215912</v>
      </c>
    </row>
    <row r="353" spans="1:9" ht="15">
      <c r="A353" s="113">
        <v>46096</v>
      </c>
      <c r="B353" s="19">
        <v>46096</v>
      </c>
      <c r="C353" s="114">
        <f>IFERROR((Data_Entry!F351/Data_Entry!$V351/C$2),"")</f>
        <v>1.1347976213086599</v>
      </c>
      <c r="D353" s="114">
        <f>IFERROR((Data_Entry!G351/Data_Entry!$V351/D$2),"")</f>
        <v>1.12981350559696</v>
      </c>
      <c r="E353" s="114">
        <f>IFERROR((Data_Entry!H351/Data_Entry!$V351/E$2),"")</f>
        <v>1.1301968991132401</v>
      </c>
      <c r="F353" s="114">
        <f>IFERROR((Data_Entry!I351/Data_Entry!$V351/F$2),"")</f>
        <v>1.1153325145039401</v>
      </c>
      <c r="G353" s="114">
        <f>IFERROR((Data_Entry!J351/Data_Entry!$V351/G$2),"")</f>
        <v>1.12336095425031</v>
      </c>
      <c r="H353" s="114">
        <f>IFERROR((Data_Entry!K351/Data_Entry!$V351/H$2),"")</f>
        <v>1.12595623343746</v>
      </c>
      <c r="I353" s="114">
        <f>IFERROR((Data_Entry!L351/Data_Entry!$V351/I$2),"")</f>
        <v>1.1051488646499801</v>
      </c>
    </row>
    <row r="354" spans="1:9" ht="15">
      <c r="A354" s="113">
        <v>46097</v>
      </c>
      <c r="B354" s="19">
        <v>46097</v>
      </c>
      <c r="C354" s="114">
        <f>IFERROR((Data_Entry!F352/Data_Entry!$V352/C$2),"")</f>
        <v>1.08493244863949</v>
      </c>
      <c r="D354" s="114">
        <f>IFERROR((Data_Entry!G352/Data_Entry!$V352/D$2),"")</f>
        <v>1.0770005405365399</v>
      </c>
      <c r="E354" s="114">
        <f>IFERROR((Data_Entry!H352/Data_Entry!$V352/E$2),"")</f>
        <v>1.07755027674169</v>
      </c>
      <c r="F354" s="114">
        <f>IFERROR((Data_Entry!I352/Data_Entry!$V352/F$2),"")</f>
        <v>1.06547510393014</v>
      </c>
      <c r="G354" s="114">
        <f>IFERROR((Data_Entry!J352/Data_Entry!$V352/G$2),"")</f>
        <v>1.0728636170618999</v>
      </c>
      <c r="H354" s="114">
        <f>IFERROR((Data_Entry!K352/Data_Entry!$V352/H$2),"")</f>
        <v>1.00732745192664</v>
      </c>
      <c r="I354" s="114">
        <f>IFERROR((Data_Entry!L352/Data_Entry!$V352/I$2),"")</f>
        <v>1.0570295558768501</v>
      </c>
    </row>
    <row r="355" spans="1:9" ht="15">
      <c r="A355" s="113">
        <v>46098</v>
      </c>
      <c r="B355" s="19">
        <v>46098</v>
      </c>
      <c r="C355" s="114">
        <f>IFERROR((Data_Entry!F353/Data_Entry!$V353/C$2),"")</f>
        <v>1.09987065664868</v>
      </c>
      <c r="D355" s="114">
        <f>IFERROR((Data_Entry!G353/Data_Entry!$V353/D$2),"")</f>
        <v>1.08915421747272</v>
      </c>
      <c r="E355" s="114">
        <f>IFERROR((Data_Entry!H353/Data_Entry!$V353/E$2),"")</f>
        <v>1.0957841663932899</v>
      </c>
      <c r="F355" s="114">
        <f>IFERROR((Data_Entry!I353/Data_Entry!$V353/F$2),"")</f>
        <v>1.08094732417975</v>
      </c>
      <c r="G355" s="114">
        <f>IFERROR((Data_Entry!J353/Data_Entry!$V353/G$2),"")</f>
        <v>1.0874836443320599</v>
      </c>
      <c r="H355" s="114">
        <f>IFERROR((Data_Entry!K353/Data_Entry!$V353/H$2),"")</f>
        <v>1.0674313602584999</v>
      </c>
      <c r="I355" s="114">
        <f>IFERROR((Data_Entry!L353/Data_Entry!$V353/I$2),"")</f>
        <v>1.0679990307431999</v>
      </c>
    </row>
    <row r="356" spans="1:9" ht="15">
      <c r="A356" s="113">
        <v>46099</v>
      </c>
      <c r="B356" s="19">
        <v>46099</v>
      </c>
      <c r="C356" s="114">
        <f>IFERROR((Data_Entry!F354/Data_Entry!$V354/C$2),"")</f>
        <v>1.83172485007347</v>
      </c>
      <c r="D356" s="114">
        <f>IFERROR((Data_Entry!G354/Data_Entry!$V354/D$2),"")</f>
        <v>1.82161722069979</v>
      </c>
      <c r="E356" s="114">
        <f>IFERROR((Data_Entry!H354/Data_Entry!$V354/E$2),"")</f>
        <v>1.8225803248739001</v>
      </c>
      <c r="F356" s="114">
        <f>IFERROR((Data_Entry!I354/Data_Entry!$V354/F$2),"")</f>
        <v>1.79403384808251</v>
      </c>
      <c r="G356" s="114">
        <f>IFERROR((Data_Entry!J354/Data_Entry!$V354/G$2),"")</f>
        <v>1.80455676486789</v>
      </c>
      <c r="H356" s="114">
        <f>IFERROR((Data_Entry!K354/Data_Entry!$V354/H$2),"")</f>
        <v>1.82295287480768</v>
      </c>
      <c r="I356" s="114">
        <f>IFERROR((Data_Entry!L354/Data_Entry!$V354/I$2),"")</f>
        <v>1.7721997454745799</v>
      </c>
    </row>
    <row r="357" spans="1:9" ht="15">
      <c r="A357" s="113">
        <v>46100</v>
      </c>
      <c r="B357" s="19">
        <v>46100</v>
      </c>
      <c r="C357" s="114">
        <f>IFERROR((Data_Entry!F355/Data_Entry!$V355/C$2),"")</f>
        <v>1.2142427309074599</v>
      </c>
      <c r="D357" s="114">
        <f>IFERROR((Data_Entry!G355/Data_Entry!$V355/D$2),"")</f>
        <v>1.2090017751381099</v>
      </c>
      <c r="E357" s="114">
        <f>IFERROR((Data_Entry!H355/Data_Entry!$V355/E$2),"")</f>
        <v>1.2038173764454101</v>
      </c>
      <c r="F357" s="114">
        <f>IFERROR((Data_Entry!I355/Data_Entry!$V355/F$2),"")</f>
        <v>1.19329530118561</v>
      </c>
      <c r="G357" s="114">
        <f>IFERROR((Data_Entry!J355/Data_Entry!$V355/G$2),"")</f>
        <v>1.19437726265192</v>
      </c>
      <c r="H357" s="114">
        <f>IFERROR((Data_Entry!K355/Data_Entry!$V355/H$2),"")</f>
        <v>1.2056296619014699</v>
      </c>
      <c r="I357" s="114">
        <f>IFERROR((Data_Entry!L355/Data_Entry!$V355/I$2),"")</f>
        <v>1.16756265097871</v>
      </c>
    </row>
    <row r="358" spans="1:9" ht="15">
      <c r="A358" s="113">
        <v>46101</v>
      </c>
      <c r="B358" s="19">
        <v>46101</v>
      </c>
      <c r="C358" s="114">
        <f>IFERROR((Data_Entry!F356/Data_Entry!$V356/C$2),"")</f>
        <v>1.0827639844569199</v>
      </c>
      <c r="D358" s="114">
        <f>IFERROR((Data_Entry!G356/Data_Entry!$V356/D$2),"")</f>
        <v>1.0874294745752999</v>
      </c>
      <c r="E358" s="114">
        <f>IFERROR((Data_Entry!H356/Data_Entry!$V356/E$2),"")</f>
        <v>1.08148858592368</v>
      </c>
      <c r="F358" s="114">
        <f>IFERROR((Data_Entry!I356/Data_Entry!$V356/F$2),"")</f>
        <v>1.0712703719246699</v>
      </c>
      <c r="G358" s="114">
        <f>IFERROR((Data_Entry!J356/Data_Entry!$V356/G$2),"")</f>
        <v>1.08238369030802</v>
      </c>
      <c r="H358" s="114">
        <f>IFERROR((Data_Entry!K356/Data_Entry!$V356/H$2),"")</f>
        <v>0.69284299147863504</v>
      </c>
      <c r="I358" s="114">
        <f>IFERROR((Data_Entry!L356/Data_Entry!$V356/I$2),"")</f>
        <v>1.0640844939615</v>
      </c>
    </row>
    <row r="359" spans="1:9" ht="15">
      <c r="A359" s="113">
        <v>46102</v>
      </c>
      <c r="B359" s="19">
        <v>46102</v>
      </c>
      <c r="C359" s="114">
        <f>IFERROR((Data_Entry!F357/Data_Entry!$V357/C$2),"")</f>
        <v>1.1328505733344201</v>
      </c>
      <c r="D359" s="114">
        <f>IFERROR((Data_Entry!G357/Data_Entry!$V357/D$2),"")</f>
        <v>1.1268363106147199</v>
      </c>
      <c r="E359" s="114">
        <f>IFERROR((Data_Entry!H357/Data_Entry!$V357/E$2),"")</f>
        <v>1.1243256247054501</v>
      </c>
      <c r="F359" s="114">
        <f>IFERROR((Data_Entry!I357/Data_Entry!$V357/F$2),"")</f>
        <v>1.1072727028560201</v>
      </c>
      <c r="G359" s="114">
        <f>IFERROR((Data_Entry!J357/Data_Entry!$V357/G$2),"")</f>
        <v>1.11342472197048</v>
      </c>
      <c r="H359" s="114">
        <f>IFERROR((Data_Entry!K357/Data_Entry!$V357/H$2),"")</f>
        <v>1.03322465371149</v>
      </c>
      <c r="I359" s="114">
        <f>IFERROR((Data_Entry!L357/Data_Entry!$V357/I$2),"")</f>
        <v>1.0844128402862001</v>
      </c>
    </row>
    <row r="360" spans="1:9" ht="15">
      <c r="A360" s="113">
        <v>46103</v>
      </c>
      <c r="B360" s="19">
        <v>46103</v>
      </c>
      <c r="C360" s="114">
        <f>IFERROR((Data_Entry!F358/Data_Entry!$V358/C$2),"")</f>
        <v>1.08294365429941</v>
      </c>
      <c r="D360" s="114">
        <f>IFERROR((Data_Entry!G358/Data_Entry!$V358/D$2),"")</f>
        <v>1.07898434860718</v>
      </c>
      <c r="E360" s="114">
        <f>IFERROR((Data_Entry!H358/Data_Entry!$V358/E$2),"")</f>
        <v>1.0760240627722799</v>
      </c>
      <c r="F360" s="114">
        <f>IFERROR((Data_Entry!I358/Data_Entry!$V358/F$2),"")</f>
        <v>1.0602646510992</v>
      </c>
      <c r="G360" s="114">
        <f>IFERROR((Data_Entry!J358/Data_Entry!$V358/G$2),"")</f>
        <v>1.0668013161032699</v>
      </c>
      <c r="H360" s="114">
        <f>IFERROR((Data_Entry!K358/Data_Entry!$V358/H$2),"")</f>
        <v>0.96598425056520199</v>
      </c>
      <c r="I360" s="114">
        <f>IFERROR((Data_Entry!L358/Data_Entry!$V358/I$2),"")</f>
        <v>1.0433103594474</v>
      </c>
    </row>
    <row r="361" spans="1:9" ht="15">
      <c r="A361" s="113">
        <v>46104</v>
      </c>
      <c r="B361" s="19">
        <v>46104</v>
      </c>
      <c r="C361" s="114">
        <f>IFERROR((Data_Entry!F359/Data_Entry!$V359/C$2),"")</f>
        <v>1.1106659222551001</v>
      </c>
      <c r="D361" s="114">
        <f>IFERROR((Data_Entry!G359/Data_Entry!$V359/D$2),"")</f>
        <v>1.14444395227586</v>
      </c>
      <c r="E361" s="114">
        <f>IFERROR((Data_Entry!H359/Data_Entry!$V359/E$2),"")</f>
        <v>1.10927429584296</v>
      </c>
      <c r="F361" s="114">
        <f>IFERROR((Data_Entry!I359/Data_Entry!$V359/F$2),"")</f>
        <v>1.13887306963394</v>
      </c>
      <c r="G361" s="114">
        <f>IFERROR((Data_Entry!J359/Data_Entry!$V359/G$2),"")</f>
        <v>1.1420111163890201</v>
      </c>
      <c r="H361" s="114">
        <f>IFERROR((Data_Entry!K359/Data_Entry!$V359/H$2),"")</f>
        <v>1.1167538050516199</v>
      </c>
      <c r="I361" s="114">
        <f>IFERROR((Data_Entry!L359/Data_Entry!$V359/I$2),"")</f>
        <v>1.1393828606230301</v>
      </c>
    </row>
    <row r="362" spans="1:9" ht="15">
      <c r="A362" s="113">
        <v>46105</v>
      </c>
      <c r="B362" s="19">
        <v>46105</v>
      </c>
      <c r="C362" s="114">
        <f>IFERROR((Data_Entry!F360/Data_Entry!$V360/C$2),"")</f>
        <v>1.08763147753973</v>
      </c>
      <c r="D362" s="114">
        <f>IFERROR((Data_Entry!G360/Data_Entry!$V360/D$2),"")</f>
        <v>1.07673651251633</v>
      </c>
      <c r="E362" s="114">
        <f>IFERROR((Data_Entry!H360/Data_Entry!$V360/E$2),"")</f>
        <v>1.0764413287349099</v>
      </c>
      <c r="F362" s="114">
        <f>IFERROR((Data_Entry!I360/Data_Entry!$V360/F$2),"")</f>
        <v>1.0740326057438101</v>
      </c>
      <c r="G362" s="114">
        <f>IFERROR((Data_Entry!J360/Data_Entry!$V360/G$2),"")</f>
        <v>1.07496307635917</v>
      </c>
      <c r="H362" s="114">
        <f>IFERROR((Data_Entry!K360/Data_Entry!$V360/H$2),"")</f>
        <v>1.07029147216622</v>
      </c>
      <c r="I362" s="114">
        <f>IFERROR((Data_Entry!L360/Data_Entry!$V360/I$2),"")</f>
        <v>1.06513217303006</v>
      </c>
    </row>
    <row r="363" spans="1:9" ht="15">
      <c r="A363" s="113">
        <v>46106</v>
      </c>
      <c r="B363" s="19">
        <v>46106</v>
      </c>
      <c r="C363" s="114">
        <f>IFERROR((Data_Entry!F361/Data_Entry!$V361/C$2),"")</f>
        <v>1.07890125298687</v>
      </c>
      <c r="D363" s="114">
        <f>IFERROR((Data_Entry!G361/Data_Entry!$V361/D$2),"")</f>
        <v>1.06782872959779</v>
      </c>
      <c r="E363" s="114">
        <f>IFERROR((Data_Entry!H361/Data_Entry!$V361/E$2),"")</f>
        <v>1.07070001182426</v>
      </c>
      <c r="F363" s="114">
        <f>IFERROR((Data_Entry!I361/Data_Entry!$V361/F$2),"")</f>
        <v>1.0636198584327099</v>
      </c>
      <c r="G363" s="114">
        <f>IFERROR((Data_Entry!J361/Data_Entry!$V361/G$2),"")</f>
        <v>1.06727998146259</v>
      </c>
      <c r="H363" s="114">
        <f>IFERROR((Data_Entry!K361/Data_Entry!$V361/H$2),"")</f>
        <v>1.0576241768372501</v>
      </c>
      <c r="I363" s="114">
        <f>IFERROR((Data_Entry!L361/Data_Entry!$V361/I$2),"")</f>
        <v>1.06286296445312</v>
      </c>
    </row>
    <row r="364" spans="1:9" ht="15">
      <c r="A364" s="113">
        <v>46107</v>
      </c>
      <c r="B364" s="19">
        <v>46107</v>
      </c>
      <c r="C364" s="114">
        <f>IFERROR((Data_Entry!F362/Data_Entry!$V362/C$2),"")</f>
        <v>1.1413683963415999</v>
      </c>
      <c r="D364" s="114">
        <f>IFERROR((Data_Entry!G362/Data_Entry!$V362/D$2),"")</f>
        <v>1.1361601428819199</v>
      </c>
      <c r="E364" s="114">
        <f>IFERROR((Data_Entry!H362/Data_Entry!$V362/E$2),"")</f>
        <v>1.1332758439671</v>
      </c>
      <c r="F364" s="114">
        <f>IFERROR((Data_Entry!I362/Data_Entry!$V362/F$2),"")</f>
        <v>1.1278406318037899</v>
      </c>
      <c r="G364" s="114">
        <f>IFERROR((Data_Entry!J362/Data_Entry!$V362/G$2),"")</f>
        <v>1.13049233010372</v>
      </c>
      <c r="H364" s="114">
        <f>IFERROR((Data_Entry!K362/Data_Entry!$V362/H$2),"")</f>
        <v>1.1135722381857001</v>
      </c>
      <c r="I364" s="114">
        <f>IFERROR((Data_Entry!L362/Data_Entry!$V362/I$2),"")</f>
        <v>1.1236204821690201</v>
      </c>
    </row>
    <row r="365" spans="1:9" ht="15">
      <c r="A365" s="113">
        <v>46108</v>
      </c>
      <c r="B365" s="19">
        <v>46108</v>
      </c>
      <c r="C365" s="114">
        <f>IFERROR((Data_Entry!F363/Data_Entry!$V363/C$2),"")</f>
        <v>1.12674001810588</v>
      </c>
      <c r="D365" s="114">
        <f>IFERROR((Data_Entry!G363/Data_Entry!$V363/D$2),"")</f>
        <v>1.1188117378634399</v>
      </c>
      <c r="E365" s="114">
        <f>IFERROR((Data_Entry!H363/Data_Entry!$V363/E$2),"")</f>
        <v>1.1186781151627201</v>
      </c>
      <c r="F365" s="114">
        <f>IFERROR((Data_Entry!I363/Data_Entry!$V363/F$2),"")</f>
        <v>1.1149076311295001</v>
      </c>
      <c r="G365" s="114">
        <f>IFERROR((Data_Entry!J363/Data_Entry!$V363/G$2),"")</f>
        <v>1.11940771447424</v>
      </c>
      <c r="H365" s="114">
        <f>IFERROR((Data_Entry!K363/Data_Entry!$V363/H$2),"")</f>
        <v>1.1054388167070801</v>
      </c>
      <c r="I365" s="114">
        <f>IFERROR((Data_Entry!L363/Data_Entry!$V363/I$2),"")</f>
        <v>1.1072388500449699</v>
      </c>
    </row>
    <row r="366" spans="1:9" ht="15">
      <c r="A366" s="113">
        <v>46109</v>
      </c>
      <c r="B366" s="19">
        <v>46109</v>
      </c>
      <c r="C366" s="114">
        <f>IFERROR((Data_Entry!F364/Data_Entry!$V364/C$2),"")</f>
        <v>1.1888974322731201</v>
      </c>
      <c r="D366" s="114">
        <f>IFERROR((Data_Entry!G364/Data_Entry!$V364/D$2),"")</f>
        <v>1.17771045031858</v>
      </c>
      <c r="E366" s="114">
        <f>IFERROR((Data_Entry!H364/Data_Entry!$V364/E$2),"")</f>
        <v>1.17825931547511</v>
      </c>
      <c r="F366" s="114">
        <f>IFERROR((Data_Entry!I364/Data_Entry!$V364/F$2),"")</f>
        <v>1.1765636519431499</v>
      </c>
      <c r="G366" s="114">
        <f>IFERROR((Data_Entry!J364/Data_Entry!$V364/G$2),"")</f>
        <v>1.1802740554781399</v>
      </c>
      <c r="H366" s="114">
        <f>IFERROR((Data_Entry!K364/Data_Entry!$V364/H$2),"")</f>
        <v>1.14613126428491</v>
      </c>
      <c r="I366" s="114">
        <f>IFERROR((Data_Entry!L364/Data_Entry!$V364/I$2),"")</f>
        <v>1.1741922970606899</v>
      </c>
    </row>
    <row r="367" spans="1:9" ht="15">
      <c r="A367" s="113">
        <v>46110</v>
      </c>
      <c r="B367" s="19">
        <v>46110</v>
      </c>
      <c r="C367" s="114">
        <f>IFERROR((Data_Entry!F365/Data_Entry!$V365/C$2),"")</f>
        <v>1.0140025873245599</v>
      </c>
      <c r="D367" s="114">
        <f>IFERROR((Data_Entry!G365/Data_Entry!$V365/D$2),"")</f>
        <v>0.99534761934587901</v>
      </c>
      <c r="E367" s="114">
        <f>IFERROR((Data_Entry!H365/Data_Entry!$V365/E$2),"")</f>
        <v>1.0017935612634099</v>
      </c>
      <c r="F367" s="114">
        <f>IFERROR((Data_Entry!I365/Data_Entry!$V365/F$2),"")</f>
        <v>1.0021065804003999</v>
      </c>
      <c r="G367" s="114">
        <f>IFERROR((Data_Entry!J365/Data_Entry!$V365/G$2),"")</f>
        <v>1.0043251003345299</v>
      </c>
      <c r="H367" s="114">
        <f>IFERROR((Data_Entry!K365/Data_Entry!$V365/H$2),"")</f>
        <v>0.99666163426764198</v>
      </c>
      <c r="I367" s="114">
        <f>IFERROR((Data_Entry!L365/Data_Entry!$V365/I$2),"")</f>
        <v>0.99695443385285698</v>
      </c>
    </row>
    <row r="368" spans="1:9" ht="15">
      <c r="A368" s="113">
        <v>46111</v>
      </c>
      <c r="B368" s="19">
        <v>46111</v>
      </c>
      <c r="C368" s="114">
        <f>IFERROR((Data_Entry!F366/Data_Entry!$V366/C$2),"")</f>
        <v>1.1713779938053199</v>
      </c>
      <c r="D368" s="114">
        <f>IFERROR((Data_Entry!G366/Data_Entry!$V366/D$2),"")</f>
        <v>1.14984542004549</v>
      </c>
      <c r="E368" s="114">
        <f>IFERROR((Data_Entry!H366/Data_Entry!$V366/E$2),"")</f>
        <v>1.1567119185666801</v>
      </c>
      <c r="F368" s="114">
        <f>IFERROR((Data_Entry!I366/Data_Entry!$V366/F$2),"")</f>
        <v>1.15440964953895</v>
      </c>
      <c r="G368" s="114">
        <f>IFERROR((Data_Entry!J366/Data_Entry!$V366/G$2),"")</f>
        <v>1.15665808713228</v>
      </c>
      <c r="H368" s="114">
        <f>IFERROR((Data_Entry!K366/Data_Entry!$V366/H$2),"")</f>
        <v>1.14370525580583</v>
      </c>
      <c r="I368" s="114">
        <f>IFERROR((Data_Entry!L366/Data_Entry!$V366/I$2),"")</f>
        <v>1.1424637520965399</v>
      </c>
    </row>
    <row r="369" spans="1:9" ht="15">
      <c r="A369" s="115">
        <v>46112</v>
      </c>
      <c r="B369" s="116">
        <v>46112</v>
      </c>
      <c r="C369" s="114">
        <f>IFERROR((Data_Entry!F367/Data_Entry!$V367/C$2),"")</f>
        <v>1.0434192282160799</v>
      </c>
      <c r="D369" s="114">
        <f>IFERROR((Data_Entry!G367/Data_Entry!$V367/D$2),"")</f>
        <v>1.03327210142413</v>
      </c>
      <c r="E369" s="114">
        <f>IFERROR((Data_Entry!H367/Data_Entry!$V367/E$2),"")</f>
        <v>1.0363544275733001</v>
      </c>
      <c r="F369" s="114">
        <f>IFERROR((Data_Entry!I367/Data_Entry!$V367/F$2),"")</f>
        <v>1.0285903812600501</v>
      </c>
      <c r="G369" s="114">
        <f>IFERROR((Data_Entry!J367/Data_Entry!$V367/G$2),"")</f>
        <v>1.03182569704879</v>
      </c>
      <c r="H369" s="114">
        <f>IFERROR((Data_Entry!K367/Data_Entry!$V367/H$2),"")</f>
        <v>1.02706665188858</v>
      </c>
      <c r="I369" s="114">
        <f>IFERROR((Data_Entry!L367/Data_Entry!$V367/I$2),"")</f>
        <v>1.02652395375627</v>
      </c>
    </row>
  </sheetData>
  <sheetProtection algorithmName="SHA-512" hashValue="gypVB6nr6rH7FXT1KIrTvVhXMKrPFCu4IlDj5yq71ztPQ2arRjsbqpy3YODzJ010FgpLs7RuQnkzoJhOZ4wWkQ==" saltValue="TAj5W6yMB5A/uFMETJAEIw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98"/>
  <sheetViews>
    <sheetView workbookViewId="0">
      <pane xSplit="1" ySplit="3" topLeftCell="Y4" activePane="bottomRight" state="frozen"/>
      <selection pane="topRight"/>
      <selection pane="bottomLeft"/>
      <selection pane="bottomRight" activeCell="A4" sqref="A4"/>
    </sheetView>
  </sheetViews>
  <sheetFormatPr defaultColWidth="12" defaultRowHeight="15" customHeight="1"/>
  <cols>
    <col min="1" max="1" width="27.625" style="97" customWidth="1"/>
    <col min="2" max="2" width="9" style="97" customWidth="1"/>
    <col min="3" max="7" width="6.75" style="97" customWidth="1"/>
    <col min="8" max="9" width="6.25" style="97" customWidth="1"/>
    <col min="10" max="11" width="6.75" style="97" customWidth="1"/>
    <col min="12" max="12" width="6.875" style="97" customWidth="1"/>
    <col min="13" max="14" width="6.75" style="97" customWidth="1"/>
    <col min="15" max="31" width="6.25" style="97" customWidth="1"/>
    <col min="32" max="32" width="7" style="97" customWidth="1"/>
    <col min="33" max="16384" width="12" style="97"/>
  </cols>
  <sheetData>
    <row r="1" spans="1:33" ht="14.25" customHeight="1">
      <c r="A1" s="104" t="s">
        <v>55</v>
      </c>
    </row>
    <row r="2" spans="1:33" ht="14.25" customHeight="1"/>
    <row r="3" spans="1:33" ht="14.25" customHeight="1">
      <c r="A3" s="105" t="s">
        <v>56</v>
      </c>
      <c r="B3" s="106">
        <f>'E-Mail_Copy'!B4</f>
        <v>46178</v>
      </c>
      <c r="C3" s="106">
        <f>B3+1</f>
        <v>46179</v>
      </c>
      <c r="D3" s="106">
        <f t="shared" ref="D3:AF3" si="0">C3+1</f>
        <v>46180</v>
      </c>
      <c r="E3" s="106">
        <f t="shared" si="0"/>
        <v>46181</v>
      </c>
      <c r="F3" s="106">
        <f t="shared" si="0"/>
        <v>46182</v>
      </c>
      <c r="G3" s="106">
        <f t="shared" si="0"/>
        <v>46183</v>
      </c>
      <c r="H3" s="106">
        <f t="shared" si="0"/>
        <v>46184</v>
      </c>
      <c r="I3" s="106">
        <f t="shared" si="0"/>
        <v>46185</v>
      </c>
      <c r="J3" s="106">
        <f t="shared" si="0"/>
        <v>46186</v>
      </c>
      <c r="K3" s="106">
        <f t="shared" si="0"/>
        <v>46187</v>
      </c>
      <c r="L3" s="106">
        <f t="shared" si="0"/>
        <v>46188</v>
      </c>
      <c r="M3" s="106">
        <f t="shared" si="0"/>
        <v>46189</v>
      </c>
      <c r="N3" s="106">
        <f t="shared" si="0"/>
        <v>46190</v>
      </c>
      <c r="O3" s="106">
        <f t="shared" si="0"/>
        <v>46191</v>
      </c>
      <c r="P3" s="106">
        <f t="shared" si="0"/>
        <v>46192</v>
      </c>
      <c r="Q3" s="106">
        <f t="shared" si="0"/>
        <v>46193</v>
      </c>
      <c r="R3" s="106">
        <f t="shared" si="0"/>
        <v>46194</v>
      </c>
      <c r="S3" s="106">
        <f t="shared" si="0"/>
        <v>46195</v>
      </c>
      <c r="T3" s="106">
        <f t="shared" si="0"/>
        <v>46196</v>
      </c>
      <c r="U3" s="106">
        <f t="shared" si="0"/>
        <v>46197</v>
      </c>
      <c r="V3" s="106">
        <f t="shared" si="0"/>
        <v>46198</v>
      </c>
      <c r="W3" s="106">
        <f t="shared" si="0"/>
        <v>46199</v>
      </c>
      <c r="X3" s="106">
        <f t="shared" si="0"/>
        <v>46200</v>
      </c>
      <c r="Y3" s="106">
        <f t="shared" si="0"/>
        <v>46201</v>
      </c>
      <c r="Z3" s="106">
        <f t="shared" si="0"/>
        <v>46202</v>
      </c>
      <c r="AA3" s="106">
        <f t="shared" si="0"/>
        <v>46203</v>
      </c>
      <c r="AB3" s="106">
        <f t="shared" si="0"/>
        <v>46204</v>
      </c>
      <c r="AC3" s="106">
        <f t="shared" si="0"/>
        <v>46205</v>
      </c>
      <c r="AD3" s="106">
        <f t="shared" si="0"/>
        <v>46206</v>
      </c>
      <c r="AE3" s="106">
        <f t="shared" si="0"/>
        <v>46207</v>
      </c>
      <c r="AF3" s="106">
        <f t="shared" si="0"/>
        <v>46208</v>
      </c>
      <c r="AG3" s="105" t="s">
        <v>57</v>
      </c>
    </row>
    <row r="4" spans="1:33" ht="14.25" customHeight="1">
      <c r="A4" s="107" t="s">
        <v>15</v>
      </c>
      <c r="B4" s="108">
        <f>IFERROR(VLOOKUP(B$3,Data_Entry!$C:$AB,Data_Entry!$A2,0),"")</f>
        <v>1580.3</v>
      </c>
      <c r="C4" s="108">
        <f>IFERROR(VLOOKUP(C$3,Data_Entry!$C:$AB,Data_Entry!$A2,0),"")</f>
        <v>0</v>
      </c>
      <c r="D4" s="108">
        <f>IFERROR(VLOOKUP(D$3,Data_Entry!$C:$AB,Data_Entry!$A2,0),"")</f>
        <v>0</v>
      </c>
      <c r="E4" s="108">
        <f>IFERROR(VLOOKUP(E$3,Data_Entry!$C:$AB,Data_Entry!$A2,0),"")</f>
        <v>0</v>
      </c>
      <c r="F4" s="108">
        <f>IFERROR(VLOOKUP(F$3,Data_Entry!$C:$AB,Data_Entry!$A2,0),"")</f>
        <v>0</v>
      </c>
      <c r="G4" s="108">
        <f>IFERROR(VLOOKUP(G$3,Data_Entry!$C:$AB,Data_Entry!$A2,0),"")</f>
        <v>0</v>
      </c>
      <c r="H4" s="108">
        <f>IFERROR(VLOOKUP(H$3,Data_Entry!$C:$AB,Data_Entry!$A2,0),"")</f>
        <v>0</v>
      </c>
      <c r="I4" s="108">
        <f>IFERROR(VLOOKUP(I$3,Data_Entry!$C:$AB,Data_Entry!$A2,0),"")</f>
        <v>0</v>
      </c>
      <c r="J4" s="108">
        <f>IFERROR(VLOOKUP(J$3,Data_Entry!$C:$AB,Data_Entry!$A2,0),"")</f>
        <v>0</v>
      </c>
      <c r="K4" s="108">
        <f>IFERROR(VLOOKUP(K$3,Data_Entry!$C:$AB,Data_Entry!$A2,0),"")</f>
        <v>0</v>
      </c>
      <c r="L4" s="108">
        <f>IFERROR(VLOOKUP(L$3,Data_Entry!$C:$AB,Data_Entry!$A2,0),"")</f>
        <v>0</v>
      </c>
      <c r="M4" s="108">
        <f>IFERROR(VLOOKUP(M$3,Data_Entry!$C:$AB,Data_Entry!$A2,0),"")</f>
        <v>0</v>
      </c>
      <c r="N4" s="108">
        <f>IFERROR(VLOOKUP(N$3,Data_Entry!$C:$AB,Data_Entry!$A2,0),"")</f>
        <v>0</v>
      </c>
      <c r="O4" s="108">
        <f>IFERROR(VLOOKUP(O$3,Data_Entry!$C:$AB,Data_Entry!$A2,0),"")</f>
        <v>0</v>
      </c>
      <c r="P4" s="108">
        <f>IFERROR(VLOOKUP(P$3,Data_Entry!$C:$AB,Data_Entry!$A2,0),"")</f>
        <v>0</v>
      </c>
      <c r="Q4" s="108">
        <f>IFERROR(VLOOKUP(Q$3,Data_Entry!$C:$AB,Data_Entry!$A2,0),"")</f>
        <v>0</v>
      </c>
      <c r="R4" s="108">
        <f>IFERROR(VLOOKUP(R$3,Data_Entry!$C:$AB,Data_Entry!$A2,0),"")</f>
        <v>0</v>
      </c>
      <c r="S4" s="108">
        <f>IFERROR(VLOOKUP(S$3,Data_Entry!$C:$AB,Data_Entry!$A2,0),"")</f>
        <v>0</v>
      </c>
      <c r="T4" s="108">
        <f>IFERROR(VLOOKUP(T$3,Data_Entry!$C:$AB,Data_Entry!$A2,0),"")</f>
        <v>0</v>
      </c>
      <c r="U4" s="108">
        <f>IFERROR(VLOOKUP(U$3,Data_Entry!$C:$AB,Data_Entry!$A2,0),"")</f>
        <v>0</v>
      </c>
      <c r="V4" s="108">
        <f>IFERROR(VLOOKUP(V$3,Data_Entry!$C:$AB,Data_Entry!$A2,0),"")</f>
        <v>0</v>
      </c>
      <c r="W4" s="108">
        <f>IFERROR(VLOOKUP(W$3,Data_Entry!$C:$AB,Data_Entry!$A2,0),"")</f>
        <v>0</v>
      </c>
      <c r="X4" s="108">
        <f>IFERROR(VLOOKUP(X$3,Data_Entry!$C:$AB,Data_Entry!$A2,0),"")</f>
        <v>0</v>
      </c>
      <c r="Y4" s="108">
        <f>IFERROR(VLOOKUP(Y$3,Data_Entry!$C:$AB,Data_Entry!$A2,0),"")</f>
        <v>0</v>
      </c>
      <c r="Z4" s="108">
        <f>IFERROR(VLOOKUP(Z$3,Data_Entry!$C:$AB,Data_Entry!$A2,0),"")</f>
        <v>0</v>
      </c>
      <c r="AA4" s="108">
        <f>IFERROR(VLOOKUP(AA$3,Data_Entry!$C:$AB,Data_Entry!$A2,0),"")</f>
        <v>0</v>
      </c>
      <c r="AB4" s="108">
        <f>IFERROR(VLOOKUP(AB$3,Data_Entry!$C:$AB,Data_Entry!$A2,0),"")</f>
        <v>0</v>
      </c>
      <c r="AC4" s="108">
        <f>IFERROR(VLOOKUP(AC$3,Data_Entry!$C:$AB,Data_Entry!$A2,0),"")</f>
        <v>0</v>
      </c>
      <c r="AD4" s="108">
        <f>IFERROR(VLOOKUP(AD$3,Data_Entry!$C:$AB,Data_Entry!$A2,0),"")</f>
        <v>0</v>
      </c>
      <c r="AE4" s="108">
        <f>IFERROR(VLOOKUP(AE$3,Data_Entry!$C:$AB,Data_Entry!$A2,0),"")</f>
        <v>0</v>
      </c>
      <c r="AF4" s="108">
        <f>IFERROR(VLOOKUP(AF$3,Data_Entry!$C:$AB,Data_Entry!$A2,0),"")</f>
        <v>0</v>
      </c>
      <c r="AG4" s="108">
        <f>IFERROR(SUM(B4:AF4),"")</f>
        <v>1580.3</v>
      </c>
    </row>
    <row r="5" spans="1:33" ht="14.25" customHeight="1">
      <c r="A5" s="107" t="s">
        <v>16</v>
      </c>
      <c r="B5" s="108">
        <f>IFERROR(VLOOKUP(B$3,Data_Entry!$C:$AB,Data_Entry!$A3,0),"")</f>
        <v>1583.54</v>
      </c>
      <c r="C5" s="108">
        <f>IFERROR(VLOOKUP(C$3,Data_Entry!$C:$AB,Data_Entry!$A3,0),"")</f>
        <v>0</v>
      </c>
      <c r="D5" s="108">
        <f>IFERROR(VLOOKUP(D$3,Data_Entry!$C:$AB,Data_Entry!$A3,0),"")</f>
        <v>0</v>
      </c>
      <c r="E5" s="108">
        <f>IFERROR(VLOOKUP(E$3,Data_Entry!$C:$AB,Data_Entry!$A3,0),"")</f>
        <v>0</v>
      </c>
      <c r="F5" s="108">
        <f>IFERROR(VLOOKUP(F$3,Data_Entry!$C:$AB,Data_Entry!$A3,0),"")</f>
        <v>0</v>
      </c>
      <c r="G5" s="108">
        <f>IFERROR(VLOOKUP(G$3,Data_Entry!$C:$AB,Data_Entry!$A3,0),"")</f>
        <v>0</v>
      </c>
      <c r="H5" s="108">
        <f>IFERROR(VLOOKUP(H$3,Data_Entry!$C:$AB,Data_Entry!$A3,0),"")</f>
        <v>0</v>
      </c>
      <c r="I5" s="108">
        <f>IFERROR(VLOOKUP(I$3,Data_Entry!$C:$AB,Data_Entry!$A3,0),"")</f>
        <v>0</v>
      </c>
      <c r="J5" s="108">
        <f>IFERROR(VLOOKUP(J$3,Data_Entry!$C:$AB,Data_Entry!$A3,0),"")</f>
        <v>0</v>
      </c>
      <c r="K5" s="108">
        <f>IFERROR(VLOOKUP(K$3,Data_Entry!$C:$AB,Data_Entry!$A3,0),"")</f>
        <v>0</v>
      </c>
      <c r="L5" s="108">
        <f>IFERROR(VLOOKUP(L$3,Data_Entry!$C:$AB,Data_Entry!$A3,0),"")</f>
        <v>0</v>
      </c>
      <c r="M5" s="108">
        <f>IFERROR(VLOOKUP(M$3,Data_Entry!$C:$AB,Data_Entry!$A3,0),"")</f>
        <v>0</v>
      </c>
      <c r="N5" s="108">
        <f>IFERROR(VLOOKUP(N$3,Data_Entry!$C:$AB,Data_Entry!$A3,0),"")</f>
        <v>0</v>
      </c>
      <c r="O5" s="108">
        <f>IFERROR(VLOOKUP(O$3,Data_Entry!$C:$AB,Data_Entry!$A3,0),"")</f>
        <v>0</v>
      </c>
      <c r="P5" s="108">
        <f>IFERROR(VLOOKUP(P$3,Data_Entry!$C:$AB,Data_Entry!$A3,0),"")</f>
        <v>0</v>
      </c>
      <c r="Q5" s="108">
        <f>IFERROR(VLOOKUP(Q$3,Data_Entry!$C:$AB,Data_Entry!$A3,0),"")</f>
        <v>0</v>
      </c>
      <c r="R5" s="108">
        <f>IFERROR(VLOOKUP(R$3,Data_Entry!$C:$AB,Data_Entry!$A3,0),"")</f>
        <v>0</v>
      </c>
      <c r="S5" s="108">
        <f>IFERROR(VLOOKUP(S$3,Data_Entry!$C:$AB,Data_Entry!$A3,0),"")</f>
        <v>0</v>
      </c>
      <c r="T5" s="108">
        <f>IFERROR(VLOOKUP(T$3,Data_Entry!$C:$AB,Data_Entry!$A3,0),"")</f>
        <v>0</v>
      </c>
      <c r="U5" s="108">
        <f>IFERROR(VLOOKUP(U$3,Data_Entry!$C:$AB,Data_Entry!$A3,0),"")</f>
        <v>0</v>
      </c>
      <c r="V5" s="108">
        <f>IFERROR(VLOOKUP(V$3,Data_Entry!$C:$AB,Data_Entry!$A3,0),"")</f>
        <v>0</v>
      </c>
      <c r="W5" s="108">
        <f>IFERROR(VLOOKUP(W$3,Data_Entry!$C:$AB,Data_Entry!$A3,0),"")</f>
        <v>0</v>
      </c>
      <c r="X5" s="108">
        <f>IFERROR(VLOOKUP(X$3,Data_Entry!$C:$AB,Data_Entry!$A3,0),"")</f>
        <v>0</v>
      </c>
      <c r="Y5" s="108">
        <f>IFERROR(VLOOKUP(Y$3,Data_Entry!$C:$AB,Data_Entry!$A3,0),"")</f>
        <v>0</v>
      </c>
      <c r="Z5" s="108">
        <f>IFERROR(VLOOKUP(Z$3,Data_Entry!$C:$AB,Data_Entry!$A3,0),"")</f>
        <v>0</v>
      </c>
      <c r="AA5" s="108">
        <f>IFERROR(VLOOKUP(AA$3,Data_Entry!$C:$AB,Data_Entry!$A3,0),"")</f>
        <v>0</v>
      </c>
      <c r="AB5" s="108">
        <f>IFERROR(VLOOKUP(AB$3,Data_Entry!$C:$AB,Data_Entry!$A3,0),"")</f>
        <v>0</v>
      </c>
      <c r="AC5" s="108">
        <f>IFERROR(VLOOKUP(AC$3,Data_Entry!$C:$AB,Data_Entry!$A3,0),"")</f>
        <v>0</v>
      </c>
      <c r="AD5" s="108">
        <f>IFERROR(VLOOKUP(AD$3,Data_Entry!$C:$AB,Data_Entry!$A3,0),"")</f>
        <v>0</v>
      </c>
      <c r="AE5" s="108">
        <f>IFERROR(VLOOKUP(AE$3,Data_Entry!$C:$AB,Data_Entry!$A3,0),"")</f>
        <v>0</v>
      </c>
      <c r="AF5" s="108">
        <f>IFERROR(VLOOKUP(AF$3,Data_Entry!$C:$AB,Data_Entry!$A3,0),"")</f>
        <v>0</v>
      </c>
      <c r="AG5" s="108">
        <f t="shared" ref="AG5:AG10" si="1">IFERROR(SUM(B5:AF5),"")</f>
        <v>1583.54</v>
      </c>
    </row>
    <row r="6" spans="1:33" ht="14.25" customHeight="1">
      <c r="A6" s="107" t="s">
        <v>17</v>
      </c>
      <c r="B6" s="108">
        <f>IFERROR(VLOOKUP(B$3,Data_Entry!$C:$AB,Data_Entry!$A4,0),"")</f>
        <v>1563.5</v>
      </c>
      <c r="C6" s="108">
        <f>IFERROR(VLOOKUP(C$3,Data_Entry!$C:$AB,Data_Entry!$A4,0),"")</f>
        <v>0</v>
      </c>
      <c r="D6" s="108">
        <f>IFERROR(VLOOKUP(D$3,Data_Entry!$C:$AB,Data_Entry!$A4,0),"")</f>
        <v>0</v>
      </c>
      <c r="E6" s="108">
        <f>IFERROR(VLOOKUP(E$3,Data_Entry!$C:$AB,Data_Entry!$A4,0),"")</f>
        <v>0</v>
      </c>
      <c r="F6" s="108">
        <f>IFERROR(VLOOKUP(F$3,Data_Entry!$C:$AB,Data_Entry!$A4,0),"")</f>
        <v>0</v>
      </c>
      <c r="G6" s="108">
        <f>IFERROR(VLOOKUP(G$3,Data_Entry!$C:$AB,Data_Entry!$A4,0),"")</f>
        <v>0</v>
      </c>
      <c r="H6" s="108">
        <f>IFERROR(VLOOKUP(H$3,Data_Entry!$C:$AB,Data_Entry!$A4,0),"")</f>
        <v>0</v>
      </c>
      <c r="I6" s="108">
        <f>IFERROR(VLOOKUP(I$3,Data_Entry!$C:$AB,Data_Entry!$A4,0),"")</f>
        <v>0</v>
      </c>
      <c r="J6" s="108">
        <f>IFERROR(VLOOKUP(J$3,Data_Entry!$C:$AB,Data_Entry!$A4,0),"")</f>
        <v>0</v>
      </c>
      <c r="K6" s="108">
        <f>IFERROR(VLOOKUP(K$3,Data_Entry!$C:$AB,Data_Entry!$A4,0),"")</f>
        <v>0</v>
      </c>
      <c r="L6" s="108">
        <f>IFERROR(VLOOKUP(L$3,Data_Entry!$C:$AB,Data_Entry!$A4,0),"")</f>
        <v>0</v>
      </c>
      <c r="M6" s="108">
        <f>IFERROR(VLOOKUP(M$3,Data_Entry!$C:$AB,Data_Entry!$A4,0),"")</f>
        <v>0</v>
      </c>
      <c r="N6" s="108">
        <f>IFERROR(VLOOKUP(N$3,Data_Entry!$C:$AB,Data_Entry!$A4,0),"")</f>
        <v>0</v>
      </c>
      <c r="O6" s="108">
        <f>IFERROR(VLOOKUP(O$3,Data_Entry!$C:$AB,Data_Entry!$A4,0),"")</f>
        <v>0</v>
      </c>
      <c r="P6" s="108">
        <f>IFERROR(VLOOKUP(P$3,Data_Entry!$C:$AB,Data_Entry!$A4,0),"")</f>
        <v>0</v>
      </c>
      <c r="Q6" s="108">
        <f>IFERROR(VLOOKUP(Q$3,Data_Entry!$C:$AB,Data_Entry!$A4,0),"")</f>
        <v>0</v>
      </c>
      <c r="R6" s="108">
        <f>IFERROR(VLOOKUP(R$3,Data_Entry!$C:$AB,Data_Entry!$A4,0),"")</f>
        <v>0</v>
      </c>
      <c r="S6" s="108">
        <f>IFERROR(VLOOKUP(S$3,Data_Entry!$C:$AB,Data_Entry!$A4,0),"")</f>
        <v>0</v>
      </c>
      <c r="T6" s="108">
        <f>IFERROR(VLOOKUP(T$3,Data_Entry!$C:$AB,Data_Entry!$A4,0),"")</f>
        <v>0</v>
      </c>
      <c r="U6" s="108">
        <f>IFERROR(VLOOKUP(U$3,Data_Entry!$C:$AB,Data_Entry!$A4,0),"")</f>
        <v>0</v>
      </c>
      <c r="V6" s="108">
        <f>IFERROR(VLOOKUP(V$3,Data_Entry!$C:$AB,Data_Entry!$A4,0),"")</f>
        <v>0</v>
      </c>
      <c r="W6" s="108">
        <f>IFERROR(VLOOKUP(W$3,Data_Entry!$C:$AB,Data_Entry!$A4,0),"")</f>
        <v>0</v>
      </c>
      <c r="X6" s="108">
        <f>IFERROR(VLOOKUP(X$3,Data_Entry!$C:$AB,Data_Entry!$A4,0),"")</f>
        <v>0</v>
      </c>
      <c r="Y6" s="108">
        <f>IFERROR(VLOOKUP(Y$3,Data_Entry!$C:$AB,Data_Entry!$A4,0),"")</f>
        <v>0</v>
      </c>
      <c r="Z6" s="108">
        <f>IFERROR(VLOOKUP(Z$3,Data_Entry!$C:$AB,Data_Entry!$A4,0),"")</f>
        <v>0</v>
      </c>
      <c r="AA6" s="108">
        <f>IFERROR(VLOOKUP(AA$3,Data_Entry!$C:$AB,Data_Entry!$A4,0),"")</f>
        <v>0</v>
      </c>
      <c r="AB6" s="108">
        <f>IFERROR(VLOOKUP(AB$3,Data_Entry!$C:$AB,Data_Entry!$A4,0),"")</f>
        <v>0</v>
      </c>
      <c r="AC6" s="108">
        <f>IFERROR(VLOOKUP(AC$3,Data_Entry!$C:$AB,Data_Entry!$A4,0),"")</f>
        <v>0</v>
      </c>
      <c r="AD6" s="108">
        <f>IFERROR(VLOOKUP(AD$3,Data_Entry!$C:$AB,Data_Entry!$A4,0),"")</f>
        <v>0</v>
      </c>
      <c r="AE6" s="108">
        <f>IFERROR(VLOOKUP(AE$3,Data_Entry!$C:$AB,Data_Entry!$A4,0),"")</f>
        <v>0</v>
      </c>
      <c r="AF6" s="108">
        <f>IFERROR(VLOOKUP(AF$3,Data_Entry!$C:$AB,Data_Entry!$A4,0),"")</f>
        <v>0</v>
      </c>
      <c r="AG6" s="108">
        <f t="shared" si="1"/>
        <v>1563.5</v>
      </c>
    </row>
    <row r="7" spans="1:33" ht="14.25" customHeight="1">
      <c r="A7" s="107" t="s">
        <v>18</v>
      </c>
      <c r="B7" s="108">
        <f>IFERROR(VLOOKUP(B$3,Data_Entry!$C:$AB,Data_Entry!$A5,0),"")</f>
        <v>1643.94</v>
      </c>
      <c r="C7" s="108">
        <f>IFERROR(VLOOKUP(C$3,Data_Entry!$C:$AB,Data_Entry!$A5,0),"")</f>
        <v>0</v>
      </c>
      <c r="D7" s="108">
        <f>IFERROR(VLOOKUP(D$3,Data_Entry!$C:$AB,Data_Entry!$A5,0),"")</f>
        <v>0</v>
      </c>
      <c r="E7" s="108">
        <f>IFERROR(VLOOKUP(E$3,Data_Entry!$C:$AB,Data_Entry!$A5,0),"")</f>
        <v>0</v>
      </c>
      <c r="F7" s="108">
        <f>IFERROR(VLOOKUP(F$3,Data_Entry!$C:$AB,Data_Entry!$A5,0),"")</f>
        <v>0</v>
      </c>
      <c r="G7" s="108">
        <f>IFERROR(VLOOKUP(G$3,Data_Entry!$C:$AB,Data_Entry!$A5,0),"")</f>
        <v>0</v>
      </c>
      <c r="H7" s="108">
        <f>IFERROR(VLOOKUP(H$3,Data_Entry!$C:$AB,Data_Entry!$A5,0),"")</f>
        <v>0</v>
      </c>
      <c r="I7" s="108">
        <f>IFERROR(VLOOKUP(I$3,Data_Entry!$C:$AB,Data_Entry!$A5,0),"")</f>
        <v>0</v>
      </c>
      <c r="J7" s="108">
        <f>IFERROR(VLOOKUP(J$3,Data_Entry!$C:$AB,Data_Entry!$A5,0),"")</f>
        <v>0</v>
      </c>
      <c r="K7" s="108">
        <f>IFERROR(VLOOKUP(K$3,Data_Entry!$C:$AB,Data_Entry!$A5,0),"")</f>
        <v>0</v>
      </c>
      <c r="L7" s="108">
        <f>IFERROR(VLOOKUP(L$3,Data_Entry!$C:$AB,Data_Entry!$A5,0),"")</f>
        <v>0</v>
      </c>
      <c r="M7" s="108">
        <f>IFERROR(VLOOKUP(M$3,Data_Entry!$C:$AB,Data_Entry!$A5,0),"")</f>
        <v>0</v>
      </c>
      <c r="N7" s="108">
        <f>IFERROR(VLOOKUP(N$3,Data_Entry!$C:$AB,Data_Entry!$A5,0),"")</f>
        <v>0</v>
      </c>
      <c r="O7" s="108">
        <f>IFERROR(VLOOKUP(O$3,Data_Entry!$C:$AB,Data_Entry!$A5,0),"")</f>
        <v>0</v>
      </c>
      <c r="P7" s="108">
        <f>IFERROR(VLOOKUP(P$3,Data_Entry!$C:$AB,Data_Entry!$A5,0),"")</f>
        <v>0</v>
      </c>
      <c r="Q7" s="108">
        <f>IFERROR(VLOOKUP(Q$3,Data_Entry!$C:$AB,Data_Entry!$A5,0),"")</f>
        <v>0</v>
      </c>
      <c r="R7" s="108">
        <f>IFERROR(VLOOKUP(R$3,Data_Entry!$C:$AB,Data_Entry!$A5,0),"")</f>
        <v>0</v>
      </c>
      <c r="S7" s="108">
        <f>IFERROR(VLOOKUP(S$3,Data_Entry!$C:$AB,Data_Entry!$A5,0),"")</f>
        <v>0</v>
      </c>
      <c r="T7" s="108">
        <f>IFERROR(VLOOKUP(T$3,Data_Entry!$C:$AB,Data_Entry!$A5,0),"")</f>
        <v>0</v>
      </c>
      <c r="U7" s="108">
        <f>IFERROR(VLOOKUP(U$3,Data_Entry!$C:$AB,Data_Entry!$A5,0),"")</f>
        <v>0</v>
      </c>
      <c r="V7" s="108">
        <f>IFERROR(VLOOKUP(V$3,Data_Entry!$C:$AB,Data_Entry!$A5,0),"")</f>
        <v>0</v>
      </c>
      <c r="W7" s="108">
        <f>IFERROR(VLOOKUP(W$3,Data_Entry!$C:$AB,Data_Entry!$A5,0),"")</f>
        <v>0</v>
      </c>
      <c r="X7" s="108">
        <f>IFERROR(VLOOKUP(X$3,Data_Entry!$C:$AB,Data_Entry!$A5,0),"")</f>
        <v>0</v>
      </c>
      <c r="Y7" s="108">
        <f>IFERROR(VLOOKUP(Y$3,Data_Entry!$C:$AB,Data_Entry!$A5,0),"")</f>
        <v>0</v>
      </c>
      <c r="Z7" s="108">
        <f>IFERROR(VLOOKUP(Z$3,Data_Entry!$C:$AB,Data_Entry!$A5,0),"")</f>
        <v>0</v>
      </c>
      <c r="AA7" s="108">
        <f>IFERROR(VLOOKUP(AA$3,Data_Entry!$C:$AB,Data_Entry!$A5,0),"")</f>
        <v>0</v>
      </c>
      <c r="AB7" s="108">
        <f>IFERROR(VLOOKUP(AB$3,Data_Entry!$C:$AB,Data_Entry!$A5,0),"")</f>
        <v>0</v>
      </c>
      <c r="AC7" s="108">
        <f>IFERROR(VLOOKUP(AC$3,Data_Entry!$C:$AB,Data_Entry!$A5,0),"")</f>
        <v>0</v>
      </c>
      <c r="AD7" s="108">
        <f>IFERROR(VLOOKUP(AD$3,Data_Entry!$C:$AB,Data_Entry!$A5,0),"")</f>
        <v>0</v>
      </c>
      <c r="AE7" s="108">
        <f>IFERROR(VLOOKUP(AE$3,Data_Entry!$C:$AB,Data_Entry!$A5,0),"")</f>
        <v>0</v>
      </c>
      <c r="AF7" s="108">
        <f>IFERROR(VLOOKUP(AF$3,Data_Entry!$C:$AB,Data_Entry!$A5,0),"")</f>
        <v>0</v>
      </c>
      <c r="AG7" s="108">
        <f t="shared" si="1"/>
        <v>1643.94</v>
      </c>
    </row>
    <row r="8" spans="1:33" ht="14.25" customHeight="1">
      <c r="A8" s="107" t="s">
        <v>19</v>
      </c>
      <c r="B8" s="108">
        <f>IFERROR(VLOOKUP(B$3,Data_Entry!$C:$AB,Data_Entry!$A6,0),"")</f>
        <v>1663.13</v>
      </c>
      <c r="C8" s="108">
        <f>IFERROR(VLOOKUP(C$3,Data_Entry!$C:$AB,Data_Entry!$A6,0),"")</f>
        <v>0</v>
      </c>
      <c r="D8" s="108">
        <f>IFERROR(VLOOKUP(D$3,Data_Entry!$C:$AB,Data_Entry!$A6,0),"")</f>
        <v>0</v>
      </c>
      <c r="E8" s="108">
        <f>IFERROR(VLOOKUP(E$3,Data_Entry!$C:$AB,Data_Entry!$A6,0),"")</f>
        <v>0</v>
      </c>
      <c r="F8" s="108">
        <f>IFERROR(VLOOKUP(F$3,Data_Entry!$C:$AB,Data_Entry!$A6,0),"")</f>
        <v>0</v>
      </c>
      <c r="G8" s="108">
        <f>IFERROR(VLOOKUP(G$3,Data_Entry!$C:$AB,Data_Entry!$A6,0),"")</f>
        <v>0</v>
      </c>
      <c r="H8" s="108">
        <f>IFERROR(VLOOKUP(H$3,Data_Entry!$C:$AB,Data_Entry!$A6,0),"")</f>
        <v>0</v>
      </c>
      <c r="I8" s="108">
        <f>IFERROR(VLOOKUP(I$3,Data_Entry!$C:$AB,Data_Entry!$A6,0),"")</f>
        <v>0</v>
      </c>
      <c r="J8" s="108">
        <f>IFERROR(VLOOKUP(J$3,Data_Entry!$C:$AB,Data_Entry!$A6,0),"")</f>
        <v>0</v>
      </c>
      <c r="K8" s="108">
        <f>IFERROR(VLOOKUP(K$3,Data_Entry!$C:$AB,Data_Entry!$A6,0),"")</f>
        <v>0</v>
      </c>
      <c r="L8" s="108">
        <f>IFERROR(VLOOKUP(L$3,Data_Entry!$C:$AB,Data_Entry!$A6,0),"")</f>
        <v>0</v>
      </c>
      <c r="M8" s="108">
        <f>IFERROR(VLOOKUP(M$3,Data_Entry!$C:$AB,Data_Entry!$A6,0),"")</f>
        <v>0</v>
      </c>
      <c r="N8" s="108">
        <f>IFERROR(VLOOKUP(N$3,Data_Entry!$C:$AB,Data_Entry!$A6,0),"")</f>
        <v>0</v>
      </c>
      <c r="O8" s="108">
        <f>IFERROR(VLOOKUP(O$3,Data_Entry!$C:$AB,Data_Entry!$A6,0),"")</f>
        <v>0</v>
      </c>
      <c r="P8" s="108">
        <f>IFERROR(VLOOKUP(P$3,Data_Entry!$C:$AB,Data_Entry!$A6,0),"")</f>
        <v>0</v>
      </c>
      <c r="Q8" s="108">
        <f>IFERROR(VLOOKUP(Q$3,Data_Entry!$C:$AB,Data_Entry!$A6,0),"")</f>
        <v>0</v>
      </c>
      <c r="R8" s="108">
        <f>IFERROR(VLOOKUP(R$3,Data_Entry!$C:$AB,Data_Entry!$A6,0),"")</f>
        <v>0</v>
      </c>
      <c r="S8" s="108">
        <f>IFERROR(VLOOKUP(S$3,Data_Entry!$C:$AB,Data_Entry!$A6,0),"")</f>
        <v>0</v>
      </c>
      <c r="T8" s="108">
        <f>IFERROR(VLOOKUP(T$3,Data_Entry!$C:$AB,Data_Entry!$A6,0),"")</f>
        <v>0</v>
      </c>
      <c r="U8" s="108">
        <f>IFERROR(VLOOKUP(U$3,Data_Entry!$C:$AB,Data_Entry!$A6,0),"")</f>
        <v>0</v>
      </c>
      <c r="V8" s="108">
        <f>IFERROR(VLOOKUP(V$3,Data_Entry!$C:$AB,Data_Entry!$A6,0),"")</f>
        <v>0</v>
      </c>
      <c r="W8" s="108">
        <f>IFERROR(VLOOKUP(W$3,Data_Entry!$C:$AB,Data_Entry!$A6,0),"")</f>
        <v>0</v>
      </c>
      <c r="X8" s="108">
        <f>IFERROR(VLOOKUP(X$3,Data_Entry!$C:$AB,Data_Entry!$A6,0),"")</f>
        <v>0</v>
      </c>
      <c r="Y8" s="108">
        <f>IFERROR(VLOOKUP(Y$3,Data_Entry!$C:$AB,Data_Entry!$A6,0),"")</f>
        <v>0</v>
      </c>
      <c r="Z8" s="108">
        <f>IFERROR(VLOOKUP(Z$3,Data_Entry!$C:$AB,Data_Entry!$A6,0),"")</f>
        <v>0</v>
      </c>
      <c r="AA8" s="108">
        <f>IFERROR(VLOOKUP(AA$3,Data_Entry!$C:$AB,Data_Entry!$A6,0),"")</f>
        <v>0</v>
      </c>
      <c r="AB8" s="108">
        <f>IFERROR(VLOOKUP(AB$3,Data_Entry!$C:$AB,Data_Entry!$A6,0),"")</f>
        <v>0</v>
      </c>
      <c r="AC8" s="108">
        <f>IFERROR(VLOOKUP(AC$3,Data_Entry!$C:$AB,Data_Entry!$A6,0),"")</f>
        <v>0</v>
      </c>
      <c r="AD8" s="108">
        <f>IFERROR(VLOOKUP(AD$3,Data_Entry!$C:$AB,Data_Entry!$A6,0),"")</f>
        <v>0</v>
      </c>
      <c r="AE8" s="108">
        <f>IFERROR(VLOOKUP(AE$3,Data_Entry!$C:$AB,Data_Entry!$A6,0),"")</f>
        <v>0</v>
      </c>
      <c r="AF8" s="108">
        <f>IFERROR(VLOOKUP(AF$3,Data_Entry!$C:$AB,Data_Entry!$A6,0),"")</f>
        <v>0</v>
      </c>
      <c r="AG8" s="108">
        <f t="shared" si="1"/>
        <v>1663.13</v>
      </c>
    </row>
    <row r="9" spans="1:33" ht="14.25" customHeight="1">
      <c r="A9" s="107" t="s">
        <v>20</v>
      </c>
      <c r="B9" s="108">
        <f>IFERROR(VLOOKUP(B$3,Data_Entry!$C:$AB,Data_Entry!$A7,0),"")</f>
        <v>1653.37</v>
      </c>
      <c r="C9" s="108">
        <f>IFERROR(VLOOKUP(C$3,Data_Entry!$C:$AB,Data_Entry!$A7,0),"")</f>
        <v>0</v>
      </c>
      <c r="D9" s="108">
        <f>IFERROR(VLOOKUP(D$3,Data_Entry!$C:$AB,Data_Entry!$A7,0),"")</f>
        <v>0</v>
      </c>
      <c r="E9" s="108">
        <f>IFERROR(VLOOKUP(E$3,Data_Entry!$C:$AB,Data_Entry!$A7,0),"")</f>
        <v>0</v>
      </c>
      <c r="F9" s="108">
        <f>IFERROR(VLOOKUP(F$3,Data_Entry!$C:$AB,Data_Entry!$A7,0),"")</f>
        <v>0</v>
      </c>
      <c r="G9" s="108">
        <f>IFERROR(VLOOKUP(G$3,Data_Entry!$C:$AB,Data_Entry!$A7,0),"")</f>
        <v>0</v>
      </c>
      <c r="H9" s="108">
        <f>IFERROR(VLOOKUP(H$3,Data_Entry!$C:$AB,Data_Entry!$A7,0),"")</f>
        <v>0</v>
      </c>
      <c r="I9" s="108">
        <f>IFERROR(VLOOKUP(I$3,Data_Entry!$C:$AB,Data_Entry!$A7,0),"")</f>
        <v>0</v>
      </c>
      <c r="J9" s="108">
        <f>IFERROR(VLOOKUP(J$3,Data_Entry!$C:$AB,Data_Entry!$A7,0),"")</f>
        <v>0</v>
      </c>
      <c r="K9" s="108">
        <f>IFERROR(VLOOKUP(K$3,Data_Entry!$C:$AB,Data_Entry!$A7,0),"")</f>
        <v>0</v>
      </c>
      <c r="L9" s="108">
        <f>IFERROR(VLOOKUP(L$3,Data_Entry!$C:$AB,Data_Entry!$A7,0),"")</f>
        <v>0</v>
      </c>
      <c r="M9" s="108">
        <f>IFERROR(VLOOKUP(M$3,Data_Entry!$C:$AB,Data_Entry!$A7,0),"")</f>
        <v>0</v>
      </c>
      <c r="N9" s="108">
        <f>IFERROR(VLOOKUP(N$3,Data_Entry!$C:$AB,Data_Entry!$A7,0),"")</f>
        <v>0</v>
      </c>
      <c r="O9" s="108">
        <f>IFERROR(VLOOKUP(O$3,Data_Entry!$C:$AB,Data_Entry!$A7,0),"")</f>
        <v>0</v>
      </c>
      <c r="P9" s="108">
        <f>IFERROR(VLOOKUP(P$3,Data_Entry!$C:$AB,Data_Entry!$A7,0),"")</f>
        <v>0</v>
      </c>
      <c r="Q9" s="108">
        <f>IFERROR(VLOOKUP(Q$3,Data_Entry!$C:$AB,Data_Entry!$A7,0),"")</f>
        <v>0</v>
      </c>
      <c r="R9" s="108">
        <f>IFERROR(VLOOKUP(R$3,Data_Entry!$C:$AB,Data_Entry!$A7,0),"")</f>
        <v>0</v>
      </c>
      <c r="S9" s="108">
        <f>IFERROR(VLOOKUP(S$3,Data_Entry!$C:$AB,Data_Entry!$A7,0),"")</f>
        <v>0</v>
      </c>
      <c r="T9" s="108">
        <f>IFERROR(VLOOKUP(T$3,Data_Entry!$C:$AB,Data_Entry!$A7,0),"")</f>
        <v>0</v>
      </c>
      <c r="U9" s="108">
        <f>IFERROR(VLOOKUP(U$3,Data_Entry!$C:$AB,Data_Entry!$A7,0),"")</f>
        <v>0</v>
      </c>
      <c r="V9" s="108">
        <f>IFERROR(VLOOKUP(V$3,Data_Entry!$C:$AB,Data_Entry!$A7,0),"")</f>
        <v>0</v>
      </c>
      <c r="W9" s="108">
        <f>IFERROR(VLOOKUP(W$3,Data_Entry!$C:$AB,Data_Entry!$A7,0),"")</f>
        <v>0</v>
      </c>
      <c r="X9" s="108">
        <f>IFERROR(VLOOKUP(X$3,Data_Entry!$C:$AB,Data_Entry!$A7,0),"")</f>
        <v>0</v>
      </c>
      <c r="Y9" s="108">
        <f>IFERROR(VLOOKUP(Y$3,Data_Entry!$C:$AB,Data_Entry!$A7,0),"")</f>
        <v>0</v>
      </c>
      <c r="Z9" s="108">
        <f>IFERROR(VLOOKUP(Z$3,Data_Entry!$C:$AB,Data_Entry!$A7,0),"")</f>
        <v>0</v>
      </c>
      <c r="AA9" s="108">
        <f>IFERROR(VLOOKUP(AA$3,Data_Entry!$C:$AB,Data_Entry!$A7,0),"")</f>
        <v>0</v>
      </c>
      <c r="AB9" s="108">
        <f>IFERROR(VLOOKUP(AB$3,Data_Entry!$C:$AB,Data_Entry!$A7,0),"")</f>
        <v>0</v>
      </c>
      <c r="AC9" s="108">
        <f>IFERROR(VLOOKUP(AC$3,Data_Entry!$C:$AB,Data_Entry!$A7,0),"")</f>
        <v>0</v>
      </c>
      <c r="AD9" s="108">
        <f>IFERROR(VLOOKUP(AD$3,Data_Entry!$C:$AB,Data_Entry!$A7,0),"")</f>
        <v>0</v>
      </c>
      <c r="AE9" s="108">
        <f>IFERROR(VLOOKUP(AE$3,Data_Entry!$C:$AB,Data_Entry!$A7,0),"")</f>
        <v>0</v>
      </c>
      <c r="AF9" s="108">
        <f>IFERROR(VLOOKUP(AF$3,Data_Entry!$C:$AB,Data_Entry!$A7,0),"")</f>
        <v>0</v>
      </c>
      <c r="AG9" s="108">
        <f t="shared" si="1"/>
        <v>1653.37</v>
      </c>
    </row>
    <row r="10" spans="1:33" ht="14.25" customHeight="1">
      <c r="A10" s="107" t="s">
        <v>21</v>
      </c>
      <c r="B10" s="108">
        <f>IFERROR(VLOOKUP(B$3,Data_Entry!$C:$AB,Data_Entry!$A8,0),"")</f>
        <v>1662.44</v>
      </c>
      <c r="C10" s="108">
        <f>IFERROR(VLOOKUP(C$3,Data_Entry!$C:$AB,Data_Entry!$A8,0),"")</f>
        <v>0</v>
      </c>
      <c r="D10" s="108">
        <f>IFERROR(VLOOKUP(D$3,Data_Entry!$C:$AB,Data_Entry!$A8,0),"")</f>
        <v>0</v>
      </c>
      <c r="E10" s="108">
        <f>IFERROR(VLOOKUP(E$3,Data_Entry!$C:$AB,Data_Entry!$A8,0),"")</f>
        <v>0</v>
      </c>
      <c r="F10" s="108">
        <f>IFERROR(VLOOKUP(F$3,Data_Entry!$C:$AB,Data_Entry!$A8,0),"")</f>
        <v>0</v>
      </c>
      <c r="G10" s="108">
        <f>IFERROR(VLOOKUP(G$3,Data_Entry!$C:$AB,Data_Entry!$A8,0),"")</f>
        <v>0</v>
      </c>
      <c r="H10" s="108">
        <f>IFERROR(VLOOKUP(H$3,Data_Entry!$C:$AB,Data_Entry!$A8,0),"")</f>
        <v>0</v>
      </c>
      <c r="I10" s="108">
        <f>IFERROR(VLOOKUP(I$3,Data_Entry!$C:$AB,Data_Entry!$A8,0),"")</f>
        <v>0</v>
      </c>
      <c r="J10" s="108">
        <f>IFERROR(VLOOKUP(J$3,Data_Entry!$C:$AB,Data_Entry!$A8,0),"")</f>
        <v>0</v>
      </c>
      <c r="K10" s="108">
        <f>IFERROR(VLOOKUP(K$3,Data_Entry!$C:$AB,Data_Entry!$A8,0),"")</f>
        <v>0</v>
      </c>
      <c r="L10" s="108">
        <f>IFERROR(VLOOKUP(L$3,Data_Entry!$C:$AB,Data_Entry!$A8,0),"")</f>
        <v>0</v>
      </c>
      <c r="M10" s="108">
        <f>IFERROR(VLOOKUP(M$3,Data_Entry!$C:$AB,Data_Entry!$A8,0),"")</f>
        <v>0</v>
      </c>
      <c r="N10" s="108">
        <f>IFERROR(VLOOKUP(N$3,Data_Entry!$C:$AB,Data_Entry!$A8,0),"")</f>
        <v>0</v>
      </c>
      <c r="O10" s="108">
        <f>IFERROR(VLOOKUP(O$3,Data_Entry!$C:$AB,Data_Entry!$A8,0),"")</f>
        <v>0</v>
      </c>
      <c r="P10" s="108">
        <f>IFERROR(VLOOKUP(P$3,Data_Entry!$C:$AB,Data_Entry!$A8,0),"")</f>
        <v>0</v>
      </c>
      <c r="Q10" s="108">
        <f>IFERROR(VLOOKUP(Q$3,Data_Entry!$C:$AB,Data_Entry!$A8,0),"")</f>
        <v>0</v>
      </c>
      <c r="R10" s="108">
        <f>IFERROR(VLOOKUP(R$3,Data_Entry!$C:$AB,Data_Entry!$A8,0),"")</f>
        <v>0</v>
      </c>
      <c r="S10" s="108">
        <f>IFERROR(VLOOKUP(S$3,Data_Entry!$C:$AB,Data_Entry!$A8,0),"")</f>
        <v>0</v>
      </c>
      <c r="T10" s="108">
        <f>IFERROR(VLOOKUP(T$3,Data_Entry!$C:$AB,Data_Entry!$A8,0),"")</f>
        <v>0</v>
      </c>
      <c r="U10" s="108">
        <f>IFERROR(VLOOKUP(U$3,Data_Entry!$C:$AB,Data_Entry!$A8,0),"")</f>
        <v>0</v>
      </c>
      <c r="V10" s="108">
        <f>IFERROR(VLOOKUP(V$3,Data_Entry!$C:$AB,Data_Entry!$A8,0),"")</f>
        <v>0</v>
      </c>
      <c r="W10" s="108">
        <f>IFERROR(VLOOKUP(W$3,Data_Entry!$C:$AB,Data_Entry!$A8,0),"")</f>
        <v>0</v>
      </c>
      <c r="X10" s="108">
        <f>IFERROR(VLOOKUP(X$3,Data_Entry!$C:$AB,Data_Entry!$A8,0),"")</f>
        <v>0</v>
      </c>
      <c r="Y10" s="108">
        <f>IFERROR(VLOOKUP(Y$3,Data_Entry!$C:$AB,Data_Entry!$A8,0),"")</f>
        <v>0</v>
      </c>
      <c r="Z10" s="108">
        <f>IFERROR(VLOOKUP(Z$3,Data_Entry!$C:$AB,Data_Entry!$A8,0),"")</f>
        <v>0</v>
      </c>
      <c r="AA10" s="108">
        <f>IFERROR(VLOOKUP(AA$3,Data_Entry!$C:$AB,Data_Entry!$A8,0),"")</f>
        <v>0</v>
      </c>
      <c r="AB10" s="108">
        <f>IFERROR(VLOOKUP(AB$3,Data_Entry!$C:$AB,Data_Entry!$A8,0),"")</f>
        <v>0</v>
      </c>
      <c r="AC10" s="108">
        <f>IFERROR(VLOOKUP(AC$3,Data_Entry!$C:$AB,Data_Entry!$A8,0),"")</f>
        <v>0</v>
      </c>
      <c r="AD10" s="108">
        <f>IFERROR(VLOOKUP(AD$3,Data_Entry!$C:$AB,Data_Entry!$A8,0),"")</f>
        <v>0</v>
      </c>
      <c r="AE10" s="108">
        <f>IFERROR(VLOOKUP(AE$3,Data_Entry!$C:$AB,Data_Entry!$A8,0),"")</f>
        <v>0</v>
      </c>
      <c r="AF10" s="108">
        <f>IFERROR(VLOOKUP(AF$3,Data_Entry!$C:$AB,Data_Entry!$A8,0),"")</f>
        <v>0</v>
      </c>
      <c r="AG10" s="108">
        <f t="shared" si="1"/>
        <v>1662.44</v>
      </c>
    </row>
    <row r="11" spans="1:33" ht="14.25" customHeight="1">
      <c r="A11" s="109" t="s">
        <v>58</v>
      </c>
      <c r="B11" s="108">
        <f>SUM(B4:B10)</f>
        <v>11350.22</v>
      </c>
      <c r="C11" s="108">
        <f t="shared" ref="C11:AG11" si="2">SUM(C4:C10)</f>
        <v>0</v>
      </c>
      <c r="D11" s="108">
        <f t="shared" si="2"/>
        <v>0</v>
      </c>
      <c r="E11" s="108">
        <f t="shared" si="2"/>
        <v>0</v>
      </c>
      <c r="F11" s="108">
        <f t="shared" si="2"/>
        <v>0</v>
      </c>
      <c r="G11" s="108">
        <f t="shared" si="2"/>
        <v>0</v>
      </c>
      <c r="H11" s="108">
        <f t="shared" si="2"/>
        <v>0</v>
      </c>
      <c r="I11" s="108">
        <f t="shared" si="2"/>
        <v>0</v>
      </c>
      <c r="J11" s="108">
        <f t="shared" si="2"/>
        <v>0</v>
      </c>
      <c r="K11" s="108">
        <f t="shared" si="2"/>
        <v>0</v>
      </c>
      <c r="L11" s="108">
        <f t="shared" si="2"/>
        <v>0</v>
      </c>
      <c r="M11" s="108">
        <f t="shared" si="2"/>
        <v>0</v>
      </c>
      <c r="N11" s="108">
        <f t="shared" si="2"/>
        <v>0</v>
      </c>
      <c r="O11" s="108">
        <f t="shared" si="2"/>
        <v>0</v>
      </c>
      <c r="P11" s="108">
        <f t="shared" si="2"/>
        <v>0</v>
      </c>
      <c r="Q11" s="108">
        <f t="shared" si="2"/>
        <v>0</v>
      </c>
      <c r="R11" s="108">
        <f t="shared" si="2"/>
        <v>0</v>
      </c>
      <c r="S11" s="108">
        <f t="shared" si="2"/>
        <v>0</v>
      </c>
      <c r="T11" s="108">
        <f t="shared" si="2"/>
        <v>0</v>
      </c>
      <c r="U11" s="108">
        <f t="shared" si="2"/>
        <v>0</v>
      </c>
      <c r="V11" s="108">
        <f t="shared" si="2"/>
        <v>0</v>
      </c>
      <c r="W11" s="108">
        <f t="shared" si="2"/>
        <v>0</v>
      </c>
      <c r="X11" s="108">
        <f t="shared" si="2"/>
        <v>0</v>
      </c>
      <c r="Y11" s="108">
        <f t="shared" si="2"/>
        <v>0</v>
      </c>
      <c r="Z11" s="108">
        <f t="shared" si="2"/>
        <v>0</v>
      </c>
      <c r="AA11" s="108">
        <f t="shared" si="2"/>
        <v>0</v>
      </c>
      <c r="AB11" s="108">
        <f t="shared" si="2"/>
        <v>0</v>
      </c>
      <c r="AC11" s="108">
        <f t="shared" si="2"/>
        <v>0</v>
      </c>
      <c r="AD11" s="108">
        <f t="shared" si="2"/>
        <v>0</v>
      </c>
      <c r="AE11" s="108">
        <f t="shared" si="2"/>
        <v>0</v>
      </c>
      <c r="AF11" s="108">
        <f t="shared" si="2"/>
        <v>0</v>
      </c>
      <c r="AG11" s="108">
        <f t="shared" si="2"/>
        <v>11350.22</v>
      </c>
    </row>
    <row r="12" spans="1:33" ht="14.25" customHeight="1">
      <c r="A12" s="109" t="s">
        <v>59</v>
      </c>
      <c r="B12" s="108">
        <f>IFERROR(VLOOKUP(B$3,Data_Entry!$C:$AB,14,0)," ")</f>
        <v>11309.9999999999</v>
      </c>
      <c r="C12" s="108">
        <f>IFERROR(VLOOKUP(C$3,Data_Entry!$C:$AB,14,0)," ")</f>
        <v>0</v>
      </c>
      <c r="D12" s="108">
        <f>IFERROR(VLOOKUP(D$3,Data_Entry!$C:$AB,14,0)," ")</f>
        <v>0</v>
      </c>
      <c r="E12" s="108">
        <f>IFERROR(VLOOKUP(E$3,Data_Entry!$C:$AB,14,0)," ")</f>
        <v>0</v>
      </c>
      <c r="F12" s="108">
        <f>IFERROR(VLOOKUP(F$3,Data_Entry!$C:$AB,14,0)," ")</f>
        <v>0</v>
      </c>
      <c r="G12" s="108">
        <f>IFERROR(VLOOKUP(G$3,Data_Entry!$C:$AB,14,0)," ")</f>
        <v>0</v>
      </c>
      <c r="H12" s="108">
        <f>IFERROR(VLOOKUP(H$3,Data_Entry!$C:$AB,14,0)," ")</f>
        <v>0</v>
      </c>
      <c r="I12" s="108">
        <f>IFERROR(VLOOKUP(I$3,Data_Entry!$C:$AB,14,0)," ")</f>
        <v>0</v>
      </c>
      <c r="J12" s="108">
        <f>IFERROR(VLOOKUP(J$3,Data_Entry!$C:$AB,14,0)," ")</f>
        <v>0</v>
      </c>
      <c r="K12" s="108">
        <f>IFERROR(VLOOKUP(K$3,Data_Entry!$C:$AB,14,0)," ")</f>
        <v>0</v>
      </c>
      <c r="L12" s="108">
        <f>IFERROR(VLOOKUP(L$3,Data_Entry!$C:$AB,14,0)," ")</f>
        <v>0</v>
      </c>
      <c r="M12" s="108">
        <f>IFERROR(VLOOKUP(M$3,Data_Entry!$C:$AB,14,0)," ")</f>
        <v>0</v>
      </c>
      <c r="N12" s="108">
        <f>IFERROR(VLOOKUP(N$3,Data_Entry!$C:$AB,14,0)," ")</f>
        <v>0</v>
      </c>
      <c r="O12" s="108">
        <f>IFERROR(VLOOKUP(O$3,Data_Entry!$C:$AB,14,0)," ")</f>
        <v>0</v>
      </c>
      <c r="P12" s="108">
        <f>IFERROR(VLOOKUP(P$3,Data_Entry!$C:$AB,14,0)," ")</f>
        <v>0</v>
      </c>
      <c r="Q12" s="108">
        <f>IFERROR(VLOOKUP(Q$3,Data_Entry!$C:$AB,14,0)," ")</f>
        <v>0</v>
      </c>
      <c r="R12" s="108">
        <f>IFERROR(VLOOKUP(R$3,Data_Entry!$C:$AB,14,0)," ")</f>
        <v>0</v>
      </c>
      <c r="S12" s="108">
        <f>IFERROR(VLOOKUP(S$3,Data_Entry!$C:$AB,14,0)," ")</f>
        <v>0</v>
      </c>
      <c r="T12" s="108">
        <f>IFERROR(VLOOKUP(T$3,Data_Entry!$C:$AB,14,0)," ")</f>
        <v>0</v>
      </c>
      <c r="U12" s="108">
        <f>IFERROR(VLOOKUP(U$3,Data_Entry!$C:$AB,14,0)," ")</f>
        <v>0</v>
      </c>
      <c r="V12" s="108">
        <f>IFERROR(VLOOKUP(V$3,Data_Entry!$C:$AB,14,0)," ")</f>
        <v>0</v>
      </c>
      <c r="W12" s="108">
        <f>IFERROR(VLOOKUP(W$3,Data_Entry!$C:$AB,14,0)," ")</f>
        <v>0</v>
      </c>
      <c r="X12" s="108">
        <f>IFERROR(VLOOKUP(X$3,Data_Entry!$C:$AB,14,0)," ")</f>
        <v>0</v>
      </c>
      <c r="Y12" s="108">
        <f>IFERROR(VLOOKUP(Y$3,Data_Entry!$C:$AB,14,0)," ")</f>
        <v>0</v>
      </c>
      <c r="Z12" s="108">
        <f>IFERROR(VLOOKUP(Z$3,Data_Entry!$C:$AB,14,0)," ")</f>
        <v>0</v>
      </c>
      <c r="AA12" s="108">
        <f>IFERROR(VLOOKUP(AA$3,Data_Entry!$C:$AB,14,0)," ")</f>
        <v>0</v>
      </c>
      <c r="AB12" s="108">
        <f>IFERROR(VLOOKUP(AB$3,Data_Entry!$C:$AB,14,0)," ")</f>
        <v>0</v>
      </c>
      <c r="AC12" s="108">
        <f>IFERROR(VLOOKUP(AC$3,Data_Entry!$C:$AB,14,0)," ")</f>
        <v>0</v>
      </c>
      <c r="AD12" s="108">
        <f>IFERROR(VLOOKUP(AD$3,Data_Entry!$C:$AB,14,0)," ")</f>
        <v>0</v>
      </c>
      <c r="AE12" s="108">
        <f>IFERROR(VLOOKUP(AE$3,Data_Entry!$C:$AB,14,0)," ")</f>
        <v>0</v>
      </c>
      <c r="AF12" s="108">
        <f>IFERROR(VLOOKUP(AF$3,Data_Entry!$C:$AB,14,0)," ")</f>
        <v>0</v>
      </c>
      <c r="AG12" s="108" t="str">
        <f>IFERROR(VLOOKUP(AG$3,Data_Entry!$C:$AB,14,0)," ")</f>
        <v/>
      </c>
    </row>
    <row r="13" spans="1:33" ht="14.25" customHeight="1">
      <c r="A13" s="109" t="s">
        <v>60</v>
      </c>
      <c r="B13" s="108">
        <f>IFERROR(VLOOKUP(B$3,Data_Entry!$C:$AB,17,0)," ")</f>
        <v>29.9999999999994</v>
      </c>
      <c r="C13" s="108">
        <f>IFERROR(VLOOKUP(C$3,Data_Entry!$C:$AB,17,0)," ")</f>
        <v>0</v>
      </c>
      <c r="D13" s="108">
        <f>IFERROR(VLOOKUP(D$3,Data_Entry!$C:$AB,17,0)," ")</f>
        <v>0</v>
      </c>
      <c r="E13" s="108">
        <f>IFERROR(VLOOKUP(E$3,Data_Entry!$C:$AB,17,0)," ")</f>
        <v>0</v>
      </c>
      <c r="F13" s="108">
        <f>IFERROR(VLOOKUP(F$3,Data_Entry!$C:$AB,17,0)," ")</f>
        <v>0</v>
      </c>
      <c r="G13" s="108">
        <f>IFERROR(VLOOKUP(G$3,Data_Entry!$C:$AB,17,0)," ")</f>
        <v>0</v>
      </c>
      <c r="H13" s="108">
        <f>IFERROR(VLOOKUP(H$3,Data_Entry!$C:$AB,17,0)," ")</f>
        <v>0</v>
      </c>
      <c r="I13" s="108">
        <f>IFERROR(VLOOKUP(I$3,Data_Entry!$C:$AB,17,0)," ")</f>
        <v>0</v>
      </c>
      <c r="J13" s="108">
        <f>IFERROR(VLOOKUP(J$3,Data_Entry!$C:$AB,17,0)," ")</f>
        <v>0</v>
      </c>
      <c r="K13" s="108">
        <f>IFERROR(VLOOKUP(K$3,Data_Entry!$C:$AB,17,0)," ")</f>
        <v>0</v>
      </c>
      <c r="L13" s="108">
        <f>IFERROR(VLOOKUP(L$3,Data_Entry!$C:$AB,17,0)," ")</f>
        <v>0</v>
      </c>
      <c r="M13" s="108">
        <f>IFERROR(VLOOKUP(M$3,Data_Entry!$C:$AB,17,0)," ")</f>
        <v>0</v>
      </c>
      <c r="N13" s="108">
        <f>IFERROR(VLOOKUP(N$3,Data_Entry!$C:$AB,17,0)," ")</f>
        <v>0</v>
      </c>
      <c r="O13" s="108">
        <f>IFERROR(VLOOKUP(O$3,Data_Entry!$C:$AB,17,0)," ")</f>
        <v>0</v>
      </c>
      <c r="P13" s="108">
        <f>IFERROR(VLOOKUP(P$3,Data_Entry!$C:$AB,17,0)," ")</f>
        <v>0</v>
      </c>
      <c r="Q13" s="108">
        <f>IFERROR(VLOOKUP(Q$3,Data_Entry!$C:$AB,17,0)," ")</f>
        <v>0</v>
      </c>
      <c r="R13" s="108">
        <f>IFERROR(VLOOKUP(R$3,Data_Entry!$C:$AB,17,0)," ")</f>
        <v>0</v>
      </c>
      <c r="S13" s="108">
        <f>IFERROR(VLOOKUP(S$3,Data_Entry!$C:$AB,17,0)," ")</f>
        <v>0</v>
      </c>
      <c r="T13" s="108">
        <f>IFERROR(VLOOKUP(T$3,Data_Entry!$C:$AB,17,0)," ")</f>
        <v>0</v>
      </c>
      <c r="U13" s="108">
        <f>IFERROR(VLOOKUP(U$3,Data_Entry!$C:$AB,17,0)," ")</f>
        <v>0</v>
      </c>
      <c r="V13" s="108">
        <f>IFERROR(VLOOKUP(V$3,Data_Entry!$C:$AB,17,0)," ")</f>
        <v>0</v>
      </c>
      <c r="W13" s="108">
        <f>IFERROR(VLOOKUP(W$3,Data_Entry!$C:$AB,17,0)," ")</f>
        <v>0</v>
      </c>
      <c r="X13" s="108">
        <f>IFERROR(VLOOKUP(X$3,Data_Entry!$C:$AB,17,0)," ")</f>
        <v>0</v>
      </c>
      <c r="Y13" s="108">
        <f>IFERROR(VLOOKUP(Y$3,Data_Entry!$C:$AB,17,0)," ")</f>
        <v>0</v>
      </c>
      <c r="Z13" s="108">
        <f>IFERROR(VLOOKUP(Z$3,Data_Entry!$C:$AB,17,0)," ")</f>
        <v>0</v>
      </c>
      <c r="AA13" s="108">
        <f>IFERROR(VLOOKUP(AA$3,Data_Entry!$C:$AB,17,0)," ")</f>
        <v>0</v>
      </c>
      <c r="AB13" s="108">
        <f>IFERROR(VLOOKUP(AB$3,Data_Entry!$C:$AB,17,0)," ")</f>
        <v>0</v>
      </c>
      <c r="AC13" s="108">
        <f>IFERROR(VLOOKUP(AC$3,Data_Entry!$C:$AB,17,0)," ")</f>
        <v>0</v>
      </c>
      <c r="AD13" s="108">
        <f>IFERROR(VLOOKUP(AD$3,Data_Entry!$C:$AB,17,0)," ")</f>
        <v>0</v>
      </c>
      <c r="AE13" s="108">
        <f>IFERROR(VLOOKUP(AE$3,Data_Entry!$C:$AB,17,0)," ")</f>
        <v>0</v>
      </c>
      <c r="AF13" s="108">
        <f>IFERROR(VLOOKUP(AF$3,Data_Entry!$C:$AB,17,0)," ")</f>
        <v>0</v>
      </c>
      <c r="AG13" s="108" t="str">
        <f>IFERROR(VLOOKUP(AG$3,Data_Entry!$C:$AB,17,0)," ")</f>
        <v/>
      </c>
    </row>
    <row r="14" spans="1:33" ht="14.25" customHeight="1">
      <c r="A14" s="109" t="s">
        <v>61</v>
      </c>
      <c r="B14" s="108">
        <f>IFERROR(VLOOKUP(B$3,Data_Entry!$C:$AB,18,0)," ")</f>
        <v>11279.9999999999</v>
      </c>
      <c r="C14" s="108">
        <f>IFERROR(VLOOKUP(C$3,Data_Entry!$C:$AB,18,0)," ")</f>
        <v>0</v>
      </c>
      <c r="D14" s="108">
        <f>IFERROR(VLOOKUP(D$3,Data_Entry!$C:$AB,18,0)," ")</f>
        <v>0</v>
      </c>
      <c r="E14" s="108">
        <f>IFERROR(VLOOKUP(E$3,Data_Entry!$C:$AB,18,0)," ")</f>
        <v>0</v>
      </c>
      <c r="F14" s="108">
        <f>IFERROR(VLOOKUP(F$3,Data_Entry!$C:$AB,18,0)," ")</f>
        <v>0</v>
      </c>
      <c r="G14" s="108">
        <f>IFERROR(VLOOKUP(G$3,Data_Entry!$C:$AB,18,0)," ")</f>
        <v>0</v>
      </c>
      <c r="H14" s="108">
        <f>IFERROR(VLOOKUP(H$3,Data_Entry!$C:$AB,18,0)," ")</f>
        <v>0</v>
      </c>
      <c r="I14" s="108">
        <f>IFERROR(VLOOKUP(I$3,Data_Entry!$C:$AB,18,0)," ")</f>
        <v>0</v>
      </c>
      <c r="J14" s="108">
        <f>IFERROR(VLOOKUP(J$3,Data_Entry!$C:$AB,18,0)," ")</f>
        <v>0</v>
      </c>
      <c r="K14" s="108">
        <f>IFERROR(VLOOKUP(K$3,Data_Entry!$C:$AB,18,0)," ")</f>
        <v>0</v>
      </c>
      <c r="L14" s="108">
        <f>IFERROR(VLOOKUP(L$3,Data_Entry!$C:$AB,18,0)," ")</f>
        <v>0</v>
      </c>
      <c r="M14" s="108">
        <f>IFERROR(VLOOKUP(M$3,Data_Entry!$C:$AB,18,0)," ")</f>
        <v>0</v>
      </c>
      <c r="N14" s="108">
        <f>IFERROR(VLOOKUP(N$3,Data_Entry!$C:$AB,18,0)," ")</f>
        <v>0</v>
      </c>
      <c r="O14" s="108">
        <f>IFERROR(VLOOKUP(O$3,Data_Entry!$C:$AB,18,0)," ")</f>
        <v>0</v>
      </c>
      <c r="P14" s="108">
        <f>IFERROR(VLOOKUP(P$3,Data_Entry!$C:$AB,18,0)," ")</f>
        <v>0</v>
      </c>
      <c r="Q14" s="108">
        <f>IFERROR(VLOOKUP(Q$3,Data_Entry!$C:$AB,18,0)," ")</f>
        <v>0</v>
      </c>
      <c r="R14" s="108">
        <f>IFERROR(VLOOKUP(R$3,Data_Entry!$C:$AB,18,0)," ")</f>
        <v>0</v>
      </c>
      <c r="S14" s="108">
        <f>IFERROR(VLOOKUP(S$3,Data_Entry!$C:$AB,18,0)," ")</f>
        <v>0</v>
      </c>
      <c r="T14" s="108">
        <f>IFERROR(VLOOKUP(T$3,Data_Entry!$C:$AB,18,0)," ")</f>
        <v>0</v>
      </c>
      <c r="U14" s="108">
        <f>IFERROR(VLOOKUP(U$3,Data_Entry!$C:$AB,18,0)," ")</f>
        <v>0</v>
      </c>
      <c r="V14" s="108">
        <f>IFERROR(VLOOKUP(V$3,Data_Entry!$C:$AB,18,0)," ")</f>
        <v>0</v>
      </c>
      <c r="W14" s="108">
        <f>IFERROR(VLOOKUP(W$3,Data_Entry!$C:$AB,18,0)," ")</f>
        <v>0</v>
      </c>
      <c r="X14" s="108">
        <f>IFERROR(VLOOKUP(X$3,Data_Entry!$C:$AB,18,0)," ")</f>
        <v>0</v>
      </c>
      <c r="Y14" s="108">
        <f>IFERROR(VLOOKUP(Y$3,Data_Entry!$C:$AB,18,0)," ")</f>
        <v>0</v>
      </c>
      <c r="Z14" s="108">
        <f>IFERROR(VLOOKUP(Z$3,Data_Entry!$C:$AB,18,0)," ")</f>
        <v>0</v>
      </c>
      <c r="AA14" s="108">
        <f>IFERROR(VLOOKUP(AA$3,Data_Entry!$C:$AB,18,0)," ")</f>
        <v>0</v>
      </c>
      <c r="AB14" s="108">
        <f>IFERROR(VLOOKUP(AB$3,Data_Entry!$C:$AB,18,0)," ")</f>
        <v>0</v>
      </c>
      <c r="AC14" s="108">
        <f>IFERROR(VLOOKUP(AC$3,Data_Entry!$C:$AB,18,0)," ")</f>
        <v>0</v>
      </c>
      <c r="AD14" s="108">
        <f>IFERROR(VLOOKUP(AD$3,Data_Entry!$C:$AB,18,0)," ")</f>
        <v>0</v>
      </c>
      <c r="AE14" s="108">
        <f>IFERROR(VLOOKUP(AE$3,Data_Entry!$C:$AB,18,0)," ")</f>
        <v>0</v>
      </c>
      <c r="AF14" s="108">
        <f>IFERROR(VLOOKUP(AF$3,Data_Entry!$C:$AB,18,0)," ")</f>
        <v>0</v>
      </c>
      <c r="AG14" s="108" t="str">
        <f>IFERROR(VLOOKUP(AG$3,Data_Entry!$C:$AB,18,0)," ")</f>
        <v/>
      </c>
    </row>
    <row r="15" spans="1:33" ht="14.25" customHeight="1">
      <c r="A15" s="109" t="s">
        <v>62</v>
      </c>
      <c r="B15" s="110">
        <f>IFERROR(VLOOKUP(B$3,Data_Entry!$C:$AB,20,0)," ")</f>
        <v>4.71</v>
      </c>
      <c r="C15" s="110">
        <f>IFERROR(VLOOKUP(C$3,Data_Entry!$C:$AB,20,0)," ")</f>
        <v>0</v>
      </c>
      <c r="D15" s="110">
        <f>IFERROR(VLOOKUP(D$3,Data_Entry!$C:$AB,20,0)," ")</f>
        <v>0</v>
      </c>
      <c r="E15" s="110">
        <f>IFERROR(VLOOKUP(E$3,Data_Entry!$C:$AB,20,0)," ")</f>
        <v>0</v>
      </c>
      <c r="F15" s="110">
        <f>IFERROR(VLOOKUP(F$3,Data_Entry!$C:$AB,20,0)," ")</f>
        <v>0</v>
      </c>
      <c r="G15" s="110">
        <f>IFERROR(VLOOKUP(G$3,Data_Entry!$C:$AB,20,0)," ")</f>
        <v>0</v>
      </c>
      <c r="H15" s="110">
        <f>IFERROR(VLOOKUP(H$3,Data_Entry!$C:$AB,20,0)," ")</f>
        <v>0</v>
      </c>
      <c r="I15" s="110">
        <f>IFERROR(VLOOKUP(I$3,Data_Entry!$C:$AB,20,0)," ")</f>
        <v>0</v>
      </c>
      <c r="J15" s="110">
        <f>IFERROR(VLOOKUP(J$3,Data_Entry!$C:$AB,20,0)," ")</f>
        <v>0</v>
      </c>
      <c r="K15" s="110">
        <f>IFERROR(VLOOKUP(K$3,Data_Entry!$C:$AB,20,0)," ")</f>
        <v>0</v>
      </c>
      <c r="L15" s="110">
        <f>IFERROR(VLOOKUP(L$3,Data_Entry!$C:$AB,20,0)," ")</f>
        <v>0</v>
      </c>
      <c r="M15" s="110">
        <f>IFERROR(VLOOKUP(M$3,Data_Entry!$C:$AB,20,0)," ")</f>
        <v>0</v>
      </c>
      <c r="N15" s="110">
        <f>IFERROR(VLOOKUP(N$3,Data_Entry!$C:$AB,20,0)," ")</f>
        <v>0</v>
      </c>
      <c r="O15" s="110">
        <f>IFERROR(VLOOKUP(O$3,Data_Entry!$C:$AB,20,0)," ")</f>
        <v>0</v>
      </c>
      <c r="P15" s="110">
        <f>IFERROR(VLOOKUP(P$3,Data_Entry!$C:$AB,20,0)," ")</f>
        <v>0</v>
      </c>
      <c r="Q15" s="110">
        <f>IFERROR(VLOOKUP(Q$3,Data_Entry!$C:$AB,20,0)," ")</f>
        <v>0</v>
      </c>
      <c r="R15" s="110">
        <f>IFERROR(VLOOKUP(R$3,Data_Entry!$C:$AB,20,0)," ")</f>
        <v>0</v>
      </c>
      <c r="S15" s="110">
        <f>IFERROR(VLOOKUP(S$3,Data_Entry!$C:$AB,20,0)," ")</f>
        <v>0</v>
      </c>
      <c r="T15" s="110">
        <f>IFERROR(VLOOKUP(T$3,Data_Entry!$C:$AB,20,0)," ")</f>
        <v>0</v>
      </c>
      <c r="U15" s="110">
        <f>IFERROR(VLOOKUP(U$3,Data_Entry!$C:$AB,20,0)," ")</f>
        <v>0</v>
      </c>
      <c r="V15" s="110">
        <f>IFERROR(VLOOKUP(V$3,Data_Entry!$C:$AB,20,0)," ")</f>
        <v>0</v>
      </c>
      <c r="W15" s="110">
        <f>IFERROR(VLOOKUP(W$3,Data_Entry!$C:$AB,20,0)," ")</f>
        <v>0</v>
      </c>
      <c r="X15" s="110">
        <f>IFERROR(VLOOKUP(X$3,Data_Entry!$C:$AB,20,0)," ")</f>
        <v>0</v>
      </c>
      <c r="Y15" s="110">
        <f>IFERROR(VLOOKUP(Y$3,Data_Entry!$C:$AB,20,0)," ")</f>
        <v>0</v>
      </c>
      <c r="Z15" s="110">
        <f>IFERROR(VLOOKUP(Z$3,Data_Entry!$C:$AB,20,0)," ")</f>
        <v>0</v>
      </c>
      <c r="AA15" s="110">
        <f>IFERROR(VLOOKUP(AA$3,Data_Entry!$C:$AB,20,0)," ")</f>
        <v>0</v>
      </c>
      <c r="AB15" s="110">
        <f>IFERROR(VLOOKUP(AB$3,Data_Entry!$C:$AB,20,0)," ")</f>
        <v>0</v>
      </c>
      <c r="AC15" s="110">
        <f>IFERROR(VLOOKUP(AC$3,Data_Entry!$C:$AB,20,0)," ")</f>
        <v>0</v>
      </c>
      <c r="AD15" s="110">
        <f>IFERROR(VLOOKUP(AD$3,Data_Entry!$C:$AB,20,0)," ")</f>
        <v>0</v>
      </c>
      <c r="AE15" s="110">
        <f>IFERROR(VLOOKUP(AE$3,Data_Entry!$C:$AB,20,0)," ")</f>
        <v>0</v>
      </c>
      <c r="AF15" s="110">
        <f>IFERROR(VLOOKUP(AF$3,Data_Entry!$C:$AB,20,0)," ")</f>
        <v>0</v>
      </c>
    </row>
    <row r="16" spans="1:33" ht="14.25" customHeight="1">
      <c r="A16" s="109" t="s">
        <v>63</v>
      </c>
      <c r="B16" s="110">
        <f>IFERROR(VLOOKUP(B$3,Data_Entry!$C:$AB,19,0)," ")</f>
        <v>0</v>
      </c>
      <c r="C16" s="110">
        <f>IFERROR(VLOOKUP(C$3,Data_Entry!$C:$AB,19,0)," ")</f>
        <v>0</v>
      </c>
      <c r="D16" s="110">
        <f>IFERROR(VLOOKUP(D$3,Data_Entry!$C:$AB,19,0)," ")</f>
        <v>0</v>
      </c>
      <c r="E16" s="110">
        <f>IFERROR(VLOOKUP(E$3,Data_Entry!$C:$AB,19,0)," ")</f>
        <v>0</v>
      </c>
      <c r="F16" s="110">
        <f>IFERROR(VLOOKUP(F$3,Data_Entry!$C:$AB,19,0)," ")</f>
        <v>0</v>
      </c>
      <c r="G16" s="110">
        <f>IFERROR(VLOOKUP(G$3,Data_Entry!$C:$AB,19,0)," ")</f>
        <v>0</v>
      </c>
      <c r="H16" s="110">
        <f>IFERROR(VLOOKUP(H$3,Data_Entry!$C:$AB,19,0)," ")</f>
        <v>0</v>
      </c>
      <c r="I16" s="110">
        <f>IFERROR(VLOOKUP(I$3,Data_Entry!$C:$AB,19,0)," ")</f>
        <v>0</v>
      </c>
      <c r="J16" s="110">
        <f>IFERROR(VLOOKUP(J$3,Data_Entry!$C:$AB,19,0)," ")</f>
        <v>0</v>
      </c>
      <c r="K16" s="110">
        <f>IFERROR(VLOOKUP(K$3,Data_Entry!$C:$AB,19,0)," ")</f>
        <v>0</v>
      </c>
      <c r="L16" s="110">
        <f>IFERROR(VLOOKUP(L$3,Data_Entry!$C:$AB,19,0)," ")</f>
        <v>0</v>
      </c>
      <c r="M16" s="110">
        <f>IFERROR(VLOOKUP(M$3,Data_Entry!$C:$AB,19,0)," ")</f>
        <v>0</v>
      </c>
      <c r="N16" s="110">
        <f>IFERROR(VLOOKUP(N$3,Data_Entry!$C:$AB,19,0)," ")</f>
        <v>0</v>
      </c>
      <c r="O16" s="110">
        <f>IFERROR(VLOOKUP(O$3,Data_Entry!$C:$AB,19,0)," ")</f>
        <v>0</v>
      </c>
      <c r="P16" s="110">
        <f>IFERROR(VLOOKUP(P$3,Data_Entry!$C:$AB,19,0)," ")</f>
        <v>0</v>
      </c>
      <c r="Q16" s="110">
        <f>IFERROR(VLOOKUP(Q$3,Data_Entry!$C:$AB,19,0)," ")</f>
        <v>0</v>
      </c>
      <c r="R16" s="110">
        <f>IFERROR(VLOOKUP(R$3,Data_Entry!$C:$AB,19,0)," ")</f>
        <v>0</v>
      </c>
      <c r="S16" s="110">
        <f>IFERROR(VLOOKUP(S$3,Data_Entry!$C:$AB,19,0)," ")</f>
        <v>0</v>
      </c>
      <c r="T16" s="110">
        <f>IFERROR(VLOOKUP(T$3,Data_Entry!$C:$AB,19,0)," ")</f>
        <v>0</v>
      </c>
      <c r="U16" s="110">
        <f>IFERROR(VLOOKUP(U$3,Data_Entry!$C:$AB,19,0)," ")</f>
        <v>0</v>
      </c>
      <c r="V16" s="110">
        <f>IFERROR(VLOOKUP(V$3,Data_Entry!$C:$AB,19,0)," ")</f>
        <v>0</v>
      </c>
      <c r="W16" s="110">
        <f>IFERROR(VLOOKUP(W$3,Data_Entry!$C:$AB,19,0)," ")</f>
        <v>0</v>
      </c>
      <c r="X16" s="110">
        <f>IFERROR(VLOOKUP(X$3,Data_Entry!$C:$AB,19,0)," ")</f>
        <v>0</v>
      </c>
      <c r="Y16" s="110">
        <f>IFERROR(VLOOKUP(Y$3,Data_Entry!$C:$AB,19,0)," ")</f>
        <v>0</v>
      </c>
      <c r="Z16" s="110">
        <f>IFERROR(VLOOKUP(Z$3,Data_Entry!$C:$AB,19,0)," ")</f>
        <v>0</v>
      </c>
      <c r="AA16" s="110">
        <f>IFERROR(VLOOKUP(AA$3,Data_Entry!$C:$AB,19,0)," ")</f>
        <v>0</v>
      </c>
      <c r="AB16" s="110">
        <f>IFERROR(VLOOKUP(AB$3,Data_Entry!$C:$AB,19,0)," ")</f>
        <v>0</v>
      </c>
      <c r="AC16" s="110">
        <f>IFERROR(VLOOKUP(AC$3,Data_Entry!$C:$AB,19,0)," ")</f>
        <v>0</v>
      </c>
      <c r="AD16" s="110">
        <f>IFERROR(VLOOKUP(AD$3,Data_Entry!$C:$AB,19,0)," ")</f>
        <v>0</v>
      </c>
      <c r="AE16" s="110">
        <f>IFERROR(VLOOKUP(AE$3,Data_Entry!$C:$AB,19,0)," ")</f>
        <v>0</v>
      </c>
      <c r="AF16" s="110">
        <f>IFERROR(VLOOKUP(AF$3,Data_Entry!$C:$AB,19,0)," ")</f>
        <v>0</v>
      </c>
    </row>
    <row r="17" spans="1:33" ht="14.25" customHeight="1">
      <c r="A17" s="109" t="s">
        <v>64</v>
      </c>
      <c r="B17" s="110">
        <f>IFERROR(VLOOKUP(B$3,Data_Entry!$C:$AB,23,0)," ")</f>
        <v>0</v>
      </c>
      <c r="C17" s="110">
        <f>IFERROR(VLOOKUP(C$3,Data_Entry!$C:$AB,23,0)," ")</f>
        <v>0</v>
      </c>
      <c r="D17" s="110">
        <f>IFERROR(VLOOKUP(D$3,Data_Entry!$C:$AB,23,0)," ")</f>
        <v>0</v>
      </c>
      <c r="E17" s="110">
        <f>IFERROR(VLOOKUP(E$3,Data_Entry!$C:$AB,23,0)," ")</f>
        <v>0</v>
      </c>
      <c r="F17" s="110">
        <f>IFERROR(VLOOKUP(F$3,Data_Entry!$C:$AB,23,0)," ")</f>
        <v>0</v>
      </c>
      <c r="G17" s="110">
        <f>IFERROR(VLOOKUP(G$3,Data_Entry!$C:$AB,23,0)," ")</f>
        <v>0</v>
      </c>
      <c r="H17" s="110">
        <f>IFERROR(VLOOKUP(H$3,Data_Entry!$C:$AB,23,0)," ")</f>
        <v>0</v>
      </c>
      <c r="I17" s="110">
        <f>IFERROR(VLOOKUP(I$3,Data_Entry!$C:$AB,23,0)," ")</f>
        <v>0</v>
      </c>
      <c r="J17" s="110">
        <f>IFERROR(VLOOKUP(J$3,Data_Entry!$C:$AB,23,0)," ")</f>
        <v>0</v>
      </c>
      <c r="K17" s="110">
        <f>IFERROR(VLOOKUP(K$3,Data_Entry!$C:$AB,23,0)," ")</f>
        <v>0</v>
      </c>
      <c r="L17" s="110">
        <f>IFERROR(VLOOKUP(L$3,Data_Entry!$C:$AB,23,0)," ")</f>
        <v>0</v>
      </c>
      <c r="M17" s="110">
        <f>IFERROR(VLOOKUP(M$3,Data_Entry!$C:$AB,23,0)," ")</f>
        <v>0</v>
      </c>
      <c r="N17" s="110">
        <f>IFERROR(VLOOKUP(N$3,Data_Entry!$C:$AB,23,0)," ")</f>
        <v>0</v>
      </c>
      <c r="O17" s="110">
        <f>IFERROR(VLOOKUP(O$3,Data_Entry!$C:$AB,23,0)," ")</f>
        <v>0</v>
      </c>
      <c r="P17" s="110">
        <f>IFERROR(VLOOKUP(P$3,Data_Entry!$C:$AB,23,0)," ")</f>
        <v>0</v>
      </c>
      <c r="Q17" s="110">
        <f>IFERROR(VLOOKUP(Q$3,Data_Entry!$C:$AB,23,0)," ")</f>
        <v>0</v>
      </c>
      <c r="R17" s="110">
        <f>IFERROR(VLOOKUP(R$3,Data_Entry!$C:$AB,23,0)," ")</f>
        <v>0</v>
      </c>
      <c r="S17" s="110">
        <f>IFERROR(VLOOKUP(S$3,Data_Entry!$C:$AB,23,0)," ")</f>
        <v>0</v>
      </c>
      <c r="T17" s="110">
        <f>IFERROR(VLOOKUP(T$3,Data_Entry!$C:$AB,23,0)," ")</f>
        <v>0</v>
      </c>
      <c r="U17" s="110">
        <f>IFERROR(VLOOKUP(U$3,Data_Entry!$C:$AB,23,0)," ")</f>
        <v>0</v>
      </c>
      <c r="V17" s="110">
        <f>IFERROR(VLOOKUP(V$3,Data_Entry!$C:$AB,23,0)," ")</f>
        <v>0</v>
      </c>
      <c r="W17" s="110">
        <f>IFERROR(VLOOKUP(W$3,Data_Entry!$C:$AB,23,0)," ")</f>
        <v>0</v>
      </c>
      <c r="X17" s="110">
        <f>IFERROR(VLOOKUP(X$3,Data_Entry!$C:$AB,23,0)," ")</f>
        <v>0</v>
      </c>
      <c r="Y17" s="110">
        <f>IFERROR(VLOOKUP(Y$3,Data_Entry!$C:$AB,23,0)," ")</f>
        <v>0</v>
      </c>
      <c r="Z17" s="110">
        <f>IFERROR(VLOOKUP(Z$3,Data_Entry!$C:$AB,23,0)," ")</f>
        <v>0</v>
      </c>
      <c r="AA17" s="110">
        <f>IFERROR(VLOOKUP(AA$3,Data_Entry!$C:$AB,23,0)," ")</f>
        <v>0</v>
      </c>
      <c r="AB17" s="110">
        <f>IFERROR(VLOOKUP(AB$3,Data_Entry!$C:$AB,23,0)," ")</f>
        <v>0</v>
      </c>
      <c r="AC17" s="110">
        <f>IFERROR(VLOOKUP(AC$3,Data_Entry!$C:$AB,23,0)," ")</f>
        <v>0</v>
      </c>
      <c r="AD17" s="110">
        <f>IFERROR(VLOOKUP(AD$3,Data_Entry!$C:$AB,23,0)," ")</f>
        <v>0</v>
      </c>
      <c r="AE17" s="110">
        <f>IFERROR(VLOOKUP(AE$3,Data_Entry!$C:$AB,23,0)," ")</f>
        <v>0</v>
      </c>
      <c r="AF17" s="110">
        <f>IFERROR(VLOOKUP(AF$3,Data_Entry!$C:$AB,23,0)," ")</f>
        <v>0</v>
      </c>
    </row>
    <row r="18" spans="1:33" ht="14.25" customHeight="1">
      <c r="A18" s="109" t="s">
        <v>65</v>
      </c>
      <c r="B18" s="110">
        <f>IFERROR(VLOOKUP(B$3,Data_Entry!$C:$AB,21,0)," ")</f>
        <v>33.03</v>
      </c>
      <c r="C18" s="110">
        <f>IFERROR(VLOOKUP(C$3,Data_Entry!$C:$AB,21,0)," ")</f>
        <v>0</v>
      </c>
      <c r="D18" s="110">
        <f>IFERROR(VLOOKUP(D$3,Data_Entry!$C:$AB,21,0)," ")</f>
        <v>0</v>
      </c>
      <c r="E18" s="110">
        <f>IFERROR(VLOOKUP(E$3,Data_Entry!$C:$AB,21,0)," ")</f>
        <v>0</v>
      </c>
      <c r="F18" s="110">
        <f>IFERROR(VLOOKUP(F$3,Data_Entry!$C:$AB,21,0)," ")</f>
        <v>0</v>
      </c>
      <c r="G18" s="110">
        <f>IFERROR(VLOOKUP(G$3,Data_Entry!$C:$AB,21,0)," ")</f>
        <v>0</v>
      </c>
      <c r="H18" s="110">
        <f>IFERROR(VLOOKUP(H$3,Data_Entry!$C:$AB,21,0)," ")</f>
        <v>0</v>
      </c>
      <c r="I18" s="110">
        <f>IFERROR(VLOOKUP(I$3,Data_Entry!$C:$AB,21,0)," ")</f>
        <v>0</v>
      </c>
      <c r="J18" s="110">
        <f>IFERROR(VLOOKUP(J$3,Data_Entry!$C:$AB,21,0)," ")</f>
        <v>0</v>
      </c>
      <c r="K18" s="110">
        <f>IFERROR(VLOOKUP(K$3,Data_Entry!$C:$AB,21,0)," ")</f>
        <v>0</v>
      </c>
      <c r="L18" s="110">
        <f>IFERROR(VLOOKUP(L$3,Data_Entry!$C:$AB,21,0)," ")</f>
        <v>0</v>
      </c>
      <c r="M18" s="110">
        <f>IFERROR(VLOOKUP(M$3,Data_Entry!$C:$AB,21,0)," ")</f>
        <v>0</v>
      </c>
      <c r="N18" s="110">
        <f>IFERROR(VLOOKUP(N$3,Data_Entry!$C:$AB,21,0)," ")</f>
        <v>0</v>
      </c>
      <c r="O18" s="110">
        <f>IFERROR(VLOOKUP(O$3,Data_Entry!$C:$AB,21,0)," ")</f>
        <v>0</v>
      </c>
      <c r="P18" s="110">
        <f>IFERROR(VLOOKUP(P$3,Data_Entry!$C:$AB,21,0)," ")</f>
        <v>0</v>
      </c>
      <c r="Q18" s="110">
        <f>IFERROR(VLOOKUP(Q$3,Data_Entry!$C:$AB,21,0)," ")</f>
        <v>0</v>
      </c>
      <c r="R18" s="110">
        <f>IFERROR(VLOOKUP(R$3,Data_Entry!$C:$AB,21,0)," ")</f>
        <v>0</v>
      </c>
      <c r="S18" s="110">
        <f>IFERROR(VLOOKUP(S$3,Data_Entry!$C:$AB,21,0)," ")</f>
        <v>0</v>
      </c>
      <c r="T18" s="110">
        <f>IFERROR(VLOOKUP(T$3,Data_Entry!$C:$AB,21,0)," ")</f>
        <v>0</v>
      </c>
      <c r="U18" s="110">
        <f>IFERROR(VLOOKUP(U$3,Data_Entry!$C:$AB,21,0)," ")</f>
        <v>0</v>
      </c>
      <c r="V18" s="110">
        <f>IFERROR(VLOOKUP(V$3,Data_Entry!$C:$AB,21,0)," ")</f>
        <v>0</v>
      </c>
      <c r="W18" s="110">
        <f>IFERROR(VLOOKUP(W$3,Data_Entry!$C:$AB,21,0)," ")</f>
        <v>0</v>
      </c>
      <c r="X18" s="110">
        <f>IFERROR(VLOOKUP(X$3,Data_Entry!$C:$AB,21,0)," ")</f>
        <v>0</v>
      </c>
      <c r="Y18" s="110">
        <f>IFERROR(VLOOKUP(Y$3,Data_Entry!$C:$AB,21,0)," ")</f>
        <v>0</v>
      </c>
      <c r="Z18" s="110">
        <f>IFERROR(VLOOKUP(Z$3,Data_Entry!$C:$AB,21,0)," ")</f>
        <v>0</v>
      </c>
      <c r="AA18" s="110">
        <f>IFERROR(VLOOKUP(AA$3,Data_Entry!$C:$AB,21,0)," ")</f>
        <v>0</v>
      </c>
      <c r="AB18" s="110">
        <f>IFERROR(VLOOKUP(AB$3,Data_Entry!$C:$AB,21,0)," ")</f>
        <v>0</v>
      </c>
      <c r="AC18" s="110">
        <f>IFERROR(VLOOKUP(AC$3,Data_Entry!$C:$AB,21,0)," ")</f>
        <v>0</v>
      </c>
      <c r="AD18" s="110">
        <f>IFERROR(VLOOKUP(AD$3,Data_Entry!$C:$AB,21,0)," ")</f>
        <v>0</v>
      </c>
      <c r="AE18" s="110">
        <f>IFERROR(VLOOKUP(AE$3,Data_Entry!$C:$AB,21,0)," ")</f>
        <v>0</v>
      </c>
      <c r="AF18" s="110">
        <f>IFERROR(VLOOKUP(AF$3,Data_Entry!$C:$AB,21,0)," ")</f>
        <v>0</v>
      </c>
    </row>
    <row r="19" spans="1:33" ht="14.25" customHeight="1">
      <c r="A19" s="109" t="s">
        <v>66</v>
      </c>
      <c r="B19" s="111">
        <f>IFERROR(B12/B15/(Basic_Data!$G$10),"")</f>
        <v>0.99593289536237195</v>
      </c>
      <c r="C19" s="111" t="str">
        <f>IFERROR(C12/C15/(Basic_Data!$G$10),"")</f>
        <v/>
      </c>
      <c r="D19" s="111" t="str">
        <f>IFERROR(D12/D15/(Basic_Data!$G$10),"")</f>
        <v/>
      </c>
      <c r="E19" s="111" t="str">
        <f>IFERROR(E12/E15/(Basic_Data!$G$10),"")</f>
        <v/>
      </c>
      <c r="F19" s="111" t="str">
        <f>IFERROR(F12/F15/(Basic_Data!$G$10),"")</f>
        <v/>
      </c>
      <c r="G19" s="111" t="str">
        <f>IFERROR(G12/G15/(Basic_Data!$G$10),"")</f>
        <v/>
      </c>
      <c r="H19" s="111" t="str">
        <f>IFERROR(H12/H15/(Basic_Data!$G$10),"")</f>
        <v/>
      </c>
      <c r="I19" s="111" t="str">
        <f>IFERROR(I12/I15/(Basic_Data!$G$10),"")</f>
        <v/>
      </c>
      <c r="J19" s="111" t="str">
        <f>IFERROR(J12/J15/(Basic_Data!$G$10),"")</f>
        <v/>
      </c>
      <c r="K19" s="111" t="str">
        <f>IFERROR(K12/K15/(Basic_Data!$G$10),"")</f>
        <v/>
      </c>
      <c r="L19" s="111" t="str">
        <f>IFERROR(L12/L15/(Basic_Data!$G$10),"")</f>
        <v/>
      </c>
      <c r="M19" s="111" t="str">
        <f>IFERROR(M12/M15/(Basic_Data!$G$10),"")</f>
        <v/>
      </c>
      <c r="N19" s="111" t="str">
        <f>IFERROR(N12/N15/(Basic_Data!$G$10),"")</f>
        <v/>
      </c>
      <c r="O19" s="111" t="str">
        <f>IFERROR(O12/O15/(Basic_Data!$G$10),"")</f>
        <v/>
      </c>
      <c r="P19" s="111" t="str">
        <f>IFERROR(P12/P15/(Basic_Data!$G$10),"")</f>
        <v/>
      </c>
      <c r="Q19" s="111" t="str">
        <f>IFERROR(Q12/Q15/(Basic_Data!$G$10),"")</f>
        <v/>
      </c>
      <c r="R19" s="111" t="str">
        <f>IFERROR(R12/R15/(Basic_Data!$G$10),"")</f>
        <v/>
      </c>
      <c r="S19" s="111" t="str">
        <f>IFERROR(S12/S15/(Basic_Data!$G$10),"")</f>
        <v/>
      </c>
      <c r="T19" s="111" t="str">
        <f>IFERROR(T12/T15/(Basic_Data!$G$10),"")</f>
        <v/>
      </c>
      <c r="U19" s="111" t="str">
        <f>IFERROR(U12/U15/(Basic_Data!$G$10),"")</f>
        <v/>
      </c>
      <c r="V19" s="111" t="str">
        <f>IFERROR(V12/V15/(Basic_Data!$G$10),"")</f>
        <v/>
      </c>
      <c r="W19" s="111" t="str">
        <f>IFERROR(W12/W15/(Basic_Data!$G$10),"")</f>
        <v/>
      </c>
      <c r="X19" s="111" t="str">
        <f>IFERROR(X12/X15/(Basic_Data!$G$10),"")</f>
        <v/>
      </c>
      <c r="Y19" s="111" t="str">
        <f>IFERROR(Y12/Y15/(Basic_Data!$G$10),"")</f>
        <v/>
      </c>
      <c r="Z19" s="111" t="str">
        <f>IFERROR(Z12/Z15/(Basic_Data!$G$10),"")</f>
        <v/>
      </c>
      <c r="AA19" s="111" t="str">
        <f>IFERROR(AA12/AA15/(Basic_Data!$G$10),"")</f>
        <v/>
      </c>
      <c r="AB19" s="111" t="str">
        <f>IFERROR(AB12/AB15/(Basic_Data!$G$10),"")</f>
        <v/>
      </c>
      <c r="AC19" s="111" t="str">
        <f>IFERROR(AC12/AC15/(Basic_Data!$G$10),"")</f>
        <v/>
      </c>
      <c r="AD19" s="111" t="str">
        <f>IFERROR(AD12/AD15/(Basic_Data!$G$10),"")</f>
        <v/>
      </c>
      <c r="AE19" s="111" t="str">
        <f>IFERROR(AE12/AE15/(Basic_Data!$G$10),"")</f>
        <v/>
      </c>
      <c r="AF19" s="111" t="str">
        <f>IFERROR(AF12/AF15/(Basic_Data!$G$10),"")</f>
        <v/>
      </c>
      <c r="AG19" s="111" t="str">
        <f>IFERROR(AG12/AG15/(Basic_Data!$G$10),"")</f>
        <v/>
      </c>
    </row>
    <row r="20" spans="1:33" ht="14.25" customHeight="1">
      <c r="A20" s="109" t="s">
        <v>67</v>
      </c>
      <c r="B20" s="111">
        <f>IFERROR(B12/(Basic_Data!$F$10*24),"")</f>
        <v>0.244805194805194</v>
      </c>
      <c r="C20" s="111">
        <f>IFERROR(C12/(Basic_Data!$F$10*24),"")</f>
        <v>0</v>
      </c>
      <c r="D20" s="111">
        <f>IFERROR(D12/(Basic_Data!$F$10*24),"")</f>
        <v>0</v>
      </c>
      <c r="E20" s="111">
        <f>IFERROR(E12/(Basic_Data!$F$10*24),"")</f>
        <v>0</v>
      </c>
      <c r="F20" s="111">
        <f>IFERROR(F12/(Basic_Data!$F$10*24),"")</f>
        <v>0</v>
      </c>
      <c r="G20" s="111">
        <f>IFERROR(G12/(Basic_Data!$F$10*24),"")</f>
        <v>0</v>
      </c>
      <c r="H20" s="111">
        <f>IFERROR(H12/(Basic_Data!$F$10*24),"")</f>
        <v>0</v>
      </c>
      <c r="I20" s="111">
        <f>IFERROR(I12/(Basic_Data!$F$10*24),"")</f>
        <v>0</v>
      </c>
      <c r="J20" s="111">
        <f>IFERROR(J12/(Basic_Data!$F$10*24),"")</f>
        <v>0</v>
      </c>
      <c r="K20" s="111">
        <f>IFERROR(K12/(Basic_Data!$F$10*24),"")</f>
        <v>0</v>
      </c>
      <c r="L20" s="111">
        <f>IFERROR(L12/(Basic_Data!$F$10*24),"")</f>
        <v>0</v>
      </c>
      <c r="M20" s="111">
        <f>IFERROR(M12/(Basic_Data!$F$10*24),"")</f>
        <v>0</v>
      </c>
      <c r="N20" s="111">
        <f>IFERROR(N12/(Basic_Data!$F$10*24),"")</f>
        <v>0</v>
      </c>
      <c r="O20" s="111">
        <f>IFERROR(O12/(Basic_Data!$F$10*24),"")</f>
        <v>0</v>
      </c>
      <c r="P20" s="111">
        <f>IFERROR(P12/(Basic_Data!$F$10*24),"")</f>
        <v>0</v>
      </c>
      <c r="Q20" s="111">
        <f>IFERROR(Q12/(Basic_Data!$F$10*24),"")</f>
        <v>0</v>
      </c>
      <c r="R20" s="111">
        <f>IFERROR(R12/(Basic_Data!$F$10*24),"")</f>
        <v>0</v>
      </c>
      <c r="S20" s="111">
        <f>IFERROR(S12/(Basic_Data!$F$10*24),"")</f>
        <v>0</v>
      </c>
      <c r="T20" s="111">
        <f>IFERROR(T12/(Basic_Data!$F$10*24),"")</f>
        <v>0</v>
      </c>
      <c r="U20" s="111">
        <f>IFERROR(U12/(Basic_Data!$F$10*24),"")</f>
        <v>0</v>
      </c>
      <c r="V20" s="111">
        <f>IFERROR(V12/(Basic_Data!$F$10*24),"")</f>
        <v>0</v>
      </c>
      <c r="W20" s="111">
        <f>IFERROR(W12/(Basic_Data!$F$10*24),"")</f>
        <v>0</v>
      </c>
      <c r="X20" s="111">
        <f>IFERROR(X12/(Basic_Data!$F$10*24),"")</f>
        <v>0</v>
      </c>
      <c r="Y20" s="111">
        <f>IFERROR(Y12/(Basic_Data!$F$10*24),"")</f>
        <v>0</v>
      </c>
      <c r="Z20" s="111">
        <f>IFERROR(Z12/(Basic_Data!$F$10*24),"")</f>
        <v>0</v>
      </c>
      <c r="AA20" s="111">
        <f>IFERROR(AA12/(Basic_Data!$F$10*24),"")</f>
        <v>0</v>
      </c>
      <c r="AB20" s="111">
        <f>IFERROR(AB12/(Basic_Data!$F$10*24),"")</f>
        <v>0</v>
      </c>
      <c r="AC20" s="111">
        <f>IFERROR(AC12/(Basic_Data!$F$10*24),"")</f>
        <v>0</v>
      </c>
      <c r="AD20" s="111">
        <f>IFERROR(AD12/(Basic_Data!$F$10*24),"")</f>
        <v>0</v>
      </c>
      <c r="AE20" s="111">
        <f>IFERROR(AE12/(Basic_Data!$F$10*24),"")</f>
        <v>0</v>
      </c>
      <c r="AF20" s="111">
        <f>IFERROR(AF12/(Basic_Data!$F$10*24),"")</f>
        <v>0</v>
      </c>
      <c r="AG20" s="111" t="str">
        <f>IFERROR(AG12/(Basic_Data!$F$10*24),"")</f>
        <v/>
      </c>
    </row>
    <row r="21" spans="1:33" ht="14.25" customHeight="1">
      <c r="A21" s="109" t="s">
        <v>68</v>
      </c>
      <c r="B21" s="111">
        <f>IFERROR((B11-B12)/B11,"")</f>
        <v>3.5435436493791101E-3</v>
      </c>
      <c r="C21" s="111" t="str">
        <f t="shared" ref="C21:AG21" si="3">IFERROR((C11-C12)/C11,"")</f>
        <v/>
      </c>
      <c r="D21" s="111" t="str">
        <f t="shared" si="3"/>
        <v/>
      </c>
      <c r="E21" s="111" t="str">
        <f t="shared" si="3"/>
        <v/>
      </c>
      <c r="F21" s="111" t="str">
        <f t="shared" si="3"/>
        <v/>
      </c>
      <c r="G21" s="111" t="str">
        <f t="shared" si="3"/>
        <v/>
      </c>
      <c r="H21" s="111" t="str">
        <f t="shared" si="3"/>
        <v/>
      </c>
      <c r="I21" s="111" t="str">
        <f t="shared" si="3"/>
        <v/>
      </c>
      <c r="J21" s="111" t="str">
        <f t="shared" si="3"/>
        <v/>
      </c>
      <c r="K21" s="111" t="str">
        <f t="shared" si="3"/>
        <v/>
      </c>
      <c r="L21" s="111" t="str">
        <f t="shared" si="3"/>
        <v/>
      </c>
      <c r="M21" s="111" t="str">
        <f t="shared" si="3"/>
        <v/>
      </c>
      <c r="N21" s="111" t="str">
        <f t="shared" si="3"/>
        <v/>
      </c>
      <c r="O21" s="111" t="str">
        <f t="shared" si="3"/>
        <v/>
      </c>
      <c r="P21" s="111" t="str">
        <f t="shared" si="3"/>
        <v/>
      </c>
      <c r="Q21" s="111" t="str">
        <f t="shared" si="3"/>
        <v/>
      </c>
      <c r="R21" s="111" t="str">
        <f t="shared" si="3"/>
        <v/>
      </c>
      <c r="S21" s="111" t="str">
        <f t="shared" si="3"/>
        <v/>
      </c>
      <c r="T21" s="111" t="str">
        <f t="shared" si="3"/>
        <v/>
      </c>
      <c r="U21" s="111" t="str">
        <f t="shared" si="3"/>
        <v/>
      </c>
      <c r="V21" s="111" t="str">
        <f t="shared" si="3"/>
        <v/>
      </c>
      <c r="W21" s="111" t="str">
        <f t="shared" si="3"/>
        <v/>
      </c>
      <c r="X21" s="111" t="str">
        <f t="shared" si="3"/>
        <v/>
      </c>
      <c r="Y21" s="111" t="str">
        <f t="shared" si="3"/>
        <v/>
      </c>
      <c r="Z21" s="111" t="str">
        <f t="shared" si="3"/>
        <v/>
      </c>
      <c r="AA21" s="111" t="str">
        <f t="shared" si="3"/>
        <v/>
      </c>
      <c r="AB21" s="111" t="str">
        <f t="shared" si="3"/>
        <v/>
      </c>
      <c r="AC21" s="111" t="str">
        <f t="shared" si="3"/>
        <v/>
      </c>
      <c r="AD21" s="111" t="str">
        <f t="shared" si="3"/>
        <v/>
      </c>
      <c r="AE21" s="111" t="str">
        <f t="shared" si="3"/>
        <v/>
      </c>
      <c r="AF21" s="111" t="str">
        <f t="shared" si="3"/>
        <v/>
      </c>
      <c r="AG21" s="111" t="str">
        <f t="shared" si="3"/>
        <v/>
      </c>
    </row>
    <row r="22" spans="1:33" ht="14.25" customHeight="1"/>
    <row r="23" spans="1:33" ht="14.25" customHeight="1"/>
    <row r="24" spans="1:33" ht="14.25" customHeight="1"/>
    <row r="25" spans="1:33" ht="14.25" customHeight="1"/>
    <row r="26" spans="1:33" ht="14.25" customHeight="1"/>
    <row r="27" spans="1:33" ht="14.25" customHeight="1"/>
    <row r="28" spans="1:33" ht="14.25" customHeight="1"/>
    <row r="29" spans="1:33" ht="14.25" customHeight="1"/>
    <row r="30" spans="1:33" ht="14.25" customHeight="1"/>
    <row r="31" spans="1:33" ht="14.25" customHeight="1"/>
    <row r="32" spans="1:3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sheetProtection algorithmName="SHA-512" hashValue="XLnvfsYAcjBmhac3ttjSul9x7mgDXTVPVMiXyiQXXeKiyOi3tFUZ4EfeV5FkcpMU4XQd7tAsGgU7KNIs0tMnpA==" saltValue="fVi5GcEWgFUf/FVjB4G7fQ==" spinCount="100000" sheet="1" objects="1" scenarios="1"/>
  <pageMargins left="0.7" right="0.7" top="0.75" bottom="0.75" header="0" footer="0"/>
  <pageSetup paperSize="9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L21"/>
  <sheetViews>
    <sheetView topLeftCell="L1" workbookViewId="0">
      <selection activeCell="W34" sqref="W34"/>
    </sheetView>
  </sheetViews>
  <sheetFormatPr defaultColWidth="8.75" defaultRowHeight="15"/>
  <cols>
    <col min="1" max="1" width="2" style="97" customWidth="1"/>
    <col min="2" max="2" width="10.25" style="97" customWidth="1"/>
    <col min="3" max="16384" width="8.75" style="97"/>
  </cols>
  <sheetData>
    <row r="1" spans="1:38">
      <c r="A1" s="97" t="s">
        <v>69</v>
      </c>
    </row>
    <row r="2" spans="1:38">
      <c r="B2" s="98" t="s">
        <v>56</v>
      </c>
      <c r="C2" s="99">
        <f>DGR!B3</f>
        <v>46178</v>
      </c>
      <c r="D2" s="99">
        <f>DGR!C3</f>
        <v>46179</v>
      </c>
      <c r="E2" s="99">
        <f>DGR!D3</f>
        <v>46180</v>
      </c>
      <c r="F2" s="99">
        <f>DGR!E3</f>
        <v>46181</v>
      </c>
      <c r="G2" s="99">
        <f>DGR!F3</f>
        <v>46182</v>
      </c>
      <c r="H2" s="99">
        <f>DGR!G3</f>
        <v>46183</v>
      </c>
      <c r="I2" s="99">
        <f>DGR!H3</f>
        <v>46184</v>
      </c>
      <c r="J2" s="99">
        <f>DGR!I3</f>
        <v>46185</v>
      </c>
      <c r="K2" s="99">
        <f>DGR!J3</f>
        <v>46186</v>
      </c>
      <c r="L2" s="99">
        <f>DGR!K3</f>
        <v>46187</v>
      </c>
      <c r="M2" s="99">
        <f>DGR!L3</f>
        <v>46188</v>
      </c>
      <c r="N2" s="99">
        <f>DGR!M3</f>
        <v>46189</v>
      </c>
      <c r="O2" s="99">
        <f>DGR!N3</f>
        <v>46190</v>
      </c>
      <c r="P2" s="99">
        <f>DGR!O3</f>
        <v>46191</v>
      </c>
      <c r="Q2" s="99">
        <f>DGR!P3</f>
        <v>46192</v>
      </c>
      <c r="R2" s="99">
        <f>DGR!Q3</f>
        <v>46193</v>
      </c>
      <c r="S2" s="99">
        <f>DGR!R3</f>
        <v>46194</v>
      </c>
      <c r="T2" s="99">
        <f>DGR!S3</f>
        <v>46195</v>
      </c>
      <c r="U2" s="99">
        <f>DGR!T3</f>
        <v>46196</v>
      </c>
      <c r="V2" s="99">
        <f>DGR!U3</f>
        <v>46197</v>
      </c>
      <c r="W2" s="99">
        <f>DGR!V3</f>
        <v>46198</v>
      </c>
      <c r="X2" s="99">
        <f>DGR!W3</f>
        <v>46199</v>
      </c>
      <c r="Y2" s="99">
        <f>DGR!X3</f>
        <v>46200</v>
      </c>
      <c r="Z2" s="99">
        <f>DGR!Y3</f>
        <v>46201</v>
      </c>
      <c r="AA2" s="99">
        <f>DGR!Z3</f>
        <v>46202</v>
      </c>
      <c r="AB2" s="99">
        <f>DGR!AA3</f>
        <v>46203</v>
      </c>
      <c r="AC2" s="99">
        <f>DGR!AB3</f>
        <v>46204</v>
      </c>
      <c r="AD2" s="99">
        <f>DGR!AC3</f>
        <v>46205</v>
      </c>
      <c r="AE2" s="99">
        <f>DGR!AD3</f>
        <v>46206</v>
      </c>
      <c r="AF2" s="99">
        <f>DGR!AE3</f>
        <v>46207</v>
      </c>
      <c r="AG2" s="99">
        <f>DGR!AF3</f>
        <v>46208</v>
      </c>
      <c r="AH2" s="99" t="str">
        <f>DGR!AG3</f>
        <v>Total/Avg..</v>
      </c>
      <c r="AI2" s="100"/>
      <c r="AJ2" s="100"/>
      <c r="AK2" s="100"/>
      <c r="AL2" s="100"/>
    </row>
    <row r="3" spans="1:38">
      <c r="B3" s="90" t="s">
        <v>15</v>
      </c>
      <c r="C3" s="101">
        <f>IFERROR(VLOOKUP(C$2,Data_Entry!$C:$L,Data_Entry!$A2,0)/VLOOKUP($B3,Basic_Data!$E$2:$G$10,3,0),"")</f>
        <v>4.7071964732515204</v>
      </c>
      <c r="D3" s="101">
        <f>IFERROR(VLOOKUP(D$2,Data_Entry!$C:$L,Data_Entry!$A2,0)/VLOOKUP($B3,Basic_Data!$E$2:$G$10,3,0),"")</f>
        <v>0</v>
      </c>
      <c r="E3" s="101">
        <f>IFERROR(VLOOKUP(E$2,Data_Entry!$C:$L,Data_Entry!$A2,0)/VLOOKUP($B3,Basic_Data!$E$2:$G$10,3,0),"")</f>
        <v>0</v>
      </c>
      <c r="F3" s="101">
        <f>IFERROR(VLOOKUP(F$2,Data_Entry!$C:$L,Data_Entry!$A2,0)/VLOOKUP($B3,Basic_Data!$E$2:$G$10,3,0),"")</f>
        <v>0</v>
      </c>
      <c r="G3" s="101">
        <f>IFERROR(VLOOKUP(G$2,Data_Entry!$C:$L,Data_Entry!$A2,0)/VLOOKUP($B3,Basic_Data!$E$2:$G$10,3,0),"")</f>
        <v>0</v>
      </c>
      <c r="H3" s="101">
        <f>IFERROR(VLOOKUP(H$2,Data_Entry!$C:$L,Data_Entry!$A2,0)/VLOOKUP($B3,Basic_Data!$E$2:$G$10,3,0),"")</f>
        <v>0</v>
      </c>
      <c r="I3" s="101">
        <f>IFERROR(VLOOKUP(I$2,Data_Entry!$C:$L,Data_Entry!$A2,0)/VLOOKUP($B3,Basic_Data!$E$2:$G$10,3,0),"")</f>
        <v>0</v>
      </c>
      <c r="J3" s="101">
        <f>IFERROR(VLOOKUP(J$2,Data_Entry!$C:$L,Data_Entry!$A2,0)/VLOOKUP($B3,Basic_Data!$E$2:$G$10,3,0),"")</f>
        <v>0</v>
      </c>
      <c r="K3" s="101">
        <f>IFERROR(VLOOKUP(K$2,Data_Entry!$C:$L,Data_Entry!$A2,0)/VLOOKUP($B3,Basic_Data!$E$2:$G$10,3,0),"")</f>
        <v>0</v>
      </c>
      <c r="L3" s="101">
        <f>IFERROR(VLOOKUP(L$2,Data_Entry!$C:$L,Data_Entry!$A2,0)/VLOOKUP($B3,Basic_Data!$E$2:$G$10,3,0),"")</f>
        <v>0</v>
      </c>
      <c r="M3" s="101">
        <f>IFERROR(VLOOKUP(M$2,Data_Entry!$C:$L,Data_Entry!$A2,0)/VLOOKUP($B3,Basic_Data!$E$2:$G$10,3,0),"")</f>
        <v>0</v>
      </c>
      <c r="N3" s="101">
        <f>IFERROR(VLOOKUP(N$2,Data_Entry!$C:$L,Data_Entry!$A2,0)/VLOOKUP($B3,Basic_Data!$E$2:$G$10,3,0),"")</f>
        <v>0</v>
      </c>
      <c r="O3" s="101">
        <f>IFERROR(VLOOKUP(O$2,Data_Entry!$C:$L,Data_Entry!$A2,0)/VLOOKUP($B3,Basic_Data!$E$2:$G$10,3,0),"")</f>
        <v>0</v>
      </c>
      <c r="P3" s="101">
        <f>IFERROR(VLOOKUP(P$2,Data_Entry!$C:$L,Data_Entry!$A2,0)/VLOOKUP($B3,Basic_Data!$E$2:$G$10,3,0),"")</f>
        <v>0</v>
      </c>
      <c r="Q3" s="101">
        <f>IFERROR(VLOOKUP(Q$2,Data_Entry!$C:$L,Data_Entry!$A2,0)/VLOOKUP($B3,Basic_Data!$E$2:$G$10,3,0),"")</f>
        <v>0</v>
      </c>
      <c r="R3" s="101">
        <f>IFERROR(VLOOKUP(R$2,Data_Entry!$C:$L,Data_Entry!$A2,0)/VLOOKUP($B3,Basic_Data!$E$2:$G$10,3,0),"")</f>
        <v>0</v>
      </c>
      <c r="S3" s="101">
        <f>IFERROR(VLOOKUP(S$2,Data_Entry!$C:$L,Data_Entry!$A2,0)/VLOOKUP($B3,Basic_Data!$E$2:$G$10,3,0),"")</f>
        <v>0</v>
      </c>
      <c r="T3" s="101">
        <f>IFERROR(VLOOKUP(T$2,Data_Entry!$C:$L,Data_Entry!$A2,0)/VLOOKUP($B3,Basic_Data!$E$2:$G$10,3,0),"")</f>
        <v>0</v>
      </c>
      <c r="U3" s="101">
        <f>IFERROR(VLOOKUP(U$2,Data_Entry!$C:$L,Data_Entry!$A2,0)/VLOOKUP($B3,Basic_Data!$E$2:$G$10,3,0),"")</f>
        <v>0</v>
      </c>
      <c r="V3" s="101">
        <f>IFERROR(VLOOKUP(V$2,Data_Entry!$C:$L,Data_Entry!$A2,0)/VLOOKUP($B3,Basic_Data!$E$2:$G$10,3,0),"")</f>
        <v>0</v>
      </c>
      <c r="W3" s="101">
        <f>IFERROR(VLOOKUP(W$2,Data_Entry!$C:$L,Data_Entry!$A2,0)/VLOOKUP($B3,Basic_Data!$E$2:$G$10,3,0),"")</f>
        <v>0</v>
      </c>
      <c r="X3" s="101">
        <f>IFERROR(VLOOKUP(X$2,Data_Entry!$C:$L,Data_Entry!$A2,0)/VLOOKUP($B3,Basic_Data!$E$2:$G$10,3,0),"")</f>
        <v>0</v>
      </c>
      <c r="Y3" s="101">
        <f>IFERROR(VLOOKUP(Y$2,Data_Entry!$C:$L,Data_Entry!$A2,0)/VLOOKUP($B3,Basic_Data!$E$2:$G$10,3,0),"")</f>
        <v>0</v>
      </c>
      <c r="Z3" s="101">
        <f>IFERROR(VLOOKUP(Z$2,Data_Entry!$C:$L,Data_Entry!$A2,0)/VLOOKUP($B3,Basic_Data!$E$2:$G$10,3,0),"")</f>
        <v>0</v>
      </c>
      <c r="AA3" s="101">
        <f>IFERROR(VLOOKUP(AA$2,Data_Entry!$C:$L,Data_Entry!$A2,0)/VLOOKUP($B3,Basic_Data!$E$2:$G$10,3,0),"")</f>
        <v>0</v>
      </c>
      <c r="AB3" s="101">
        <f>IFERROR(VLOOKUP(AB$2,Data_Entry!$C:$L,Data_Entry!$A2,0)/VLOOKUP($B3,Basic_Data!$E$2:$G$10,3,0),"")</f>
        <v>0</v>
      </c>
      <c r="AC3" s="101">
        <f>IFERROR(VLOOKUP(AC$2,Data_Entry!$C:$L,Data_Entry!$A2,0)/VLOOKUP($B3,Basic_Data!$E$2:$G$10,3,0),"")</f>
        <v>0</v>
      </c>
      <c r="AD3" s="101">
        <f>IFERROR(VLOOKUP(AD$2,Data_Entry!$C:$L,Data_Entry!$A2,0)/VLOOKUP($B3,Basic_Data!$E$2:$G$10,3,0),"")</f>
        <v>0</v>
      </c>
      <c r="AE3" s="101">
        <f>IFERROR(VLOOKUP(AE$2,Data_Entry!$C:$L,Data_Entry!$A2,0)/VLOOKUP($B3,Basic_Data!$E$2:$G$10,3,0),"")</f>
        <v>0</v>
      </c>
      <c r="AF3" s="101">
        <f>IFERROR(VLOOKUP(AF$2,Data_Entry!$C:$L,Data_Entry!$A2,0)/VLOOKUP($B3,Basic_Data!$E$2:$G$10,3,0),"")</f>
        <v>0</v>
      </c>
      <c r="AG3" s="101">
        <f>IFERROR(VLOOKUP(AG$2,Data_Entry!$C:$L,Data_Entry!$A2,0)/VLOOKUP($B3,Basic_Data!$E$2:$G$10,3,0),"")</f>
        <v>0</v>
      </c>
      <c r="AH3" s="23"/>
    </row>
    <row r="4" spans="1:38">
      <c r="B4" s="90" t="s">
        <v>16</v>
      </c>
      <c r="C4" s="101">
        <f>IFERROR(VLOOKUP(C$2,Data_Entry!$C:$L,Data_Entry!$A3,0)/VLOOKUP($B4,Basic_Data!$E$2:$G$10,3,0),"")</f>
        <v>4.7168473728106797</v>
      </c>
      <c r="D4" s="101">
        <f>IFERROR(VLOOKUP(D$2,Data_Entry!$C:$L,Data_Entry!$A3,0)/VLOOKUP($B4,Basic_Data!$E$2:$G$10,3,0),"")</f>
        <v>0</v>
      </c>
      <c r="E4" s="101">
        <f>IFERROR(VLOOKUP(E$2,Data_Entry!$C:$L,Data_Entry!$A3,0)/VLOOKUP($B4,Basic_Data!$E$2:$G$10,3,0),"")</f>
        <v>0</v>
      </c>
      <c r="F4" s="101">
        <f>IFERROR(VLOOKUP(F$2,Data_Entry!$C:$L,Data_Entry!$A3,0)/VLOOKUP($B4,Basic_Data!$E$2:$G$10,3,0),"")</f>
        <v>0</v>
      </c>
      <c r="G4" s="101">
        <f>IFERROR(VLOOKUP(G$2,Data_Entry!$C:$L,Data_Entry!$A3,0)/VLOOKUP($B4,Basic_Data!$E$2:$G$10,3,0),"")</f>
        <v>0</v>
      </c>
      <c r="H4" s="101">
        <f>IFERROR(VLOOKUP(H$2,Data_Entry!$C:$L,Data_Entry!$A3,0)/VLOOKUP($B4,Basic_Data!$E$2:$G$10,3,0),"")</f>
        <v>0</v>
      </c>
      <c r="I4" s="101">
        <f>IFERROR(VLOOKUP(I$2,Data_Entry!$C:$L,Data_Entry!$A3,0)/VLOOKUP($B4,Basic_Data!$E$2:$G$10,3,0),"")</f>
        <v>0</v>
      </c>
      <c r="J4" s="101">
        <f>IFERROR(VLOOKUP(J$2,Data_Entry!$C:$L,Data_Entry!$A3,0)/VLOOKUP($B4,Basic_Data!$E$2:$G$10,3,0),"")</f>
        <v>0</v>
      </c>
      <c r="K4" s="101">
        <f>IFERROR(VLOOKUP(K$2,Data_Entry!$C:$L,Data_Entry!$A3,0)/VLOOKUP($B4,Basic_Data!$E$2:$G$10,3,0),"")</f>
        <v>0</v>
      </c>
      <c r="L4" s="101">
        <f>IFERROR(VLOOKUP(L$2,Data_Entry!$C:$L,Data_Entry!$A3,0)/VLOOKUP($B4,Basic_Data!$E$2:$G$10,3,0),"")</f>
        <v>0</v>
      </c>
      <c r="M4" s="101">
        <f>IFERROR(VLOOKUP(M$2,Data_Entry!$C:$L,Data_Entry!$A3,0)/VLOOKUP($B4,Basic_Data!$E$2:$G$10,3,0),"")</f>
        <v>0</v>
      </c>
      <c r="N4" s="101">
        <f>IFERROR(VLOOKUP(N$2,Data_Entry!$C:$L,Data_Entry!$A3,0)/VLOOKUP($B4,Basic_Data!$E$2:$G$10,3,0),"")</f>
        <v>0</v>
      </c>
      <c r="O4" s="101">
        <f>IFERROR(VLOOKUP(O$2,Data_Entry!$C:$L,Data_Entry!$A3,0)/VLOOKUP($B4,Basic_Data!$E$2:$G$10,3,0),"")</f>
        <v>0</v>
      </c>
      <c r="P4" s="101">
        <f>IFERROR(VLOOKUP(P$2,Data_Entry!$C:$L,Data_Entry!$A3,0)/VLOOKUP($B4,Basic_Data!$E$2:$G$10,3,0),"")</f>
        <v>0</v>
      </c>
      <c r="Q4" s="101">
        <f>IFERROR(VLOOKUP(Q$2,Data_Entry!$C:$L,Data_Entry!$A3,0)/VLOOKUP($B4,Basic_Data!$E$2:$G$10,3,0),"")</f>
        <v>0</v>
      </c>
      <c r="R4" s="101">
        <f>IFERROR(VLOOKUP(R$2,Data_Entry!$C:$L,Data_Entry!$A3,0)/VLOOKUP($B4,Basic_Data!$E$2:$G$10,3,0),"")</f>
        <v>0</v>
      </c>
      <c r="S4" s="101">
        <f>IFERROR(VLOOKUP(S$2,Data_Entry!$C:$L,Data_Entry!$A3,0)/VLOOKUP($B4,Basic_Data!$E$2:$G$10,3,0),"")</f>
        <v>0</v>
      </c>
      <c r="T4" s="101">
        <f>IFERROR(VLOOKUP(T$2,Data_Entry!$C:$L,Data_Entry!$A3,0)/VLOOKUP($B4,Basic_Data!$E$2:$G$10,3,0),"")</f>
        <v>0</v>
      </c>
      <c r="U4" s="101">
        <f>IFERROR(VLOOKUP(U$2,Data_Entry!$C:$L,Data_Entry!$A3,0)/VLOOKUP($B4,Basic_Data!$E$2:$G$10,3,0),"")</f>
        <v>0</v>
      </c>
      <c r="V4" s="101">
        <f>IFERROR(VLOOKUP(V$2,Data_Entry!$C:$L,Data_Entry!$A3,0)/VLOOKUP($B4,Basic_Data!$E$2:$G$10,3,0),"")</f>
        <v>0</v>
      </c>
      <c r="W4" s="101">
        <f>IFERROR(VLOOKUP(W$2,Data_Entry!$C:$L,Data_Entry!$A3,0)/VLOOKUP($B4,Basic_Data!$E$2:$G$10,3,0),"")</f>
        <v>0</v>
      </c>
      <c r="X4" s="101">
        <f>IFERROR(VLOOKUP(X$2,Data_Entry!$C:$L,Data_Entry!$A3,0)/VLOOKUP($B4,Basic_Data!$E$2:$G$10,3,0),"")</f>
        <v>0</v>
      </c>
      <c r="Y4" s="101">
        <f>IFERROR(VLOOKUP(Y$2,Data_Entry!$C:$L,Data_Entry!$A3,0)/VLOOKUP($B4,Basic_Data!$E$2:$G$10,3,0),"")</f>
        <v>0</v>
      </c>
      <c r="Z4" s="101">
        <f>IFERROR(VLOOKUP(Z$2,Data_Entry!$C:$L,Data_Entry!$A3,0)/VLOOKUP($B4,Basic_Data!$E$2:$G$10,3,0),"")</f>
        <v>0</v>
      </c>
      <c r="AA4" s="101">
        <f>IFERROR(VLOOKUP(AA$2,Data_Entry!$C:$L,Data_Entry!$A3,0)/VLOOKUP($B4,Basic_Data!$E$2:$G$10,3,0),"")</f>
        <v>0</v>
      </c>
      <c r="AB4" s="101">
        <f>IFERROR(VLOOKUP(AB$2,Data_Entry!$C:$L,Data_Entry!$A3,0)/VLOOKUP($B4,Basic_Data!$E$2:$G$10,3,0),"")</f>
        <v>0</v>
      </c>
      <c r="AC4" s="101">
        <f>IFERROR(VLOOKUP(AC$2,Data_Entry!$C:$L,Data_Entry!$A3,0)/VLOOKUP($B4,Basic_Data!$E$2:$G$10,3,0),"")</f>
        <v>0</v>
      </c>
      <c r="AD4" s="101">
        <f>IFERROR(VLOOKUP(AD$2,Data_Entry!$C:$L,Data_Entry!$A3,0)/VLOOKUP($B4,Basic_Data!$E$2:$G$10,3,0),"")</f>
        <v>0</v>
      </c>
      <c r="AE4" s="101">
        <f>IFERROR(VLOOKUP(AE$2,Data_Entry!$C:$L,Data_Entry!$A3,0)/VLOOKUP($B4,Basic_Data!$E$2:$G$10,3,0),"")</f>
        <v>0</v>
      </c>
      <c r="AF4" s="101">
        <f>IFERROR(VLOOKUP(AF$2,Data_Entry!$C:$L,Data_Entry!$A3,0)/VLOOKUP($B4,Basic_Data!$E$2:$G$10,3,0),"")</f>
        <v>0</v>
      </c>
      <c r="AG4" s="101">
        <f>IFERROR(VLOOKUP(AG$2,Data_Entry!$C:$L,Data_Entry!$A3,0)/VLOOKUP($B4,Basic_Data!$E$2:$G$10,3,0),"")</f>
        <v>0</v>
      </c>
      <c r="AH4" s="23"/>
    </row>
    <row r="5" spans="1:38">
      <c r="B5" s="90" t="s">
        <v>17</v>
      </c>
      <c r="C5" s="101">
        <f>IFERROR(VLOOKUP(C$2,Data_Entry!$C:$L,Data_Entry!$A4,0)/VLOOKUP($B5,Basic_Data!$E$2:$G$10,3,0),"")</f>
        <v>4.6571547718336701</v>
      </c>
      <c r="D5" s="101">
        <f>IFERROR(VLOOKUP(D$2,Data_Entry!$C:$L,Data_Entry!$A4,0)/VLOOKUP($B5,Basic_Data!$E$2:$G$10,3,0),"")</f>
        <v>0</v>
      </c>
      <c r="E5" s="101">
        <f>IFERROR(VLOOKUP(E$2,Data_Entry!$C:$L,Data_Entry!$A4,0)/VLOOKUP($B5,Basic_Data!$E$2:$G$10,3,0),"")</f>
        <v>0</v>
      </c>
      <c r="F5" s="101">
        <f>IFERROR(VLOOKUP(F$2,Data_Entry!$C:$L,Data_Entry!$A4,0)/VLOOKUP($B5,Basic_Data!$E$2:$G$10,3,0),"")</f>
        <v>0</v>
      </c>
      <c r="G5" s="101">
        <f>IFERROR(VLOOKUP(G$2,Data_Entry!$C:$L,Data_Entry!$A4,0)/VLOOKUP($B5,Basic_Data!$E$2:$G$10,3,0),"")</f>
        <v>0</v>
      </c>
      <c r="H5" s="101">
        <f>IFERROR(VLOOKUP(H$2,Data_Entry!$C:$L,Data_Entry!$A4,0)/VLOOKUP($B5,Basic_Data!$E$2:$G$10,3,0),"")</f>
        <v>0</v>
      </c>
      <c r="I5" s="101">
        <f>IFERROR(VLOOKUP(I$2,Data_Entry!$C:$L,Data_Entry!$A4,0)/VLOOKUP($B5,Basic_Data!$E$2:$G$10,3,0),"")</f>
        <v>0</v>
      </c>
      <c r="J5" s="101">
        <f>IFERROR(VLOOKUP(J$2,Data_Entry!$C:$L,Data_Entry!$A4,0)/VLOOKUP($B5,Basic_Data!$E$2:$G$10,3,0),"")</f>
        <v>0</v>
      </c>
      <c r="K5" s="101">
        <f>IFERROR(VLOOKUP(K$2,Data_Entry!$C:$L,Data_Entry!$A4,0)/VLOOKUP($B5,Basic_Data!$E$2:$G$10,3,0),"")</f>
        <v>0</v>
      </c>
      <c r="L5" s="101">
        <f>IFERROR(VLOOKUP(L$2,Data_Entry!$C:$L,Data_Entry!$A4,0)/VLOOKUP($B5,Basic_Data!$E$2:$G$10,3,0),"")</f>
        <v>0</v>
      </c>
      <c r="M5" s="101">
        <f>IFERROR(VLOOKUP(M$2,Data_Entry!$C:$L,Data_Entry!$A4,0)/VLOOKUP($B5,Basic_Data!$E$2:$G$10,3,0),"")</f>
        <v>0</v>
      </c>
      <c r="N5" s="101">
        <f>IFERROR(VLOOKUP(N$2,Data_Entry!$C:$L,Data_Entry!$A4,0)/VLOOKUP($B5,Basic_Data!$E$2:$G$10,3,0),"")</f>
        <v>0</v>
      </c>
      <c r="O5" s="101">
        <f>IFERROR(VLOOKUP(O$2,Data_Entry!$C:$L,Data_Entry!$A4,0)/VLOOKUP($B5,Basic_Data!$E$2:$G$10,3,0),"")</f>
        <v>0</v>
      </c>
      <c r="P5" s="101">
        <f>IFERROR(VLOOKUP(P$2,Data_Entry!$C:$L,Data_Entry!$A4,0)/VLOOKUP($B5,Basic_Data!$E$2:$G$10,3,0),"")</f>
        <v>0</v>
      </c>
      <c r="Q5" s="101">
        <f>IFERROR(VLOOKUP(Q$2,Data_Entry!$C:$L,Data_Entry!$A4,0)/VLOOKUP($B5,Basic_Data!$E$2:$G$10,3,0),"")</f>
        <v>0</v>
      </c>
      <c r="R5" s="101">
        <f>IFERROR(VLOOKUP(R$2,Data_Entry!$C:$L,Data_Entry!$A4,0)/VLOOKUP($B5,Basic_Data!$E$2:$G$10,3,0),"")</f>
        <v>0</v>
      </c>
      <c r="S5" s="101">
        <f>IFERROR(VLOOKUP(S$2,Data_Entry!$C:$L,Data_Entry!$A4,0)/VLOOKUP($B5,Basic_Data!$E$2:$G$10,3,0),"")</f>
        <v>0</v>
      </c>
      <c r="T5" s="101">
        <f>IFERROR(VLOOKUP(T$2,Data_Entry!$C:$L,Data_Entry!$A4,0)/VLOOKUP($B5,Basic_Data!$E$2:$G$10,3,0),"")</f>
        <v>0</v>
      </c>
      <c r="U5" s="101">
        <f>IFERROR(VLOOKUP(U$2,Data_Entry!$C:$L,Data_Entry!$A4,0)/VLOOKUP($B5,Basic_Data!$E$2:$G$10,3,0),"")</f>
        <v>0</v>
      </c>
      <c r="V5" s="101">
        <f>IFERROR(VLOOKUP(V$2,Data_Entry!$C:$L,Data_Entry!$A4,0)/VLOOKUP($B5,Basic_Data!$E$2:$G$10,3,0),"")</f>
        <v>0</v>
      </c>
      <c r="W5" s="101">
        <f>IFERROR(VLOOKUP(W$2,Data_Entry!$C:$L,Data_Entry!$A4,0)/VLOOKUP($B5,Basic_Data!$E$2:$G$10,3,0),"")</f>
        <v>0</v>
      </c>
      <c r="X5" s="101">
        <f>IFERROR(VLOOKUP(X$2,Data_Entry!$C:$L,Data_Entry!$A4,0)/VLOOKUP($B5,Basic_Data!$E$2:$G$10,3,0),"")</f>
        <v>0</v>
      </c>
      <c r="Y5" s="101">
        <f>IFERROR(VLOOKUP(Y$2,Data_Entry!$C:$L,Data_Entry!$A4,0)/VLOOKUP($B5,Basic_Data!$E$2:$G$10,3,0),"")</f>
        <v>0</v>
      </c>
      <c r="Z5" s="101">
        <f>IFERROR(VLOOKUP(Z$2,Data_Entry!$C:$L,Data_Entry!$A4,0)/VLOOKUP($B5,Basic_Data!$E$2:$G$10,3,0),"")</f>
        <v>0</v>
      </c>
      <c r="AA5" s="101">
        <f>IFERROR(VLOOKUP(AA$2,Data_Entry!$C:$L,Data_Entry!$A4,0)/VLOOKUP($B5,Basic_Data!$E$2:$G$10,3,0),"")</f>
        <v>0</v>
      </c>
      <c r="AB5" s="101">
        <f>IFERROR(VLOOKUP(AB$2,Data_Entry!$C:$L,Data_Entry!$A4,0)/VLOOKUP($B5,Basic_Data!$E$2:$G$10,3,0),"")</f>
        <v>0</v>
      </c>
      <c r="AC5" s="101">
        <f>IFERROR(VLOOKUP(AC$2,Data_Entry!$C:$L,Data_Entry!$A4,0)/VLOOKUP($B5,Basic_Data!$E$2:$G$10,3,0),"")</f>
        <v>0</v>
      </c>
      <c r="AD5" s="101">
        <f>IFERROR(VLOOKUP(AD$2,Data_Entry!$C:$L,Data_Entry!$A4,0)/VLOOKUP($B5,Basic_Data!$E$2:$G$10,3,0),"")</f>
        <v>0</v>
      </c>
      <c r="AE5" s="101">
        <f>IFERROR(VLOOKUP(AE$2,Data_Entry!$C:$L,Data_Entry!$A4,0)/VLOOKUP($B5,Basic_Data!$E$2:$G$10,3,0),"")</f>
        <v>0</v>
      </c>
      <c r="AF5" s="101">
        <f>IFERROR(VLOOKUP(AF$2,Data_Entry!$C:$L,Data_Entry!$A4,0)/VLOOKUP($B5,Basic_Data!$E$2:$G$10,3,0),"")</f>
        <v>0</v>
      </c>
      <c r="AG5" s="101">
        <f>IFERROR(VLOOKUP(AG$2,Data_Entry!$C:$L,Data_Entry!$A4,0)/VLOOKUP($B5,Basic_Data!$E$2:$G$10,3,0),"")</f>
        <v>0</v>
      </c>
      <c r="AH5" s="23"/>
    </row>
    <row r="6" spans="1:38">
      <c r="B6" s="90" t="s">
        <v>18</v>
      </c>
      <c r="C6" s="101">
        <f>IFERROR(VLOOKUP(C$2,Data_Entry!$C:$L,Data_Entry!$A5,0)/VLOOKUP($B6,Basic_Data!$E$2:$G$10,3,0),"")</f>
        <v>4.6838566300074103</v>
      </c>
      <c r="D6" s="101">
        <f>IFERROR(VLOOKUP(D$2,Data_Entry!$C:$L,Data_Entry!$A5,0)/VLOOKUP($B6,Basic_Data!$E$2:$G$10,3,0),"")</f>
        <v>0</v>
      </c>
      <c r="E6" s="101">
        <f>IFERROR(VLOOKUP(E$2,Data_Entry!$C:$L,Data_Entry!$A5,0)/VLOOKUP($B6,Basic_Data!$E$2:$G$10,3,0),"")</f>
        <v>0</v>
      </c>
      <c r="F6" s="101">
        <f>IFERROR(VLOOKUP(F$2,Data_Entry!$C:$L,Data_Entry!$A5,0)/VLOOKUP($B6,Basic_Data!$E$2:$G$10,3,0),"")</f>
        <v>0</v>
      </c>
      <c r="G6" s="101">
        <f>IFERROR(VLOOKUP(G$2,Data_Entry!$C:$L,Data_Entry!$A5,0)/VLOOKUP($B6,Basic_Data!$E$2:$G$10,3,0),"")</f>
        <v>0</v>
      </c>
      <c r="H6" s="101">
        <f>IFERROR(VLOOKUP(H$2,Data_Entry!$C:$L,Data_Entry!$A5,0)/VLOOKUP($B6,Basic_Data!$E$2:$G$10,3,0),"")</f>
        <v>0</v>
      </c>
      <c r="I6" s="101">
        <f>IFERROR(VLOOKUP(I$2,Data_Entry!$C:$L,Data_Entry!$A5,0)/VLOOKUP($B6,Basic_Data!$E$2:$G$10,3,0),"")</f>
        <v>0</v>
      </c>
      <c r="J6" s="101">
        <f>IFERROR(VLOOKUP(J$2,Data_Entry!$C:$L,Data_Entry!$A5,0)/VLOOKUP($B6,Basic_Data!$E$2:$G$10,3,0),"")</f>
        <v>0</v>
      </c>
      <c r="K6" s="101">
        <f>IFERROR(VLOOKUP(K$2,Data_Entry!$C:$L,Data_Entry!$A5,0)/VLOOKUP($B6,Basic_Data!$E$2:$G$10,3,0),"")</f>
        <v>0</v>
      </c>
      <c r="L6" s="101">
        <f>IFERROR(VLOOKUP(L$2,Data_Entry!$C:$L,Data_Entry!$A5,0)/VLOOKUP($B6,Basic_Data!$E$2:$G$10,3,0),"")</f>
        <v>0</v>
      </c>
      <c r="M6" s="101">
        <f>IFERROR(VLOOKUP(M$2,Data_Entry!$C:$L,Data_Entry!$A5,0)/VLOOKUP($B6,Basic_Data!$E$2:$G$10,3,0),"")</f>
        <v>0</v>
      </c>
      <c r="N6" s="101">
        <f>IFERROR(VLOOKUP(N$2,Data_Entry!$C:$L,Data_Entry!$A5,0)/VLOOKUP($B6,Basic_Data!$E$2:$G$10,3,0),"")</f>
        <v>0</v>
      </c>
      <c r="O6" s="101">
        <f>IFERROR(VLOOKUP(O$2,Data_Entry!$C:$L,Data_Entry!$A5,0)/VLOOKUP($B6,Basic_Data!$E$2:$G$10,3,0),"")</f>
        <v>0</v>
      </c>
      <c r="P6" s="101">
        <f>IFERROR(VLOOKUP(P$2,Data_Entry!$C:$L,Data_Entry!$A5,0)/VLOOKUP($B6,Basic_Data!$E$2:$G$10,3,0),"")</f>
        <v>0</v>
      </c>
      <c r="Q6" s="101">
        <f>IFERROR(VLOOKUP(Q$2,Data_Entry!$C:$L,Data_Entry!$A5,0)/VLOOKUP($B6,Basic_Data!$E$2:$G$10,3,0),"")</f>
        <v>0</v>
      </c>
      <c r="R6" s="101">
        <f>IFERROR(VLOOKUP(R$2,Data_Entry!$C:$L,Data_Entry!$A5,0)/VLOOKUP($B6,Basic_Data!$E$2:$G$10,3,0),"")</f>
        <v>0</v>
      </c>
      <c r="S6" s="101">
        <f>IFERROR(VLOOKUP(S$2,Data_Entry!$C:$L,Data_Entry!$A5,0)/VLOOKUP($B6,Basic_Data!$E$2:$G$10,3,0),"")</f>
        <v>0</v>
      </c>
      <c r="T6" s="101">
        <f>IFERROR(VLOOKUP(T$2,Data_Entry!$C:$L,Data_Entry!$A5,0)/VLOOKUP($B6,Basic_Data!$E$2:$G$10,3,0),"")</f>
        <v>0</v>
      </c>
      <c r="U6" s="101">
        <f>IFERROR(VLOOKUP(U$2,Data_Entry!$C:$L,Data_Entry!$A5,0)/VLOOKUP($B6,Basic_Data!$E$2:$G$10,3,0),"")</f>
        <v>0</v>
      </c>
      <c r="V6" s="101">
        <f>IFERROR(VLOOKUP(V$2,Data_Entry!$C:$L,Data_Entry!$A5,0)/VLOOKUP($B6,Basic_Data!$E$2:$G$10,3,0),"")</f>
        <v>0</v>
      </c>
      <c r="W6" s="101">
        <f>IFERROR(VLOOKUP(W$2,Data_Entry!$C:$L,Data_Entry!$A5,0)/VLOOKUP($B6,Basic_Data!$E$2:$G$10,3,0),"")</f>
        <v>0</v>
      </c>
      <c r="X6" s="101">
        <f>IFERROR(VLOOKUP(X$2,Data_Entry!$C:$L,Data_Entry!$A5,0)/VLOOKUP($B6,Basic_Data!$E$2:$G$10,3,0),"")</f>
        <v>0</v>
      </c>
      <c r="Y6" s="101">
        <f>IFERROR(VLOOKUP(Y$2,Data_Entry!$C:$L,Data_Entry!$A5,0)/VLOOKUP($B6,Basic_Data!$E$2:$G$10,3,0),"")</f>
        <v>0</v>
      </c>
      <c r="Z6" s="101">
        <f>IFERROR(VLOOKUP(Z$2,Data_Entry!$C:$L,Data_Entry!$A5,0)/VLOOKUP($B6,Basic_Data!$E$2:$G$10,3,0),"")</f>
        <v>0</v>
      </c>
      <c r="AA6" s="101">
        <f>IFERROR(VLOOKUP(AA$2,Data_Entry!$C:$L,Data_Entry!$A5,0)/VLOOKUP($B6,Basic_Data!$E$2:$G$10,3,0),"")</f>
        <v>0</v>
      </c>
      <c r="AB6" s="101">
        <f>IFERROR(VLOOKUP(AB$2,Data_Entry!$C:$L,Data_Entry!$A5,0)/VLOOKUP($B6,Basic_Data!$E$2:$G$10,3,0),"")</f>
        <v>0</v>
      </c>
      <c r="AC6" s="101">
        <f>IFERROR(VLOOKUP(AC$2,Data_Entry!$C:$L,Data_Entry!$A5,0)/VLOOKUP($B6,Basic_Data!$E$2:$G$10,3,0),"")</f>
        <v>0</v>
      </c>
      <c r="AD6" s="101">
        <f>IFERROR(VLOOKUP(AD$2,Data_Entry!$C:$L,Data_Entry!$A5,0)/VLOOKUP($B6,Basic_Data!$E$2:$G$10,3,0),"")</f>
        <v>0</v>
      </c>
      <c r="AE6" s="101">
        <f>IFERROR(VLOOKUP(AE$2,Data_Entry!$C:$L,Data_Entry!$A5,0)/VLOOKUP($B6,Basic_Data!$E$2:$G$10,3,0),"")</f>
        <v>0</v>
      </c>
      <c r="AF6" s="101">
        <f>IFERROR(VLOOKUP(AF$2,Data_Entry!$C:$L,Data_Entry!$A5,0)/VLOOKUP($B6,Basic_Data!$E$2:$G$10,3,0),"")</f>
        <v>0</v>
      </c>
      <c r="AG6" s="101">
        <f>IFERROR(VLOOKUP(AG$2,Data_Entry!$C:$L,Data_Entry!$A5,0)/VLOOKUP($B6,Basic_Data!$E$2:$G$10,3,0),"")</f>
        <v>0</v>
      </c>
      <c r="AH6" s="23"/>
    </row>
    <row r="7" spans="1:38">
      <c r="B7" s="90" t="s">
        <v>19</v>
      </c>
      <c r="C7" s="101">
        <f>IFERROR(VLOOKUP(C$2,Data_Entry!$C:$L,Data_Entry!$A6,0)/VLOOKUP($B7,Basic_Data!$E$2:$G$10,3,0),"")</f>
        <v>4.7385321100917404</v>
      </c>
      <c r="D7" s="101">
        <f>IFERROR(VLOOKUP(D$2,Data_Entry!$C:$L,Data_Entry!$A6,0)/VLOOKUP($B7,Basic_Data!$E$2:$G$10,3,0),"")</f>
        <v>0</v>
      </c>
      <c r="E7" s="101">
        <f>IFERROR(VLOOKUP(E$2,Data_Entry!$C:$L,Data_Entry!$A6,0)/VLOOKUP($B7,Basic_Data!$E$2:$G$10,3,0),"")</f>
        <v>0</v>
      </c>
      <c r="F7" s="101">
        <f>IFERROR(VLOOKUP(F$2,Data_Entry!$C:$L,Data_Entry!$A6,0)/VLOOKUP($B7,Basic_Data!$E$2:$G$10,3,0),"")</f>
        <v>0</v>
      </c>
      <c r="G7" s="101">
        <f>IFERROR(VLOOKUP(G$2,Data_Entry!$C:$L,Data_Entry!$A6,0)/VLOOKUP($B7,Basic_Data!$E$2:$G$10,3,0),"")</f>
        <v>0</v>
      </c>
      <c r="H7" s="101">
        <f>IFERROR(VLOOKUP(H$2,Data_Entry!$C:$L,Data_Entry!$A6,0)/VLOOKUP($B7,Basic_Data!$E$2:$G$10,3,0),"")</f>
        <v>0</v>
      </c>
      <c r="I7" s="101">
        <f>IFERROR(VLOOKUP(I$2,Data_Entry!$C:$L,Data_Entry!$A6,0)/VLOOKUP($B7,Basic_Data!$E$2:$G$10,3,0),"")</f>
        <v>0</v>
      </c>
      <c r="J7" s="101">
        <f>IFERROR(VLOOKUP(J$2,Data_Entry!$C:$L,Data_Entry!$A6,0)/VLOOKUP($B7,Basic_Data!$E$2:$G$10,3,0),"")</f>
        <v>0</v>
      </c>
      <c r="K7" s="101">
        <f>IFERROR(VLOOKUP(K$2,Data_Entry!$C:$L,Data_Entry!$A6,0)/VLOOKUP($B7,Basic_Data!$E$2:$G$10,3,0),"")</f>
        <v>0</v>
      </c>
      <c r="L7" s="101">
        <f>IFERROR(VLOOKUP(L$2,Data_Entry!$C:$L,Data_Entry!$A6,0)/VLOOKUP($B7,Basic_Data!$E$2:$G$10,3,0),"")</f>
        <v>0</v>
      </c>
      <c r="M7" s="101">
        <f>IFERROR(VLOOKUP(M$2,Data_Entry!$C:$L,Data_Entry!$A6,0)/VLOOKUP($B7,Basic_Data!$E$2:$G$10,3,0),"")</f>
        <v>0</v>
      </c>
      <c r="N7" s="101">
        <f>IFERROR(VLOOKUP(N$2,Data_Entry!$C:$L,Data_Entry!$A6,0)/VLOOKUP($B7,Basic_Data!$E$2:$G$10,3,0),"")</f>
        <v>0</v>
      </c>
      <c r="O7" s="101">
        <f>IFERROR(VLOOKUP(O$2,Data_Entry!$C:$L,Data_Entry!$A6,0)/VLOOKUP($B7,Basic_Data!$E$2:$G$10,3,0),"")</f>
        <v>0</v>
      </c>
      <c r="P7" s="101">
        <f>IFERROR(VLOOKUP(P$2,Data_Entry!$C:$L,Data_Entry!$A6,0)/VLOOKUP($B7,Basic_Data!$E$2:$G$10,3,0),"")</f>
        <v>0</v>
      </c>
      <c r="Q7" s="101">
        <f>IFERROR(VLOOKUP(Q$2,Data_Entry!$C:$L,Data_Entry!$A6,0)/VLOOKUP($B7,Basic_Data!$E$2:$G$10,3,0),"")</f>
        <v>0</v>
      </c>
      <c r="R7" s="101">
        <f>IFERROR(VLOOKUP(R$2,Data_Entry!$C:$L,Data_Entry!$A6,0)/VLOOKUP($B7,Basic_Data!$E$2:$G$10,3,0),"")</f>
        <v>0</v>
      </c>
      <c r="S7" s="101">
        <f>IFERROR(VLOOKUP(S$2,Data_Entry!$C:$L,Data_Entry!$A6,0)/VLOOKUP($B7,Basic_Data!$E$2:$G$10,3,0),"")</f>
        <v>0</v>
      </c>
      <c r="T7" s="101">
        <f>IFERROR(VLOOKUP(T$2,Data_Entry!$C:$L,Data_Entry!$A6,0)/VLOOKUP($B7,Basic_Data!$E$2:$G$10,3,0),"")</f>
        <v>0</v>
      </c>
      <c r="U7" s="101">
        <f>IFERROR(VLOOKUP(U$2,Data_Entry!$C:$L,Data_Entry!$A6,0)/VLOOKUP($B7,Basic_Data!$E$2:$G$10,3,0),"")</f>
        <v>0</v>
      </c>
      <c r="V7" s="101">
        <f>IFERROR(VLOOKUP(V$2,Data_Entry!$C:$L,Data_Entry!$A6,0)/VLOOKUP($B7,Basic_Data!$E$2:$G$10,3,0),"")</f>
        <v>0</v>
      </c>
      <c r="W7" s="101">
        <f>IFERROR(VLOOKUP(W$2,Data_Entry!$C:$L,Data_Entry!$A6,0)/VLOOKUP($B7,Basic_Data!$E$2:$G$10,3,0),"")</f>
        <v>0</v>
      </c>
      <c r="X7" s="101">
        <f>IFERROR(VLOOKUP(X$2,Data_Entry!$C:$L,Data_Entry!$A6,0)/VLOOKUP($B7,Basic_Data!$E$2:$G$10,3,0),"")</f>
        <v>0</v>
      </c>
      <c r="Y7" s="101">
        <f>IFERROR(VLOOKUP(Y$2,Data_Entry!$C:$L,Data_Entry!$A6,0)/VLOOKUP($B7,Basic_Data!$E$2:$G$10,3,0),"")</f>
        <v>0</v>
      </c>
      <c r="Z7" s="101">
        <f>IFERROR(VLOOKUP(Z$2,Data_Entry!$C:$L,Data_Entry!$A6,0)/VLOOKUP($B7,Basic_Data!$E$2:$G$10,3,0),"")</f>
        <v>0</v>
      </c>
      <c r="AA7" s="101">
        <f>IFERROR(VLOOKUP(AA$2,Data_Entry!$C:$L,Data_Entry!$A6,0)/VLOOKUP($B7,Basic_Data!$E$2:$G$10,3,0),"")</f>
        <v>0</v>
      </c>
      <c r="AB7" s="101">
        <f>IFERROR(VLOOKUP(AB$2,Data_Entry!$C:$L,Data_Entry!$A6,0)/VLOOKUP($B7,Basic_Data!$E$2:$G$10,3,0),"")</f>
        <v>0</v>
      </c>
      <c r="AC7" s="101">
        <f>IFERROR(VLOOKUP(AC$2,Data_Entry!$C:$L,Data_Entry!$A6,0)/VLOOKUP($B7,Basic_Data!$E$2:$G$10,3,0),"")</f>
        <v>0</v>
      </c>
      <c r="AD7" s="101">
        <f>IFERROR(VLOOKUP(AD$2,Data_Entry!$C:$L,Data_Entry!$A6,0)/VLOOKUP($B7,Basic_Data!$E$2:$G$10,3,0),"")</f>
        <v>0</v>
      </c>
      <c r="AE7" s="101">
        <f>IFERROR(VLOOKUP(AE$2,Data_Entry!$C:$L,Data_Entry!$A6,0)/VLOOKUP($B7,Basic_Data!$E$2:$G$10,3,0),"")</f>
        <v>0</v>
      </c>
      <c r="AF7" s="101">
        <f>IFERROR(VLOOKUP(AF$2,Data_Entry!$C:$L,Data_Entry!$A6,0)/VLOOKUP($B7,Basic_Data!$E$2:$G$10,3,0),"")</f>
        <v>0</v>
      </c>
      <c r="AG7" s="101">
        <f>IFERROR(VLOOKUP(AG$2,Data_Entry!$C:$L,Data_Entry!$A6,0)/VLOOKUP($B7,Basic_Data!$E$2:$G$10,3,0),"")</f>
        <v>0</v>
      </c>
      <c r="AH7" s="23"/>
    </row>
    <row r="8" spans="1:38">
      <c r="B8" s="90" t="s">
        <v>20</v>
      </c>
      <c r="C8" s="101">
        <f>IFERROR(VLOOKUP(C$2,Data_Entry!$C:$L,Data_Entry!$A7,0)/VLOOKUP($B8,Basic_Data!$E$2:$G$10,3,0),"")</f>
        <v>4.7107242577924699</v>
      </c>
      <c r="D8" s="101">
        <f>IFERROR(VLOOKUP(D$2,Data_Entry!$C:$L,Data_Entry!$A7,0)/VLOOKUP($B8,Basic_Data!$E$2:$G$10,3,0),"")</f>
        <v>0</v>
      </c>
      <c r="E8" s="101">
        <f>IFERROR(VLOOKUP(E$2,Data_Entry!$C:$L,Data_Entry!$A7,0)/VLOOKUP($B8,Basic_Data!$E$2:$G$10,3,0),"")</f>
        <v>0</v>
      </c>
      <c r="F8" s="101">
        <f>IFERROR(VLOOKUP(F$2,Data_Entry!$C:$L,Data_Entry!$A7,0)/VLOOKUP($B8,Basic_Data!$E$2:$G$10,3,0),"")</f>
        <v>0</v>
      </c>
      <c r="G8" s="101">
        <f>IFERROR(VLOOKUP(G$2,Data_Entry!$C:$L,Data_Entry!$A7,0)/VLOOKUP($B8,Basic_Data!$E$2:$G$10,3,0),"")</f>
        <v>0</v>
      </c>
      <c r="H8" s="101">
        <f>IFERROR(VLOOKUP(H$2,Data_Entry!$C:$L,Data_Entry!$A7,0)/VLOOKUP($B8,Basic_Data!$E$2:$G$10,3,0),"")</f>
        <v>0</v>
      </c>
      <c r="I8" s="101">
        <f>IFERROR(VLOOKUP(I$2,Data_Entry!$C:$L,Data_Entry!$A7,0)/VLOOKUP($B8,Basic_Data!$E$2:$G$10,3,0),"")</f>
        <v>0</v>
      </c>
      <c r="J8" s="101">
        <f>IFERROR(VLOOKUP(J$2,Data_Entry!$C:$L,Data_Entry!$A7,0)/VLOOKUP($B8,Basic_Data!$E$2:$G$10,3,0),"")</f>
        <v>0</v>
      </c>
      <c r="K8" s="101">
        <f>IFERROR(VLOOKUP(K$2,Data_Entry!$C:$L,Data_Entry!$A7,0)/VLOOKUP($B8,Basic_Data!$E$2:$G$10,3,0),"")</f>
        <v>0</v>
      </c>
      <c r="L8" s="101">
        <f>IFERROR(VLOOKUP(L$2,Data_Entry!$C:$L,Data_Entry!$A7,0)/VLOOKUP($B8,Basic_Data!$E$2:$G$10,3,0),"")</f>
        <v>0</v>
      </c>
      <c r="M8" s="101">
        <f>IFERROR(VLOOKUP(M$2,Data_Entry!$C:$L,Data_Entry!$A7,0)/VLOOKUP($B8,Basic_Data!$E$2:$G$10,3,0),"")</f>
        <v>0</v>
      </c>
      <c r="N8" s="101">
        <f>IFERROR(VLOOKUP(N$2,Data_Entry!$C:$L,Data_Entry!$A7,0)/VLOOKUP($B8,Basic_Data!$E$2:$G$10,3,0),"")</f>
        <v>0</v>
      </c>
      <c r="O8" s="101">
        <f>IFERROR(VLOOKUP(O$2,Data_Entry!$C:$L,Data_Entry!$A7,0)/VLOOKUP($B8,Basic_Data!$E$2:$G$10,3,0),"")</f>
        <v>0</v>
      </c>
      <c r="P8" s="101">
        <f>IFERROR(VLOOKUP(P$2,Data_Entry!$C:$L,Data_Entry!$A7,0)/VLOOKUP($B8,Basic_Data!$E$2:$G$10,3,0),"")</f>
        <v>0</v>
      </c>
      <c r="Q8" s="101">
        <f>IFERROR(VLOOKUP(Q$2,Data_Entry!$C:$L,Data_Entry!$A7,0)/VLOOKUP($B8,Basic_Data!$E$2:$G$10,3,0),"")</f>
        <v>0</v>
      </c>
      <c r="R8" s="101">
        <f>IFERROR(VLOOKUP(R$2,Data_Entry!$C:$L,Data_Entry!$A7,0)/VLOOKUP($B8,Basic_Data!$E$2:$G$10,3,0),"")</f>
        <v>0</v>
      </c>
      <c r="S8" s="101">
        <f>IFERROR(VLOOKUP(S$2,Data_Entry!$C:$L,Data_Entry!$A7,0)/VLOOKUP($B8,Basic_Data!$E$2:$G$10,3,0),"")</f>
        <v>0</v>
      </c>
      <c r="T8" s="101">
        <f>IFERROR(VLOOKUP(T$2,Data_Entry!$C:$L,Data_Entry!$A7,0)/VLOOKUP($B8,Basic_Data!$E$2:$G$10,3,0),"")</f>
        <v>0</v>
      </c>
      <c r="U8" s="101">
        <f>IFERROR(VLOOKUP(U$2,Data_Entry!$C:$L,Data_Entry!$A7,0)/VLOOKUP($B8,Basic_Data!$E$2:$G$10,3,0),"")</f>
        <v>0</v>
      </c>
      <c r="V8" s="101">
        <f>IFERROR(VLOOKUP(V$2,Data_Entry!$C:$L,Data_Entry!$A7,0)/VLOOKUP($B8,Basic_Data!$E$2:$G$10,3,0),"")</f>
        <v>0</v>
      </c>
      <c r="W8" s="101">
        <f>IFERROR(VLOOKUP(W$2,Data_Entry!$C:$L,Data_Entry!$A7,0)/VLOOKUP($B8,Basic_Data!$E$2:$G$10,3,0),"")</f>
        <v>0</v>
      </c>
      <c r="X8" s="101">
        <f>IFERROR(VLOOKUP(X$2,Data_Entry!$C:$L,Data_Entry!$A7,0)/VLOOKUP($B8,Basic_Data!$E$2:$G$10,3,0),"")</f>
        <v>0</v>
      </c>
      <c r="Y8" s="101">
        <f>IFERROR(VLOOKUP(Y$2,Data_Entry!$C:$L,Data_Entry!$A7,0)/VLOOKUP($B8,Basic_Data!$E$2:$G$10,3,0),"")</f>
        <v>0</v>
      </c>
      <c r="Z8" s="101">
        <f>IFERROR(VLOOKUP(Z$2,Data_Entry!$C:$L,Data_Entry!$A7,0)/VLOOKUP($B8,Basic_Data!$E$2:$G$10,3,0),"")</f>
        <v>0</v>
      </c>
      <c r="AA8" s="101">
        <f>IFERROR(VLOOKUP(AA$2,Data_Entry!$C:$L,Data_Entry!$A7,0)/VLOOKUP($B8,Basic_Data!$E$2:$G$10,3,0),"")</f>
        <v>0</v>
      </c>
      <c r="AB8" s="101">
        <f>IFERROR(VLOOKUP(AB$2,Data_Entry!$C:$L,Data_Entry!$A7,0)/VLOOKUP($B8,Basic_Data!$E$2:$G$10,3,0),"")</f>
        <v>0</v>
      </c>
      <c r="AC8" s="101">
        <f>IFERROR(VLOOKUP(AC$2,Data_Entry!$C:$L,Data_Entry!$A7,0)/VLOOKUP($B8,Basic_Data!$E$2:$G$10,3,0),"")</f>
        <v>0</v>
      </c>
      <c r="AD8" s="101">
        <f>IFERROR(VLOOKUP(AD$2,Data_Entry!$C:$L,Data_Entry!$A7,0)/VLOOKUP($B8,Basic_Data!$E$2:$G$10,3,0),"")</f>
        <v>0</v>
      </c>
      <c r="AE8" s="101">
        <f>IFERROR(VLOOKUP(AE$2,Data_Entry!$C:$L,Data_Entry!$A7,0)/VLOOKUP($B8,Basic_Data!$E$2:$G$10,3,0),"")</f>
        <v>0</v>
      </c>
      <c r="AF8" s="101">
        <f>IFERROR(VLOOKUP(AF$2,Data_Entry!$C:$L,Data_Entry!$A7,0)/VLOOKUP($B8,Basic_Data!$E$2:$G$10,3,0),"")</f>
        <v>0</v>
      </c>
      <c r="AG8" s="101">
        <f>IFERROR(VLOOKUP(AG$2,Data_Entry!$C:$L,Data_Entry!$A7,0)/VLOOKUP($B8,Basic_Data!$E$2:$G$10,3,0),"")</f>
        <v>0</v>
      </c>
      <c r="AH8" s="23"/>
    </row>
    <row r="9" spans="1:38">
      <c r="B9" s="90" t="s">
        <v>21</v>
      </c>
      <c r="C9" s="101">
        <f>IFERROR(VLOOKUP(C$2,Data_Entry!$C:$L,Data_Entry!$A8,0)/VLOOKUP($B9,Basic_Data!$E$2:$G$10,3,0),"")</f>
        <v>4.7365661861074697</v>
      </c>
      <c r="D9" s="101">
        <f>IFERROR(VLOOKUP(D$2,Data_Entry!$C:$L,Data_Entry!$A8,0)/VLOOKUP($B9,Basic_Data!$E$2:$G$10,3,0),"")</f>
        <v>0</v>
      </c>
      <c r="E9" s="101">
        <f>IFERROR(VLOOKUP(E$2,Data_Entry!$C:$L,Data_Entry!$A8,0)/VLOOKUP($B9,Basic_Data!$E$2:$G$10,3,0),"")</f>
        <v>0</v>
      </c>
      <c r="F9" s="101">
        <f>IFERROR(VLOOKUP(F$2,Data_Entry!$C:$L,Data_Entry!$A8,0)/VLOOKUP($B9,Basic_Data!$E$2:$G$10,3,0),"")</f>
        <v>0</v>
      </c>
      <c r="G9" s="101">
        <f>IFERROR(VLOOKUP(G$2,Data_Entry!$C:$L,Data_Entry!$A8,0)/VLOOKUP($B9,Basic_Data!$E$2:$G$10,3,0),"")</f>
        <v>0</v>
      </c>
      <c r="H9" s="101">
        <f>IFERROR(VLOOKUP(H$2,Data_Entry!$C:$L,Data_Entry!$A8,0)/VLOOKUP($B9,Basic_Data!$E$2:$G$10,3,0),"")</f>
        <v>0</v>
      </c>
      <c r="I9" s="101">
        <f>IFERROR(VLOOKUP(I$2,Data_Entry!$C:$L,Data_Entry!$A8,0)/VLOOKUP($B9,Basic_Data!$E$2:$G$10,3,0),"")</f>
        <v>0</v>
      </c>
      <c r="J9" s="101">
        <f>IFERROR(VLOOKUP(J$2,Data_Entry!$C:$L,Data_Entry!$A8,0)/VLOOKUP($B9,Basic_Data!$E$2:$G$10,3,0),"")</f>
        <v>0</v>
      </c>
      <c r="K9" s="101">
        <f>IFERROR(VLOOKUP(K$2,Data_Entry!$C:$L,Data_Entry!$A8,0)/VLOOKUP($B9,Basic_Data!$E$2:$G$10,3,0),"")</f>
        <v>0</v>
      </c>
      <c r="L9" s="101">
        <f>IFERROR(VLOOKUP(L$2,Data_Entry!$C:$L,Data_Entry!$A8,0)/VLOOKUP($B9,Basic_Data!$E$2:$G$10,3,0),"")</f>
        <v>0</v>
      </c>
      <c r="M9" s="101">
        <f>IFERROR(VLOOKUP(M$2,Data_Entry!$C:$L,Data_Entry!$A8,0)/VLOOKUP($B9,Basic_Data!$E$2:$G$10,3,0),"")</f>
        <v>0</v>
      </c>
      <c r="N9" s="101">
        <f>IFERROR(VLOOKUP(N$2,Data_Entry!$C:$L,Data_Entry!$A8,0)/VLOOKUP($B9,Basic_Data!$E$2:$G$10,3,0),"")</f>
        <v>0</v>
      </c>
      <c r="O9" s="101">
        <f>IFERROR(VLOOKUP(O$2,Data_Entry!$C:$L,Data_Entry!$A8,0)/VLOOKUP($B9,Basic_Data!$E$2:$G$10,3,0),"")</f>
        <v>0</v>
      </c>
      <c r="P9" s="101">
        <f>IFERROR(VLOOKUP(P$2,Data_Entry!$C:$L,Data_Entry!$A8,0)/VLOOKUP($B9,Basic_Data!$E$2:$G$10,3,0),"")</f>
        <v>0</v>
      </c>
      <c r="Q9" s="101">
        <f>IFERROR(VLOOKUP(Q$2,Data_Entry!$C:$L,Data_Entry!$A8,0)/VLOOKUP($B9,Basic_Data!$E$2:$G$10,3,0),"")</f>
        <v>0</v>
      </c>
      <c r="R9" s="101">
        <f>IFERROR(VLOOKUP(R$2,Data_Entry!$C:$L,Data_Entry!$A8,0)/VLOOKUP($B9,Basic_Data!$E$2:$G$10,3,0),"")</f>
        <v>0</v>
      </c>
      <c r="S9" s="101">
        <f>IFERROR(VLOOKUP(S$2,Data_Entry!$C:$L,Data_Entry!$A8,0)/VLOOKUP($B9,Basic_Data!$E$2:$G$10,3,0),"")</f>
        <v>0</v>
      </c>
      <c r="T9" s="101">
        <f>IFERROR(VLOOKUP(T$2,Data_Entry!$C:$L,Data_Entry!$A8,0)/VLOOKUP($B9,Basic_Data!$E$2:$G$10,3,0),"")</f>
        <v>0</v>
      </c>
      <c r="U9" s="101">
        <f>IFERROR(VLOOKUP(U$2,Data_Entry!$C:$L,Data_Entry!$A8,0)/VLOOKUP($B9,Basic_Data!$E$2:$G$10,3,0),"")</f>
        <v>0</v>
      </c>
      <c r="V9" s="101">
        <f>IFERROR(VLOOKUP(V$2,Data_Entry!$C:$L,Data_Entry!$A8,0)/VLOOKUP($B9,Basic_Data!$E$2:$G$10,3,0),"")</f>
        <v>0</v>
      </c>
      <c r="W9" s="101">
        <f>IFERROR(VLOOKUP(W$2,Data_Entry!$C:$L,Data_Entry!$A8,0)/VLOOKUP($B9,Basic_Data!$E$2:$G$10,3,0),"")</f>
        <v>0</v>
      </c>
      <c r="X9" s="101">
        <f>IFERROR(VLOOKUP(X$2,Data_Entry!$C:$L,Data_Entry!$A8,0)/VLOOKUP($B9,Basic_Data!$E$2:$G$10,3,0),"")</f>
        <v>0</v>
      </c>
      <c r="Y9" s="101">
        <f>IFERROR(VLOOKUP(Y$2,Data_Entry!$C:$L,Data_Entry!$A8,0)/VLOOKUP($B9,Basic_Data!$E$2:$G$10,3,0),"")</f>
        <v>0</v>
      </c>
      <c r="Z9" s="101">
        <f>IFERROR(VLOOKUP(Z$2,Data_Entry!$C:$L,Data_Entry!$A8,0)/VLOOKUP($B9,Basic_Data!$E$2:$G$10,3,0),"")</f>
        <v>0</v>
      </c>
      <c r="AA9" s="101">
        <f>IFERROR(VLOOKUP(AA$2,Data_Entry!$C:$L,Data_Entry!$A8,0)/VLOOKUP($B9,Basic_Data!$E$2:$G$10,3,0),"")</f>
        <v>0</v>
      </c>
      <c r="AB9" s="101">
        <f>IFERROR(VLOOKUP(AB$2,Data_Entry!$C:$L,Data_Entry!$A8,0)/VLOOKUP($B9,Basic_Data!$E$2:$G$10,3,0),"")</f>
        <v>0</v>
      </c>
      <c r="AC9" s="101">
        <f>IFERROR(VLOOKUP(AC$2,Data_Entry!$C:$L,Data_Entry!$A8,0)/VLOOKUP($B9,Basic_Data!$E$2:$G$10,3,0),"")</f>
        <v>0</v>
      </c>
      <c r="AD9" s="101">
        <f>IFERROR(VLOOKUP(AD$2,Data_Entry!$C:$L,Data_Entry!$A8,0)/VLOOKUP($B9,Basic_Data!$E$2:$G$10,3,0),"")</f>
        <v>0</v>
      </c>
      <c r="AE9" s="101">
        <f>IFERROR(VLOOKUP(AE$2,Data_Entry!$C:$L,Data_Entry!$A8,0)/VLOOKUP($B9,Basic_Data!$E$2:$G$10,3,0),"")</f>
        <v>0</v>
      </c>
      <c r="AF9" s="101">
        <f>IFERROR(VLOOKUP(AF$2,Data_Entry!$C:$L,Data_Entry!$A8,0)/VLOOKUP($B9,Basic_Data!$E$2:$G$10,3,0),"")</f>
        <v>0</v>
      </c>
      <c r="AG9" s="101">
        <f>IFERROR(VLOOKUP(AG$2,Data_Entry!$C:$L,Data_Entry!$A8,0)/VLOOKUP($B9,Basic_Data!$E$2:$G$10,3,0),"")</f>
        <v>0</v>
      </c>
      <c r="AH9" s="23"/>
    </row>
    <row r="10" spans="1:38">
      <c r="B10" s="23" t="s">
        <v>70</v>
      </c>
      <c r="C10" s="101">
        <f>AVERAGE(C3:C9)</f>
        <v>4.7072682574135696</v>
      </c>
      <c r="D10" s="101">
        <f t="shared" ref="D10:AH10" si="0">AVERAGE(D3:D9)</f>
        <v>0</v>
      </c>
      <c r="E10" s="101">
        <f t="shared" si="0"/>
        <v>0</v>
      </c>
      <c r="F10" s="101">
        <f t="shared" si="0"/>
        <v>0</v>
      </c>
      <c r="G10" s="101">
        <f t="shared" si="0"/>
        <v>0</v>
      </c>
      <c r="H10" s="101">
        <f t="shared" si="0"/>
        <v>0</v>
      </c>
      <c r="I10" s="101">
        <f t="shared" si="0"/>
        <v>0</v>
      </c>
      <c r="J10" s="101">
        <f t="shared" si="0"/>
        <v>0</v>
      </c>
      <c r="K10" s="101">
        <f t="shared" si="0"/>
        <v>0</v>
      </c>
      <c r="L10" s="101">
        <f t="shared" si="0"/>
        <v>0</v>
      </c>
      <c r="M10" s="101">
        <f t="shared" si="0"/>
        <v>0</v>
      </c>
      <c r="N10" s="101">
        <f t="shared" si="0"/>
        <v>0</v>
      </c>
      <c r="O10" s="101">
        <f t="shared" si="0"/>
        <v>0</v>
      </c>
      <c r="P10" s="101">
        <f t="shared" si="0"/>
        <v>0</v>
      </c>
      <c r="Q10" s="101">
        <f t="shared" si="0"/>
        <v>0</v>
      </c>
      <c r="R10" s="101">
        <f t="shared" si="0"/>
        <v>0</v>
      </c>
      <c r="S10" s="101">
        <f t="shared" si="0"/>
        <v>0</v>
      </c>
      <c r="T10" s="101">
        <f t="shared" si="0"/>
        <v>0</v>
      </c>
      <c r="U10" s="101">
        <f t="shared" si="0"/>
        <v>0</v>
      </c>
      <c r="V10" s="101">
        <f t="shared" si="0"/>
        <v>0</v>
      </c>
      <c r="W10" s="101">
        <f t="shared" si="0"/>
        <v>0</v>
      </c>
      <c r="X10" s="101">
        <f t="shared" si="0"/>
        <v>0</v>
      </c>
      <c r="Y10" s="101">
        <f t="shared" si="0"/>
        <v>0</v>
      </c>
      <c r="Z10" s="101">
        <f t="shared" si="0"/>
        <v>0</v>
      </c>
      <c r="AA10" s="101">
        <f t="shared" si="0"/>
        <v>0</v>
      </c>
      <c r="AB10" s="101">
        <f t="shared" si="0"/>
        <v>0</v>
      </c>
      <c r="AC10" s="101">
        <f t="shared" si="0"/>
        <v>0</v>
      </c>
      <c r="AD10" s="101">
        <f t="shared" si="0"/>
        <v>0</v>
      </c>
      <c r="AE10" s="101">
        <f t="shared" si="0"/>
        <v>0</v>
      </c>
      <c r="AF10" s="101">
        <f t="shared" si="0"/>
        <v>0</v>
      </c>
      <c r="AG10" s="101">
        <f t="shared" si="0"/>
        <v>0</v>
      </c>
      <c r="AH10" s="101" t="e">
        <f t="shared" si="0"/>
        <v>#DIV/0!</v>
      </c>
    </row>
    <row r="13" spans="1:38">
      <c r="B13" s="98" t="s">
        <v>56</v>
      </c>
      <c r="C13" s="99">
        <f>DGR!B3</f>
        <v>46178</v>
      </c>
      <c r="D13" s="99">
        <f>DGR!C3</f>
        <v>46179</v>
      </c>
      <c r="E13" s="99">
        <f>DGR!D3</f>
        <v>46180</v>
      </c>
      <c r="F13" s="99">
        <f>DGR!E3</f>
        <v>46181</v>
      </c>
      <c r="G13" s="99">
        <f>DGR!F3</f>
        <v>46182</v>
      </c>
      <c r="H13" s="99">
        <f>DGR!G3</f>
        <v>46183</v>
      </c>
      <c r="I13" s="99">
        <f>DGR!H3</f>
        <v>46184</v>
      </c>
      <c r="J13" s="99">
        <f>DGR!I3</f>
        <v>46185</v>
      </c>
      <c r="K13" s="99">
        <f>DGR!J3</f>
        <v>46186</v>
      </c>
      <c r="L13" s="99">
        <f>DGR!K3</f>
        <v>46187</v>
      </c>
      <c r="M13" s="99">
        <f>DGR!L3</f>
        <v>46188</v>
      </c>
      <c r="N13" s="99">
        <f>DGR!M3</f>
        <v>46189</v>
      </c>
      <c r="O13" s="99">
        <f>DGR!N3</f>
        <v>46190</v>
      </c>
      <c r="P13" s="99">
        <f>DGR!O3</f>
        <v>46191</v>
      </c>
      <c r="Q13" s="99">
        <f>DGR!P3</f>
        <v>46192</v>
      </c>
      <c r="R13" s="99">
        <f>DGR!Q3</f>
        <v>46193</v>
      </c>
      <c r="S13" s="99">
        <f>DGR!R3</f>
        <v>46194</v>
      </c>
      <c r="T13" s="99">
        <f>DGR!S3</f>
        <v>46195</v>
      </c>
      <c r="U13" s="99">
        <f>DGR!T3</f>
        <v>46196</v>
      </c>
      <c r="V13" s="99">
        <f>DGR!U3</f>
        <v>46197</v>
      </c>
      <c r="W13" s="99">
        <f>DGR!V3</f>
        <v>46198</v>
      </c>
      <c r="X13" s="99">
        <f>DGR!W3</f>
        <v>46199</v>
      </c>
      <c r="Y13" s="99">
        <f>DGR!X3</f>
        <v>46200</v>
      </c>
      <c r="Z13" s="99">
        <f>DGR!Y3</f>
        <v>46201</v>
      </c>
      <c r="AA13" s="99">
        <f>DGR!Z3</f>
        <v>46202</v>
      </c>
      <c r="AB13" s="99">
        <f>DGR!AA3</f>
        <v>46203</v>
      </c>
      <c r="AC13" s="99">
        <f>DGR!AB3</f>
        <v>46204</v>
      </c>
      <c r="AD13" s="99">
        <f>DGR!AC3</f>
        <v>46205</v>
      </c>
      <c r="AE13" s="99">
        <f>DGR!AD3</f>
        <v>46206</v>
      </c>
      <c r="AF13" s="99">
        <f>DGR!AE3</f>
        <v>46207</v>
      </c>
      <c r="AG13" s="99">
        <f>DGR!AF3</f>
        <v>46208</v>
      </c>
      <c r="AH13" s="99" t="str">
        <f>DGR!AG3</f>
        <v>Total/Avg..</v>
      </c>
    </row>
    <row r="14" spans="1:38">
      <c r="B14" s="90" t="s">
        <v>15</v>
      </c>
      <c r="C14" s="102">
        <f>IFERROR(VLOOKUP(C$13,Data_Entry!$C:$M,Data_Entry!$A2,0)/VLOOKUP($B14,Basic_Data!$E$2:$G$9,3,0)/VLOOKUP(C$13,Data_Entry!$C:$V,20,0),"")</f>
        <v>0.99940477139098105</v>
      </c>
      <c r="D14" s="102" t="str">
        <f>IFERROR(VLOOKUP(D$13,Data_Entry!$C:$M,Data_Entry!$A2,0)/VLOOKUP($B14,Basic_Data!$E$2:$G$9,3,0)/VLOOKUP(D$13,Data_Entry!$C:$V,20,0),"")</f>
        <v/>
      </c>
      <c r="E14" s="102" t="str">
        <f>IFERROR(VLOOKUP(E$13,Data_Entry!$C:$M,Data_Entry!$A2,0)/VLOOKUP($B14,Basic_Data!$E$2:$G$9,3,0)/VLOOKUP(E$13,Data_Entry!$C:$V,20,0),"")</f>
        <v/>
      </c>
      <c r="F14" s="102" t="str">
        <f>IFERROR(VLOOKUP(F$13,Data_Entry!$C:$M,Data_Entry!$A2,0)/VLOOKUP($B14,Basic_Data!$E$2:$G$9,3,0)/VLOOKUP(F$13,Data_Entry!$C:$V,20,0),"")</f>
        <v/>
      </c>
      <c r="G14" s="102" t="str">
        <f>IFERROR(VLOOKUP(G$13,Data_Entry!$C:$M,Data_Entry!$A2,0)/VLOOKUP($B14,Basic_Data!$E$2:$G$9,3,0)/VLOOKUP(G$13,Data_Entry!$C:$V,20,0),"")</f>
        <v/>
      </c>
      <c r="H14" s="102" t="str">
        <f>IFERROR(VLOOKUP(H$13,Data_Entry!$C:$M,Data_Entry!$A2,0)/VLOOKUP($B14,Basic_Data!$E$2:$G$9,3,0)/VLOOKUP(H$13,Data_Entry!$C:$V,20,0),"")</f>
        <v/>
      </c>
      <c r="I14" s="102" t="str">
        <f>IFERROR(VLOOKUP(I$13,Data_Entry!$C:$M,Data_Entry!$A2,0)/VLOOKUP($B14,Basic_Data!$E$2:$G$9,3,0)/VLOOKUP(I$13,Data_Entry!$C:$V,20,0),"")</f>
        <v/>
      </c>
      <c r="J14" s="102" t="str">
        <f>IFERROR(VLOOKUP(J$13,Data_Entry!$C:$M,Data_Entry!$A2,0)/VLOOKUP($B14,Basic_Data!$E$2:$G$9,3,0)/VLOOKUP(J$13,Data_Entry!$C:$V,20,0),"")</f>
        <v/>
      </c>
      <c r="K14" s="102" t="str">
        <f>IFERROR(VLOOKUP(K$13,Data_Entry!$C:$M,Data_Entry!$A2,0)/VLOOKUP($B14,Basic_Data!$E$2:$G$9,3,0)/VLOOKUP(K$13,Data_Entry!$C:$V,20,0),"")</f>
        <v/>
      </c>
      <c r="L14" s="102" t="str">
        <f>IFERROR(VLOOKUP(L$13,Data_Entry!$C:$M,Data_Entry!$A2,0)/VLOOKUP($B14,Basic_Data!$E$2:$G$9,3,0)/VLOOKUP(L$13,Data_Entry!$C:$V,20,0),"")</f>
        <v/>
      </c>
      <c r="M14" s="102" t="str">
        <f>IFERROR(VLOOKUP(M$13,Data_Entry!$C:$M,Data_Entry!$A2,0)/VLOOKUP($B14,Basic_Data!$E$2:$G$9,3,0)/VLOOKUP(M$13,Data_Entry!$C:$V,20,0),"")</f>
        <v/>
      </c>
      <c r="N14" s="102" t="str">
        <f>IFERROR(VLOOKUP(N$13,Data_Entry!$C:$M,Data_Entry!$A2,0)/VLOOKUP($B14,Basic_Data!$E$2:$G$9,3,0)/VLOOKUP(N$13,Data_Entry!$C:$V,20,0),"")</f>
        <v/>
      </c>
      <c r="O14" s="102" t="str">
        <f>IFERROR(VLOOKUP(O$13,Data_Entry!$C:$M,Data_Entry!$A2,0)/VLOOKUP($B14,Basic_Data!$E$2:$G$9,3,0)/VLOOKUP(O$13,Data_Entry!$C:$V,20,0),"")</f>
        <v/>
      </c>
      <c r="P14" s="102" t="str">
        <f>IFERROR(VLOOKUP(P$13,Data_Entry!$C:$M,Data_Entry!$A2,0)/VLOOKUP($B14,Basic_Data!$E$2:$G$9,3,0)/VLOOKUP(P$13,Data_Entry!$C:$V,20,0),"")</f>
        <v/>
      </c>
      <c r="Q14" s="102" t="str">
        <f>IFERROR(VLOOKUP(Q$13,Data_Entry!$C:$M,Data_Entry!$A2,0)/VLOOKUP($B14,Basic_Data!$E$2:$G$9,3,0)/VLOOKUP(Q$13,Data_Entry!$C:$V,20,0),"")</f>
        <v/>
      </c>
      <c r="R14" s="102" t="str">
        <f>IFERROR(VLOOKUP(R$13,Data_Entry!$C:$M,Data_Entry!$A2,0)/VLOOKUP($B14,Basic_Data!$E$2:$G$9,3,0)/VLOOKUP(R$13,Data_Entry!$C:$V,20,0),"")</f>
        <v/>
      </c>
      <c r="S14" s="102" t="str">
        <f>IFERROR(VLOOKUP(S$13,Data_Entry!$C:$M,Data_Entry!$A2,0)/VLOOKUP($B14,Basic_Data!$E$2:$G$9,3,0)/VLOOKUP(S$13,Data_Entry!$C:$V,20,0),"")</f>
        <v/>
      </c>
      <c r="T14" s="102" t="str">
        <f>IFERROR(VLOOKUP(T$13,Data_Entry!$C:$M,Data_Entry!$A2,0)/VLOOKUP($B14,Basic_Data!$E$2:$G$9,3,0)/VLOOKUP(T$13,Data_Entry!$C:$V,20,0),"")</f>
        <v/>
      </c>
      <c r="U14" s="102" t="str">
        <f>IFERROR(VLOOKUP(U$13,Data_Entry!$C:$M,Data_Entry!$A2,0)/VLOOKUP($B14,Basic_Data!$E$2:$G$9,3,0)/VLOOKUP(U$13,Data_Entry!$C:$V,20,0),"")</f>
        <v/>
      </c>
      <c r="V14" s="102" t="str">
        <f>IFERROR(VLOOKUP(V$13,Data_Entry!$C:$M,Data_Entry!$A2,0)/VLOOKUP($B14,Basic_Data!$E$2:$G$9,3,0)/VLOOKUP(V$13,Data_Entry!$C:$V,20,0),"")</f>
        <v/>
      </c>
      <c r="W14" s="102" t="str">
        <f>IFERROR(VLOOKUP(W$13,Data_Entry!$C:$M,Data_Entry!$A2,0)/VLOOKUP($B14,Basic_Data!$E$2:$G$9,3,0)/VLOOKUP(W$13,Data_Entry!$C:$V,20,0),"")</f>
        <v/>
      </c>
      <c r="X14" s="102" t="str">
        <f>IFERROR(VLOOKUP(X$13,Data_Entry!$C:$M,Data_Entry!$A2,0)/VLOOKUP($B14,Basic_Data!$E$2:$G$9,3,0)/VLOOKUP(X$13,Data_Entry!$C:$V,20,0),"")</f>
        <v/>
      </c>
      <c r="Y14" s="102" t="str">
        <f>IFERROR(VLOOKUP(Y$13,Data_Entry!$C:$M,Data_Entry!$A2,0)/VLOOKUP($B14,Basic_Data!$E$2:$G$9,3,0)/VLOOKUP(Y$13,Data_Entry!$C:$V,20,0),"")</f>
        <v/>
      </c>
      <c r="Z14" s="102" t="str">
        <f>IFERROR(VLOOKUP(Z$13,Data_Entry!$C:$M,Data_Entry!$A2,0)/VLOOKUP($B14,Basic_Data!$E$2:$G$9,3,0)/VLOOKUP(Z$13,Data_Entry!$C:$V,20,0),"")</f>
        <v/>
      </c>
      <c r="AA14" s="102" t="str">
        <f>IFERROR(VLOOKUP(AA$13,Data_Entry!$C:$M,Data_Entry!$A2,0)/VLOOKUP($B14,Basic_Data!$E$2:$G$9,3,0)/VLOOKUP(AA$13,Data_Entry!$C:$V,20,0),"")</f>
        <v/>
      </c>
      <c r="AB14" s="102" t="str">
        <f>IFERROR(VLOOKUP(AB$13,Data_Entry!$C:$M,Data_Entry!$A2,0)/VLOOKUP($B14,Basic_Data!$E$2:$G$9,3,0)/VLOOKUP(AB$13,Data_Entry!$C:$V,20,0),"")</f>
        <v/>
      </c>
      <c r="AC14" s="102" t="str">
        <f>IFERROR(VLOOKUP(AC$13,Data_Entry!$C:$M,Data_Entry!$A2,0)/VLOOKUP($B14,Basic_Data!$E$2:$G$9,3,0)/VLOOKUP(AC$13,Data_Entry!$C:$V,20,0),"")</f>
        <v/>
      </c>
      <c r="AD14" s="102" t="str">
        <f>IFERROR(VLOOKUP(AD$13,Data_Entry!$C:$M,Data_Entry!$A2,0)/VLOOKUP($B14,Basic_Data!$E$2:$G$9,3,0)/VLOOKUP(AD$13,Data_Entry!$C:$V,20,0),"")</f>
        <v/>
      </c>
      <c r="AE14" s="102" t="str">
        <f>IFERROR(VLOOKUP(AE$13,Data_Entry!$C:$M,Data_Entry!$A2,0)/VLOOKUP($B14,Basic_Data!$E$2:$G$9,3,0)/VLOOKUP(AE$13,Data_Entry!$C:$V,20,0),"")</f>
        <v/>
      </c>
      <c r="AF14" s="102" t="str">
        <f>IFERROR(VLOOKUP(AF$13,Data_Entry!$C:$M,Data_Entry!$A2,0)/VLOOKUP($B14,Basic_Data!$E$2:$G$9,3,0)/VLOOKUP(AF$13,Data_Entry!$C:$V,20,0),"")</f>
        <v/>
      </c>
      <c r="AG14" s="102" t="str">
        <f>IFERROR(VLOOKUP(AG$13,Data_Entry!$C:$M,Data_Entry!$A2,0)/VLOOKUP($B14,Basic_Data!$E$2:$G$9,3,0)/VLOOKUP(AG$13,Data_Entry!$C:$V,20,0),"")</f>
        <v/>
      </c>
      <c r="AH14" s="23"/>
    </row>
    <row r="15" spans="1:38">
      <c r="B15" s="90" t="s">
        <v>16</v>
      </c>
      <c r="C15" s="102">
        <f>IFERROR(VLOOKUP(C$13,Data_Entry!$C:$M,Data_Entry!$A3,0)/VLOOKUP($B15,Basic_Data!$E$2:$G$9,3,0)/VLOOKUP(C$13,Data_Entry!$C:$V,20,0),"")</f>
        <v>1.0014537946519499</v>
      </c>
      <c r="D15" s="102" t="str">
        <f>IFERROR(VLOOKUP(D$13,Data_Entry!$C:$M,Data_Entry!$A3,0)/VLOOKUP($B15,Basic_Data!$E$2:$G$9,3,0)/VLOOKUP(D$13,Data_Entry!$C:$V,20,0),"")</f>
        <v/>
      </c>
      <c r="E15" s="102" t="str">
        <f>IFERROR(VLOOKUP(E$13,Data_Entry!$C:$M,Data_Entry!$A3,0)/VLOOKUP($B15,Basic_Data!$E$2:$G$9,3,0)/VLOOKUP(E$13,Data_Entry!$C:$V,20,0),"")</f>
        <v/>
      </c>
      <c r="F15" s="102" t="str">
        <f>IFERROR(VLOOKUP(F$13,Data_Entry!$C:$M,Data_Entry!$A3,0)/VLOOKUP($B15,Basic_Data!$E$2:$G$9,3,0)/VLOOKUP(F$13,Data_Entry!$C:$V,20,0),"")</f>
        <v/>
      </c>
      <c r="G15" s="102" t="str">
        <f>IFERROR(VLOOKUP(G$13,Data_Entry!$C:$M,Data_Entry!$A3,0)/VLOOKUP($B15,Basic_Data!$E$2:$G$9,3,0)/VLOOKUP(G$13,Data_Entry!$C:$V,20,0),"")</f>
        <v/>
      </c>
      <c r="H15" s="102" t="str">
        <f>IFERROR(VLOOKUP(H$13,Data_Entry!$C:$M,Data_Entry!$A3,0)/VLOOKUP($B15,Basic_Data!$E$2:$G$9,3,0)/VLOOKUP(H$13,Data_Entry!$C:$V,20,0),"")</f>
        <v/>
      </c>
      <c r="I15" s="102" t="str">
        <f>IFERROR(VLOOKUP(I$13,Data_Entry!$C:$M,Data_Entry!$A3,0)/VLOOKUP($B15,Basic_Data!$E$2:$G$9,3,0)/VLOOKUP(I$13,Data_Entry!$C:$V,20,0),"")</f>
        <v/>
      </c>
      <c r="J15" s="102" t="str">
        <f>IFERROR(VLOOKUP(J$13,Data_Entry!$C:$M,Data_Entry!$A3,0)/VLOOKUP($B15,Basic_Data!$E$2:$G$9,3,0)/VLOOKUP(J$13,Data_Entry!$C:$V,20,0),"")</f>
        <v/>
      </c>
      <c r="K15" s="102" t="str">
        <f>IFERROR(VLOOKUP(K$13,Data_Entry!$C:$M,Data_Entry!$A3,0)/VLOOKUP($B15,Basic_Data!$E$2:$G$9,3,0)/VLOOKUP(K$13,Data_Entry!$C:$V,20,0),"")</f>
        <v/>
      </c>
      <c r="L15" s="102" t="str">
        <f>IFERROR(VLOOKUP(L$13,Data_Entry!$C:$M,Data_Entry!$A3,0)/VLOOKUP($B15,Basic_Data!$E$2:$G$9,3,0)/VLOOKUP(L$13,Data_Entry!$C:$V,20,0),"")</f>
        <v/>
      </c>
      <c r="M15" s="102" t="str">
        <f>IFERROR(VLOOKUP(M$13,Data_Entry!$C:$M,Data_Entry!$A3,0)/VLOOKUP($B15,Basic_Data!$E$2:$G$9,3,0)/VLOOKUP(M$13,Data_Entry!$C:$V,20,0),"")</f>
        <v/>
      </c>
      <c r="N15" s="102" t="str">
        <f>IFERROR(VLOOKUP(N$13,Data_Entry!$C:$M,Data_Entry!$A3,0)/VLOOKUP($B15,Basic_Data!$E$2:$G$9,3,0)/VLOOKUP(N$13,Data_Entry!$C:$V,20,0),"")</f>
        <v/>
      </c>
      <c r="O15" s="102" t="str">
        <f>IFERROR(VLOOKUP(O$13,Data_Entry!$C:$M,Data_Entry!$A3,0)/VLOOKUP($B15,Basic_Data!$E$2:$G$9,3,0)/VLOOKUP(O$13,Data_Entry!$C:$V,20,0),"")</f>
        <v/>
      </c>
      <c r="P15" s="102" t="str">
        <f>IFERROR(VLOOKUP(P$13,Data_Entry!$C:$M,Data_Entry!$A3,0)/VLOOKUP($B15,Basic_Data!$E$2:$G$9,3,0)/VLOOKUP(P$13,Data_Entry!$C:$V,20,0),"")</f>
        <v/>
      </c>
      <c r="Q15" s="102" t="str">
        <f>IFERROR(VLOOKUP(Q$13,Data_Entry!$C:$M,Data_Entry!$A3,0)/VLOOKUP($B15,Basic_Data!$E$2:$G$9,3,0)/VLOOKUP(Q$13,Data_Entry!$C:$V,20,0),"")</f>
        <v/>
      </c>
      <c r="R15" s="102" t="str">
        <f>IFERROR(VLOOKUP(R$13,Data_Entry!$C:$M,Data_Entry!$A3,0)/VLOOKUP($B15,Basic_Data!$E$2:$G$9,3,0)/VLOOKUP(R$13,Data_Entry!$C:$V,20,0),"")</f>
        <v/>
      </c>
      <c r="S15" s="102" t="str">
        <f>IFERROR(VLOOKUP(S$13,Data_Entry!$C:$M,Data_Entry!$A3,0)/VLOOKUP($B15,Basic_Data!$E$2:$G$9,3,0)/VLOOKUP(S$13,Data_Entry!$C:$V,20,0),"")</f>
        <v/>
      </c>
      <c r="T15" s="102" t="str">
        <f>IFERROR(VLOOKUP(T$13,Data_Entry!$C:$M,Data_Entry!$A3,0)/VLOOKUP($B15,Basic_Data!$E$2:$G$9,3,0)/VLOOKUP(T$13,Data_Entry!$C:$V,20,0),"")</f>
        <v/>
      </c>
      <c r="U15" s="102" t="str">
        <f>IFERROR(VLOOKUP(U$13,Data_Entry!$C:$M,Data_Entry!$A3,0)/VLOOKUP($B15,Basic_Data!$E$2:$G$9,3,0)/VLOOKUP(U$13,Data_Entry!$C:$V,20,0),"")</f>
        <v/>
      </c>
      <c r="V15" s="102" t="str">
        <f>IFERROR(VLOOKUP(V$13,Data_Entry!$C:$M,Data_Entry!$A3,0)/VLOOKUP($B15,Basic_Data!$E$2:$G$9,3,0)/VLOOKUP(V$13,Data_Entry!$C:$V,20,0),"")</f>
        <v/>
      </c>
      <c r="W15" s="102" t="str">
        <f>IFERROR(VLOOKUP(W$13,Data_Entry!$C:$M,Data_Entry!$A3,0)/VLOOKUP($B15,Basic_Data!$E$2:$G$9,3,0)/VLOOKUP(W$13,Data_Entry!$C:$V,20,0),"")</f>
        <v/>
      </c>
      <c r="X15" s="102" t="str">
        <f>IFERROR(VLOOKUP(X$13,Data_Entry!$C:$M,Data_Entry!$A3,0)/VLOOKUP($B15,Basic_Data!$E$2:$G$9,3,0)/VLOOKUP(X$13,Data_Entry!$C:$V,20,0),"")</f>
        <v/>
      </c>
      <c r="Y15" s="102" t="str">
        <f>IFERROR(VLOOKUP(Y$13,Data_Entry!$C:$M,Data_Entry!$A3,0)/VLOOKUP($B15,Basic_Data!$E$2:$G$9,3,0)/VLOOKUP(Y$13,Data_Entry!$C:$V,20,0),"")</f>
        <v/>
      </c>
      <c r="Z15" s="102" t="str">
        <f>IFERROR(VLOOKUP(Z$13,Data_Entry!$C:$M,Data_Entry!$A3,0)/VLOOKUP($B15,Basic_Data!$E$2:$G$9,3,0)/VLOOKUP(Z$13,Data_Entry!$C:$V,20,0),"")</f>
        <v/>
      </c>
      <c r="AA15" s="102" t="str">
        <f>IFERROR(VLOOKUP(AA$13,Data_Entry!$C:$M,Data_Entry!$A3,0)/VLOOKUP($B15,Basic_Data!$E$2:$G$9,3,0)/VLOOKUP(AA$13,Data_Entry!$C:$V,20,0),"")</f>
        <v/>
      </c>
      <c r="AB15" s="102" t="str">
        <f>IFERROR(VLOOKUP(AB$13,Data_Entry!$C:$M,Data_Entry!$A3,0)/VLOOKUP($B15,Basic_Data!$E$2:$G$9,3,0)/VLOOKUP(AB$13,Data_Entry!$C:$V,20,0),"")</f>
        <v/>
      </c>
      <c r="AC15" s="102" t="str">
        <f>IFERROR(VLOOKUP(AC$13,Data_Entry!$C:$M,Data_Entry!$A3,0)/VLOOKUP($B15,Basic_Data!$E$2:$G$9,3,0)/VLOOKUP(AC$13,Data_Entry!$C:$V,20,0),"")</f>
        <v/>
      </c>
      <c r="AD15" s="102" t="str">
        <f>IFERROR(VLOOKUP(AD$13,Data_Entry!$C:$M,Data_Entry!$A3,0)/VLOOKUP($B15,Basic_Data!$E$2:$G$9,3,0)/VLOOKUP(AD$13,Data_Entry!$C:$V,20,0),"")</f>
        <v/>
      </c>
      <c r="AE15" s="102" t="str">
        <f>IFERROR(VLOOKUP(AE$13,Data_Entry!$C:$M,Data_Entry!$A3,0)/VLOOKUP($B15,Basic_Data!$E$2:$G$9,3,0)/VLOOKUP(AE$13,Data_Entry!$C:$V,20,0),"")</f>
        <v/>
      </c>
      <c r="AF15" s="102" t="str">
        <f>IFERROR(VLOOKUP(AF$13,Data_Entry!$C:$M,Data_Entry!$A3,0)/VLOOKUP($B15,Basic_Data!$E$2:$G$9,3,0)/VLOOKUP(AF$13,Data_Entry!$C:$V,20,0),"")</f>
        <v/>
      </c>
      <c r="AG15" s="102" t="str">
        <f>IFERROR(VLOOKUP(AG$13,Data_Entry!$C:$M,Data_Entry!$A3,0)/VLOOKUP($B15,Basic_Data!$E$2:$G$9,3,0)/VLOOKUP(AG$13,Data_Entry!$C:$V,20,0),"")</f>
        <v/>
      </c>
      <c r="AH15" s="23"/>
    </row>
    <row r="16" spans="1:38">
      <c r="B16" s="90" t="s">
        <v>17</v>
      </c>
      <c r="C16" s="102">
        <f>IFERROR(VLOOKUP(C$13,Data_Entry!$C:$M,Data_Entry!$A4,0)/VLOOKUP($B16,Basic_Data!$E$2:$G$9,3,0)/VLOOKUP(C$13,Data_Entry!$C:$V,20,0),"")</f>
        <v>0.98878020633411301</v>
      </c>
      <c r="D16" s="102" t="str">
        <f>IFERROR(VLOOKUP(D$13,Data_Entry!$C:$M,Data_Entry!$A4,0)/VLOOKUP($B16,Basic_Data!$E$2:$G$9,3,0)/VLOOKUP(D$13,Data_Entry!$C:$V,20,0),"")</f>
        <v/>
      </c>
      <c r="E16" s="102" t="str">
        <f>IFERROR(VLOOKUP(E$13,Data_Entry!$C:$M,Data_Entry!$A4,0)/VLOOKUP($B16,Basic_Data!$E$2:$G$9,3,0)/VLOOKUP(E$13,Data_Entry!$C:$V,20,0),"")</f>
        <v/>
      </c>
      <c r="F16" s="102" t="str">
        <f>IFERROR(VLOOKUP(F$13,Data_Entry!$C:$M,Data_Entry!$A4,0)/VLOOKUP($B16,Basic_Data!$E$2:$G$9,3,0)/VLOOKUP(F$13,Data_Entry!$C:$V,20,0),"")</f>
        <v/>
      </c>
      <c r="G16" s="102" t="str">
        <f>IFERROR(VLOOKUP(G$13,Data_Entry!$C:$M,Data_Entry!$A4,0)/VLOOKUP($B16,Basic_Data!$E$2:$G$9,3,0)/VLOOKUP(G$13,Data_Entry!$C:$V,20,0),"")</f>
        <v/>
      </c>
      <c r="H16" s="102" t="str">
        <f>IFERROR(VLOOKUP(H$13,Data_Entry!$C:$M,Data_Entry!$A4,0)/VLOOKUP($B16,Basic_Data!$E$2:$G$9,3,0)/VLOOKUP(H$13,Data_Entry!$C:$V,20,0),"")</f>
        <v/>
      </c>
      <c r="I16" s="102" t="str">
        <f>IFERROR(VLOOKUP(I$13,Data_Entry!$C:$M,Data_Entry!$A4,0)/VLOOKUP($B16,Basic_Data!$E$2:$G$9,3,0)/VLOOKUP(I$13,Data_Entry!$C:$V,20,0),"")</f>
        <v/>
      </c>
      <c r="J16" s="102" t="str">
        <f>IFERROR(VLOOKUP(J$13,Data_Entry!$C:$M,Data_Entry!$A4,0)/VLOOKUP($B16,Basic_Data!$E$2:$G$9,3,0)/VLOOKUP(J$13,Data_Entry!$C:$V,20,0),"")</f>
        <v/>
      </c>
      <c r="K16" s="102" t="str">
        <f>IFERROR(VLOOKUP(K$13,Data_Entry!$C:$M,Data_Entry!$A4,0)/VLOOKUP($B16,Basic_Data!$E$2:$G$9,3,0)/VLOOKUP(K$13,Data_Entry!$C:$V,20,0),"")</f>
        <v/>
      </c>
      <c r="L16" s="102" t="str">
        <f>IFERROR(VLOOKUP(L$13,Data_Entry!$C:$M,Data_Entry!$A4,0)/VLOOKUP($B16,Basic_Data!$E$2:$G$9,3,0)/VLOOKUP(L$13,Data_Entry!$C:$V,20,0),"")</f>
        <v/>
      </c>
      <c r="M16" s="102" t="str">
        <f>IFERROR(VLOOKUP(M$13,Data_Entry!$C:$M,Data_Entry!$A4,0)/VLOOKUP($B16,Basic_Data!$E$2:$G$9,3,0)/VLOOKUP(M$13,Data_Entry!$C:$V,20,0),"")</f>
        <v/>
      </c>
      <c r="N16" s="102" t="str">
        <f>IFERROR(VLOOKUP(N$13,Data_Entry!$C:$M,Data_Entry!$A4,0)/VLOOKUP($B16,Basic_Data!$E$2:$G$9,3,0)/VLOOKUP(N$13,Data_Entry!$C:$V,20,0),"")</f>
        <v/>
      </c>
      <c r="O16" s="102" t="str">
        <f>IFERROR(VLOOKUP(O$13,Data_Entry!$C:$M,Data_Entry!$A4,0)/VLOOKUP($B16,Basic_Data!$E$2:$G$9,3,0)/VLOOKUP(O$13,Data_Entry!$C:$V,20,0),"")</f>
        <v/>
      </c>
      <c r="P16" s="102" t="str">
        <f>IFERROR(VLOOKUP(P$13,Data_Entry!$C:$M,Data_Entry!$A4,0)/VLOOKUP($B16,Basic_Data!$E$2:$G$9,3,0)/VLOOKUP(P$13,Data_Entry!$C:$V,20,0),"")</f>
        <v/>
      </c>
      <c r="Q16" s="102" t="str">
        <f>IFERROR(VLOOKUP(Q$13,Data_Entry!$C:$M,Data_Entry!$A4,0)/VLOOKUP($B16,Basic_Data!$E$2:$G$9,3,0)/VLOOKUP(Q$13,Data_Entry!$C:$V,20,0),"")</f>
        <v/>
      </c>
      <c r="R16" s="102" t="str">
        <f>IFERROR(VLOOKUP(R$13,Data_Entry!$C:$M,Data_Entry!$A4,0)/VLOOKUP($B16,Basic_Data!$E$2:$G$9,3,0)/VLOOKUP(R$13,Data_Entry!$C:$V,20,0),"")</f>
        <v/>
      </c>
      <c r="S16" s="102" t="str">
        <f>IFERROR(VLOOKUP(S$13,Data_Entry!$C:$M,Data_Entry!$A4,0)/VLOOKUP($B16,Basic_Data!$E$2:$G$9,3,0)/VLOOKUP(S$13,Data_Entry!$C:$V,20,0),"")</f>
        <v/>
      </c>
      <c r="T16" s="102" t="str">
        <f>IFERROR(VLOOKUP(T$13,Data_Entry!$C:$M,Data_Entry!$A4,0)/VLOOKUP($B16,Basic_Data!$E$2:$G$9,3,0)/VLOOKUP(T$13,Data_Entry!$C:$V,20,0),"")</f>
        <v/>
      </c>
      <c r="U16" s="102" t="str">
        <f>IFERROR(VLOOKUP(U$13,Data_Entry!$C:$M,Data_Entry!$A4,0)/VLOOKUP($B16,Basic_Data!$E$2:$G$9,3,0)/VLOOKUP(U$13,Data_Entry!$C:$V,20,0),"")</f>
        <v/>
      </c>
      <c r="V16" s="102" t="str">
        <f>IFERROR(VLOOKUP(V$13,Data_Entry!$C:$M,Data_Entry!$A4,0)/VLOOKUP($B16,Basic_Data!$E$2:$G$9,3,0)/VLOOKUP(V$13,Data_Entry!$C:$V,20,0),"")</f>
        <v/>
      </c>
      <c r="W16" s="102" t="str">
        <f>IFERROR(VLOOKUP(W$13,Data_Entry!$C:$M,Data_Entry!$A4,0)/VLOOKUP($B16,Basic_Data!$E$2:$G$9,3,0)/VLOOKUP(W$13,Data_Entry!$C:$V,20,0),"")</f>
        <v/>
      </c>
      <c r="X16" s="102" t="str">
        <f>IFERROR(VLOOKUP(X$13,Data_Entry!$C:$M,Data_Entry!$A4,0)/VLOOKUP($B16,Basic_Data!$E$2:$G$9,3,0)/VLOOKUP(X$13,Data_Entry!$C:$V,20,0),"")</f>
        <v/>
      </c>
      <c r="Y16" s="102" t="str">
        <f>IFERROR(VLOOKUP(Y$13,Data_Entry!$C:$M,Data_Entry!$A4,0)/VLOOKUP($B16,Basic_Data!$E$2:$G$9,3,0)/VLOOKUP(Y$13,Data_Entry!$C:$V,20,0),"")</f>
        <v/>
      </c>
      <c r="Z16" s="102" t="str">
        <f>IFERROR(VLOOKUP(Z$13,Data_Entry!$C:$M,Data_Entry!$A4,0)/VLOOKUP($B16,Basic_Data!$E$2:$G$9,3,0)/VLOOKUP(Z$13,Data_Entry!$C:$V,20,0),"")</f>
        <v/>
      </c>
      <c r="AA16" s="102" t="str">
        <f>IFERROR(VLOOKUP(AA$13,Data_Entry!$C:$M,Data_Entry!$A4,0)/VLOOKUP($B16,Basic_Data!$E$2:$G$9,3,0)/VLOOKUP(AA$13,Data_Entry!$C:$V,20,0),"")</f>
        <v/>
      </c>
      <c r="AB16" s="102" t="str">
        <f>IFERROR(VLOOKUP(AB$13,Data_Entry!$C:$M,Data_Entry!$A4,0)/VLOOKUP($B16,Basic_Data!$E$2:$G$9,3,0)/VLOOKUP(AB$13,Data_Entry!$C:$V,20,0),"")</f>
        <v/>
      </c>
      <c r="AC16" s="102" t="str">
        <f>IFERROR(VLOOKUP(AC$13,Data_Entry!$C:$M,Data_Entry!$A4,0)/VLOOKUP($B16,Basic_Data!$E$2:$G$9,3,0)/VLOOKUP(AC$13,Data_Entry!$C:$V,20,0),"")</f>
        <v/>
      </c>
      <c r="AD16" s="102" t="str">
        <f>IFERROR(VLOOKUP(AD$13,Data_Entry!$C:$M,Data_Entry!$A4,0)/VLOOKUP($B16,Basic_Data!$E$2:$G$9,3,0)/VLOOKUP(AD$13,Data_Entry!$C:$V,20,0),"")</f>
        <v/>
      </c>
      <c r="AE16" s="102" t="str">
        <f>IFERROR(VLOOKUP(AE$13,Data_Entry!$C:$M,Data_Entry!$A4,0)/VLOOKUP($B16,Basic_Data!$E$2:$G$9,3,0)/VLOOKUP(AE$13,Data_Entry!$C:$V,20,0),"")</f>
        <v/>
      </c>
      <c r="AF16" s="102" t="str">
        <f>IFERROR(VLOOKUP(AF$13,Data_Entry!$C:$M,Data_Entry!$A4,0)/VLOOKUP($B16,Basic_Data!$E$2:$G$9,3,0)/VLOOKUP(AF$13,Data_Entry!$C:$V,20,0),"")</f>
        <v/>
      </c>
      <c r="AG16" s="102" t="str">
        <f>IFERROR(VLOOKUP(AG$13,Data_Entry!$C:$M,Data_Entry!$A4,0)/VLOOKUP($B16,Basic_Data!$E$2:$G$9,3,0)/VLOOKUP(AG$13,Data_Entry!$C:$V,20,0),"")</f>
        <v/>
      </c>
      <c r="AH16" s="23"/>
    </row>
    <row r="17" spans="2:34">
      <c r="B17" s="90" t="s">
        <v>18</v>
      </c>
      <c r="C17" s="102">
        <f>IFERROR(VLOOKUP(C$13,Data_Entry!$C:$M,Data_Entry!$A5,0)/VLOOKUP($B17,Basic_Data!$E$2:$G$9,3,0)/VLOOKUP(C$13,Data_Entry!$C:$V,20,0),"")</f>
        <v>0.99444939065974702</v>
      </c>
      <c r="D17" s="102" t="str">
        <f>IFERROR(VLOOKUP(D$13,Data_Entry!$C:$M,Data_Entry!$A5,0)/VLOOKUP($B17,Basic_Data!$E$2:$G$9,3,0)/VLOOKUP(D$13,Data_Entry!$C:$V,20,0),"")</f>
        <v/>
      </c>
      <c r="E17" s="102" t="str">
        <f>IFERROR(VLOOKUP(E$13,Data_Entry!$C:$M,Data_Entry!$A5,0)/VLOOKUP($B17,Basic_Data!$E$2:$G$9,3,0)/VLOOKUP(E$13,Data_Entry!$C:$V,20,0),"")</f>
        <v/>
      </c>
      <c r="F17" s="102" t="str">
        <f>IFERROR(VLOOKUP(F$13,Data_Entry!$C:$M,Data_Entry!$A5,0)/VLOOKUP($B17,Basic_Data!$E$2:$G$9,3,0)/VLOOKUP(F$13,Data_Entry!$C:$V,20,0),"")</f>
        <v/>
      </c>
      <c r="G17" s="102" t="str">
        <f>IFERROR(VLOOKUP(G$13,Data_Entry!$C:$M,Data_Entry!$A5,0)/VLOOKUP($B17,Basic_Data!$E$2:$G$9,3,0)/VLOOKUP(G$13,Data_Entry!$C:$V,20,0),"")</f>
        <v/>
      </c>
      <c r="H17" s="102" t="str">
        <f>IFERROR(VLOOKUP(H$13,Data_Entry!$C:$M,Data_Entry!$A5,0)/VLOOKUP($B17,Basic_Data!$E$2:$G$9,3,0)/VLOOKUP(H$13,Data_Entry!$C:$V,20,0),"")</f>
        <v/>
      </c>
      <c r="I17" s="102" t="str">
        <f>IFERROR(VLOOKUP(I$13,Data_Entry!$C:$M,Data_Entry!$A5,0)/VLOOKUP($B17,Basic_Data!$E$2:$G$9,3,0)/VLOOKUP(I$13,Data_Entry!$C:$V,20,0),"")</f>
        <v/>
      </c>
      <c r="J17" s="102" t="str">
        <f>IFERROR(VLOOKUP(J$13,Data_Entry!$C:$M,Data_Entry!$A5,0)/VLOOKUP($B17,Basic_Data!$E$2:$G$9,3,0)/VLOOKUP(J$13,Data_Entry!$C:$V,20,0),"")</f>
        <v/>
      </c>
      <c r="K17" s="102" t="str">
        <f>IFERROR(VLOOKUP(K$13,Data_Entry!$C:$M,Data_Entry!$A5,0)/VLOOKUP($B17,Basic_Data!$E$2:$G$9,3,0)/VLOOKUP(K$13,Data_Entry!$C:$V,20,0),"")</f>
        <v/>
      </c>
      <c r="L17" s="102" t="str">
        <f>IFERROR(VLOOKUP(L$13,Data_Entry!$C:$M,Data_Entry!$A5,0)/VLOOKUP($B17,Basic_Data!$E$2:$G$9,3,0)/VLOOKUP(L$13,Data_Entry!$C:$V,20,0),"")</f>
        <v/>
      </c>
      <c r="M17" s="102" t="str">
        <f>IFERROR(VLOOKUP(M$13,Data_Entry!$C:$M,Data_Entry!$A5,0)/VLOOKUP($B17,Basic_Data!$E$2:$G$9,3,0)/VLOOKUP(M$13,Data_Entry!$C:$V,20,0),"")</f>
        <v/>
      </c>
      <c r="N17" s="102" t="str">
        <f>IFERROR(VLOOKUP(N$13,Data_Entry!$C:$M,Data_Entry!$A5,0)/VLOOKUP($B17,Basic_Data!$E$2:$G$9,3,0)/VLOOKUP(N$13,Data_Entry!$C:$V,20,0),"")</f>
        <v/>
      </c>
      <c r="O17" s="102" t="str">
        <f>IFERROR(VLOOKUP(O$13,Data_Entry!$C:$M,Data_Entry!$A5,0)/VLOOKUP($B17,Basic_Data!$E$2:$G$9,3,0)/VLOOKUP(O$13,Data_Entry!$C:$V,20,0),"")</f>
        <v/>
      </c>
      <c r="P17" s="102" t="str">
        <f>IFERROR(VLOOKUP(P$13,Data_Entry!$C:$M,Data_Entry!$A5,0)/VLOOKUP($B17,Basic_Data!$E$2:$G$9,3,0)/VLOOKUP(P$13,Data_Entry!$C:$V,20,0),"")</f>
        <v/>
      </c>
      <c r="Q17" s="102" t="str">
        <f>IFERROR(VLOOKUP(Q$13,Data_Entry!$C:$M,Data_Entry!$A5,0)/VLOOKUP($B17,Basic_Data!$E$2:$G$9,3,0)/VLOOKUP(Q$13,Data_Entry!$C:$V,20,0),"")</f>
        <v/>
      </c>
      <c r="R17" s="102" t="str">
        <f>IFERROR(VLOOKUP(R$13,Data_Entry!$C:$M,Data_Entry!$A5,0)/VLOOKUP($B17,Basic_Data!$E$2:$G$9,3,0)/VLOOKUP(R$13,Data_Entry!$C:$V,20,0),"")</f>
        <v/>
      </c>
      <c r="S17" s="102" t="str">
        <f>IFERROR(VLOOKUP(S$13,Data_Entry!$C:$M,Data_Entry!$A5,0)/VLOOKUP($B17,Basic_Data!$E$2:$G$9,3,0)/VLOOKUP(S$13,Data_Entry!$C:$V,20,0),"")</f>
        <v/>
      </c>
      <c r="T17" s="102" t="str">
        <f>IFERROR(VLOOKUP(T$13,Data_Entry!$C:$M,Data_Entry!$A5,0)/VLOOKUP($B17,Basic_Data!$E$2:$G$9,3,0)/VLOOKUP(T$13,Data_Entry!$C:$V,20,0),"")</f>
        <v/>
      </c>
      <c r="U17" s="102" t="str">
        <f>IFERROR(VLOOKUP(U$13,Data_Entry!$C:$M,Data_Entry!$A5,0)/VLOOKUP($B17,Basic_Data!$E$2:$G$9,3,0)/VLOOKUP(U$13,Data_Entry!$C:$V,20,0),"")</f>
        <v/>
      </c>
      <c r="V17" s="102" t="str">
        <f>IFERROR(VLOOKUP(V$13,Data_Entry!$C:$M,Data_Entry!$A5,0)/VLOOKUP($B17,Basic_Data!$E$2:$G$9,3,0)/VLOOKUP(V$13,Data_Entry!$C:$V,20,0),"")</f>
        <v/>
      </c>
      <c r="W17" s="102" t="str">
        <f>IFERROR(VLOOKUP(W$13,Data_Entry!$C:$M,Data_Entry!$A5,0)/VLOOKUP($B17,Basic_Data!$E$2:$G$9,3,0)/VLOOKUP(W$13,Data_Entry!$C:$V,20,0),"")</f>
        <v/>
      </c>
      <c r="X17" s="102" t="str">
        <f>IFERROR(VLOOKUP(X$13,Data_Entry!$C:$M,Data_Entry!$A5,0)/VLOOKUP($B17,Basic_Data!$E$2:$G$9,3,0)/VLOOKUP(X$13,Data_Entry!$C:$V,20,0),"")</f>
        <v/>
      </c>
      <c r="Y17" s="102" t="str">
        <f>IFERROR(VLOOKUP(Y$13,Data_Entry!$C:$M,Data_Entry!$A5,0)/VLOOKUP($B17,Basic_Data!$E$2:$G$9,3,0)/VLOOKUP(Y$13,Data_Entry!$C:$V,20,0),"")</f>
        <v/>
      </c>
      <c r="Z17" s="102" t="str">
        <f>IFERROR(VLOOKUP(Z$13,Data_Entry!$C:$M,Data_Entry!$A5,0)/VLOOKUP($B17,Basic_Data!$E$2:$G$9,3,0)/VLOOKUP(Z$13,Data_Entry!$C:$V,20,0),"")</f>
        <v/>
      </c>
      <c r="AA17" s="102" t="str">
        <f>IFERROR(VLOOKUP(AA$13,Data_Entry!$C:$M,Data_Entry!$A5,0)/VLOOKUP($B17,Basic_Data!$E$2:$G$9,3,0)/VLOOKUP(AA$13,Data_Entry!$C:$V,20,0),"")</f>
        <v/>
      </c>
      <c r="AB17" s="102" t="str">
        <f>IFERROR(VLOOKUP(AB$13,Data_Entry!$C:$M,Data_Entry!$A5,0)/VLOOKUP($B17,Basic_Data!$E$2:$G$9,3,0)/VLOOKUP(AB$13,Data_Entry!$C:$V,20,0),"")</f>
        <v/>
      </c>
      <c r="AC17" s="102" t="str">
        <f>IFERROR(VLOOKUP(AC$13,Data_Entry!$C:$M,Data_Entry!$A5,0)/VLOOKUP($B17,Basic_Data!$E$2:$G$9,3,0)/VLOOKUP(AC$13,Data_Entry!$C:$V,20,0),"")</f>
        <v/>
      </c>
      <c r="AD17" s="102" t="str">
        <f>IFERROR(VLOOKUP(AD$13,Data_Entry!$C:$M,Data_Entry!$A5,0)/VLOOKUP($B17,Basic_Data!$E$2:$G$9,3,0)/VLOOKUP(AD$13,Data_Entry!$C:$V,20,0),"")</f>
        <v/>
      </c>
      <c r="AE17" s="102" t="str">
        <f>IFERROR(VLOOKUP(AE$13,Data_Entry!$C:$M,Data_Entry!$A5,0)/VLOOKUP($B17,Basic_Data!$E$2:$G$9,3,0)/VLOOKUP(AE$13,Data_Entry!$C:$V,20,0),"")</f>
        <v/>
      </c>
      <c r="AF17" s="102" t="str">
        <f>IFERROR(VLOOKUP(AF$13,Data_Entry!$C:$M,Data_Entry!$A5,0)/VLOOKUP($B17,Basic_Data!$E$2:$G$9,3,0)/VLOOKUP(AF$13,Data_Entry!$C:$V,20,0),"")</f>
        <v/>
      </c>
      <c r="AG17" s="102" t="str">
        <f>IFERROR(VLOOKUP(AG$13,Data_Entry!$C:$M,Data_Entry!$A5,0)/VLOOKUP($B17,Basic_Data!$E$2:$G$9,3,0)/VLOOKUP(AG$13,Data_Entry!$C:$V,20,0),"")</f>
        <v/>
      </c>
      <c r="AH17" s="23"/>
    </row>
    <row r="18" spans="2:34">
      <c r="B18" s="90" t="s">
        <v>19</v>
      </c>
      <c r="C18" s="102">
        <f>IFERROR(VLOOKUP(C$13,Data_Entry!$C:$M,Data_Entry!$A6,0)/VLOOKUP($B18,Basic_Data!$E$2:$G$9,3,0)/VLOOKUP(C$13,Data_Entry!$C:$V,20,0),"")</f>
        <v>1.00605777284326</v>
      </c>
      <c r="D18" s="102" t="str">
        <f>IFERROR(VLOOKUP(D$13,Data_Entry!$C:$M,Data_Entry!$A6,0)/VLOOKUP($B18,Basic_Data!$E$2:$G$9,3,0)/VLOOKUP(D$13,Data_Entry!$C:$V,20,0),"")</f>
        <v/>
      </c>
      <c r="E18" s="102" t="str">
        <f>IFERROR(VLOOKUP(E$13,Data_Entry!$C:$M,Data_Entry!$A6,0)/VLOOKUP($B18,Basic_Data!$E$2:$G$9,3,0)/VLOOKUP(E$13,Data_Entry!$C:$V,20,0),"")</f>
        <v/>
      </c>
      <c r="F18" s="102" t="str">
        <f>IFERROR(VLOOKUP(F$13,Data_Entry!$C:$M,Data_Entry!$A6,0)/VLOOKUP($B18,Basic_Data!$E$2:$G$9,3,0)/VLOOKUP(F$13,Data_Entry!$C:$V,20,0),"")</f>
        <v/>
      </c>
      <c r="G18" s="102" t="str">
        <f>IFERROR(VLOOKUP(G$13,Data_Entry!$C:$M,Data_Entry!$A6,0)/VLOOKUP($B18,Basic_Data!$E$2:$G$9,3,0)/VLOOKUP(G$13,Data_Entry!$C:$V,20,0),"")</f>
        <v/>
      </c>
      <c r="H18" s="102" t="str">
        <f>IFERROR(VLOOKUP(H$13,Data_Entry!$C:$M,Data_Entry!$A6,0)/VLOOKUP($B18,Basic_Data!$E$2:$G$9,3,0)/VLOOKUP(H$13,Data_Entry!$C:$V,20,0),"")</f>
        <v/>
      </c>
      <c r="I18" s="102" t="str">
        <f>IFERROR(VLOOKUP(I$13,Data_Entry!$C:$M,Data_Entry!$A6,0)/VLOOKUP($B18,Basic_Data!$E$2:$G$9,3,0)/VLOOKUP(I$13,Data_Entry!$C:$V,20,0),"")</f>
        <v/>
      </c>
      <c r="J18" s="102" t="str">
        <f>IFERROR(VLOOKUP(J$13,Data_Entry!$C:$M,Data_Entry!$A6,0)/VLOOKUP($B18,Basic_Data!$E$2:$G$9,3,0)/VLOOKUP(J$13,Data_Entry!$C:$V,20,0),"")</f>
        <v/>
      </c>
      <c r="K18" s="102" t="str">
        <f>IFERROR(VLOOKUP(K$13,Data_Entry!$C:$M,Data_Entry!$A6,0)/VLOOKUP($B18,Basic_Data!$E$2:$G$9,3,0)/VLOOKUP(K$13,Data_Entry!$C:$V,20,0),"")</f>
        <v/>
      </c>
      <c r="L18" s="102" t="str">
        <f>IFERROR(VLOOKUP(L$13,Data_Entry!$C:$M,Data_Entry!$A6,0)/VLOOKUP($B18,Basic_Data!$E$2:$G$9,3,0)/VLOOKUP(L$13,Data_Entry!$C:$V,20,0),"")</f>
        <v/>
      </c>
      <c r="M18" s="102" t="str">
        <f>IFERROR(VLOOKUP(M$13,Data_Entry!$C:$M,Data_Entry!$A6,0)/VLOOKUP($B18,Basic_Data!$E$2:$G$9,3,0)/VLOOKUP(M$13,Data_Entry!$C:$V,20,0),"")</f>
        <v/>
      </c>
      <c r="N18" s="102" t="str">
        <f>IFERROR(VLOOKUP(N$13,Data_Entry!$C:$M,Data_Entry!$A6,0)/VLOOKUP($B18,Basic_Data!$E$2:$G$9,3,0)/VLOOKUP(N$13,Data_Entry!$C:$V,20,0),"")</f>
        <v/>
      </c>
      <c r="O18" s="102" t="str">
        <f>IFERROR(VLOOKUP(O$13,Data_Entry!$C:$M,Data_Entry!$A6,0)/VLOOKUP($B18,Basic_Data!$E$2:$G$9,3,0)/VLOOKUP(O$13,Data_Entry!$C:$V,20,0),"")</f>
        <v/>
      </c>
      <c r="P18" s="102" t="str">
        <f>IFERROR(VLOOKUP(P$13,Data_Entry!$C:$M,Data_Entry!$A6,0)/VLOOKUP($B18,Basic_Data!$E$2:$G$9,3,0)/VLOOKUP(P$13,Data_Entry!$C:$V,20,0),"")</f>
        <v/>
      </c>
      <c r="Q18" s="102" t="str">
        <f>IFERROR(VLOOKUP(Q$13,Data_Entry!$C:$M,Data_Entry!$A6,0)/VLOOKUP($B18,Basic_Data!$E$2:$G$9,3,0)/VLOOKUP(Q$13,Data_Entry!$C:$V,20,0),"")</f>
        <v/>
      </c>
      <c r="R18" s="102" t="str">
        <f>IFERROR(VLOOKUP(R$13,Data_Entry!$C:$M,Data_Entry!$A6,0)/VLOOKUP($B18,Basic_Data!$E$2:$G$9,3,0)/VLOOKUP(R$13,Data_Entry!$C:$V,20,0),"")</f>
        <v/>
      </c>
      <c r="S18" s="102" t="str">
        <f>IFERROR(VLOOKUP(S$13,Data_Entry!$C:$M,Data_Entry!$A6,0)/VLOOKUP($B18,Basic_Data!$E$2:$G$9,3,0)/VLOOKUP(S$13,Data_Entry!$C:$V,20,0),"")</f>
        <v/>
      </c>
      <c r="T18" s="102" t="str">
        <f>IFERROR(VLOOKUP(T$13,Data_Entry!$C:$M,Data_Entry!$A6,0)/VLOOKUP($B18,Basic_Data!$E$2:$G$9,3,0)/VLOOKUP(T$13,Data_Entry!$C:$V,20,0),"")</f>
        <v/>
      </c>
      <c r="U18" s="102" t="str">
        <f>IFERROR(VLOOKUP(U$13,Data_Entry!$C:$M,Data_Entry!$A6,0)/VLOOKUP($B18,Basic_Data!$E$2:$G$9,3,0)/VLOOKUP(U$13,Data_Entry!$C:$V,20,0),"")</f>
        <v/>
      </c>
      <c r="V18" s="102" t="str">
        <f>IFERROR(VLOOKUP(V$13,Data_Entry!$C:$M,Data_Entry!$A6,0)/VLOOKUP($B18,Basic_Data!$E$2:$G$9,3,0)/VLOOKUP(V$13,Data_Entry!$C:$V,20,0),"")</f>
        <v/>
      </c>
      <c r="W18" s="102" t="str">
        <f>IFERROR(VLOOKUP(W$13,Data_Entry!$C:$M,Data_Entry!$A6,0)/VLOOKUP($B18,Basic_Data!$E$2:$G$9,3,0)/VLOOKUP(W$13,Data_Entry!$C:$V,20,0),"")</f>
        <v/>
      </c>
      <c r="X18" s="102" t="str">
        <f>IFERROR(VLOOKUP(X$13,Data_Entry!$C:$M,Data_Entry!$A6,0)/VLOOKUP($B18,Basic_Data!$E$2:$G$9,3,0)/VLOOKUP(X$13,Data_Entry!$C:$V,20,0),"")</f>
        <v/>
      </c>
      <c r="Y18" s="102" t="str">
        <f>IFERROR(VLOOKUP(Y$13,Data_Entry!$C:$M,Data_Entry!$A6,0)/VLOOKUP($B18,Basic_Data!$E$2:$G$9,3,0)/VLOOKUP(Y$13,Data_Entry!$C:$V,20,0),"")</f>
        <v/>
      </c>
      <c r="Z18" s="102" t="str">
        <f>IFERROR(VLOOKUP(Z$13,Data_Entry!$C:$M,Data_Entry!$A6,0)/VLOOKUP($B18,Basic_Data!$E$2:$G$9,3,0)/VLOOKUP(Z$13,Data_Entry!$C:$V,20,0),"")</f>
        <v/>
      </c>
      <c r="AA18" s="102" t="str">
        <f>IFERROR(VLOOKUP(AA$13,Data_Entry!$C:$M,Data_Entry!$A6,0)/VLOOKUP($B18,Basic_Data!$E$2:$G$9,3,0)/VLOOKUP(AA$13,Data_Entry!$C:$V,20,0),"")</f>
        <v/>
      </c>
      <c r="AB18" s="102" t="str">
        <f>IFERROR(VLOOKUP(AB$13,Data_Entry!$C:$M,Data_Entry!$A6,0)/VLOOKUP($B18,Basic_Data!$E$2:$G$9,3,0)/VLOOKUP(AB$13,Data_Entry!$C:$V,20,0),"")</f>
        <v/>
      </c>
      <c r="AC18" s="102" t="str">
        <f>IFERROR(VLOOKUP(AC$13,Data_Entry!$C:$M,Data_Entry!$A6,0)/VLOOKUP($B18,Basic_Data!$E$2:$G$9,3,0)/VLOOKUP(AC$13,Data_Entry!$C:$V,20,0),"")</f>
        <v/>
      </c>
      <c r="AD18" s="102" t="str">
        <f>IFERROR(VLOOKUP(AD$13,Data_Entry!$C:$M,Data_Entry!$A6,0)/VLOOKUP($B18,Basic_Data!$E$2:$G$9,3,0)/VLOOKUP(AD$13,Data_Entry!$C:$V,20,0),"")</f>
        <v/>
      </c>
      <c r="AE18" s="102" t="str">
        <f>IFERROR(VLOOKUP(AE$13,Data_Entry!$C:$M,Data_Entry!$A6,0)/VLOOKUP($B18,Basic_Data!$E$2:$G$9,3,0)/VLOOKUP(AE$13,Data_Entry!$C:$V,20,0),"")</f>
        <v/>
      </c>
      <c r="AF18" s="102" t="str">
        <f>IFERROR(VLOOKUP(AF$13,Data_Entry!$C:$M,Data_Entry!$A6,0)/VLOOKUP($B18,Basic_Data!$E$2:$G$9,3,0)/VLOOKUP(AF$13,Data_Entry!$C:$V,20,0),"")</f>
        <v/>
      </c>
      <c r="AG18" s="102" t="str">
        <f>IFERROR(VLOOKUP(AG$13,Data_Entry!$C:$M,Data_Entry!$A6,0)/VLOOKUP($B18,Basic_Data!$E$2:$G$9,3,0)/VLOOKUP(AG$13,Data_Entry!$C:$V,20,0),"")</f>
        <v/>
      </c>
      <c r="AH18" s="23"/>
    </row>
    <row r="19" spans="2:34">
      <c r="B19" s="90" t="s">
        <v>20</v>
      </c>
      <c r="C19" s="102">
        <f>IFERROR(VLOOKUP(C$13,Data_Entry!$C:$M,Data_Entry!$A7,0)/VLOOKUP($B19,Basic_Data!$E$2:$G$9,3,0)/VLOOKUP(C$13,Data_Entry!$C:$V,20,0),"")</f>
        <v>1.0001537702319501</v>
      </c>
      <c r="D19" s="102" t="str">
        <f>IFERROR(VLOOKUP(D$13,Data_Entry!$C:$M,Data_Entry!$A7,0)/VLOOKUP($B19,Basic_Data!$E$2:$G$9,3,0)/VLOOKUP(D$13,Data_Entry!$C:$V,20,0),"")</f>
        <v/>
      </c>
      <c r="E19" s="102" t="str">
        <f>IFERROR(VLOOKUP(E$13,Data_Entry!$C:$M,Data_Entry!$A7,0)/VLOOKUP($B19,Basic_Data!$E$2:$G$9,3,0)/VLOOKUP(E$13,Data_Entry!$C:$V,20,0),"")</f>
        <v/>
      </c>
      <c r="F19" s="102" t="str">
        <f>IFERROR(VLOOKUP(F$13,Data_Entry!$C:$M,Data_Entry!$A7,0)/VLOOKUP($B19,Basic_Data!$E$2:$G$9,3,0)/VLOOKUP(F$13,Data_Entry!$C:$V,20,0),"")</f>
        <v/>
      </c>
      <c r="G19" s="102" t="str">
        <f>IFERROR(VLOOKUP(G$13,Data_Entry!$C:$M,Data_Entry!$A7,0)/VLOOKUP($B19,Basic_Data!$E$2:$G$9,3,0)/VLOOKUP(G$13,Data_Entry!$C:$V,20,0),"")</f>
        <v/>
      </c>
      <c r="H19" s="102" t="str">
        <f>IFERROR(VLOOKUP(H$13,Data_Entry!$C:$M,Data_Entry!$A7,0)/VLOOKUP($B19,Basic_Data!$E$2:$G$9,3,0)/VLOOKUP(H$13,Data_Entry!$C:$V,20,0),"")</f>
        <v/>
      </c>
      <c r="I19" s="102" t="str">
        <f>IFERROR(VLOOKUP(I$13,Data_Entry!$C:$M,Data_Entry!$A7,0)/VLOOKUP($B19,Basic_Data!$E$2:$G$9,3,0)/VLOOKUP(I$13,Data_Entry!$C:$V,20,0),"")</f>
        <v/>
      </c>
      <c r="J19" s="102" t="str">
        <f>IFERROR(VLOOKUP(J$13,Data_Entry!$C:$M,Data_Entry!$A7,0)/VLOOKUP($B19,Basic_Data!$E$2:$G$9,3,0)/VLOOKUP(J$13,Data_Entry!$C:$V,20,0),"")</f>
        <v/>
      </c>
      <c r="K19" s="102" t="str">
        <f>IFERROR(VLOOKUP(K$13,Data_Entry!$C:$M,Data_Entry!$A7,0)/VLOOKUP($B19,Basic_Data!$E$2:$G$9,3,0)/VLOOKUP(K$13,Data_Entry!$C:$V,20,0),"")</f>
        <v/>
      </c>
      <c r="L19" s="102" t="str">
        <f>IFERROR(VLOOKUP(L$13,Data_Entry!$C:$M,Data_Entry!$A7,0)/VLOOKUP($B19,Basic_Data!$E$2:$G$9,3,0)/VLOOKUP(L$13,Data_Entry!$C:$V,20,0),"")</f>
        <v/>
      </c>
      <c r="M19" s="102" t="str">
        <f>IFERROR(VLOOKUP(M$13,Data_Entry!$C:$M,Data_Entry!$A7,0)/VLOOKUP($B19,Basic_Data!$E$2:$G$9,3,0)/VLOOKUP(M$13,Data_Entry!$C:$V,20,0),"")</f>
        <v/>
      </c>
      <c r="N19" s="102" t="str">
        <f>IFERROR(VLOOKUP(N$13,Data_Entry!$C:$M,Data_Entry!$A7,0)/VLOOKUP($B19,Basic_Data!$E$2:$G$9,3,0)/VLOOKUP(N$13,Data_Entry!$C:$V,20,0),"")</f>
        <v/>
      </c>
      <c r="O19" s="102" t="str">
        <f>IFERROR(VLOOKUP(O$13,Data_Entry!$C:$M,Data_Entry!$A7,0)/VLOOKUP($B19,Basic_Data!$E$2:$G$9,3,0)/VLOOKUP(O$13,Data_Entry!$C:$V,20,0),"")</f>
        <v/>
      </c>
      <c r="P19" s="102" t="str">
        <f>IFERROR(VLOOKUP(P$13,Data_Entry!$C:$M,Data_Entry!$A7,0)/VLOOKUP($B19,Basic_Data!$E$2:$G$9,3,0)/VLOOKUP(P$13,Data_Entry!$C:$V,20,0),"")</f>
        <v/>
      </c>
      <c r="Q19" s="102" t="str">
        <f>IFERROR(VLOOKUP(Q$13,Data_Entry!$C:$M,Data_Entry!$A7,0)/VLOOKUP($B19,Basic_Data!$E$2:$G$9,3,0)/VLOOKUP(Q$13,Data_Entry!$C:$V,20,0),"")</f>
        <v/>
      </c>
      <c r="R19" s="102" t="str">
        <f>IFERROR(VLOOKUP(R$13,Data_Entry!$C:$M,Data_Entry!$A7,0)/VLOOKUP($B19,Basic_Data!$E$2:$G$9,3,0)/VLOOKUP(R$13,Data_Entry!$C:$V,20,0),"")</f>
        <v/>
      </c>
      <c r="S19" s="102" t="str">
        <f>IFERROR(VLOOKUP(S$13,Data_Entry!$C:$M,Data_Entry!$A7,0)/VLOOKUP($B19,Basic_Data!$E$2:$G$9,3,0)/VLOOKUP(S$13,Data_Entry!$C:$V,20,0),"")</f>
        <v/>
      </c>
      <c r="T19" s="102" t="str">
        <f>IFERROR(VLOOKUP(T$13,Data_Entry!$C:$M,Data_Entry!$A7,0)/VLOOKUP($B19,Basic_Data!$E$2:$G$9,3,0)/VLOOKUP(T$13,Data_Entry!$C:$V,20,0),"")</f>
        <v/>
      </c>
      <c r="U19" s="102" t="str">
        <f>IFERROR(VLOOKUP(U$13,Data_Entry!$C:$M,Data_Entry!$A7,0)/VLOOKUP($B19,Basic_Data!$E$2:$G$9,3,0)/VLOOKUP(U$13,Data_Entry!$C:$V,20,0),"")</f>
        <v/>
      </c>
      <c r="V19" s="102" t="str">
        <f>IFERROR(VLOOKUP(V$13,Data_Entry!$C:$M,Data_Entry!$A7,0)/VLOOKUP($B19,Basic_Data!$E$2:$G$9,3,0)/VLOOKUP(V$13,Data_Entry!$C:$V,20,0),"")</f>
        <v/>
      </c>
      <c r="W19" s="102" t="str">
        <f>IFERROR(VLOOKUP(W$13,Data_Entry!$C:$M,Data_Entry!$A7,0)/VLOOKUP($B19,Basic_Data!$E$2:$G$9,3,0)/VLOOKUP(W$13,Data_Entry!$C:$V,20,0),"")</f>
        <v/>
      </c>
      <c r="X19" s="102" t="str">
        <f>IFERROR(VLOOKUP(X$13,Data_Entry!$C:$M,Data_Entry!$A7,0)/VLOOKUP($B19,Basic_Data!$E$2:$G$9,3,0)/VLOOKUP(X$13,Data_Entry!$C:$V,20,0),"")</f>
        <v/>
      </c>
      <c r="Y19" s="102" t="str">
        <f>IFERROR(VLOOKUP(Y$13,Data_Entry!$C:$M,Data_Entry!$A7,0)/VLOOKUP($B19,Basic_Data!$E$2:$G$9,3,0)/VLOOKUP(Y$13,Data_Entry!$C:$V,20,0),"")</f>
        <v/>
      </c>
      <c r="Z19" s="102" t="str">
        <f>IFERROR(VLOOKUP(Z$13,Data_Entry!$C:$M,Data_Entry!$A7,0)/VLOOKUP($B19,Basic_Data!$E$2:$G$9,3,0)/VLOOKUP(Z$13,Data_Entry!$C:$V,20,0),"")</f>
        <v/>
      </c>
      <c r="AA19" s="102" t="str">
        <f>IFERROR(VLOOKUP(AA$13,Data_Entry!$C:$M,Data_Entry!$A7,0)/VLOOKUP($B19,Basic_Data!$E$2:$G$9,3,0)/VLOOKUP(AA$13,Data_Entry!$C:$V,20,0),"")</f>
        <v/>
      </c>
      <c r="AB19" s="102" t="str">
        <f>IFERROR(VLOOKUP(AB$13,Data_Entry!$C:$M,Data_Entry!$A7,0)/VLOOKUP($B19,Basic_Data!$E$2:$G$9,3,0)/VLOOKUP(AB$13,Data_Entry!$C:$V,20,0),"")</f>
        <v/>
      </c>
      <c r="AC19" s="102" t="str">
        <f>IFERROR(VLOOKUP(AC$13,Data_Entry!$C:$M,Data_Entry!$A7,0)/VLOOKUP($B19,Basic_Data!$E$2:$G$9,3,0)/VLOOKUP(AC$13,Data_Entry!$C:$V,20,0),"")</f>
        <v/>
      </c>
      <c r="AD19" s="102" t="str">
        <f>IFERROR(VLOOKUP(AD$13,Data_Entry!$C:$M,Data_Entry!$A7,0)/VLOOKUP($B19,Basic_Data!$E$2:$G$9,3,0)/VLOOKUP(AD$13,Data_Entry!$C:$V,20,0),"")</f>
        <v/>
      </c>
      <c r="AE19" s="102" t="str">
        <f>IFERROR(VLOOKUP(AE$13,Data_Entry!$C:$M,Data_Entry!$A7,0)/VLOOKUP($B19,Basic_Data!$E$2:$G$9,3,0)/VLOOKUP(AE$13,Data_Entry!$C:$V,20,0),"")</f>
        <v/>
      </c>
      <c r="AF19" s="102" t="str">
        <f>IFERROR(VLOOKUP(AF$13,Data_Entry!$C:$M,Data_Entry!$A7,0)/VLOOKUP($B19,Basic_Data!$E$2:$G$9,3,0)/VLOOKUP(AF$13,Data_Entry!$C:$V,20,0),"")</f>
        <v/>
      </c>
      <c r="AG19" s="102" t="str">
        <f>IFERROR(VLOOKUP(AG$13,Data_Entry!$C:$M,Data_Entry!$A7,0)/VLOOKUP($B19,Basic_Data!$E$2:$G$9,3,0)/VLOOKUP(AG$13,Data_Entry!$C:$V,20,0),"")</f>
        <v/>
      </c>
      <c r="AH19" s="23"/>
    </row>
    <row r="20" spans="2:34">
      <c r="B20" s="90" t="s">
        <v>21</v>
      </c>
      <c r="C20" s="102">
        <f>IFERROR(VLOOKUP(C$13,Data_Entry!$C:$M,Data_Entry!$A8,0)/VLOOKUP($B20,Basic_Data!$E$2:$G$9,3,0)/VLOOKUP(C$13,Data_Entry!$C:$V,20,0),"")</f>
        <v>1.00564037921602</v>
      </c>
      <c r="D20" s="102" t="str">
        <f>IFERROR(VLOOKUP(D$13,Data_Entry!$C:$M,Data_Entry!$A8,0)/VLOOKUP($B20,Basic_Data!$E$2:$G$9,3,0)/VLOOKUP(D$13,Data_Entry!$C:$V,20,0),"")</f>
        <v/>
      </c>
      <c r="E20" s="102" t="str">
        <f>IFERROR(VLOOKUP(E$13,Data_Entry!$C:$M,Data_Entry!$A8,0)/VLOOKUP($B20,Basic_Data!$E$2:$G$9,3,0)/VLOOKUP(E$13,Data_Entry!$C:$V,20,0),"")</f>
        <v/>
      </c>
      <c r="F20" s="102" t="str">
        <f>IFERROR(VLOOKUP(F$13,Data_Entry!$C:$M,Data_Entry!$A8,0)/VLOOKUP($B20,Basic_Data!$E$2:$G$9,3,0)/VLOOKUP(F$13,Data_Entry!$C:$V,20,0),"")</f>
        <v/>
      </c>
      <c r="G20" s="102" t="str">
        <f>IFERROR(VLOOKUP(G$13,Data_Entry!$C:$M,Data_Entry!$A8,0)/VLOOKUP($B20,Basic_Data!$E$2:$G$9,3,0)/VLOOKUP(G$13,Data_Entry!$C:$V,20,0),"")</f>
        <v/>
      </c>
      <c r="H20" s="102" t="str">
        <f>IFERROR(VLOOKUP(H$13,Data_Entry!$C:$M,Data_Entry!$A8,0)/VLOOKUP($B20,Basic_Data!$E$2:$G$9,3,0)/VLOOKUP(H$13,Data_Entry!$C:$V,20,0),"")</f>
        <v/>
      </c>
      <c r="I20" s="102" t="str">
        <f>IFERROR(VLOOKUP(I$13,Data_Entry!$C:$M,Data_Entry!$A8,0)/VLOOKUP($B20,Basic_Data!$E$2:$G$9,3,0)/VLOOKUP(I$13,Data_Entry!$C:$V,20,0),"")</f>
        <v/>
      </c>
      <c r="J20" s="102" t="str">
        <f>IFERROR(VLOOKUP(J$13,Data_Entry!$C:$M,Data_Entry!$A8,0)/VLOOKUP($B20,Basic_Data!$E$2:$G$9,3,0)/VLOOKUP(J$13,Data_Entry!$C:$V,20,0),"")</f>
        <v/>
      </c>
      <c r="K20" s="102" t="str">
        <f>IFERROR(VLOOKUP(K$13,Data_Entry!$C:$M,Data_Entry!$A8,0)/VLOOKUP($B20,Basic_Data!$E$2:$G$9,3,0)/VLOOKUP(K$13,Data_Entry!$C:$V,20,0),"")</f>
        <v/>
      </c>
      <c r="L20" s="102" t="str">
        <f>IFERROR(VLOOKUP(L$13,Data_Entry!$C:$M,Data_Entry!$A8,0)/VLOOKUP($B20,Basic_Data!$E$2:$G$9,3,0)/VLOOKUP(L$13,Data_Entry!$C:$V,20,0),"")</f>
        <v/>
      </c>
      <c r="M20" s="102" t="str">
        <f>IFERROR(VLOOKUP(M$13,Data_Entry!$C:$M,Data_Entry!$A8,0)/VLOOKUP($B20,Basic_Data!$E$2:$G$9,3,0)/VLOOKUP(M$13,Data_Entry!$C:$V,20,0),"")</f>
        <v/>
      </c>
      <c r="N20" s="102" t="str">
        <f>IFERROR(VLOOKUP(N$13,Data_Entry!$C:$M,Data_Entry!$A8,0)/VLOOKUP($B20,Basic_Data!$E$2:$G$9,3,0)/VLOOKUP(N$13,Data_Entry!$C:$V,20,0),"")</f>
        <v/>
      </c>
      <c r="O20" s="102" t="str">
        <f>IFERROR(VLOOKUP(O$13,Data_Entry!$C:$M,Data_Entry!$A8,0)/VLOOKUP($B20,Basic_Data!$E$2:$G$9,3,0)/VLOOKUP(O$13,Data_Entry!$C:$V,20,0),"")</f>
        <v/>
      </c>
      <c r="P20" s="102" t="str">
        <f>IFERROR(VLOOKUP(P$13,Data_Entry!$C:$M,Data_Entry!$A8,0)/VLOOKUP($B20,Basic_Data!$E$2:$G$9,3,0)/VLOOKUP(P$13,Data_Entry!$C:$V,20,0),"")</f>
        <v/>
      </c>
      <c r="Q20" s="102" t="str">
        <f>IFERROR(VLOOKUP(Q$13,Data_Entry!$C:$M,Data_Entry!$A8,0)/VLOOKUP($B20,Basic_Data!$E$2:$G$9,3,0)/VLOOKUP(Q$13,Data_Entry!$C:$V,20,0),"")</f>
        <v/>
      </c>
      <c r="R20" s="102" t="str">
        <f>IFERROR(VLOOKUP(R$13,Data_Entry!$C:$M,Data_Entry!$A8,0)/VLOOKUP($B20,Basic_Data!$E$2:$G$9,3,0)/VLOOKUP(R$13,Data_Entry!$C:$V,20,0),"")</f>
        <v/>
      </c>
      <c r="S20" s="102" t="str">
        <f>IFERROR(VLOOKUP(S$13,Data_Entry!$C:$M,Data_Entry!$A8,0)/VLOOKUP($B20,Basic_Data!$E$2:$G$9,3,0)/VLOOKUP(S$13,Data_Entry!$C:$V,20,0),"")</f>
        <v/>
      </c>
      <c r="T20" s="102" t="str">
        <f>IFERROR(VLOOKUP(T$13,Data_Entry!$C:$M,Data_Entry!$A8,0)/VLOOKUP($B20,Basic_Data!$E$2:$G$9,3,0)/VLOOKUP(T$13,Data_Entry!$C:$V,20,0),"")</f>
        <v/>
      </c>
      <c r="U20" s="102" t="str">
        <f>IFERROR(VLOOKUP(U$13,Data_Entry!$C:$M,Data_Entry!$A8,0)/VLOOKUP($B20,Basic_Data!$E$2:$G$9,3,0)/VLOOKUP(U$13,Data_Entry!$C:$V,20,0),"")</f>
        <v/>
      </c>
      <c r="V20" s="102" t="str">
        <f>IFERROR(VLOOKUP(V$13,Data_Entry!$C:$M,Data_Entry!$A8,0)/VLOOKUP($B20,Basic_Data!$E$2:$G$9,3,0)/VLOOKUP(V$13,Data_Entry!$C:$V,20,0),"")</f>
        <v/>
      </c>
      <c r="W20" s="102" t="str">
        <f>IFERROR(VLOOKUP(W$13,Data_Entry!$C:$M,Data_Entry!$A8,0)/VLOOKUP($B20,Basic_Data!$E$2:$G$9,3,0)/VLOOKUP(W$13,Data_Entry!$C:$V,20,0),"")</f>
        <v/>
      </c>
      <c r="X20" s="102" t="str">
        <f>IFERROR(VLOOKUP(X$13,Data_Entry!$C:$M,Data_Entry!$A8,0)/VLOOKUP($B20,Basic_Data!$E$2:$G$9,3,0)/VLOOKUP(X$13,Data_Entry!$C:$V,20,0),"")</f>
        <v/>
      </c>
      <c r="Y20" s="102" t="str">
        <f>IFERROR(VLOOKUP(Y$13,Data_Entry!$C:$M,Data_Entry!$A8,0)/VLOOKUP($B20,Basic_Data!$E$2:$G$9,3,0)/VLOOKUP(Y$13,Data_Entry!$C:$V,20,0),"")</f>
        <v/>
      </c>
      <c r="Z20" s="102" t="str">
        <f>IFERROR(VLOOKUP(Z$13,Data_Entry!$C:$M,Data_Entry!$A8,0)/VLOOKUP($B20,Basic_Data!$E$2:$G$9,3,0)/VLOOKUP(Z$13,Data_Entry!$C:$V,20,0),"")</f>
        <v/>
      </c>
      <c r="AA20" s="102" t="str">
        <f>IFERROR(VLOOKUP(AA$13,Data_Entry!$C:$M,Data_Entry!$A8,0)/VLOOKUP($B20,Basic_Data!$E$2:$G$9,3,0)/VLOOKUP(AA$13,Data_Entry!$C:$V,20,0),"")</f>
        <v/>
      </c>
      <c r="AB20" s="102" t="str">
        <f>IFERROR(VLOOKUP(AB$13,Data_Entry!$C:$M,Data_Entry!$A8,0)/VLOOKUP($B20,Basic_Data!$E$2:$G$9,3,0)/VLOOKUP(AB$13,Data_Entry!$C:$V,20,0),"")</f>
        <v/>
      </c>
      <c r="AC20" s="102" t="str">
        <f>IFERROR(VLOOKUP(AC$13,Data_Entry!$C:$M,Data_Entry!$A8,0)/VLOOKUP($B20,Basic_Data!$E$2:$G$9,3,0)/VLOOKUP(AC$13,Data_Entry!$C:$V,20,0),"")</f>
        <v/>
      </c>
      <c r="AD20" s="102" t="str">
        <f>IFERROR(VLOOKUP(AD$13,Data_Entry!$C:$M,Data_Entry!$A8,0)/VLOOKUP($B20,Basic_Data!$E$2:$G$9,3,0)/VLOOKUP(AD$13,Data_Entry!$C:$V,20,0),"")</f>
        <v/>
      </c>
      <c r="AE20" s="102" t="str">
        <f>IFERROR(VLOOKUP(AE$13,Data_Entry!$C:$M,Data_Entry!$A8,0)/VLOOKUP($B20,Basic_Data!$E$2:$G$9,3,0)/VLOOKUP(AE$13,Data_Entry!$C:$V,20,0),"")</f>
        <v/>
      </c>
      <c r="AF20" s="102" t="str">
        <f>IFERROR(VLOOKUP(AF$13,Data_Entry!$C:$M,Data_Entry!$A8,0)/VLOOKUP($B20,Basic_Data!$E$2:$G$9,3,0)/VLOOKUP(AF$13,Data_Entry!$C:$V,20,0),"")</f>
        <v/>
      </c>
      <c r="AG20" s="102" t="str">
        <f>IFERROR(VLOOKUP(AG$13,Data_Entry!$C:$M,Data_Entry!$A8,0)/VLOOKUP($B20,Basic_Data!$E$2:$G$9,3,0)/VLOOKUP(AG$13,Data_Entry!$C:$V,20,0),"")</f>
        <v/>
      </c>
      <c r="AH20" s="23"/>
    </row>
    <row r="21" spans="2:34">
      <c r="B21" s="23" t="s">
        <v>71</v>
      </c>
      <c r="C21" s="103">
        <f>AVERAGE(C14:C20)</f>
        <v>0.99942001218971599</v>
      </c>
      <c r="D21" s="103" t="e">
        <f t="shared" ref="D21:AH21" si="1">AVERAGE(D14:D20)</f>
        <v>#DIV/0!</v>
      </c>
      <c r="E21" s="103" t="e">
        <f t="shared" si="1"/>
        <v>#DIV/0!</v>
      </c>
      <c r="F21" s="103" t="e">
        <f t="shared" si="1"/>
        <v>#DIV/0!</v>
      </c>
      <c r="G21" s="103" t="e">
        <f t="shared" si="1"/>
        <v>#DIV/0!</v>
      </c>
      <c r="H21" s="103" t="e">
        <f t="shared" si="1"/>
        <v>#DIV/0!</v>
      </c>
      <c r="I21" s="103" t="e">
        <f t="shared" si="1"/>
        <v>#DIV/0!</v>
      </c>
      <c r="J21" s="103" t="e">
        <f t="shared" si="1"/>
        <v>#DIV/0!</v>
      </c>
      <c r="K21" s="103" t="e">
        <f t="shared" si="1"/>
        <v>#DIV/0!</v>
      </c>
      <c r="L21" s="103" t="e">
        <f t="shared" si="1"/>
        <v>#DIV/0!</v>
      </c>
      <c r="M21" s="103" t="e">
        <f t="shared" si="1"/>
        <v>#DIV/0!</v>
      </c>
      <c r="N21" s="103" t="e">
        <f t="shared" si="1"/>
        <v>#DIV/0!</v>
      </c>
      <c r="O21" s="103" t="e">
        <f t="shared" si="1"/>
        <v>#DIV/0!</v>
      </c>
      <c r="P21" s="103" t="e">
        <f t="shared" si="1"/>
        <v>#DIV/0!</v>
      </c>
      <c r="Q21" s="103" t="e">
        <f t="shared" si="1"/>
        <v>#DIV/0!</v>
      </c>
      <c r="R21" s="103" t="e">
        <f t="shared" si="1"/>
        <v>#DIV/0!</v>
      </c>
      <c r="S21" s="103" t="e">
        <f t="shared" si="1"/>
        <v>#DIV/0!</v>
      </c>
      <c r="T21" s="103" t="e">
        <f t="shared" si="1"/>
        <v>#DIV/0!</v>
      </c>
      <c r="U21" s="103" t="e">
        <f t="shared" si="1"/>
        <v>#DIV/0!</v>
      </c>
      <c r="V21" s="103" t="e">
        <f t="shared" si="1"/>
        <v>#DIV/0!</v>
      </c>
      <c r="W21" s="103" t="e">
        <f t="shared" si="1"/>
        <v>#DIV/0!</v>
      </c>
      <c r="X21" s="103" t="e">
        <f t="shared" si="1"/>
        <v>#DIV/0!</v>
      </c>
      <c r="Y21" s="103" t="e">
        <f t="shared" si="1"/>
        <v>#DIV/0!</v>
      </c>
      <c r="Z21" s="103" t="e">
        <f t="shared" si="1"/>
        <v>#DIV/0!</v>
      </c>
      <c r="AA21" s="103" t="e">
        <f t="shared" si="1"/>
        <v>#DIV/0!</v>
      </c>
      <c r="AB21" s="103" t="e">
        <f t="shared" si="1"/>
        <v>#DIV/0!</v>
      </c>
      <c r="AC21" s="103" t="e">
        <f t="shared" si="1"/>
        <v>#DIV/0!</v>
      </c>
      <c r="AD21" s="103" t="e">
        <f t="shared" si="1"/>
        <v>#DIV/0!</v>
      </c>
      <c r="AE21" s="103" t="e">
        <f t="shared" si="1"/>
        <v>#DIV/0!</v>
      </c>
      <c r="AF21" s="103" t="e">
        <f t="shared" si="1"/>
        <v>#DIV/0!</v>
      </c>
      <c r="AG21" s="103" t="e">
        <f t="shared" si="1"/>
        <v>#DIV/0!</v>
      </c>
      <c r="AH21" s="103" t="e">
        <f t="shared" si="1"/>
        <v>#DIV/0!</v>
      </c>
    </row>
  </sheetData>
  <sheetProtection algorithmName="SHA-512" hashValue="i19robgaU9k9kP7ORyaS/EG9onMnYfpfq4NBpdu1/9Yc4dt/83n9gdaO7vDtvjueI9HCWi7lpgNVNTsbXDevig==" saltValue="XAVnhkwm/9rNJ4OHETOc4w==" spinCount="100000" sheet="1" objects="1" scenarios="1"/>
  <conditionalFormatting sqref="C3:AG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AG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AH2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opLeftCell="A22" workbookViewId="0">
      <selection activeCell="G10" sqref="G10"/>
    </sheetView>
  </sheetViews>
  <sheetFormatPr defaultColWidth="12" defaultRowHeight="15" customHeight="1"/>
  <cols>
    <col min="1" max="1" width="24.75" customWidth="1"/>
    <col min="2" max="2" width="17.375" customWidth="1"/>
    <col min="3" max="3" width="9.25" customWidth="1"/>
    <col min="4" max="4" width="8.75" customWidth="1"/>
    <col min="5" max="5" width="12.75" customWidth="1"/>
    <col min="6" max="6" width="15.75" customWidth="1"/>
    <col min="7" max="7" width="17.75" customWidth="1"/>
    <col min="8" max="25" width="14.375" customWidth="1"/>
  </cols>
  <sheetData>
    <row r="1" spans="1:9" ht="14.25" customHeight="1"/>
    <row r="2" spans="1:9" ht="14.25" customHeight="1">
      <c r="A2" s="85" t="s">
        <v>72</v>
      </c>
      <c r="B2" s="85" t="s">
        <v>73</v>
      </c>
      <c r="E2" s="86" t="s">
        <v>74</v>
      </c>
      <c r="F2" s="86" t="s">
        <v>75</v>
      </c>
      <c r="G2" s="86" t="s">
        <v>76</v>
      </c>
      <c r="H2" s="87" t="s">
        <v>77</v>
      </c>
    </row>
    <row r="3" spans="1:9" ht="14.25" customHeight="1">
      <c r="A3" s="88" t="s">
        <v>78</v>
      </c>
      <c r="B3" s="89">
        <v>45726</v>
      </c>
      <c r="E3" s="90" t="s">
        <v>15</v>
      </c>
      <c r="F3" s="91">
        <v>275</v>
      </c>
      <c r="G3" s="91">
        <v>335.72</v>
      </c>
      <c r="H3">
        <f>G3/0.545</f>
        <v>616</v>
      </c>
      <c r="I3">
        <v>2</v>
      </c>
    </row>
    <row r="4" spans="1:9" ht="14.25" customHeight="1">
      <c r="A4" s="88" t="s">
        <v>79</v>
      </c>
      <c r="B4" s="88" t="s">
        <v>80</v>
      </c>
      <c r="E4" s="90" t="s">
        <v>16</v>
      </c>
      <c r="F4" s="91">
        <v>275</v>
      </c>
      <c r="G4" s="91">
        <v>335.72</v>
      </c>
      <c r="H4">
        <f t="shared" ref="H4:H9" si="0">G4/0.545</f>
        <v>616</v>
      </c>
      <c r="I4">
        <v>3</v>
      </c>
    </row>
    <row r="5" spans="1:9" ht="14.25" customHeight="1">
      <c r="A5" s="88" t="s">
        <v>81</v>
      </c>
      <c r="B5" s="88" t="s">
        <v>82</v>
      </c>
      <c r="E5" s="90" t="s">
        <v>17</v>
      </c>
      <c r="F5" s="91">
        <v>275</v>
      </c>
      <c r="G5" s="91">
        <v>335.72</v>
      </c>
      <c r="H5">
        <f t="shared" si="0"/>
        <v>616</v>
      </c>
      <c r="I5">
        <v>4</v>
      </c>
    </row>
    <row r="6" spans="1:9" ht="14.25" customHeight="1">
      <c r="A6" s="88" t="s">
        <v>83</v>
      </c>
      <c r="B6" s="88" t="s">
        <v>84</v>
      </c>
      <c r="E6" s="90" t="s">
        <v>18</v>
      </c>
      <c r="F6" s="91">
        <v>275</v>
      </c>
      <c r="G6" s="91">
        <v>350.98</v>
      </c>
      <c r="H6">
        <f t="shared" si="0"/>
        <v>644</v>
      </c>
      <c r="I6">
        <v>5</v>
      </c>
    </row>
    <row r="7" spans="1:9" ht="14.25" customHeight="1">
      <c r="A7" s="88" t="s">
        <v>85</v>
      </c>
      <c r="B7" s="92">
        <v>2.411</v>
      </c>
      <c r="E7" s="90" t="s">
        <v>19</v>
      </c>
      <c r="F7" s="91">
        <v>275</v>
      </c>
      <c r="G7" s="91">
        <v>350.98</v>
      </c>
      <c r="H7">
        <f t="shared" si="0"/>
        <v>644</v>
      </c>
      <c r="I7">
        <v>6</v>
      </c>
    </row>
    <row r="8" spans="1:9" ht="14.25" customHeight="1">
      <c r="A8" s="88" t="s">
        <v>86</v>
      </c>
      <c r="B8" s="88">
        <v>1.925</v>
      </c>
      <c r="E8" s="90" t="s">
        <v>20</v>
      </c>
      <c r="F8" s="91">
        <v>275</v>
      </c>
      <c r="G8" s="91">
        <v>350.98</v>
      </c>
      <c r="H8">
        <f t="shared" si="0"/>
        <v>644</v>
      </c>
      <c r="I8">
        <v>7</v>
      </c>
    </row>
    <row r="9" spans="1:9" ht="14.25" customHeight="1">
      <c r="A9" s="88" t="s">
        <v>87</v>
      </c>
      <c r="B9" s="93">
        <f>SUM(G3:G94)</f>
        <v>4822.16</v>
      </c>
      <c r="E9" s="90" t="s">
        <v>21</v>
      </c>
      <c r="F9" s="91">
        <v>275</v>
      </c>
      <c r="G9" s="91">
        <v>350.98</v>
      </c>
      <c r="H9">
        <f t="shared" si="0"/>
        <v>644</v>
      </c>
      <c r="I9">
        <v>8</v>
      </c>
    </row>
    <row r="10" spans="1:9" ht="14.25" customHeight="1">
      <c r="A10" s="88" t="s">
        <v>88</v>
      </c>
      <c r="B10" s="88">
        <v>3000</v>
      </c>
      <c r="E10" s="91" t="s">
        <v>89</v>
      </c>
      <c r="F10" s="91">
        <f>SUM(F3:F9)</f>
        <v>1925</v>
      </c>
      <c r="G10" s="91">
        <f>SUM(G3:G9)</f>
        <v>2411.08</v>
      </c>
      <c r="H10" s="91">
        <f>SUM(H3:H9)</f>
        <v>4424</v>
      </c>
    </row>
    <row r="11" spans="1:9" ht="14.25" customHeight="1">
      <c r="A11" s="88" t="s">
        <v>90</v>
      </c>
      <c r="B11" s="88">
        <v>1</v>
      </c>
    </row>
    <row r="12" spans="1:9" ht="14.25" customHeight="1">
      <c r="A12" s="88" t="s">
        <v>91</v>
      </c>
      <c r="B12" s="88" t="s">
        <v>92</v>
      </c>
    </row>
    <row r="13" spans="1:9" ht="14.25" customHeight="1">
      <c r="A13" s="88" t="s">
        <v>93</v>
      </c>
      <c r="B13" s="88" t="s">
        <v>94</v>
      </c>
    </row>
    <row r="14" spans="1:9" ht="14.25" customHeight="1">
      <c r="A14" s="88" t="s">
        <v>95</v>
      </c>
      <c r="B14" s="88">
        <v>0.27500000000000002</v>
      </c>
    </row>
    <row r="15" spans="1:9" ht="14.25" customHeight="1">
      <c r="A15" s="88" t="s">
        <v>96</v>
      </c>
      <c r="B15" s="88">
        <v>7</v>
      </c>
    </row>
    <row r="16" spans="1:9" ht="14.25" customHeight="1">
      <c r="A16" s="88" t="s">
        <v>97</v>
      </c>
      <c r="B16" s="88" t="s">
        <v>98</v>
      </c>
    </row>
    <row r="17" spans="1:4" ht="14.25" customHeight="1">
      <c r="A17" s="88" t="s">
        <v>99</v>
      </c>
      <c r="B17" s="88">
        <v>545</v>
      </c>
    </row>
    <row r="18" spans="1:4" ht="14.25" customHeight="1">
      <c r="A18" s="88" t="s">
        <v>100</v>
      </c>
      <c r="B18" s="92">
        <v>158</v>
      </c>
    </row>
    <row r="19" spans="1:4" ht="14.25" customHeight="1">
      <c r="A19" s="88" t="s">
        <v>101</v>
      </c>
      <c r="B19" s="94" t="s">
        <v>102</v>
      </c>
    </row>
    <row r="20" spans="1:4" ht="14.25" customHeight="1">
      <c r="A20" s="88" t="s">
        <v>103</v>
      </c>
      <c r="B20" s="92">
        <v>4424</v>
      </c>
    </row>
    <row r="21" spans="1:4" ht="14.25" customHeight="1">
      <c r="A21" s="88" t="s">
        <v>104</v>
      </c>
      <c r="B21" s="88" t="s">
        <v>105</v>
      </c>
    </row>
    <row r="22" spans="1:4" ht="14.25" customHeight="1">
      <c r="A22" s="88" t="s">
        <v>106</v>
      </c>
      <c r="B22" s="88" t="s">
        <v>107</v>
      </c>
    </row>
    <row r="23" spans="1:4" ht="14.25" customHeight="1">
      <c r="A23" s="88" t="s">
        <v>108</v>
      </c>
      <c r="B23" s="88"/>
    </row>
    <row r="24" spans="1:4" ht="14.25" customHeight="1"/>
    <row r="25" spans="1:4" ht="14.25" customHeight="1"/>
    <row r="26" spans="1:4" ht="14.25" customHeight="1"/>
    <row r="27" spans="1:4" ht="14.25" customHeight="1">
      <c r="A27" s="95" t="s">
        <v>109</v>
      </c>
      <c r="B27" s="95" t="s">
        <v>110</v>
      </c>
      <c r="C27" s="95" t="s">
        <v>111</v>
      </c>
      <c r="D27" s="95"/>
    </row>
    <row r="28" spans="1:4" ht="14.25" customHeight="1">
      <c r="A28" s="150" t="s">
        <v>112</v>
      </c>
      <c r="B28" s="96">
        <v>41000</v>
      </c>
      <c r="C28" s="96">
        <v>41364</v>
      </c>
      <c r="D28" s="95">
        <v>365</v>
      </c>
    </row>
    <row r="29" spans="1:4" ht="14.25" customHeight="1">
      <c r="A29" s="95" t="s">
        <v>113</v>
      </c>
      <c r="B29" s="96">
        <v>41365</v>
      </c>
      <c r="C29" s="96">
        <v>41729</v>
      </c>
      <c r="D29" s="95">
        <v>365</v>
      </c>
    </row>
    <row r="30" spans="1:4" ht="14.25" customHeight="1">
      <c r="A30" s="95" t="s">
        <v>114</v>
      </c>
      <c r="B30" s="96">
        <v>41730</v>
      </c>
      <c r="C30" s="96">
        <v>42094</v>
      </c>
      <c r="D30" s="95">
        <v>365</v>
      </c>
    </row>
    <row r="31" spans="1:4" ht="14.25" customHeight="1">
      <c r="A31" s="95" t="s">
        <v>115</v>
      </c>
      <c r="B31" s="96">
        <v>42095</v>
      </c>
      <c r="C31" s="96">
        <v>42460</v>
      </c>
      <c r="D31" s="95">
        <v>366</v>
      </c>
    </row>
    <row r="32" spans="1:4" ht="14.25" customHeight="1">
      <c r="A32" s="95" t="s">
        <v>116</v>
      </c>
      <c r="B32" s="96">
        <v>42461</v>
      </c>
      <c r="C32" s="96">
        <v>42825</v>
      </c>
      <c r="D32" s="95">
        <v>365</v>
      </c>
    </row>
    <row r="33" spans="1:4" ht="14.25" customHeight="1">
      <c r="A33" s="95" t="s">
        <v>117</v>
      </c>
      <c r="B33" s="96">
        <v>42826</v>
      </c>
      <c r="C33" s="96">
        <v>43190</v>
      </c>
      <c r="D33" s="95">
        <v>365</v>
      </c>
    </row>
    <row r="34" spans="1:4" ht="14.25" customHeight="1">
      <c r="A34" s="95" t="s">
        <v>118</v>
      </c>
      <c r="B34" s="96">
        <v>43191</v>
      </c>
      <c r="C34" s="96">
        <v>43555</v>
      </c>
      <c r="D34" s="95">
        <v>365</v>
      </c>
    </row>
    <row r="35" spans="1:4" ht="14.25" customHeight="1">
      <c r="A35" s="95" t="s">
        <v>119</v>
      </c>
      <c r="B35" s="96">
        <v>43556</v>
      </c>
      <c r="C35" s="96">
        <v>43921</v>
      </c>
      <c r="D35" s="95">
        <v>366</v>
      </c>
    </row>
    <row r="36" spans="1:4" ht="14.25" customHeight="1">
      <c r="A36" s="95" t="s">
        <v>120</v>
      </c>
      <c r="B36" s="96">
        <v>43922</v>
      </c>
      <c r="C36" s="96">
        <v>44286</v>
      </c>
      <c r="D36" s="95">
        <v>365</v>
      </c>
    </row>
    <row r="37" spans="1:4" ht="14.25" customHeight="1">
      <c r="A37" s="95" t="s">
        <v>121</v>
      </c>
      <c r="B37" s="96">
        <v>44287</v>
      </c>
      <c r="C37" s="96">
        <v>44651</v>
      </c>
      <c r="D37" s="95">
        <v>365</v>
      </c>
    </row>
    <row r="38" spans="1:4" ht="14.25" customHeight="1">
      <c r="A38" s="95" t="s">
        <v>122</v>
      </c>
      <c r="B38" s="96">
        <v>44652</v>
      </c>
      <c r="C38" s="96">
        <v>45016</v>
      </c>
      <c r="D38" s="95">
        <v>365</v>
      </c>
    </row>
    <row r="39" spans="1:4" ht="14.25" customHeight="1">
      <c r="A39" s="95" t="s">
        <v>123</v>
      </c>
      <c r="B39" s="96">
        <v>45017</v>
      </c>
      <c r="C39" s="96">
        <v>45382</v>
      </c>
      <c r="D39" s="95">
        <v>366</v>
      </c>
    </row>
    <row r="40" spans="1:4" ht="14.25" customHeight="1">
      <c r="A40" s="95" t="s">
        <v>124</v>
      </c>
      <c r="B40" s="96">
        <v>45383</v>
      </c>
      <c r="C40" s="96">
        <v>45747</v>
      </c>
      <c r="D40" s="95">
        <v>365</v>
      </c>
    </row>
    <row r="41" spans="1:4" ht="14.25" customHeight="1">
      <c r="A41" s="95" t="s">
        <v>125</v>
      </c>
      <c r="B41" s="96">
        <v>45748</v>
      </c>
      <c r="C41" s="96">
        <v>46112</v>
      </c>
      <c r="D41" s="95">
        <v>365</v>
      </c>
    </row>
    <row r="42" spans="1:4" ht="14.25" customHeight="1">
      <c r="A42" s="95" t="s">
        <v>126</v>
      </c>
      <c r="B42" s="96">
        <v>46113</v>
      </c>
      <c r="C42" s="96">
        <v>46477</v>
      </c>
      <c r="D42" s="95">
        <v>365</v>
      </c>
    </row>
    <row r="43" spans="1:4" ht="14.25" customHeight="1">
      <c r="A43" s="95" t="s">
        <v>127</v>
      </c>
      <c r="B43" s="96">
        <v>46478</v>
      </c>
      <c r="C43" s="96">
        <v>46843</v>
      </c>
      <c r="D43" s="95">
        <v>366</v>
      </c>
    </row>
    <row r="44" spans="1:4" ht="14.25" customHeight="1">
      <c r="A44" s="95" t="s">
        <v>128</v>
      </c>
      <c r="B44" s="96">
        <v>46844</v>
      </c>
      <c r="C44" s="96">
        <v>47208</v>
      </c>
      <c r="D44" s="95">
        <v>365</v>
      </c>
    </row>
    <row r="45" spans="1:4" ht="14.25" customHeight="1">
      <c r="A45" s="95" t="s">
        <v>129</v>
      </c>
      <c r="B45" s="96">
        <v>47209</v>
      </c>
      <c r="C45" s="96">
        <v>47573</v>
      </c>
      <c r="D45" s="95">
        <v>365</v>
      </c>
    </row>
    <row r="46" spans="1:4" ht="14.25" customHeight="1">
      <c r="A46" s="95" t="s">
        <v>130</v>
      </c>
      <c r="B46" s="96">
        <v>47574</v>
      </c>
      <c r="C46" s="96">
        <v>47938</v>
      </c>
      <c r="D46" s="95">
        <v>365</v>
      </c>
    </row>
    <row r="47" spans="1:4" ht="14.25" customHeight="1">
      <c r="A47" s="95" t="s">
        <v>131</v>
      </c>
      <c r="B47" s="96">
        <v>47939</v>
      </c>
      <c r="C47" s="96">
        <v>48304</v>
      </c>
      <c r="D47" s="95">
        <v>366</v>
      </c>
    </row>
    <row r="48" spans="1:4" ht="14.25" customHeight="1">
      <c r="A48" s="95" t="s">
        <v>132</v>
      </c>
      <c r="B48" s="96">
        <v>48305</v>
      </c>
      <c r="C48" s="96">
        <v>48669</v>
      </c>
      <c r="D48" s="95">
        <v>365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algorithmName="SHA-512" hashValue="pgUGOIZTbzAFH7ela5y8Rnf/zTE28q292R8Y0v3NtbeyFhSmM98Bwlksec+2ggtgCe8akNUcajfCQL3RSt3g5g==" saltValue="gfu/k9IN5i39UdGR4hUoDw==" spinCount="100000" sheet="1" objects="1" scenarios="1"/>
  <pageMargins left="0.7" right="0.7" top="0.75" bottom="0.75" header="0" footer="0"/>
  <pageSetup paperSize="9" fitToWidth="0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="120" zoomScaleNormal="120" workbookViewId="0">
      <selection activeCell="B18" sqref="B18"/>
    </sheetView>
  </sheetViews>
  <sheetFormatPr defaultColWidth="0" defaultRowHeight="14.25"/>
  <cols>
    <col min="1" max="1" width="14" style="57" customWidth="1"/>
    <col min="2" max="3" width="13.75" style="57" customWidth="1"/>
    <col min="4" max="4" width="13" style="57" customWidth="1"/>
    <col min="5" max="5" width="12" style="57" customWidth="1"/>
    <col min="6" max="6" width="13.75" style="57" customWidth="1"/>
    <col min="7" max="7" width="12.25" style="57" customWidth="1"/>
    <col min="8" max="8" width="12" style="57" customWidth="1"/>
    <col min="9" max="9" width="13.75" style="57" customWidth="1"/>
    <col min="10" max="10" width="12.25" style="57" customWidth="1"/>
    <col min="11" max="11" width="12" style="57" customWidth="1"/>
    <col min="12" max="12" width="5.125" style="57" customWidth="1"/>
    <col min="13" max="16384" width="8.25" style="57" hidden="1"/>
  </cols>
  <sheetData>
    <row r="1" spans="1:12" ht="14.45" customHeight="1">
      <c r="A1" s="160" t="s">
        <v>133</v>
      </c>
      <c r="B1" s="161"/>
      <c r="C1" s="161"/>
      <c r="D1" s="161"/>
      <c r="E1" s="161"/>
      <c r="F1" s="161"/>
      <c r="G1" s="161"/>
      <c r="H1" s="161"/>
      <c r="I1" s="161"/>
      <c r="J1" s="161"/>
      <c r="K1" s="162"/>
    </row>
    <row r="2" spans="1:12" ht="14.45" customHeight="1">
      <c r="A2" s="163"/>
      <c r="B2" s="164"/>
      <c r="C2" s="164"/>
      <c r="D2" s="164"/>
      <c r="E2" s="164"/>
      <c r="F2" s="164"/>
      <c r="G2" s="164"/>
      <c r="H2" s="164"/>
      <c r="I2" s="164"/>
      <c r="J2" s="164"/>
      <c r="K2" s="165"/>
    </row>
    <row r="3" spans="1:12">
      <c r="A3" s="58"/>
      <c r="B3" s="59">
        <f>DATE(YEAR(B4),MONTH(B4),1)</f>
        <v>46174</v>
      </c>
      <c r="C3" s="60">
        <f>VLOOKUP(L3,Basic_Data!$A$28:$B$48,2,0)</f>
        <v>45748</v>
      </c>
      <c r="D3" s="58"/>
      <c r="G3" s="58"/>
      <c r="H3" s="58"/>
      <c r="I3" s="58"/>
      <c r="J3" s="58"/>
      <c r="K3" s="61"/>
      <c r="L3" s="62" t="s">
        <v>125</v>
      </c>
    </row>
    <row r="4" spans="1:12" ht="15.75">
      <c r="A4" s="63" t="s">
        <v>1</v>
      </c>
      <c r="B4" s="64">
        <v>46178</v>
      </c>
      <c r="C4" s="151" t="s">
        <v>134</v>
      </c>
      <c r="D4" s="152"/>
      <c r="E4" s="65">
        <f>Basic_Data!F10</f>
        <v>1925</v>
      </c>
      <c r="F4" s="151" t="s">
        <v>135</v>
      </c>
      <c r="G4" s="152"/>
      <c r="H4" s="66">
        <f>Basic_Data!G10</f>
        <v>2411.08</v>
      </c>
      <c r="I4" s="151" t="s">
        <v>136</v>
      </c>
      <c r="J4" s="152"/>
      <c r="K4" s="67">
        <f>Basic_Data!B3</f>
        <v>45726</v>
      </c>
    </row>
    <row r="5" spans="1:12" ht="15.75">
      <c r="A5" s="166" t="s">
        <v>0</v>
      </c>
      <c r="B5" s="166"/>
      <c r="C5" s="153" t="s">
        <v>137</v>
      </c>
      <c r="D5" s="153"/>
      <c r="E5" s="153"/>
      <c r="F5" s="153" t="s">
        <v>138</v>
      </c>
      <c r="G5" s="153"/>
      <c r="H5" s="153"/>
      <c r="I5" s="153" t="s">
        <v>139</v>
      </c>
      <c r="J5" s="153"/>
      <c r="K5" s="153"/>
    </row>
    <row r="6" spans="1:12" ht="15.75">
      <c r="A6" s="167"/>
      <c r="B6" s="167"/>
      <c r="C6" s="68" t="s">
        <v>140</v>
      </c>
      <c r="D6" s="68" t="s">
        <v>141</v>
      </c>
      <c r="E6" s="68" t="s">
        <v>142</v>
      </c>
      <c r="F6" s="68" t="s">
        <v>140</v>
      </c>
      <c r="G6" s="68" t="s">
        <v>141</v>
      </c>
      <c r="H6" s="68" t="s">
        <v>142</v>
      </c>
      <c r="I6" s="68" t="s">
        <v>140</v>
      </c>
      <c r="J6" s="68" t="s">
        <v>141</v>
      </c>
      <c r="K6" s="68" t="s">
        <v>142</v>
      </c>
    </row>
    <row r="7" spans="1:12" ht="15">
      <c r="A7" s="154" t="s">
        <v>143</v>
      </c>
      <c r="B7" s="155"/>
      <c r="C7" s="69">
        <f>SUMIFS(Budgeted_Data!$E:$E,Budgeted_Data!$B:$B,'E-Mail_Copy'!$B$4)</f>
        <v>0</v>
      </c>
      <c r="D7" s="70">
        <f>SUMIFS(Data_Entry!$T:$T,Data_Entry!$C:$C,'E-Mail_Copy'!$B$4)</f>
        <v>11279.9999999999</v>
      </c>
      <c r="E7" s="71" t="e">
        <f>(D7-C7)/C7</f>
        <v>#DIV/0!</v>
      </c>
      <c r="F7" s="69">
        <f>SUMIFS(Budgeted_Data!$E:$E,Budgeted_Data!$B:$B,"&gt;="&amp;'E-Mail_Copy'!$B$3,Budgeted_Data!$B:$B,"&lt;="&amp;'E-Mail_Copy'!$B$4)</f>
        <v>0</v>
      </c>
      <c r="G7" s="70">
        <f>SUMIFS(Data_Entry!$T:$T,Data_Entry!$C:$C,"&gt;="&amp;'E-Mail_Copy'!$B$3,Data_Entry!$C:$C,"&lt;="&amp;'E-Mail_Copy'!$B$4)</f>
        <v>57300.000000000298</v>
      </c>
      <c r="H7" s="71" t="e">
        <f>(G7-F7)/F7</f>
        <v>#DIV/0!</v>
      </c>
      <c r="I7" s="72">
        <f>SUMIFS(Budgeted_Data!$E:$E,Budgeted_Data!$B:$B,"&gt;="&amp;'E-Mail_Copy'!$C$3,Budgeted_Data!$B:$B,"&lt;="&amp;'E-Mail_Copy'!$B$4)</f>
        <v>4242610.3322000001</v>
      </c>
      <c r="J7" s="70">
        <f>SUMIFS(Data_Entry!$T:$T,Data_Entry!$C:$C,"&gt;="&amp;'E-Mail_Copy'!$C$3,Data_Entry!$C:$C,"&lt;="&amp;'E-Mail_Copy'!$B$4)</f>
        <v>4662923</v>
      </c>
      <c r="K7" s="71">
        <f>(J7-I7)/I7</f>
        <v>9.9069354687128797E-2</v>
      </c>
    </row>
    <row r="8" spans="1:12" ht="18">
      <c r="A8" s="156" t="s">
        <v>144</v>
      </c>
      <c r="B8" s="157"/>
      <c r="C8" s="73">
        <f>SUMIFS(Budgeted_Data!$F:$F,Budgeted_Data!$B:$B,'E-Mail_Copy'!$B$4)</f>
        <v>0</v>
      </c>
      <c r="D8" s="74">
        <f>SUMIFS(Data_Entry!$V:$V,Data_Entry!$C:$C,'E-Mail_Copy'!B4)</f>
        <v>4.71</v>
      </c>
      <c r="E8" s="75" t="e">
        <f t="shared" ref="E8:E13" si="0">(D8-C8)/C8</f>
        <v>#DIV/0!</v>
      </c>
      <c r="F8" s="73">
        <f>SUMIFS(Budgeted_Data!$F:$F,Budgeted_Data!$B:$B,"&gt;="&amp;'E-Mail_Copy'!$B$3,Budgeted_Data!$B:$B,"&lt;="&amp;'E-Mail_Copy'!$B$4)</f>
        <v>0</v>
      </c>
      <c r="G8" s="74">
        <f>SUMIFS(Data_Entry!$V:$V,Data_Entry!$C:$C,"&gt;="&amp;'E-Mail_Copy'!$B$3,Data_Entry!$C:$C,"&lt;="&amp;'E-Mail_Copy'!$B$4)</f>
        <v>24.65</v>
      </c>
      <c r="H8" s="75" t="e">
        <f t="shared" ref="H8:H13" si="1">(G8-F8)/F8</f>
        <v>#DIV/0!</v>
      </c>
      <c r="I8" s="76">
        <f>SUMIFS(Budgeted_Data!$F:$F,Budgeted_Data!$B:$B,"&gt;="&amp;'E-Mail_Copy'!$C$3,Budgeted_Data!$B:$B,"&lt;="&amp;'E-Mail_Copy'!$B$4)</f>
        <v>2080.1764653999999</v>
      </c>
      <c r="J8" s="74">
        <f>SUMIFS(Data_Entry!$V:$V,Data_Entry!$C:$C,"&gt;="&amp;'E-Mail_Copy'!$C$3,Data_Entry!$C:$C,"&lt;="&amp;'E-Mail_Copy'!$B$4)</f>
        <v>1566.55</v>
      </c>
      <c r="K8" s="75">
        <f t="shared" ref="K8:K13" si="2">(J8-I8)/I8</f>
        <v>-0.24691485263065599</v>
      </c>
    </row>
    <row r="9" spans="1:12" ht="18">
      <c r="A9" s="156" t="s">
        <v>145</v>
      </c>
      <c r="B9" s="157"/>
      <c r="C9" s="73">
        <f>SUMIFS(Budgeted_Data!$G:$G,Budgeted_Data!$B:$B,'E-Mail_Copy'!$B$4)</f>
        <v>0</v>
      </c>
      <c r="D9" s="74">
        <f>SUMIFS(Data_Entry!$U:$U,Data_Entry!$C:$C,'E-Mail_Copy'!$B$4)</f>
        <v>0</v>
      </c>
      <c r="E9" s="75" t="e">
        <f t="shared" si="0"/>
        <v>#DIV/0!</v>
      </c>
      <c r="F9" s="73">
        <f>SUMIFS(Budgeted_Data!$G:$G,Budgeted_Data!$B:$B,"&gt;="&amp;'E-Mail_Copy'!$B$3,Budgeted_Data!$B:$B,"&lt;="&amp;'E-Mail_Copy'!$B$4)</f>
        <v>0</v>
      </c>
      <c r="G9" s="74">
        <f>SUMIFS(Data_Entry!$U:$U,Data_Entry!$C:$C,"&gt;="&amp;'E-Mail_Copy'!$B$3,Data_Entry!$C:$C,"&lt;="&amp;'E-Mail_Copy'!$B$4)</f>
        <v>0</v>
      </c>
      <c r="H9" s="75" t="e">
        <f t="shared" si="1"/>
        <v>#DIV/0!</v>
      </c>
      <c r="I9" s="76">
        <f>SUMIFS(Budgeted_Data!$G:$G,Budgeted_Data!$B:$B,"&gt;="&amp;'E-Mail_Copy'!$C$3,Budgeted_Data!$B:$B,"&lt;="&amp;'E-Mail_Copy'!$B$4)</f>
        <v>2008.2426673</v>
      </c>
      <c r="J9" s="74">
        <f>SUMIFS(Data_Entry!$U:$U,Data_Entry!$C:$C,"&gt;="&amp;'E-Mail_Copy'!$C$3,Data_Entry!$C:$C,"&lt;="&amp;'E-Mail_Copy'!$B$4)</f>
        <v>3.9</v>
      </c>
      <c r="K9" s="75">
        <f t="shared" si="2"/>
        <v>-0.99805800361504904</v>
      </c>
    </row>
    <row r="10" spans="1:12" ht="15">
      <c r="A10" s="156" t="s">
        <v>146</v>
      </c>
      <c r="B10" s="157"/>
      <c r="C10" s="77" t="e">
        <f>C7/C8/H4</f>
        <v>#DIV/0!</v>
      </c>
      <c r="D10" s="77">
        <f>D7/D8/H4</f>
        <v>0.99329116354443403</v>
      </c>
      <c r="E10" s="75" t="e">
        <f t="shared" si="0"/>
        <v>#DIV/0!</v>
      </c>
      <c r="F10" s="77" t="e">
        <f>F7/F8/H4/(B4-B3+1)</f>
        <v>#DIV/0!</v>
      </c>
      <c r="G10" s="77">
        <f>G7/G8/H4/(B4-B3+1)</f>
        <v>0.19282177369043599</v>
      </c>
      <c r="H10" s="75" t="e">
        <f t="shared" si="1"/>
        <v>#DIV/0!</v>
      </c>
      <c r="I10" s="78">
        <f>I7/I8/H4/(($B$4-$C$3)+1)</f>
        <v>1.9626555014194001E-3</v>
      </c>
      <c r="J10" s="78">
        <f>J7/J8/H4/(($B$4-$C$3)+1)</f>
        <v>2.8643434583104799E-3</v>
      </c>
      <c r="K10" s="75">
        <f t="shared" si="2"/>
        <v>0.45942242856118898</v>
      </c>
    </row>
    <row r="11" spans="1:12" ht="15">
      <c r="A11" s="156" t="s">
        <v>147</v>
      </c>
      <c r="B11" s="157"/>
      <c r="C11" s="77">
        <f>C7/E4/24</f>
        <v>0</v>
      </c>
      <c r="D11" s="79">
        <f>D7/24/E4</f>
        <v>0.24415584415584299</v>
      </c>
      <c r="E11" s="75" t="e">
        <f t="shared" si="0"/>
        <v>#DIV/0!</v>
      </c>
      <c r="F11" s="77">
        <f>F7/24/E4/(B4-B3+1)</f>
        <v>0</v>
      </c>
      <c r="G11" s="79">
        <f>G7/24/E4/(B4-B3+1)</f>
        <v>0.24805194805194899</v>
      </c>
      <c r="H11" s="75" t="e">
        <f t="shared" si="1"/>
        <v>#DIV/0!</v>
      </c>
      <c r="I11" s="78">
        <f>I7/24/$E$4/(($B$4-$C$3)+1)</f>
        <v>0.21306587580478301</v>
      </c>
      <c r="J11" s="78">
        <f>J7/24/$E$4/(($B$4-$C$3)+1)</f>
        <v>0.234174174626611</v>
      </c>
      <c r="K11" s="75">
        <f t="shared" si="2"/>
        <v>9.90693546871287E-2</v>
      </c>
    </row>
    <row r="12" spans="1:12" ht="15">
      <c r="A12" s="156" t="s">
        <v>34</v>
      </c>
      <c r="B12" s="157"/>
      <c r="C12" s="73" t="e">
        <f>AVERAGEIFS(Budgeted_Data!$L:$L,Budgeted_Data!$B:$B,'E-Mail_Copy'!$B$4)</f>
        <v>#DIV/0!</v>
      </c>
      <c r="D12" s="74" t="e">
        <f>AVERAGEIFS(Data_Entry!$Y:$Y,Data_Entry!$C:$C,'E-Mail_Copy'!$B$4)</f>
        <v>#DIV/0!</v>
      </c>
      <c r="E12" s="75" t="e">
        <f t="shared" si="0"/>
        <v>#DIV/0!</v>
      </c>
      <c r="F12" s="73" t="e">
        <f>AVERAGEIFS(Budgeted_Data!$L:$L,Budgeted_Data!$B:$B,"&gt;="&amp;'E-Mail_Copy'!$B$3,Budgeted_Data!$B:$B,"&lt;="&amp;'E-Mail_Copy'!$B$4)</f>
        <v>#DIV/0!</v>
      </c>
      <c r="G12" s="74" t="e">
        <f>AVERAGEIFS(Data_Entry!$Y:$Y,Data_Entry!$C:$C,"&gt;="&amp;'E-Mail_Copy'!$B$3,Data_Entry!$C:$C,"&lt;="&amp;'E-Mail_Copy'!$B$4)</f>
        <v>#DIV/0!</v>
      </c>
      <c r="H12" s="75" t="e">
        <f t="shared" si="1"/>
        <v>#DIV/0!</v>
      </c>
      <c r="I12" s="73">
        <f>AVERAGEIFS(Budgeted_Data!$L:$L,Budgeted_Data!$B:$B,"&gt;="&amp;'E-Mail_Copy'!$C$3,Budgeted_Data!$B:$B,"&lt;="&amp;'E-Mail_Copy'!$B$4)</f>
        <v>20.137913584474902</v>
      </c>
      <c r="J12" s="74" t="e">
        <f>AVERAGEIFS(Data_Entry!$Y:$Y,Data_Entry!$C:$C,"&gt;="&amp;'E-Mail_Copy'!$C$3,Data_Entry!$C:$C,"&lt;="&amp;'E-Mail_Copy'!$B$4)</f>
        <v>#DIV/0!</v>
      </c>
      <c r="K12" s="75" t="e">
        <f t="shared" si="2"/>
        <v>#DIV/0!</v>
      </c>
    </row>
    <row r="13" spans="1:12" ht="18">
      <c r="A13" s="158" t="s">
        <v>148</v>
      </c>
      <c r="B13" s="159"/>
      <c r="C13" s="80" t="e">
        <f>AVERAGEIFS(Budgeted_Data!$H:$H,Budgeted_Data!$B:$B,'E-Mail_Copy'!$B$4)</f>
        <v>#DIV/0!</v>
      </c>
      <c r="D13" s="81">
        <f>AVERAGEIFS(Data_Entry!$W:$W,Data_Entry!$C:$C,'E-Mail_Copy'!$B$4)</f>
        <v>33.03</v>
      </c>
      <c r="E13" s="82" t="e">
        <f t="shared" si="0"/>
        <v>#DIV/0!</v>
      </c>
      <c r="F13" s="80" t="e">
        <f>AVERAGEIFS(Budgeted_Data!$H:$H,Budgeted_Data!$B:$B,"&gt;="&amp;'E-Mail_Copy'!$B$3,Budgeted_Data!$B:$B,"&lt;="&amp;'E-Mail_Copy'!$B$4)</f>
        <v>#DIV/0!</v>
      </c>
      <c r="G13" s="81">
        <f>AVERAGEIFS(Data_Entry!$W:$W,Data_Entry!$C:$C,"&gt;="&amp;'E-Mail_Copy'!$B$3,Data_Entry!$C:$C,"&lt;="&amp;'E-Mail_Copy'!$B$4)</f>
        <v>33.097999999999999</v>
      </c>
      <c r="H13" s="82" t="e">
        <f t="shared" si="1"/>
        <v>#DIV/0!</v>
      </c>
      <c r="I13" s="83">
        <f>AVERAGEIFS(Budgeted_Data!$H:$H,Budgeted_Data!$B:$B,"&gt;="&amp;'E-Mail_Copy'!$C$3,Budgeted_Data!$B:$B,"&lt;="&amp;'E-Mail_Copy'!$B$4)</f>
        <v>27.271038812785399</v>
      </c>
      <c r="J13" s="81">
        <f>AVERAGEIFS(Data_Entry!$W:$W,Data_Entry!$C:$C,"&gt;="&amp;'E-Mail_Copy'!$C$3,Data_Entry!$C:$C,"&lt;="&amp;'E-Mail_Copy'!$B$4)</f>
        <v>26.9907650273224</v>
      </c>
      <c r="K13" s="82">
        <f t="shared" si="2"/>
        <v>-1.02773417392355E-2</v>
      </c>
    </row>
    <row r="14" spans="1:12">
      <c r="C14" s="57" t="s">
        <v>43</v>
      </c>
    </row>
    <row r="17" spans="9:9">
      <c r="I17" s="84"/>
    </row>
  </sheetData>
  <sheetProtection algorithmName="SHA-512" hashValue="pwxlYEe7DmhiINg/pAIpsSfsaYIUDnl507iIaGi7X0W80tyZPQeJj9kg+l3kLv9QFAtk83MAuh9FrOCxROjwuA==" saltValue="UFea0z3hfQRtD+yFEMWN3A==" spinCount="100000" sheet="1" objects="1" scenarios="1"/>
  <protectedRanges>
    <protectedRange sqref="L3" name="Range1"/>
  </protectedRanges>
  <mergeCells count="15">
    <mergeCell ref="A12:B12"/>
    <mergeCell ref="A13:B13"/>
    <mergeCell ref="A1:K2"/>
    <mergeCell ref="A5:B6"/>
    <mergeCell ref="A7:B7"/>
    <mergeCell ref="A8:B8"/>
    <mergeCell ref="A9:B9"/>
    <mergeCell ref="A10:B10"/>
    <mergeCell ref="A11:B11"/>
    <mergeCell ref="C4:D4"/>
    <mergeCell ref="F4:G4"/>
    <mergeCell ref="I4:J4"/>
    <mergeCell ref="C5:E5"/>
    <mergeCell ref="F5:H5"/>
    <mergeCell ref="I5:K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1000"/>
  <sheetViews>
    <sheetView workbookViewId="0">
      <pane xSplit="2" ySplit="2" topLeftCell="K361" activePane="bottomRight" state="frozen"/>
      <selection pane="topRight"/>
      <selection pane="bottomLeft"/>
      <selection pane="bottomRight" activeCell="U373" sqref="U373"/>
    </sheetView>
  </sheetViews>
  <sheetFormatPr defaultColWidth="12" defaultRowHeight="15" customHeight="1"/>
  <cols>
    <col min="1" max="1" width="11.625" customWidth="1"/>
    <col min="2" max="2" width="8.875" customWidth="1"/>
    <col min="3" max="3" width="12.625" customWidth="1"/>
    <col min="4" max="4" width="11.25" customWidth="1"/>
    <col min="5" max="5" width="16.125" customWidth="1"/>
    <col min="6" max="6" width="16" customWidth="1"/>
    <col min="7" max="7" width="16.25" customWidth="1"/>
    <col min="8" max="8" width="11.375" style="51" customWidth="1"/>
    <col min="9" max="9" width="12.375" customWidth="1"/>
    <col min="10" max="10" width="9.25" customWidth="1"/>
    <col min="11" max="11" width="8.25" customWidth="1"/>
    <col min="12" max="12" width="16.625" customWidth="1"/>
    <col min="13" max="13" width="29.75" customWidth="1"/>
    <col min="14" max="14" width="25.625" customWidth="1"/>
    <col min="15" max="15" width="19.25" customWidth="1"/>
    <col min="16" max="16" width="30.25" customWidth="1"/>
    <col min="17" max="17" width="5.375" customWidth="1"/>
    <col min="18" max="18" width="8.25" customWidth="1"/>
    <col min="19" max="19" width="35.75" customWidth="1"/>
    <col min="20" max="27" width="14.375" customWidth="1"/>
  </cols>
  <sheetData>
    <row r="1" spans="1:19" ht="14.25" customHeight="1">
      <c r="A1" s="42" t="s">
        <v>149</v>
      </c>
      <c r="B1" s="42"/>
      <c r="C1" s="42"/>
      <c r="D1" s="42"/>
      <c r="E1" s="42"/>
      <c r="F1" s="42"/>
      <c r="G1" s="42"/>
      <c r="H1" s="5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19" ht="14.25" customHeight="1">
      <c r="A2" s="53" t="s">
        <v>2</v>
      </c>
      <c r="B2" s="53" t="s">
        <v>1</v>
      </c>
      <c r="C2" s="53" t="s">
        <v>150</v>
      </c>
      <c r="D2" s="53" t="s">
        <v>151</v>
      </c>
      <c r="E2" s="53" t="s">
        <v>152</v>
      </c>
      <c r="F2" s="53" t="s">
        <v>153</v>
      </c>
      <c r="G2" s="53" t="s">
        <v>154</v>
      </c>
      <c r="H2" s="54" t="s">
        <v>155</v>
      </c>
      <c r="I2" s="55" t="s">
        <v>156</v>
      </c>
      <c r="J2" s="55" t="s">
        <v>157</v>
      </c>
      <c r="K2" s="53" t="s">
        <v>158</v>
      </c>
      <c r="L2" s="53" t="s">
        <v>159</v>
      </c>
      <c r="M2" s="53" t="s">
        <v>160</v>
      </c>
      <c r="N2" s="53" t="s">
        <v>161</v>
      </c>
      <c r="O2" s="53" t="s">
        <v>162</v>
      </c>
      <c r="P2" s="53" t="s">
        <v>163</v>
      </c>
      <c r="Q2" s="53" t="s">
        <v>164</v>
      </c>
      <c r="R2" s="53" t="s">
        <v>165</v>
      </c>
      <c r="S2" s="53" t="s">
        <v>166</v>
      </c>
    </row>
    <row r="3" spans="1:19" ht="14.25" customHeight="1">
      <c r="A3" s="18">
        <v>45747</v>
      </c>
      <c r="B3" s="19">
        <v>45747</v>
      </c>
      <c r="C3" s="21"/>
      <c r="D3" s="21"/>
      <c r="E3" s="21"/>
      <c r="F3" s="21"/>
      <c r="G3" s="21"/>
      <c r="H3" s="32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ht="14.25" customHeight="1">
      <c r="A4" s="18">
        <v>45748</v>
      </c>
      <c r="B4" s="19">
        <v>45748</v>
      </c>
      <c r="C4" s="21"/>
      <c r="D4" s="21"/>
      <c r="E4" s="21"/>
      <c r="F4" s="21"/>
      <c r="G4" s="21"/>
      <c r="H4" s="32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ht="14.25" customHeight="1">
      <c r="A5" s="18">
        <v>45749</v>
      </c>
      <c r="B5" s="19">
        <v>45749</v>
      </c>
      <c r="C5" s="21"/>
      <c r="D5" s="21"/>
      <c r="E5" s="21"/>
      <c r="F5" s="21"/>
      <c r="G5" s="21"/>
      <c r="H5" s="32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ht="14.25" customHeight="1">
      <c r="A6" s="18">
        <v>45750</v>
      </c>
      <c r="B6" s="19">
        <v>45750</v>
      </c>
      <c r="C6" s="21"/>
      <c r="D6" s="21"/>
      <c r="E6" s="21"/>
      <c r="F6" s="21"/>
      <c r="G6" s="21"/>
      <c r="H6" s="32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ht="14.25" customHeight="1">
      <c r="A7" s="18">
        <v>45751</v>
      </c>
      <c r="B7" s="19">
        <v>45751</v>
      </c>
      <c r="C7" s="21"/>
      <c r="D7" s="21"/>
      <c r="E7" s="21"/>
      <c r="F7" s="21"/>
      <c r="G7" s="21"/>
      <c r="H7" s="32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19" ht="14.25" customHeight="1">
      <c r="A8" s="18">
        <v>45752</v>
      </c>
      <c r="B8" s="19">
        <v>45752</v>
      </c>
      <c r="C8" s="21"/>
      <c r="D8" s="21"/>
      <c r="E8" s="21"/>
      <c r="F8" s="21"/>
      <c r="G8" s="21"/>
      <c r="H8" s="32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ht="14.25" customHeight="1">
      <c r="A9" s="18">
        <v>45753</v>
      </c>
      <c r="B9" s="19">
        <v>45753</v>
      </c>
      <c r="C9" s="21"/>
      <c r="D9" s="21"/>
      <c r="E9" s="21"/>
      <c r="F9" s="21"/>
      <c r="G9" s="21"/>
      <c r="H9" s="32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 ht="14.25" customHeight="1">
      <c r="A10" s="18">
        <v>45754</v>
      </c>
      <c r="B10" s="19">
        <v>45754</v>
      </c>
      <c r="C10" s="21"/>
      <c r="D10" s="21"/>
      <c r="E10" s="21"/>
      <c r="F10" s="21"/>
      <c r="G10" s="21"/>
      <c r="H10" s="32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spans="1:19" ht="14.25" customHeight="1">
      <c r="A11" s="18">
        <v>45755</v>
      </c>
      <c r="B11" s="19">
        <v>45755</v>
      </c>
      <c r="C11" s="21"/>
      <c r="D11" s="21"/>
      <c r="E11" s="21"/>
      <c r="F11" s="21"/>
      <c r="G11" s="21"/>
      <c r="H11" s="32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spans="1:19" ht="14.25" customHeight="1">
      <c r="A12" s="18">
        <v>45756</v>
      </c>
      <c r="B12" s="19">
        <v>45756</v>
      </c>
      <c r="C12" s="21"/>
      <c r="D12" s="21"/>
      <c r="E12" s="21"/>
      <c r="F12" s="21"/>
      <c r="G12" s="21"/>
      <c r="H12" s="32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19" ht="14.25" customHeight="1">
      <c r="A13" s="18">
        <v>45757</v>
      </c>
      <c r="B13" s="19">
        <v>45757</v>
      </c>
      <c r="C13" s="21"/>
      <c r="D13" s="21"/>
      <c r="E13" s="21"/>
      <c r="F13" s="21"/>
      <c r="G13" s="21"/>
      <c r="H13" s="32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spans="1:19" ht="14.25" customHeight="1">
      <c r="A14" s="18">
        <v>45758</v>
      </c>
      <c r="B14" s="19">
        <v>45758</v>
      </c>
      <c r="C14" s="21"/>
      <c r="D14" s="21"/>
      <c r="E14" s="21"/>
      <c r="F14" s="21"/>
      <c r="G14" s="21"/>
      <c r="H14" s="32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 ht="14.25" customHeight="1">
      <c r="A15" s="18">
        <v>45759</v>
      </c>
      <c r="B15" s="19">
        <v>45759</v>
      </c>
      <c r="C15" s="21"/>
      <c r="D15" s="21"/>
      <c r="E15" s="21"/>
      <c r="F15" s="21"/>
      <c r="G15" s="21"/>
      <c r="H15" s="32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 ht="14.25" customHeight="1">
      <c r="A16" s="18">
        <v>45760</v>
      </c>
      <c r="B16" s="19">
        <v>45760</v>
      </c>
      <c r="C16" s="21"/>
      <c r="D16" s="21"/>
      <c r="E16" s="21"/>
      <c r="F16" s="21"/>
      <c r="G16" s="21"/>
      <c r="H16" s="32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 ht="14.25" customHeight="1">
      <c r="A17" s="18">
        <v>45761</v>
      </c>
      <c r="B17" s="19">
        <v>45761</v>
      </c>
      <c r="C17" s="21"/>
      <c r="D17" s="21"/>
      <c r="E17" s="21"/>
      <c r="F17" s="21"/>
      <c r="G17" s="21"/>
      <c r="H17" s="32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ht="14.25" customHeight="1">
      <c r="A18" s="18">
        <v>45762</v>
      </c>
      <c r="B18" s="19">
        <v>45762</v>
      </c>
      <c r="C18" s="21"/>
      <c r="D18" s="21"/>
      <c r="E18" s="21"/>
      <c r="F18" s="21"/>
      <c r="G18" s="21"/>
      <c r="H18" s="32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 ht="14.25" customHeight="1">
      <c r="A19" s="18">
        <v>45763</v>
      </c>
      <c r="B19" s="19">
        <v>45763</v>
      </c>
      <c r="C19" s="21"/>
      <c r="D19" s="21"/>
      <c r="E19" s="21"/>
      <c r="F19" s="21"/>
      <c r="G19" s="21"/>
      <c r="H19" s="32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ht="14.25" customHeight="1">
      <c r="A20" s="18">
        <v>45764</v>
      </c>
      <c r="B20" s="19">
        <v>45764</v>
      </c>
      <c r="C20" s="21"/>
      <c r="D20" s="21"/>
      <c r="E20" s="21"/>
      <c r="F20" s="21"/>
      <c r="G20" s="21"/>
      <c r="H20" s="32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 ht="14.25" customHeight="1">
      <c r="A21" s="18">
        <v>45765</v>
      </c>
      <c r="B21" s="19">
        <v>45765</v>
      </c>
      <c r="C21" s="21"/>
      <c r="D21" s="21"/>
      <c r="E21" s="21"/>
      <c r="F21" s="21"/>
      <c r="G21" s="21"/>
      <c r="H21" s="32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ht="14.25" customHeight="1">
      <c r="A22" s="18">
        <v>45766</v>
      </c>
      <c r="B22" s="19">
        <v>45766</v>
      </c>
      <c r="C22" s="21"/>
      <c r="D22" s="21"/>
      <c r="E22" s="21"/>
      <c r="F22" s="21"/>
      <c r="G22" s="21"/>
      <c r="H22" s="32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 ht="14.25" customHeight="1">
      <c r="A23" s="18">
        <v>45767</v>
      </c>
      <c r="B23" s="19">
        <v>45767</v>
      </c>
      <c r="C23" s="21"/>
      <c r="D23" s="21"/>
      <c r="E23" s="21"/>
      <c r="F23" s="21"/>
      <c r="G23" s="21"/>
      <c r="H23" s="32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1:19" ht="14.25" customHeight="1">
      <c r="A24" s="18">
        <v>45768</v>
      </c>
      <c r="B24" s="19">
        <v>45768</v>
      </c>
      <c r="C24" s="21"/>
      <c r="D24" s="21"/>
      <c r="E24" s="21"/>
      <c r="F24" s="21"/>
      <c r="G24" s="21"/>
      <c r="H24" s="32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1:19" ht="14.25" customHeight="1">
      <c r="A25" s="18">
        <v>45769</v>
      </c>
      <c r="B25" s="19">
        <v>45769</v>
      </c>
      <c r="C25" s="21"/>
      <c r="D25" s="21"/>
      <c r="E25" s="21"/>
      <c r="F25" s="21"/>
      <c r="G25" s="21"/>
      <c r="H25" s="32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spans="1:19" ht="14.25" customHeight="1">
      <c r="A26" s="18">
        <v>45770</v>
      </c>
      <c r="B26" s="19">
        <v>45770</v>
      </c>
      <c r="C26" s="21" t="s">
        <v>167</v>
      </c>
      <c r="D26" s="21" t="s">
        <v>168</v>
      </c>
      <c r="E26" s="56">
        <v>0.48263888888888901</v>
      </c>
      <c r="F26" s="56">
        <v>0.51736111111111105</v>
      </c>
      <c r="G26" s="56">
        <v>3.4722222222222203E-2</v>
      </c>
      <c r="H26" s="32">
        <v>2411</v>
      </c>
      <c r="I26" s="21"/>
      <c r="J26" s="21"/>
      <c r="K26" s="21"/>
      <c r="L26" s="21"/>
      <c r="M26" s="21" t="s">
        <v>169</v>
      </c>
      <c r="N26" s="21"/>
      <c r="O26" s="21"/>
      <c r="P26" s="21" t="s">
        <v>170</v>
      </c>
      <c r="Q26" s="21"/>
      <c r="R26" s="21"/>
      <c r="S26" s="21" t="s">
        <v>171</v>
      </c>
    </row>
    <row r="27" spans="1:19" ht="14.25" customHeight="1">
      <c r="A27" s="18">
        <v>45771</v>
      </c>
      <c r="B27" s="19">
        <v>45771</v>
      </c>
      <c r="C27" s="21" t="s">
        <v>167</v>
      </c>
      <c r="D27" s="21" t="s">
        <v>168</v>
      </c>
      <c r="E27" s="56">
        <v>0.48958333333333298</v>
      </c>
      <c r="F27" s="56">
        <v>0.52430555555555602</v>
      </c>
      <c r="G27" s="56">
        <v>2.7777777777777801E-2</v>
      </c>
      <c r="H27" s="32">
        <v>2411</v>
      </c>
      <c r="I27" s="21"/>
      <c r="J27" s="21"/>
      <c r="K27" s="21"/>
      <c r="L27" s="21"/>
      <c r="M27" s="21" t="s">
        <v>169</v>
      </c>
      <c r="N27" s="21"/>
      <c r="O27" s="21"/>
      <c r="P27" s="21" t="s">
        <v>170</v>
      </c>
      <c r="Q27" s="21"/>
      <c r="R27" s="21"/>
      <c r="S27" s="21" t="s">
        <v>171</v>
      </c>
    </row>
    <row r="28" spans="1:19" ht="14.25" customHeight="1">
      <c r="A28" s="18">
        <v>45772</v>
      </c>
      <c r="B28" s="19">
        <v>45772</v>
      </c>
      <c r="C28" s="21"/>
      <c r="D28" s="21"/>
      <c r="E28" s="21"/>
      <c r="F28" s="21"/>
      <c r="G28" s="21"/>
      <c r="H28" s="32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1:19" ht="14.25" customHeight="1">
      <c r="A29" s="18">
        <v>45773</v>
      </c>
      <c r="B29" s="19">
        <v>45773</v>
      </c>
      <c r="C29" s="21"/>
      <c r="D29" s="21"/>
      <c r="E29" s="21"/>
      <c r="F29" s="21"/>
      <c r="G29" s="21"/>
      <c r="H29" s="32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1:19" ht="14.25" customHeight="1">
      <c r="A30" s="18">
        <v>45774</v>
      </c>
      <c r="B30" s="19">
        <v>45774</v>
      </c>
      <c r="C30" s="21"/>
      <c r="D30" s="21"/>
      <c r="E30" s="21"/>
      <c r="F30" s="21"/>
      <c r="G30" s="21"/>
      <c r="H30" s="32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spans="1:19" ht="14.25" customHeight="1">
      <c r="A31" s="18">
        <v>45775</v>
      </c>
      <c r="B31" s="19">
        <v>45775</v>
      </c>
      <c r="C31" s="21"/>
      <c r="D31" s="21"/>
      <c r="E31" s="21"/>
      <c r="F31" s="21"/>
      <c r="G31" s="21"/>
      <c r="H31" s="32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1:19" ht="14.25" customHeight="1">
      <c r="A32" s="18">
        <v>45776</v>
      </c>
      <c r="B32" s="19">
        <v>45776</v>
      </c>
      <c r="C32" s="21"/>
      <c r="D32" s="21"/>
      <c r="E32" s="21"/>
      <c r="F32" s="21"/>
      <c r="G32" s="21"/>
      <c r="H32" s="32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ht="14.25" customHeight="1">
      <c r="A33" s="18">
        <v>45777</v>
      </c>
      <c r="B33" s="19">
        <v>45777</v>
      </c>
      <c r="C33" s="21"/>
      <c r="D33" s="21"/>
      <c r="E33" s="21"/>
      <c r="F33" s="21"/>
      <c r="G33" s="21"/>
      <c r="H33" s="32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ht="14.25" customHeight="1">
      <c r="A34" s="18">
        <v>45778</v>
      </c>
      <c r="B34" s="19">
        <v>45778</v>
      </c>
      <c r="C34" s="21"/>
      <c r="D34" s="21"/>
      <c r="E34" s="21"/>
      <c r="F34" s="21"/>
      <c r="G34" s="21"/>
      <c r="H34" s="32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 ht="14.25" customHeight="1">
      <c r="A35" s="18">
        <v>45779</v>
      </c>
      <c r="B35" s="19">
        <v>45779</v>
      </c>
      <c r="C35" s="21"/>
      <c r="D35" s="21"/>
      <c r="E35" s="21"/>
      <c r="F35" s="21"/>
      <c r="G35" s="21"/>
      <c r="H35" s="32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 ht="14.25" customHeight="1">
      <c r="A36" s="18">
        <v>45780</v>
      </c>
      <c r="B36" s="19">
        <v>45780</v>
      </c>
      <c r="C36" s="21"/>
      <c r="D36" s="21"/>
      <c r="E36" s="21"/>
      <c r="F36" s="21"/>
      <c r="G36" s="21"/>
      <c r="H36" s="32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ht="14.25" customHeight="1">
      <c r="A37" s="18">
        <v>45781</v>
      </c>
      <c r="B37" s="19">
        <v>45781</v>
      </c>
      <c r="C37" s="21"/>
      <c r="D37" s="21"/>
      <c r="E37" s="21"/>
      <c r="F37" s="21"/>
      <c r="G37" s="21"/>
      <c r="H37" s="32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 ht="14.25" customHeight="1">
      <c r="A38" s="18">
        <v>45782</v>
      </c>
      <c r="B38" s="19">
        <v>45782</v>
      </c>
      <c r="C38" s="21"/>
      <c r="D38" s="21"/>
      <c r="E38" s="21"/>
      <c r="F38" s="21"/>
      <c r="G38" s="21"/>
      <c r="H38" s="32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 ht="14.25" customHeight="1">
      <c r="A39" s="18">
        <v>45783</v>
      </c>
      <c r="B39" s="19">
        <v>45783</v>
      </c>
      <c r="C39" s="21"/>
      <c r="D39" s="21"/>
      <c r="E39" s="21"/>
      <c r="F39" s="21"/>
      <c r="G39" s="21"/>
      <c r="H39" s="32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 ht="14.25" customHeight="1">
      <c r="A40" s="18">
        <v>45784</v>
      </c>
      <c r="B40" s="19">
        <v>45784</v>
      </c>
      <c r="C40" s="21"/>
      <c r="D40" s="21"/>
      <c r="E40" s="21"/>
      <c r="F40" s="21"/>
      <c r="G40" s="21"/>
      <c r="H40" s="32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 spans="1:19" ht="14.25" customHeight="1">
      <c r="A41" s="18">
        <v>45785</v>
      </c>
      <c r="B41" s="19">
        <v>45785</v>
      </c>
      <c r="C41" s="21"/>
      <c r="D41" s="21"/>
      <c r="E41" s="21"/>
      <c r="F41" s="21"/>
      <c r="G41" s="21"/>
      <c r="H41" s="32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 spans="1:19" ht="14.25" customHeight="1">
      <c r="A42" s="18">
        <v>45786</v>
      </c>
      <c r="B42" s="19">
        <v>45786</v>
      </c>
      <c r="C42" s="21"/>
      <c r="D42" s="21"/>
      <c r="E42" s="21"/>
      <c r="F42" s="21"/>
      <c r="G42" s="21"/>
      <c r="H42" s="32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</row>
    <row r="43" spans="1:19" ht="14.25" customHeight="1">
      <c r="A43" s="18">
        <v>45787</v>
      </c>
      <c r="B43" s="19">
        <v>45787</v>
      </c>
      <c r="C43" s="21"/>
      <c r="D43" s="21"/>
      <c r="E43" s="21"/>
      <c r="F43" s="21"/>
      <c r="G43" s="21"/>
      <c r="H43" s="32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spans="1:19" ht="14.25" customHeight="1">
      <c r="A44" s="18">
        <v>45788</v>
      </c>
      <c r="B44" s="19">
        <v>45788</v>
      </c>
      <c r="C44" s="21"/>
      <c r="D44" s="21"/>
      <c r="E44" s="21"/>
      <c r="F44" s="21"/>
      <c r="G44" s="21"/>
      <c r="H44" s="32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 spans="1:19" ht="14.25" customHeight="1">
      <c r="A45" s="18">
        <v>45789</v>
      </c>
      <c r="B45" s="19">
        <v>45789</v>
      </c>
      <c r="C45" s="21"/>
      <c r="D45" s="21"/>
      <c r="E45" s="21"/>
      <c r="F45" s="21"/>
      <c r="G45" s="21"/>
      <c r="H45" s="32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</row>
    <row r="46" spans="1:19" ht="14.25" customHeight="1">
      <c r="A46" s="18">
        <v>45790</v>
      </c>
      <c r="B46" s="19">
        <v>45790</v>
      </c>
      <c r="C46" s="21"/>
      <c r="D46" s="21"/>
      <c r="E46" s="21"/>
      <c r="F46" s="21"/>
      <c r="G46" s="21"/>
      <c r="H46" s="32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19" ht="14.25" customHeight="1">
      <c r="A47" s="18">
        <v>45791</v>
      </c>
      <c r="B47" s="19">
        <v>45791</v>
      </c>
      <c r="C47" s="21"/>
      <c r="D47" s="21"/>
      <c r="E47" s="21"/>
      <c r="F47" s="21"/>
      <c r="G47" s="21"/>
      <c r="H47" s="32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</row>
    <row r="48" spans="1:19" ht="14.25" customHeight="1">
      <c r="A48" s="18">
        <v>45792</v>
      </c>
      <c r="B48" s="19">
        <v>45792</v>
      </c>
      <c r="C48" s="21"/>
      <c r="D48" s="21"/>
      <c r="E48" s="21"/>
      <c r="F48" s="21"/>
      <c r="G48" s="21"/>
      <c r="H48" s="32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</row>
    <row r="49" spans="1:19" ht="14.25" customHeight="1">
      <c r="A49" s="18">
        <v>45793</v>
      </c>
      <c r="B49" s="19">
        <v>45793</v>
      </c>
      <c r="C49" s="21"/>
      <c r="D49" s="21"/>
      <c r="E49" s="21"/>
      <c r="F49" s="21"/>
      <c r="G49" s="21"/>
      <c r="H49" s="32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 spans="1:19" ht="14.25" customHeight="1">
      <c r="A50" s="18">
        <v>45794</v>
      </c>
      <c r="B50" s="19">
        <v>45794</v>
      </c>
      <c r="C50" s="21"/>
      <c r="D50" s="21"/>
      <c r="E50" s="21"/>
      <c r="F50" s="21"/>
      <c r="G50" s="21"/>
      <c r="H50" s="32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1:19" ht="14.25" customHeight="1">
      <c r="A51" s="18">
        <v>45795</v>
      </c>
      <c r="B51" s="19">
        <v>45795</v>
      </c>
      <c r="C51" s="21"/>
      <c r="D51" s="21"/>
      <c r="E51" s="21"/>
      <c r="F51" s="21"/>
      <c r="G51" s="21"/>
      <c r="H51" s="32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spans="1:19" ht="14.25" customHeight="1">
      <c r="A52" s="18">
        <v>45796</v>
      </c>
      <c r="B52" s="19">
        <v>45796</v>
      </c>
      <c r="C52" s="21"/>
      <c r="D52" s="21"/>
      <c r="E52" s="21"/>
      <c r="F52" s="21"/>
      <c r="G52" s="21"/>
      <c r="H52" s="32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</row>
    <row r="53" spans="1:19" ht="14.25" customHeight="1">
      <c r="A53" s="18">
        <v>45797</v>
      </c>
      <c r="B53" s="19">
        <v>45797</v>
      </c>
      <c r="C53" s="21"/>
      <c r="D53" s="21"/>
      <c r="E53" s="21"/>
      <c r="F53" s="21"/>
      <c r="G53" s="21"/>
      <c r="H53" s="32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spans="1:19" ht="14.25" customHeight="1">
      <c r="A54" s="18">
        <v>45798</v>
      </c>
      <c r="B54" s="19">
        <v>45798</v>
      </c>
      <c r="C54" s="21"/>
      <c r="D54" s="21"/>
      <c r="E54" s="21"/>
      <c r="F54" s="21"/>
      <c r="G54" s="21"/>
      <c r="H54" s="32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</row>
    <row r="55" spans="1:19" ht="14.25" customHeight="1">
      <c r="A55" s="18">
        <v>45799</v>
      </c>
      <c r="B55" s="19">
        <v>45799</v>
      </c>
      <c r="C55" s="21"/>
      <c r="D55" s="21"/>
      <c r="E55" s="21"/>
      <c r="F55" s="21"/>
      <c r="G55" s="21"/>
      <c r="H55" s="32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spans="1:19" ht="14.25" customHeight="1">
      <c r="A56" s="18">
        <v>45800</v>
      </c>
      <c r="B56" s="19">
        <v>45800</v>
      </c>
    </row>
    <row r="57" spans="1:19" ht="14.25" customHeight="1">
      <c r="A57" s="18">
        <v>45801</v>
      </c>
      <c r="B57" s="19">
        <v>45801</v>
      </c>
    </row>
    <row r="58" spans="1:19" ht="14.25" customHeight="1">
      <c r="A58" s="18">
        <v>45802</v>
      </c>
      <c r="B58" s="19">
        <v>45802</v>
      </c>
      <c r="C58" s="21"/>
      <c r="D58" s="21"/>
      <c r="E58" s="21"/>
      <c r="F58" s="21"/>
      <c r="G58" s="21"/>
      <c r="H58" s="32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1:19" ht="14.25" customHeight="1">
      <c r="A59" s="18">
        <v>45803</v>
      </c>
      <c r="B59" s="19">
        <v>45803</v>
      </c>
      <c r="C59" s="21"/>
      <c r="D59" s="21"/>
      <c r="E59" s="21"/>
      <c r="F59" s="21"/>
      <c r="G59" s="21"/>
      <c r="H59" s="32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spans="1:19" ht="14.25" customHeight="1">
      <c r="A60" s="18">
        <v>45804</v>
      </c>
      <c r="B60" s="19">
        <v>45804</v>
      </c>
      <c r="C60" s="21"/>
      <c r="D60" s="21"/>
      <c r="E60" s="21"/>
      <c r="F60" s="21"/>
      <c r="G60" s="21"/>
      <c r="H60" s="32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1:19" ht="14.25" customHeight="1">
      <c r="A61" s="18">
        <v>45805</v>
      </c>
      <c r="B61" s="19">
        <v>45805</v>
      </c>
      <c r="C61" s="21"/>
      <c r="D61" s="21"/>
      <c r="E61" s="21"/>
      <c r="F61" s="21"/>
      <c r="G61" s="21"/>
      <c r="H61" s="32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</row>
    <row r="62" spans="1:19" ht="14.25" customHeight="1">
      <c r="A62" s="18">
        <v>45806</v>
      </c>
      <c r="B62" s="19">
        <v>45806</v>
      </c>
      <c r="C62" s="21"/>
      <c r="D62" s="21"/>
      <c r="E62" s="21"/>
      <c r="F62" s="21"/>
      <c r="G62" s="21"/>
      <c r="H62" s="32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spans="1:19" ht="14.25" customHeight="1">
      <c r="A63" s="18">
        <v>45807</v>
      </c>
      <c r="B63" s="19">
        <v>45807</v>
      </c>
      <c r="C63" s="21"/>
      <c r="D63" s="21"/>
      <c r="E63" s="21"/>
      <c r="F63" s="21"/>
      <c r="G63" s="21"/>
      <c r="H63" s="32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</row>
    <row r="64" spans="1:19" ht="14.25" customHeight="1">
      <c r="A64" s="18">
        <v>45808</v>
      </c>
      <c r="B64" s="19">
        <v>45808</v>
      </c>
      <c r="C64" s="21"/>
      <c r="D64" s="21"/>
      <c r="E64" s="21"/>
      <c r="F64" s="21"/>
      <c r="G64" s="21"/>
      <c r="H64" s="32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spans="1:19" ht="14.25" customHeight="1">
      <c r="A65" s="18">
        <v>45809</v>
      </c>
      <c r="B65" s="19">
        <v>45809</v>
      </c>
      <c r="C65" s="21"/>
      <c r="D65" s="21"/>
      <c r="E65" s="21"/>
      <c r="F65" s="21"/>
      <c r="G65" s="21"/>
      <c r="H65" s="32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 spans="1:19" ht="14.25" customHeight="1">
      <c r="A66" s="18">
        <v>45810</v>
      </c>
      <c r="B66" s="19">
        <v>45810</v>
      </c>
      <c r="C66" s="21"/>
      <c r="D66" s="21"/>
      <c r="E66" s="21"/>
      <c r="F66" s="21"/>
      <c r="G66" s="21"/>
      <c r="H66" s="32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</row>
    <row r="67" spans="1:19" ht="14.25" customHeight="1">
      <c r="A67" s="18">
        <v>45811</v>
      </c>
      <c r="B67" s="19">
        <v>45811</v>
      </c>
      <c r="C67" s="21"/>
      <c r="D67" s="21"/>
      <c r="E67" s="21"/>
      <c r="F67" s="21"/>
      <c r="G67" s="21"/>
      <c r="H67" s="32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spans="1:19" ht="14.25" customHeight="1">
      <c r="A68" s="18">
        <v>45812</v>
      </c>
      <c r="B68" s="19">
        <v>45812</v>
      </c>
      <c r="C68" s="21"/>
      <c r="D68" s="21"/>
      <c r="E68" s="21"/>
      <c r="F68" s="21"/>
      <c r="G68" s="21"/>
      <c r="H68" s="32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spans="1:19" ht="14.25" customHeight="1">
      <c r="A69" s="18">
        <v>45813</v>
      </c>
      <c r="B69" s="19">
        <v>45813</v>
      </c>
      <c r="C69" s="21"/>
      <c r="D69" s="21"/>
      <c r="E69" s="21"/>
      <c r="F69" s="21"/>
      <c r="G69" s="21"/>
      <c r="H69" s="32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spans="1:19" ht="14.25" customHeight="1">
      <c r="A70" s="18">
        <v>45814</v>
      </c>
      <c r="B70" s="19">
        <v>45814</v>
      </c>
      <c r="C70" s="21"/>
      <c r="D70" s="21"/>
      <c r="E70" s="21"/>
      <c r="F70" s="21"/>
      <c r="G70" s="21"/>
      <c r="H70" s="32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1:19" ht="14.25" customHeight="1">
      <c r="A71" s="18">
        <v>45815</v>
      </c>
      <c r="B71" s="19">
        <v>45815</v>
      </c>
      <c r="C71" s="21"/>
      <c r="D71" s="21"/>
      <c r="E71" s="21"/>
      <c r="F71" s="21"/>
      <c r="G71" s="21"/>
      <c r="H71" s="32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spans="1:19" ht="14.25" customHeight="1">
      <c r="A72" s="18">
        <v>45816</v>
      </c>
      <c r="B72" s="19">
        <v>45816</v>
      </c>
      <c r="C72" s="21"/>
      <c r="D72" s="21"/>
      <c r="E72" s="21"/>
      <c r="F72" s="21"/>
      <c r="G72" s="21"/>
      <c r="H72" s="32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spans="1:19" ht="14.25" customHeight="1">
      <c r="A73" s="18">
        <v>45817</v>
      </c>
      <c r="B73" s="19">
        <v>45817</v>
      </c>
      <c r="C73" s="21"/>
      <c r="D73" s="21"/>
      <c r="E73" s="21"/>
      <c r="F73" s="21"/>
      <c r="G73" s="21"/>
      <c r="H73" s="32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spans="1:19" ht="14.25" customHeight="1">
      <c r="A74" s="18">
        <v>45818</v>
      </c>
      <c r="B74" s="19">
        <v>45818</v>
      </c>
      <c r="C74" s="21"/>
      <c r="D74" s="21"/>
      <c r="E74" s="21"/>
      <c r="F74" s="21"/>
      <c r="G74" s="21"/>
      <c r="H74" s="32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</row>
    <row r="75" spans="1:19" ht="14.25" customHeight="1">
      <c r="A75" s="18">
        <v>45819</v>
      </c>
      <c r="B75" s="19">
        <v>45819</v>
      </c>
      <c r="C75" s="21"/>
      <c r="D75" s="21"/>
      <c r="E75" s="21"/>
      <c r="F75" s="21"/>
      <c r="G75" s="21"/>
      <c r="H75" s="32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</row>
    <row r="76" spans="1:19" ht="14.25" customHeight="1">
      <c r="A76" s="18">
        <v>45820</v>
      </c>
      <c r="B76" s="19">
        <v>45820</v>
      </c>
      <c r="C76" s="21"/>
      <c r="D76" s="21"/>
      <c r="E76" s="21"/>
      <c r="F76" s="21"/>
      <c r="G76" s="21"/>
      <c r="H76" s="32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</row>
    <row r="77" spans="1:19" ht="14.25" customHeight="1">
      <c r="A77" s="18">
        <v>45821</v>
      </c>
      <c r="B77" s="19">
        <v>45821</v>
      </c>
      <c r="C77" s="21"/>
      <c r="D77" s="21"/>
      <c r="E77" s="21"/>
      <c r="F77" s="21"/>
      <c r="G77" s="21"/>
      <c r="H77" s="32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</row>
    <row r="78" spans="1:19" ht="14.25" customHeight="1">
      <c r="A78" s="18">
        <v>45822</v>
      </c>
      <c r="B78" s="19">
        <v>45822</v>
      </c>
      <c r="C78" s="21"/>
      <c r="D78" s="21"/>
      <c r="E78" s="21"/>
      <c r="F78" s="21"/>
      <c r="G78" s="21"/>
      <c r="H78" s="32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</row>
    <row r="79" spans="1:19" ht="14.25" customHeight="1">
      <c r="A79" s="18">
        <v>45823</v>
      </c>
      <c r="B79" s="19">
        <v>45823</v>
      </c>
      <c r="C79" s="21"/>
      <c r="D79" s="21"/>
      <c r="E79" s="21"/>
      <c r="F79" s="21"/>
      <c r="G79" s="21"/>
      <c r="H79" s="32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</row>
    <row r="80" spans="1:19" ht="14.25" customHeight="1">
      <c r="A80" s="18">
        <v>45824</v>
      </c>
      <c r="B80" s="19">
        <v>45824</v>
      </c>
      <c r="C80" s="21"/>
      <c r="D80" s="21"/>
      <c r="E80" s="21"/>
      <c r="F80" s="21"/>
      <c r="G80" s="21"/>
      <c r="H80" s="32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</row>
    <row r="81" spans="1:19" ht="14.25" customHeight="1">
      <c r="A81" s="18">
        <v>45825</v>
      </c>
      <c r="B81" s="19">
        <v>45825</v>
      </c>
      <c r="C81" s="21"/>
      <c r="D81" s="21"/>
      <c r="E81" s="21"/>
      <c r="F81" s="21"/>
      <c r="G81" s="21"/>
      <c r="H81" s="32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spans="1:19" ht="14.25" customHeight="1">
      <c r="A82" s="18">
        <v>45826</v>
      </c>
      <c r="B82" s="19">
        <v>45826</v>
      </c>
      <c r="C82" s="21"/>
      <c r="D82" s="21"/>
      <c r="E82" s="21"/>
      <c r="F82" s="21"/>
      <c r="G82" s="21"/>
      <c r="H82" s="32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spans="1:19" ht="14.25" customHeight="1">
      <c r="A83" s="18">
        <v>45827</v>
      </c>
      <c r="B83" s="19">
        <v>45827</v>
      </c>
      <c r="C83" s="21"/>
      <c r="D83" s="21"/>
      <c r="E83" s="21"/>
      <c r="F83" s="21"/>
      <c r="G83" s="21"/>
      <c r="H83" s="32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</row>
    <row r="84" spans="1:19" ht="14.25" customHeight="1">
      <c r="A84" s="18">
        <v>45828</v>
      </c>
      <c r="B84" s="19">
        <v>45828</v>
      </c>
      <c r="C84" s="21"/>
      <c r="D84" s="21"/>
      <c r="E84" s="21"/>
      <c r="F84" s="21"/>
      <c r="G84" s="21"/>
      <c r="H84" s="32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spans="1:19" ht="14.25" customHeight="1">
      <c r="A85" s="18">
        <v>45829</v>
      </c>
      <c r="B85" s="19">
        <v>45829</v>
      </c>
      <c r="C85" s="21"/>
      <c r="D85" s="21"/>
      <c r="E85" s="21"/>
      <c r="F85" s="21"/>
      <c r="G85" s="21"/>
      <c r="H85" s="32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spans="1:19" ht="14.25" customHeight="1">
      <c r="A86" s="18">
        <v>45830</v>
      </c>
      <c r="B86" s="19">
        <v>45830</v>
      </c>
      <c r="C86" s="21"/>
      <c r="D86" s="21"/>
      <c r="E86" s="21"/>
      <c r="F86" s="21"/>
      <c r="G86" s="21"/>
      <c r="H86" s="32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spans="1:19" ht="14.25" customHeight="1">
      <c r="A87" s="18">
        <v>45831</v>
      </c>
      <c r="B87" s="19">
        <v>45831</v>
      </c>
      <c r="C87" s="21" t="s">
        <v>172</v>
      </c>
      <c r="D87" s="21">
        <v>22</v>
      </c>
      <c r="E87" s="56">
        <v>0.28125</v>
      </c>
      <c r="F87" s="56">
        <v>0.79166666666666696</v>
      </c>
      <c r="G87" s="56">
        <f t="shared" ref="G87:G92" si="0">F87-E87</f>
        <v>0.51041666666666696</v>
      </c>
      <c r="H87" s="32">
        <v>330</v>
      </c>
      <c r="I87" s="21"/>
      <c r="J87" s="21"/>
      <c r="K87" s="21"/>
      <c r="L87" s="21" t="s">
        <v>173</v>
      </c>
      <c r="M87" s="21" t="s">
        <v>174</v>
      </c>
      <c r="N87" s="21"/>
      <c r="O87" s="21"/>
      <c r="P87" s="21"/>
      <c r="Q87" s="21"/>
      <c r="R87" s="21"/>
      <c r="S87" s="21" t="s">
        <v>175</v>
      </c>
    </row>
    <row r="88" spans="1:19" ht="14.25" customHeight="1">
      <c r="A88" s="18">
        <v>45832</v>
      </c>
      <c r="B88" s="19">
        <v>45832</v>
      </c>
      <c r="C88" s="21" t="s">
        <v>172</v>
      </c>
      <c r="D88" s="21">
        <v>22</v>
      </c>
      <c r="E88" s="56">
        <v>0.28125</v>
      </c>
      <c r="F88" s="56">
        <v>0.79166666666666696</v>
      </c>
      <c r="G88" s="56">
        <f t="shared" si="0"/>
        <v>0.51041666666666696</v>
      </c>
      <c r="H88" s="32">
        <v>330</v>
      </c>
      <c r="I88" s="21"/>
      <c r="J88" s="21"/>
      <c r="K88" s="21"/>
      <c r="L88" s="21" t="s">
        <v>173</v>
      </c>
      <c r="M88" s="21" t="s">
        <v>174</v>
      </c>
      <c r="N88" s="21"/>
      <c r="O88" s="21"/>
      <c r="P88" s="21"/>
      <c r="Q88" s="21"/>
      <c r="R88" s="21"/>
      <c r="S88" s="21" t="s">
        <v>175</v>
      </c>
    </row>
    <row r="89" spans="1:19" ht="14.25" customHeight="1">
      <c r="A89" s="18">
        <v>45833</v>
      </c>
      <c r="B89" s="19">
        <v>45833</v>
      </c>
      <c r="C89" s="21" t="s">
        <v>172</v>
      </c>
      <c r="D89" s="21">
        <v>23</v>
      </c>
      <c r="E89" s="56">
        <v>0.28125</v>
      </c>
      <c r="F89" s="56">
        <v>0.79166666666666696</v>
      </c>
      <c r="G89" s="56">
        <f t="shared" si="0"/>
        <v>0.51041666666666696</v>
      </c>
      <c r="H89" s="32">
        <v>330</v>
      </c>
      <c r="I89" s="21"/>
      <c r="J89" s="21"/>
      <c r="K89" s="21"/>
      <c r="L89" s="21" t="s">
        <v>173</v>
      </c>
      <c r="M89" s="21" t="s">
        <v>174</v>
      </c>
      <c r="N89" s="21"/>
      <c r="O89" s="21"/>
      <c r="P89" s="21"/>
      <c r="Q89" s="21"/>
      <c r="R89" s="21"/>
      <c r="S89" s="21" t="s">
        <v>175</v>
      </c>
    </row>
    <row r="90" spans="1:19" ht="14.25" customHeight="1">
      <c r="A90" s="18">
        <v>45834</v>
      </c>
      <c r="B90" s="19">
        <v>45834</v>
      </c>
      <c r="C90" s="21" t="s">
        <v>172</v>
      </c>
      <c r="D90" s="21">
        <v>24</v>
      </c>
      <c r="E90" s="56">
        <v>0.28125</v>
      </c>
      <c r="F90" s="56">
        <v>0.79166666666666696</v>
      </c>
      <c r="G90" s="56">
        <f t="shared" si="0"/>
        <v>0.51041666666666696</v>
      </c>
      <c r="H90" s="32">
        <v>330</v>
      </c>
      <c r="I90" s="21"/>
      <c r="J90" s="21"/>
      <c r="K90" s="21"/>
      <c r="L90" s="21" t="s">
        <v>173</v>
      </c>
      <c r="M90" s="21" t="s">
        <v>174</v>
      </c>
      <c r="N90" s="21"/>
      <c r="O90" s="21"/>
      <c r="P90" s="21"/>
      <c r="Q90" s="21"/>
      <c r="R90" s="21"/>
      <c r="S90" s="21" t="s">
        <v>175</v>
      </c>
    </row>
    <row r="91" spans="1:19" ht="14.25" customHeight="1">
      <c r="A91" s="18">
        <v>45835</v>
      </c>
      <c r="B91" s="19">
        <v>45835</v>
      </c>
      <c r="C91" s="21" t="s">
        <v>172</v>
      </c>
      <c r="D91" s="21">
        <v>24</v>
      </c>
      <c r="E91" s="56">
        <v>0.28125</v>
      </c>
      <c r="F91" s="56">
        <v>0.79166666666666696</v>
      </c>
      <c r="G91" s="56">
        <f t="shared" si="0"/>
        <v>0.51041666666666696</v>
      </c>
      <c r="H91" s="32">
        <v>330</v>
      </c>
      <c r="I91" s="21"/>
      <c r="J91" s="21"/>
      <c r="K91" s="21"/>
      <c r="L91" s="21" t="s">
        <v>173</v>
      </c>
      <c r="M91" s="21" t="s">
        <v>174</v>
      </c>
      <c r="N91" s="21"/>
      <c r="O91" s="21"/>
      <c r="P91" s="21"/>
      <c r="Q91" s="21"/>
      <c r="R91" s="21"/>
      <c r="S91" s="21" t="s">
        <v>175</v>
      </c>
    </row>
    <row r="92" spans="1:19" ht="14.25" customHeight="1">
      <c r="A92" s="18">
        <v>45836</v>
      </c>
      <c r="B92" s="19">
        <v>45836</v>
      </c>
      <c r="C92" s="21" t="s">
        <v>172</v>
      </c>
      <c r="D92" s="21">
        <v>24</v>
      </c>
      <c r="E92" s="56">
        <v>0.28125</v>
      </c>
      <c r="F92" s="56">
        <v>0.73611111111111105</v>
      </c>
      <c r="G92" s="56">
        <f t="shared" si="0"/>
        <v>0.45486111111111099</v>
      </c>
      <c r="H92" s="32">
        <v>330</v>
      </c>
      <c r="I92" s="21"/>
      <c r="J92" s="21"/>
      <c r="K92" s="21"/>
      <c r="L92" s="21" t="s">
        <v>173</v>
      </c>
      <c r="M92" s="21" t="s">
        <v>174</v>
      </c>
      <c r="N92" s="21"/>
      <c r="O92" s="21"/>
      <c r="P92" s="21"/>
      <c r="Q92" s="21"/>
      <c r="R92" s="21"/>
      <c r="S92" s="21" t="s">
        <v>176</v>
      </c>
    </row>
    <row r="93" spans="1:19" ht="14.25" customHeight="1">
      <c r="A93" s="18">
        <v>45837</v>
      </c>
      <c r="B93" s="19">
        <v>45837</v>
      </c>
      <c r="C93" s="21"/>
      <c r="D93" s="21"/>
      <c r="E93" s="21"/>
      <c r="F93" s="21"/>
      <c r="G93" s="21"/>
      <c r="H93" s="32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1:19" ht="14.25" customHeight="1">
      <c r="A94" s="18">
        <v>45838</v>
      </c>
      <c r="B94" s="19">
        <v>45838</v>
      </c>
      <c r="C94" s="21" t="s">
        <v>167</v>
      </c>
      <c r="D94" s="21" t="s">
        <v>168</v>
      </c>
      <c r="E94" s="56">
        <v>0.63541666666666696</v>
      </c>
      <c r="F94" s="56">
        <v>0.71875</v>
      </c>
      <c r="G94" s="56">
        <f>F94-E94</f>
        <v>8.3333333333332996E-2</v>
      </c>
      <c r="H94" s="32">
        <v>2411</v>
      </c>
      <c r="I94" s="21"/>
      <c r="J94" s="21"/>
      <c r="K94" s="21"/>
      <c r="L94" s="21" t="s">
        <v>177</v>
      </c>
      <c r="M94" s="21" t="s">
        <v>178</v>
      </c>
      <c r="N94" s="21"/>
      <c r="O94" s="21"/>
      <c r="P94" s="21"/>
      <c r="Q94" s="21"/>
      <c r="R94" s="21"/>
      <c r="S94" s="21" t="s">
        <v>179</v>
      </c>
    </row>
    <row r="95" spans="1:19" ht="14.25" customHeight="1">
      <c r="A95" s="18">
        <v>45839</v>
      </c>
      <c r="B95" s="19">
        <v>45839</v>
      </c>
      <c r="C95" s="21"/>
      <c r="D95" s="21"/>
      <c r="E95" s="21"/>
      <c r="F95" s="21"/>
      <c r="G95" s="21"/>
      <c r="H95" s="32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1:19" ht="14.25" customHeight="1">
      <c r="A96" s="18">
        <v>45840</v>
      </c>
      <c r="B96" s="19">
        <v>45840</v>
      </c>
      <c r="C96" s="21"/>
      <c r="D96" s="21"/>
      <c r="E96" s="21"/>
      <c r="F96" s="21"/>
      <c r="G96" s="21"/>
      <c r="H96" s="32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1:19" ht="14.25" customHeight="1">
      <c r="A97" s="18">
        <v>45841</v>
      </c>
      <c r="B97" s="19">
        <v>45841</v>
      </c>
      <c r="C97" s="21"/>
      <c r="D97" s="21"/>
      <c r="E97" s="21"/>
      <c r="F97" s="21"/>
      <c r="G97" s="21"/>
      <c r="H97" s="32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1:19" ht="14.25" customHeight="1">
      <c r="A98" s="18">
        <v>45842</v>
      </c>
      <c r="B98" s="19">
        <v>45842</v>
      </c>
      <c r="C98" s="21"/>
      <c r="D98" s="21"/>
      <c r="E98" s="21"/>
      <c r="F98" s="21"/>
      <c r="G98" s="21"/>
      <c r="H98" s="32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1:19" ht="14.25" customHeight="1">
      <c r="A99" s="18">
        <v>45843</v>
      </c>
      <c r="B99" s="19">
        <v>45843</v>
      </c>
      <c r="C99" s="21"/>
      <c r="D99" s="21"/>
      <c r="E99" s="21"/>
      <c r="F99" s="21"/>
      <c r="G99" s="21"/>
      <c r="H99" s="32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1:19" ht="14.25" customHeight="1">
      <c r="A100" s="18">
        <v>45844</v>
      </c>
      <c r="B100" s="19">
        <v>45844</v>
      </c>
      <c r="C100" s="21"/>
      <c r="D100" s="21"/>
      <c r="E100" s="21"/>
      <c r="F100" s="21"/>
      <c r="G100" s="21"/>
      <c r="H100" s="32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1:19" ht="15.75" customHeight="1">
      <c r="A101" s="18">
        <v>45845</v>
      </c>
      <c r="B101" s="19">
        <v>45845</v>
      </c>
      <c r="C101" s="21"/>
      <c r="D101" s="21"/>
      <c r="E101" s="21"/>
      <c r="F101" s="21"/>
      <c r="G101" s="21"/>
      <c r="H101" s="32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1:19" ht="15.75" customHeight="1">
      <c r="A102" s="18">
        <v>45846</v>
      </c>
      <c r="B102" s="19">
        <v>45846</v>
      </c>
      <c r="C102" s="21"/>
      <c r="D102" s="21"/>
      <c r="E102" s="21"/>
      <c r="F102" s="21"/>
      <c r="G102" s="21"/>
      <c r="H102" s="32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1:19" ht="15.75" customHeight="1">
      <c r="A103" s="18">
        <v>45847</v>
      </c>
      <c r="B103" s="19">
        <v>45847</v>
      </c>
      <c r="C103" s="21"/>
      <c r="D103" s="21"/>
      <c r="E103" s="21"/>
      <c r="F103" s="21"/>
      <c r="G103" s="21"/>
      <c r="H103" s="32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1:19" ht="15.75" customHeight="1">
      <c r="A104" s="18">
        <v>45848</v>
      </c>
      <c r="B104" s="19">
        <v>45848</v>
      </c>
      <c r="C104" s="21"/>
      <c r="D104" s="21"/>
      <c r="E104" s="21"/>
      <c r="F104" s="21"/>
      <c r="G104" s="21"/>
      <c r="H104" s="32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1:19" ht="15.75" customHeight="1">
      <c r="A105" s="18">
        <v>45849</v>
      </c>
      <c r="B105" s="19">
        <v>45849</v>
      </c>
      <c r="C105" s="21"/>
      <c r="D105" s="21"/>
      <c r="E105" s="21"/>
      <c r="F105" s="21"/>
      <c r="G105" s="21"/>
      <c r="H105" s="32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1:19" ht="15.75" customHeight="1">
      <c r="A106" s="18">
        <v>45850</v>
      </c>
      <c r="B106" s="19">
        <v>45850</v>
      </c>
      <c r="C106" s="21"/>
      <c r="D106" s="21"/>
      <c r="E106" s="21"/>
      <c r="F106" s="21"/>
      <c r="G106" s="21"/>
      <c r="H106" s="32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1:19" ht="15.75" customHeight="1">
      <c r="A107" s="18">
        <v>45851</v>
      </c>
      <c r="B107" s="19">
        <v>45851</v>
      </c>
      <c r="C107" s="21"/>
      <c r="D107" s="21"/>
      <c r="E107" s="21"/>
      <c r="F107" s="21"/>
      <c r="G107" s="21"/>
      <c r="H107" s="32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1:19" ht="15.75" customHeight="1">
      <c r="A108" s="18">
        <v>45852</v>
      </c>
      <c r="B108" s="19">
        <v>45852</v>
      </c>
      <c r="C108" s="21"/>
      <c r="D108" s="21"/>
      <c r="E108" s="21"/>
      <c r="F108" s="21"/>
      <c r="G108" s="21"/>
      <c r="H108" s="32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1:19" ht="15.75" customHeight="1">
      <c r="A109" s="18">
        <v>45853</v>
      </c>
      <c r="B109" s="19">
        <v>45853</v>
      </c>
      <c r="C109" s="21"/>
      <c r="D109" s="21"/>
      <c r="E109" s="21"/>
      <c r="F109" s="21"/>
      <c r="G109" s="21"/>
      <c r="H109" s="32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1:19" ht="15.75" customHeight="1">
      <c r="A110" s="18">
        <v>45854</v>
      </c>
      <c r="B110" s="19">
        <v>45854</v>
      </c>
      <c r="C110" s="21"/>
      <c r="D110" s="21"/>
      <c r="E110" s="21"/>
      <c r="F110" s="21"/>
      <c r="G110" s="21"/>
      <c r="H110" s="32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1:19" ht="15.75" customHeight="1">
      <c r="A111" s="18">
        <v>45855</v>
      </c>
      <c r="B111" s="19">
        <v>45855</v>
      </c>
      <c r="C111" s="21"/>
      <c r="D111" s="21"/>
      <c r="E111" s="21"/>
      <c r="F111" s="21"/>
      <c r="G111" s="21"/>
      <c r="H111" s="32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1:19" ht="15.75" customHeight="1">
      <c r="A112" s="18">
        <v>45856</v>
      </c>
      <c r="B112" s="19">
        <v>45856</v>
      </c>
      <c r="C112" s="21"/>
      <c r="D112" s="21"/>
      <c r="E112" s="21"/>
      <c r="F112" s="21"/>
      <c r="G112" s="21"/>
      <c r="H112" s="32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1:19" ht="15.75" customHeight="1">
      <c r="A113" s="18">
        <v>45857</v>
      </c>
      <c r="B113" s="19">
        <v>45857</v>
      </c>
      <c r="C113" s="21"/>
      <c r="D113" s="21"/>
      <c r="E113" s="21"/>
      <c r="F113" s="21"/>
      <c r="G113" s="21"/>
      <c r="H113" s="32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1:19" ht="15.75" customHeight="1">
      <c r="A114" s="18">
        <v>45858</v>
      </c>
      <c r="B114" s="19">
        <v>45858</v>
      </c>
      <c r="C114" s="21"/>
      <c r="D114" s="21"/>
      <c r="E114" s="21"/>
      <c r="F114" s="21"/>
      <c r="G114" s="21"/>
      <c r="H114" s="32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1:19" ht="15.75" customHeight="1">
      <c r="A115" s="18">
        <v>45859</v>
      </c>
      <c r="B115" s="19">
        <v>45859</v>
      </c>
      <c r="C115" s="21"/>
      <c r="D115" s="21"/>
      <c r="E115" s="21"/>
      <c r="F115" s="21"/>
      <c r="G115" s="21"/>
      <c r="H115" s="32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1:19" ht="15.75" customHeight="1">
      <c r="A116" s="18">
        <v>45860</v>
      </c>
      <c r="B116" s="19">
        <v>45860</v>
      </c>
      <c r="C116" s="21"/>
      <c r="D116" s="21"/>
      <c r="E116" s="21"/>
      <c r="F116" s="21"/>
      <c r="G116" s="21"/>
      <c r="H116" s="32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1:19" ht="15.75" customHeight="1">
      <c r="A117" s="18">
        <v>45861</v>
      </c>
      <c r="B117" s="19">
        <v>45861</v>
      </c>
    </row>
    <row r="118" spans="1:19" ht="15.75" customHeight="1">
      <c r="A118" s="18">
        <v>45862</v>
      </c>
      <c r="B118" s="19">
        <v>45862</v>
      </c>
    </row>
    <row r="119" spans="1:19" ht="15.75" customHeight="1">
      <c r="A119" s="18">
        <v>45863</v>
      </c>
      <c r="B119" s="19">
        <v>45863</v>
      </c>
    </row>
    <row r="120" spans="1:19" ht="15.75" customHeight="1">
      <c r="A120" s="18">
        <v>45864</v>
      </c>
      <c r="B120" s="19">
        <v>45864</v>
      </c>
      <c r="C120" s="21"/>
      <c r="D120" s="21"/>
      <c r="E120" s="21"/>
      <c r="F120" s="21"/>
      <c r="G120" s="21"/>
      <c r="H120" s="32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1:19" ht="15.75" customHeight="1">
      <c r="A121" s="18">
        <v>45865</v>
      </c>
      <c r="B121" s="19">
        <v>45865</v>
      </c>
      <c r="C121" s="21"/>
      <c r="D121" s="21"/>
      <c r="E121" s="21"/>
      <c r="F121" s="21"/>
      <c r="G121" s="21"/>
      <c r="H121" s="32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1:19" ht="15.75" customHeight="1">
      <c r="A122" s="18">
        <v>45866</v>
      </c>
      <c r="B122" s="19">
        <v>45866</v>
      </c>
      <c r="C122" s="21"/>
      <c r="D122" s="21"/>
      <c r="E122" s="21"/>
      <c r="F122" s="21"/>
      <c r="G122" s="21"/>
      <c r="H122" s="32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1:19" ht="15.75" customHeight="1">
      <c r="A123" s="18">
        <v>45867</v>
      </c>
      <c r="B123" s="19">
        <v>45867</v>
      </c>
      <c r="C123" s="21"/>
      <c r="D123" s="21"/>
      <c r="E123" s="21"/>
      <c r="F123" s="21"/>
      <c r="G123" s="21"/>
      <c r="H123" s="32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1:19" ht="15.75" customHeight="1">
      <c r="A124" s="18">
        <v>45868</v>
      </c>
      <c r="B124" s="19">
        <v>45868</v>
      </c>
      <c r="C124" s="21"/>
      <c r="D124" s="21"/>
      <c r="E124" s="21"/>
      <c r="F124" s="21"/>
      <c r="G124" s="21"/>
      <c r="H124" s="32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1:19" ht="15.75" customHeight="1">
      <c r="A125" s="18">
        <v>45869</v>
      </c>
      <c r="B125" s="19">
        <v>45869</v>
      </c>
      <c r="C125" s="21"/>
      <c r="D125" s="21"/>
      <c r="E125" s="21"/>
      <c r="F125" s="21"/>
      <c r="G125" s="21"/>
      <c r="H125" s="32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1:19" ht="15.75" customHeight="1">
      <c r="A126" s="18">
        <v>45870</v>
      </c>
      <c r="B126" s="19">
        <v>45870</v>
      </c>
      <c r="C126" s="21"/>
      <c r="D126" s="21"/>
      <c r="E126" s="21"/>
      <c r="F126" s="21"/>
      <c r="G126" s="21"/>
      <c r="H126" s="32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1:19" ht="15.75" customHeight="1">
      <c r="A127" s="18">
        <v>45871</v>
      </c>
      <c r="B127" s="19">
        <v>45871</v>
      </c>
      <c r="C127" s="21"/>
      <c r="D127" s="21"/>
      <c r="E127" s="21"/>
      <c r="F127" s="21"/>
      <c r="G127" s="21"/>
      <c r="H127" s="32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1:19" ht="15.75" customHeight="1">
      <c r="A128" s="18">
        <v>45872</v>
      </c>
      <c r="B128" s="19">
        <v>45872</v>
      </c>
      <c r="C128" s="21"/>
      <c r="D128" s="21"/>
      <c r="E128" s="21"/>
      <c r="F128" s="21"/>
      <c r="G128" s="21"/>
      <c r="H128" s="32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1:19" ht="15.75" customHeight="1">
      <c r="A129" s="18">
        <v>45873</v>
      </c>
      <c r="B129" s="19">
        <v>45873</v>
      </c>
      <c r="C129" s="21"/>
      <c r="D129" s="21"/>
      <c r="E129" s="21"/>
      <c r="F129" s="21"/>
      <c r="G129" s="21"/>
      <c r="H129" s="32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19" ht="15.75" customHeight="1">
      <c r="A130" s="18">
        <v>45874</v>
      </c>
      <c r="B130" s="19">
        <v>45874</v>
      </c>
      <c r="C130" s="21"/>
      <c r="D130" s="21"/>
      <c r="E130" s="21"/>
      <c r="F130" s="21"/>
      <c r="G130" s="21"/>
      <c r="H130" s="32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1:19" ht="15.75" customHeight="1">
      <c r="A131" s="18">
        <v>45875</v>
      </c>
      <c r="B131" s="19">
        <v>45875</v>
      </c>
      <c r="C131" s="21" t="s">
        <v>167</v>
      </c>
      <c r="D131" s="21" t="s">
        <v>168</v>
      </c>
      <c r="E131" s="56">
        <v>0.46527777777777801</v>
      </c>
      <c r="F131" s="56">
        <v>0.49236111111111103</v>
      </c>
      <c r="G131" s="56">
        <f>F131-E131</f>
        <v>2.7083333333333001E-2</v>
      </c>
      <c r="H131" s="32">
        <v>2411</v>
      </c>
      <c r="I131" s="21"/>
      <c r="J131" s="21"/>
      <c r="K131" s="21"/>
      <c r="L131" s="21" t="s">
        <v>180</v>
      </c>
      <c r="M131" s="21" t="s">
        <v>181</v>
      </c>
      <c r="N131" s="21"/>
      <c r="O131" s="21"/>
      <c r="P131" s="21"/>
      <c r="Q131" s="21"/>
      <c r="R131" s="21"/>
      <c r="S131" s="21" t="s">
        <v>182</v>
      </c>
    </row>
    <row r="132" spans="1:19" ht="15.75" customHeight="1">
      <c r="A132" s="18">
        <v>45876</v>
      </c>
      <c r="B132" s="19">
        <v>45876</v>
      </c>
      <c r="C132" s="21" t="s">
        <v>167</v>
      </c>
      <c r="D132" s="21" t="s">
        <v>168</v>
      </c>
      <c r="E132" s="56">
        <v>0.59027777777777801</v>
      </c>
      <c r="F132" s="56">
        <v>0.63749999999999996</v>
      </c>
      <c r="G132" s="56">
        <f t="shared" ref="G132:G195" si="1">F132-E132</f>
        <v>4.7222222222221902E-2</v>
      </c>
      <c r="H132" s="32">
        <v>2411</v>
      </c>
      <c r="I132" s="21"/>
      <c r="J132" s="21"/>
      <c r="K132" s="21"/>
      <c r="L132" s="21" t="s">
        <v>180</v>
      </c>
      <c r="M132" s="21" t="s">
        <v>181</v>
      </c>
      <c r="N132" s="21"/>
      <c r="O132" s="21"/>
      <c r="P132" s="21"/>
      <c r="Q132" s="21"/>
      <c r="R132" s="21"/>
      <c r="S132" s="21" t="s">
        <v>182</v>
      </c>
    </row>
    <row r="133" spans="1:19" ht="15.75" customHeight="1">
      <c r="A133" s="18">
        <v>45877</v>
      </c>
      <c r="B133" s="19">
        <v>45877</v>
      </c>
      <c r="C133" s="21"/>
      <c r="D133" s="21"/>
      <c r="E133" s="21"/>
      <c r="F133" s="21"/>
      <c r="G133" s="56">
        <f t="shared" si="1"/>
        <v>0</v>
      </c>
      <c r="H133" s="32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1:19" ht="15.75" customHeight="1">
      <c r="A134" s="18">
        <v>45878</v>
      </c>
      <c r="B134" s="19">
        <v>45878</v>
      </c>
      <c r="C134" s="21"/>
      <c r="D134" s="21"/>
      <c r="E134" s="21"/>
      <c r="F134" s="21"/>
      <c r="G134" s="56">
        <f t="shared" si="1"/>
        <v>0</v>
      </c>
      <c r="H134" s="32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1:19" ht="15.75" customHeight="1">
      <c r="A135" s="18">
        <v>45879</v>
      </c>
      <c r="B135" s="19">
        <v>45879</v>
      </c>
      <c r="C135" s="21"/>
      <c r="D135" s="21"/>
      <c r="E135" s="21"/>
      <c r="F135" s="21"/>
      <c r="G135" s="56">
        <f t="shared" si="1"/>
        <v>0</v>
      </c>
      <c r="H135" s="32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1:19" ht="15.75" customHeight="1">
      <c r="A136" s="18">
        <v>45880</v>
      </c>
      <c r="B136" s="19">
        <v>45880</v>
      </c>
      <c r="C136" s="21"/>
      <c r="D136" s="21"/>
      <c r="E136" s="21"/>
      <c r="F136" s="21"/>
      <c r="G136" s="56">
        <f t="shared" si="1"/>
        <v>0</v>
      </c>
      <c r="H136" s="32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1:19" ht="15.75" customHeight="1">
      <c r="A137" s="18">
        <v>45881</v>
      </c>
      <c r="B137" s="19">
        <v>45881</v>
      </c>
      <c r="C137" s="21"/>
      <c r="D137" s="21"/>
      <c r="E137" s="21"/>
      <c r="F137" s="21"/>
      <c r="G137" s="56">
        <f t="shared" si="1"/>
        <v>0</v>
      </c>
      <c r="H137" s="32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1:19" ht="15.75" customHeight="1">
      <c r="A138" s="18">
        <v>45882</v>
      </c>
      <c r="B138" s="19">
        <v>45882</v>
      </c>
      <c r="C138" s="21"/>
      <c r="D138" s="21"/>
      <c r="E138" s="21"/>
      <c r="F138" s="21"/>
      <c r="G138" s="56">
        <f t="shared" si="1"/>
        <v>0</v>
      </c>
      <c r="H138" s="32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1:19" ht="15.75" customHeight="1">
      <c r="A139" s="18">
        <v>45883</v>
      </c>
      <c r="B139" s="19">
        <v>45883</v>
      </c>
      <c r="C139" s="21"/>
      <c r="D139" s="21"/>
      <c r="E139" s="21"/>
      <c r="F139" s="21"/>
      <c r="G139" s="56">
        <f t="shared" si="1"/>
        <v>0</v>
      </c>
      <c r="H139" s="32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1:19" ht="15.75" customHeight="1">
      <c r="A140" s="18">
        <v>45884</v>
      </c>
      <c r="B140" s="19">
        <v>45884</v>
      </c>
      <c r="C140" s="21"/>
      <c r="D140" s="21"/>
      <c r="E140" s="21"/>
      <c r="F140" s="21"/>
      <c r="G140" s="56">
        <f t="shared" si="1"/>
        <v>0</v>
      </c>
      <c r="H140" s="32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1:19" ht="15.75" customHeight="1">
      <c r="A141" s="18">
        <v>45885</v>
      </c>
      <c r="B141" s="19">
        <v>45885</v>
      </c>
      <c r="C141" s="21"/>
      <c r="D141" s="21"/>
      <c r="E141" s="21"/>
      <c r="F141" s="21"/>
      <c r="G141" s="56">
        <f t="shared" si="1"/>
        <v>0</v>
      </c>
      <c r="H141" s="32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1:19" ht="15.75" customHeight="1">
      <c r="A142" s="18">
        <v>45886</v>
      </c>
      <c r="B142" s="19">
        <v>45886</v>
      </c>
      <c r="C142" s="21"/>
      <c r="D142" s="21"/>
      <c r="E142" s="21"/>
      <c r="F142" s="21"/>
      <c r="G142" s="56">
        <f t="shared" si="1"/>
        <v>0</v>
      </c>
      <c r="H142" s="32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1:19" ht="15.75" customHeight="1">
      <c r="A143" s="18">
        <v>45887</v>
      </c>
      <c r="B143" s="19">
        <v>45887</v>
      </c>
      <c r="C143" s="21"/>
      <c r="D143" s="21"/>
      <c r="E143" s="21"/>
      <c r="F143" s="21"/>
      <c r="G143" s="56">
        <f t="shared" si="1"/>
        <v>0</v>
      </c>
      <c r="H143" s="32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1:19" ht="15.75" customHeight="1">
      <c r="A144" s="18">
        <v>45888</v>
      </c>
      <c r="B144" s="19">
        <v>45888</v>
      </c>
      <c r="C144" s="21"/>
      <c r="D144" s="21"/>
      <c r="E144" s="21"/>
      <c r="F144" s="21"/>
      <c r="G144" s="56">
        <f t="shared" si="1"/>
        <v>0</v>
      </c>
      <c r="H144" s="32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1:19" ht="15.75" customHeight="1">
      <c r="A145" s="18">
        <v>45889</v>
      </c>
      <c r="B145" s="19">
        <v>45889</v>
      </c>
      <c r="C145" s="21"/>
      <c r="D145" s="21"/>
      <c r="E145" s="21"/>
      <c r="F145" s="21"/>
      <c r="G145" s="56">
        <f t="shared" si="1"/>
        <v>0</v>
      </c>
      <c r="H145" s="32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1:19" ht="15.75" customHeight="1">
      <c r="A146" s="18">
        <v>45890</v>
      </c>
      <c r="B146" s="19">
        <v>45890</v>
      </c>
      <c r="C146" s="21"/>
      <c r="D146" s="21"/>
      <c r="E146" s="21"/>
      <c r="F146" s="21"/>
      <c r="G146" s="56">
        <f t="shared" si="1"/>
        <v>0</v>
      </c>
      <c r="H146" s="32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1:19" ht="15.75" customHeight="1">
      <c r="A147" s="18">
        <v>45891</v>
      </c>
      <c r="B147" s="19">
        <v>45891</v>
      </c>
      <c r="C147" s="21"/>
      <c r="D147" s="21"/>
      <c r="E147" s="21"/>
      <c r="F147" s="21"/>
      <c r="G147" s="56">
        <f t="shared" si="1"/>
        <v>0</v>
      </c>
      <c r="H147" s="32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1:19" ht="15.75" customHeight="1">
      <c r="A148" s="18">
        <v>45892</v>
      </c>
      <c r="B148" s="19">
        <v>45892</v>
      </c>
      <c r="C148" s="21"/>
      <c r="D148" s="21"/>
      <c r="E148" s="21"/>
      <c r="F148" s="21"/>
      <c r="G148" s="56">
        <f t="shared" si="1"/>
        <v>0</v>
      </c>
      <c r="H148" s="32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1:19" ht="15.75" customHeight="1">
      <c r="A149" s="18">
        <v>45893</v>
      </c>
      <c r="B149" s="19">
        <v>45893</v>
      </c>
      <c r="C149" s="21"/>
      <c r="D149" s="21"/>
      <c r="E149" s="21"/>
      <c r="F149" s="21"/>
      <c r="G149" s="56">
        <f t="shared" si="1"/>
        <v>0</v>
      </c>
      <c r="H149" s="32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1:19" ht="15.75" customHeight="1">
      <c r="A150" s="18">
        <v>45894</v>
      </c>
      <c r="B150" s="19">
        <v>45894</v>
      </c>
      <c r="C150" s="21"/>
      <c r="D150" s="21"/>
      <c r="E150" s="21"/>
      <c r="F150" s="21"/>
      <c r="G150" s="56">
        <f t="shared" si="1"/>
        <v>0</v>
      </c>
      <c r="H150" s="32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1:19" ht="15.75" customHeight="1">
      <c r="A151" s="18">
        <v>45895</v>
      </c>
      <c r="B151" s="19">
        <v>45895</v>
      </c>
      <c r="C151" s="21"/>
      <c r="D151" s="21"/>
      <c r="E151" s="21"/>
      <c r="F151" s="21"/>
      <c r="G151" s="56">
        <f t="shared" si="1"/>
        <v>0</v>
      </c>
      <c r="H151" s="32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1:19" ht="15.75" customHeight="1">
      <c r="A152" s="18">
        <v>45896</v>
      </c>
      <c r="B152" s="19">
        <v>45896</v>
      </c>
      <c r="C152" s="21"/>
      <c r="D152" s="21"/>
      <c r="E152" s="21"/>
      <c r="F152" s="21"/>
      <c r="G152" s="56">
        <f t="shared" si="1"/>
        <v>0</v>
      </c>
      <c r="H152" s="32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1:19" ht="15.75" customHeight="1">
      <c r="A153" s="18">
        <v>45897</v>
      </c>
      <c r="B153" s="19">
        <v>45897</v>
      </c>
      <c r="C153" s="21"/>
      <c r="D153" s="21"/>
      <c r="E153" s="21"/>
      <c r="F153" s="21"/>
      <c r="G153" s="56">
        <f t="shared" si="1"/>
        <v>0</v>
      </c>
      <c r="H153" s="32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1:19" ht="15.75" customHeight="1">
      <c r="A154" s="18">
        <v>45898</v>
      </c>
      <c r="B154" s="19">
        <v>45898</v>
      </c>
      <c r="C154" s="21"/>
      <c r="D154" s="21"/>
      <c r="E154" s="21"/>
      <c r="F154" s="21"/>
      <c r="G154" s="56">
        <f t="shared" si="1"/>
        <v>0</v>
      </c>
      <c r="H154" s="32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1:19" ht="15.75" customHeight="1">
      <c r="A155" s="18">
        <v>45899</v>
      </c>
      <c r="B155" s="19">
        <v>45899</v>
      </c>
      <c r="C155" s="21"/>
      <c r="D155" s="21"/>
      <c r="E155" s="21"/>
      <c r="F155" s="21"/>
      <c r="G155" s="56">
        <f t="shared" si="1"/>
        <v>0</v>
      </c>
      <c r="H155" s="32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1:19" ht="15.75" customHeight="1">
      <c r="A156" s="18">
        <v>45900</v>
      </c>
      <c r="B156" s="19">
        <v>45900</v>
      </c>
      <c r="C156" s="21"/>
      <c r="D156" s="21"/>
      <c r="E156" s="21"/>
      <c r="F156" s="21"/>
      <c r="G156" s="56">
        <f t="shared" si="1"/>
        <v>0</v>
      </c>
      <c r="H156" s="32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19" ht="15.75" customHeight="1">
      <c r="A157" s="18">
        <v>45901</v>
      </c>
      <c r="B157" s="19">
        <v>45901</v>
      </c>
      <c r="C157" s="21"/>
      <c r="D157" s="21"/>
      <c r="E157" s="21"/>
      <c r="F157" s="21"/>
      <c r="G157" s="56">
        <f t="shared" si="1"/>
        <v>0</v>
      </c>
      <c r="H157" s="32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1:19" ht="15.75" customHeight="1">
      <c r="A158" s="18">
        <v>45902</v>
      </c>
      <c r="B158" s="19">
        <v>45902</v>
      </c>
      <c r="C158" s="21"/>
      <c r="D158" s="21"/>
      <c r="E158" s="21"/>
      <c r="F158" s="21"/>
      <c r="G158" s="56">
        <f t="shared" si="1"/>
        <v>0</v>
      </c>
      <c r="H158" s="32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1:19" ht="15.75" customHeight="1">
      <c r="A159" s="18">
        <v>45903</v>
      </c>
      <c r="B159" s="19">
        <v>45903</v>
      </c>
      <c r="C159" s="21"/>
      <c r="D159" s="21"/>
      <c r="E159" s="21"/>
      <c r="F159" s="21"/>
      <c r="G159" s="56">
        <f t="shared" si="1"/>
        <v>0</v>
      </c>
      <c r="H159" s="32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1:19" ht="15.75" customHeight="1">
      <c r="A160" s="18">
        <v>45904</v>
      </c>
      <c r="B160" s="19">
        <v>45904</v>
      </c>
      <c r="C160" s="21"/>
      <c r="D160" s="21"/>
      <c r="E160" s="21"/>
      <c r="F160" s="21"/>
      <c r="G160" s="56">
        <f t="shared" si="1"/>
        <v>0</v>
      </c>
      <c r="H160" s="32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1:19" ht="15.75" customHeight="1">
      <c r="A161" s="18">
        <v>45905</v>
      </c>
      <c r="B161" s="19">
        <v>45905</v>
      </c>
      <c r="C161" s="21"/>
      <c r="D161" s="21"/>
      <c r="E161" s="21"/>
      <c r="F161" s="21"/>
      <c r="G161" s="56">
        <f t="shared" si="1"/>
        <v>0</v>
      </c>
      <c r="H161" s="32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spans="1:19" ht="15.75" customHeight="1">
      <c r="A162" s="18">
        <v>45906</v>
      </c>
      <c r="B162" s="19">
        <v>45906</v>
      </c>
      <c r="C162" s="21"/>
      <c r="D162" s="21"/>
      <c r="E162" s="21"/>
      <c r="F162" s="21"/>
      <c r="G162" s="56">
        <f t="shared" si="1"/>
        <v>0</v>
      </c>
      <c r="H162" s="32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spans="1:19" ht="15.75" customHeight="1">
      <c r="A163" s="18">
        <v>45907</v>
      </c>
      <c r="B163" s="19">
        <v>45907</v>
      </c>
      <c r="C163" s="21" t="s">
        <v>183</v>
      </c>
      <c r="D163" s="21">
        <v>22</v>
      </c>
      <c r="E163" s="56">
        <v>0.29166666666666702</v>
      </c>
      <c r="F163" s="56">
        <v>0.66666666666666696</v>
      </c>
      <c r="G163" s="56">
        <f t="shared" si="1"/>
        <v>0.375</v>
      </c>
      <c r="H163" s="32">
        <v>330</v>
      </c>
      <c r="I163" s="21"/>
      <c r="J163" s="21"/>
      <c r="K163" s="21"/>
      <c r="L163" s="21" t="s">
        <v>184</v>
      </c>
      <c r="M163" s="21" t="s">
        <v>185</v>
      </c>
      <c r="N163" s="21" t="s">
        <v>186</v>
      </c>
      <c r="O163" s="21"/>
      <c r="P163" s="21" t="s">
        <v>187</v>
      </c>
      <c r="Q163" s="21"/>
      <c r="R163" s="21">
        <v>1</v>
      </c>
      <c r="S163" s="21" t="s">
        <v>188</v>
      </c>
    </row>
    <row r="164" spans="1:19" ht="15.75" customHeight="1">
      <c r="A164" s="18">
        <v>45908</v>
      </c>
      <c r="B164" s="19">
        <v>45908</v>
      </c>
      <c r="C164" s="21"/>
      <c r="D164" s="21"/>
      <c r="E164" s="21"/>
      <c r="F164" s="21"/>
      <c r="G164" s="56">
        <f t="shared" si="1"/>
        <v>0</v>
      </c>
      <c r="H164" s="32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1:19" ht="15.75" customHeight="1">
      <c r="A165" s="18">
        <v>45909</v>
      </c>
      <c r="B165" s="19">
        <v>45909</v>
      </c>
      <c r="C165" s="21"/>
      <c r="D165" s="21"/>
      <c r="E165" s="21"/>
      <c r="F165" s="21"/>
      <c r="G165" s="56">
        <f t="shared" si="1"/>
        <v>0</v>
      </c>
      <c r="H165" s="32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spans="1:19" ht="15.75" customHeight="1">
      <c r="A166" s="18">
        <v>45910</v>
      </c>
      <c r="B166" s="19">
        <v>45910</v>
      </c>
      <c r="C166" s="21"/>
      <c r="D166" s="21"/>
      <c r="E166" s="21"/>
      <c r="F166" s="21"/>
      <c r="G166" s="56">
        <f t="shared" si="1"/>
        <v>0</v>
      </c>
      <c r="H166" s="32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  <row r="167" spans="1:19" ht="15.75" customHeight="1">
      <c r="A167" s="18">
        <v>45911</v>
      </c>
      <c r="B167" s="19">
        <v>45911</v>
      </c>
      <c r="C167" s="21"/>
      <c r="D167" s="21"/>
      <c r="E167" s="21"/>
      <c r="F167" s="21"/>
      <c r="G167" s="56">
        <f t="shared" si="1"/>
        <v>0</v>
      </c>
      <c r="H167" s="32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</row>
    <row r="168" spans="1:19" ht="15.75" customHeight="1">
      <c r="A168" s="18">
        <v>45912</v>
      </c>
      <c r="B168" s="19">
        <v>45912</v>
      </c>
      <c r="C168" s="21"/>
      <c r="D168" s="21"/>
      <c r="E168" s="21"/>
      <c r="F168" s="21"/>
      <c r="G168" s="56">
        <f t="shared" si="1"/>
        <v>0</v>
      </c>
      <c r="H168" s="32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</row>
    <row r="169" spans="1:19" ht="15.75" customHeight="1">
      <c r="A169" s="18">
        <v>45913</v>
      </c>
      <c r="B169" s="19">
        <v>45913</v>
      </c>
      <c r="C169" s="21"/>
      <c r="D169" s="21"/>
      <c r="E169" s="21"/>
      <c r="F169" s="21"/>
      <c r="G169" s="56">
        <f t="shared" si="1"/>
        <v>0</v>
      </c>
      <c r="H169" s="32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</row>
    <row r="170" spans="1:19" ht="15.75" customHeight="1">
      <c r="A170" s="18">
        <v>45914</v>
      </c>
      <c r="B170" s="19">
        <v>45914</v>
      </c>
      <c r="C170" s="21"/>
      <c r="D170" s="21"/>
      <c r="E170" s="21"/>
      <c r="F170" s="21"/>
      <c r="G170" s="56">
        <f t="shared" si="1"/>
        <v>0</v>
      </c>
      <c r="H170" s="32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</row>
    <row r="171" spans="1:19" ht="15.75" customHeight="1">
      <c r="A171" s="18">
        <v>45915</v>
      </c>
      <c r="B171" s="19">
        <v>45915</v>
      </c>
      <c r="C171" s="21"/>
      <c r="D171" s="21"/>
      <c r="E171" s="21"/>
      <c r="F171" s="21"/>
      <c r="G171" s="56">
        <f t="shared" si="1"/>
        <v>0</v>
      </c>
      <c r="H171" s="32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</row>
    <row r="172" spans="1:19" ht="15.75" customHeight="1">
      <c r="A172" s="18">
        <v>45916</v>
      </c>
      <c r="B172" s="19">
        <v>45916</v>
      </c>
      <c r="C172" s="21"/>
      <c r="D172" s="21"/>
      <c r="E172" s="21"/>
      <c r="F172" s="21"/>
      <c r="G172" s="56">
        <f t="shared" si="1"/>
        <v>0</v>
      </c>
      <c r="H172" s="32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</row>
    <row r="173" spans="1:19" ht="15.75" customHeight="1">
      <c r="A173" s="18">
        <v>45917</v>
      </c>
      <c r="B173" s="19">
        <v>45917</v>
      </c>
      <c r="C173" s="21"/>
      <c r="D173" s="21"/>
      <c r="E173" s="21"/>
      <c r="F173" s="21"/>
      <c r="G173" s="56">
        <f t="shared" si="1"/>
        <v>0</v>
      </c>
      <c r="H173" s="32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</row>
    <row r="174" spans="1:19" ht="15.75" customHeight="1">
      <c r="A174" s="18">
        <v>45918</v>
      </c>
      <c r="B174" s="19">
        <v>45918</v>
      </c>
      <c r="C174" s="21"/>
      <c r="D174" s="21"/>
      <c r="E174" s="21"/>
      <c r="F174" s="21"/>
      <c r="G174" s="56">
        <f t="shared" si="1"/>
        <v>0</v>
      </c>
      <c r="H174" s="32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</row>
    <row r="175" spans="1:19" ht="15.75" customHeight="1">
      <c r="A175" s="18">
        <v>45919</v>
      </c>
      <c r="B175" s="19">
        <v>45919</v>
      </c>
      <c r="C175" s="21"/>
      <c r="D175" s="21"/>
      <c r="E175" s="21"/>
      <c r="F175" s="21"/>
      <c r="G175" s="56">
        <f t="shared" si="1"/>
        <v>0</v>
      </c>
      <c r="H175" s="32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</row>
    <row r="176" spans="1:19" ht="15.75" customHeight="1">
      <c r="A176" s="18">
        <v>45920</v>
      </c>
      <c r="B176" s="19">
        <v>45920</v>
      </c>
      <c r="C176" s="21"/>
      <c r="D176" s="21"/>
      <c r="E176" s="21"/>
      <c r="F176" s="21"/>
      <c r="G176" s="56">
        <f t="shared" si="1"/>
        <v>0</v>
      </c>
      <c r="H176" s="32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</row>
    <row r="177" spans="1:19" ht="15.75" customHeight="1">
      <c r="A177" s="18">
        <v>45921</v>
      </c>
      <c r="B177" s="19">
        <v>45921</v>
      </c>
      <c r="C177" s="21"/>
      <c r="D177" s="21"/>
      <c r="E177" s="21"/>
      <c r="F177" s="21"/>
      <c r="G177" s="56">
        <f t="shared" si="1"/>
        <v>0</v>
      </c>
      <c r="H177" s="32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</row>
    <row r="178" spans="1:19" ht="15.75" customHeight="1">
      <c r="A178" s="18">
        <v>45922</v>
      </c>
      <c r="B178" s="19">
        <v>45922</v>
      </c>
      <c r="C178" s="21"/>
      <c r="D178" s="21"/>
      <c r="E178" s="21"/>
      <c r="F178" s="21"/>
      <c r="G178" s="56">
        <f t="shared" si="1"/>
        <v>0</v>
      </c>
      <c r="H178" s="32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</row>
    <row r="179" spans="1:19" ht="15.75" customHeight="1">
      <c r="A179" s="18">
        <v>45923</v>
      </c>
      <c r="B179" s="19">
        <v>45923</v>
      </c>
      <c r="C179" s="21"/>
      <c r="D179" s="21"/>
      <c r="E179" s="21"/>
      <c r="F179" s="21"/>
      <c r="G179" s="56">
        <f t="shared" si="1"/>
        <v>0</v>
      </c>
      <c r="H179" s="32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</row>
    <row r="180" spans="1:19" ht="15.75" customHeight="1">
      <c r="A180" s="18">
        <v>45924</v>
      </c>
      <c r="B180" s="19">
        <v>45924</v>
      </c>
      <c r="C180" s="21"/>
      <c r="D180" s="21"/>
      <c r="E180" s="21"/>
      <c r="F180" s="21"/>
      <c r="G180" s="56">
        <f t="shared" si="1"/>
        <v>0</v>
      </c>
      <c r="H180" s="32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</row>
    <row r="181" spans="1:19" ht="15.75" customHeight="1">
      <c r="A181" s="18">
        <v>45925</v>
      </c>
      <c r="B181" s="19">
        <v>45925</v>
      </c>
      <c r="C181" s="21"/>
      <c r="D181" s="21"/>
      <c r="E181" s="21"/>
      <c r="F181" s="21"/>
      <c r="G181" s="56">
        <f t="shared" si="1"/>
        <v>0</v>
      </c>
      <c r="H181" s="32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</row>
    <row r="182" spans="1:19" ht="15.75" customHeight="1">
      <c r="A182" s="18">
        <v>45926</v>
      </c>
      <c r="B182" s="19">
        <v>45926</v>
      </c>
      <c r="C182" s="21"/>
      <c r="D182" s="21"/>
      <c r="E182" s="21"/>
      <c r="F182" s="21"/>
      <c r="G182" s="56">
        <f t="shared" si="1"/>
        <v>0</v>
      </c>
      <c r="H182" s="32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</row>
    <row r="183" spans="1:19" ht="15.75" customHeight="1">
      <c r="A183" s="18">
        <v>45927</v>
      </c>
      <c r="B183" s="19">
        <v>45927</v>
      </c>
      <c r="C183" s="21"/>
      <c r="D183" s="21"/>
      <c r="E183" s="21"/>
      <c r="F183" s="21"/>
      <c r="G183" s="56">
        <f t="shared" si="1"/>
        <v>0</v>
      </c>
      <c r="H183" s="32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</row>
    <row r="184" spans="1:19" ht="15.75" customHeight="1">
      <c r="A184" s="18">
        <v>45928</v>
      </c>
      <c r="B184" s="19">
        <v>45928</v>
      </c>
      <c r="C184" s="21"/>
      <c r="D184" s="21"/>
      <c r="E184" s="21"/>
      <c r="F184" s="21"/>
      <c r="G184" s="56">
        <f t="shared" si="1"/>
        <v>0</v>
      </c>
      <c r="H184" s="32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</row>
    <row r="185" spans="1:19" ht="15.75" customHeight="1">
      <c r="A185" s="18">
        <v>45929</v>
      </c>
      <c r="B185" s="19">
        <v>45929</v>
      </c>
      <c r="C185" s="21"/>
      <c r="D185" s="21"/>
      <c r="E185" s="21"/>
      <c r="F185" s="21"/>
      <c r="G185" s="56">
        <f t="shared" si="1"/>
        <v>0</v>
      </c>
      <c r="H185" s="32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</row>
    <row r="186" spans="1:19" ht="15.75" customHeight="1">
      <c r="A186" s="18">
        <v>45930</v>
      </c>
      <c r="B186" s="19">
        <v>45930</v>
      </c>
      <c r="C186" s="21"/>
      <c r="D186" s="21"/>
      <c r="E186" s="21"/>
      <c r="F186" s="21"/>
      <c r="G186" s="56">
        <f t="shared" si="1"/>
        <v>0</v>
      </c>
      <c r="H186" s="32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</row>
    <row r="187" spans="1:19" ht="15.75" customHeight="1">
      <c r="A187" s="18">
        <v>45931</v>
      </c>
      <c r="B187" s="19">
        <v>45931</v>
      </c>
      <c r="C187" s="21"/>
      <c r="D187" s="21"/>
      <c r="E187" s="21"/>
      <c r="F187" s="21"/>
      <c r="G187" s="56">
        <f t="shared" si="1"/>
        <v>0</v>
      </c>
      <c r="H187" s="32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</row>
    <row r="188" spans="1:19" ht="15.75" customHeight="1">
      <c r="A188" s="18">
        <v>45932</v>
      </c>
      <c r="B188" s="19">
        <v>45932</v>
      </c>
      <c r="C188" s="21"/>
      <c r="D188" s="21"/>
      <c r="E188" s="21"/>
      <c r="F188" s="21"/>
      <c r="G188" s="56">
        <f t="shared" si="1"/>
        <v>0</v>
      </c>
      <c r="H188" s="32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</row>
    <row r="189" spans="1:19" ht="15.75" customHeight="1">
      <c r="A189" s="18">
        <v>45933</v>
      </c>
      <c r="B189" s="19">
        <v>45933</v>
      </c>
      <c r="C189" s="21"/>
      <c r="D189" s="21"/>
      <c r="E189" s="21"/>
      <c r="F189" s="21"/>
      <c r="G189" s="56">
        <f t="shared" si="1"/>
        <v>0</v>
      </c>
      <c r="H189" s="32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</row>
    <row r="190" spans="1:19" ht="15.75" customHeight="1">
      <c r="A190" s="18">
        <v>45934</v>
      </c>
      <c r="B190" s="19">
        <v>45934</v>
      </c>
      <c r="C190" s="21"/>
      <c r="D190" s="21"/>
      <c r="E190" s="21"/>
      <c r="F190" s="21"/>
      <c r="G190" s="56">
        <f t="shared" si="1"/>
        <v>0</v>
      </c>
      <c r="H190" s="32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</row>
    <row r="191" spans="1:19" ht="15.75" customHeight="1">
      <c r="A191" s="18">
        <v>45935</v>
      </c>
      <c r="B191" s="19">
        <v>45935</v>
      </c>
      <c r="C191" s="21"/>
      <c r="D191" s="21"/>
      <c r="E191" s="21"/>
      <c r="F191" s="21"/>
      <c r="G191" s="56">
        <f t="shared" si="1"/>
        <v>0</v>
      </c>
      <c r="H191" s="32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</row>
    <row r="192" spans="1:19" ht="15.75" customHeight="1">
      <c r="A192" s="18">
        <v>45936</v>
      </c>
      <c r="B192" s="19">
        <v>45936</v>
      </c>
      <c r="C192" s="21"/>
      <c r="D192" s="21"/>
      <c r="E192" s="21"/>
      <c r="F192" s="21"/>
      <c r="G192" s="56">
        <f t="shared" si="1"/>
        <v>0</v>
      </c>
      <c r="H192" s="32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</row>
    <row r="193" spans="1:19" ht="15.75" customHeight="1">
      <c r="A193" s="18">
        <v>45937</v>
      </c>
      <c r="B193" s="19">
        <v>45937</v>
      </c>
      <c r="C193" s="21"/>
      <c r="D193" s="21"/>
      <c r="E193" s="21"/>
      <c r="F193" s="21"/>
      <c r="G193" s="56">
        <f t="shared" si="1"/>
        <v>0</v>
      </c>
      <c r="H193" s="32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</row>
    <row r="194" spans="1:19" ht="15.75" customHeight="1">
      <c r="A194" s="18">
        <v>45938</v>
      </c>
      <c r="B194" s="19">
        <v>45938</v>
      </c>
      <c r="C194" s="21"/>
      <c r="D194" s="21"/>
      <c r="E194" s="21"/>
      <c r="F194" s="21"/>
      <c r="G194" s="56">
        <f t="shared" si="1"/>
        <v>0</v>
      </c>
      <c r="H194" s="32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</row>
    <row r="195" spans="1:19" ht="15.75" customHeight="1">
      <c r="A195" s="18">
        <v>45939</v>
      </c>
      <c r="B195" s="19">
        <v>45939</v>
      </c>
      <c r="C195" s="21"/>
      <c r="D195" s="21"/>
      <c r="E195" s="21"/>
      <c r="F195" s="21"/>
      <c r="G195" s="56">
        <f t="shared" si="1"/>
        <v>0</v>
      </c>
      <c r="H195" s="32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</row>
    <row r="196" spans="1:19" ht="15.75" customHeight="1">
      <c r="A196" s="18">
        <v>45940</v>
      </c>
      <c r="B196" s="19">
        <v>45940</v>
      </c>
      <c r="C196" s="21"/>
      <c r="D196" s="21"/>
      <c r="E196" s="21"/>
      <c r="F196" s="21"/>
      <c r="G196" s="56">
        <f t="shared" ref="G196:G259" si="2">F196-E196</f>
        <v>0</v>
      </c>
      <c r="H196" s="32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</row>
    <row r="197" spans="1:19" ht="15.75" customHeight="1">
      <c r="A197" s="18">
        <v>45941</v>
      </c>
      <c r="B197" s="19">
        <v>45941</v>
      </c>
      <c r="C197" s="21"/>
      <c r="D197" s="21"/>
      <c r="E197" s="21"/>
      <c r="F197" s="21"/>
      <c r="G197" s="56">
        <f t="shared" si="2"/>
        <v>0</v>
      </c>
      <c r="H197" s="32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</row>
    <row r="198" spans="1:19" ht="15.75" customHeight="1">
      <c r="A198" s="18">
        <v>45942</v>
      </c>
      <c r="B198" s="19">
        <v>45942</v>
      </c>
      <c r="C198" s="21"/>
      <c r="D198" s="21"/>
      <c r="E198" s="21"/>
      <c r="F198" s="21"/>
      <c r="G198" s="56">
        <f t="shared" si="2"/>
        <v>0</v>
      </c>
      <c r="H198" s="32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</row>
    <row r="199" spans="1:19" ht="15.75" customHeight="1">
      <c r="A199" s="18">
        <v>45943</v>
      </c>
      <c r="B199" s="19">
        <v>45943</v>
      </c>
      <c r="C199" s="21"/>
      <c r="D199" s="21"/>
      <c r="E199" s="21"/>
      <c r="F199" s="21"/>
      <c r="G199" s="56">
        <f t="shared" si="2"/>
        <v>0</v>
      </c>
      <c r="H199" s="32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</row>
    <row r="200" spans="1:19" ht="15.75" customHeight="1">
      <c r="A200" s="18">
        <v>45944</v>
      </c>
      <c r="B200" s="19">
        <v>45944</v>
      </c>
      <c r="C200" s="21"/>
      <c r="D200" s="21"/>
      <c r="E200" s="21"/>
      <c r="F200" s="21"/>
      <c r="G200" s="56">
        <f t="shared" si="2"/>
        <v>0</v>
      </c>
      <c r="H200" s="32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19" ht="15.75" customHeight="1">
      <c r="A201" s="18">
        <v>45945</v>
      </c>
      <c r="B201" s="19">
        <v>45945</v>
      </c>
      <c r="C201" s="21"/>
      <c r="D201" s="21"/>
      <c r="E201" s="21"/>
      <c r="F201" s="21"/>
      <c r="G201" s="56">
        <f t="shared" si="2"/>
        <v>0</v>
      </c>
      <c r="H201" s="32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</row>
    <row r="202" spans="1:19" ht="15.75" customHeight="1">
      <c r="A202" s="18">
        <v>45946</v>
      </c>
      <c r="B202" s="19">
        <v>45946</v>
      </c>
      <c r="C202" s="21"/>
      <c r="D202" s="21"/>
      <c r="E202" s="21"/>
      <c r="F202" s="21"/>
      <c r="G202" s="56">
        <f t="shared" si="2"/>
        <v>0</v>
      </c>
      <c r="H202" s="32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</row>
    <row r="203" spans="1:19" ht="15.75" customHeight="1">
      <c r="A203" s="18">
        <v>45947</v>
      </c>
      <c r="B203" s="19">
        <v>45947</v>
      </c>
      <c r="C203" s="21"/>
      <c r="D203" s="21"/>
      <c r="E203" s="21"/>
      <c r="F203" s="21"/>
      <c r="G203" s="56">
        <f t="shared" si="2"/>
        <v>0</v>
      </c>
      <c r="H203" s="32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</row>
    <row r="204" spans="1:19" ht="15.75" customHeight="1">
      <c r="A204" s="18">
        <v>45948</v>
      </c>
      <c r="B204" s="19">
        <v>45948</v>
      </c>
      <c r="C204" s="21"/>
      <c r="D204" s="21"/>
      <c r="E204" s="21"/>
      <c r="F204" s="21"/>
      <c r="G204" s="56">
        <f t="shared" si="2"/>
        <v>0</v>
      </c>
      <c r="H204" s="32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</row>
    <row r="205" spans="1:19" ht="15.75" customHeight="1">
      <c r="A205" s="18">
        <v>45949</v>
      </c>
      <c r="B205" s="19">
        <v>45949</v>
      </c>
      <c r="C205" s="21"/>
      <c r="D205" s="21"/>
      <c r="E205" s="21"/>
      <c r="F205" s="21"/>
      <c r="G205" s="56">
        <f t="shared" si="2"/>
        <v>0</v>
      </c>
      <c r="H205" s="32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</row>
    <row r="206" spans="1:19" ht="15.75" customHeight="1">
      <c r="A206" s="18">
        <v>45950</v>
      </c>
      <c r="B206" s="19">
        <v>45950</v>
      </c>
      <c r="C206" s="21"/>
      <c r="D206" s="21"/>
      <c r="E206" s="21"/>
      <c r="F206" s="21"/>
      <c r="G206" s="56">
        <f t="shared" si="2"/>
        <v>0</v>
      </c>
      <c r="H206" s="32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</row>
    <row r="207" spans="1:19" ht="15.75" customHeight="1">
      <c r="A207" s="18">
        <v>45951</v>
      </c>
      <c r="B207" s="19">
        <v>45951</v>
      </c>
      <c r="C207" s="21"/>
      <c r="D207" s="21"/>
      <c r="E207" s="21"/>
      <c r="F207" s="21"/>
      <c r="G207" s="56">
        <f t="shared" si="2"/>
        <v>0</v>
      </c>
      <c r="H207" s="32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</row>
    <row r="208" spans="1:19" ht="15.75" customHeight="1">
      <c r="A208" s="18">
        <v>45952</v>
      </c>
      <c r="B208" s="19">
        <v>45952</v>
      </c>
      <c r="C208" s="21"/>
      <c r="D208" s="21"/>
      <c r="E208" s="21"/>
      <c r="F208" s="21"/>
      <c r="G208" s="56">
        <f t="shared" si="2"/>
        <v>0</v>
      </c>
      <c r="H208" s="32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</row>
    <row r="209" spans="1:19" ht="15.75" customHeight="1">
      <c r="A209" s="18">
        <v>45953</v>
      </c>
      <c r="B209" s="19">
        <v>45953</v>
      </c>
      <c r="C209" s="21"/>
      <c r="D209" s="21"/>
      <c r="E209" s="21"/>
      <c r="F209" s="21"/>
      <c r="G209" s="56">
        <f t="shared" si="2"/>
        <v>0</v>
      </c>
      <c r="H209" s="32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</row>
    <row r="210" spans="1:19" ht="15.75" customHeight="1">
      <c r="A210" s="18">
        <v>45954</v>
      </c>
      <c r="B210" s="19">
        <v>45954</v>
      </c>
      <c r="C210" s="21" t="s">
        <v>167</v>
      </c>
      <c r="D210" s="21" t="s">
        <v>168</v>
      </c>
      <c r="E210" s="56">
        <v>0.35763888888888901</v>
      </c>
      <c r="F210" s="56">
        <v>0.39930555555555602</v>
      </c>
      <c r="G210" s="56">
        <f t="shared" si="2"/>
        <v>4.1666666666666997E-2</v>
      </c>
      <c r="H210" s="32">
        <v>2411</v>
      </c>
      <c r="I210" s="21"/>
      <c r="J210" s="21"/>
      <c r="K210" s="21"/>
      <c r="L210" s="21" t="s">
        <v>189</v>
      </c>
      <c r="M210" s="21" t="s">
        <v>190</v>
      </c>
      <c r="N210" s="21" t="s">
        <v>191</v>
      </c>
      <c r="O210" s="21"/>
      <c r="P210" s="21"/>
      <c r="Q210" s="21"/>
      <c r="R210" s="21"/>
      <c r="S210" s="21" t="s">
        <v>192</v>
      </c>
    </row>
    <row r="211" spans="1:19" ht="15.75" customHeight="1">
      <c r="A211" s="18">
        <v>45955</v>
      </c>
      <c r="B211" s="19">
        <v>45955</v>
      </c>
      <c r="C211" s="21"/>
      <c r="D211" s="21"/>
      <c r="E211" s="21"/>
      <c r="F211" s="21"/>
      <c r="G211" s="56">
        <f t="shared" si="2"/>
        <v>0</v>
      </c>
      <c r="H211" s="32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</row>
    <row r="212" spans="1:19" ht="15.75" customHeight="1">
      <c r="A212" s="18">
        <v>45956</v>
      </c>
      <c r="B212" s="19">
        <v>45956</v>
      </c>
      <c r="C212" s="21"/>
      <c r="D212" s="21"/>
      <c r="E212" s="21"/>
      <c r="F212" s="21"/>
      <c r="G212" s="56">
        <f t="shared" si="2"/>
        <v>0</v>
      </c>
      <c r="H212" s="32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</row>
    <row r="213" spans="1:19" ht="15.75" customHeight="1">
      <c r="A213" s="18">
        <v>45957</v>
      </c>
      <c r="B213" s="19">
        <v>45957</v>
      </c>
      <c r="C213" s="21"/>
      <c r="D213" s="21"/>
      <c r="E213" s="21"/>
      <c r="F213" s="21"/>
      <c r="G213" s="56">
        <f t="shared" si="2"/>
        <v>0</v>
      </c>
      <c r="H213" s="32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</row>
    <row r="214" spans="1:19" ht="15.75" customHeight="1">
      <c r="A214" s="18">
        <v>45958</v>
      </c>
      <c r="B214" s="19">
        <v>45958</v>
      </c>
      <c r="C214" s="21"/>
      <c r="D214" s="21"/>
      <c r="E214" s="21"/>
      <c r="F214" s="21"/>
      <c r="G214" s="56">
        <f t="shared" si="2"/>
        <v>0</v>
      </c>
      <c r="H214" s="32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</row>
    <row r="215" spans="1:19" ht="15.75" customHeight="1">
      <c r="A215" s="18">
        <v>45959</v>
      </c>
      <c r="B215" s="19">
        <v>45959</v>
      </c>
      <c r="C215" s="21"/>
      <c r="D215" s="21"/>
      <c r="E215" s="21"/>
      <c r="F215" s="21"/>
      <c r="G215" s="56">
        <f t="shared" si="2"/>
        <v>0</v>
      </c>
      <c r="H215" s="32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</row>
    <row r="216" spans="1:19" ht="15.75" customHeight="1">
      <c r="A216" s="18">
        <v>45960</v>
      </c>
      <c r="B216" s="19">
        <v>45960</v>
      </c>
      <c r="C216" s="21"/>
      <c r="D216" s="21"/>
      <c r="E216" s="21"/>
      <c r="F216" s="21"/>
      <c r="G216" s="56">
        <f t="shared" si="2"/>
        <v>0</v>
      </c>
      <c r="H216" s="32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</row>
    <row r="217" spans="1:19" ht="15.75" customHeight="1">
      <c r="A217" s="18">
        <v>45961</v>
      </c>
      <c r="B217" s="19">
        <v>45961</v>
      </c>
      <c r="C217" s="21"/>
      <c r="D217" s="21"/>
      <c r="E217" s="21"/>
      <c r="F217" s="21"/>
      <c r="G217" s="56">
        <f t="shared" si="2"/>
        <v>0</v>
      </c>
      <c r="H217" s="32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</row>
    <row r="218" spans="1:19" ht="15.75" customHeight="1">
      <c r="A218" s="18">
        <v>45962</v>
      </c>
      <c r="B218" s="19">
        <v>45962</v>
      </c>
      <c r="C218" s="21"/>
      <c r="D218" s="21"/>
      <c r="E218" s="21"/>
      <c r="F218" s="21"/>
      <c r="G218" s="56">
        <f t="shared" si="2"/>
        <v>0</v>
      </c>
      <c r="H218" s="32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</row>
    <row r="219" spans="1:19" ht="15.75" customHeight="1">
      <c r="A219" s="18">
        <v>45963</v>
      </c>
      <c r="B219" s="19">
        <v>45963</v>
      </c>
      <c r="C219" s="21"/>
      <c r="D219" s="21"/>
      <c r="E219" s="21"/>
      <c r="F219" s="21"/>
      <c r="G219" s="56">
        <f t="shared" si="2"/>
        <v>0</v>
      </c>
      <c r="H219" s="32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</row>
    <row r="220" spans="1:19" ht="15.75" customHeight="1">
      <c r="A220" s="18">
        <v>45964</v>
      </c>
      <c r="B220" s="19">
        <v>45964</v>
      </c>
      <c r="C220" s="21"/>
      <c r="D220" s="21"/>
      <c r="E220" s="21"/>
      <c r="F220" s="21"/>
      <c r="G220" s="56">
        <f t="shared" si="2"/>
        <v>0</v>
      </c>
      <c r="H220" s="32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</row>
    <row r="221" spans="1:19" ht="15.75" customHeight="1">
      <c r="A221" s="18">
        <v>45965</v>
      </c>
      <c r="B221" s="19">
        <v>45965</v>
      </c>
      <c r="C221" s="21"/>
      <c r="D221" s="21"/>
      <c r="E221" s="21"/>
      <c r="F221" s="21"/>
      <c r="G221" s="56">
        <f t="shared" si="2"/>
        <v>0</v>
      </c>
      <c r="H221" s="32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</row>
    <row r="222" spans="1:19" ht="15.75" customHeight="1">
      <c r="A222" s="18">
        <v>45966</v>
      </c>
      <c r="B222" s="19">
        <v>45966</v>
      </c>
      <c r="C222" s="21"/>
      <c r="D222" s="21"/>
      <c r="E222" s="21"/>
      <c r="F222" s="21"/>
      <c r="G222" s="56">
        <f t="shared" si="2"/>
        <v>0</v>
      </c>
      <c r="H222" s="32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</row>
    <row r="223" spans="1:19" ht="15.75" customHeight="1">
      <c r="A223" s="18">
        <v>45967</v>
      </c>
      <c r="B223" s="19">
        <v>45967</v>
      </c>
      <c r="C223" s="21"/>
      <c r="D223" s="21"/>
      <c r="E223" s="21"/>
      <c r="F223" s="21"/>
      <c r="G223" s="56">
        <f t="shared" si="2"/>
        <v>0</v>
      </c>
      <c r="H223" s="32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</row>
    <row r="224" spans="1:19" ht="15.75" customHeight="1">
      <c r="A224" s="18">
        <v>45968</v>
      </c>
      <c r="B224" s="19">
        <v>45968</v>
      </c>
      <c r="C224" s="21"/>
      <c r="D224" s="21"/>
      <c r="E224" s="21"/>
      <c r="F224" s="21"/>
      <c r="G224" s="56">
        <f t="shared" si="2"/>
        <v>0</v>
      </c>
      <c r="H224" s="32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</row>
    <row r="225" spans="1:19" ht="15.75" customHeight="1">
      <c r="A225" s="18">
        <v>45969</v>
      </c>
      <c r="B225" s="19">
        <v>45969</v>
      </c>
      <c r="C225" s="21"/>
      <c r="D225" s="21"/>
      <c r="E225" s="21"/>
      <c r="F225" s="21"/>
      <c r="G225" s="56">
        <f t="shared" si="2"/>
        <v>0</v>
      </c>
      <c r="H225" s="32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</row>
    <row r="226" spans="1:19" ht="15.75" customHeight="1">
      <c r="A226" s="18">
        <v>45970</v>
      </c>
      <c r="B226" s="19">
        <v>45970</v>
      </c>
      <c r="C226" s="21"/>
      <c r="D226" s="21"/>
      <c r="E226" s="21"/>
      <c r="F226" s="21"/>
      <c r="G226" s="56">
        <f t="shared" si="2"/>
        <v>0</v>
      </c>
      <c r="H226" s="32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</row>
    <row r="227" spans="1:19" ht="15.75" customHeight="1">
      <c r="A227" s="18">
        <v>45971</v>
      </c>
      <c r="B227" s="19">
        <v>45971</v>
      </c>
      <c r="C227" s="21"/>
      <c r="D227" s="21"/>
      <c r="E227" s="21"/>
      <c r="F227" s="21"/>
      <c r="G227" s="56">
        <f t="shared" si="2"/>
        <v>0</v>
      </c>
      <c r="H227" s="32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</row>
    <row r="228" spans="1:19" ht="15.75" customHeight="1">
      <c r="A228" s="18">
        <v>45972</v>
      </c>
      <c r="B228" s="19">
        <v>45972</v>
      </c>
      <c r="C228" s="21"/>
      <c r="D228" s="21"/>
      <c r="E228" s="21"/>
      <c r="F228" s="21"/>
      <c r="G228" s="56">
        <f t="shared" si="2"/>
        <v>0</v>
      </c>
      <c r="H228" s="32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</row>
    <row r="229" spans="1:19" ht="15.75" customHeight="1">
      <c r="A229" s="18">
        <v>45973</v>
      </c>
      <c r="B229" s="19">
        <v>45973</v>
      </c>
      <c r="C229" s="21"/>
      <c r="D229" s="21"/>
      <c r="E229" s="21"/>
      <c r="F229" s="21"/>
      <c r="G229" s="56">
        <f t="shared" si="2"/>
        <v>0</v>
      </c>
      <c r="H229" s="32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</row>
    <row r="230" spans="1:19" ht="15.75" customHeight="1">
      <c r="A230" s="18">
        <v>45974</v>
      </c>
      <c r="B230" s="19">
        <v>45974</v>
      </c>
      <c r="C230" s="21"/>
      <c r="D230" s="21"/>
      <c r="E230" s="21"/>
      <c r="F230" s="21"/>
      <c r="G230" s="56">
        <f t="shared" si="2"/>
        <v>0</v>
      </c>
      <c r="H230" s="32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</row>
    <row r="231" spans="1:19" ht="15.75" customHeight="1">
      <c r="A231" s="18">
        <v>45975</v>
      </c>
      <c r="B231" s="19">
        <v>45975</v>
      </c>
      <c r="C231" s="21"/>
      <c r="D231" s="21"/>
      <c r="E231" s="21"/>
      <c r="F231" s="21"/>
      <c r="G231" s="56">
        <f t="shared" si="2"/>
        <v>0</v>
      </c>
      <c r="H231" s="32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</row>
    <row r="232" spans="1:19" ht="15.75" customHeight="1">
      <c r="A232" s="18">
        <v>45976</v>
      </c>
      <c r="B232" s="19">
        <v>45976</v>
      </c>
      <c r="C232" s="21"/>
      <c r="D232" s="21"/>
      <c r="E232" s="21"/>
      <c r="F232" s="21"/>
      <c r="G232" s="56">
        <f t="shared" si="2"/>
        <v>0</v>
      </c>
      <c r="H232" s="32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</row>
    <row r="233" spans="1:19" ht="15.75" customHeight="1">
      <c r="A233" s="18">
        <v>45977</v>
      </c>
      <c r="B233" s="19">
        <v>45977</v>
      </c>
      <c r="C233" s="21"/>
      <c r="D233" s="21"/>
      <c r="E233" s="21"/>
      <c r="F233" s="21"/>
      <c r="G233" s="56">
        <f t="shared" si="2"/>
        <v>0</v>
      </c>
      <c r="H233" s="32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</row>
    <row r="234" spans="1:19" ht="15.75" customHeight="1">
      <c r="A234" s="18">
        <v>45978</v>
      </c>
      <c r="B234" s="19">
        <v>45978</v>
      </c>
      <c r="C234" s="21"/>
      <c r="D234" s="21"/>
      <c r="E234" s="21"/>
      <c r="F234" s="21"/>
      <c r="G234" s="56">
        <f t="shared" si="2"/>
        <v>0</v>
      </c>
      <c r="H234" s="32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</row>
    <row r="235" spans="1:19" ht="15.75" customHeight="1">
      <c r="A235" s="18">
        <v>45979</v>
      </c>
      <c r="B235" s="19">
        <v>45979</v>
      </c>
      <c r="C235" s="21"/>
      <c r="D235" s="21"/>
      <c r="E235" s="21"/>
      <c r="F235" s="21"/>
      <c r="G235" s="56">
        <f t="shared" si="2"/>
        <v>0</v>
      </c>
      <c r="H235" s="32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</row>
    <row r="236" spans="1:19" ht="15.75" customHeight="1">
      <c r="A236" s="18">
        <v>45980</v>
      </c>
      <c r="B236" s="19">
        <v>45980</v>
      </c>
      <c r="C236" s="21"/>
      <c r="D236" s="21"/>
      <c r="E236" s="21"/>
      <c r="F236" s="21"/>
      <c r="G236" s="56">
        <f t="shared" si="2"/>
        <v>0</v>
      </c>
      <c r="H236" s="32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</row>
    <row r="237" spans="1:19" ht="15.75" customHeight="1">
      <c r="A237" s="18">
        <v>45981</v>
      </c>
      <c r="B237" s="19">
        <v>45981</v>
      </c>
      <c r="C237" s="21"/>
      <c r="D237" s="21"/>
      <c r="E237" s="21"/>
      <c r="F237" s="21"/>
      <c r="G237" s="56">
        <f t="shared" si="2"/>
        <v>0</v>
      </c>
      <c r="H237" s="32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</row>
    <row r="238" spans="1:19" ht="15.75" customHeight="1">
      <c r="A238" s="18">
        <v>45982</v>
      </c>
      <c r="B238" s="19">
        <v>45982</v>
      </c>
      <c r="C238" s="21"/>
      <c r="D238" s="21"/>
      <c r="E238" s="21"/>
      <c r="F238" s="21"/>
      <c r="G238" s="56">
        <f t="shared" si="2"/>
        <v>0</v>
      </c>
      <c r="H238" s="32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</row>
    <row r="239" spans="1:19" ht="15.75" customHeight="1">
      <c r="A239" s="18">
        <v>45983</v>
      </c>
      <c r="B239" s="19">
        <v>45983</v>
      </c>
      <c r="C239" s="21"/>
      <c r="D239" s="21"/>
      <c r="E239" s="21"/>
      <c r="F239" s="21"/>
      <c r="G239" s="56">
        <f t="shared" si="2"/>
        <v>0</v>
      </c>
      <c r="H239" s="32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</row>
    <row r="240" spans="1:19" ht="15.75" customHeight="1">
      <c r="A240" s="18">
        <v>45984</v>
      </c>
      <c r="B240" s="19">
        <v>45984</v>
      </c>
      <c r="C240" s="21"/>
      <c r="D240" s="21"/>
      <c r="E240" s="21"/>
      <c r="F240" s="21"/>
      <c r="G240" s="56">
        <f t="shared" si="2"/>
        <v>0</v>
      </c>
      <c r="H240" s="32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</row>
    <row r="241" spans="1:19" ht="15.75" customHeight="1">
      <c r="A241" s="18">
        <v>45985</v>
      </c>
      <c r="B241" s="19">
        <v>45985</v>
      </c>
      <c r="C241" s="21"/>
      <c r="D241" s="21"/>
      <c r="E241" s="21"/>
      <c r="F241" s="21"/>
      <c r="G241" s="56">
        <f t="shared" si="2"/>
        <v>0</v>
      </c>
      <c r="H241" s="32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</row>
    <row r="242" spans="1:19" ht="15.75" customHeight="1">
      <c r="A242" s="18">
        <v>45986</v>
      </c>
      <c r="B242" s="19">
        <v>45986</v>
      </c>
      <c r="C242" s="21"/>
      <c r="D242" s="21"/>
      <c r="E242" s="21"/>
      <c r="F242" s="21"/>
      <c r="G242" s="56">
        <f t="shared" si="2"/>
        <v>0</v>
      </c>
      <c r="H242" s="32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</row>
    <row r="243" spans="1:19" ht="15.75" customHeight="1">
      <c r="A243" s="18">
        <v>45987</v>
      </c>
      <c r="B243" s="19">
        <v>45987</v>
      </c>
      <c r="C243" s="21"/>
      <c r="D243" s="21"/>
      <c r="E243" s="21"/>
      <c r="F243" s="21"/>
      <c r="G243" s="56">
        <f t="shared" si="2"/>
        <v>0</v>
      </c>
      <c r="H243" s="32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</row>
    <row r="244" spans="1:19" ht="15.75" customHeight="1">
      <c r="A244" s="18">
        <v>45988</v>
      </c>
      <c r="B244" s="19">
        <v>45988</v>
      </c>
      <c r="C244" s="21"/>
      <c r="D244" s="21"/>
      <c r="E244" s="21"/>
      <c r="F244" s="21"/>
      <c r="G244" s="56">
        <f t="shared" si="2"/>
        <v>0</v>
      </c>
      <c r="H244" s="32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</row>
    <row r="245" spans="1:19" ht="15.75" customHeight="1">
      <c r="A245" s="18">
        <v>45989</v>
      </c>
      <c r="B245" s="19">
        <v>45989</v>
      </c>
      <c r="C245" s="21"/>
      <c r="D245" s="21"/>
      <c r="E245" s="21"/>
      <c r="F245" s="21"/>
      <c r="G245" s="56">
        <f t="shared" si="2"/>
        <v>0</v>
      </c>
      <c r="H245" s="32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</row>
    <row r="246" spans="1:19" ht="15.75" customHeight="1">
      <c r="A246" s="18">
        <v>45990</v>
      </c>
      <c r="B246" s="19">
        <v>45990</v>
      </c>
      <c r="C246" s="21"/>
      <c r="D246" s="21"/>
      <c r="E246" s="21"/>
      <c r="F246" s="21"/>
      <c r="G246" s="56">
        <f t="shared" si="2"/>
        <v>0</v>
      </c>
      <c r="H246" s="32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</row>
    <row r="247" spans="1:19" ht="15.75" customHeight="1">
      <c r="A247" s="18">
        <v>45991</v>
      </c>
      <c r="B247" s="19">
        <v>45991</v>
      </c>
      <c r="C247" s="21"/>
      <c r="D247" s="21"/>
      <c r="E247" s="21"/>
      <c r="F247" s="21"/>
      <c r="G247" s="56">
        <f t="shared" si="2"/>
        <v>0</v>
      </c>
      <c r="H247" s="32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</row>
    <row r="248" spans="1:19" ht="15.75" customHeight="1">
      <c r="A248" s="18">
        <v>45992</v>
      </c>
      <c r="B248" s="19">
        <v>45992</v>
      </c>
      <c r="C248" s="21"/>
      <c r="D248" s="21"/>
      <c r="E248" s="21"/>
      <c r="F248" s="21"/>
      <c r="G248" s="56">
        <f t="shared" si="2"/>
        <v>0</v>
      </c>
      <c r="H248" s="32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</row>
    <row r="249" spans="1:19" ht="15.75" customHeight="1">
      <c r="A249" s="18">
        <v>45993</v>
      </c>
      <c r="B249" s="19">
        <v>45993</v>
      </c>
      <c r="C249" s="21"/>
      <c r="D249" s="21"/>
      <c r="E249" s="21"/>
      <c r="F249" s="21"/>
      <c r="G249" s="56">
        <f t="shared" si="2"/>
        <v>0</v>
      </c>
      <c r="H249" s="32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</row>
    <row r="250" spans="1:19" ht="15.75" customHeight="1">
      <c r="A250" s="18">
        <v>45994</v>
      </c>
      <c r="B250" s="19">
        <v>45994</v>
      </c>
      <c r="C250" s="21"/>
      <c r="D250" s="21"/>
      <c r="E250" s="21"/>
      <c r="F250" s="21"/>
      <c r="G250" s="56">
        <f t="shared" si="2"/>
        <v>0</v>
      </c>
      <c r="H250" s="32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</row>
    <row r="251" spans="1:19" ht="15.75" customHeight="1">
      <c r="A251" s="18">
        <v>45995</v>
      </c>
      <c r="B251" s="19">
        <v>45995</v>
      </c>
      <c r="C251" s="21"/>
      <c r="D251" s="21"/>
      <c r="E251" s="21"/>
      <c r="F251" s="21"/>
      <c r="G251" s="56">
        <f t="shared" si="2"/>
        <v>0</v>
      </c>
      <c r="H251" s="32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</row>
    <row r="252" spans="1:19" ht="15.75" customHeight="1">
      <c r="A252" s="18">
        <v>45996</v>
      </c>
      <c r="B252" s="19">
        <v>45996</v>
      </c>
      <c r="C252" s="21"/>
      <c r="D252" s="21"/>
      <c r="E252" s="21"/>
      <c r="F252" s="21"/>
      <c r="G252" s="56">
        <f t="shared" si="2"/>
        <v>0</v>
      </c>
      <c r="H252" s="32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</row>
    <row r="253" spans="1:19" ht="15.75" customHeight="1">
      <c r="A253" s="18">
        <v>45997</v>
      </c>
      <c r="B253" s="19">
        <v>45997</v>
      </c>
      <c r="C253" s="21"/>
      <c r="D253" s="21"/>
      <c r="E253" s="21"/>
      <c r="F253" s="21"/>
      <c r="G253" s="56">
        <f t="shared" si="2"/>
        <v>0</v>
      </c>
      <c r="H253" s="32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</row>
    <row r="254" spans="1:19" ht="15.75" customHeight="1">
      <c r="A254" s="18">
        <v>45998</v>
      </c>
      <c r="B254" s="19">
        <v>45998</v>
      </c>
      <c r="C254" s="21"/>
      <c r="D254" s="21"/>
      <c r="E254" s="21"/>
      <c r="F254" s="21"/>
      <c r="G254" s="56">
        <f t="shared" si="2"/>
        <v>0</v>
      </c>
      <c r="H254" s="32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</row>
    <row r="255" spans="1:19" ht="15.75" customHeight="1">
      <c r="A255" s="18">
        <v>45999</v>
      </c>
      <c r="B255" s="19">
        <v>45999</v>
      </c>
      <c r="C255" s="21"/>
      <c r="D255" s="21"/>
      <c r="E255" s="21"/>
      <c r="F255" s="21"/>
      <c r="G255" s="56">
        <f t="shared" si="2"/>
        <v>0</v>
      </c>
      <c r="H255" s="32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</row>
    <row r="256" spans="1:19" ht="15.75" customHeight="1">
      <c r="A256" s="18">
        <v>46000</v>
      </c>
      <c r="B256" s="19">
        <v>46000</v>
      </c>
      <c r="C256" s="21"/>
      <c r="D256" s="21"/>
      <c r="E256" s="21"/>
      <c r="F256" s="21"/>
      <c r="G256" s="56">
        <f t="shared" si="2"/>
        <v>0</v>
      </c>
      <c r="H256" s="32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</row>
    <row r="257" spans="1:19" ht="15.75" customHeight="1">
      <c r="A257" s="18">
        <v>46001</v>
      </c>
      <c r="B257" s="19">
        <v>46001</v>
      </c>
      <c r="C257" s="21"/>
      <c r="D257" s="21"/>
      <c r="E257" s="21"/>
      <c r="F257" s="21"/>
      <c r="G257" s="56">
        <f t="shared" si="2"/>
        <v>0</v>
      </c>
      <c r="H257" s="32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</row>
    <row r="258" spans="1:19" ht="15.75" customHeight="1">
      <c r="A258" s="18">
        <v>46002</v>
      </c>
      <c r="B258" s="19">
        <v>46002</v>
      </c>
      <c r="C258" s="21"/>
      <c r="D258" s="21"/>
      <c r="E258" s="21"/>
      <c r="F258" s="21"/>
      <c r="G258" s="56">
        <f t="shared" si="2"/>
        <v>0</v>
      </c>
      <c r="H258" s="32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</row>
    <row r="259" spans="1:19" ht="15.75" customHeight="1">
      <c r="A259" s="18">
        <v>46003</v>
      </c>
      <c r="B259" s="19">
        <v>46003</v>
      </c>
      <c r="C259" s="21"/>
      <c r="D259" s="21"/>
      <c r="E259" s="21"/>
      <c r="F259" s="21"/>
      <c r="G259" s="56">
        <f t="shared" si="2"/>
        <v>0</v>
      </c>
      <c r="H259" s="32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</row>
    <row r="260" spans="1:19" ht="15.75" customHeight="1">
      <c r="A260" s="18">
        <v>46004</v>
      </c>
      <c r="B260" s="19">
        <v>46004</v>
      </c>
      <c r="C260" s="21"/>
      <c r="D260" s="21"/>
      <c r="E260" s="21"/>
      <c r="F260" s="21"/>
      <c r="G260" s="56">
        <f t="shared" ref="G260:G323" si="3">F260-E260</f>
        <v>0</v>
      </c>
      <c r="H260" s="32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</row>
    <row r="261" spans="1:19" ht="15.75" customHeight="1">
      <c r="A261" s="18">
        <v>46005</v>
      </c>
      <c r="B261" s="19">
        <v>46005</v>
      </c>
      <c r="C261" s="21"/>
      <c r="D261" s="21"/>
      <c r="E261" s="21"/>
      <c r="F261" s="21"/>
      <c r="G261" s="56">
        <f t="shared" si="3"/>
        <v>0</v>
      </c>
      <c r="H261" s="32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</row>
    <row r="262" spans="1:19" ht="15.75" customHeight="1">
      <c r="A262" s="18">
        <v>46006</v>
      </c>
      <c r="B262" s="19">
        <v>46006</v>
      </c>
      <c r="C262" s="21"/>
      <c r="D262" s="21"/>
      <c r="E262" s="21"/>
      <c r="F262" s="21"/>
      <c r="G262" s="56">
        <f t="shared" si="3"/>
        <v>0</v>
      </c>
      <c r="H262" s="32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</row>
    <row r="263" spans="1:19" ht="15.75" customHeight="1">
      <c r="A263" s="18">
        <v>46007</v>
      </c>
      <c r="B263" s="19">
        <v>46007</v>
      </c>
      <c r="C263" s="21"/>
      <c r="D263" s="21"/>
      <c r="E263" s="21"/>
      <c r="F263" s="21"/>
      <c r="G263" s="56">
        <f t="shared" si="3"/>
        <v>0</v>
      </c>
      <c r="H263" s="32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</row>
    <row r="264" spans="1:19" ht="15.75" customHeight="1">
      <c r="A264" s="18">
        <v>46008</v>
      </c>
      <c r="B264" s="19">
        <v>46008</v>
      </c>
      <c r="C264" s="21"/>
      <c r="D264" s="21"/>
      <c r="E264" s="21"/>
      <c r="F264" s="21"/>
      <c r="G264" s="56">
        <f t="shared" si="3"/>
        <v>0</v>
      </c>
      <c r="H264" s="32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</row>
    <row r="265" spans="1:19" ht="15.75" customHeight="1">
      <c r="A265" s="18">
        <v>46009</v>
      </c>
      <c r="B265" s="19">
        <v>46009</v>
      </c>
      <c r="C265" s="21"/>
      <c r="D265" s="21"/>
      <c r="E265" s="21"/>
      <c r="F265" s="21"/>
      <c r="G265" s="56">
        <f t="shared" si="3"/>
        <v>0</v>
      </c>
      <c r="H265" s="32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</row>
    <row r="266" spans="1:19" ht="15.75" customHeight="1">
      <c r="A266" s="18">
        <v>46010</v>
      </c>
      <c r="B266" s="19">
        <v>46010</v>
      </c>
      <c r="C266" s="21"/>
      <c r="D266" s="21"/>
      <c r="E266" s="21"/>
      <c r="F266" s="21"/>
      <c r="G266" s="56">
        <f t="shared" si="3"/>
        <v>0</v>
      </c>
      <c r="H266" s="32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</row>
    <row r="267" spans="1:19" ht="15.75" customHeight="1">
      <c r="A267" s="18">
        <v>46011</v>
      </c>
      <c r="B267" s="19">
        <v>46011</v>
      </c>
      <c r="C267" s="21"/>
      <c r="D267" s="21"/>
      <c r="E267" s="21"/>
      <c r="F267" s="21"/>
      <c r="G267" s="56">
        <f t="shared" si="3"/>
        <v>0</v>
      </c>
      <c r="H267" s="32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</row>
    <row r="268" spans="1:19" ht="15.75" customHeight="1">
      <c r="A268" s="18">
        <v>46012</v>
      </c>
      <c r="B268" s="19">
        <v>46012</v>
      </c>
      <c r="C268" s="21"/>
      <c r="D268" s="21"/>
      <c r="E268" s="21"/>
      <c r="F268" s="21"/>
      <c r="G268" s="56">
        <f t="shared" si="3"/>
        <v>0</v>
      </c>
      <c r="H268" s="32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19" ht="15.75" customHeight="1">
      <c r="A269" s="18">
        <v>46013</v>
      </c>
      <c r="B269" s="19">
        <v>46013</v>
      </c>
      <c r="C269" s="21"/>
      <c r="D269" s="21"/>
      <c r="E269" s="21"/>
      <c r="F269" s="21"/>
      <c r="G269" s="56">
        <f t="shared" si="3"/>
        <v>0</v>
      </c>
      <c r="H269" s="32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</row>
    <row r="270" spans="1:19" ht="15.75" customHeight="1">
      <c r="A270" s="18">
        <v>46014</v>
      </c>
      <c r="B270" s="19">
        <v>46014</v>
      </c>
      <c r="C270" s="21"/>
      <c r="D270" s="21"/>
      <c r="E270" s="21"/>
      <c r="F270" s="21"/>
      <c r="G270" s="56">
        <f t="shared" si="3"/>
        <v>0</v>
      </c>
      <c r="H270" s="32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</row>
    <row r="271" spans="1:19" ht="15.75" customHeight="1">
      <c r="A271" s="18">
        <v>46015</v>
      </c>
      <c r="B271" s="19">
        <v>46015</v>
      </c>
      <c r="C271" s="21"/>
      <c r="D271" s="21"/>
      <c r="E271" s="21"/>
      <c r="F271" s="21"/>
      <c r="G271" s="56">
        <f t="shared" si="3"/>
        <v>0</v>
      </c>
      <c r="H271" s="32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</row>
    <row r="272" spans="1:19" ht="15.75" customHeight="1">
      <c r="A272" s="18">
        <v>46016</v>
      </c>
      <c r="B272" s="19">
        <v>46016</v>
      </c>
      <c r="C272" s="21"/>
      <c r="D272" s="21"/>
      <c r="E272" s="21"/>
      <c r="F272" s="21"/>
      <c r="G272" s="56">
        <f t="shared" si="3"/>
        <v>0</v>
      </c>
      <c r="H272" s="32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</row>
    <row r="273" spans="1:19" ht="15.75" customHeight="1">
      <c r="A273" s="18">
        <v>46017</v>
      </c>
      <c r="B273" s="19">
        <v>46017</v>
      </c>
      <c r="C273" s="21"/>
      <c r="D273" s="21"/>
      <c r="E273" s="21"/>
      <c r="F273" s="21"/>
      <c r="G273" s="56">
        <f t="shared" si="3"/>
        <v>0</v>
      </c>
      <c r="H273" s="32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</row>
    <row r="274" spans="1:19" ht="15.75" customHeight="1">
      <c r="A274" s="18">
        <v>46018</v>
      </c>
      <c r="B274" s="19">
        <v>46018</v>
      </c>
      <c r="C274" s="21"/>
      <c r="D274" s="21"/>
      <c r="E274" s="21"/>
      <c r="F274" s="21"/>
      <c r="G274" s="56">
        <f t="shared" si="3"/>
        <v>0</v>
      </c>
      <c r="H274" s="32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</row>
    <row r="275" spans="1:19" ht="15.75" customHeight="1">
      <c r="A275" s="18">
        <v>46019</v>
      </c>
      <c r="B275" s="19">
        <v>46019</v>
      </c>
      <c r="C275" s="21"/>
      <c r="D275" s="21"/>
      <c r="E275" s="21"/>
      <c r="F275" s="21"/>
      <c r="G275" s="56">
        <f t="shared" si="3"/>
        <v>0</v>
      </c>
      <c r="H275" s="32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</row>
    <row r="276" spans="1:19" ht="15.75" customHeight="1">
      <c r="A276" s="18">
        <v>46020</v>
      </c>
      <c r="B276" s="19">
        <v>46020</v>
      </c>
      <c r="C276" s="21"/>
      <c r="D276" s="21"/>
      <c r="E276" s="21"/>
      <c r="F276" s="21"/>
      <c r="G276" s="56">
        <f t="shared" si="3"/>
        <v>0</v>
      </c>
      <c r="H276" s="32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</row>
    <row r="277" spans="1:19" ht="15.75" customHeight="1">
      <c r="A277" s="18">
        <v>46021</v>
      </c>
      <c r="B277" s="19">
        <v>46021</v>
      </c>
      <c r="C277" s="21"/>
      <c r="D277" s="21"/>
      <c r="E277" s="21"/>
      <c r="F277" s="21"/>
      <c r="G277" s="56">
        <f t="shared" si="3"/>
        <v>0</v>
      </c>
      <c r="H277" s="32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</row>
    <row r="278" spans="1:19" ht="15.75" customHeight="1">
      <c r="A278" s="18">
        <v>46022</v>
      </c>
      <c r="B278" s="19">
        <v>46022</v>
      </c>
      <c r="C278" s="21"/>
      <c r="D278" s="21"/>
      <c r="E278" s="21"/>
      <c r="F278" s="21"/>
      <c r="G278" s="56">
        <f t="shared" si="3"/>
        <v>0</v>
      </c>
      <c r="H278" s="32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</row>
    <row r="279" spans="1:19" ht="15.75" customHeight="1">
      <c r="A279" s="18">
        <v>46023</v>
      </c>
      <c r="B279" s="19">
        <v>46023</v>
      </c>
      <c r="C279" s="21"/>
      <c r="D279" s="21"/>
      <c r="E279" s="21"/>
      <c r="F279" s="21"/>
      <c r="G279" s="56">
        <f t="shared" si="3"/>
        <v>0</v>
      </c>
      <c r="H279" s="32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</row>
    <row r="280" spans="1:19" ht="15.75" customHeight="1">
      <c r="A280" s="18">
        <v>46024</v>
      </c>
      <c r="B280" s="19">
        <v>46024</v>
      </c>
      <c r="C280" s="21"/>
      <c r="D280" s="21"/>
      <c r="E280" s="21"/>
      <c r="F280" s="21"/>
      <c r="G280" s="56">
        <f t="shared" si="3"/>
        <v>0</v>
      </c>
      <c r="H280" s="32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</row>
    <row r="281" spans="1:19" ht="15.75" customHeight="1">
      <c r="A281" s="18">
        <v>46025</v>
      </c>
      <c r="B281" s="19">
        <v>46025</v>
      </c>
      <c r="C281" s="21"/>
      <c r="D281" s="21"/>
      <c r="E281" s="21"/>
      <c r="F281" s="21"/>
      <c r="G281" s="56">
        <f t="shared" si="3"/>
        <v>0</v>
      </c>
      <c r="H281" s="32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</row>
    <row r="282" spans="1:19" ht="15.75" customHeight="1">
      <c r="A282" s="18">
        <v>46026</v>
      </c>
      <c r="B282" s="19">
        <v>46026</v>
      </c>
      <c r="C282" s="21"/>
      <c r="D282" s="21"/>
      <c r="E282" s="21"/>
      <c r="F282" s="21"/>
      <c r="G282" s="56">
        <f t="shared" si="3"/>
        <v>0</v>
      </c>
      <c r="H282" s="32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</row>
    <row r="283" spans="1:19" ht="15.75" customHeight="1">
      <c r="A283" s="18">
        <v>46027</v>
      </c>
      <c r="B283" s="19">
        <v>46027</v>
      </c>
      <c r="C283" s="21"/>
      <c r="D283" s="21"/>
      <c r="E283" s="21"/>
      <c r="F283" s="21"/>
      <c r="G283" s="56">
        <f t="shared" si="3"/>
        <v>0</v>
      </c>
      <c r="H283" s="32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</row>
    <row r="284" spans="1:19" ht="15.75" customHeight="1">
      <c r="A284" s="18">
        <v>46028</v>
      </c>
      <c r="B284" s="19">
        <v>46028</v>
      </c>
      <c r="C284" s="21"/>
      <c r="D284" s="21"/>
      <c r="E284" s="21"/>
      <c r="F284" s="21"/>
      <c r="G284" s="56">
        <f t="shared" si="3"/>
        <v>0</v>
      </c>
      <c r="H284" s="32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</row>
    <row r="285" spans="1:19" ht="15.75" customHeight="1">
      <c r="A285" s="18">
        <v>46029</v>
      </c>
      <c r="B285" s="19">
        <v>46029</v>
      </c>
      <c r="C285" s="21"/>
      <c r="D285" s="21"/>
      <c r="E285" s="21"/>
      <c r="F285" s="21"/>
      <c r="G285" s="56">
        <f t="shared" si="3"/>
        <v>0</v>
      </c>
      <c r="H285" s="32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</row>
    <row r="286" spans="1:19" ht="15.75" customHeight="1">
      <c r="A286" s="18">
        <v>46030</v>
      </c>
      <c r="B286" s="19">
        <v>46030</v>
      </c>
      <c r="C286" s="21"/>
      <c r="D286" s="21"/>
      <c r="E286" s="21"/>
      <c r="F286" s="21"/>
      <c r="G286" s="56">
        <f t="shared" si="3"/>
        <v>0</v>
      </c>
      <c r="H286" s="32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</row>
    <row r="287" spans="1:19" ht="15.75" customHeight="1">
      <c r="A287" s="18">
        <v>46031</v>
      </c>
      <c r="B287" s="19">
        <v>46031</v>
      </c>
      <c r="C287" s="21"/>
      <c r="D287" s="21"/>
      <c r="E287" s="21"/>
      <c r="F287" s="21"/>
      <c r="G287" s="56">
        <f t="shared" si="3"/>
        <v>0</v>
      </c>
      <c r="H287" s="32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</row>
    <row r="288" spans="1:19" ht="15.75" customHeight="1">
      <c r="A288" s="18">
        <v>46032</v>
      </c>
      <c r="B288" s="19">
        <v>46032</v>
      </c>
      <c r="C288" s="21"/>
      <c r="D288" s="21"/>
      <c r="E288" s="21"/>
      <c r="F288" s="21"/>
      <c r="G288" s="56">
        <f t="shared" si="3"/>
        <v>0</v>
      </c>
      <c r="H288" s="32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</row>
    <row r="289" spans="1:19" ht="15.75" customHeight="1">
      <c r="A289" s="18">
        <v>46033</v>
      </c>
      <c r="B289" s="19">
        <v>46033</v>
      </c>
      <c r="C289" s="21"/>
      <c r="D289" s="21"/>
      <c r="E289" s="21"/>
      <c r="F289" s="21"/>
      <c r="G289" s="56">
        <f t="shared" si="3"/>
        <v>0</v>
      </c>
      <c r="H289" s="32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</row>
    <row r="290" spans="1:19" ht="15.75" customHeight="1">
      <c r="A290" s="18">
        <v>46034</v>
      </c>
      <c r="B290" s="19">
        <v>46034</v>
      </c>
      <c r="C290" s="21"/>
      <c r="D290" s="21"/>
      <c r="E290" s="21"/>
      <c r="F290" s="21"/>
      <c r="G290" s="56">
        <f t="shared" si="3"/>
        <v>0</v>
      </c>
      <c r="H290" s="32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</row>
    <row r="291" spans="1:19" ht="15.75" customHeight="1">
      <c r="A291" s="18">
        <v>46035</v>
      </c>
      <c r="B291" s="19">
        <v>46035</v>
      </c>
      <c r="C291" s="21"/>
      <c r="D291" s="21"/>
      <c r="E291" s="21"/>
      <c r="F291" s="21"/>
      <c r="G291" s="56">
        <f t="shared" si="3"/>
        <v>0</v>
      </c>
      <c r="H291" s="32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</row>
    <row r="292" spans="1:19" ht="15.75" customHeight="1">
      <c r="A292" s="18">
        <v>46036</v>
      </c>
      <c r="B292" s="19">
        <v>46036</v>
      </c>
      <c r="C292" s="21"/>
      <c r="D292" s="21"/>
      <c r="E292" s="21"/>
      <c r="F292" s="21"/>
      <c r="G292" s="56">
        <f t="shared" si="3"/>
        <v>0</v>
      </c>
      <c r="H292" s="32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</row>
    <row r="293" spans="1:19" ht="15.75" customHeight="1">
      <c r="A293" s="18">
        <v>46037</v>
      </c>
      <c r="B293" s="19">
        <v>46037</v>
      </c>
      <c r="C293" s="21"/>
      <c r="D293" s="21"/>
      <c r="E293" s="21"/>
      <c r="F293" s="21"/>
      <c r="G293" s="56">
        <f t="shared" si="3"/>
        <v>0</v>
      </c>
      <c r="H293" s="32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</row>
    <row r="294" spans="1:19" ht="15.75" customHeight="1">
      <c r="A294" s="18">
        <v>46038</v>
      </c>
      <c r="B294" s="19">
        <v>46038</v>
      </c>
      <c r="C294" s="21"/>
      <c r="D294" s="21"/>
      <c r="E294" s="21"/>
      <c r="F294" s="21"/>
      <c r="G294" s="56">
        <f t="shared" si="3"/>
        <v>0</v>
      </c>
      <c r="H294" s="32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</row>
    <row r="295" spans="1:19" ht="15.75" customHeight="1">
      <c r="A295" s="18">
        <v>46039</v>
      </c>
      <c r="B295" s="19">
        <v>46039</v>
      </c>
      <c r="C295" s="21"/>
      <c r="D295" s="21"/>
      <c r="E295" s="21"/>
      <c r="F295" s="21"/>
      <c r="G295" s="56">
        <f t="shared" si="3"/>
        <v>0</v>
      </c>
      <c r="H295" s="32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</row>
    <row r="296" spans="1:19" ht="15.75" customHeight="1">
      <c r="A296" s="18">
        <v>46040</v>
      </c>
      <c r="B296" s="19">
        <v>46040</v>
      </c>
      <c r="C296" s="21"/>
      <c r="D296" s="21"/>
      <c r="E296" s="21"/>
      <c r="F296" s="21"/>
      <c r="G296" s="56">
        <f t="shared" si="3"/>
        <v>0</v>
      </c>
      <c r="H296" s="32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</row>
    <row r="297" spans="1:19" ht="15.75" customHeight="1">
      <c r="A297" s="18">
        <v>46041</v>
      </c>
      <c r="B297" s="19">
        <v>46041</v>
      </c>
      <c r="C297" s="21"/>
      <c r="D297" s="21"/>
      <c r="E297" s="21"/>
      <c r="F297" s="21"/>
      <c r="G297" s="56">
        <f t="shared" si="3"/>
        <v>0</v>
      </c>
      <c r="H297" s="32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</row>
    <row r="298" spans="1:19" ht="15.75" customHeight="1">
      <c r="A298" s="18">
        <v>46042</v>
      </c>
      <c r="B298" s="19">
        <v>46042</v>
      </c>
      <c r="C298" s="21"/>
      <c r="D298" s="21"/>
      <c r="E298" s="21"/>
      <c r="F298" s="21"/>
      <c r="G298" s="56">
        <f t="shared" si="3"/>
        <v>0</v>
      </c>
      <c r="H298" s="32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</row>
    <row r="299" spans="1:19" ht="15.75" customHeight="1">
      <c r="A299" s="18">
        <v>46043</v>
      </c>
      <c r="B299" s="19">
        <v>46043</v>
      </c>
      <c r="C299" s="21"/>
      <c r="D299" s="21"/>
      <c r="E299" s="21"/>
      <c r="F299" s="21"/>
      <c r="G299" s="56">
        <f t="shared" si="3"/>
        <v>0</v>
      </c>
      <c r="H299" s="32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</row>
    <row r="300" spans="1:19" ht="15.75" customHeight="1">
      <c r="A300" s="18">
        <v>46044</v>
      </c>
      <c r="B300" s="19">
        <v>46044</v>
      </c>
      <c r="C300" s="21"/>
      <c r="D300" s="21"/>
      <c r="E300" s="21"/>
      <c r="F300" s="21"/>
      <c r="G300" s="56">
        <f t="shared" si="3"/>
        <v>0</v>
      </c>
      <c r="H300" s="32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</row>
    <row r="301" spans="1:19" ht="15.75" customHeight="1">
      <c r="A301" s="18">
        <v>46045</v>
      </c>
      <c r="B301" s="19">
        <v>46045</v>
      </c>
      <c r="C301" s="21"/>
      <c r="D301" s="21"/>
      <c r="E301" s="21"/>
      <c r="F301" s="21"/>
      <c r="G301" s="56">
        <f t="shared" si="3"/>
        <v>0</v>
      </c>
      <c r="H301" s="32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</row>
    <row r="302" spans="1:19" ht="15.75" customHeight="1">
      <c r="A302" s="18">
        <v>46046</v>
      </c>
      <c r="B302" s="19">
        <v>46046</v>
      </c>
      <c r="C302" s="21"/>
      <c r="D302" s="21"/>
      <c r="E302" s="21"/>
      <c r="F302" s="21"/>
      <c r="G302" s="56">
        <f t="shared" si="3"/>
        <v>0</v>
      </c>
      <c r="H302" s="32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</row>
    <row r="303" spans="1:19" ht="15.75" customHeight="1">
      <c r="A303" s="18">
        <v>46047</v>
      </c>
      <c r="B303" s="19">
        <v>46047</v>
      </c>
      <c r="C303" s="21"/>
      <c r="D303" s="21"/>
      <c r="E303" s="21"/>
      <c r="F303" s="21"/>
      <c r="G303" s="56">
        <f t="shared" si="3"/>
        <v>0</v>
      </c>
      <c r="H303" s="32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</row>
    <row r="304" spans="1:19" ht="15.75" customHeight="1">
      <c r="A304" s="18">
        <v>46048</v>
      </c>
      <c r="B304" s="19">
        <v>46048</v>
      </c>
      <c r="C304" s="21"/>
      <c r="D304" s="21"/>
      <c r="E304" s="21"/>
      <c r="F304" s="21"/>
      <c r="G304" s="56">
        <f t="shared" si="3"/>
        <v>0</v>
      </c>
      <c r="H304" s="32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</row>
    <row r="305" spans="1:19" ht="15.75" customHeight="1">
      <c r="A305" s="18">
        <v>46049</v>
      </c>
      <c r="B305" s="19">
        <v>46049</v>
      </c>
      <c r="C305" s="21"/>
      <c r="D305" s="21"/>
      <c r="E305" s="21"/>
      <c r="F305" s="21"/>
      <c r="G305" s="56">
        <f t="shared" si="3"/>
        <v>0</v>
      </c>
      <c r="H305" s="32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</row>
    <row r="306" spans="1:19" ht="15.75" customHeight="1">
      <c r="A306" s="18">
        <v>46050</v>
      </c>
      <c r="B306" s="19">
        <v>46050</v>
      </c>
      <c r="C306" s="21"/>
      <c r="D306" s="21"/>
      <c r="E306" s="21"/>
      <c r="F306" s="21"/>
      <c r="G306" s="56">
        <f t="shared" si="3"/>
        <v>0</v>
      </c>
      <c r="H306" s="32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</row>
    <row r="307" spans="1:19" ht="15.75" customHeight="1">
      <c r="A307" s="18">
        <v>46051</v>
      </c>
      <c r="B307" s="19">
        <v>46051</v>
      </c>
      <c r="C307" s="21"/>
      <c r="D307" s="21"/>
      <c r="E307" s="21"/>
      <c r="F307" s="21"/>
      <c r="G307" s="56">
        <f t="shared" si="3"/>
        <v>0</v>
      </c>
      <c r="H307" s="32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</row>
    <row r="308" spans="1:19" ht="15.75" customHeight="1">
      <c r="A308" s="18">
        <v>46052</v>
      </c>
      <c r="B308" s="19">
        <v>46052</v>
      </c>
      <c r="C308" s="21"/>
      <c r="D308" s="21"/>
      <c r="E308" s="21"/>
      <c r="F308" s="21"/>
      <c r="G308" s="56">
        <f t="shared" si="3"/>
        <v>0</v>
      </c>
      <c r="H308" s="32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</row>
    <row r="309" spans="1:19" ht="15.75" customHeight="1">
      <c r="A309" s="18">
        <v>46053</v>
      </c>
      <c r="B309" s="19">
        <v>46053</v>
      </c>
      <c r="C309" s="21"/>
      <c r="D309" s="21"/>
      <c r="E309" s="21"/>
      <c r="F309" s="21"/>
      <c r="G309" s="56">
        <f t="shared" si="3"/>
        <v>0</v>
      </c>
      <c r="H309" s="32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</row>
    <row r="310" spans="1:19" ht="15.75" customHeight="1">
      <c r="A310" s="18">
        <v>46054</v>
      </c>
      <c r="B310" s="19">
        <v>46054</v>
      </c>
      <c r="C310" s="21"/>
      <c r="D310" s="21"/>
      <c r="E310" s="21"/>
      <c r="F310" s="21"/>
      <c r="G310" s="56">
        <f t="shared" si="3"/>
        <v>0</v>
      </c>
      <c r="H310" s="32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</row>
    <row r="311" spans="1:19" ht="15.75" customHeight="1">
      <c r="A311" s="18">
        <v>46055</v>
      </c>
      <c r="B311" s="19">
        <v>46055</v>
      </c>
      <c r="C311" s="21"/>
      <c r="D311" s="21"/>
      <c r="E311" s="21"/>
      <c r="F311" s="21"/>
      <c r="G311" s="56">
        <f t="shared" si="3"/>
        <v>0</v>
      </c>
      <c r="H311" s="32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</row>
    <row r="312" spans="1:19" ht="15.75" customHeight="1">
      <c r="A312" s="18">
        <v>46056</v>
      </c>
      <c r="B312" s="19">
        <v>46056</v>
      </c>
      <c r="C312" s="21"/>
      <c r="D312" s="21"/>
      <c r="E312" s="21"/>
      <c r="F312" s="21"/>
      <c r="G312" s="56">
        <f t="shared" si="3"/>
        <v>0</v>
      </c>
      <c r="H312" s="32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</row>
    <row r="313" spans="1:19" ht="15.75" customHeight="1">
      <c r="A313" s="18">
        <v>46057</v>
      </c>
      <c r="B313" s="19">
        <v>46057</v>
      </c>
      <c r="C313" s="21"/>
      <c r="D313" s="21"/>
      <c r="E313" s="21"/>
      <c r="F313" s="21"/>
      <c r="G313" s="56">
        <f t="shared" si="3"/>
        <v>0</v>
      </c>
      <c r="H313" s="32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</row>
    <row r="314" spans="1:19" ht="15.75" customHeight="1">
      <c r="A314" s="18">
        <v>46058</v>
      </c>
      <c r="B314" s="19">
        <v>46058</v>
      </c>
      <c r="C314" s="21"/>
      <c r="D314" s="21"/>
      <c r="E314" s="21"/>
      <c r="F314" s="21"/>
      <c r="G314" s="56">
        <f t="shared" si="3"/>
        <v>0</v>
      </c>
      <c r="H314" s="32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</row>
    <row r="315" spans="1:19" ht="15.75" customHeight="1">
      <c r="A315" s="18">
        <v>46059</v>
      </c>
      <c r="B315" s="19">
        <v>46059</v>
      </c>
      <c r="C315" s="21"/>
      <c r="D315" s="21"/>
      <c r="E315" s="21"/>
      <c r="F315" s="21"/>
      <c r="G315" s="56">
        <f t="shared" si="3"/>
        <v>0</v>
      </c>
      <c r="H315" s="32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</row>
    <row r="316" spans="1:19" ht="15.75" customHeight="1">
      <c r="A316" s="18">
        <v>46060</v>
      </c>
      <c r="B316" s="19">
        <v>46060</v>
      </c>
      <c r="C316" s="21"/>
      <c r="D316" s="21"/>
      <c r="E316" s="21"/>
      <c r="F316" s="21"/>
      <c r="G316" s="56">
        <f t="shared" si="3"/>
        <v>0</v>
      </c>
      <c r="H316" s="32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</row>
    <row r="317" spans="1:19" ht="15.75" customHeight="1">
      <c r="A317" s="18">
        <v>46061</v>
      </c>
      <c r="B317" s="19">
        <v>46061</v>
      </c>
      <c r="C317" s="21"/>
      <c r="D317" s="21"/>
      <c r="E317" s="21"/>
      <c r="F317" s="21"/>
      <c r="G317" s="56">
        <f t="shared" si="3"/>
        <v>0</v>
      </c>
      <c r="H317" s="32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</row>
    <row r="318" spans="1:19" ht="15.75" customHeight="1">
      <c r="A318" s="18">
        <v>46062</v>
      </c>
      <c r="B318" s="19">
        <v>46062</v>
      </c>
      <c r="C318" s="21"/>
      <c r="D318" s="21"/>
      <c r="E318" s="21"/>
      <c r="F318" s="21"/>
      <c r="G318" s="56">
        <f t="shared" si="3"/>
        <v>0</v>
      </c>
      <c r="H318" s="32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</row>
    <row r="319" spans="1:19" ht="15.75" customHeight="1">
      <c r="A319" s="18">
        <v>46063</v>
      </c>
      <c r="B319" s="19">
        <v>46063</v>
      </c>
      <c r="C319" s="21"/>
      <c r="D319" s="21"/>
      <c r="E319" s="21"/>
      <c r="F319" s="21"/>
      <c r="G319" s="56">
        <f t="shared" si="3"/>
        <v>0</v>
      </c>
      <c r="H319" s="32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</row>
    <row r="320" spans="1:19" ht="15.75" customHeight="1">
      <c r="A320" s="18">
        <v>46064</v>
      </c>
      <c r="B320" s="19">
        <v>46064</v>
      </c>
      <c r="C320" s="21"/>
      <c r="D320" s="21"/>
      <c r="E320" s="21"/>
      <c r="F320" s="21"/>
      <c r="G320" s="56">
        <f t="shared" si="3"/>
        <v>0</v>
      </c>
      <c r="H320" s="32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</row>
    <row r="321" spans="1:19" ht="15.75" customHeight="1">
      <c r="A321" s="18">
        <v>46065</v>
      </c>
      <c r="B321" s="19">
        <v>46065</v>
      </c>
      <c r="C321" s="21"/>
      <c r="D321" s="21"/>
      <c r="E321" s="21"/>
      <c r="F321" s="21"/>
      <c r="G321" s="56">
        <f t="shared" si="3"/>
        <v>0</v>
      </c>
      <c r="H321" s="32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</row>
    <row r="322" spans="1:19" ht="15.75" customHeight="1">
      <c r="A322" s="18">
        <v>46066</v>
      </c>
      <c r="B322" s="19">
        <v>46066</v>
      </c>
      <c r="C322" s="21"/>
      <c r="D322" s="21"/>
      <c r="E322" s="21"/>
      <c r="F322" s="21"/>
      <c r="G322" s="56">
        <f t="shared" si="3"/>
        <v>0</v>
      </c>
      <c r="H322" s="32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</row>
    <row r="323" spans="1:19" ht="15.75" customHeight="1">
      <c r="A323" s="18">
        <v>46067</v>
      </c>
      <c r="B323" s="19">
        <v>46067</v>
      </c>
      <c r="C323" s="21"/>
      <c r="D323" s="21"/>
      <c r="E323" s="21"/>
      <c r="F323" s="21"/>
      <c r="G323" s="56">
        <f t="shared" si="3"/>
        <v>0</v>
      </c>
      <c r="H323" s="32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</row>
    <row r="324" spans="1:19" ht="15.75" customHeight="1">
      <c r="A324" s="18">
        <v>46068</v>
      </c>
      <c r="B324" s="19">
        <v>46068</v>
      </c>
      <c r="C324" s="21"/>
      <c r="D324" s="21"/>
      <c r="E324" s="21"/>
      <c r="F324" s="21"/>
      <c r="G324" s="56">
        <f t="shared" ref="G324:G373" si="4">F324-E324</f>
        <v>0</v>
      </c>
      <c r="H324" s="32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</row>
    <row r="325" spans="1:19" ht="15.75" customHeight="1">
      <c r="A325" s="18">
        <v>46069</v>
      </c>
      <c r="B325" s="19">
        <v>46069</v>
      </c>
      <c r="C325" s="21"/>
      <c r="D325" s="21"/>
      <c r="E325" s="21"/>
      <c r="F325" s="21"/>
      <c r="G325" s="56">
        <f t="shared" si="4"/>
        <v>0</v>
      </c>
      <c r="H325" s="32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</row>
    <row r="326" spans="1:19" ht="15.75" customHeight="1">
      <c r="A326" s="18">
        <v>46070</v>
      </c>
      <c r="B326" s="19">
        <v>46070</v>
      </c>
      <c r="C326" s="21"/>
      <c r="D326" s="21"/>
      <c r="E326" s="21"/>
      <c r="F326" s="21"/>
      <c r="G326" s="56">
        <f t="shared" si="4"/>
        <v>0</v>
      </c>
      <c r="H326" s="32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19" ht="15.75" customHeight="1">
      <c r="A327" s="18">
        <v>46071</v>
      </c>
      <c r="B327" s="19">
        <v>46071</v>
      </c>
      <c r="C327" s="21"/>
      <c r="D327" s="21"/>
      <c r="E327" s="21"/>
      <c r="F327" s="21"/>
      <c r="G327" s="56">
        <f t="shared" si="4"/>
        <v>0</v>
      </c>
      <c r="H327" s="32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</row>
    <row r="328" spans="1:19" ht="15.75" customHeight="1">
      <c r="A328" s="18">
        <v>46072</v>
      </c>
      <c r="B328" s="19">
        <v>46072</v>
      </c>
      <c r="C328" s="21"/>
      <c r="D328" s="21"/>
      <c r="E328" s="21"/>
      <c r="F328" s="21"/>
      <c r="G328" s="56">
        <f t="shared" si="4"/>
        <v>0</v>
      </c>
      <c r="H328" s="32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</row>
    <row r="329" spans="1:19" ht="15.75" customHeight="1">
      <c r="A329" s="18">
        <v>46073</v>
      </c>
      <c r="B329" s="19">
        <v>46073</v>
      </c>
      <c r="C329" s="21"/>
      <c r="D329" s="21"/>
      <c r="E329" s="21"/>
      <c r="F329" s="21"/>
      <c r="G329" s="56">
        <f t="shared" si="4"/>
        <v>0</v>
      </c>
      <c r="H329" s="32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</row>
    <row r="330" spans="1:19" ht="15.75" customHeight="1">
      <c r="A330" s="18">
        <v>46074</v>
      </c>
      <c r="B330" s="19">
        <v>46074</v>
      </c>
      <c r="C330" s="21"/>
      <c r="D330" s="21"/>
      <c r="E330" s="21"/>
      <c r="F330" s="21"/>
      <c r="G330" s="56">
        <f t="shared" si="4"/>
        <v>0</v>
      </c>
      <c r="H330" s="32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</row>
    <row r="331" spans="1:19" ht="15.75" customHeight="1">
      <c r="A331" s="18">
        <v>46075</v>
      </c>
      <c r="B331" s="19">
        <v>46075</v>
      </c>
      <c r="C331" s="21"/>
      <c r="D331" s="21"/>
      <c r="E331" s="21"/>
      <c r="F331" s="21"/>
      <c r="G331" s="56">
        <f t="shared" si="4"/>
        <v>0</v>
      </c>
      <c r="H331" s="32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</row>
    <row r="332" spans="1:19" ht="15.75" customHeight="1">
      <c r="A332" s="18">
        <v>46076</v>
      </c>
      <c r="B332" s="19">
        <v>46076</v>
      </c>
      <c r="C332" s="21"/>
      <c r="D332" s="21"/>
      <c r="E332" s="21"/>
      <c r="F332" s="21"/>
      <c r="G332" s="56">
        <f t="shared" si="4"/>
        <v>0</v>
      </c>
      <c r="H332" s="32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</row>
    <row r="333" spans="1:19" ht="15.75" customHeight="1">
      <c r="A333" s="18">
        <v>46077</v>
      </c>
      <c r="B333" s="19">
        <v>46077</v>
      </c>
      <c r="C333" s="21"/>
      <c r="D333" s="21"/>
      <c r="E333" s="21"/>
      <c r="F333" s="21"/>
      <c r="G333" s="56">
        <f t="shared" si="4"/>
        <v>0</v>
      </c>
      <c r="H333" s="32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</row>
    <row r="334" spans="1:19" ht="15.75" customHeight="1">
      <c r="A334" s="18">
        <v>46078</v>
      </c>
      <c r="B334" s="19">
        <v>46078</v>
      </c>
      <c r="C334" s="21"/>
      <c r="D334" s="21"/>
      <c r="E334" s="21"/>
      <c r="F334" s="21"/>
      <c r="G334" s="56">
        <f t="shared" si="4"/>
        <v>0</v>
      </c>
      <c r="H334" s="32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</row>
    <row r="335" spans="1:19" ht="15.75" customHeight="1">
      <c r="A335" s="18">
        <v>46079</v>
      </c>
      <c r="B335" s="19">
        <v>46079</v>
      </c>
      <c r="C335" s="21"/>
      <c r="D335" s="21"/>
      <c r="E335" s="21"/>
      <c r="F335" s="21"/>
      <c r="G335" s="56">
        <f t="shared" si="4"/>
        <v>0</v>
      </c>
      <c r="H335" s="32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</row>
    <row r="336" spans="1:19" ht="15.75" customHeight="1">
      <c r="A336" s="18">
        <v>46080</v>
      </c>
      <c r="B336" s="19">
        <v>46080</v>
      </c>
      <c r="C336" s="21" t="s">
        <v>167</v>
      </c>
      <c r="D336" s="21" t="s">
        <v>168</v>
      </c>
      <c r="E336" s="56">
        <v>0.52986111111111101</v>
      </c>
      <c r="F336" s="56">
        <v>0.78819444444444497</v>
      </c>
      <c r="G336" s="56">
        <f t="shared" si="4"/>
        <v>0.25833333333333403</v>
      </c>
      <c r="H336" s="32">
        <v>2411</v>
      </c>
      <c r="I336" s="21"/>
      <c r="J336" s="21"/>
      <c r="K336" s="21"/>
      <c r="L336" s="21"/>
      <c r="M336" s="21" t="s">
        <v>193</v>
      </c>
      <c r="N336" s="21" t="s">
        <v>194</v>
      </c>
      <c r="O336" s="21"/>
      <c r="P336" s="21"/>
      <c r="Q336" s="21"/>
      <c r="R336" s="21"/>
      <c r="S336" s="21"/>
    </row>
    <row r="337" spans="1:19" ht="15.75" customHeight="1">
      <c r="A337" s="18">
        <v>46081</v>
      </c>
      <c r="B337" s="19">
        <v>46081</v>
      </c>
      <c r="C337" s="21"/>
      <c r="D337" s="21"/>
      <c r="E337" s="21"/>
      <c r="F337" s="21"/>
      <c r="G337" s="56">
        <f t="shared" si="4"/>
        <v>0</v>
      </c>
      <c r="H337" s="32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</row>
    <row r="338" spans="1:19" ht="15.75" customHeight="1">
      <c r="A338" s="18">
        <v>46082</v>
      </c>
      <c r="B338" s="19">
        <v>46082</v>
      </c>
      <c r="C338" s="21"/>
      <c r="D338" s="21"/>
      <c r="E338" s="21"/>
      <c r="F338" s="21"/>
      <c r="G338" s="56">
        <f t="shared" si="4"/>
        <v>0</v>
      </c>
      <c r="H338" s="32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</row>
    <row r="339" spans="1:19" ht="15.75" customHeight="1">
      <c r="A339" s="18">
        <v>46083</v>
      </c>
      <c r="B339" s="19">
        <v>46083</v>
      </c>
      <c r="C339" s="21"/>
      <c r="D339" s="21"/>
      <c r="E339" s="21"/>
      <c r="F339" s="21"/>
      <c r="G339" s="56">
        <f t="shared" si="4"/>
        <v>0</v>
      </c>
      <c r="H339" s="32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</row>
    <row r="340" spans="1:19" ht="15.75" customHeight="1">
      <c r="A340" s="18">
        <v>46084</v>
      </c>
      <c r="B340" s="19">
        <v>46084</v>
      </c>
      <c r="C340" s="21"/>
      <c r="D340" s="21"/>
      <c r="E340" s="21"/>
      <c r="F340" s="21"/>
      <c r="G340" s="56">
        <f t="shared" si="4"/>
        <v>0</v>
      </c>
      <c r="H340" s="32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</row>
    <row r="341" spans="1:19" ht="15.75" customHeight="1">
      <c r="A341" s="18">
        <v>46085</v>
      </c>
      <c r="B341" s="19">
        <v>46085</v>
      </c>
      <c r="C341" s="21"/>
      <c r="D341" s="21"/>
      <c r="E341" s="21"/>
      <c r="F341" s="21"/>
      <c r="G341" s="56">
        <f t="shared" si="4"/>
        <v>0</v>
      </c>
      <c r="H341" s="32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</row>
    <row r="342" spans="1:19" ht="15.75" customHeight="1">
      <c r="A342" s="18">
        <v>46086</v>
      </c>
      <c r="B342" s="19">
        <v>46086</v>
      </c>
      <c r="C342" s="21"/>
      <c r="D342" s="21"/>
      <c r="E342" s="21"/>
      <c r="F342" s="21"/>
      <c r="G342" s="56">
        <f t="shared" si="4"/>
        <v>0</v>
      </c>
      <c r="H342" s="32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</row>
    <row r="343" spans="1:19" ht="15.75" customHeight="1">
      <c r="A343" s="18">
        <v>46087</v>
      </c>
      <c r="B343" s="19">
        <v>46087</v>
      </c>
      <c r="C343" s="21"/>
      <c r="D343" s="21"/>
      <c r="E343" s="21"/>
      <c r="F343" s="21"/>
      <c r="G343" s="56">
        <f t="shared" si="4"/>
        <v>0</v>
      </c>
      <c r="H343" s="32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</row>
    <row r="344" spans="1:19" ht="15.75" customHeight="1">
      <c r="A344" s="18">
        <v>46088</v>
      </c>
      <c r="B344" s="19">
        <v>46088</v>
      </c>
      <c r="C344" s="21"/>
      <c r="D344" s="21"/>
      <c r="E344" s="21"/>
      <c r="F344" s="21"/>
      <c r="G344" s="56">
        <f t="shared" si="4"/>
        <v>0</v>
      </c>
      <c r="H344" s="32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</row>
    <row r="345" spans="1:19" ht="15.75" customHeight="1">
      <c r="A345" s="18">
        <v>46089</v>
      </c>
      <c r="B345" s="19">
        <v>46089</v>
      </c>
      <c r="C345" s="21"/>
      <c r="D345" s="21"/>
      <c r="E345" s="21"/>
      <c r="F345" s="21"/>
      <c r="G345" s="56">
        <f t="shared" si="4"/>
        <v>0</v>
      </c>
      <c r="H345" s="32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</row>
    <row r="346" spans="1:19" ht="15.75" customHeight="1">
      <c r="A346" s="18">
        <v>46090</v>
      </c>
      <c r="B346" s="19">
        <v>46090</v>
      </c>
      <c r="C346" s="21"/>
      <c r="D346" s="21"/>
      <c r="E346" s="21"/>
      <c r="F346" s="21"/>
      <c r="G346" s="56">
        <f t="shared" si="4"/>
        <v>0</v>
      </c>
      <c r="H346" s="32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</row>
    <row r="347" spans="1:19" ht="15.75" customHeight="1">
      <c r="A347" s="18">
        <v>46091</v>
      </c>
      <c r="B347" s="19">
        <v>46091</v>
      </c>
      <c r="C347" s="21"/>
      <c r="D347" s="21"/>
      <c r="E347" s="21"/>
      <c r="F347" s="21"/>
      <c r="G347" s="56">
        <f t="shared" si="4"/>
        <v>0</v>
      </c>
      <c r="H347" s="32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</row>
    <row r="348" spans="1:19" ht="15.75" customHeight="1">
      <c r="A348" s="18">
        <v>46092</v>
      </c>
      <c r="B348" s="19">
        <v>46092</v>
      </c>
      <c r="C348" s="21"/>
      <c r="D348" s="21"/>
      <c r="E348" s="21"/>
      <c r="F348" s="21"/>
      <c r="G348" s="56">
        <f t="shared" si="4"/>
        <v>0</v>
      </c>
      <c r="H348" s="32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</row>
    <row r="349" spans="1:19" ht="15.75" customHeight="1">
      <c r="A349" s="18">
        <v>46093</v>
      </c>
      <c r="B349" s="19">
        <v>46093</v>
      </c>
      <c r="C349" s="21"/>
      <c r="D349" s="21"/>
      <c r="E349" s="21"/>
      <c r="F349" s="21"/>
      <c r="G349" s="56">
        <f t="shared" si="4"/>
        <v>0</v>
      </c>
      <c r="H349" s="32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</row>
    <row r="350" spans="1:19" ht="15.75" customHeight="1">
      <c r="A350" s="18">
        <v>46094</v>
      </c>
      <c r="B350" s="19">
        <v>46094</v>
      </c>
      <c r="C350" s="21"/>
      <c r="D350" s="21"/>
      <c r="E350" s="21"/>
      <c r="F350" s="21"/>
      <c r="G350" s="56">
        <f t="shared" si="4"/>
        <v>0</v>
      </c>
      <c r="H350" s="32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</row>
    <row r="351" spans="1:19" ht="15.75" customHeight="1">
      <c r="A351" s="18">
        <v>46095</v>
      </c>
      <c r="B351" s="19">
        <v>46095</v>
      </c>
      <c r="C351" s="21"/>
      <c r="D351" s="21"/>
      <c r="E351" s="21"/>
      <c r="F351" s="21"/>
      <c r="G351" s="56">
        <f t="shared" si="4"/>
        <v>0</v>
      </c>
      <c r="H351" s="32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</row>
    <row r="352" spans="1:19" ht="15.75" customHeight="1">
      <c r="A352" s="18">
        <v>46096</v>
      </c>
      <c r="B352" s="19">
        <v>46096</v>
      </c>
      <c r="C352" s="21"/>
      <c r="D352" s="21"/>
      <c r="E352" s="21"/>
      <c r="F352" s="21"/>
      <c r="G352" s="56">
        <f t="shared" si="4"/>
        <v>0</v>
      </c>
      <c r="H352" s="32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</row>
    <row r="353" spans="1:19" ht="15.75" customHeight="1">
      <c r="A353" s="18">
        <v>46097</v>
      </c>
      <c r="B353" s="19">
        <v>46097</v>
      </c>
      <c r="C353" s="21"/>
      <c r="D353" s="21"/>
      <c r="E353" s="21"/>
      <c r="F353" s="21"/>
      <c r="G353" s="56">
        <f t="shared" si="4"/>
        <v>0</v>
      </c>
      <c r="H353" s="32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</row>
    <row r="354" spans="1:19" ht="15.75" customHeight="1">
      <c r="A354" s="18">
        <v>46098</v>
      </c>
      <c r="B354" s="19">
        <v>46098</v>
      </c>
      <c r="C354" s="21"/>
      <c r="D354" s="21"/>
      <c r="E354" s="21"/>
      <c r="F354" s="21"/>
      <c r="G354" s="56">
        <f t="shared" si="4"/>
        <v>0</v>
      </c>
      <c r="H354" s="32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19" ht="15.75" customHeight="1">
      <c r="A355" s="18">
        <v>46099</v>
      </c>
      <c r="B355" s="19">
        <v>46099</v>
      </c>
      <c r="C355" s="21"/>
      <c r="D355" s="21"/>
      <c r="E355" s="21"/>
      <c r="F355" s="21"/>
      <c r="G355" s="56">
        <f t="shared" si="4"/>
        <v>0</v>
      </c>
      <c r="H355" s="32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</row>
    <row r="356" spans="1:19" ht="15.75" customHeight="1">
      <c r="A356" s="18">
        <v>46100</v>
      </c>
      <c r="B356" s="19">
        <v>46100</v>
      </c>
      <c r="C356" s="21"/>
      <c r="D356" s="21"/>
      <c r="E356" s="21"/>
      <c r="F356" s="21"/>
      <c r="G356" s="56">
        <f t="shared" si="4"/>
        <v>0</v>
      </c>
      <c r="H356" s="32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</row>
    <row r="357" spans="1:19" ht="15.75" customHeight="1">
      <c r="A357" s="18">
        <v>46101</v>
      </c>
      <c r="B357" s="19">
        <v>46101</v>
      </c>
      <c r="C357" s="21"/>
      <c r="D357" s="21"/>
      <c r="E357" s="21"/>
      <c r="F357" s="21"/>
      <c r="G357" s="56">
        <f t="shared" si="4"/>
        <v>0</v>
      </c>
      <c r="H357" s="32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</row>
    <row r="358" spans="1:19" ht="15.75" customHeight="1">
      <c r="A358" s="18">
        <v>46102</v>
      </c>
      <c r="B358" s="19">
        <v>46102</v>
      </c>
      <c r="C358" s="21"/>
      <c r="D358" s="21"/>
      <c r="E358" s="21"/>
      <c r="F358" s="21"/>
      <c r="G358" s="56">
        <f t="shared" si="4"/>
        <v>0</v>
      </c>
      <c r="H358" s="32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</row>
    <row r="359" spans="1:19" ht="15.75" customHeight="1">
      <c r="A359" s="18">
        <v>46103</v>
      </c>
      <c r="B359" s="19">
        <v>46103</v>
      </c>
      <c r="C359" s="21"/>
      <c r="D359" s="21"/>
      <c r="E359" s="21"/>
      <c r="F359" s="21"/>
      <c r="G359" s="56">
        <f t="shared" si="4"/>
        <v>0</v>
      </c>
      <c r="H359" s="32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</row>
    <row r="360" spans="1:19" ht="15.75" customHeight="1">
      <c r="A360" s="18">
        <v>46104</v>
      </c>
      <c r="B360" s="19">
        <v>46104</v>
      </c>
      <c r="C360" s="21"/>
      <c r="D360" s="21"/>
      <c r="E360" s="21"/>
      <c r="F360" s="21"/>
      <c r="G360" s="56">
        <f t="shared" si="4"/>
        <v>0</v>
      </c>
      <c r="H360" s="32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</row>
    <row r="361" spans="1:19" ht="15.75" customHeight="1">
      <c r="A361" s="18">
        <v>46105</v>
      </c>
      <c r="B361" s="19">
        <v>46105</v>
      </c>
      <c r="C361" s="21"/>
      <c r="D361" s="21"/>
      <c r="E361" s="21"/>
      <c r="F361" s="21"/>
      <c r="G361" s="56">
        <f t="shared" si="4"/>
        <v>0</v>
      </c>
      <c r="H361" s="32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</row>
    <row r="362" spans="1:19" ht="15.75" customHeight="1">
      <c r="A362" s="18">
        <v>46106</v>
      </c>
      <c r="B362" s="19">
        <v>46106</v>
      </c>
      <c r="C362" s="21"/>
      <c r="D362" s="21"/>
      <c r="E362" s="21"/>
      <c r="F362" s="21"/>
      <c r="G362" s="56">
        <f t="shared" si="4"/>
        <v>0</v>
      </c>
      <c r="H362" s="32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</row>
    <row r="363" spans="1:19" ht="15.75" customHeight="1">
      <c r="A363" s="18">
        <v>46107</v>
      </c>
      <c r="B363" s="19">
        <v>46107</v>
      </c>
      <c r="C363" s="21"/>
      <c r="D363" s="21"/>
      <c r="E363" s="21"/>
      <c r="F363" s="21"/>
      <c r="G363" s="56">
        <f t="shared" si="4"/>
        <v>0</v>
      </c>
      <c r="H363" s="32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</row>
    <row r="364" spans="1:19" ht="15.75" customHeight="1">
      <c r="A364" s="18">
        <v>46108</v>
      </c>
      <c r="B364" s="19">
        <v>46108</v>
      </c>
      <c r="C364" s="21"/>
      <c r="D364" s="21"/>
      <c r="E364" s="21"/>
      <c r="F364" s="21"/>
      <c r="G364" s="56">
        <f t="shared" si="4"/>
        <v>0</v>
      </c>
      <c r="H364" s="32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</row>
    <row r="365" spans="1:19" ht="15.75" customHeight="1">
      <c r="A365" s="18">
        <v>46109</v>
      </c>
      <c r="B365" s="19">
        <v>46109</v>
      </c>
      <c r="C365" s="21"/>
      <c r="D365" s="21"/>
      <c r="E365" s="21"/>
      <c r="F365" s="21"/>
      <c r="G365" s="56">
        <f t="shared" si="4"/>
        <v>0</v>
      </c>
      <c r="H365" s="32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</row>
    <row r="366" spans="1:19" ht="15.75" customHeight="1">
      <c r="A366" s="18">
        <v>46110</v>
      </c>
      <c r="B366" s="19">
        <v>46110</v>
      </c>
      <c r="C366" s="21"/>
      <c r="D366" s="21"/>
      <c r="E366" s="21"/>
      <c r="F366" s="21"/>
      <c r="G366" s="56">
        <f t="shared" si="4"/>
        <v>0</v>
      </c>
      <c r="H366" s="32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</row>
    <row r="367" spans="1:19" ht="15.75" customHeight="1">
      <c r="A367" s="18">
        <v>46111</v>
      </c>
      <c r="B367" s="19">
        <v>46111</v>
      </c>
      <c r="C367" s="21"/>
      <c r="D367" s="21"/>
      <c r="E367" s="21"/>
      <c r="F367" s="21"/>
      <c r="G367" s="56">
        <f t="shared" si="4"/>
        <v>0</v>
      </c>
      <c r="H367" s="32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</row>
    <row r="368" spans="1:19" ht="15.75" customHeight="1">
      <c r="A368" s="18">
        <v>46112</v>
      </c>
      <c r="B368" s="19">
        <v>46112</v>
      </c>
      <c r="C368" s="21"/>
      <c r="D368" s="21"/>
      <c r="E368" s="21"/>
      <c r="F368" s="21"/>
      <c r="G368" s="56">
        <f t="shared" si="4"/>
        <v>0</v>
      </c>
      <c r="H368" s="32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</row>
    <row r="369" spans="1:19" ht="15.75" customHeight="1">
      <c r="A369" s="18">
        <v>46113</v>
      </c>
      <c r="B369" s="19">
        <v>46113</v>
      </c>
      <c r="C369" s="21"/>
      <c r="D369" s="21"/>
      <c r="E369" s="21"/>
      <c r="F369" s="21"/>
      <c r="G369" s="56">
        <f t="shared" si="4"/>
        <v>0</v>
      </c>
      <c r="H369" s="32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</row>
    <row r="370" spans="1:19" ht="15.75" customHeight="1">
      <c r="A370" s="18">
        <v>46114</v>
      </c>
      <c r="B370" s="19">
        <v>46114</v>
      </c>
      <c r="C370" s="21"/>
      <c r="D370" s="21"/>
      <c r="E370" s="21"/>
      <c r="F370" s="21"/>
      <c r="G370" s="56">
        <f t="shared" si="4"/>
        <v>0</v>
      </c>
      <c r="H370" s="32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</row>
    <row r="371" spans="1:19" ht="15.75" customHeight="1">
      <c r="A371" s="18">
        <v>46115</v>
      </c>
      <c r="B371" s="19">
        <v>46115</v>
      </c>
      <c r="C371" s="21"/>
      <c r="D371" s="21"/>
      <c r="E371" s="21"/>
      <c r="F371" s="21"/>
      <c r="G371" s="56">
        <f t="shared" si="4"/>
        <v>0</v>
      </c>
      <c r="H371" s="32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</row>
    <row r="372" spans="1:19" ht="15.75" customHeight="1">
      <c r="A372" s="18">
        <v>46116</v>
      </c>
      <c r="B372" s="19">
        <v>46116</v>
      </c>
      <c r="C372" s="21" t="s">
        <v>183</v>
      </c>
      <c r="D372" s="21" t="s">
        <v>168</v>
      </c>
      <c r="E372" s="56">
        <v>0.57638888888888895</v>
      </c>
      <c r="F372" s="56">
        <v>0.62777777777777799</v>
      </c>
      <c r="G372" s="56">
        <f t="shared" si="4"/>
        <v>5.1388888888888998E-2</v>
      </c>
      <c r="H372" s="32">
        <v>330</v>
      </c>
      <c r="I372" s="21"/>
      <c r="J372" s="21"/>
      <c r="K372" s="21"/>
      <c r="L372" s="21" t="s">
        <v>173</v>
      </c>
      <c r="M372" s="21" t="s">
        <v>195</v>
      </c>
      <c r="N372" s="21" t="s">
        <v>196</v>
      </c>
      <c r="O372" s="21" t="s">
        <v>197</v>
      </c>
      <c r="P372" s="21"/>
      <c r="Q372" s="21"/>
      <c r="R372" s="21"/>
      <c r="S372" s="21" t="s">
        <v>198</v>
      </c>
    </row>
    <row r="373" spans="1:19" ht="15.75" customHeight="1">
      <c r="A373" s="18">
        <v>46117</v>
      </c>
      <c r="B373" s="19">
        <v>46117</v>
      </c>
      <c r="C373" s="21"/>
      <c r="D373" s="21"/>
      <c r="E373" s="21"/>
      <c r="F373" s="21"/>
      <c r="G373" s="56">
        <f t="shared" si="4"/>
        <v>0</v>
      </c>
      <c r="H373" s="32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</row>
    <row r="374" spans="1:19" ht="15.75" customHeight="1"/>
    <row r="375" spans="1:19" ht="15.75" customHeight="1"/>
    <row r="376" spans="1:19" ht="15.75" customHeight="1"/>
    <row r="377" spans="1:19" ht="15.75" customHeight="1"/>
    <row r="378" spans="1:19" ht="15.75" customHeight="1"/>
    <row r="379" spans="1:19" ht="15.75" customHeight="1"/>
    <row r="380" spans="1:19" ht="15.75" customHeight="1"/>
    <row r="381" spans="1:19" ht="15.75" customHeight="1"/>
    <row r="382" spans="1:19" ht="15.75" customHeight="1"/>
    <row r="383" spans="1:19" ht="15.75" customHeight="1"/>
    <row r="384" spans="1:19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fitToWidth="0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1000"/>
  <sheetViews>
    <sheetView topLeftCell="B1" workbookViewId="0">
      <selection activeCell="C17" sqref="C17"/>
    </sheetView>
  </sheetViews>
  <sheetFormatPr defaultColWidth="12" defaultRowHeight="15" customHeight="1"/>
  <cols>
    <col min="1" max="1" width="10.25" customWidth="1"/>
    <col min="2" max="2" width="8.5" customWidth="1"/>
    <col min="3" max="3" width="18" customWidth="1"/>
    <col min="4" max="4" width="14.5" customWidth="1"/>
    <col min="5" max="5" width="14.375" customWidth="1"/>
    <col min="6" max="6" width="14.75" customWidth="1"/>
    <col min="7" max="7" width="24.75" customWidth="1"/>
    <col min="8" max="8" width="22" customWidth="1"/>
    <col min="9" max="9" width="13.5" customWidth="1"/>
    <col min="10" max="10" width="15.875" customWidth="1"/>
    <col min="11" max="11" width="18.25" customWidth="1"/>
    <col min="12" max="12" width="8.25" customWidth="1"/>
    <col min="13" max="13" width="20.125" customWidth="1"/>
    <col min="14" max="26" width="14.375" customWidth="1"/>
  </cols>
  <sheetData>
    <row r="1" spans="1:13" ht="14.25" customHeight="1">
      <c r="A1" s="41" t="s">
        <v>199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3" ht="14.25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3" ht="14.25" customHeight="1">
      <c r="A3" s="43" t="s">
        <v>2</v>
      </c>
      <c r="B3" s="43" t="s">
        <v>1</v>
      </c>
      <c r="C3" s="43" t="s">
        <v>200</v>
      </c>
      <c r="D3" s="43" t="s">
        <v>152</v>
      </c>
      <c r="E3" s="43" t="s">
        <v>153</v>
      </c>
      <c r="F3" s="43" t="s">
        <v>154</v>
      </c>
      <c r="G3" s="44" t="s">
        <v>201</v>
      </c>
      <c r="H3" s="44" t="s">
        <v>202</v>
      </c>
      <c r="I3" s="44" t="s">
        <v>155</v>
      </c>
      <c r="J3" s="44" t="s">
        <v>156</v>
      </c>
      <c r="K3" s="44" t="s">
        <v>157</v>
      </c>
      <c r="L3" s="43" t="s">
        <v>158</v>
      </c>
    </row>
    <row r="4" spans="1:13" ht="14.25" customHeight="1">
      <c r="A4" s="45"/>
      <c r="B4" s="46">
        <v>45813</v>
      </c>
      <c r="C4" s="45">
        <v>1</v>
      </c>
      <c r="D4" s="47">
        <v>0.29166666666666702</v>
      </c>
      <c r="E4" s="47">
        <v>0.58680555555555602</v>
      </c>
      <c r="F4" s="47">
        <f t="shared" ref="F4:F12" si="0">E4-D4</f>
        <v>0.29513888888888901</v>
      </c>
      <c r="G4" s="45"/>
      <c r="H4" s="45"/>
      <c r="I4" s="48">
        <v>2411</v>
      </c>
      <c r="J4" s="45"/>
      <c r="K4" s="45"/>
      <c r="L4" s="45"/>
    </row>
    <row r="5" spans="1:13" ht="14.25" customHeight="1">
      <c r="A5" s="45"/>
      <c r="B5" s="46">
        <v>45783</v>
      </c>
      <c r="C5" s="45">
        <v>1</v>
      </c>
      <c r="D5" s="47">
        <v>0.77430555555555503</v>
      </c>
      <c r="E5" s="47">
        <v>0.78749999999999998</v>
      </c>
      <c r="F5" s="47">
        <f t="shared" si="0"/>
        <v>1.3194444444445E-2</v>
      </c>
      <c r="G5" s="45"/>
      <c r="H5" s="45"/>
      <c r="I5" s="48">
        <v>2411</v>
      </c>
      <c r="J5" s="45"/>
      <c r="K5" s="45"/>
      <c r="L5" s="45"/>
      <c r="M5" t="s">
        <v>203</v>
      </c>
    </row>
    <row r="6" spans="1:13" ht="14.25" customHeight="1">
      <c r="A6" s="45"/>
      <c r="B6" s="46">
        <v>45838</v>
      </c>
      <c r="C6" s="45">
        <v>1</v>
      </c>
      <c r="D6" s="47">
        <v>0.47430555555555598</v>
      </c>
      <c r="E6" s="47">
        <v>0.50347222222222199</v>
      </c>
      <c r="F6" s="47">
        <f t="shared" si="0"/>
        <v>2.9166666666666001E-2</v>
      </c>
      <c r="G6" s="45"/>
      <c r="H6" s="45"/>
      <c r="I6" s="48">
        <v>2411</v>
      </c>
      <c r="J6" s="45"/>
      <c r="K6" s="45"/>
      <c r="L6" s="45"/>
      <c r="M6" t="s">
        <v>203</v>
      </c>
    </row>
    <row r="7" spans="1:13" ht="14.25" customHeight="1">
      <c r="A7" s="49">
        <v>45887</v>
      </c>
      <c r="B7" s="46">
        <v>45888</v>
      </c>
      <c r="C7" s="45">
        <v>1</v>
      </c>
      <c r="D7" s="47">
        <v>0.41666666666666702</v>
      </c>
      <c r="E7" s="47">
        <v>0.46180555555555602</v>
      </c>
      <c r="F7" s="47">
        <f t="shared" si="0"/>
        <v>4.5138888888888999E-2</v>
      </c>
      <c r="G7" s="45"/>
      <c r="H7" s="45"/>
      <c r="I7" s="48">
        <v>2411</v>
      </c>
      <c r="J7" s="45"/>
      <c r="K7" s="45"/>
      <c r="L7" s="45"/>
      <c r="M7" s="50" t="s">
        <v>204</v>
      </c>
    </row>
    <row r="8" spans="1:13" ht="14.25" customHeight="1">
      <c r="A8" s="49">
        <v>268</v>
      </c>
      <c r="B8" s="45" t="s">
        <v>205</v>
      </c>
      <c r="C8" s="45">
        <v>1</v>
      </c>
      <c r="D8" s="47">
        <v>0.29166666666666702</v>
      </c>
      <c r="E8" s="47">
        <v>0.52638888888888902</v>
      </c>
      <c r="F8" s="47">
        <f t="shared" si="0"/>
        <v>0.234722222222222</v>
      </c>
      <c r="G8" s="45"/>
      <c r="H8" s="45"/>
      <c r="I8" s="48">
        <v>2411</v>
      </c>
      <c r="J8" s="45"/>
      <c r="K8" s="45"/>
      <c r="L8" s="45"/>
      <c r="M8" s="50" t="s">
        <v>206</v>
      </c>
    </row>
    <row r="9" spans="1:13" ht="14.25" customHeight="1">
      <c r="A9" s="46">
        <v>46082</v>
      </c>
      <c r="B9" s="46">
        <v>46082</v>
      </c>
      <c r="C9" s="45">
        <v>1</v>
      </c>
      <c r="D9" s="47">
        <v>0.34722222222222199</v>
      </c>
      <c r="E9" s="47">
        <v>0.41666666666666702</v>
      </c>
      <c r="F9" s="47">
        <f t="shared" si="0"/>
        <v>6.9444444444445003E-2</v>
      </c>
      <c r="G9" s="45"/>
      <c r="H9" s="45"/>
      <c r="I9" s="48">
        <v>2411</v>
      </c>
      <c r="J9" s="45"/>
      <c r="K9" s="45"/>
      <c r="L9" s="45"/>
      <c r="M9" s="50" t="s">
        <v>207</v>
      </c>
    </row>
    <row r="10" spans="1:13" ht="14.25" customHeight="1">
      <c r="A10" s="45"/>
      <c r="B10" s="45" t="s">
        <v>208</v>
      </c>
      <c r="C10" s="45">
        <v>1</v>
      </c>
      <c r="D10" s="47">
        <v>0.41111111111111098</v>
      </c>
      <c r="E10" s="47">
        <v>0.41527777777777802</v>
      </c>
      <c r="F10" s="47">
        <f t="shared" si="0"/>
        <v>4.1666666666670396E-3</v>
      </c>
      <c r="G10" s="45"/>
      <c r="H10" s="45"/>
      <c r="I10" s="48">
        <v>2411</v>
      </c>
      <c r="J10" s="45"/>
      <c r="K10" s="45"/>
      <c r="L10" s="45"/>
      <c r="M10" s="50" t="s">
        <v>209</v>
      </c>
    </row>
    <row r="11" spans="1:13" ht="14.25" customHeight="1">
      <c r="A11" s="45" t="s">
        <v>210</v>
      </c>
      <c r="B11" s="45" t="s">
        <v>210</v>
      </c>
      <c r="C11" s="45">
        <v>1</v>
      </c>
      <c r="D11" s="47">
        <v>0.35416666666666702</v>
      </c>
      <c r="E11" s="47">
        <v>0.4375</v>
      </c>
      <c r="F11" s="47">
        <f t="shared" si="0"/>
        <v>8.3333333333332996E-2</v>
      </c>
      <c r="G11" s="45"/>
      <c r="H11" s="45"/>
      <c r="I11" s="48">
        <v>2411</v>
      </c>
      <c r="J11" s="45"/>
      <c r="K11" s="45"/>
      <c r="L11" s="45"/>
      <c r="M11" s="50" t="s">
        <v>211</v>
      </c>
    </row>
    <row r="12" spans="1:13" ht="14.25" customHeight="1">
      <c r="A12" s="45"/>
      <c r="B12" s="45" t="s">
        <v>210</v>
      </c>
      <c r="C12" s="45">
        <v>1</v>
      </c>
      <c r="D12" s="47">
        <v>0.47916666666666702</v>
      </c>
      <c r="E12" s="47">
        <v>0.50694444444444398</v>
      </c>
      <c r="F12" s="47">
        <f t="shared" si="0"/>
        <v>2.7777777777776999E-2</v>
      </c>
      <c r="G12" s="45"/>
      <c r="H12" s="45"/>
      <c r="I12" s="48">
        <v>2411</v>
      </c>
      <c r="J12" s="45"/>
      <c r="K12" s="45"/>
      <c r="L12" s="45"/>
      <c r="M12" s="50" t="s">
        <v>212</v>
      </c>
    </row>
    <row r="13" spans="1:13" ht="14.25" customHeight="1">
      <c r="A13" s="45"/>
      <c r="B13" s="45" t="s">
        <v>213</v>
      </c>
      <c r="C13" s="45">
        <v>1</v>
      </c>
      <c r="D13" s="47">
        <v>0.29166666666666702</v>
      </c>
      <c r="E13" s="47">
        <v>0.54236111111111096</v>
      </c>
      <c r="F13" s="47">
        <v>0.250694444444444</v>
      </c>
      <c r="G13" s="45"/>
      <c r="H13" s="45"/>
      <c r="I13" s="48">
        <v>2411</v>
      </c>
      <c r="J13" s="45"/>
      <c r="K13" s="45"/>
      <c r="L13" s="45"/>
      <c r="M13" s="50" t="s">
        <v>214</v>
      </c>
    </row>
    <row r="14" spans="1:13" ht="14.25" customHeight="1">
      <c r="A14" s="45"/>
      <c r="B14" s="45"/>
      <c r="C14" s="45"/>
      <c r="D14" s="45"/>
      <c r="E14" s="45"/>
      <c r="F14" s="45"/>
      <c r="G14" s="45"/>
      <c r="H14" s="45"/>
      <c r="I14" s="48"/>
      <c r="J14" s="45"/>
      <c r="K14" s="45"/>
      <c r="L14" s="45"/>
    </row>
    <row r="15" spans="1:13" ht="14.25" customHeight="1">
      <c r="A15" s="45"/>
      <c r="B15" s="45"/>
      <c r="C15" s="45"/>
      <c r="D15" s="45"/>
      <c r="E15" s="45"/>
      <c r="F15" s="45"/>
      <c r="G15" s="45"/>
      <c r="H15" s="45"/>
      <c r="I15" s="48"/>
      <c r="J15" s="45"/>
      <c r="K15" s="45"/>
      <c r="L15" s="45"/>
    </row>
    <row r="16" spans="1:13" ht="14.25" customHeight="1">
      <c r="A16" s="45"/>
      <c r="B16" s="45"/>
      <c r="C16" s="45"/>
      <c r="D16" s="45"/>
      <c r="E16" s="45"/>
      <c r="F16" s="45"/>
      <c r="G16" s="45"/>
      <c r="H16" s="45"/>
      <c r="I16" s="48"/>
      <c r="J16" s="45"/>
      <c r="K16" s="45"/>
      <c r="L16" s="45"/>
    </row>
    <row r="17" spans="1:12" ht="14.25" customHeight="1">
      <c r="A17" s="45"/>
      <c r="B17" s="45"/>
      <c r="C17" s="45"/>
      <c r="D17" s="45"/>
      <c r="E17" s="45"/>
      <c r="F17" s="45"/>
      <c r="G17" s="45"/>
      <c r="H17" s="45"/>
      <c r="I17" s="48"/>
      <c r="J17" s="45"/>
      <c r="K17" s="45"/>
      <c r="L17" s="45"/>
    </row>
    <row r="18" spans="1:12" ht="14.25" customHeight="1">
      <c r="A18" s="45"/>
      <c r="B18" s="45"/>
      <c r="C18" s="45"/>
      <c r="D18" s="45"/>
      <c r="E18" s="45"/>
      <c r="F18" s="45"/>
      <c r="G18" s="45"/>
      <c r="H18" s="45"/>
      <c r="I18" s="48"/>
      <c r="J18" s="45"/>
      <c r="K18" s="45"/>
      <c r="L18" s="45"/>
    </row>
    <row r="19" spans="1:12" ht="14.25" customHeight="1">
      <c r="A19" s="45"/>
      <c r="B19" s="45"/>
      <c r="C19" s="45"/>
      <c r="D19" s="45"/>
      <c r="E19" s="45"/>
      <c r="F19" s="45"/>
      <c r="G19" s="45"/>
      <c r="H19" s="45"/>
      <c r="I19" s="48"/>
      <c r="J19" s="45"/>
      <c r="K19" s="45"/>
      <c r="L19" s="45"/>
    </row>
    <row r="20" spans="1:12" ht="14.25" customHeight="1">
      <c r="A20" s="45"/>
      <c r="B20" s="45"/>
      <c r="C20" s="45"/>
      <c r="D20" s="45"/>
      <c r="E20" s="45"/>
      <c r="F20" s="45"/>
      <c r="G20" s="45"/>
      <c r="H20" s="45"/>
      <c r="I20" s="48"/>
      <c r="J20" s="45"/>
      <c r="K20" s="45"/>
      <c r="L20" s="45"/>
    </row>
    <row r="21" spans="1:12" ht="14.25" customHeight="1">
      <c r="A21" s="45"/>
      <c r="B21" s="45"/>
      <c r="C21" s="45"/>
      <c r="D21" s="45"/>
      <c r="E21" s="45"/>
      <c r="F21" s="45"/>
      <c r="G21" s="45"/>
      <c r="H21" s="45"/>
      <c r="I21" s="48"/>
      <c r="J21" s="45"/>
      <c r="K21" s="45"/>
      <c r="L21" s="45"/>
    </row>
    <row r="22" spans="1:12" ht="14.25" customHeight="1"/>
    <row r="23" spans="1:12" ht="14.25" customHeight="1"/>
    <row r="24" spans="1:12" ht="14.25" customHeight="1"/>
    <row r="25" spans="1:12" ht="14.25" customHeight="1"/>
    <row r="26" spans="1:12" ht="14.25" customHeight="1"/>
    <row r="27" spans="1:12" ht="14.25" customHeight="1"/>
    <row r="28" spans="1:12" ht="14.25" customHeight="1"/>
    <row r="29" spans="1:12" ht="14.25" customHeight="1"/>
    <row r="30" spans="1:12" ht="14.25" customHeight="1"/>
    <row r="31" spans="1:12" ht="14.25" customHeight="1"/>
    <row r="32" spans="1:1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fitToWidth="0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Q803"/>
  <sheetViews>
    <sheetView workbookViewId="0">
      <pane xSplit="2" ySplit="3" topLeftCell="C511" activePane="bottomRight" state="frozen"/>
      <selection pane="topRight"/>
      <selection pane="bottomLeft"/>
      <selection pane="bottomRight" activeCell="N534" sqref="N534"/>
    </sheetView>
  </sheetViews>
  <sheetFormatPr defaultColWidth="9" defaultRowHeight="14.25"/>
  <cols>
    <col min="2" max="2" width="9.375"/>
    <col min="3" max="3" width="9.875" customWidth="1"/>
    <col min="4" max="4" width="19.5" customWidth="1"/>
    <col min="5" max="5" width="10.25" customWidth="1"/>
    <col min="8" max="8" width="3.875" customWidth="1"/>
    <col min="11" max="11" width="15" customWidth="1"/>
    <col min="12" max="12" width="13.75" customWidth="1"/>
    <col min="14" max="14" width="22.375" customWidth="1"/>
  </cols>
  <sheetData>
    <row r="2" spans="1:14">
      <c r="C2" s="168" t="s">
        <v>215</v>
      </c>
      <c r="D2" s="168"/>
      <c r="E2" s="168"/>
    </row>
    <row r="3" spans="1:14" s="27" customFormat="1" ht="39" customHeight="1">
      <c r="A3" s="28" t="s">
        <v>216</v>
      </c>
      <c r="B3" s="28" t="s">
        <v>1</v>
      </c>
      <c r="C3" s="29" t="s">
        <v>217</v>
      </c>
      <c r="D3" s="29" t="s">
        <v>218</v>
      </c>
      <c r="E3" s="29" t="s">
        <v>219</v>
      </c>
      <c r="F3" s="30" t="s">
        <v>220</v>
      </c>
      <c r="G3" s="30" t="s">
        <v>221</v>
      </c>
      <c r="H3" s="30"/>
      <c r="I3" s="30" t="s">
        <v>222</v>
      </c>
      <c r="J3" s="30" t="s">
        <v>223</v>
      </c>
      <c r="K3" s="30" t="s">
        <v>224</v>
      </c>
      <c r="L3" s="30" t="s">
        <v>225</v>
      </c>
      <c r="M3" s="30" t="s">
        <v>226</v>
      </c>
      <c r="N3" s="28" t="s">
        <v>227</v>
      </c>
    </row>
    <row r="4" spans="1:14" ht="15">
      <c r="A4" s="18">
        <v>45747</v>
      </c>
      <c r="B4" s="19">
        <v>45747</v>
      </c>
      <c r="C4" s="21"/>
      <c r="D4" s="21"/>
      <c r="E4" s="21"/>
      <c r="F4" s="21"/>
      <c r="G4" s="21"/>
      <c r="H4" s="21"/>
      <c r="I4" s="21"/>
      <c r="J4" s="21"/>
      <c r="K4" s="31"/>
      <c r="L4" s="31"/>
      <c r="M4" s="21"/>
      <c r="N4" s="21"/>
    </row>
    <row r="5" spans="1:14" ht="15">
      <c r="A5" s="18">
        <v>45748</v>
      </c>
      <c r="B5" s="19">
        <v>45748</v>
      </c>
      <c r="C5" s="21"/>
      <c r="D5" s="21"/>
      <c r="E5" s="21"/>
      <c r="F5" s="21"/>
      <c r="G5" s="21"/>
      <c r="H5" s="21"/>
      <c r="I5" s="21"/>
      <c r="J5" s="21"/>
      <c r="K5" s="31"/>
      <c r="L5" s="31"/>
      <c r="M5" s="21"/>
      <c r="N5" s="21"/>
    </row>
    <row r="6" spans="1:14" ht="15">
      <c r="A6" s="18">
        <v>45749</v>
      </c>
      <c r="B6" s="19">
        <v>45749</v>
      </c>
      <c r="C6" s="21"/>
      <c r="D6" s="21"/>
      <c r="E6" s="21"/>
      <c r="F6" s="21"/>
      <c r="G6" s="21"/>
      <c r="H6" s="21"/>
      <c r="I6" s="21"/>
      <c r="J6" s="21"/>
      <c r="K6" s="31"/>
      <c r="L6" s="31"/>
      <c r="M6" s="21"/>
      <c r="N6" s="21"/>
    </row>
    <row r="7" spans="1:14" ht="15">
      <c r="A7" s="18">
        <v>45750</v>
      </c>
      <c r="B7" s="19">
        <v>45750</v>
      </c>
      <c r="C7" s="21"/>
      <c r="D7" s="21"/>
      <c r="E7" s="21"/>
      <c r="F7" s="21"/>
      <c r="G7" s="21"/>
      <c r="H7" s="21"/>
      <c r="I7" s="21"/>
      <c r="J7" s="21"/>
      <c r="K7" s="31"/>
      <c r="L7" s="31"/>
      <c r="M7" s="21"/>
      <c r="N7" s="21"/>
    </row>
    <row r="8" spans="1:14" ht="15">
      <c r="A8" s="18">
        <v>45751</v>
      </c>
      <c r="B8" s="19">
        <v>45751</v>
      </c>
      <c r="C8" s="21"/>
      <c r="D8" s="21"/>
      <c r="E8" s="21"/>
      <c r="F8" s="21"/>
      <c r="G8" s="21"/>
      <c r="H8" s="21"/>
      <c r="I8" s="21"/>
      <c r="J8" s="21"/>
      <c r="K8" s="31"/>
      <c r="L8" s="31"/>
      <c r="M8" s="21"/>
      <c r="N8" s="21"/>
    </row>
    <row r="9" spans="1:14" ht="15">
      <c r="A9" s="18">
        <v>45752</v>
      </c>
      <c r="B9" s="19">
        <v>45752</v>
      </c>
      <c r="C9" s="21"/>
      <c r="D9" s="21"/>
      <c r="E9" s="21"/>
      <c r="F9" s="21"/>
      <c r="G9" s="21"/>
      <c r="H9" s="21"/>
      <c r="I9" s="21"/>
      <c r="J9" s="21"/>
      <c r="K9" s="31"/>
      <c r="L9" s="31"/>
      <c r="M9" s="21"/>
      <c r="N9" s="21"/>
    </row>
    <row r="10" spans="1:14" ht="15">
      <c r="A10" s="18">
        <v>45753</v>
      </c>
      <c r="B10" s="19">
        <v>45753</v>
      </c>
      <c r="C10" s="21"/>
      <c r="D10" s="21"/>
      <c r="E10" s="21"/>
      <c r="F10" s="21"/>
      <c r="G10" s="21"/>
      <c r="H10" s="21"/>
      <c r="I10" s="21"/>
      <c r="J10" s="21"/>
      <c r="K10" s="31"/>
      <c r="L10" s="31"/>
      <c r="M10" s="21"/>
      <c r="N10" s="21"/>
    </row>
    <row r="11" spans="1:14" ht="15">
      <c r="A11" s="18">
        <v>45754</v>
      </c>
      <c r="B11" s="19">
        <v>45754</v>
      </c>
      <c r="C11" s="21"/>
      <c r="D11" s="21"/>
      <c r="E11" s="21"/>
      <c r="F11" s="21"/>
      <c r="G11" s="21"/>
      <c r="H11" s="21"/>
      <c r="I11" s="21"/>
      <c r="J11" s="21"/>
      <c r="K11" s="31"/>
      <c r="L11" s="31"/>
      <c r="M11" s="21"/>
      <c r="N11" s="21"/>
    </row>
    <row r="12" spans="1:14" ht="15">
      <c r="A12" s="18">
        <v>45755</v>
      </c>
      <c r="B12" s="19">
        <v>45755</v>
      </c>
      <c r="C12" s="21"/>
      <c r="D12" s="21"/>
      <c r="E12" s="21"/>
      <c r="F12" s="21"/>
      <c r="G12" s="21"/>
      <c r="H12" s="21"/>
      <c r="I12" s="21"/>
      <c r="J12" s="21"/>
      <c r="K12" s="31"/>
      <c r="L12" s="31"/>
      <c r="M12" s="21"/>
      <c r="N12" s="21"/>
    </row>
    <row r="13" spans="1:14" ht="15">
      <c r="A13" s="18">
        <v>45756</v>
      </c>
      <c r="B13" s="19">
        <v>45756</v>
      </c>
      <c r="C13" s="21"/>
      <c r="D13" s="21"/>
      <c r="E13" s="21"/>
      <c r="F13" s="21"/>
      <c r="G13" s="21"/>
      <c r="H13" s="21"/>
      <c r="I13" s="21"/>
      <c r="J13" s="21"/>
      <c r="K13" s="31"/>
      <c r="L13" s="31"/>
      <c r="M13" s="21"/>
      <c r="N13" s="21"/>
    </row>
    <row r="14" spans="1:14" ht="15">
      <c r="A14" s="18">
        <v>45757</v>
      </c>
      <c r="B14" s="19">
        <v>45757</v>
      </c>
      <c r="C14" s="21"/>
      <c r="D14" s="21"/>
      <c r="E14" s="21"/>
      <c r="F14" s="21"/>
      <c r="G14" s="21"/>
      <c r="H14" s="21"/>
      <c r="I14" s="21"/>
      <c r="J14" s="21"/>
      <c r="K14" s="31"/>
      <c r="L14" s="31"/>
      <c r="M14" s="21"/>
      <c r="N14" s="21"/>
    </row>
    <row r="15" spans="1:14" ht="15">
      <c r="A15" s="18">
        <v>45758</v>
      </c>
      <c r="B15" s="19">
        <v>45758</v>
      </c>
      <c r="C15" s="21"/>
      <c r="D15" s="21"/>
      <c r="E15" s="21"/>
      <c r="F15" s="21"/>
      <c r="G15" s="21"/>
      <c r="H15" s="21"/>
      <c r="I15" s="21"/>
      <c r="J15" s="21"/>
      <c r="K15" s="31"/>
      <c r="L15" s="31"/>
      <c r="M15" s="21"/>
      <c r="N15" s="21"/>
    </row>
    <row r="16" spans="1:14" ht="15">
      <c r="A16" s="18">
        <v>45759</v>
      </c>
      <c r="B16" s="19">
        <v>45759</v>
      </c>
      <c r="C16" s="21"/>
      <c r="D16" s="21"/>
      <c r="E16" s="21"/>
      <c r="F16" s="21"/>
      <c r="G16" s="21"/>
      <c r="H16" s="21" t="str">
        <f>IFERROR(VLOOKUP(G16,Basic_Data!$E$2:$I$9,5,0),"")</f>
        <v/>
      </c>
      <c r="I16" s="21" t="str">
        <f>IFERROR(VLOOKUP($G16,Basic_Data!$E$2:$H$10,4,0),"")</f>
        <v/>
      </c>
      <c r="J16" s="21"/>
      <c r="K16" s="31" t="str">
        <f>IFERROR(VLOOKUP($B16-1,Inverter_PR!$B:$I,Module_Cleaning!H16,0),"")</f>
        <v/>
      </c>
      <c r="L16" s="31" t="str">
        <f>IFERROR(VLOOKUP($B16+1,Inverter_PR!$B:$I,Module_Cleaning!H16,0),"")</f>
        <v/>
      </c>
      <c r="M16" s="21" t="str">
        <f t="shared" ref="M16:M68" si="0">IFERROR(I16-J16,"")</f>
        <v/>
      </c>
      <c r="N16" s="21"/>
    </row>
    <row r="17" spans="1:14" ht="15">
      <c r="A17" s="18">
        <v>45760</v>
      </c>
      <c r="B17" s="19">
        <v>45760</v>
      </c>
      <c r="C17" s="21"/>
      <c r="D17" s="21"/>
      <c r="E17" s="21"/>
      <c r="F17" s="21"/>
      <c r="G17" s="21"/>
      <c r="H17" s="21" t="str">
        <f>IFERROR(VLOOKUP(G17,Basic_Data!$E$2:$I$9,5,0),"")</f>
        <v/>
      </c>
      <c r="I17" s="21" t="str">
        <f>IFERROR(VLOOKUP($G17,Basic_Data!$E$2:$H$10,4,0),"")</f>
        <v/>
      </c>
      <c r="J17" s="21"/>
      <c r="K17" s="31" t="str">
        <f>IFERROR(VLOOKUP($B17-1,Inverter_PR!$B:$I,Module_Cleaning!H17,0),"")</f>
        <v/>
      </c>
      <c r="L17" s="31" t="str">
        <f>IFERROR(VLOOKUP($B17+1,Inverter_PR!$B:$I,Module_Cleaning!H17,0),"")</f>
        <v/>
      </c>
      <c r="M17" s="21" t="str">
        <f t="shared" si="0"/>
        <v/>
      </c>
      <c r="N17" s="21"/>
    </row>
    <row r="18" spans="1:14" ht="15">
      <c r="A18" s="18">
        <v>45761</v>
      </c>
      <c r="B18" s="19">
        <v>45761</v>
      </c>
      <c r="C18" s="21"/>
      <c r="D18" s="21"/>
      <c r="E18" s="21"/>
      <c r="F18" s="21"/>
      <c r="G18" s="21"/>
      <c r="H18" s="21" t="str">
        <f>IFERROR(VLOOKUP(G18,Basic_Data!$E$2:$I$9,5,0),"")</f>
        <v/>
      </c>
      <c r="I18" s="21" t="str">
        <f>IFERROR(VLOOKUP($G18,Basic_Data!$E$2:$H$10,4,0),"")</f>
        <v/>
      </c>
      <c r="J18" s="21"/>
      <c r="K18" s="31" t="str">
        <f>IFERROR(VLOOKUP($B18-1,Inverter_PR!$B:$I,Module_Cleaning!H18,0),"")</f>
        <v/>
      </c>
      <c r="L18" s="31" t="str">
        <f>IFERROR(VLOOKUP($B18+1,Inverter_PR!$B:$I,Module_Cleaning!H18,0),"")</f>
        <v/>
      </c>
      <c r="M18" s="21" t="str">
        <f t="shared" si="0"/>
        <v/>
      </c>
      <c r="N18" s="21"/>
    </row>
    <row r="19" spans="1:14" ht="15">
      <c r="A19" s="18">
        <v>45762</v>
      </c>
      <c r="B19" s="19">
        <v>45762</v>
      </c>
      <c r="C19" s="21"/>
      <c r="D19" s="21"/>
      <c r="E19" s="21"/>
      <c r="F19" s="21"/>
      <c r="G19" s="21"/>
      <c r="H19" s="21" t="str">
        <f>IFERROR(VLOOKUP(G19,Basic_Data!$E$2:$I$9,5,0),"")</f>
        <v/>
      </c>
      <c r="I19" s="21" t="str">
        <f>IFERROR(VLOOKUP($G19,Basic_Data!$E$2:$H$10,4,0),"")</f>
        <v/>
      </c>
      <c r="J19" s="21"/>
      <c r="K19" s="31" t="str">
        <f>IFERROR(VLOOKUP($B19-1,Inverter_PR!$B:$I,Module_Cleaning!H19,0),"")</f>
        <v/>
      </c>
      <c r="L19" s="31" t="str">
        <f>IFERROR(VLOOKUP($B19+1,Inverter_PR!$B:$I,Module_Cleaning!H19,0),"")</f>
        <v/>
      </c>
      <c r="M19" s="21" t="str">
        <f t="shared" si="0"/>
        <v/>
      </c>
      <c r="N19" s="21"/>
    </row>
    <row r="20" spans="1:14" ht="15">
      <c r="A20" s="18">
        <v>45763</v>
      </c>
      <c r="B20" s="19">
        <v>45763</v>
      </c>
      <c r="C20" s="21"/>
      <c r="D20" s="21"/>
      <c r="E20" s="21"/>
      <c r="F20" s="21"/>
      <c r="G20" s="21"/>
      <c r="H20" s="21" t="str">
        <f>IFERROR(VLOOKUP(G20,Basic_Data!$E$2:$I$9,5,0),"")</f>
        <v/>
      </c>
      <c r="I20" s="21" t="str">
        <f>IFERROR(VLOOKUP($G20,Basic_Data!$E$2:$H$10,4,0),"")</f>
        <v/>
      </c>
      <c r="J20" s="21"/>
      <c r="K20" s="31" t="str">
        <f>IFERROR(VLOOKUP($B20-1,Inverter_PR!$B:$I,Module_Cleaning!H20,0),"")</f>
        <v/>
      </c>
      <c r="L20" s="31" t="str">
        <f>IFERROR(VLOOKUP($B20+1,Inverter_PR!$B:$I,Module_Cleaning!H20,0),"")</f>
        <v/>
      </c>
      <c r="M20" s="21" t="str">
        <f t="shared" si="0"/>
        <v/>
      </c>
      <c r="N20" s="21"/>
    </row>
    <row r="21" spans="1:14" ht="15">
      <c r="A21" s="18">
        <v>45764</v>
      </c>
      <c r="B21" s="19">
        <v>45764</v>
      </c>
      <c r="C21" s="21"/>
      <c r="D21" s="21"/>
      <c r="E21" s="21"/>
      <c r="F21" s="21"/>
      <c r="G21" s="21"/>
      <c r="H21" s="21" t="str">
        <f>IFERROR(VLOOKUP(G21,Basic_Data!$E$2:$I$9,5,0),"")</f>
        <v/>
      </c>
      <c r="I21" s="21" t="str">
        <f>IFERROR(VLOOKUP($G21,Basic_Data!$E$2:$H$10,4,0),"")</f>
        <v/>
      </c>
      <c r="J21" s="21"/>
      <c r="K21" s="31" t="str">
        <f>IFERROR(VLOOKUP($B21-1,Inverter_PR!$B:$I,Module_Cleaning!H21,0),"")</f>
        <v/>
      </c>
      <c r="L21" s="31" t="str">
        <f>IFERROR(VLOOKUP($B21+1,Inverter_PR!$B:$I,Module_Cleaning!H21,0),"")</f>
        <v/>
      </c>
      <c r="M21" s="21" t="str">
        <f t="shared" si="0"/>
        <v/>
      </c>
      <c r="N21" s="21"/>
    </row>
    <row r="22" spans="1:14" ht="15">
      <c r="A22" s="18">
        <v>45765</v>
      </c>
      <c r="B22" s="19">
        <v>45765</v>
      </c>
      <c r="C22" s="21"/>
      <c r="D22" s="21"/>
      <c r="E22" s="21"/>
      <c r="F22" s="21"/>
      <c r="G22" s="21"/>
      <c r="H22" s="21" t="str">
        <f>IFERROR(VLOOKUP(G22,Basic_Data!$E$2:$I$9,5,0),"")</f>
        <v/>
      </c>
      <c r="I22" s="21" t="str">
        <f>IFERROR(VLOOKUP($G22,Basic_Data!$E$2:$H$10,4,0),"")</f>
        <v/>
      </c>
      <c r="J22" s="21"/>
      <c r="K22" s="31" t="str">
        <f>IFERROR(VLOOKUP($B22-1,Inverter_PR!$B:$I,Module_Cleaning!H22,0),"")</f>
        <v/>
      </c>
      <c r="L22" s="31" t="str">
        <f>IFERROR(VLOOKUP($B22+1,Inverter_PR!$B:$I,Module_Cleaning!H22,0),"")</f>
        <v/>
      </c>
      <c r="M22" s="21" t="str">
        <f t="shared" si="0"/>
        <v/>
      </c>
      <c r="N22" s="21"/>
    </row>
    <row r="23" spans="1:14" ht="15">
      <c r="A23" s="18">
        <v>45766</v>
      </c>
      <c r="B23" s="19">
        <v>45766</v>
      </c>
      <c r="C23" s="21"/>
      <c r="D23" s="21"/>
      <c r="E23" s="21"/>
      <c r="F23" s="21"/>
      <c r="G23" s="21"/>
      <c r="H23" s="21" t="str">
        <f>IFERROR(VLOOKUP(G23,Basic_Data!$E$2:$I$9,5,0),"")</f>
        <v/>
      </c>
      <c r="I23" s="21" t="str">
        <f>IFERROR(VLOOKUP($G23,Basic_Data!$E$2:$H$10,4,0),"")</f>
        <v/>
      </c>
      <c r="J23" s="21"/>
      <c r="K23" s="31" t="str">
        <f>IFERROR(VLOOKUP($B23-1,Inverter_PR!$B:$I,Module_Cleaning!H23,0),"")</f>
        <v/>
      </c>
      <c r="L23" s="31" t="str">
        <f>IFERROR(VLOOKUP($B23+1,Inverter_PR!$B:$I,Module_Cleaning!H23,0),"")</f>
        <v/>
      </c>
      <c r="M23" s="21" t="str">
        <f t="shared" si="0"/>
        <v/>
      </c>
      <c r="N23" s="21"/>
    </row>
    <row r="24" spans="1:14" ht="15">
      <c r="A24" s="18">
        <v>45767</v>
      </c>
      <c r="B24" s="19">
        <v>45767</v>
      </c>
      <c r="C24" s="21"/>
      <c r="D24" s="21"/>
      <c r="E24" s="21"/>
      <c r="F24" s="21"/>
      <c r="G24" s="21"/>
      <c r="H24" s="21" t="str">
        <f>IFERROR(VLOOKUP(G24,Basic_Data!$E$2:$I$9,5,0),"")</f>
        <v/>
      </c>
      <c r="I24" s="21" t="str">
        <f>IFERROR(VLOOKUP($G24,Basic_Data!$E$2:$H$10,4,0),"")</f>
        <v/>
      </c>
      <c r="J24" s="21"/>
      <c r="K24" s="31" t="str">
        <f>IFERROR(VLOOKUP($B24-1,Inverter_PR!$B:$I,Module_Cleaning!H24,0),"")</f>
        <v/>
      </c>
      <c r="L24" s="31" t="str">
        <f>IFERROR(VLOOKUP($B24+1,Inverter_PR!$B:$I,Module_Cleaning!H24,0),"")</f>
        <v/>
      </c>
      <c r="M24" s="21" t="str">
        <f t="shared" si="0"/>
        <v/>
      </c>
      <c r="N24" s="21"/>
    </row>
    <row r="25" spans="1:14" ht="15">
      <c r="A25" s="18">
        <v>45768</v>
      </c>
      <c r="B25" s="19">
        <v>45768</v>
      </c>
      <c r="C25" s="21">
        <v>1</v>
      </c>
      <c r="D25" s="21">
        <v>2000</v>
      </c>
      <c r="E25" s="21"/>
      <c r="F25" s="21">
        <v>2</v>
      </c>
      <c r="G25" s="21" t="s">
        <v>21</v>
      </c>
      <c r="H25" s="21">
        <f>IFERROR(VLOOKUP(G25,Basic_Data!$E$2:$I$9,5,0),"")</f>
        <v>8</v>
      </c>
      <c r="I25" s="21">
        <f>IFERROR(VLOOKUP($G25,Basic_Data!$E$2:$H$10,4,0),"")</f>
        <v>644</v>
      </c>
      <c r="J25" s="21">
        <v>644</v>
      </c>
      <c r="K25" s="31">
        <f>IFERROR(VLOOKUP($B25-1,Inverter_PR!$B:$I,Module_Cleaning!H25,0),"")</f>
        <v>1.0588068680332601</v>
      </c>
      <c r="L25" s="31">
        <f>IFERROR(VLOOKUP($B25+1,Inverter_PR!$B:$I,Module_Cleaning!H25,0),"")</f>
        <v>1.0796984111072001</v>
      </c>
      <c r="M25" s="21">
        <f t="shared" si="0"/>
        <v>0</v>
      </c>
      <c r="N25" s="21" t="s">
        <v>228</v>
      </c>
    </row>
    <row r="26" spans="1:14" ht="15">
      <c r="A26" s="18">
        <v>45769</v>
      </c>
      <c r="B26" s="19">
        <v>45769</v>
      </c>
      <c r="C26" s="21">
        <v>2</v>
      </c>
      <c r="D26" s="21">
        <v>4000</v>
      </c>
      <c r="E26" s="21"/>
      <c r="F26" s="21">
        <v>2</v>
      </c>
      <c r="G26" s="21" t="s">
        <v>20</v>
      </c>
      <c r="H26" s="21">
        <f>IFERROR(VLOOKUP(G26,Basic_Data!$E$2:$I$9,5,0),"")</f>
        <v>7</v>
      </c>
      <c r="I26" s="21">
        <f>IFERROR(VLOOKUP($G26,Basic_Data!$E$2:$H$10,4,0),"")</f>
        <v>644</v>
      </c>
      <c r="J26" s="21">
        <v>644</v>
      </c>
      <c r="K26" s="31">
        <f>IFERROR(VLOOKUP($B26-1,Inverter_PR!$B:$I,Module_Cleaning!H26,0),"")</f>
        <v>1.03836862276221</v>
      </c>
      <c r="L26" s="31">
        <f>IFERROR(VLOOKUP($B26+1,Inverter_PR!$B:$I,Module_Cleaning!H26,0),"")</f>
        <v>1.01890355706616</v>
      </c>
      <c r="M26" s="21">
        <f t="shared" si="0"/>
        <v>0</v>
      </c>
      <c r="N26" s="21" t="s">
        <v>228</v>
      </c>
    </row>
    <row r="27" spans="1:14" ht="15">
      <c r="A27" s="18">
        <v>45799</v>
      </c>
      <c r="B27" s="19">
        <v>45769</v>
      </c>
      <c r="C27" s="21"/>
      <c r="D27" s="21"/>
      <c r="E27" s="21"/>
      <c r="F27" s="21">
        <v>2</v>
      </c>
      <c r="G27" s="21" t="s">
        <v>19</v>
      </c>
      <c r="H27" s="21"/>
      <c r="I27" s="21">
        <v>644</v>
      </c>
      <c r="J27" s="21">
        <v>644</v>
      </c>
      <c r="K27" s="31"/>
      <c r="L27" s="31"/>
      <c r="M27" s="21"/>
      <c r="N27" s="21" t="s">
        <v>228</v>
      </c>
    </row>
    <row r="28" spans="1:14" ht="15">
      <c r="A28" s="18">
        <v>45770</v>
      </c>
      <c r="B28" s="19">
        <v>45770</v>
      </c>
      <c r="C28" s="21">
        <v>2</v>
      </c>
      <c r="D28" s="21">
        <v>4000</v>
      </c>
      <c r="E28" s="21"/>
      <c r="F28" s="21">
        <v>2</v>
      </c>
      <c r="G28" s="21" t="s">
        <v>18</v>
      </c>
      <c r="H28" s="21">
        <f>IFERROR(VLOOKUP(G28,Basic_Data!$E$2:$I$9,5,0),"")</f>
        <v>5</v>
      </c>
      <c r="I28" s="21">
        <f>IFERROR(VLOOKUP($G28,Basic_Data!$E$2:$H$10,4,0),"")</f>
        <v>644</v>
      </c>
      <c r="J28" s="21">
        <v>644</v>
      </c>
      <c r="K28" s="31">
        <f>IFERROR(VLOOKUP($B28-1,Inverter_PR!$B:$I,Module_Cleaning!H28,0),"")</f>
        <v>1.063284415487</v>
      </c>
      <c r="L28" s="31">
        <f>IFERROR(VLOOKUP($B28+1,Inverter_PR!$B:$I,Module_Cleaning!H28,0),"")</f>
        <v>1.02114405574224</v>
      </c>
      <c r="M28" s="21">
        <f t="shared" si="0"/>
        <v>0</v>
      </c>
      <c r="N28" s="21" t="s">
        <v>228</v>
      </c>
    </row>
    <row r="29" spans="1:14" ht="15">
      <c r="A29" s="18"/>
      <c r="B29" s="19"/>
      <c r="C29" s="21"/>
      <c r="D29" s="21"/>
      <c r="E29" s="21"/>
      <c r="F29" s="21">
        <v>2</v>
      </c>
      <c r="G29" s="21" t="s">
        <v>17</v>
      </c>
      <c r="H29" s="21"/>
      <c r="I29" s="21">
        <v>616</v>
      </c>
      <c r="J29" s="21">
        <v>616</v>
      </c>
      <c r="K29" s="31"/>
      <c r="L29" s="31"/>
      <c r="M29" s="21"/>
      <c r="N29" s="21" t="s">
        <v>228</v>
      </c>
    </row>
    <row r="30" spans="1:14" ht="15">
      <c r="A30" s="18">
        <v>45771</v>
      </c>
      <c r="B30" s="19">
        <v>45771</v>
      </c>
      <c r="C30" s="21">
        <v>2</v>
      </c>
      <c r="D30" s="21">
        <v>4000</v>
      </c>
      <c r="E30" s="21"/>
      <c r="F30" s="21">
        <v>2</v>
      </c>
      <c r="G30" s="21" t="s">
        <v>16</v>
      </c>
      <c r="H30" s="21">
        <f>IFERROR(VLOOKUP(G30,Basic_Data!$E$2:$I$9,5,0),"")</f>
        <v>3</v>
      </c>
      <c r="I30" s="21">
        <f>IFERROR(VLOOKUP($G30,Basic_Data!$E$2:$H$10,4,0),"")</f>
        <v>616</v>
      </c>
      <c r="J30" s="21">
        <v>616</v>
      </c>
      <c r="K30" s="31">
        <f>IFERROR(VLOOKUP($B30-1,Inverter_PR!$B:$I,Module_Cleaning!H30,0),"")</f>
        <v>1.0533502279368301</v>
      </c>
      <c r="L30" s="31">
        <f>IFERROR(VLOOKUP($B30+1,Inverter_PR!$B:$I,Module_Cleaning!H30,0),"")</f>
        <v>1.10909099404414</v>
      </c>
      <c r="M30" s="21">
        <f t="shared" si="0"/>
        <v>0</v>
      </c>
      <c r="N30" s="21" t="s">
        <v>228</v>
      </c>
    </row>
    <row r="31" spans="1:14" ht="15">
      <c r="A31" s="18"/>
      <c r="B31" s="19"/>
      <c r="C31" s="21"/>
      <c r="D31" s="21"/>
      <c r="E31" s="21"/>
      <c r="F31" s="21">
        <v>2</v>
      </c>
      <c r="G31" s="21" t="s">
        <v>15</v>
      </c>
      <c r="H31" s="21"/>
      <c r="I31" s="21">
        <v>616</v>
      </c>
      <c r="J31" s="21">
        <v>616</v>
      </c>
      <c r="K31" s="31"/>
      <c r="L31" s="31"/>
      <c r="M31" s="21"/>
      <c r="N31" s="21" t="s">
        <v>228</v>
      </c>
    </row>
    <row r="32" spans="1:14" ht="15">
      <c r="A32" s="18">
        <v>45772</v>
      </c>
      <c r="B32" s="19">
        <v>45772</v>
      </c>
      <c r="C32" s="21">
        <v>0</v>
      </c>
      <c r="D32" s="21">
        <v>0</v>
      </c>
      <c r="E32" s="21">
        <v>0</v>
      </c>
      <c r="F32" s="21">
        <v>0</v>
      </c>
      <c r="G32" s="21"/>
      <c r="H32" s="21">
        <v>0</v>
      </c>
      <c r="I32" s="21">
        <v>0</v>
      </c>
      <c r="J32" s="21">
        <v>0</v>
      </c>
      <c r="K32" s="31" t="str">
        <f>IFERROR(VLOOKUP($B32-1,Inverter_PR!$B:$I,Module_Cleaning!H32,0),"")</f>
        <v/>
      </c>
      <c r="L32" s="31" t="str">
        <f>IFERROR(VLOOKUP($B32+1,Inverter_PR!$B:$I,Module_Cleaning!H32,0),"")</f>
        <v/>
      </c>
      <c r="M32" s="21">
        <f t="shared" si="0"/>
        <v>0</v>
      </c>
      <c r="N32" s="21" t="s">
        <v>229</v>
      </c>
    </row>
    <row r="33" spans="1:14" ht="15">
      <c r="A33" s="18">
        <v>45773</v>
      </c>
      <c r="B33" s="19">
        <v>45773</v>
      </c>
      <c r="C33" s="21">
        <v>0</v>
      </c>
      <c r="D33" s="21">
        <v>0</v>
      </c>
      <c r="E33" s="21">
        <v>0</v>
      </c>
      <c r="F33" s="21">
        <v>0</v>
      </c>
      <c r="G33" s="21"/>
      <c r="H33" s="21" t="str">
        <f>IFERROR(VLOOKUP(G33,Basic_Data!$E$2:$I$9,5,0),"")</f>
        <v/>
      </c>
      <c r="I33" s="21">
        <v>0</v>
      </c>
      <c r="J33" s="21">
        <v>0</v>
      </c>
      <c r="K33" s="31" t="str">
        <f>IFERROR(VLOOKUP($B33-1,Inverter_PR!$B:$I,Module_Cleaning!H33,0),"")</f>
        <v/>
      </c>
      <c r="L33" s="31" t="str">
        <f>IFERROR(VLOOKUP($B33+1,Inverter_PR!$B:$I,Module_Cleaning!H33,0),"")</f>
        <v/>
      </c>
      <c r="M33" s="21">
        <f t="shared" si="0"/>
        <v>0</v>
      </c>
      <c r="N33" s="21" t="s">
        <v>229</v>
      </c>
    </row>
    <row r="34" spans="1:14" ht="15">
      <c r="A34" s="18">
        <v>45774</v>
      </c>
      <c r="B34" s="19">
        <v>45774</v>
      </c>
      <c r="C34" s="21">
        <v>0</v>
      </c>
      <c r="D34" s="21">
        <v>0</v>
      </c>
      <c r="E34" s="21">
        <v>0</v>
      </c>
      <c r="F34" s="21">
        <v>0</v>
      </c>
      <c r="G34" s="21"/>
      <c r="H34" s="21" t="str">
        <f>IFERROR(VLOOKUP(G34,Basic_Data!$E$2:$I$9,5,0),"")</f>
        <v/>
      </c>
      <c r="I34" s="21">
        <v>0</v>
      </c>
      <c r="J34" s="21">
        <v>0</v>
      </c>
      <c r="K34" s="31" t="str">
        <f>IFERROR(VLOOKUP($B34-1,Inverter_PR!$B:$I,Module_Cleaning!H34,0),"")</f>
        <v/>
      </c>
      <c r="L34" s="31" t="str">
        <f>IFERROR(VLOOKUP($B34+1,Inverter_PR!$B:$I,Module_Cleaning!H34,0),"")</f>
        <v/>
      </c>
      <c r="M34" s="21">
        <f t="shared" si="0"/>
        <v>0</v>
      </c>
      <c r="N34" s="21" t="s">
        <v>229</v>
      </c>
    </row>
    <row r="35" spans="1:14" ht="15">
      <c r="A35" s="18">
        <v>45775</v>
      </c>
      <c r="B35" s="19">
        <v>45775</v>
      </c>
      <c r="C35" s="21">
        <v>0</v>
      </c>
      <c r="D35" s="21">
        <v>0</v>
      </c>
      <c r="E35" s="21">
        <v>0</v>
      </c>
      <c r="F35" s="21">
        <v>0</v>
      </c>
      <c r="G35" s="21"/>
      <c r="H35" s="21" t="str">
        <f>IFERROR(VLOOKUP(G35,Basic_Data!$E$2:$I$9,5,0),"")</f>
        <v/>
      </c>
      <c r="I35" s="21">
        <v>0</v>
      </c>
      <c r="J35" s="21">
        <v>0</v>
      </c>
      <c r="K35" s="31" t="str">
        <f>IFERROR(VLOOKUP($B35-1,Inverter_PR!$B:$I,Module_Cleaning!H35,0),"")</f>
        <v/>
      </c>
      <c r="L35" s="31" t="str">
        <f>IFERROR(VLOOKUP($B35+1,Inverter_PR!$B:$I,Module_Cleaning!H35,0),"")</f>
        <v/>
      </c>
      <c r="M35" s="21">
        <f t="shared" si="0"/>
        <v>0</v>
      </c>
      <c r="N35" s="21" t="s">
        <v>229</v>
      </c>
    </row>
    <row r="36" spans="1:14" ht="15">
      <c r="A36" s="18">
        <v>45776</v>
      </c>
      <c r="B36" s="19">
        <v>45776</v>
      </c>
      <c r="C36" s="21">
        <v>0</v>
      </c>
      <c r="D36" s="21">
        <v>0</v>
      </c>
      <c r="E36" s="21">
        <v>0</v>
      </c>
      <c r="F36" s="21">
        <v>0</v>
      </c>
      <c r="G36" s="21"/>
      <c r="H36" s="21" t="str">
        <f>IFERROR(VLOOKUP(G36,Basic_Data!$E$2:$I$9,5,0),"")</f>
        <v/>
      </c>
      <c r="I36" s="21">
        <v>0</v>
      </c>
      <c r="J36" s="21">
        <v>0</v>
      </c>
      <c r="K36" s="31" t="str">
        <f>IFERROR(VLOOKUP($B36-1,Inverter_PR!$B:$I,Module_Cleaning!H36,0),"")</f>
        <v/>
      </c>
      <c r="L36" s="31" t="str">
        <f>IFERROR(VLOOKUP($B36+1,Inverter_PR!$B:$I,Module_Cleaning!H36,0),"")</f>
        <v/>
      </c>
      <c r="M36" s="21">
        <f t="shared" si="0"/>
        <v>0</v>
      </c>
      <c r="N36" s="21" t="s">
        <v>229</v>
      </c>
    </row>
    <row r="37" spans="1:14" ht="15">
      <c r="A37" s="18">
        <v>45777</v>
      </c>
      <c r="B37" s="19">
        <v>45777</v>
      </c>
      <c r="C37" s="21">
        <v>0</v>
      </c>
      <c r="D37" s="21">
        <v>0</v>
      </c>
      <c r="E37" s="21">
        <v>0</v>
      </c>
      <c r="F37" s="21">
        <v>0</v>
      </c>
      <c r="G37" s="21"/>
      <c r="H37" s="21" t="str">
        <f>IFERROR(VLOOKUP(G37,Basic_Data!$E$2:$I$9,5,0),"")</f>
        <v/>
      </c>
      <c r="I37" s="21">
        <v>0</v>
      </c>
      <c r="J37" s="21">
        <v>0</v>
      </c>
      <c r="K37" s="31" t="str">
        <f>IFERROR(VLOOKUP($B37-1,Inverter_PR!$B:$I,Module_Cleaning!H37,0),"")</f>
        <v/>
      </c>
      <c r="L37" s="31" t="str">
        <f>IFERROR(VLOOKUP($B37+1,Inverter_PR!$B:$I,Module_Cleaning!H37,0),"")</f>
        <v/>
      </c>
      <c r="M37" s="21">
        <f t="shared" si="0"/>
        <v>0</v>
      </c>
      <c r="N37" s="21" t="s">
        <v>229</v>
      </c>
    </row>
    <row r="38" spans="1:14" ht="15">
      <c r="A38" s="18">
        <v>45778</v>
      </c>
      <c r="B38" s="19">
        <v>45778</v>
      </c>
      <c r="C38" s="21">
        <v>0</v>
      </c>
      <c r="D38" s="21">
        <v>0</v>
      </c>
      <c r="E38" s="21">
        <v>0</v>
      </c>
      <c r="F38" s="21">
        <v>0</v>
      </c>
      <c r="G38" s="21"/>
      <c r="H38" s="21" t="str">
        <f>IFERROR(VLOOKUP(G38,Basic_Data!$E$2:$I$9,5,0),"")</f>
        <v/>
      </c>
      <c r="I38" s="21">
        <v>0</v>
      </c>
      <c r="J38" s="21">
        <v>0</v>
      </c>
      <c r="K38" s="31" t="str">
        <f>IFERROR(VLOOKUP($B38-1,Inverter_PR!$B:$I,Module_Cleaning!H38,0),"")</f>
        <v/>
      </c>
      <c r="L38" s="31" t="str">
        <f>IFERROR(VLOOKUP($B38+1,Inverter_PR!$B:$I,Module_Cleaning!H38,0),"")</f>
        <v/>
      </c>
      <c r="M38" s="21">
        <f t="shared" si="0"/>
        <v>0</v>
      </c>
      <c r="N38" s="21" t="s">
        <v>229</v>
      </c>
    </row>
    <row r="39" spans="1:14" ht="15">
      <c r="A39" s="18">
        <v>45779</v>
      </c>
      <c r="B39" s="19">
        <v>45779</v>
      </c>
      <c r="C39" s="21">
        <v>0</v>
      </c>
      <c r="D39" s="21">
        <v>0</v>
      </c>
      <c r="E39" s="21">
        <v>0</v>
      </c>
      <c r="F39" s="21">
        <v>0</v>
      </c>
      <c r="G39" s="21"/>
      <c r="H39" s="21" t="str">
        <f>IFERROR(VLOOKUP(G39,Basic_Data!$E$2:$I$9,5,0),"")</f>
        <v/>
      </c>
      <c r="I39" s="21">
        <v>0</v>
      </c>
      <c r="J39" s="21">
        <v>0</v>
      </c>
      <c r="K39" s="31" t="str">
        <f>IFERROR(VLOOKUP($B39-1,Inverter_PR!$B:$I,Module_Cleaning!H39,0),"")</f>
        <v/>
      </c>
      <c r="L39" s="31" t="str">
        <f>IFERROR(VLOOKUP($B39+1,Inverter_PR!$B:$I,Module_Cleaning!H39,0),"")</f>
        <v/>
      </c>
      <c r="M39" s="21">
        <f t="shared" si="0"/>
        <v>0</v>
      </c>
      <c r="N39" s="21" t="s">
        <v>229</v>
      </c>
    </row>
    <row r="40" spans="1:14" ht="15">
      <c r="A40" s="18">
        <v>45780</v>
      </c>
      <c r="B40" s="19">
        <v>45780</v>
      </c>
      <c r="C40" s="21">
        <v>0</v>
      </c>
      <c r="D40" s="21">
        <v>0</v>
      </c>
      <c r="E40" s="21">
        <v>0</v>
      </c>
      <c r="F40" s="21">
        <v>0</v>
      </c>
      <c r="G40" s="21"/>
      <c r="H40" s="21" t="str">
        <f>IFERROR(VLOOKUP(G40,Basic_Data!$E$2:$I$9,5,0),"")</f>
        <v/>
      </c>
      <c r="I40" s="21">
        <v>0</v>
      </c>
      <c r="J40" s="21">
        <v>0</v>
      </c>
      <c r="K40" s="31" t="str">
        <f>IFERROR(VLOOKUP($B40-1,Inverter_PR!$B:$I,Module_Cleaning!H40,0),"")</f>
        <v/>
      </c>
      <c r="L40" s="31" t="str">
        <f>IFERROR(VLOOKUP($B40+1,Inverter_PR!$B:$I,Module_Cleaning!H40,0),"")</f>
        <v/>
      </c>
      <c r="M40" s="21">
        <f t="shared" si="0"/>
        <v>0</v>
      </c>
      <c r="N40" s="21" t="s">
        <v>229</v>
      </c>
    </row>
    <row r="41" spans="1:14" ht="15">
      <c r="A41" s="18">
        <v>45781</v>
      </c>
      <c r="B41" s="19">
        <v>45781</v>
      </c>
      <c r="C41" s="21">
        <v>0</v>
      </c>
      <c r="D41" s="21"/>
      <c r="E41" s="21">
        <v>0</v>
      </c>
      <c r="F41" s="21">
        <v>0</v>
      </c>
      <c r="G41" s="21"/>
      <c r="H41" s="21" t="str">
        <f>IFERROR(VLOOKUP(G41,Basic_Data!$E$2:$I$9,5,0),"")</f>
        <v/>
      </c>
      <c r="I41" s="21">
        <v>0</v>
      </c>
      <c r="J41" s="21">
        <v>0</v>
      </c>
      <c r="K41" s="31" t="str">
        <f>IFERROR(VLOOKUP($B41-1,Inverter_PR!$B:$I,Module_Cleaning!H41,0),"")</f>
        <v/>
      </c>
      <c r="L41" s="31" t="str">
        <f>IFERROR(VLOOKUP($B41+1,Inverter_PR!$B:$I,Module_Cleaning!H41,0),"")</f>
        <v/>
      </c>
      <c r="M41" s="21">
        <f t="shared" si="0"/>
        <v>0</v>
      </c>
      <c r="N41" s="21" t="s">
        <v>229</v>
      </c>
    </row>
    <row r="42" spans="1:14" ht="15">
      <c r="A42" s="18">
        <v>45782</v>
      </c>
      <c r="B42" s="19">
        <v>45782</v>
      </c>
      <c r="C42" s="21">
        <v>0</v>
      </c>
      <c r="D42" s="21">
        <v>0</v>
      </c>
      <c r="E42" s="21">
        <v>0</v>
      </c>
      <c r="F42" s="21">
        <v>0</v>
      </c>
      <c r="G42" s="21"/>
      <c r="H42" s="21" t="str">
        <f>IFERROR(VLOOKUP(G42,Basic_Data!$E$2:$I$9,5,0),"")</f>
        <v/>
      </c>
      <c r="I42" s="21">
        <v>0</v>
      </c>
      <c r="J42" s="21">
        <v>0</v>
      </c>
      <c r="K42" s="31">
        <v>0</v>
      </c>
      <c r="L42" s="31" t="str">
        <f>IFERROR(VLOOKUP($B42+1,Inverter_PR!$B:$I,Module_Cleaning!H42,0),"")</f>
        <v/>
      </c>
      <c r="M42" s="21">
        <f t="shared" si="0"/>
        <v>0</v>
      </c>
      <c r="N42" s="21" t="s">
        <v>229</v>
      </c>
    </row>
    <row r="43" spans="1:14" ht="15">
      <c r="A43" s="18">
        <v>45783</v>
      </c>
      <c r="B43" s="19">
        <v>45783</v>
      </c>
      <c r="C43" s="21">
        <v>0</v>
      </c>
      <c r="D43" s="21">
        <v>0</v>
      </c>
      <c r="E43" s="21">
        <v>0</v>
      </c>
      <c r="F43" s="21">
        <v>0</v>
      </c>
      <c r="G43" s="21"/>
      <c r="H43" s="21" t="str">
        <f>IFERROR(VLOOKUP(G43,Basic_Data!$E$2:$I$9,5,0),"")</f>
        <v/>
      </c>
      <c r="I43" s="21">
        <v>0</v>
      </c>
      <c r="J43" s="21">
        <v>0</v>
      </c>
      <c r="K43" s="31" t="str">
        <f>IFERROR(VLOOKUP($B43-1,Inverter_PR!$B:$I,Module_Cleaning!H43,0),"")</f>
        <v/>
      </c>
      <c r="L43" s="31" t="str">
        <f>IFERROR(VLOOKUP($B43+1,Inverter_PR!$B:$I,Module_Cleaning!H43,0),"")</f>
        <v/>
      </c>
      <c r="M43" s="21">
        <f t="shared" si="0"/>
        <v>0</v>
      </c>
      <c r="N43" s="21" t="s">
        <v>229</v>
      </c>
    </row>
    <row r="44" spans="1:14" ht="15">
      <c r="A44" s="18">
        <v>45784</v>
      </c>
      <c r="B44" s="19">
        <v>45784</v>
      </c>
      <c r="C44" s="32"/>
      <c r="D44" s="32"/>
      <c r="E44" s="32"/>
      <c r="F44" s="32"/>
      <c r="G44" s="32"/>
      <c r="H44" s="32" t="str">
        <f>IFERROR(VLOOKUP(G44,Basic_Data!$E$2:$I$9,5,0),"")</f>
        <v/>
      </c>
      <c r="I44" s="32" t="str">
        <f>IFERROR(VLOOKUP($G44,Basic_Data!$E$2:$H$10,4,0),"")</f>
        <v/>
      </c>
      <c r="J44" s="32"/>
      <c r="K44" s="33" t="str">
        <f>IFERROR(VLOOKUP($B44-1,Inverter_PR!$B:$I,Module_Cleaning!H44,0),"")</f>
        <v/>
      </c>
      <c r="L44" s="33" t="str">
        <f>IFERROR(VLOOKUP($B44+1,Inverter_PR!$B:$I,Module_Cleaning!H44,0),"")</f>
        <v/>
      </c>
      <c r="M44" s="32" t="str">
        <f t="shared" si="0"/>
        <v/>
      </c>
      <c r="N44" s="32" t="s">
        <v>230</v>
      </c>
    </row>
    <row r="45" spans="1:14" ht="15">
      <c r="A45" s="18">
        <v>45785</v>
      </c>
      <c r="B45" s="19">
        <v>45785</v>
      </c>
      <c r="C45" s="32"/>
      <c r="D45" s="32"/>
      <c r="E45" s="32"/>
      <c r="F45" s="32"/>
      <c r="G45" s="32"/>
      <c r="H45" s="32" t="str">
        <f>IFERROR(VLOOKUP(G45,Basic_Data!$E$2:$I$9,5,0),"")</f>
        <v/>
      </c>
      <c r="I45" s="32" t="str">
        <f>IFERROR(VLOOKUP($G45,Basic_Data!$E$2:$H$10,4,0),"")</f>
        <v/>
      </c>
      <c r="J45" s="32"/>
      <c r="K45" s="33" t="str">
        <f>IFERROR(VLOOKUP($B45-1,Inverter_PR!$B:$I,Module_Cleaning!H45,0),"")</f>
        <v/>
      </c>
      <c r="L45" s="33" t="str">
        <f>IFERROR(VLOOKUP($B45+1,Inverter_PR!$B:$I,Module_Cleaning!H45,0),"")</f>
        <v/>
      </c>
      <c r="M45" s="32" t="str">
        <f t="shared" si="0"/>
        <v/>
      </c>
      <c r="N45" s="32" t="s">
        <v>230</v>
      </c>
    </row>
    <row r="46" spans="1:14" ht="15">
      <c r="A46" s="18">
        <v>45786</v>
      </c>
      <c r="B46" s="19">
        <v>45786</v>
      </c>
      <c r="C46" s="21">
        <v>0</v>
      </c>
      <c r="D46" s="21">
        <v>0</v>
      </c>
      <c r="E46" s="21">
        <v>0</v>
      </c>
      <c r="F46" s="21">
        <v>0</v>
      </c>
      <c r="G46" s="21"/>
      <c r="H46" s="21" t="str">
        <f>IFERROR(VLOOKUP(G46,Basic_Data!$E$2:$I$9,5,0),"")</f>
        <v/>
      </c>
      <c r="I46" s="21">
        <v>0</v>
      </c>
      <c r="J46" s="21">
        <v>0</v>
      </c>
      <c r="K46" s="31" t="str">
        <f>IFERROR(VLOOKUP($B46-1,Inverter_PR!$B:$I,Module_Cleaning!H46,0),"")</f>
        <v/>
      </c>
      <c r="L46" s="31" t="str">
        <f>IFERROR(VLOOKUP($B46+1,Inverter_PR!$B:$I,Module_Cleaning!H46,0),"")</f>
        <v/>
      </c>
      <c r="M46" s="21">
        <f t="shared" si="0"/>
        <v>0</v>
      </c>
      <c r="N46" s="21" t="s">
        <v>229</v>
      </c>
    </row>
    <row r="47" spans="1:14" ht="15">
      <c r="A47" s="18">
        <v>45787</v>
      </c>
      <c r="B47" s="19">
        <v>45787</v>
      </c>
      <c r="C47" s="32"/>
      <c r="D47" s="32"/>
      <c r="E47" s="32"/>
      <c r="F47" s="32"/>
      <c r="G47" s="32"/>
      <c r="H47" s="32" t="str">
        <f>IFERROR(VLOOKUP(G47,Basic_Data!$E$2:$I$9,5,0),"")</f>
        <v/>
      </c>
      <c r="I47" s="32" t="str">
        <f>IFERROR(VLOOKUP($G47,Basic_Data!$E$2:$H$10,4,0),"")</f>
        <v/>
      </c>
      <c r="J47" s="32"/>
      <c r="K47" s="33" t="str">
        <f>IFERROR(VLOOKUP($B47-1,Inverter_PR!$B:$I,Module_Cleaning!H47,0),"")</f>
        <v/>
      </c>
      <c r="L47" s="33" t="str">
        <f>IFERROR(VLOOKUP($B47+1,Inverter_PR!$B:$I,Module_Cleaning!H47,0),"")</f>
        <v/>
      </c>
      <c r="M47" s="32" t="str">
        <f t="shared" si="0"/>
        <v/>
      </c>
      <c r="N47" s="32" t="s">
        <v>230</v>
      </c>
    </row>
    <row r="48" spans="1:14" ht="15">
      <c r="A48" s="18">
        <v>45788</v>
      </c>
      <c r="B48" s="19">
        <v>45788</v>
      </c>
      <c r="C48" s="21">
        <v>0</v>
      </c>
      <c r="D48" s="21">
        <v>0</v>
      </c>
      <c r="E48" s="21">
        <v>0</v>
      </c>
      <c r="F48" s="21">
        <v>0</v>
      </c>
      <c r="G48" s="21"/>
      <c r="H48" s="21" t="str">
        <f>IFERROR(VLOOKUP(G48,Basic_Data!$E$2:$I$9,5,0),"")</f>
        <v/>
      </c>
      <c r="I48" s="21">
        <v>0</v>
      </c>
      <c r="J48" s="21">
        <v>0</v>
      </c>
      <c r="K48" s="31" t="str">
        <f>IFERROR(VLOOKUP($B48-1,Inverter_PR!$B:$I,Module_Cleaning!H48,0),"")</f>
        <v/>
      </c>
      <c r="L48" s="31" t="str">
        <f>IFERROR(VLOOKUP($B48+1,Inverter_PR!$B:$I,Module_Cleaning!H48,0),"")</f>
        <v/>
      </c>
      <c r="M48" s="21">
        <f t="shared" ref="M48" si="1">IFERROR(I48-J48,"")</f>
        <v>0</v>
      </c>
      <c r="N48" s="21" t="s">
        <v>229</v>
      </c>
    </row>
    <row r="49" spans="1:14" ht="15">
      <c r="A49" s="18">
        <v>45789</v>
      </c>
      <c r="B49" s="19">
        <v>45789</v>
      </c>
      <c r="C49" s="21">
        <v>0</v>
      </c>
      <c r="D49" s="21">
        <v>0</v>
      </c>
      <c r="E49" s="21">
        <v>0</v>
      </c>
      <c r="F49" s="21">
        <v>0</v>
      </c>
      <c r="G49" s="21"/>
      <c r="H49" s="21" t="str">
        <f>IFERROR(VLOOKUP(G49,Basic_Data!$E$2:$I$9,5,0),"")</f>
        <v/>
      </c>
      <c r="I49" s="21">
        <v>0</v>
      </c>
      <c r="J49" s="21">
        <v>0</v>
      </c>
      <c r="K49" s="31" t="str">
        <f>IFERROR(VLOOKUP($B49-1,Inverter_PR!$B:$I,Module_Cleaning!H49,0),"")</f>
        <v/>
      </c>
      <c r="L49" s="31" t="str">
        <f>IFERROR(VLOOKUP($B49+1,Inverter_PR!$B:$I,Module_Cleaning!H49,0),"")</f>
        <v/>
      </c>
      <c r="M49" s="21">
        <f t="shared" ref="M49" si="2">IFERROR(I49-J49,"")</f>
        <v>0</v>
      </c>
      <c r="N49" s="21" t="s">
        <v>229</v>
      </c>
    </row>
    <row r="50" spans="1:14" ht="15">
      <c r="A50" s="18">
        <v>45790</v>
      </c>
      <c r="B50" s="19">
        <v>45790</v>
      </c>
      <c r="C50" s="21">
        <v>0</v>
      </c>
      <c r="D50" s="21">
        <v>0</v>
      </c>
      <c r="E50" s="21">
        <v>0</v>
      </c>
      <c r="F50" s="21">
        <v>0</v>
      </c>
      <c r="G50" s="21"/>
      <c r="H50" s="21" t="str">
        <f>IFERROR(VLOOKUP(G50,Basic_Data!$E$2:$I$9,5,0),"")</f>
        <v/>
      </c>
      <c r="I50" s="21">
        <v>0</v>
      </c>
      <c r="J50" s="21">
        <v>0</v>
      </c>
      <c r="K50" s="31" t="str">
        <f>IFERROR(VLOOKUP($B50-1,Inverter_PR!$B:$I,Module_Cleaning!H50,0),"")</f>
        <v/>
      </c>
      <c r="L50" s="31" t="str">
        <f>IFERROR(VLOOKUP($B50+1,Inverter_PR!$B:$I,Module_Cleaning!H50,0),"")</f>
        <v/>
      </c>
      <c r="M50" s="21">
        <f t="shared" ref="M50" si="3">IFERROR(I50-J50,"")</f>
        <v>0</v>
      </c>
      <c r="N50" s="21" t="s">
        <v>229</v>
      </c>
    </row>
    <row r="51" spans="1:14" ht="15">
      <c r="A51" s="18">
        <v>45791</v>
      </c>
      <c r="B51" s="19">
        <v>45791</v>
      </c>
      <c r="C51" s="21">
        <v>0</v>
      </c>
      <c r="D51" s="21">
        <v>0</v>
      </c>
      <c r="E51" s="21">
        <v>0</v>
      </c>
      <c r="F51" s="21">
        <v>0</v>
      </c>
      <c r="G51" s="21"/>
      <c r="H51" s="21" t="str">
        <f>IFERROR(VLOOKUP(G51,Basic_Data!$E$2:$I$9,5,0),"")</f>
        <v/>
      </c>
      <c r="I51" s="21">
        <v>0</v>
      </c>
      <c r="J51" s="21">
        <v>0</v>
      </c>
      <c r="K51" s="31" t="str">
        <f>IFERROR(VLOOKUP($B51-1,Inverter_PR!$B:$I,Module_Cleaning!H51,0),"")</f>
        <v/>
      </c>
      <c r="L51" s="31" t="str">
        <f>IFERROR(VLOOKUP($B51+1,Inverter_PR!$B:$I,Module_Cleaning!H51,0),"")</f>
        <v/>
      </c>
      <c r="M51" s="21">
        <f t="shared" ref="M51" si="4">IFERROR(I51-J51,"")</f>
        <v>0</v>
      </c>
      <c r="N51" s="21" t="s">
        <v>229</v>
      </c>
    </row>
    <row r="52" spans="1:14" ht="15">
      <c r="A52" s="18">
        <v>45792</v>
      </c>
      <c r="B52" s="19">
        <v>45792</v>
      </c>
      <c r="C52" s="21">
        <v>0</v>
      </c>
      <c r="D52" s="21">
        <v>0</v>
      </c>
      <c r="E52" s="21">
        <v>0</v>
      </c>
      <c r="F52" s="21">
        <v>0</v>
      </c>
      <c r="G52" s="21"/>
      <c r="H52" s="21" t="str">
        <f>IFERROR(VLOOKUP(G52,Basic_Data!$E$2:$I$9,5,0),"")</f>
        <v/>
      </c>
      <c r="I52" s="21">
        <v>0</v>
      </c>
      <c r="J52" s="21">
        <v>0</v>
      </c>
      <c r="K52" s="31" t="str">
        <f>IFERROR(VLOOKUP($B52-1,Inverter_PR!$B:$I,Module_Cleaning!H52,0),"")</f>
        <v/>
      </c>
      <c r="L52" s="31" t="str">
        <f>IFERROR(VLOOKUP($B52+1,Inverter_PR!$B:$I,Module_Cleaning!H52,0),"")</f>
        <v/>
      </c>
      <c r="M52" s="21">
        <f t="shared" ref="M52" si="5">IFERROR(I52-J52,"")</f>
        <v>0</v>
      </c>
      <c r="N52" s="21" t="s">
        <v>229</v>
      </c>
    </row>
    <row r="53" spans="1:14" ht="15">
      <c r="A53" s="18">
        <v>45793</v>
      </c>
      <c r="B53" s="19">
        <v>45793</v>
      </c>
      <c r="C53" s="21">
        <v>0</v>
      </c>
      <c r="D53" s="21">
        <v>0</v>
      </c>
      <c r="E53" s="21">
        <v>0</v>
      </c>
      <c r="F53" s="21">
        <v>0</v>
      </c>
      <c r="G53" s="21"/>
      <c r="H53" s="21" t="str">
        <f>IFERROR(VLOOKUP(G53,Basic_Data!$E$2:$I$9,5,0),"")</f>
        <v/>
      </c>
      <c r="I53" s="21">
        <v>0</v>
      </c>
      <c r="J53" s="21">
        <v>0</v>
      </c>
      <c r="K53" s="31" t="str">
        <f>IFERROR(VLOOKUP($B53-1,Inverter_PR!$B:$I,Module_Cleaning!H53,0),"")</f>
        <v/>
      </c>
      <c r="L53" s="31" t="str">
        <f>IFERROR(VLOOKUP($B53+1,Inverter_PR!$B:$I,Module_Cleaning!H53,0),"")</f>
        <v/>
      </c>
      <c r="M53" s="21">
        <f t="shared" ref="M53" si="6">IFERROR(I53-J53,"")</f>
        <v>0</v>
      </c>
      <c r="N53" s="21" t="s">
        <v>229</v>
      </c>
    </row>
    <row r="54" spans="1:14" ht="15">
      <c r="A54" s="18">
        <v>45794</v>
      </c>
      <c r="B54" s="19">
        <v>45794</v>
      </c>
      <c r="C54" s="21">
        <v>0</v>
      </c>
      <c r="D54" s="21">
        <v>0</v>
      </c>
      <c r="E54" s="21">
        <v>0</v>
      </c>
      <c r="F54" s="21">
        <v>0</v>
      </c>
      <c r="G54" s="21"/>
      <c r="H54" s="21" t="str">
        <f>IFERROR(VLOOKUP(G54,Basic_Data!$E$2:$I$9,5,0),"")</f>
        <v/>
      </c>
      <c r="I54" s="21">
        <v>0</v>
      </c>
      <c r="J54" s="21">
        <v>0</v>
      </c>
      <c r="K54" s="31" t="str">
        <f>IFERROR(VLOOKUP($B54-1,Inverter_PR!$B:$I,Module_Cleaning!H54,0),"")</f>
        <v/>
      </c>
      <c r="L54" s="31" t="str">
        <f>IFERROR(VLOOKUP($B54+1,Inverter_PR!$B:$I,Module_Cleaning!H54,0),"")</f>
        <v/>
      </c>
      <c r="M54" s="21">
        <f t="shared" ref="M54" si="7">IFERROR(I54-J54,"")</f>
        <v>0</v>
      </c>
      <c r="N54" s="21" t="s">
        <v>229</v>
      </c>
    </row>
    <row r="55" spans="1:14" ht="15">
      <c r="A55" s="18">
        <v>45795</v>
      </c>
      <c r="B55" s="19">
        <v>45795</v>
      </c>
      <c r="C55" s="21">
        <v>0</v>
      </c>
      <c r="D55" s="21">
        <v>0</v>
      </c>
      <c r="E55" s="21">
        <v>0</v>
      </c>
      <c r="F55" s="21">
        <v>0</v>
      </c>
      <c r="G55" s="21"/>
      <c r="H55" s="21" t="str">
        <f>IFERROR(VLOOKUP(G55,Basic_Data!$E$2:$I$9,5,0),"")</f>
        <v/>
      </c>
      <c r="I55" s="21">
        <v>0</v>
      </c>
      <c r="J55" s="21">
        <v>0</v>
      </c>
      <c r="K55" s="31" t="str">
        <f>IFERROR(VLOOKUP($B55-1,Inverter_PR!$B:$I,Module_Cleaning!H55,0),"")</f>
        <v/>
      </c>
      <c r="L55" s="31" t="str">
        <f>IFERROR(VLOOKUP($B55+1,Inverter_PR!$B:$I,Module_Cleaning!H55,0),"")</f>
        <v/>
      </c>
      <c r="M55" s="21">
        <f t="shared" ref="M55" si="8">IFERROR(I55-J55,"")</f>
        <v>0</v>
      </c>
      <c r="N55" s="21" t="s">
        <v>229</v>
      </c>
    </row>
    <row r="56" spans="1:14" ht="15">
      <c r="A56" s="18">
        <v>45796</v>
      </c>
      <c r="B56" s="19">
        <v>45796</v>
      </c>
      <c r="C56" s="21">
        <v>0</v>
      </c>
      <c r="D56" s="21">
        <v>0</v>
      </c>
      <c r="E56" s="21">
        <v>0</v>
      </c>
      <c r="F56" s="21">
        <v>0</v>
      </c>
      <c r="G56" s="21"/>
      <c r="H56" s="21" t="str">
        <f>IFERROR(VLOOKUP(G56,Basic_Data!$E$2:$I$9,5,0),"")</f>
        <v/>
      </c>
      <c r="I56" s="21">
        <v>0</v>
      </c>
      <c r="J56" s="21">
        <v>0</v>
      </c>
      <c r="K56" s="31" t="str">
        <f>IFERROR(VLOOKUP($B56-1,Inverter_PR!$B:$I,Module_Cleaning!H56,0),"")</f>
        <v/>
      </c>
      <c r="L56" s="31" t="str">
        <f>IFERROR(VLOOKUP($B56+1,Inverter_PR!$B:$I,Module_Cleaning!H56,0),"")</f>
        <v/>
      </c>
      <c r="M56" s="21">
        <f t="shared" ref="M56" si="9">IFERROR(I56-J56,"")</f>
        <v>0</v>
      </c>
      <c r="N56" s="21" t="s">
        <v>229</v>
      </c>
    </row>
    <row r="57" spans="1:14" ht="15">
      <c r="A57" s="18">
        <v>45797</v>
      </c>
      <c r="B57" s="19">
        <v>45797</v>
      </c>
      <c r="C57" s="21">
        <v>0</v>
      </c>
      <c r="D57" s="21">
        <v>0</v>
      </c>
      <c r="E57" s="21">
        <v>0</v>
      </c>
      <c r="F57" s="21">
        <v>0</v>
      </c>
      <c r="G57" s="21"/>
      <c r="H57" s="21" t="str">
        <f>IFERROR(VLOOKUP(G57,Basic_Data!$E$2:$I$9,5,0),"")</f>
        <v/>
      </c>
      <c r="I57" s="21">
        <v>0</v>
      </c>
      <c r="J57" s="21">
        <v>0</v>
      </c>
      <c r="K57" s="31" t="str">
        <f>IFERROR(VLOOKUP($B57-1,Inverter_PR!$B:$I,Module_Cleaning!H57,0),"")</f>
        <v/>
      </c>
      <c r="L57" s="31" t="str">
        <f>IFERROR(VLOOKUP($B57+1,Inverter_PR!$B:$I,Module_Cleaning!H57,0),"")</f>
        <v/>
      </c>
      <c r="M57" s="21">
        <f t="shared" ref="M57" si="10">IFERROR(I57-J57,"")</f>
        <v>0</v>
      </c>
      <c r="N57" s="21" t="s">
        <v>229</v>
      </c>
    </row>
    <row r="58" spans="1:14" ht="15">
      <c r="A58" s="18">
        <v>45798</v>
      </c>
      <c r="B58" s="19">
        <v>45798</v>
      </c>
      <c r="C58" s="21">
        <v>0</v>
      </c>
      <c r="D58" s="21">
        <v>0</v>
      </c>
      <c r="E58" s="21">
        <v>0</v>
      </c>
      <c r="F58" s="21">
        <v>0</v>
      </c>
      <c r="G58" s="21"/>
      <c r="H58" s="21" t="str">
        <f>IFERROR(VLOOKUP(G58,Basic_Data!$E$2:$I$9,5,0),"")</f>
        <v/>
      </c>
      <c r="I58" s="21">
        <v>0</v>
      </c>
      <c r="J58" s="21">
        <v>0</v>
      </c>
      <c r="K58" s="31" t="str">
        <f>IFERROR(VLOOKUP($B58-1,Inverter_PR!$B:$I,Module_Cleaning!H58,0),"")</f>
        <v/>
      </c>
      <c r="L58" s="31" t="str">
        <f>IFERROR(VLOOKUP($B58+1,Inverter_PR!$B:$I,Module_Cleaning!H58,0),"")</f>
        <v/>
      </c>
      <c r="M58" s="21">
        <f t="shared" ref="M58" si="11">IFERROR(I58-J58,"")</f>
        <v>0</v>
      </c>
      <c r="N58" s="21" t="s">
        <v>229</v>
      </c>
    </row>
    <row r="59" spans="1:14" ht="15">
      <c r="A59" s="18">
        <v>45799</v>
      </c>
      <c r="B59" s="19">
        <v>45799</v>
      </c>
      <c r="C59" s="21">
        <v>4</v>
      </c>
      <c r="D59" s="21">
        <v>4000</v>
      </c>
      <c r="E59" s="21"/>
      <c r="F59" s="21">
        <v>1</v>
      </c>
      <c r="G59" s="21" t="s">
        <v>15</v>
      </c>
      <c r="H59" s="21">
        <f>IFERROR(VLOOKUP(G59,Basic_Data!$E$2:$I$9,5,0),"")</f>
        <v>2</v>
      </c>
      <c r="I59" s="21">
        <f>IFERROR(VLOOKUP($G59,Basic_Data!$E$2:$H$10,4,0),"")</f>
        <v>616</v>
      </c>
      <c r="J59" s="21">
        <v>616</v>
      </c>
      <c r="K59" s="31">
        <f>IFERROR(VLOOKUP($B59-1,Inverter_PR!$B:$I,Module_Cleaning!H59,0),"")</f>
        <v>0.95363569085098299</v>
      </c>
      <c r="L59" s="31">
        <f>IFERROR(VLOOKUP($B59+1,Inverter_PR!$B:$I,Module_Cleaning!H59,0),"")</f>
        <v>0.965917054527482</v>
      </c>
      <c r="M59" s="21">
        <f t="shared" si="0"/>
        <v>0</v>
      </c>
      <c r="N59" s="21" t="s">
        <v>228</v>
      </c>
    </row>
    <row r="60" spans="1:14" ht="15">
      <c r="A60" s="18">
        <v>45799</v>
      </c>
      <c r="B60" s="19">
        <v>45799</v>
      </c>
      <c r="C60" s="21"/>
      <c r="D60" s="21"/>
      <c r="E60" s="21"/>
      <c r="F60" s="21">
        <v>1</v>
      </c>
      <c r="G60" s="21" t="s">
        <v>16</v>
      </c>
      <c r="H60" s="21">
        <v>3</v>
      </c>
      <c r="I60" s="21">
        <f>IFERROR(VLOOKUP($G60,Basic_Data!$E$2:$H$10,4,0),"")</f>
        <v>616</v>
      </c>
      <c r="J60" s="21">
        <v>616</v>
      </c>
      <c r="K60" s="31">
        <f>IFERROR(VLOOKUP($B60-1,Inverter_PR!$B:$I,Module_Cleaning!H60,0),"")</f>
        <v>0.95578747649479601</v>
      </c>
      <c r="L60" s="31">
        <f>IFERROR(VLOOKUP($B60+1,Inverter_PR!$B:$I,Module_Cleaning!H60,0),"")</f>
        <v>0.966151771701111</v>
      </c>
      <c r="M60" s="21">
        <f t="shared" si="0"/>
        <v>0</v>
      </c>
      <c r="N60" s="21" t="s">
        <v>228</v>
      </c>
    </row>
    <row r="61" spans="1:14" ht="15">
      <c r="A61" s="18">
        <v>45799</v>
      </c>
      <c r="B61" s="19">
        <v>45799</v>
      </c>
      <c r="C61" s="21"/>
      <c r="D61" s="21"/>
      <c r="E61" s="21"/>
      <c r="F61" s="21">
        <v>1</v>
      </c>
      <c r="G61" s="21" t="s">
        <v>17</v>
      </c>
      <c r="H61" s="21">
        <v>4</v>
      </c>
      <c r="I61" s="21">
        <f>IFERROR(VLOOKUP($G61,Basic_Data!$E$2:$H$10,4,0),"")</f>
        <v>616</v>
      </c>
      <c r="J61" s="21">
        <v>616</v>
      </c>
      <c r="K61" s="31">
        <f>IFERROR(VLOOKUP($B61-1,Inverter_PR!$B:$I,Module_Cleaning!H61,0),"")</f>
        <v>0.94505673760731201</v>
      </c>
      <c r="L61" s="31">
        <f>IFERROR(VLOOKUP($B61+1,Inverter_PR!$B:$I,Module_Cleaning!H61,0),"")</f>
        <v>0.96432433084928004</v>
      </c>
      <c r="M61" s="21">
        <f t="shared" si="0"/>
        <v>0</v>
      </c>
      <c r="N61" s="21" t="s">
        <v>228</v>
      </c>
    </row>
    <row r="62" spans="1:14" ht="15">
      <c r="A62" s="18">
        <v>45799</v>
      </c>
      <c r="B62" s="19">
        <v>45799</v>
      </c>
      <c r="C62" s="21"/>
      <c r="D62" s="21"/>
      <c r="E62" s="21"/>
      <c r="F62" s="21">
        <v>1</v>
      </c>
      <c r="G62" s="21" t="s">
        <v>18</v>
      </c>
      <c r="H62" s="21">
        <v>5</v>
      </c>
      <c r="I62" s="21">
        <f>IFERROR(VLOOKUP($G62,Basic_Data!$E$2:$H$10,4,0),"")</f>
        <v>644</v>
      </c>
      <c r="J62" s="21">
        <v>644</v>
      </c>
      <c r="K62" s="31">
        <f>IFERROR(VLOOKUP($B62-1,Inverter_PR!$B:$I,Module_Cleaning!H62,0),"")</f>
        <v>0.94939217509585105</v>
      </c>
      <c r="L62" s="31">
        <f>IFERROR(VLOOKUP($B62+1,Inverter_PR!$B:$I,Module_Cleaning!H62,0),"")</f>
        <v>0.96262761239849803</v>
      </c>
      <c r="M62" s="21">
        <f t="shared" si="0"/>
        <v>0</v>
      </c>
      <c r="N62" s="21" t="s">
        <v>228</v>
      </c>
    </row>
    <row r="63" spans="1:14" ht="15">
      <c r="A63" s="18">
        <v>45800</v>
      </c>
      <c r="B63" s="19">
        <v>45800</v>
      </c>
      <c r="C63" s="21">
        <v>3</v>
      </c>
      <c r="D63" s="21">
        <v>3000</v>
      </c>
      <c r="E63" s="21">
        <v>0</v>
      </c>
      <c r="F63" s="21">
        <v>1</v>
      </c>
      <c r="G63" s="21" t="s">
        <v>19</v>
      </c>
      <c r="H63" s="21">
        <f>IFERROR(VLOOKUP(G63,Basic_Data!$E$2:$I$9,5,0),"")</f>
        <v>6</v>
      </c>
      <c r="I63" s="21">
        <f>IFERROR(VLOOKUP($G63,Basic_Data!$E$2:$H$10,4,0),"")</f>
        <v>644</v>
      </c>
      <c r="J63" s="21">
        <v>644</v>
      </c>
      <c r="K63" s="31">
        <f>IFERROR(VLOOKUP($B63-1,Inverter_PR!$B:$I,Module_Cleaning!H63,0),"")</f>
        <v>0.94283142137320497</v>
      </c>
      <c r="L63" s="31">
        <f>IFERROR(VLOOKUP($B63+1,Inverter_PR!$B:$I,Module_Cleaning!H63,0),"")</f>
        <v>0.98640220755744101</v>
      </c>
      <c r="M63" s="21">
        <f t="shared" si="0"/>
        <v>0</v>
      </c>
      <c r="N63" s="21" t="s">
        <v>228</v>
      </c>
    </row>
    <row r="64" spans="1:14" ht="15">
      <c r="A64" s="18">
        <v>45800</v>
      </c>
      <c r="B64" s="19">
        <v>45800</v>
      </c>
      <c r="C64" s="21"/>
      <c r="D64" s="21"/>
      <c r="E64" s="21"/>
      <c r="F64" s="21">
        <v>1</v>
      </c>
      <c r="G64" s="21" t="s">
        <v>20</v>
      </c>
      <c r="H64" s="21">
        <v>7</v>
      </c>
      <c r="I64" s="21">
        <f>IFERROR(VLOOKUP($G64,Basic_Data!$E$2:$H$10,4,0),"")</f>
        <v>644</v>
      </c>
      <c r="J64" s="21">
        <v>644</v>
      </c>
      <c r="K64" s="31">
        <f>IFERROR(VLOOKUP($B64-1,Inverter_PR!$B:$I,Module_Cleaning!H64,0),"")</f>
        <v>0.94856135063701796</v>
      </c>
      <c r="L64" s="31">
        <f>IFERROR(VLOOKUP($B64+1,Inverter_PR!$B:$I,Module_Cleaning!H64,0),"")</f>
        <v>0.989301889865418</v>
      </c>
      <c r="M64" s="21">
        <f t="shared" si="0"/>
        <v>0</v>
      </c>
      <c r="N64" s="21" t="s">
        <v>228</v>
      </c>
    </row>
    <row r="65" spans="1:14" ht="15">
      <c r="A65" s="18">
        <v>45800</v>
      </c>
      <c r="B65" s="19">
        <v>45800</v>
      </c>
      <c r="C65" s="21"/>
      <c r="D65" s="21"/>
      <c r="E65" s="21"/>
      <c r="F65" s="21">
        <v>1</v>
      </c>
      <c r="G65" s="21" t="s">
        <v>21</v>
      </c>
      <c r="H65" s="21">
        <v>8</v>
      </c>
      <c r="I65" s="21">
        <f>IFERROR(VLOOKUP($G65,Basic_Data!$E$2:$H$10,4,0),"")</f>
        <v>644</v>
      </c>
      <c r="J65" s="21">
        <v>644</v>
      </c>
      <c r="K65" s="31">
        <f>IFERROR(VLOOKUP($B65-1,Inverter_PR!$B:$I,Module_Cleaning!H65,0),"")</f>
        <v>0.94577011671254996</v>
      </c>
      <c r="L65" s="31">
        <f>IFERROR(VLOOKUP($B65+1,Inverter_PR!$B:$I,Module_Cleaning!H65,0),"")</f>
        <v>0.99159031510150497</v>
      </c>
      <c r="M65" s="21"/>
      <c r="N65" s="21" t="s">
        <v>228</v>
      </c>
    </row>
    <row r="66" spans="1:14" ht="15">
      <c r="A66" s="18">
        <v>45801</v>
      </c>
      <c r="B66" s="19">
        <v>45801</v>
      </c>
      <c r="C66" s="21">
        <v>0</v>
      </c>
      <c r="D66" s="21">
        <v>0</v>
      </c>
      <c r="E66" s="21">
        <v>0</v>
      </c>
      <c r="F66" s="21">
        <v>0</v>
      </c>
      <c r="G66" s="21"/>
      <c r="H66" s="21" t="str">
        <f>IFERROR(VLOOKUP(G66,Basic_Data!$E$2:$I$9,5,0),"")</f>
        <v/>
      </c>
      <c r="I66" s="21">
        <v>0</v>
      </c>
      <c r="J66" s="21">
        <v>0</v>
      </c>
      <c r="K66" s="31" t="str">
        <f>IFERROR(VLOOKUP($B66-1,Inverter_PR!$B:$I,Module_Cleaning!H66,0),"")</f>
        <v/>
      </c>
      <c r="L66" s="31" t="str">
        <f>IFERROR(VLOOKUP($B66+1,Inverter_PR!$B:$I,Module_Cleaning!H66,0),"")</f>
        <v/>
      </c>
      <c r="M66" s="21">
        <f t="shared" ref="M66" si="12">IFERROR(I66-J66,"")</f>
        <v>0</v>
      </c>
      <c r="N66" s="21" t="s">
        <v>229</v>
      </c>
    </row>
    <row r="67" spans="1:14" ht="15">
      <c r="A67" s="18">
        <v>45802</v>
      </c>
      <c r="B67" s="19">
        <v>45802</v>
      </c>
      <c r="C67" s="21">
        <v>0</v>
      </c>
      <c r="D67" s="21">
        <v>0</v>
      </c>
      <c r="E67" s="21">
        <v>0</v>
      </c>
      <c r="F67" s="21">
        <v>0</v>
      </c>
      <c r="G67" s="21"/>
      <c r="H67" s="21" t="str">
        <f>IFERROR(VLOOKUP(G67,Basic_Data!$E$2:$I$9,5,0),"")</f>
        <v/>
      </c>
      <c r="I67" s="21">
        <v>0</v>
      </c>
      <c r="J67" s="21">
        <v>0</v>
      </c>
      <c r="K67" s="31" t="str">
        <f>IFERROR(VLOOKUP($B67-1,Inverter_PR!$B:$I,Module_Cleaning!H67,0),"")</f>
        <v/>
      </c>
      <c r="L67" s="31" t="str">
        <f>IFERROR(VLOOKUP($B67+1,Inverter_PR!$B:$I,Module_Cleaning!H67,0),"")</f>
        <v/>
      </c>
      <c r="M67" s="21">
        <f t="shared" ref="M67" si="13">IFERROR(I67-J67,"")</f>
        <v>0</v>
      </c>
      <c r="N67" s="21" t="s">
        <v>229</v>
      </c>
    </row>
    <row r="68" spans="1:14" ht="15">
      <c r="A68" s="18">
        <v>45803</v>
      </c>
      <c r="B68" s="19">
        <v>45803</v>
      </c>
      <c r="C68" s="21">
        <v>0</v>
      </c>
      <c r="D68" s="21">
        <v>0</v>
      </c>
      <c r="E68" s="21">
        <v>0</v>
      </c>
      <c r="F68" s="21">
        <v>0</v>
      </c>
      <c r="G68" s="21"/>
      <c r="H68" s="21" t="str">
        <f>IFERROR(VLOOKUP(G68,Basic_Data!$E$2:$I$9,5,0),"")</f>
        <v/>
      </c>
      <c r="I68" s="21">
        <v>0</v>
      </c>
      <c r="J68" s="21">
        <v>0</v>
      </c>
      <c r="K68" s="31" t="str">
        <f>IFERROR(VLOOKUP($B68-1,Inverter_PR!$B:$I,Module_Cleaning!H68,0),"")</f>
        <v/>
      </c>
      <c r="L68" s="31" t="str">
        <f>IFERROR(VLOOKUP($B68+1,Inverter_PR!$B:$I,Module_Cleaning!H68,0),"")</f>
        <v/>
      </c>
      <c r="M68" s="21">
        <f t="shared" si="0"/>
        <v>0</v>
      </c>
      <c r="N68" s="21" t="s">
        <v>229</v>
      </c>
    </row>
    <row r="69" spans="1:14" ht="15">
      <c r="A69" s="18">
        <v>45804</v>
      </c>
      <c r="B69" s="19">
        <v>45804</v>
      </c>
      <c r="C69" s="21">
        <v>0</v>
      </c>
      <c r="D69" s="21">
        <v>0</v>
      </c>
      <c r="E69" s="21">
        <v>0</v>
      </c>
      <c r="F69" s="21">
        <v>0</v>
      </c>
      <c r="G69" s="21"/>
      <c r="H69" s="21" t="str">
        <f>IFERROR(VLOOKUP(G69,Basic_Data!$E$2:$I$9,5,0),"")</f>
        <v/>
      </c>
      <c r="I69" s="21">
        <v>0</v>
      </c>
      <c r="J69" s="21">
        <v>0</v>
      </c>
      <c r="K69" s="31" t="str">
        <f>IFERROR(VLOOKUP($B69-1,Inverter_PR!$B:$I,Module_Cleaning!H69,0),"")</f>
        <v/>
      </c>
      <c r="L69" s="31" t="str">
        <f>IFERROR(VLOOKUP($B69+1,Inverter_PR!$B:$I,Module_Cleaning!H69,0),"")</f>
        <v/>
      </c>
      <c r="M69" s="21">
        <f t="shared" ref="M69" si="14">IFERROR(I69-J69,"")</f>
        <v>0</v>
      </c>
      <c r="N69" s="21" t="s">
        <v>229</v>
      </c>
    </row>
    <row r="70" spans="1:14" ht="15">
      <c r="A70" s="18">
        <v>45805</v>
      </c>
      <c r="B70" s="19">
        <v>45805</v>
      </c>
      <c r="C70" s="21">
        <v>0</v>
      </c>
      <c r="D70" s="21">
        <v>0</v>
      </c>
      <c r="E70" s="21">
        <v>0</v>
      </c>
      <c r="F70" s="21">
        <v>0</v>
      </c>
      <c r="G70" s="21"/>
      <c r="H70" s="21" t="str">
        <f>IFERROR(VLOOKUP(G70,Basic_Data!$E$2:$I$9,5,0),"")</f>
        <v/>
      </c>
      <c r="I70" s="21">
        <v>0</v>
      </c>
      <c r="J70" s="21">
        <v>0</v>
      </c>
      <c r="K70" s="31" t="str">
        <f>IFERROR(VLOOKUP($B70-1,Inverter_PR!$B:$I,Module_Cleaning!H70,0),"")</f>
        <v/>
      </c>
      <c r="L70" s="31" t="str">
        <f>IFERROR(VLOOKUP($B70+1,Inverter_PR!$B:$I,Module_Cleaning!H70,0),"")</f>
        <v/>
      </c>
      <c r="M70" s="21">
        <f t="shared" ref="M70" si="15">IFERROR(I70-J70,"")</f>
        <v>0</v>
      </c>
      <c r="N70" s="21" t="s">
        <v>229</v>
      </c>
    </row>
    <row r="71" spans="1:14" ht="15">
      <c r="A71" s="18">
        <v>45806</v>
      </c>
      <c r="B71" s="19">
        <v>45806</v>
      </c>
      <c r="C71" s="21">
        <v>0</v>
      </c>
      <c r="D71" s="21">
        <v>0</v>
      </c>
      <c r="E71" s="21">
        <v>0</v>
      </c>
      <c r="F71" s="21">
        <v>0</v>
      </c>
      <c r="G71" s="21"/>
      <c r="H71" s="21" t="str">
        <f>IFERROR(VLOOKUP(G71,Basic_Data!$E$2:$I$9,5,0),"")</f>
        <v/>
      </c>
      <c r="I71" s="21">
        <v>0</v>
      </c>
      <c r="J71" s="21">
        <v>0</v>
      </c>
      <c r="K71" s="31" t="str">
        <f>IFERROR(VLOOKUP($B71-1,Inverter_PR!$B:$I,Module_Cleaning!H71,0),"")</f>
        <v/>
      </c>
      <c r="L71" s="31" t="str">
        <f>IFERROR(VLOOKUP($B71+1,Inverter_PR!$B:$I,Module_Cleaning!H71,0),"")</f>
        <v/>
      </c>
      <c r="M71" s="21">
        <f t="shared" ref="M71" si="16">IFERROR(I71-J71,"")</f>
        <v>0</v>
      </c>
      <c r="N71" s="21" t="s">
        <v>229</v>
      </c>
    </row>
    <row r="72" spans="1:14" ht="15">
      <c r="A72" s="18">
        <v>45807</v>
      </c>
      <c r="B72" s="19">
        <v>45807</v>
      </c>
      <c r="C72" s="21">
        <v>0</v>
      </c>
      <c r="D72" s="21">
        <v>0</v>
      </c>
      <c r="E72" s="21">
        <v>0</v>
      </c>
      <c r="F72" s="21">
        <v>0</v>
      </c>
      <c r="G72" s="21"/>
      <c r="H72" s="21" t="str">
        <f>IFERROR(VLOOKUP(G72,Basic_Data!$E$2:$I$9,5,0),"")</f>
        <v/>
      </c>
      <c r="I72" s="21">
        <v>0</v>
      </c>
      <c r="J72" s="21">
        <v>0</v>
      </c>
      <c r="K72" s="31" t="str">
        <f>IFERROR(VLOOKUP($B72-1,Inverter_PR!$B:$I,Module_Cleaning!H72,0),"")</f>
        <v/>
      </c>
      <c r="L72" s="31" t="str">
        <f>IFERROR(VLOOKUP($B72+1,Inverter_PR!$B:$I,Module_Cleaning!H72,0),"")</f>
        <v/>
      </c>
      <c r="M72" s="21">
        <f t="shared" ref="M72" si="17">IFERROR(I72-J72,"")</f>
        <v>0</v>
      </c>
      <c r="N72" s="21" t="s">
        <v>229</v>
      </c>
    </row>
    <row r="73" spans="1:14" ht="15">
      <c r="A73" s="18">
        <v>45808</v>
      </c>
      <c r="B73" s="19">
        <v>45808</v>
      </c>
      <c r="C73" s="21">
        <v>0</v>
      </c>
      <c r="D73" s="21">
        <v>0</v>
      </c>
      <c r="E73" s="21">
        <v>0</v>
      </c>
      <c r="F73" s="21">
        <v>0</v>
      </c>
      <c r="G73" s="21"/>
      <c r="H73" s="21" t="str">
        <f>IFERROR(VLOOKUP(G73,Basic_Data!$E$2:$I$9,5,0),"")</f>
        <v/>
      </c>
      <c r="I73" s="21">
        <v>0</v>
      </c>
      <c r="J73" s="21">
        <v>0</v>
      </c>
      <c r="K73" s="31" t="str">
        <f>IFERROR(VLOOKUP($B73-1,Inverter_PR!$B:$I,Module_Cleaning!H73,0),"")</f>
        <v/>
      </c>
      <c r="L73" s="31" t="str">
        <f>IFERROR(VLOOKUP($B73+1,Inverter_PR!$B:$I,Module_Cleaning!H73,0),"")</f>
        <v/>
      </c>
      <c r="M73" s="21">
        <f t="shared" ref="M73" si="18">IFERROR(I73-J73,"")</f>
        <v>0</v>
      </c>
      <c r="N73" s="21" t="s">
        <v>229</v>
      </c>
    </row>
    <row r="74" spans="1:14" ht="15">
      <c r="A74" s="18">
        <v>45809</v>
      </c>
      <c r="B74" s="19">
        <v>45809</v>
      </c>
      <c r="C74" s="21">
        <v>0</v>
      </c>
      <c r="D74" s="21">
        <v>0</v>
      </c>
      <c r="E74" s="21">
        <v>0</v>
      </c>
      <c r="F74" s="21">
        <v>0</v>
      </c>
      <c r="G74" s="21"/>
      <c r="H74" s="21" t="str">
        <f>IFERROR(VLOOKUP(G74,Basic_Data!$E$2:$I$9,5,0),"")</f>
        <v/>
      </c>
      <c r="I74" s="21">
        <v>0</v>
      </c>
      <c r="J74" s="21">
        <v>0</v>
      </c>
      <c r="K74" s="31" t="str">
        <f>IFERROR(VLOOKUP($B74-1,Inverter_PR!$B:$I,Module_Cleaning!H74,0),"")</f>
        <v/>
      </c>
      <c r="L74" s="31" t="str">
        <f>IFERROR(VLOOKUP($B74+1,Inverter_PR!$B:$I,Module_Cleaning!H74,0),"")</f>
        <v/>
      </c>
      <c r="M74" s="21">
        <f t="shared" ref="M74" si="19">IFERROR(I74-J74,"")</f>
        <v>0</v>
      </c>
      <c r="N74" s="21" t="s">
        <v>229</v>
      </c>
    </row>
    <row r="75" spans="1:14" ht="15">
      <c r="A75" s="18">
        <v>45810</v>
      </c>
      <c r="B75" s="19">
        <v>45810</v>
      </c>
      <c r="C75" s="21">
        <v>0</v>
      </c>
      <c r="D75" s="21">
        <v>0</v>
      </c>
      <c r="E75" s="21">
        <v>0</v>
      </c>
      <c r="F75" s="21">
        <v>0</v>
      </c>
      <c r="G75" s="21"/>
      <c r="H75" s="21" t="str">
        <f>IFERROR(VLOOKUP(G75,Basic_Data!$E$2:$I$9,5,0),"")</f>
        <v/>
      </c>
      <c r="I75" s="21">
        <v>0</v>
      </c>
      <c r="J75" s="21">
        <v>0</v>
      </c>
      <c r="K75" s="31" t="str">
        <f>IFERROR(VLOOKUP($B75-1,Inverter_PR!$B:$I,Module_Cleaning!H75,0),"")</f>
        <v/>
      </c>
      <c r="L75" s="31" t="str">
        <f>IFERROR(VLOOKUP($B75+1,Inverter_PR!$B:$I,Module_Cleaning!H75,0),"")</f>
        <v/>
      </c>
      <c r="M75" s="21">
        <f t="shared" ref="M75" si="20">IFERROR(I75-J75,"")</f>
        <v>0</v>
      </c>
      <c r="N75" s="21" t="s">
        <v>229</v>
      </c>
    </row>
    <row r="76" spans="1:14" ht="15">
      <c r="A76" s="18">
        <v>45811</v>
      </c>
      <c r="B76" s="19">
        <v>45811</v>
      </c>
      <c r="C76" s="21">
        <v>0</v>
      </c>
      <c r="D76" s="21">
        <v>0</v>
      </c>
      <c r="E76" s="21">
        <v>0</v>
      </c>
      <c r="F76" s="21">
        <v>0</v>
      </c>
      <c r="G76" s="21"/>
      <c r="H76" s="21" t="str">
        <f>IFERROR(VLOOKUP(G76,Basic_Data!$E$2:$I$9,5,0),"")</f>
        <v/>
      </c>
      <c r="I76" s="21">
        <v>0</v>
      </c>
      <c r="J76" s="21">
        <v>0</v>
      </c>
      <c r="K76" s="31" t="str">
        <f>IFERROR(VLOOKUP($B76-1,Inverter_PR!$B:$I,Module_Cleaning!H76,0),"")</f>
        <v/>
      </c>
      <c r="L76" s="31" t="str">
        <f>IFERROR(VLOOKUP($B76+1,Inverter_PR!$B:$I,Module_Cleaning!H76,0),"")</f>
        <v/>
      </c>
      <c r="M76" s="21">
        <f t="shared" ref="M76" si="21">IFERROR(I76-J76,"")</f>
        <v>0</v>
      </c>
      <c r="N76" s="21" t="s">
        <v>229</v>
      </c>
    </row>
    <row r="77" spans="1:14" ht="15">
      <c r="A77" s="18">
        <v>45812</v>
      </c>
      <c r="B77" s="19">
        <v>45812</v>
      </c>
      <c r="C77" s="21">
        <v>0</v>
      </c>
      <c r="D77" s="21">
        <v>0</v>
      </c>
      <c r="E77" s="21">
        <v>0</v>
      </c>
      <c r="F77" s="21">
        <v>0</v>
      </c>
      <c r="G77" s="21"/>
      <c r="H77" s="21" t="str">
        <f>IFERROR(VLOOKUP(G77,Basic_Data!$E$2:$I$9,5,0),"")</f>
        <v/>
      </c>
      <c r="I77" s="21">
        <v>0</v>
      </c>
      <c r="J77" s="21">
        <v>0</v>
      </c>
      <c r="K77" s="31" t="str">
        <f>IFERROR(VLOOKUP($B77-1,Inverter_PR!$B:$I,Module_Cleaning!H77,0),"")</f>
        <v/>
      </c>
      <c r="L77" s="31" t="str">
        <f>IFERROR(VLOOKUP($B77+1,Inverter_PR!$B:$I,Module_Cleaning!H77,0),"")</f>
        <v/>
      </c>
      <c r="M77" s="21">
        <f t="shared" ref="M77" si="22">IFERROR(I77-J77,"")</f>
        <v>0</v>
      </c>
      <c r="N77" s="21" t="s">
        <v>229</v>
      </c>
    </row>
    <row r="78" spans="1:14" ht="15">
      <c r="A78" s="18">
        <v>45813</v>
      </c>
      <c r="B78" s="19">
        <v>45813</v>
      </c>
      <c r="C78" s="21">
        <v>0</v>
      </c>
      <c r="D78" s="21">
        <v>0</v>
      </c>
      <c r="E78" s="21">
        <v>0</v>
      </c>
      <c r="F78" s="21">
        <v>0</v>
      </c>
      <c r="G78" s="21"/>
      <c r="H78" s="21" t="str">
        <f>IFERROR(VLOOKUP(G78,Basic_Data!$E$2:$I$9,5,0),"")</f>
        <v/>
      </c>
      <c r="I78" s="21">
        <v>0</v>
      </c>
      <c r="J78" s="21">
        <v>0</v>
      </c>
      <c r="K78" s="31" t="str">
        <f>IFERROR(VLOOKUP($B78-1,Inverter_PR!$B:$I,Module_Cleaning!H78,0),"")</f>
        <v/>
      </c>
      <c r="L78" s="31" t="str">
        <f>IFERROR(VLOOKUP($B78+1,Inverter_PR!$B:$I,Module_Cleaning!H78,0),"")</f>
        <v/>
      </c>
      <c r="M78" s="21">
        <f t="shared" ref="M78" si="23">IFERROR(I78-J78,"")</f>
        <v>0</v>
      </c>
      <c r="N78" s="21" t="s">
        <v>229</v>
      </c>
    </row>
    <row r="79" spans="1:14" ht="15">
      <c r="A79" s="18">
        <v>45814</v>
      </c>
      <c r="B79" s="19">
        <v>45814</v>
      </c>
      <c r="C79" s="21">
        <v>0</v>
      </c>
      <c r="D79" s="21">
        <v>0</v>
      </c>
      <c r="E79" s="21">
        <v>0</v>
      </c>
      <c r="F79" s="21">
        <v>0</v>
      </c>
      <c r="G79" s="21"/>
      <c r="H79" s="21" t="str">
        <f>IFERROR(VLOOKUP(G79,Basic_Data!$E$2:$I$9,5,0),"")</f>
        <v/>
      </c>
      <c r="I79" s="21">
        <v>0</v>
      </c>
      <c r="J79" s="21">
        <v>0</v>
      </c>
      <c r="K79" s="31" t="str">
        <f>IFERROR(VLOOKUP($B79-1,Inverter_PR!$B:$I,Module_Cleaning!H79,0),"")</f>
        <v/>
      </c>
      <c r="L79" s="31" t="str">
        <f>IFERROR(VLOOKUP($B79+1,Inverter_PR!$B:$I,Module_Cleaning!H79,0),"")</f>
        <v/>
      </c>
      <c r="M79" s="21">
        <f t="shared" ref="M79" si="24">IFERROR(I79-J79,"")</f>
        <v>0</v>
      </c>
      <c r="N79" s="21" t="s">
        <v>229</v>
      </c>
    </row>
    <row r="80" spans="1:14" ht="15">
      <c r="A80" s="18">
        <v>45815</v>
      </c>
      <c r="B80" s="19">
        <v>45815</v>
      </c>
      <c r="C80" s="21">
        <v>0</v>
      </c>
      <c r="D80" s="21">
        <v>0</v>
      </c>
      <c r="E80" s="21">
        <v>0</v>
      </c>
      <c r="F80" s="21">
        <v>0</v>
      </c>
      <c r="G80" s="21"/>
      <c r="H80" s="21" t="str">
        <f>IFERROR(VLOOKUP(G80,Basic_Data!$E$2:$I$9,5,0),"")</f>
        <v/>
      </c>
      <c r="I80" s="21">
        <v>0</v>
      </c>
      <c r="J80" s="21">
        <v>0</v>
      </c>
      <c r="K80" s="31" t="str">
        <f>IFERROR(VLOOKUP($B80-1,Inverter_PR!$B:$I,Module_Cleaning!H80,0),"")</f>
        <v/>
      </c>
      <c r="L80" s="31" t="str">
        <f>IFERROR(VLOOKUP($B80+1,Inverter_PR!$B:$I,Module_Cleaning!H80,0),"")</f>
        <v/>
      </c>
      <c r="M80" s="21">
        <f t="shared" ref="M80" si="25">IFERROR(I80-J80,"")</f>
        <v>0</v>
      </c>
      <c r="N80" s="21" t="s">
        <v>229</v>
      </c>
    </row>
    <row r="81" spans="1:14" ht="15">
      <c r="A81" s="18">
        <v>45816</v>
      </c>
      <c r="B81" s="19">
        <v>45816</v>
      </c>
      <c r="C81" s="21">
        <v>0</v>
      </c>
      <c r="D81" s="21">
        <v>0</v>
      </c>
      <c r="E81" s="21">
        <v>0</v>
      </c>
      <c r="F81" s="21">
        <v>0</v>
      </c>
      <c r="G81" s="21"/>
      <c r="H81" s="21" t="str">
        <f>IFERROR(VLOOKUP(G81,Basic_Data!$E$2:$I$9,5,0),"")</f>
        <v/>
      </c>
      <c r="I81" s="21">
        <v>0</v>
      </c>
      <c r="J81" s="21">
        <v>0</v>
      </c>
      <c r="K81" s="31" t="str">
        <f>IFERROR(VLOOKUP($B81-1,Inverter_PR!$B:$I,Module_Cleaning!H81,0),"")</f>
        <v/>
      </c>
      <c r="L81" s="31" t="str">
        <f>IFERROR(VLOOKUP($B81+1,Inverter_PR!$B:$I,Module_Cleaning!H81,0),"")</f>
        <v/>
      </c>
      <c r="M81" s="21">
        <f t="shared" ref="M81" si="26">IFERROR(I81-J81,"")</f>
        <v>0</v>
      </c>
      <c r="N81" s="21" t="s">
        <v>229</v>
      </c>
    </row>
    <row r="82" spans="1:14" ht="15">
      <c r="A82" s="18">
        <v>45817</v>
      </c>
      <c r="B82" s="19">
        <v>45817</v>
      </c>
      <c r="C82" s="21">
        <v>0</v>
      </c>
      <c r="D82" s="21">
        <v>0</v>
      </c>
      <c r="E82" s="21">
        <v>0</v>
      </c>
      <c r="F82" s="21">
        <v>0</v>
      </c>
      <c r="G82" s="21"/>
      <c r="H82" s="21" t="str">
        <f>IFERROR(VLOOKUP(G82,Basic_Data!$E$2:$I$9,5,0),"")</f>
        <v/>
      </c>
      <c r="I82" s="21">
        <v>0</v>
      </c>
      <c r="J82" s="21">
        <v>0</v>
      </c>
      <c r="K82" s="31" t="str">
        <f>IFERROR(VLOOKUP($B82-1,Inverter_PR!$B:$I,Module_Cleaning!H82,0),"")</f>
        <v/>
      </c>
      <c r="L82" s="31" t="str">
        <f>IFERROR(VLOOKUP($B82+1,Inverter_PR!$B:$I,Module_Cleaning!H82,0),"")</f>
        <v/>
      </c>
      <c r="M82" s="21">
        <f t="shared" ref="M82" si="27">IFERROR(I82-J82,"")</f>
        <v>0</v>
      </c>
      <c r="N82" s="21" t="s">
        <v>229</v>
      </c>
    </row>
    <row r="83" spans="1:14" ht="15">
      <c r="A83" s="18">
        <v>45818</v>
      </c>
      <c r="B83" s="19">
        <v>45818</v>
      </c>
      <c r="C83" s="21">
        <v>0</v>
      </c>
      <c r="D83" s="21">
        <v>0</v>
      </c>
      <c r="E83" s="21">
        <v>0</v>
      </c>
      <c r="F83" s="21">
        <v>0</v>
      </c>
      <c r="G83" s="21"/>
      <c r="H83" s="21" t="str">
        <f>IFERROR(VLOOKUP(G83,Basic_Data!$E$2:$I$9,5,0),"")</f>
        <v/>
      </c>
      <c r="I83" s="21">
        <v>0</v>
      </c>
      <c r="J83" s="21">
        <v>0</v>
      </c>
      <c r="K83" s="31" t="str">
        <f>IFERROR(VLOOKUP($B83-1,Inverter_PR!$B:$I,Module_Cleaning!H83,0),"")</f>
        <v/>
      </c>
      <c r="L83" s="31" t="str">
        <f>IFERROR(VLOOKUP($B83+1,Inverter_PR!$B:$I,Module_Cleaning!H83,0),"")</f>
        <v/>
      </c>
      <c r="M83" s="21">
        <f t="shared" ref="M83" si="28">IFERROR(I83-J83,"")</f>
        <v>0</v>
      </c>
      <c r="N83" s="21" t="s">
        <v>229</v>
      </c>
    </row>
    <row r="84" spans="1:14" ht="15">
      <c r="A84" s="18">
        <v>45819</v>
      </c>
      <c r="B84" s="19">
        <v>45819</v>
      </c>
      <c r="C84" s="21">
        <v>3</v>
      </c>
      <c r="D84" s="21">
        <v>6000</v>
      </c>
      <c r="E84" s="21"/>
      <c r="F84" s="21">
        <v>2</v>
      </c>
      <c r="G84" s="21" t="s">
        <v>15</v>
      </c>
      <c r="H84" s="21">
        <v>2</v>
      </c>
      <c r="I84" s="21">
        <v>616</v>
      </c>
      <c r="J84" s="21">
        <v>616</v>
      </c>
      <c r="K84" s="31">
        <v>1.0588068680332601</v>
      </c>
      <c r="L84" s="31">
        <f>IFERROR(VLOOKUP($B84+1,Inverter_PR!$B:$I,Module_Cleaning!H84,0),"")</f>
        <v>0.97229544960109904</v>
      </c>
      <c r="M84" s="21">
        <v>0</v>
      </c>
      <c r="N84" s="21" t="s">
        <v>228</v>
      </c>
    </row>
    <row r="85" spans="1:14" ht="15">
      <c r="A85" s="18">
        <v>45819</v>
      </c>
      <c r="B85" s="19">
        <v>45819</v>
      </c>
      <c r="C85" s="21"/>
      <c r="D85" s="21"/>
      <c r="E85" s="21"/>
      <c r="F85" s="21">
        <v>2</v>
      </c>
      <c r="G85" s="21" t="s">
        <v>16</v>
      </c>
      <c r="H85" s="21">
        <v>3</v>
      </c>
      <c r="I85" s="21">
        <f>IFERROR(VLOOKUP($G85,Basic_Data!$E$2:$H$10,4,0),"")</f>
        <v>616</v>
      </c>
      <c r="J85" s="21">
        <v>616</v>
      </c>
      <c r="K85" s="31">
        <f>IFERROR(VLOOKUP($B85-1,Inverter_PR!$B:$I,Module_Cleaning!H85,0),"")</f>
        <v>1.0366603146945601</v>
      </c>
      <c r="L85" s="31">
        <f>IFERROR(VLOOKUP($B85+1,Inverter_PR!$B:$I,Module_Cleaning!H85,0),"")</f>
        <v>1.00248616665806</v>
      </c>
      <c r="M85" s="21">
        <v>0</v>
      </c>
      <c r="N85" s="21" t="s">
        <v>228</v>
      </c>
    </row>
    <row r="86" spans="1:14" ht="15">
      <c r="A86" s="18">
        <v>45819</v>
      </c>
      <c r="B86" s="19">
        <v>45819</v>
      </c>
      <c r="C86" s="21"/>
      <c r="D86" s="21"/>
      <c r="E86" s="21"/>
      <c r="F86" s="21">
        <v>2</v>
      </c>
      <c r="G86" s="21" t="s">
        <v>17</v>
      </c>
      <c r="H86" s="21">
        <v>4</v>
      </c>
      <c r="I86" s="21">
        <f>IFERROR(VLOOKUP($G86,Basic_Data!$E$2:$H$10,4,0),"")</f>
        <v>616</v>
      </c>
      <c r="J86" s="21">
        <v>616</v>
      </c>
      <c r="K86" s="31">
        <f>IFERROR(VLOOKUP($B86-1,Inverter_PR!$B:$I,Module_Cleaning!H86,0),"")</f>
        <v>1.03589509304463</v>
      </c>
      <c r="L86" s="31">
        <f>IFERROR(VLOOKUP($B86+1,Inverter_PR!$B:$I,Module_Cleaning!H86,0),"")</f>
        <v>0.96978106393847596</v>
      </c>
      <c r="M86" s="21">
        <v>0</v>
      </c>
      <c r="N86" s="21" t="s">
        <v>228</v>
      </c>
    </row>
    <row r="87" spans="1:14" ht="15">
      <c r="A87" s="18">
        <v>45819</v>
      </c>
      <c r="B87" s="19">
        <v>45819</v>
      </c>
      <c r="C87" s="21"/>
      <c r="D87" s="21"/>
      <c r="E87" s="21"/>
      <c r="F87" s="21">
        <v>2</v>
      </c>
      <c r="G87" s="21" t="s">
        <v>18</v>
      </c>
      <c r="H87" s="21">
        <v>5</v>
      </c>
      <c r="I87" s="21">
        <f>IFERROR(VLOOKUP($G87,Basic_Data!$E$2:$H$10,4,0),"")</f>
        <v>644</v>
      </c>
      <c r="J87" s="21">
        <v>644</v>
      </c>
      <c r="K87" s="31">
        <f>IFERROR(VLOOKUP($B87-1,Inverter_PR!$B:$I,Module_Cleaning!H87,0),"")</f>
        <v>1.04112488671393</v>
      </c>
      <c r="L87" s="31">
        <f>IFERROR(VLOOKUP($B87+1,Inverter_PR!$B:$I,Module_Cleaning!H87,0),"")</f>
        <v>0.99420292931094201</v>
      </c>
      <c r="M87" s="21">
        <v>0</v>
      </c>
      <c r="N87" s="21" t="s">
        <v>228</v>
      </c>
    </row>
    <row r="88" spans="1:14" ht="15">
      <c r="A88" s="18">
        <v>45799</v>
      </c>
      <c r="B88" s="19">
        <v>45820</v>
      </c>
      <c r="C88" s="21">
        <v>3</v>
      </c>
      <c r="D88" s="21">
        <v>5000</v>
      </c>
      <c r="E88" s="21"/>
      <c r="F88" s="21">
        <v>2</v>
      </c>
      <c r="G88" s="21" t="s">
        <v>19</v>
      </c>
      <c r="H88" s="21">
        <v>6</v>
      </c>
      <c r="I88" s="21">
        <v>644</v>
      </c>
      <c r="J88" s="21">
        <v>644</v>
      </c>
      <c r="K88" s="31">
        <f>IFERROR(VLOOKUP($B88-1,Inverter_PR!$B:$I,Module_Cleaning!H88,0),"")</f>
        <v>0.99707058767560897</v>
      </c>
      <c r="L88" s="31">
        <f>IFERROR(VLOOKUP($B88+1,Inverter_PR!$B:$I,Module_Cleaning!H88,0),"")</f>
        <v>0.969708215325779</v>
      </c>
      <c r="M88" s="21">
        <v>0</v>
      </c>
      <c r="N88" s="21" t="s">
        <v>228</v>
      </c>
    </row>
    <row r="89" spans="1:14" ht="15">
      <c r="A89" s="18">
        <v>45799</v>
      </c>
      <c r="B89" s="19">
        <v>45820</v>
      </c>
      <c r="C89" s="21"/>
      <c r="D89" s="21"/>
      <c r="E89" s="21"/>
      <c r="F89" s="21">
        <v>2</v>
      </c>
      <c r="G89" s="21" t="s">
        <v>20</v>
      </c>
      <c r="H89" s="21">
        <v>7</v>
      </c>
      <c r="I89" s="21">
        <v>644</v>
      </c>
      <c r="J89" s="21">
        <v>644</v>
      </c>
      <c r="K89" s="31">
        <f>IFERROR(VLOOKUP($B89-1,Inverter_PR!$B:$I,Module_Cleaning!H89,0),"")</f>
        <v>1.0271044483049001</v>
      </c>
      <c r="L89" s="31">
        <f>IFERROR(VLOOKUP($B89+1,Inverter_PR!$B:$I,Module_Cleaning!H89,0),"")</f>
        <v>0.97454941523860505</v>
      </c>
      <c r="M89" s="21">
        <v>0</v>
      </c>
      <c r="N89" s="21" t="s">
        <v>228</v>
      </c>
    </row>
    <row r="90" spans="1:14" ht="15">
      <c r="A90" s="18">
        <v>45799</v>
      </c>
      <c r="B90" s="19">
        <v>45820</v>
      </c>
      <c r="C90" s="21"/>
      <c r="D90" s="21"/>
      <c r="E90" s="21"/>
      <c r="F90" s="21">
        <v>2</v>
      </c>
      <c r="G90" s="21" t="s">
        <v>21</v>
      </c>
      <c r="H90" s="21">
        <v>8</v>
      </c>
      <c r="I90" s="21">
        <v>644</v>
      </c>
      <c r="J90" s="21">
        <v>644</v>
      </c>
      <c r="K90" s="31">
        <f>IFERROR(VLOOKUP($B90-1,Inverter_PR!$B:$I,Module_Cleaning!H90,0),"")</f>
        <v>1.09098194779388</v>
      </c>
      <c r="L90" s="31">
        <f>IFERROR(VLOOKUP($B90+1,Inverter_PR!$B:$I,Module_Cleaning!H90,0),"")</f>
        <v>0.97450973327210699</v>
      </c>
      <c r="M90" s="21">
        <v>0</v>
      </c>
      <c r="N90" s="21" t="s">
        <v>228</v>
      </c>
    </row>
    <row r="91" spans="1:14" ht="15">
      <c r="A91" s="18">
        <v>45821</v>
      </c>
      <c r="B91" s="19">
        <v>45821</v>
      </c>
      <c r="C91" s="21">
        <v>0</v>
      </c>
      <c r="D91" s="21">
        <v>0</v>
      </c>
      <c r="E91" s="21">
        <v>0</v>
      </c>
      <c r="F91" s="21">
        <v>0</v>
      </c>
      <c r="G91" s="21"/>
      <c r="H91" s="21" t="str">
        <f>IFERROR(VLOOKUP(G91,Basic_Data!$E$2:$I$9,5,0),"")</f>
        <v/>
      </c>
      <c r="I91" s="21">
        <v>0</v>
      </c>
      <c r="J91" s="21">
        <v>0</v>
      </c>
      <c r="K91" s="31">
        <v>0</v>
      </c>
      <c r="L91" s="31">
        <v>0</v>
      </c>
      <c r="M91" s="21">
        <f t="shared" ref="M91:M96" si="29">IFERROR(I91-J91,"")</f>
        <v>0</v>
      </c>
      <c r="N91" s="21" t="s">
        <v>229</v>
      </c>
    </row>
    <row r="92" spans="1:14" ht="15">
      <c r="A92" s="18">
        <v>45822</v>
      </c>
      <c r="B92" s="19">
        <v>45822</v>
      </c>
      <c r="C92" s="21">
        <v>0</v>
      </c>
      <c r="D92" s="21">
        <v>0</v>
      </c>
      <c r="E92" s="21">
        <v>0</v>
      </c>
      <c r="F92" s="21">
        <v>0</v>
      </c>
      <c r="G92" s="21"/>
      <c r="H92" s="21" t="str">
        <f>IFERROR(VLOOKUP(G92,Basic_Data!$E$2:$I$9,5,0),"")</f>
        <v/>
      </c>
      <c r="I92" s="21">
        <v>0</v>
      </c>
      <c r="J92" s="21">
        <v>0</v>
      </c>
      <c r="K92" s="31">
        <v>0</v>
      </c>
      <c r="L92" s="31">
        <v>0</v>
      </c>
      <c r="M92" s="21">
        <f t="shared" ref="M92" si="30">IFERROR(I92-J92,"")</f>
        <v>0</v>
      </c>
      <c r="N92" s="21" t="s">
        <v>229</v>
      </c>
    </row>
    <row r="93" spans="1:14" ht="15">
      <c r="A93" s="18">
        <v>45823</v>
      </c>
      <c r="B93" s="19">
        <v>45823</v>
      </c>
      <c r="C93" s="32">
        <v>0</v>
      </c>
      <c r="D93" s="32">
        <v>0</v>
      </c>
      <c r="E93" s="32">
        <v>0</v>
      </c>
      <c r="F93" s="32">
        <v>0</v>
      </c>
      <c r="G93" s="32"/>
      <c r="H93" s="32" t="str">
        <f>IFERROR(VLOOKUP(G93,Basic_Data!$E$2:$I$9,5,0),"")</f>
        <v/>
      </c>
      <c r="I93" s="32">
        <v>0</v>
      </c>
      <c r="J93" s="32">
        <v>0</v>
      </c>
      <c r="K93" s="33">
        <v>0</v>
      </c>
      <c r="L93" s="33">
        <v>0</v>
      </c>
      <c r="M93" s="32">
        <f t="shared" ref="M93" si="31">IFERROR(I93-J93,"")</f>
        <v>0</v>
      </c>
      <c r="N93" s="32" t="s">
        <v>230</v>
      </c>
    </row>
    <row r="94" spans="1:14" ht="15">
      <c r="A94" s="18">
        <v>45824</v>
      </c>
      <c r="B94" s="19">
        <v>45824</v>
      </c>
      <c r="C94" s="32">
        <v>0</v>
      </c>
      <c r="D94" s="32">
        <v>0</v>
      </c>
      <c r="E94" s="32">
        <v>0</v>
      </c>
      <c r="F94" s="32">
        <v>0</v>
      </c>
      <c r="G94" s="32"/>
      <c r="H94" s="32" t="str">
        <f>IFERROR(VLOOKUP(G94,Basic_Data!$E$2:$I$9,5,0),"")</f>
        <v/>
      </c>
      <c r="I94" s="32">
        <v>0</v>
      </c>
      <c r="J94" s="32">
        <v>0</v>
      </c>
      <c r="K94" s="33">
        <v>0</v>
      </c>
      <c r="L94" s="33">
        <v>0</v>
      </c>
      <c r="M94" s="32">
        <f t="shared" ref="M94" si="32">IFERROR(I94-J94,"")</f>
        <v>0</v>
      </c>
      <c r="N94" s="32" t="s">
        <v>230</v>
      </c>
    </row>
    <row r="95" spans="1:14" ht="15">
      <c r="A95" s="18">
        <v>45825</v>
      </c>
      <c r="B95" s="19">
        <v>45825</v>
      </c>
      <c r="C95" s="32">
        <v>0</v>
      </c>
      <c r="D95" s="32">
        <v>0</v>
      </c>
      <c r="E95" s="32">
        <v>0</v>
      </c>
      <c r="F95" s="32">
        <v>0</v>
      </c>
      <c r="G95" s="32"/>
      <c r="H95" s="32" t="str">
        <f>IFERROR(VLOOKUP(G95,Basic_Data!$E$2:$I$9,5,0),"")</f>
        <v/>
      </c>
      <c r="I95" s="32">
        <v>0</v>
      </c>
      <c r="J95" s="32">
        <v>0</v>
      </c>
      <c r="K95" s="33">
        <v>0</v>
      </c>
      <c r="L95" s="33">
        <v>0</v>
      </c>
      <c r="M95" s="32">
        <f t="shared" ref="M95" si="33">IFERROR(I95-J95,"")</f>
        <v>0</v>
      </c>
      <c r="N95" s="32" t="s">
        <v>230</v>
      </c>
    </row>
    <row r="96" spans="1:14" ht="15">
      <c r="A96" s="18">
        <v>45826</v>
      </c>
      <c r="B96" s="19">
        <v>45826</v>
      </c>
      <c r="C96" s="21">
        <v>0</v>
      </c>
      <c r="D96" s="21">
        <v>0</v>
      </c>
      <c r="E96" s="21">
        <v>0</v>
      </c>
      <c r="F96" s="21">
        <v>0</v>
      </c>
      <c r="G96" s="21"/>
      <c r="H96" s="21" t="str">
        <f>IFERROR(VLOOKUP(G96,Basic_Data!$E$2:$I$9,5,0),"")</f>
        <v/>
      </c>
      <c r="I96" s="21">
        <v>0</v>
      </c>
      <c r="J96" s="21">
        <v>0</v>
      </c>
      <c r="K96" s="31">
        <v>0</v>
      </c>
      <c r="L96" s="31">
        <v>0</v>
      </c>
      <c r="M96" s="21">
        <f t="shared" si="29"/>
        <v>0</v>
      </c>
      <c r="N96" s="34" t="s">
        <v>229</v>
      </c>
    </row>
    <row r="97" spans="1:14" ht="15">
      <c r="A97" s="18">
        <v>45827</v>
      </c>
      <c r="B97" s="19">
        <v>45827</v>
      </c>
      <c r="C97" s="21">
        <v>0</v>
      </c>
      <c r="D97" s="21">
        <v>0</v>
      </c>
      <c r="E97" s="21">
        <v>0</v>
      </c>
      <c r="F97" s="21">
        <v>0</v>
      </c>
      <c r="G97" s="21"/>
      <c r="H97" s="21" t="str">
        <f>IFERROR(VLOOKUP(G97,Basic_Data!$E$2:$I$9,5,0),"")</f>
        <v/>
      </c>
      <c r="I97" s="21">
        <v>0</v>
      </c>
      <c r="J97" s="21">
        <v>0</v>
      </c>
      <c r="K97" s="31">
        <v>0</v>
      </c>
      <c r="L97" s="31">
        <v>0</v>
      </c>
      <c r="M97" s="21">
        <f t="shared" ref="M97" si="34">IFERROR(I97-J97,"")</f>
        <v>0</v>
      </c>
      <c r="N97" s="34" t="s">
        <v>229</v>
      </c>
    </row>
    <row r="98" spans="1:14" ht="15">
      <c r="A98" s="18">
        <v>45828</v>
      </c>
      <c r="B98" s="19">
        <v>45828</v>
      </c>
      <c r="C98" s="21">
        <v>0</v>
      </c>
      <c r="D98" s="21">
        <v>0</v>
      </c>
      <c r="E98" s="21">
        <v>0</v>
      </c>
      <c r="F98" s="21">
        <v>0</v>
      </c>
      <c r="G98" s="21"/>
      <c r="H98" s="21" t="str">
        <f>IFERROR(VLOOKUP(G98,Basic_Data!$E$2:$I$9,5,0),"")</f>
        <v/>
      </c>
      <c r="I98" s="21">
        <v>0</v>
      </c>
      <c r="J98" s="21">
        <v>0</v>
      </c>
      <c r="K98" s="31">
        <v>0</v>
      </c>
      <c r="L98" s="31">
        <v>0</v>
      </c>
      <c r="M98" s="21">
        <f t="shared" ref="M98" si="35">IFERROR(I98-J98,"")</f>
        <v>0</v>
      </c>
      <c r="N98" s="34" t="s">
        <v>229</v>
      </c>
    </row>
    <row r="99" spans="1:14" ht="15">
      <c r="A99" s="18">
        <v>45829</v>
      </c>
      <c r="B99" s="19">
        <v>45829</v>
      </c>
      <c r="C99" s="21">
        <v>0</v>
      </c>
      <c r="D99" s="21">
        <v>0</v>
      </c>
      <c r="E99" s="21">
        <v>0</v>
      </c>
      <c r="F99" s="21">
        <v>0</v>
      </c>
      <c r="G99" s="21"/>
      <c r="H99" s="21" t="str">
        <f>IFERROR(VLOOKUP(G99,Basic_Data!$E$2:$I$9,5,0),"")</f>
        <v/>
      </c>
      <c r="I99" s="21">
        <v>0</v>
      </c>
      <c r="J99" s="21">
        <v>0</v>
      </c>
      <c r="K99" s="31">
        <v>0</v>
      </c>
      <c r="L99" s="31">
        <v>0</v>
      </c>
      <c r="M99" s="21">
        <f t="shared" ref="M99" si="36">IFERROR(I99-J99,"")</f>
        <v>0</v>
      </c>
      <c r="N99" s="34" t="s">
        <v>229</v>
      </c>
    </row>
    <row r="100" spans="1:14" ht="15">
      <c r="A100" s="18">
        <v>45830</v>
      </c>
      <c r="B100" s="19">
        <v>45830</v>
      </c>
      <c r="C100" s="32">
        <v>0</v>
      </c>
      <c r="D100" s="32">
        <v>0</v>
      </c>
      <c r="E100" s="32">
        <v>0</v>
      </c>
      <c r="F100" s="32">
        <v>0</v>
      </c>
      <c r="G100" s="32"/>
      <c r="H100" s="32" t="str">
        <f>IFERROR(VLOOKUP(G100,Basic_Data!$E$2:$I$9,5,0),"")</f>
        <v/>
      </c>
      <c r="I100" s="32">
        <v>0</v>
      </c>
      <c r="J100" s="32">
        <v>0</v>
      </c>
      <c r="K100" s="33">
        <v>0</v>
      </c>
      <c r="L100" s="33">
        <v>0</v>
      </c>
      <c r="M100" s="32">
        <f t="shared" ref="M100" si="37">IFERROR(I100-J100,"")</f>
        <v>0</v>
      </c>
      <c r="N100" s="32" t="s">
        <v>230</v>
      </c>
    </row>
    <row r="101" spans="1:14" ht="15">
      <c r="A101" s="18">
        <v>45831</v>
      </c>
      <c r="B101" s="19">
        <v>45831</v>
      </c>
      <c r="C101" s="32">
        <v>0</v>
      </c>
      <c r="D101" s="32">
        <v>0</v>
      </c>
      <c r="E101" s="32">
        <v>0</v>
      </c>
      <c r="F101" s="32">
        <v>0</v>
      </c>
      <c r="G101" s="32"/>
      <c r="H101" s="32" t="str">
        <f>IFERROR(VLOOKUP(G101,Basic_Data!$E$2:$I$9,5,0),"")</f>
        <v/>
      </c>
      <c r="I101" s="32">
        <v>0</v>
      </c>
      <c r="J101" s="32">
        <v>0</v>
      </c>
      <c r="K101" s="33">
        <v>0</v>
      </c>
      <c r="L101" s="33">
        <v>0</v>
      </c>
      <c r="M101" s="32">
        <f t="shared" ref="M101" si="38">IFERROR(I101-J101,"")</f>
        <v>0</v>
      </c>
      <c r="N101" s="32" t="s">
        <v>230</v>
      </c>
    </row>
    <row r="102" spans="1:14" ht="15">
      <c r="A102" s="18">
        <v>45832</v>
      </c>
      <c r="B102" s="19">
        <v>45832</v>
      </c>
      <c r="C102" s="32">
        <v>0</v>
      </c>
      <c r="D102" s="32">
        <v>0</v>
      </c>
      <c r="E102" s="32">
        <v>0</v>
      </c>
      <c r="F102" s="32">
        <v>0</v>
      </c>
      <c r="G102" s="32"/>
      <c r="H102" s="32" t="str">
        <f>IFERROR(VLOOKUP(G102,Basic_Data!$E$2:$I$9,5,0),"")</f>
        <v/>
      </c>
      <c r="I102" s="32">
        <v>0</v>
      </c>
      <c r="J102" s="32">
        <v>0</v>
      </c>
      <c r="K102" s="33">
        <v>0</v>
      </c>
      <c r="L102" s="33">
        <v>0</v>
      </c>
      <c r="M102" s="32">
        <f t="shared" ref="M102:M103" si="39">IFERROR(I102-J102,"")</f>
        <v>0</v>
      </c>
      <c r="N102" s="32" t="s">
        <v>230</v>
      </c>
    </row>
    <row r="103" spans="1:14" ht="15">
      <c r="A103" s="18">
        <v>45833</v>
      </c>
      <c r="B103" s="19">
        <v>45833</v>
      </c>
      <c r="C103" s="32">
        <v>0</v>
      </c>
      <c r="D103" s="32">
        <v>0</v>
      </c>
      <c r="E103" s="32">
        <v>0</v>
      </c>
      <c r="F103" s="32">
        <v>0</v>
      </c>
      <c r="G103" s="32"/>
      <c r="H103" s="32" t="str">
        <f>IFERROR(VLOOKUP(G103,Basic_Data!$E$2:$I$9,5,0),"")</f>
        <v/>
      </c>
      <c r="I103" s="32">
        <v>0</v>
      </c>
      <c r="J103" s="32">
        <v>0</v>
      </c>
      <c r="K103" s="33">
        <v>0</v>
      </c>
      <c r="L103" s="33">
        <v>0</v>
      </c>
      <c r="M103" s="32">
        <f t="shared" si="39"/>
        <v>0</v>
      </c>
      <c r="N103" s="32" t="s">
        <v>230</v>
      </c>
    </row>
    <row r="104" spans="1:14" ht="15">
      <c r="A104" s="18">
        <v>45834</v>
      </c>
      <c r="B104" s="19">
        <v>45834</v>
      </c>
      <c r="C104" s="32">
        <v>0</v>
      </c>
      <c r="D104" s="32">
        <v>0</v>
      </c>
      <c r="E104" s="32">
        <v>0</v>
      </c>
      <c r="F104" s="32">
        <v>0</v>
      </c>
      <c r="G104" s="32"/>
      <c r="H104" s="32" t="str">
        <f>IFERROR(VLOOKUP(G104,Basic_Data!$E$2:$I$9,5,0),"")</f>
        <v/>
      </c>
      <c r="I104" s="32">
        <v>0</v>
      </c>
      <c r="J104" s="32">
        <v>0</v>
      </c>
      <c r="K104" s="33">
        <v>0</v>
      </c>
      <c r="L104" s="33">
        <v>0</v>
      </c>
      <c r="M104" s="32">
        <f t="shared" ref="M104" si="40">IFERROR(I104-J104,"")</f>
        <v>0</v>
      </c>
      <c r="N104" s="32" t="s">
        <v>230</v>
      </c>
    </row>
    <row r="105" spans="1:14" ht="15">
      <c r="A105" s="18">
        <v>45835</v>
      </c>
      <c r="B105" s="19">
        <v>45835</v>
      </c>
      <c r="C105" s="32">
        <v>0</v>
      </c>
      <c r="D105" s="32">
        <v>0</v>
      </c>
      <c r="E105" s="32">
        <v>0</v>
      </c>
      <c r="F105" s="32">
        <v>0</v>
      </c>
      <c r="G105" s="32"/>
      <c r="H105" s="32" t="str">
        <f>IFERROR(VLOOKUP(G105,Basic_Data!$E$2:$I$9,5,0),"")</f>
        <v/>
      </c>
      <c r="I105" s="32">
        <v>0</v>
      </c>
      <c r="J105" s="32">
        <v>0</v>
      </c>
      <c r="K105" s="33">
        <v>0</v>
      </c>
      <c r="L105" s="33">
        <v>0</v>
      </c>
      <c r="M105" s="32">
        <f t="shared" ref="M105" si="41">IFERROR(I105-J105,"")</f>
        <v>0</v>
      </c>
      <c r="N105" s="32" t="s">
        <v>230</v>
      </c>
    </row>
    <row r="106" spans="1:14" ht="15">
      <c r="A106" s="18">
        <v>45836</v>
      </c>
      <c r="B106" s="19">
        <v>45836</v>
      </c>
      <c r="C106" s="32">
        <v>0</v>
      </c>
      <c r="D106" s="32">
        <v>0</v>
      </c>
      <c r="E106" s="32">
        <v>0</v>
      </c>
      <c r="F106" s="32">
        <v>0</v>
      </c>
      <c r="G106" s="32"/>
      <c r="H106" s="32" t="str">
        <f>IFERROR(VLOOKUP(G106,Basic_Data!$E$2:$I$9,5,0),"")</f>
        <v/>
      </c>
      <c r="I106" s="32">
        <v>0</v>
      </c>
      <c r="J106" s="32">
        <v>0</v>
      </c>
      <c r="K106" s="33">
        <v>0</v>
      </c>
      <c r="L106" s="33">
        <v>0</v>
      </c>
      <c r="M106" s="32">
        <f t="shared" ref="M106" si="42">IFERROR(I106-J106,"")</f>
        <v>0</v>
      </c>
      <c r="N106" s="32" t="s">
        <v>230</v>
      </c>
    </row>
    <row r="107" spans="1:14" ht="15">
      <c r="A107" s="18">
        <v>45837</v>
      </c>
      <c r="B107" s="19">
        <v>45837</v>
      </c>
      <c r="C107" s="35">
        <v>0</v>
      </c>
      <c r="D107" s="35">
        <v>0</v>
      </c>
      <c r="E107" s="35">
        <v>0</v>
      </c>
      <c r="F107" s="35">
        <v>0</v>
      </c>
      <c r="G107" s="35"/>
      <c r="H107" s="35" t="str">
        <f>IFERROR(VLOOKUP(G107,Basic_Data!$E$2:$I$9,5,0),"")</f>
        <v/>
      </c>
      <c r="I107" s="35">
        <v>0</v>
      </c>
      <c r="J107" s="35">
        <v>0</v>
      </c>
      <c r="K107" s="36">
        <v>0</v>
      </c>
      <c r="L107" s="36">
        <v>0</v>
      </c>
      <c r="M107" s="35">
        <f t="shared" ref="M107" si="43">IFERROR(I107-J107,"")</f>
        <v>0</v>
      </c>
      <c r="N107" s="35" t="s">
        <v>229</v>
      </c>
    </row>
    <row r="108" spans="1:14" ht="15">
      <c r="A108" s="18">
        <v>45838</v>
      </c>
      <c r="B108" s="19">
        <v>45838</v>
      </c>
      <c r="C108" s="32">
        <v>0</v>
      </c>
      <c r="D108" s="32">
        <v>0</v>
      </c>
      <c r="E108" s="32">
        <v>0</v>
      </c>
      <c r="F108" s="32">
        <v>0</v>
      </c>
      <c r="G108" s="32"/>
      <c r="H108" s="32" t="str">
        <f>IFERROR(VLOOKUP(G108,Basic_Data!$E$2:$I$9,5,0),"")</f>
        <v/>
      </c>
      <c r="I108" s="32">
        <v>0</v>
      </c>
      <c r="J108" s="32">
        <v>0</v>
      </c>
      <c r="K108" s="33">
        <v>0</v>
      </c>
      <c r="L108" s="33">
        <v>0</v>
      </c>
      <c r="M108" s="32">
        <f t="shared" ref="M108" si="44">IFERROR(I108-J108,"")</f>
        <v>0</v>
      </c>
      <c r="N108" s="32" t="s">
        <v>230</v>
      </c>
    </row>
    <row r="109" spans="1:14" ht="15">
      <c r="A109" s="18">
        <v>45839</v>
      </c>
      <c r="B109" s="19">
        <v>45839</v>
      </c>
      <c r="C109" s="35">
        <v>0</v>
      </c>
      <c r="D109" s="35">
        <v>0</v>
      </c>
      <c r="E109" s="35">
        <v>0</v>
      </c>
      <c r="F109" s="35">
        <v>0</v>
      </c>
      <c r="G109" s="35"/>
      <c r="H109" s="35" t="str">
        <f>IFERROR(VLOOKUP(G109,Basic_Data!$E$2:$I$9,5,0),"")</f>
        <v/>
      </c>
      <c r="I109" s="35">
        <v>0</v>
      </c>
      <c r="J109" s="35">
        <v>0</v>
      </c>
      <c r="K109" s="36">
        <v>0</v>
      </c>
      <c r="L109" s="36">
        <v>0</v>
      </c>
      <c r="M109" s="35">
        <f t="shared" ref="M109" si="45">IFERROR(I109-J109,"")</f>
        <v>0</v>
      </c>
      <c r="N109" s="35" t="s">
        <v>229</v>
      </c>
    </row>
    <row r="110" spans="1:14" ht="15">
      <c r="A110" s="18">
        <v>45840</v>
      </c>
      <c r="B110" s="19">
        <v>45840</v>
      </c>
      <c r="C110" s="32">
        <v>0</v>
      </c>
      <c r="D110" s="32">
        <v>0</v>
      </c>
      <c r="E110" s="32">
        <v>0</v>
      </c>
      <c r="F110" s="32">
        <v>0</v>
      </c>
      <c r="G110" s="32"/>
      <c r="H110" s="32" t="str">
        <f>IFERROR(VLOOKUP(G110,Basic_Data!$E$2:$I$9,5,0),"")</f>
        <v/>
      </c>
      <c r="I110" s="32">
        <v>0</v>
      </c>
      <c r="J110" s="32">
        <v>0</v>
      </c>
      <c r="K110" s="33">
        <v>0</v>
      </c>
      <c r="L110" s="33">
        <v>0</v>
      </c>
      <c r="M110" s="32">
        <f t="shared" ref="M110" si="46">IFERROR(I110-J110,"")</f>
        <v>0</v>
      </c>
      <c r="N110" s="32" t="s">
        <v>230</v>
      </c>
    </row>
    <row r="111" spans="1:14" ht="15">
      <c r="A111" s="18">
        <v>45841</v>
      </c>
      <c r="B111" s="19">
        <v>45841</v>
      </c>
      <c r="C111" s="32">
        <v>0</v>
      </c>
      <c r="D111" s="32">
        <v>0</v>
      </c>
      <c r="E111" s="32">
        <v>0</v>
      </c>
      <c r="F111" s="32">
        <v>0</v>
      </c>
      <c r="G111" s="32"/>
      <c r="H111" s="32" t="str">
        <f>IFERROR(VLOOKUP(G111,Basic_Data!$E$2:$I$9,5,0),"")</f>
        <v/>
      </c>
      <c r="I111" s="32">
        <v>0</v>
      </c>
      <c r="J111" s="32">
        <v>0</v>
      </c>
      <c r="K111" s="33">
        <v>0</v>
      </c>
      <c r="L111" s="33">
        <v>0</v>
      </c>
      <c r="M111" s="32">
        <f t="shared" ref="M111" si="47">IFERROR(I111-J111,"")</f>
        <v>0</v>
      </c>
      <c r="N111" s="32" t="s">
        <v>230</v>
      </c>
    </row>
    <row r="112" spans="1:14" ht="15">
      <c r="A112" s="18">
        <v>45842</v>
      </c>
      <c r="B112" s="19">
        <v>45842</v>
      </c>
      <c r="C112" s="32">
        <v>0</v>
      </c>
      <c r="D112" s="32">
        <v>0</v>
      </c>
      <c r="E112" s="32">
        <v>0</v>
      </c>
      <c r="F112" s="32">
        <v>0</v>
      </c>
      <c r="G112" s="32"/>
      <c r="H112" s="32" t="str">
        <f>IFERROR(VLOOKUP(G112,Basic_Data!$E$2:$I$9,5,0),"")</f>
        <v/>
      </c>
      <c r="I112" s="32">
        <v>0</v>
      </c>
      <c r="J112" s="32">
        <v>0</v>
      </c>
      <c r="K112" s="33">
        <v>0</v>
      </c>
      <c r="L112" s="33">
        <v>0</v>
      </c>
      <c r="M112" s="32">
        <f t="shared" ref="M112" si="48">IFERROR(I112-J112,"")</f>
        <v>0</v>
      </c>
      <c r="N112" s="32" t="s">
        <v>230</v>
      </c>
    </row>
    <row r="113" spans="1:14" ht="15">
      <c r="A113" s="18">
        <v>45843</v>
      </c>
      <c r="B113" s="19">
        <v>45843</v>
      </c>
      <c r="C113" s="35">
        <v>0</v>
      </c>
      <c r="D113" s="35">
        <v>0</v>
      </c>
      <c r="E113" s="35">
        <v>0</v>
      </c>
      <c r="F113" s="35">
        <v>0</v>
      </c>
      <c r="G113" s="35"/>
      <c r="H113" s="35" t="str">
        <f>IFERROR(VLOOKUP(G113,Basic_Data!$E$2:$I$9,5,0),"")</f>
        <v/>
      </c>
      <c r="I113" s="35">
        <v>0</v>
      </c>
      <c r="J113" s="35">
        <v>0</v>
      </c>
      <c r="K113" s="36">
        <v>0</v>
      </c>
      <c r="L113" s="36">
        <v>0</v>
      </c>
      <c r="M113" s="35">
        <f t="shared" ref="M113" si="49">IFERROR(I113-J113,"")</f>
        <v>0</v>
      </c>
      <c r="N113" s="35" t="s">
        <v>229</v>
      </c>
    </row>
    <row r="114" spans="1:14" ht="15">
      <c r="A114" s="18">
        <v>45844</v>
      </c>
      <c r="B114" s="19">
        <v>45844</v>
      </c>
      <c r="C114" s="35">
        <v>0</v>
      </c>
      <c r="D114" s="35">
        <v>0</v>
      </c>
      <c r="E114" s="35">
        <v>0</v>
      </c>
      <c r="F114" s="35">
        <v>0</v>
      </c>
      <c r="G114" s="35"/>
      <c r="H114" s="35" t="str">
        <f>IFERROR(VLOOKUP(G114,Basic_Data!$E$2:$I$9,5,0),"")</f>
        <v/>
      </c>
      <c r="I114" s="35">
        <v>0</v>
      </c>
      <c r="J114" s="35">
        <v>0</v>
      </c>
      <c r="K114" s="36">
        <v>0</v>
      </c>
      <c r="L114" s="36">
        <v>0</v>
      </c>
      <c r="M114" s="35">
        <f t="shared" ref="M114" si="50">IFERROR(I114-J114,"")</f>
        <v>0</v>
      </c>
      <c r="N114" s="35" t="s">
        <v>229</v>
      </c>
    </row>
    <row r="115" spans="1:14" ht="15">
      <c r="A115" s="18">
        <v>45845</v>
      </c>
      <c r="B115" s="19">
        <v>45845</v>
      </c>
      <c r="C115" s="32">
        <v>0</v>
      </c>
      <c r="D115" s="32">
        <v>0</v>
      </c>
      <c r="E115" s="32">
        <v>0</v>
      </c>
      <c r="F115" s="32">
        <v>0</v>
      </c>
      <c r="G115" s="32"/>
      <c r="H115" s="32" t="str">
        <f>IFERROR(VLOOKUP(G115,Basic_Data!$E$2:$I$9,5,0),"")</f>
        <v/>
      </c>
      <c r="I115" s="32">
        <v>0</v>
      </c>
      <c r="J115" s="32">
        <v>0</v>
      </c>
      <c r="K115" s="33">
        <v>0</v>
      </c>
      <c r="L115" s="33">
        <v>0</v>
      </c>
      <c r="M115" s="32">
        <f t="shared" ref="M115" si="51">IFERROR(I115-J115,"")</f>
        <v>0</v>
      </c>
      <c r="N115" s="32" t="s">
        <v>230</v>
      </c>
    </row>
    <row r="116" spans="1:14" ht="15">
      <c r="A116" s="18">
        <v>45846</v>
      </c>
      <c r="B116" s="19">
        <v>45846</v>
      </c>
      <c r="C116" s="35">
        <v>0</v>
      </c>
      <c r="D116" s="35">
        <v>0</v>
      </c>
      <c r="E116" s="35">
        <v>0</v>
      </c>
      <c r="F116" s="35">
        <v>0</v>
      </c>
      <c r="G116" s="35"/>
      <c r="H116" s="35" t="str">
        <f>IFERROR(VLOOKUP(G116,Basic_Data!$E$2:$I$9,5,0),"")</f>
        <v/>
      </c>
      <c r="I116" s="35">
        <v>0</v>
      </c>
      <c r="J116" s="35">
        <v>0</v>
      </c>
      <c r="K116" s="36">
        <v>0</v>
      </c>
      <c r="L116" s="36">
        <v>0</v>
      </c>
      <c r="M116" s="35">
        <f t="shared" ref="M116" si="52">IFERROR(I116-J116,"")</f>
        <v>0</v>
      </c>
      <c r="N116" s="35" t="s">
        <v>229</v>
      </c>
    </row>
    <row r="117" spans="1:14" ht="15">
      <c r="A117" s="18">
        <v>45847</v>
      </c>
      <c r="B117" s="19">
        <v>45847</v>
      </c>
      <c r="C117" s="35">
        <v>0</v>
      </c>
      <c r="D117" s="35">
        <v>0</v>
      </c>
      <c r="E117" s="35">
        <v>0</v>
      </c>
      <c r="F117" s="35">
        <v>0</v>
      </c>
      <c r="G117" s="35"/>
      <c r="H117" s="35" t="str">
        <f>IFERROR(VLOOKUP(G117,Basic_Data!$E$2:$I$9,5,0),"")</f>
        <v/>
      </c>
      <c r="I117" s="35">
        <v>0</v>
      </c>
      <c r="J117" s="35">
        <v>0</v>
      </c>
      <c r="K117" s="36">
        <v>0</v>
      </c>
      <c r="L117" s="36">
        <v>0</v>
      </c>
      <c r="M117" s="35">
        <f t="shared" ref="M117" si="53">IFERROR(I117-J117,"")</f>
        <v>0</v>
      </c>
      <c r="N117" s="35" t="s">
        <v>229</v>
      </c>
    </row>
    <row r="118" spans="1:14" ht="15">
      <c r="A118" s="18">
        <v>45848</v>
      </c>
      <c r="B118" s="19">
        <v>45848</v>
      </c>
      <c r="C118" s="35">
        <v>0</v>
      </c>
      <c r="D118" s="35">
        <v>0</v>
      </c>
      <c r="E118" s="35">
        <v>0</v>
      </c>
      <c r="F118" s="35">
        <v>0</v>
      </c>
      <c r="G118" s="35"/>
      <c r="H118" s="35" t="str">
        <f>IFERROR(VLOOKUP(G118,Basic_Data!$E$2:$I$9,5,0),"")</f>
        <v/>
      </c>
      <c r="I118" s="35">
        <v>0</v>
      </c>
      <c r="J118" s="35">
        <v>0</v>
      </c>
      <c r="K118" s="36">
        <v>0</v>
      </c>
      <c r="L118" s="36">
        <v>0</v>
      </c>
      <c r="M118" s="35">
        <f t="shared" ref="M118" si="54">IFERROR(I118-J118,"")</f>
        <v>0</v>
      </c>
      <c r="N118" s="35" t="s">
        <v>229</v>
      </c>
    </row>
    <row r="119" spans="1:14" ht="15">
      <c r="A119" s="18">
        <v>45849</v>
      </c>
      <c r="B119" s="19">
        <v>45849</v>
      </c>
      <c r="C119" s="35">
        <v>0</v>
      </c>
      <c r="D119" s="35">
        <v>0</v>
      </c>
      <c r="E119" s="35">
        <v>0</v>
      </c>
      <c r="F119" s="35">
        <v>0</v>
      </c>
      <c r="G119" s="35"/>
      <c r="H119" s="35" t="str">
        <f>IFERROR(VLOOKUP(G119,Basic_Data!$E$2:$I$9,5,0),"")</f>
        <v/>
      </c>
      <c r="I119" s="35">
        <v>0</v>
      </c>
      <c r="J119" s="35">
        <v>0</v>
      </c>
      <c r="K119" s="36">
        <v>0</v>
      </c>
      <c r="L119" s="36">
        <v>0</v>
      </c>
      <c r="M119" s="35">
        <f t="shared" ref="M119" si="55">IFERROR(I119-J119,"")</f>
        <v>0</v>
      </c>
      <c r="N119" s="35" t="s">
        <v>229</v>
      </c>
    </row>
    <row r="120" spans="1:14" ht="15">
      <c r="A120" s="18">
        <v>45850</v>
      </c>
      <c r="B120" s="19">
        <v>45850</v>
      </c>
      <c r="C120" s="35">
        <v>0</v>
      </c>
      <c r="D120" s="35">
        <v>0</v>
      </c>
      <c r="E120" s="35">
        <v>0</v>
      </c>
      <c r="F120" s="35">
        <v>0</v>
      </c>
      <c r="G120" s="35"/>
      <c r="H120" s="35" t="str">
        <f>IFERROR(VLOOKUP(G120,Basic_Data!$E$2:$I$9,5,0),"")</f>
        <v/>
      </c>
      <c r="I120" s="35">
        <v>0</v>
      </c>
      <c r="J120" s="35">
        <v>0</v>
      </c>
      <c r="K120" s="36">
        <v>0</v>
      </c>
      <c r="L120" s="36">
        <v>0</v>
      </c>
      <c r="M120" s="35">
        <f t="shared" ref="M120" si="56">IFERROR(I120-J120,"")</f>
        <v>0</v>
      </c>
      <c r="N120" s="35" t="s">
        <v>229</v>
      </c>
    </row>
    <row r="121" spans="1:14" ht="15">
      <c r="A121" s="18">
        <v>45851</v>
      </c>
      <c r="B121" s="19">
        <v>45851</v>
      </c>
      <c r="C121" s="35">
        <v>0</v>
      </c>
      <c r="D121" s="35">
        <v>0</v>
      </c>
      <c r="E121" s="35">
        <v>0</v>
      </c>
      <c r="F121" s="35">
        <v>0</v>
      </c>
      <c r="G121" s="35"/>
      <c r="H121" s="35" t="str">
        <f>IFERROR(VLOOKUP(G121,Basic_Data!$E$2:$I$9,5,0),"")</f>
        <v/>
      </c>
      <c r="I121" s="35">
        <v>0</v>
      </c>
      <c r="J121" s="35">
        <v>0</v>
      </c>
      <c r="K121" s="36">
        <v>0</v>
      </c>
      <c r="L121" s="36">
        <v>0</v>
      </c>
      <c r="M121" s="35">
        <f t="shared" ref="M121" si="57">IFERROR(I121-J121,"")</f>
        <v>0</v>
      </c>
      <c r="N121" s="35" t="s">
        <v>229</v>
      </c>
    </row>
    <row r="122" spans="1:14" ht="15">
      <c r="A122" s="18">
        <v>45852</v>
      </c>
      <c r="B122" s="19">
        <v>45852</v>
      </c>
      <c r="C122" s="35">
        <v>0</v>
      </c>
      <c r="D122" s="35">
        <v>0</v>
      </c>
      <c r="E122" s="35">
        <v>0</v>
      </c>
      <c r="F122" s="35">
        <v>0</v>
      </c>
      <c r="G122" s="35"/>
      <c r="H122" s="35" t="str">
        <f>IFERROR(VLOOKUP(G122,Basic_Data!$E$2:$I$9,5,0),"")</f>
        <v/>
      </c>
      <c r="I122" s="35">
        <v>0</v>
      </c>
      <c r="J122" s="35">
        <v>0</v>
      </c>
      <c r="K122" s="36">
        <v>0</v>
      </c>
      <c r="L122" s="36">
        <v>0</v>
      </c>
      <c r="M122" s="35">
        <f t="shared" ref="M122" si="58">IFERROR(I122-J122,"")</f>
        <v>0</v>
      </c>
      <c r="N122" s="35" t="s">
        <v>229</v>
      </c>
    </row>
    <row r="123" spans="1:14" ht="15">
      <c r="A123" s="18">
        <v>45853</v>
      </c>
      <c r="B123" s="19">
        <v>45853</v>
      </c>
      <c r="C123" s="35">
        <v>0</v>
      </c>
      <c r="D123" s="35">
        <v>0</v>
      </c>
      <c r="E123" s="35">
        <v>0</v>
      </c>
      <c r="F123" s="35">
        <v>0</v>
      </c>
      <c r="G123" s="35"/>
      <c r="H123" s="35" t="str">
        <f>IFERROR(VLOOKUP(G123,Basic_Data!$E$2:$I$9,5,0),"")</f>
        <v/>
      </c>
      <c r="I123" s="35">
        <v>0</v>
      </c>
      <c r="J123" s="35">
        <v>0</v>
      </c>
      <c r="K123" s="36">
        <v>0</v>
      </c>
      <c r="L123" s="36">
        <v>0</v>
      </c>
      <c r="M123" s="35">
        <f t="shared" ref="M123" si="59">IFERROR(I123-J123,"")</f>
        <v>0</v>
      </c>
      <c r="N123" s="35" t="s">
        <v>229</v>
      </c>
    </row>
    <row r="124" spans="1:14" ht="15">
      <c r="A124" s="18">
        <v>45854</v>
      </c>
      <c r="B124" s="19">
        <v>45854</v>
      </c>
      <c r="C124" s="35">
        <v>0</v>
      </c>
      <c r="D124" s="35">
        <v>0</v>
      </c>
      <c r="E124" s="35">
        <v>0</v>
      </c>
      <c r="F124" s="35">
        <v>0</v>
      </c>
      <c r="G124" s="35"/>
      <c r="H124" s="35" t="str">
        <f>IFERROR(VLOOKUP(G124,Basic_Data!$E$2:$I$9,5,0),"")</f>
        <v/>
      </c>
      <c r="I124" s="35">
        <v>0</v>
      </c>
      <c r="J124" s="35">
        <v>0</v>
      </c>
      <c r="K124" s="36">
        <v>0</v>
      </c>
      <c r="L124" s="36">
        <v>0</v>
      </c>
      <c r="M124" s="35">
        <f t="shared" ref="M124" si="60">IFERROR(I124-J124,"")</f>
        <v>0</v>
      </c>
      <c r="N124" s="35" t="s">
        <v>229</v>
      </c>
    </row>
    <row r="125" spans="1:14" ht="15">
      <c r="A125" s="18">
        <v>45855</v>
      </c>
      <c r="B125" s="19">
        <v>45855</v>
      </c>
      <c r="C125" s="35">
        <v>0</v>
      </c>
      <c r="D125" s="35">
        <v>0</v>
      </c>
      <c r="E125" s="35">
        <v>0</v>
      </c>
      <c r="F125" s="35">
        <v>0</v>
      </c>
      <c r="G125" s="35"/>
      <c r="H125" s="35" t="str">
        <f>IFERROR(VLOOKUP(G125,Basic_Data!$E$2:$I$9,5,0),"")</f>
        <v/>
      </c>
      <c r="I125" s="35">
        <v>0</v>
      </c>
      <c r="J125" s="35">
        <v>0</v>
      </c>
      <c r="K125" s="36">
        <v>0</v>
      </c>
      <c r="L125" s="36">
        <v>0</v>
      </c>
      <c r="M125" s="35">
        <f t="shared" ref="M125" si="61">IFERROR(I125-J125,"")</f>
        <v>0</v>
      </c>
      <c r="N125" s="35" t="s">
        <v>229</v>
      </c>
    </row>
    <row r="126" spans="1:14" ht="15">
      <c r="A126" s="18">
        <v>45856</v>
      </c>
      <c r="B126" s="19">
        <v>45856</v>
      </c>
      <c r="C126" s="35">
        <v>0</v>
      </c>
      <c r="D126" s="35">
        <v>0</v>
      </c>
      <c r="E126" s="35">
        <v>0</v>
      </c>
      <c r="F126" s="35">
        <v>0</v>
      </c>
      <c r="G126" s="35"/>
      <c r="H126" s="35" t="str">
        <f>IFERROR(VLOOKUP(G126,Basic_Data!$E$2:$I$9,5,0),"")</f>
        <v/>
      </c>
      <c r="I126" s="35">
        <v>0</v>
      </c>
      <c r="J126" s="35">
        <v>0</v>
      </c>
      <c r="K126" s="36">
        <v>0</v>
      </c>
      <c r="L126" s="36">
        <v>0</v>
      </c>
      <c r="M126" s="35">
        <f t="shared" ref="M126" si="62">IFERROR(I126-J126,"")</f>
        <v>0</v>
      </c>
      <c r="N126" s="35" t="s">
        <v>229</v>
      </c>
    </row>
    <row r="127" spans="1:14" ht="15">
      <c r="A127" s="18">
        <v>45857</v>
      </c>
      <c r="B127" s="19">
        <v>45857</v>
      </c>
      <c r="C127" s="35">
        <v>0</v>
      </c>
      <c r="D127" s="35">
        <v>0</v>
      </c>
      <c r="E127" s="35">
        <v>0</v>
      </c>
      <c r="F127" s="35">
        <v>0</v>
      </c>
      <c r="G127" s="35"/>
      <c r="H127" s="35" t="str">
        <f>IFERROR(VLOOKUP(G127,Basic_Data!$E$2:$I$9,5,0),"")</f>
        <v/>
      </c>
      <c r="I127" s="35">
        <v>0</v>
      </c>
      <c r="J127" s="35">
        <v>0</v>
      </c>
      <c r="K127" s="36">
        <v>0</v>
      </c>
      <c r="L127" s="36">
        <v>0</v>
      </c>
      <c r="M127" s="35">
        <f t="shared" ref="M127" si="63">IFERROR(I127-J127,"")</f>
        <v>0</v>
      </c>
      <c r="N127" s="35" t="s">
        <v>229</v>
      </c>
    </row>
    <row r="128" spans="1:14" ht="15">
      <c r="A128" s="18">
        <v>45858</v>
      </c>
      <c r="B128" s="19">
        <v>45858</v>
      </c>
      <c r="C128" s="32">
        <v>0</v>
      </c>
      <c r="D128" s="32">
        <v>0</v>
      </c>
      <c r="E128" s="32">
        <v>0</v>
      </c>
      <c r="F128" s="32">
        <v>0</v>
      </c>
      <c r="G128" s="32"/>
      <c r="H128" s="32" t="str">
        <f>IFERROR(VLOOKUP(G128,Basic_Data!$E$2:$I$9,5,0),"")</f>
        <v/>
      </c>
      <c r="I128" s="32">
        <v>0</v>
      </c>
      <c r="J128" s="32">
        <v>0</v>
      </c>
      <c r="K128" s="33">
        <v>0</v>
      </c>
      <c r="L128" s="33">
        <v>0</v>
      </c>
      <c r="M128" s="32">
        <f t="shared" ref="M128" si="64">IFERROR(I128-J128,"")</f>
        <v>0</v>
      </c>
      <c r="N128" s="32" t="s">
        <v>230</v>
      </c>
    </row>
    <row r="129" spans="1:14" ht="15">
      <c r="A129" s="18">
        <v>45859</v>
      </c>
      <c r="B129" s="19">
        <v>45859</v>
      </c>
      <c r="C129" s="34">
        <v>0</v>
      </c>
      <c r="D129" s="34">
        <v>0</v>
      </c>
      <c r="E129" s="34">
        <v>0</v>
      </c>
      <c r="F129" s="34">
        <v>0</v>
      </c>
      <c r="G129" s="34"/>
      <c r="H129" s="34" t="str">
        <f>IFERROR(VLOOKUP(G129,Basic_Data!$E$2:$I$9,5,0),"")</f>
        <v/>
      </c>
      <c r="I129" s="34">
        <v>0</v>
      </c>
      <c r="J129" s="34">
        <v>0</v>
      </c>
      <c r="K129" s="37">
        <v>0</v>
      </c>
      <c r="L129" s="37">
        <v>0</v>
      </c>
      <c r="M129" s="34">
        <f t="shared" ref="M129" si="65">IFERROR(I129-J129,"")</f>
        <v>0</v>
      </c>
      <c r="N129" s="34" t="s">
        <v>229</v>
      </c>
    </row>
    <row r="130" spans="1:14" ht="15">
      <c r="A130" s="18">
        <v>45860</v>
      </c>
      <c r="B130" s="19">
        <v>45860</v>
      </c>
      <c r="C130" s="34">
        <v>0</v>
      </c>
      <c r="D130" s="34">
        <v>0</v>
      </c>
      <c r="E130" s="34">
        <v>0</v>
      </c>
      <c r="F130" s="34">
        <v>0</v>
      </c>
      <c r="G130" s="34"/>
      <c r="H130" s="34" t="str">
        <f>IFERROR(VLOOKUP(G130,Basic_Data!$E$2:$I$9,5,0),"")</f>
        <v/>
      </c>
      <c r="I130" s="34">
        <v>0</v>
      </c>
      <c r="J130" s="34">
        <v>0</v>
      </c>
      <c r="K130" s="37">
        <v>0</v>
      </c>
      <c r="L130" s="37">
        <v>0</v>
      </c>
      <c r="M130" s="34">
        <f t="shared" ref="M130" si="66">IFERROR(I130-J130,"")</f>
        <v>0</v>
      </c>
      <c r="N130" s="34" t="s">
        <v>229</v>
      </c>
    </row>
    <row r="131" spans="1:14" ht="15">
      <c r="A131" s="18">
        <v>45861</v>
      </c>
      <c r="B131" s="19">
        <v>45861</v>
      </c>
      <c r="C131" s="34">
        <v>0</v>
      </c>
      <c r="D131" s="34">
        <v>0</v>
      </c>
      <c r="E131" s="34">
        <v>0</v>
      </c>
      <c r="F131" s="34">
        <v>0</v>
      </c>
      <c r="G131" s="34"/>
      <c r="H131" s="34" t="str">
        <f>IFERROR(VLOOKUP(G131,Basic_Data!$E$2:$I$9,5,0),"")</f>
        <v/>
      </c>
      <c r="I131" s="34">
        <v>0</v>
      </c>
      <c r="J131" s="34">
        <v>0</v>
      </c>
      <c r="K131" s="37">
        <v>0</v>
      </c>
      <c r="L131" s="37">
        <v>0</v>
      </c>
      <c r="M131" s="34">
        <f t="shared" ref="M131" si="67">IFERROR(I131-J131,"")</f>
        <v>0</v>
      </c>
      <c r="N131" s="34" t="s">
        <v>229</v>
      </c>
    </row>
    <row r="132" spans="1:14" ht="15">
      <c r="A132" s="18">
        <v>45862</v>
      </c>
      <c r="B132" s="19">
        <v>45862</v>
      </c>
      <c r="C132" s="34">
        <v>0</v>
      </c>
      <c r="D132" s="34">
        <v>0</v>
      </c>
      <c r="E132" s="34">
        <v>0</v>
      </c>
      <c r="F132" s="34">
        <v>0</v>
      </c>
      <c r="G132" s="34"/>
      <c r="H132" s="34" t="str">
        <f>IFERROR(VLOOKUP(G132,Basic_Data!$E$2:$I$9,5,0),"")</f>
        <v/>
      </c>
      <c r="I132" s="34">
        <v>0</v>
      </c>
      <c r="J132" s="34">
        <v>0</v>
      </c>
      <c r="K132" s="37">
        <v>0</v>
      </c>
      <c r="L132" s="37">
        <v>0</v>
      </c>
      <c r="M132" s="34">
        <f t="shared" ref="M132" si="68">IFERROR(I132-J132,"")</f>
        <v>0</v>
      </c>
      <c r="N132" s="34" t="s">
        <v>229</v>
      </c>
    </row>
    <row r="133" spans="1:14" ht="15">
      <c r="A133" s="18">
        <v>45863</v>
      </c>
      <c r="B133" s="19">
        <v>45863</v>
      </c>
      <c r="C133" s="34">
        <v>0</v>
      </c>
      <c r="D133" s="34">
        <v>0</v>
      </c>
      <c r="E133" s="34">
        <v>0</v>
      </c>
      <c r="F133" s="34">
        <v>0</v>
      </c>
      <c r="G133" s="34"/>
      <c r="H133" s="34" t="str">
        <f>IFERROR(VLOOKUP(G133,Basic_Data!$E$2:$I$9,5,0),"")</f>
        <v/>
      </c>
      <c r="I133" s="34">
        <v>0</v>
      </c>
      <c r="J133" s="34">
        <v>0</v>
      </c>
      <c r="K133" s="37">
        <v>0</v>
      </c>
      <c r="L133" s="37">
        <v>0</v>
      </c>
      <c r="M133" s="34">
        <f t="shared" ref="M133" si="69">IFERROR(I133-J133,"")</f>
        <v>0</v>
      </c>
      <c r="N133" s="34" t="s">
        <v>229</v>
      </c>
    </row>
    <row r="134" spans="1:14" ht="15">
      <c r="A134" s="18">
        <v>45864</v>
      </c>
      <c r="B134" s="19">
        <v>45864</v>
      </c>
      <c r="C134" s="34">
        <v>0</v>
      </c>
      <c r="D134" s="34">
        <v>0</v>
      </c>
      <c r="E134" s="34">
        <v>0</v>
      </c>
      <c r="F134" s="34">
        <v>0</v>
      </c>
      <c r="G134" s="34"/>
      <c r="H134" s="34" t="str">
        <f>IFERROR(VLOOKUP(G134,Basic_Data!$E$2:$I$9,5,0),"")</f>
        <v/>
      </c>
      <c r="I134" s="34">
        <v>0</v>
      </c>
      <c r="J134" s="34">
        <v>0</v>
      </c>
      <c r="K134" s="37">
        <v>0</v>
      </c>
      <c r="L134" s="37">
        <v>0</v>
      </c>
      <c r="M134" s="34">
        <f t="shared" ref="M134" si="70">IFERROR(I134-J134,"")</f>
        <v>0</v>
      </c>
      <c r="N134" s="34" t="s">
        <v>229</v>
      </c>
    </row>
    <row r="135" spans="1:14" ht="15">
      <c r="A135" s="18">
        <v>45865</v>
      </c>
      <c r="B135" s="19">
        <v>45865</v>
      </c>
      <c r="C135" s="32">
        <v>0</v>
      </c>
      <c r="D135" s="32">
        <v>0</v>
      </c>
      <c r="E135" s="32">
        <v>0</v>
      </c>
      <c r="F135" s="32">
        <v>0</v>
      </c>
      <c r="G135" s="32"/>
      <c r="H135" s="32" t="str">
        <f>IFERROR(VLOOKUP(G135,Basic_Data!$E$2:$I$9,5,0),"")</f>
        <v/>
      </c>
      <c r="I135" s="32">
        <v>0</v>
      </c>
      <c r="J135" s="32">
        <v>0</v>
      </c>
      <c r="K135" s="33">
        <v>0</v>
      </c>
      <c r="L135" s="33">
        <v>0</v>
      </c>
      <c r="M135" s="32">
        <f t="shared" ref="M135" si="71">IFERROR(I135-J135,"")</f>
        <v>0</v>
      </c>
      <c r="N135" s="32" t="s">
        <v>230</v>
      </c>
    </row>
    <row r="136" spans="1:14" ht="15">
      <c r="A136" s="18">
        <v>45866</v>
      </c>
      <c r="B136" s="19">
        <v>45866</v>
      </c>
      <c r="C136" s="34">
        <v>0</v>
      </c>
      <c r="D136" s="34">
        <v>0</v>
      </c>
      <c r="E136" s="34">
        <v>0</v>
      </c>
      <c r="F136" s="34">
        <v>0</v>
      </c>
      <c r="G136" s="34"/>
      <c r="H136" s="34" t="str">
        <f>IFERROR(VLOOKUP(G136,Basic_Data!$E$2:$I$9,5,0),"")</f>
        <v/>
      </c>
      <c r="I136" s="34">
        <v>0</v>
      </c>
      <c r="J136" s="34">
        <v>0</v>
      </c>
      <c r="K136" s="37">
        <v>0</v>
      </c>
      <c r="L136" s="37">
        <v>0</v>
      </c>
      <c r="M136" s="34">
        <f t="shared" ref="M136" si="72">IFERROR(I136-J136,"")</f>
        <v>0</v>
      </c>
      <c r="N136" s="34" t="s">
        <v>229</v>
      </c>
    </row>
    <row r="137" spans="1:14" ht="15">
      <c r="A137" s="18">
        <v>45867</v>
      </c>
      <c r="B137" s="19">
        <v>45867</v>
      </c>
      <c r="C137" s="34">
        <v>0</v>
      </c>
      <c r="D137" s="34">
        <v>0</v>
      </c>
      <c r="E137" s="34">
        <v>0</v>
      </c>
      <c r="F137" s="34">
        <v>0</v>
      </c>
      <c r="G137" s="34"/>
      <c r="H137" s="34" t="str">
        <f>IFERROR(VLOOKUP(G137,Basic_Data!$E$2:$I$9,5,0),"")</f>
        <v/>
      </c>
      <c r="I137" s="34">
        <v>0</v>
      </c>
      <c r="J137" s="34">
        <v>0</v>
      </c>
      <c r="K137" s="37">
        <v>0</v>
      </c>
      <c r="L137" s="37">
        <v>0</v>
      </c>
      <c r="M137" s="34">
        <f t="shared" ref="M137" si="73">IFERROR(I137-J137,"")</f>
        <v>0</v>
      </c>
      <c r="N137" s="34" t="s">
        <v>229</v>
      </c>
    </row>
    <row r="138" spans="1:14" ht="15">
      <c r="A138" s="18">
        <v>45868</v>
      </c>
      <c r="B138" s="19">
        <v>45868</v>
      </c>
      <c r="C138" s="34">
        <v>0</v>
      </c>
      <c r="D138" s="34">
        <v>0</v>
      </c>
      <c r="E138" s="34">
        <v>0</v>
      </c>
      <c r="F138" s="34">
        <v>0</v>
      </c>
      <c r="G138" s="34"/>
      <c r="H138" s="34" t="str">
        <f>IFERROR(VLOOKUP(G138,Basic_Data!$E$2:$I$9,5,0),"")</f>
        <v/>
      </c>
      <c r="I138" s="34">
        <v>0</v>
      </c>
      <c r="J138" s="34">
        <v>0</v>
      </c>
      <c r="K138" s="37">
        <v>0</v>
      </c>
      <c r="L138" s="37">
        <v>0</v>
      </c>
      <c r="M138" s="34">
        <f t="shared" ref="M138" si="74">IFERROR(I138-J138,"")</f>
        <v>0</v>
      </c>
      <c r="N138" s="34" t="s">
        <v>229</v>
      </c>
    </row>
    <row r="139" spans="1:14" ht="15">
      <c r="A139" s="18">
        <v>45869</v>
      </c>
      <c r="B139" s="19">
        <v>45869</v>
      </c>
      <c r="C139" s="34">
        <v>0</v>
      </c>
      <c r="D139" s="34">
        <v>0</v>
      </c>
      <c r="E139" s="34">
        <v>0</v>
      </c>
      <c r="F139" s="34">
        <v>0</v>
      </c>
      <c r="G139" s="34"/>
      <c r="H139" s="34" t="str">
        <f>IFERROR(VLOOKUP(G139,Basic_Data!$E$2:$I$9,5,0),"")</f>
        <v/>
      </c>
      <c r="I139" s="34">
        <v>0</v>
      </c>
      <c r="J139" s="34">
        <v>0</v>
      </c>
      <c r="K139" s="37">
        <v>0</v>
      </c>
      <c r="L139" s="37">
        <v>0</v>
      </c>
      <c r="M139" s="34">
        <f t="shared" ref="M139" si="75">IFERROR(I139-J139,"")</f>
        <v>0</v>
      </c>
      <c r="N139" s="34" t="s">
        <v>229</v>
      </c>
    </row>
    <row r="140" spans="1:14" ht="15">
      <c r="A140" s="18">
        <v>45870</v>
      </c>
      <c r="B140" s="19">
        <v>45870</v>
      </c>
      <c r="C140" s="34">
        <v>0</v>
      </c>
      <c r="D140" s="34">
        <v>0</v>
      </c>
      <c r="E140" s="34">
        <v>0</v>
      </c>
      <c r="F140" s="34">
        <v>0</v>
      </c>
      <c r="G140" s="34"/>
      <c r="H140" s="34" t="str">
        <f>IFERROR(VLOOKUP(G140,Basic_Data!$E$2:$I$9,5,0),"")</f>
        <v/>
      </c>
      <c r="I140" s="34">
        <v>0</v>
      </c>
      <c r="J140" s="34">
        <v>0</v>
      </c>
      <c r="K140" s="37">
        <v>0</v>
      </c>
      <c r="L140" s="37">
        <v>0</v>
      </c>
      <c r="M140" s="34">
        <f t="shared" ref="M140" si="76">IFERROR(I140-J140,"")</f>
        <v>0</v>
      </c>
      <c r="N140" s="34" t="s">
        <v>229</v>
      </c>
    </row>
    <row r="141" spans="1:14" ht="15">
      <c r="A141" s="18">
        <v>45871</v>
      </c>
      <c r="B141" s="19">
        <v>45871</v>
      </c>
      <c r="C141" s="34">
        <v>0</v>
      </c>
      <c r="D141" s="34">
        <v>0</v>
      </c>
      <c r="E141" s="34">
        <v>0</v>
      </c>
      <c r="F141" s="34">
        <v>0</v>
      </c>
      <c r="G141" s="34"/>
      <c r="H141" s="34" t="str">
        <f>IFERROR(VLOOKUP(G141,Basic_Data!$E$2:$I$9,5,0),"")</f>
        <v/>
      </c>
      <c r="I141" s="34">
        <v>0</v>
      </c>
      <c r="J141" s="34">
        <v>0</v>
      </c>
      <c r="K141" s="37">
        <v>0</v>
      </c>
      <c r="L141" s="37">
        <v>0</v>
      </c>
      <c r="M141" s="34">
        <f t="shared" ref="M141" si="77">IFERROR(I141-J141,"")</f>
        <v>0</v>
      </c>
      <c r="N141" s="34" t="s">
        <v>229</v>
      </c>
    </row>
    <row r="142" spans="1:14" ht="15">
      <c r="A142" s="18">
        <v>45872</v>
      </c>
      <c r="B142" s="19">
        <v>45872</v>
      </c>
      <c r="C142" s="34">
        <v>0</v>
      </c>
      <c r="D142" s="34">
        <v>0</v>
      </c>
      <c r="E142" s="34">
        <v>0</v>
      </c>
      <c r="F142" s="34">
        <v>0</v>
      </c>
      <c r="G142" s="34"/>
      <c r="H142" s="34" t="str">
        <f>IFERROR(VLOOKUP(G142,Basic_Data!$E$2:$I$9,5,0),"")</f>
        <v/>
      </c>
      <c r="I142" s="34">
        <v>0</v>
      </c>
      <c r="J142" s="34">
        <v>0</v>
      </c>
      <c r="K142" s="37">
        <v>0</v>
      </c>
      <c r="L142" s="37">
        <v>0</v>
      </c>
      <c r="M142" s="34">
        <f t="shared" ref="M142" si="78">IFERROR(I142-J142,"")</f>
        <v>0</v>
      </c>
      <c r="N142" s="34" t="s">
        <v>229</v>
      </c>
    </row>
    <row r="143" spans="1:14" ht="15">
      <c r="A143" s="18">
        <v>45873</v>
      </c>
      <c r="B143" s="19">
        <v>45873</v>
      </c>
      <c r="C143" s="34">
        <v>0</v>
      </c>
      <c r="D143" s="34">
        <v>0</v>
      </c>
      <c r="E143" s="34">
        <v>0</v>
      </c>
      <c r="F143" s="34">
        <v>0</v>
      </c>
      <c r="G143" s="34"/>
      <c r="H143" s="34" t="str">
        <f>IFERROR(VLOOKUP(G143,Basic_Data!$E$2:$I$9,5,0),"")</f>
        <v/>
      </c>
      <c r="I143" s="34">
        <v>0</v>
      </c>
      <c r="J143" s="34">
        <v>0</v>
      </c>
      <c r="K143" s="37">
        <v>0</v>
      </c>
      <c r="L143" s="37">
        <v>0</v>
      </c>
      <c r="M143" s="34">
        <f t="shared" ref="M143" si="79">IFERROR(I143-J143,"")</f>
        <v>0</v>
      </c>
      <c r="N143" s="34" t="s">
        <v>229</v>
      </c>
    </row>
    <row r="144" spans="1:14" ht="15">
      <c r="A144" s="18">
        <v>45874</v>
      </c>
      <c r="B144" s="19">
        <v>45874</v>
      </c>
      <c r="C144" s="34">
        <v>0</v>
      </c>
      <c r="D144" s="34">
        <v>0</v>
      </c>
      <c r="E144" s="34">
        <v>0</v>
      </c>
      <c r="F144" s="34">
        <v>0</v>
      </c>
      <c r="G144" s="34"/>
      <c r="H144" s="34" t="str">
        <f>IFERROR(VLOOKUP(G144,Basic_Data!$E$2:$I$9,5,0),"")</f>
        <v/>
      </c>
      <c r="I144" s="34">
        <v>0</v>
      </c>
      <c r="J144" s="34">
        <v>0</v>
      </c>
      <c r="K144" s="37">
        <v>0</v>
      </c>
      <c r="L144" s="37">
        <v>0</v>
      </c>
      <c r="M144" s="34">
        <f t="shared" ref="M144" si="80">IFERROR(I144-J144,"")</f>
        <v>0</v>
      </c>
      <c r="N144" s="34" t="s">
        <v>229</v>
      </c>
    </row>
    <row r="145" spans="1:14" ht="15">
      <c r="A145" s="18">
        <v>45875</v>
      </c>
      <c r="B145" s="19">
        <v>45875</v>
      </c>
      <c r="C145" s="34">
        <v>0</v>
      </c>
      <c r="D145" s="34">
        <v>0</v>
      </c>
      <c r="E145" s="34">
        <v>0</v>
      </c>
      <c r="F145" s="34">
        <v>0</v>
      </c>
      <c r="G145" s="34"/>
      <c r="H145" s="34" t="str">
        <f>IFERROR(VLOOKUP(G145,Basic_Data!$E$2:$I$9,5,0),"")</f>
        <v/>
      </c>
      <c r="I145" s="34">
        <v>0</v>
      </c>
      <c r="J145" s="34">
        <v>0</v>
      </c>
      <c r="K145" s="37">
        <v>0</v>
      </c>
      <c r="L145" s="37">
        <v>0</v>
      </c>
      <c r="M145" s="34">
        <f t="shared" ref="M145" si="81">IFERROR(I145-J145,"")</f>
        <v>0</v>
      </c>
      <c r="N145" s="34" t="s">
        <v>229</v>
      </c>
    </row>
    <row r="146" spans="1:14" ht="15">
      <c r="A146" s="18">
        <v>45876</v>
      </c>
      <c r="B146" s="19">
        <v>45876</v>
      </c>
      <c r="C146" s="34">
        <v>0</v>
      </c>
      <c r="D146" s="34">
        <v>0</v>
      </c>
      <c r="E146" s="34">
        <v>0</v>
      </c>
      <c r="F146" s="34">
        <v>0</v>
      </c>
      <c r="G146" s="34"/>
      <c r="H146" s="34" t="str">
        <f>IFERROR(VLOOKUP(G146,Basic_Data!$E$2:$I$9,5,0),"")</f>
        <v/>
      </c>
      <c r="I146" s="34">
        <v>0</v>
      </c>
      <c r="J146" s="34">
        <v>0</v>
      </c>
      <c r="K146" s="37">
        <v>0</v>
      </c>
      <c r="L146" s="37">
        <v>0</v>
      </c>
      <c r="M146" s="34">
        <f t="shared" ref="M146" si="82">IFERROR(I146-J146,"")</f>
        <v>0</v>
      </c>
      <c r="N146" s="34" t="s">
        <v>229</v>
      </c>
    </row>
    <row r="147" spans="1:14" ht="15">
      <c r="A147" s="18">
        <v>45877</v>
      </c>
      <c r="B147" s="19">
        <v>45877</v>
      </c>
      <c r="C147" s="34">
        <v>0</v>
      </c>
      <c r="D147" s="34">
        <v>0</v>
      </c>
      <c r="E147" s="34">
        <v>0</v>
      </c>
      <c r="F147" s="34">
        <v>0</v>
      </c>
      <c r="G147" s="34"/>
      <c r="H147" s="34" t="str">
        <f>IFERROR(VLOOKUP(G147,Basic_Data!$E$2:$I$9,5,0),"")</f>
        <v/>
      </c>
      <c r="I147" s="34">
        <v>0</v>
      </c>
      <c r="J147" s="34">
        <v>0</v>
      </c>
      <c r="K147" s="37">
        <v>0</v>
      </c>
      <c r="L147" s="37">
        <v>0</v>
      </c>
      <c r="M147" s="34">
        <f t="shared" ref="M147:M148" si="83">IFERROR(I147-J147,"")</f>
        <v>0</v>
      </c>
      <c r="N147" s="34" t="s">
        <v>229</v>
      </c>
    </row>
    <row r="148" spans="1:14" ht="15">
      <c r="A148" s="18">
        <v>45878</v>
      </c>
      <c r="B148" s="19">
        <v>45878</v>
      </c>
      <c r="C148" s="32">
        <v>0</v>
      </c>
      <c r="D148" s="32">
        <v>0</v>
      </c>
      <c r="E148" s="32">
        <v>0</v>
      </c>
      <c r="F148" s="32">
        <v>0</v>
      </c>
      <c r="G148" s="32"/>
      <c r="H148" s="32" t="str">
        <f>IFERROR(VLOOKUP(G148,Basic_Data!$E$2:$I$9,5,0),"")</f>
        <v/>
      </c>
      <c r="I148" s="32">
        <v>0</v>
      </c>
      <c r="J148" s="32">
        <v>0</v>
      </c>
      <c r="K148" s="33">
        <v>0</v>
      </c>
      <c r="L148" s="33">
        <v>0</v>
      </c>
      <c r="M148" s="32">
        <f t="shared" si="83"/>
        <v>0</v>
      </c>
      <c r="N148" s="32" t="s">
        <v>230</v>
      </c>
    </row>
    <row r="149" spans="1:14" ht="15">
      <c r="A149" s="18">
        <v>45879</v>
      </c>
      <c r="B149" s="19">
        <v>45879</v>
      </c>
      <c r="C149" s="34">
        <v>0</v>
      </c>
      <c r="D149" s="34">
        <v>0</v>
      </c>
      <c r="E149" s="34">
        <v>0</v>
      </c>
      <c r="F149" s="34">
        <v>0</v>
      </c>
      <c r="G149" s="34"/>
      <c r="H149" s="34" t="str">
        <f>IFERROR(VLOOKUP(G149,Basic_Data!$E$2:$I$9,5,0),"")</f>
        <v/>
      </c>
      <c r="I149" s="34">
        <v>0</v>
      </c>
      <c r="J149" s="34">
        <v>0</v>
      </c>
      <c r="K149" s="37">
        <v>0</v>
      </c>
      <c r="L149" s="37">
        <v>0</v>
      </c>
      <c r="M149" s="34">
        <f t="shared" ref="M149" si="84">IFERROR(I149-J149,"")</f>
        <v>0</v>
      </c>
      <c r="N149" s="34" t="s">
        <v>229</v>
      </c>
    </row>
    <row r="150" spans="1:14" ht="15">
      <c r="A150" s="18">
        <v>45880</v>
      </c>
      <c r="B150" s="19">
        <v>45880</v>
      </c>
      <c r="C150" s="32">
        <v>0</v>
      </c>
      <c r="D150" s="32">
        <v>0</v>
      </c>
      <c r="E150" s="32">
        <v>0</v>
      </c>
      <c r="F150" s="32">
        <v>0</v>
      </c>
      <c r="G150" s="32"/>
      <c r="H150" s="32" t="str">
        <f>IFERROR(VLOOKUP(G150,Basic_Data!$E$2:$I$9,5,0),"")</f>
        <v/>
      </c>
      <c r="I150" s="32">
        <v>0</v>
      </c>
      <c r="J150" s="32">
        <v>0</v>
      </c>
      <c r="K150" s="33">
        <v>0</v>
      </c>
      <c r="L150" s="33">
        <v>0</v>
      </c>
      <c r="M150" s="32">
        <f t="shared" ref="M150:M151" si="85">IFERROR(I150-J150,"")</f>
        <v>0</v>
      </c>
      <c r="N150" s="32" t="s">
        <v>230</v>
      </c>
    </row>
    <row r="151" spans="1:14" ht="15">
      <c r="A151" s="18">
        <v>45881</v>
      </c>
      <c r="B151" s="19">
        <v>45881</v>
      </c>
      <c r="C151" s="21"/>
      <c r="D151" s="34">
        <v>0</v>
      </c>
      <c r="E151" s="34">
        <v>0</v>
      </c>
      <c r="F151" s="34">
        <v>0</v>
      </c>
      <c r="G151" s="34"/>
      <c r="H151" s="34" t="str">
        <f>IFERROR(VLOOKUP(G151,Basic_Data!$E$2:$I$9,5,0),"")</f>
        <v/>
      </c>
      <c r="I151" s="34">
        <v>0</v>
      </c>
      <c r="J151" s="34">
        <v>0</v>
      </c>
      <c r="K151" s="37">
        <v>0</v>
      </c>
      <c r="L151" s="37">
        <v>0</v>
      </c>
      <c r="M151" s="34">
        <f t="shared" si="85"/>
        <v>0</v>
      </c>
      <c r="N151" s="34" t="s">
        <v>229</v>
      </c>
    </row>
    <row r="152" spans="1:14" ht="15">
      <c r="A152" s="18">
        <v>45882</v>
      </c>
      <c r="B152" s="19">
        <v>45882</v>
      </c>
      <c r="C152" s="21"/>
      <c r="D152" s="32">
        <v>0</v>
      </c>
      <c r="E152" s="32">
        <v>0</v>
      </c>
      <c r="F152" s="32">
        <v>0</v>
      </c>
      <c r="G152" s="32"/>
      <c r="H152" s="32" t="str">
        <f>IFERROR(VLOOKUP(G152,Basic_Data!$E$2:$I$9,5,0),"")</f>
        <v/>
      </c>
      <c r="I152" s="32">
        <v>0</v>
      </c>
      <c r="J152" s="32">
        <v>0</v>
      </c>
      <c r="K152" s="33">
        <v>0</v>
      </c>
      <c r="L152" s="33">
        <v>0</v>
      </c>
      <c r="M152" s="32">
        <f t="shared" ref="M152" si="86">IFERROR(I152-J152,"")</f>
        <v>0</v>
      </c>
      <c r="N152" s="32" t="s">
        <v>230</v>
      </c>
    </row>
    <row r="153" spans="1:14" ht="15">
      <c r="A153" s="18">
        <v>45883</v>
      </c>
      <c r="B153" s="19">
        <v>45883</v>
      </c>
      <c r="C153" s="21"/>
      <c r="D153" s="32">
        <v>0</v>
      </c>
      <c r="E153" s="32">
        <v>0</v>
      </c>
      <c r="F153" s="32">
        <v>0</v>
      </c>
      <c r="G153" s="32"/>
      <c r="H153" s="32" t="str">
        <f>IFERROR(VLOOKUP(G153,Basic_Data!$E$2:$I$9,5,0),"")</f>
        <v/>
      </c>
      <c r="I153" s="32">
        <v>0</v>
      </c>
      <c r="J153" s="32">
        <v>0</v>
      </c>
      <c r="K153" s="33">
        <v>0</v>
      </c>
      <c r="L153" s="33">
        <v>0</v>
      </c>
      <c r="M153" s="32">
        <f t="shared" ref="M153:M154" si="87">IFERROR(I153-J153,"")</f>
        <v>0</v>
      </c>
      <c r="N153" s="32" t="s">
        <v>230</v>
      </c>
    </row>
    <row r="154" spans="1:14" ht="15">
      <c r="A154" s="18">
        <v>45884</v>
      </c>
      <c r="B154" s="19">
        <v>45884</v>
      </c>
      <c r="C154" s="21"/>
      <c r="D154" s="34">
        <v>0</v>
      </c>
      <c r="E154" s="34">
        <v>0</v>
      </c>
      <c r="F154" s="34">
        <v>0</v>
      </c>
      <c r="G154" s="34"/>
      <c r="H154" s="34" t="str">
        <f>IFERROR(VLOOKUP(G154,Basic_Data!$E$2:$I$9,5,0),"")</f>
        <v/>
      </c>
      <c r="I154" s="34">
        <v>0</v>
      </c>
      <c r="J154" s="34">
        <v>0</v>
      </c>
      <c r="K154" s="37">
        <v>0</v>
      </c>
      <c r="L154" s="37">
        <v>0</v>
      </c>
      <c r="M154" s="34">
        <f t="shared" si="87"/>
        <v>0</v>
      </c>
      <c r="N154" s="34" t="s">
        <v>229</v>
      </c>
    </row>
    <row r="155" spans="1:14" ht="15">
      <c r="A155" s="18">
        <v>45885</v>
      </c>
      <c r="B155" s="19">
        <v>45885</v>
      </c>
      <c r="C155" s="21"/>
      <c r="D155" s="32">
        <v>0</v>
      </c>
      <c r="E155" s="32">
        <v>0</v>
      </c>
      <c r="F155" s="32">
        <v>0</v>
      </c>
      <c r="G155" s="32"/>
      <c r="H155" s="32" t="str">
        <f>IFERROR(VLOOKUP(G155,Basic_Data!$E$2:$I$9,5,0),"")</f>
        <v/>
      </c>
      <c r="I155" s="32">
        <v>0</v>
      </c>
      <c r="J155" s="32">
        <v>0</v>
      </c>
      <c r="K155" s="33">
        <v>0</v>
      </c>
      <c r="L155" s="33">
        <v>0</v>
      </c>
      <c r="M155" s="32">
        <f t="shared" ref="M155" si="88">IFERROR(I155-J155,"")</f>
        <v>0</v>
      </c>
      <c r="N155" s="32" t="s">
        <v>230</v>
      </c>
    </row>
    <row r="156" spans="1:14" ht="15">
      <c r="A156" s="18">
        <v>45886</v>
      </c>
      <c r="B156" s="19">
        <v>45886</v>
      </c>
      <c r="C156" s="21"/>
      <c r="D156" s="32">
        <v>0</v>
      </c>
      <c r="E156" s="32">
        <v>0</v>
      </c>
      <c r="F156" s="32">
        <v>0</v>
      </c>
      <c r="G156" s="32"/>
      <c r="H156" s="32" t="str">
        <f>IFERROR(VLOOKUP(G156,Basic_Data!$E$2:$I$9,5,0),"")</f>
        <v/>
      </c>
      <c r="I156" s="32">
        <v>0</v>
      </c>
      <c r="J156" s="32">
        <v>0</v>
      </c>
      <c r="K156" s="33">
        <v>0</v>
      </c>
      <c r="L156" s="33">
        <v>0</v>
      </c>
      <c r="M156" s="32">
        <f t="shared" ref="M156" si="89">IFERROR(I156-J156,"")</f>
        <v>0</v>
      </c>
      <c r="N156" s="32" t="s">
        <v>230</v>
      </c>
    </row>
    <row r="157" spans="1:14" ht="15">
      <c r="A157" s="18">
        <v>45887</v>
      </c>
      <c r="B157" s="19">
        <v>45887</v>
      </c>
      <c r="C157" s="21"/>
      <c r="D157" s="32">
        <v>0</v>
      </c>
      <c r="E157" s="32">
        <v>0</v>
      </c>
      <c r="F157" s="32">
        <v>0</v>
      </c>
      <c r="G157" s="32"/>
      <c r="H157" s="32" t="str">
        <f>IFERROR(VLOOKUP(G157,Basic_Data!$E$2:$I$9,5,0),"")</f>
        <v/>
      </c>
      <c r="I157" s="32">
        <v>0</v>
      </c>
      <c r="J157" s="32">
        <v>0</v>
      </c>
      <c r="K157" s="33">
        <v>0</v>
      </c>
      <c r="L157" s="33">
        <v>0</v>
      </c>
      <c r="M157" s="32">
        <f t="shared" ref="M157" si="90">IFERROR(I157-J157,"")</f>
        <v>0</v>
      </c>
      <c r="N157" s="32" t="s">
        <v>230</v>
      </c>
    </row>
    <row r="158" spans="1:14" ht="15">
      <c r="A158" s="18">
        <v>45888</v>
      </c>
      <c r="B158" s="19">
        <v>45888</v>
      </c>
      <c r="C158" s="21"/>
      <c r="D158" s="21"/>
      <c r="E158" s="21"/>
      <c r="F158" s="21"/>
      <c r="G158" s="21"/>
      <c r="H158" s="21" t="str">
        <f>IFERROR(VLOOKUP(G158,Basic_Data!$E$2:$I$9,5,0),"")</f>
        <v/>
      </c>
      <c r="I158" s="21" t="str">
        <f>IFERROR(VLOOKUP($G158,Basic_Data!$E$2:$H$10,4,0),"")</f>
        <v/>
      </c>
      <c r="J158" s="21"/>
      <c r="K158" s="31" t="str">
        <f>IFERROR(VLOOKUP($B158-1,Inverter_PR!$B:$I,Module_Cleaning!H158,0),"")</f>
        <v/>
      </c>
      <c r="L158" s="31" t="str">
        <f>IFERROR(VLOOKUP($B158+1,Inverter_PR!$B:$I,Module_Cleaning!H158,0),"")</f>
        <v/>
      </c>
      <c r="M158" s="21" t="str">
        <f t="shared" ref="M158:M193" si="91">IFERROR(I158-J158,"")</f>
        <v/>
      </c>
      <c r="N158" s="21"/>
    </row>
    <row r="159" spans="1:14" ht="15">
      <c r="A159" s="18">
        <v>45889</v>
      </c>
      <c r="B159" s="19">
        <v>45889</v>
      </c>
      <c r="C159" s="21"/>
      <c r="D159" s="21"/>
      <c r="E159" s="21"/>
      <c r="F159" s="21"/>
      <c r="G159" s="21"/>
      <c r="H159" s="21" t="str">
        <f>IFERROR(VLOOKUP(G159,Basic_Data!$E$2:$I$9,5,0),"")</f>
        <v/>
      </c>
      <c r="I159" s="21" t="str">
        <f>IFERROR(VLOOKUP($G159,Basic_Data!$E$2:$H$10,4,0),"")</f>
        <v/>
      </c>
      <c r="J159" s="21"/>
      <c r="K159" s="31" t="str">
        <f>IFERROR(VLOOKUP($B159-1,Inverter_PR!$B:$I,Module_Cleaning!H159,0),"")</f>
        <v/>
      </c>
      <c r="L159" s="31" t="str">
        <f>IFERROR(VLOOKUP($B159+1,Inverter_PR!$B:$I,Module_Cleaning!H159,0),"")</f>
        <v/>
      </c>
      <c r="M159" s="21" t="str">
        <f t="shared" si="91"/>
        <v/>
      </c>
      <c r="N159" s="21"/>
    </row>
    <row r="160" spans="1:14" ht="15">
      <c r="A160" s="18">
        <v>45890</v>
      </c>
      <c r="B160" s="19">
        <v>45890</v>
      </c>
      <c r="C160" s="21"/>
      <c r="D160" s="21"/>
      <c r="E160" s="21"/>
      <c r="F160" s="21"/>
      <c r="G160" s="21"/>
      <c r="H160" s="21" t="str">
        <f>IFERROR(VLOOKUP(G160,Basic_Data!$E$2:$I$9,5,0),"")</f>
        <v/>
      </c>
      <c r="I160" s="21" t="str">
        <f>IFERROR(VLOOKUP($G160,Basic_Data!$E$2:$H$10,4,0),"")</f>
        <v/>
      </c>
      <c r="J160" s="21"/>
      <c r="K160" s="31" t="str">
        <f>IFERROR(VLOOKUP($B160-1,Inverter_PR!$B:$I,Module_Cleaning!H160,0),"")</f>
        <v/>
      </c>
      <c r="L160" s="31" t="str">
        <f>IFERROR(VLOOKUP($B160+1,Inverter_PR!$B:$I,Module_Cleaning!H160,0),"")</f>
        <v/>
      </c>
      <c r="M160" s="21" t="str">
        <f t="shared" si="91"/>
        <v/>
      </c>
      <c r="N160" s="21"/>
    </row>
    <row r="161" spans="1:14" ht="15">
      <c r="A161" s="18">
        <v>45891</v>
      </c>
      <c r="B161" s="19">
        <v>45891</v>
      </c>
      <c r="C161" s="21"/>
      <c r="D161" s="21"/>
      <c r="E161" s="21"/>
      <c r="F161" s="21"/>
      <c r="G161" s="21"/>
      <c r="H161" s="21" t="str">
        <f>IFERROR(VLOOKUP(G161,Basic_Data!$E$2:$I$9,5,0),"")</f>
        <v/>
      </c>
      <c r="I161" s="21" t="str">
        <f>IFERROR(VLOOKUP($G161,Basic_Data!$E$2:$H$10,4,0),"")</f>
        <v/>
      </c>
      <c r="J161" s="21"/>
      <c r="K161" s="31" t="str">
        <f>IFERROR(VLOOKUP($B161-1,Inverter_PR!$B:$I,Module_Cleaning!H161,0),"")</f>
        <v/>
      </c>
      <c r="L161" s="31" t="str">
        <f>IFERROR(VLOOKUP($B161+1,Inverter_PR!$B:$I,Module_Cleaning!H161,0),"")</f>
        <v/>
      </c>
      <c r="M161" s="21" t="str">
        <f t="shared" si="91"/>
        <v/>
      </c>
      <c r="N161" s="21"/>
    </row>
    <row r="162" spans="1:14" ht="15">
      <c r="A162" s="18">
        <v>45892</v>
      </c>
      <c r="B162" s="19">
        <v>45892</v>
      </c>
      <c r="C162" s="21"/>
      <c r="D162" s="21"/>
      <c r="E162" s="21"/>
      <c r="F162" s="21"/>
      <c r="G162" s="21"/>
      <c r="H162" s="21" t="str">
        <f>IFERROR(VLOOKUP(G162,Basic_Data!$E$2:$I$9,5,0),"")</f>
        <v/>
      </c>
      <c r="I162" s="21" t="str">
        <f>IFERROR(VLOOKUP($G162,Basic_Data!$E$2:$H$10,4,0),"")</f>
        <v/>
      </c>
      <c r="J162" s="21"/>
      <c r="K162" s="31" t="str">
        <f>IFERROR(VLOOKUP($B162-1,Inverter_PR!$B:$I,Module_Cleaning!H162,0),"")</f>
        <v/>
      </c>
      <c r="L162" s="31" t="str">
        <f>IFERROR(VLOOKUP($B162+1,Inverter_PR!$B:$I,Module_Cleaning!H162,0),"")</f>
        <v/>
      </c>
      <c r="M162" s="21" t="str">
        <f t="shared" si="91"/>
        <v/>
      </c>
      <c r="N162" s="21"/>
    </row>
    <row r="163" spans="1:14" ht="15">
      <c r="A163" s="18">
        <v>45893</v>
      </c>
      <c r="B163" s="19">
        <v>45893</v>
      </c>
      <c r="C163" s="21"/>
      <c r="D163" s="21"/>
      <c r="E163" s="21"/>
      <c r="F163" s="21"/>
      <c r="G163" s="21"/>
      <c r="H163" s="21" t="str">
        <f>IFERROR(VLOOKUP(G163,Basic_Data!$E$2:$I$9,5,0),"")</f>
        <v/>
      </c>
      <c r="I163" s="21" t="str">
        <f>IFERROR(VLOOKUP($G163,Basic_Data!$E$2:$H$10,4,0),"")</f>
        <v/>
      </c>
      <c r="J163" s="21"/>
      <c r="K163" s="31" t="str">
        <f>IFERROR(VLOOKUP($B163-1,Inverter_PR!$B:$I,Module_Cleaning!H163,0),"")</f>
        <v/>
      </c>
      <c r="L163" s="31" t="str">
        <f>IFERROR(VLOOKUP($B163+1,Inverter_PR!$B:$I,Module_Cleaning!H163,0),"")</f>
        <v/>
      </c>
      <c r="M163" s="21" t="str">
        <f t="shared" si="91"/>
        <v/>
      </c>
      <c r="N163" s="21"/>
    </row>
    <row r="164" spans="1:14" ht="15">
      <c r="A164" s="18">
        <v>45894</v>
      </c>
      <c r="B164" s="19">
        <v>45894</v>
      </c>
      <c r="C164" s="21"/>
      <c r="D164" s="21"/>
      <c r="E164" s="21"/>
      <c r="F164" s="21"/>
      <c r="G164" s="21"/>
      <c r="H164" s="21" t="str">
        <f>IFERROR(VLOOKUP(G164,Basic_Data!$E$2:$I$9,5,0),"")</f>
        <v/>
      </c>
      <c r="I164" s="21" t="str">
        <f>IFERROR(VLOOKUP($G164,Basic_Data!$E$2:$H$10,4,0),"")</f>
        <v/>
      </c>
      <c r="J164" s="21"/>
      <c r="K164" s="31" t="str">
        <f>IFERROR(VLOOKUP($B164-1,Inverter_PR!$B:$I,Module_Cleaning!H164,0),"")</f>
        <v/>
      </c>
      <c r="L164" s="31" t="str">
        <f>IFERROR(VLOOKUP($B164+1,Inverter_PR!$B:$I,Module_Cleaning!H164,0),"")</f>
        <v/>
      </c>
      <c r="M164" s="21" t="str">
        <f t="shared" si="91"/>
        <v/>
      </c>
      <c r="N164" s="21"/>
    </row>
    <row r="165" spans="1:14" ht="15">
      <c r="A165" s="18">
        <v>45895</v>
      </c>
      <c r="B165" s="19">
        <v>45895</v>
      </c>
      <c r="C165" s="21"/>
      <c r="D165" s="21"/>
      <c r="E165" s="21"/>
      <c r="F165" s="21"/>
      <c r="G165" s="21"/>
      <c r="H165" s="21" t="str">
        <f>IFERROR(VLOOKUP(G165,Basic_Data!$E$2:$I$9,5,0),"")</f>
        <v/>
      </c>
      <c r="I165" s="21" t="str">
        <f>IFERROR(VLOOKUP($G165,Basic_Data!$E$2:$H$10,4,0),"")</f>
        <v/>
      </c>
      <c r="J165" s="21"/>
      <c r="K165" s="31" t="str">
        <f>IFERROR(VLOOKUP($B165-1,Inverter_PR!$B:$I,Module_Cleaning!H165,0),"")</f>
        <v/>
      </c>
      <c r="L165" s="31" t="str">
        <f>IFERROR(VLOOKUP($B165+1,Inverter_PR!$B:$I,Module_Cleaning!H165,0),"")</f>
        <v/>
      </c>
      <c r="M165" s="21" t="str">
        <f t="shared" si="91"/>
        <v/>
      </c>
      <c r="N165" s="21"/>
    </row>
    <row r="166" spans="1:14" ht="15">
      <c r="A166" s="18">
        <v>45896</v>
      </c>
      <c r="B166" s="19">
        <v>45896</v>
      </c>
      <c r="C166" s="21"/>
      <c r="D166" s="21"/>
      <c r="E166" s="21"/>
      <c r="F166" s="21"/>
      <c r="G166" s="21"/>
      <c r="H166" s="21" t="str">
        <f>IFERROR(VLOOKUP(G166,Basic_Data!$E$2:$I$9,5,0),"")</f>
        <v/>
      </c>
      <c r="I166" s="21" t="str">
        <f>IFERROR(VLOOKUP($G166,Basic_Data!$E$2:$H$10,4,0),"")</f>
        <v/>
      </c>
      <c r="J166" s="21"/>
      <c r="K166" s="31" t="str">
        <f>IFERROR(VLOOKUP($B166-1,Inverter_PR!$B:$I,Module_Cleaning!H166,0),"")</f>
        <v/>
      </c>
      <c r="L166" s="31" t="str">
        <f>IFERROR(VLOOKUP($B166+1,Inverter_PR!$B:$I,Module_Cleaning!H166,0),"")</f>
        <v/>
      </c>
      <c r="M166" s="21" t="str">
        <f t="shared" si="91"/>
        <v/>
      </c>
      <c r="N166" s="21"/>
    </row>
    <row r="167" spans="1:14" ht="15">
      <c r="A167" s="18">
        <v>45897</v>
      </c>
      <c r="B167" s="19">
        <v>45897</v>
      </c>
      <c r="C167" s="21"/>
      <c r="D167" s="21"/>
      <c r="E167" s="21"/>
      <c r="F167" s="21"/>
      <c r="G167" s="21"/>
      <c r="H167" s="21" t="str">
        <f>IFERROR(VLOOKUP(G167,Basic_Data!$E$2:$I$9,5,0),"")</f>
        <v/>
      </c>
      <c r="I167" s="21" t="str">
        <f>IFERROR(VLOOKUP($G167,Basic_Data!$E$2:$H$10,4,0),"")</f>
        <v/>
      </c>
      <c r="J167" s="21"/>
      <c r="K167" s="31" t="str">
        <f>IFERROR(VLOOKUP($B167-1,Inverter_PR!$B:$I,Module_Cleaning!H167,0),"")</f>
        <v/>
      </c>
      <c r="L167" s="31" t="str">
        <f>IFERROR(VLOOKUP($B167+1,Inverter_PR!$B:$I,Module_Cleaning!H167,0),"")</f>
        <v/>
      </c>
      <c r="M167" s="21" t="str">
        <f t="shared" si="91"/>
        <v/>
      </c>
      <c r="N167" s="21"/>
    </row>
    <row r="168" spans="1:14" ht="15">
      <c r="A168" s="18">
        <v>45898</v>
      </c>
      <c r="B168" s="19">
        <v>45898</v>
      </c>
      <c r="C168" s="21"/>
      <c r="D168" s="21"/>
      <c r="E168" s="21"/>
      <c r="F168" s="21"/>
      <c r="G168" s="21"/>
      <c r="H168" s="21" t="str">
        <f>IFERROR(VLOOKUP(G168,Basic_Data!$E$2:$I$9,5,0),"")</f>
        <v/>
      </c>
      <c r="I168" s="21" t="str">
        <f>IFERROR(VLOOKUP($G168,Basic_Data!$E$2:$H$10,4,0),"")</f>
        <v/>
      </c>
      <c r="J168" s="21"/>
      <c r="K168" s="31" t="str">
        <f>IFERROR(VLOOKUP($B168-1,Inverter_PR!$B:$I,Module_Cleaning!H168,0),"")</f>
        <v/>
      </c>
      <c r="L168" s="31" t="str">
        <f>IFERROR(VLOOKUP($B168+1,Inverter_PR!$B:$I,Module_Cleaning!H168,0),"")</f>
        <v/>
      </c>
      <c r="M168" s="21" t="str">
        <f t="shared" si="91"/>
        <v/>
      </c>
      <c r="N168" s="21"/>
    </row>
    <row r="169" spans="1:14" ht="15">
      <c r="A169" s="18">
        <v>45899</v>
      </c>
      <c r="B169" s="19">
        <v>45899</v>
      </c>
      <c r="C169" s="21"/>
      <c r="D169" s="21"/>
      <c r="E169" s="21"/>
      <c r="F169" s="21"/>
      <c r="G169" s="21"/>
      <c r="H169" s="21" t="str">
        <f>IFERROR(VLOOKUP(G169,Basic_Data!$E$2:$I$9,5,0),"")</f>
        <v/>
      </c>
      <c r="I169" s="21" t="str">
        <f>IFERROR(VLOOKUP($G169,Basic_Data!$E$2:$H$10,4,0),"")</f>
        <v/>
      </c>
      <c r="J169" s="21"/>
      <c r="K169" s="31" t="str">
        <f>IFERROR(VLOOKUP($B169-1,Inverter_PR!$B:$I,Module_Cleaning!H169,0),"")</f>
        <v/>
      </c>
      <c r="L169" s="31" t="str">
        <f>IFERROR(VLOOKUP($B169+1,Inverter_PR!$B:$I,Module_Cleaning!H169,0),"")</f>
        <v/>
      </c>
      <c r="M169" s="21" t="str">
        <f t="shared" si="91"/>
        <v/>
      </c>
      <c r="N169" s="21"/>
    </row>
    <row r="170" spans="1:14" ht="15">
      <c r="A170" s="18">
        <v>45900</v>
      </c>
      <c r="B170" s="19">
        <v>45900</v>
      </c>
      <c r="C170" s="21"/>
      <c r="D170" s="21"/>
      <c r="E170" s="21"/>
      <c r="F170" s="21"/>
      <c r="G170" s="21"/>
      <c r="H170" s="21" t="str">
        <f>IFERROR(VLOOKUP(G170,Basic_Data!$E$2:$I$9,5,0),"")</f>
        <v/>
      </c>
      <c r="I170" s="21" t="str">
        <f>IFERROR(VLOOKUP($G170,Basic_Data!$E$2:$H$10,4,0),"")</f>
        <v/>
      </c>
      <c r="J170" s="21"/>
      <c r="K170" s="31" t="str">
        <f>IFERROR(VLOOKUP($B170-1,Inverter_PR!$B:$I,Module_Cleaning!H170,0),"")</f>
        <v/>
      </c>
      <c r="L170" s="31" t="str">
        <f>IFERROR(VLOOKUP($B170+1,Inverter_PR!$B:$I,Module_Cleaning!H170,0),"")</f>
        <v/>
      </c>
      <c r="M170" s="21" t="str">
        <f t="shared" si="91"/>
        <v/>
      </c>
      <c r="N170" s="21"/>
    </row>
    <row r="171" spans="1:14" ht="15">
      <c r="A171" s="18">
        <v>45901</v>
      </c>
      <c r="B171" s="19">
        <v>45901</v>
      </c>
      <c r="C171" s="21"/>
      <c r="D171" s="21"/>
      <c r="E171" s="21"/>
      <c r="F171" s="21"/>
      <c r="G171" s="21"/>
      <c r="H171" s="21" t="str">
        <f>IFERROR(VLOOKUP(G171,Basic_Data!$E$2:$I$9,5,0),"")</f>
        <v/>
      </c>
      <c r="I171" s="21" t="str">
        <f>IFERROR(VLOOKUP($G171,Basic_Data!$E$2:$H$10,4,0),"")</f>
        <v/>
      </c>
      <c r="J171" s="21"/>
      <c r="K171" s="31" t="str">
        <f>IFERROR(VLOOKUP($B171-1,Inverter_PR!$B:$I,Module_Cleaning!H171,0),"")</f>
        <v/>
      </c>
      <c r="L171" s="31" t="str">
        <f>IFERROR(VLOOKUP($B171+1,Inverter_PR!$B:$I,Module_Cleaning!H171,0),"")</f>
        <v/>
      </c>
      <c r="M171" s="21" t="str">
        <f t="shared" si="91"/>
        <v/>
      </c>
      <c r="N171" s="21"/>
    </row>
    <row r="172" spans="1:14" ht="15">
      <c r="A172" s="18">
        <v>45902</v>
      </c>
      <c r="B172" s="19">
        <v>45902</v>
      </c>
      <c r="C172" s="21"/>
      <c r="D172" s="21"/>
      <c r="E172" s="21"/>
      <c r="F172" s="21"/>
      <c r="G172" s="21"/>
      <c r="H172" s="21" t="str">
        <f>IFERROR(VLOOKUP(G172,Basic_Data!$E$2:$I$9,5,0),"")</f>
        <v/>
      </c>
      <c r="I172" s="21" t="str">
        <f>IFERROR(VLOOKUP($G172,Basic_Data!$E$2:$H$10,4,0),"")</f>
        <v/>
      </c>
      <c r="J172" s="21"/>
      <c r="K172" s="31" t="str">
        <f>IFERROR(VLOOKUP($B172-1,Inverter_PR!$B:$I,Module_Cleaning!H172,0),"")</f>
        <v/>
      </c>
      <c r="L172" s="31" t="str">
        <f>IFERROR(VLOOKUP($B172+1,Inverter_PR!$B:$I,Module_Cleaning!H172,0),"")</f>
        <v/>
      </c>
      <c r="M172" s="21" t="str">
        <f t="shared" si="91"/>
        <v/>
      </c>
      <c r="N172" s="21"/>
    </row>
    <row r="173" spans="1:14" ht="15">
      <c r="A173" s="18">
        <v>45903</v>
      </c>
      <c r="B173" s="19">
        <v>45903</v>
      </c>
      <c r="C173" s="21"/>
      <c r="D173" s="21"/>
      <c r="E173" s="21"/>
      <c r="F173" s="21"/>
      <c r="G173" s="21"/>
      <c r="H173" s="21" t="str">
        <f>IFERROR(VLOOKUP(G173,Basic_Data!$E$2:$I$9,5,0),"")</f>
        <v/>
      </c>
      <c r="I173" s="21" t="str">
        <f>IFERROR(VLOOKUP($G173,Basic_Data!$E$2:$H$10,4,0),"")</f>
        <v/>
      </c>
      <c r="J173" s="21"/>
      <c r="K173" s="31" t="str">
        <f>IFERROR(VLOOKUP($B173-1,Inverter_PR!$B:$I,Module_Cleaning!H173,0),"")</f>
        <v/>
      </c>
      <c r="L173" s="31" t="str">
        <f>IFERROR(VLOOKUP($B173+1,Inverter_PR!$B:$I,Module_Cleaning!H173,0),"")</f>
        <v/>
      </c>
      <c r="M173" s="21" t="str">
        <f t="shared" si="91"/>
        <v/>
      </c>
      <c r="N173" s="21"/>
    </row>
    <row r="174" spans="1:14" ht="15">
      <c r="A174" s="18">
        <v>45904</v>
      </c>
      <c r="B174" s="19">
        <v>45904</v>
      </c>
      <c r="C174" s="21"/>
      <c r="D174" s="21"/>
      <c r="E174" s="21"/>
      <c r="F174" s="21"/>
      <c r="G174" s="21"/>
      <c r="H174" s="21" t="str">
        <f>IFERROR(VLOOKUP(G174,Basic_Data!$E$2:$I$9,5,0),"")</f>
        <v/>
      </c>
      <c r="I174" s="21" t="str">
        <f>IFERROR(VLOOKUP($G174,Basic_Data!$E$2:$H$10,4,0),"")</f>
        <v/>
      </c>
      <c r="J174" s="21"/>
      <c r="K174" s="31" t="str">
        <f>IFERROR(VLOOKUP($B174-1,Inverter_PR!$B:$I,Module_Cleaning!H174,0),"")</f>
        <v/>
      </c>
      <c r="L174" s="31" t="str">
        <f>IFERROR(VLOOKUP($B174+1,Inverter_PR!$B:$I,Module_Cleaning!H174,0),"")</f>
        <v/>
      </c>
      <c r="M174" s="21" t="str">
        <f t="shared" si="91"/>
        <v/>
      </c>
      <c r="N174" s="21"/>
    </row>
    <row r="175" spans="1:14" ht="15">
      <c r="A175" s="18">
        <v>45905</v>
      </c>
      <c r="B175" s="19">
        <v>45905</v>
      </c>
      <c r="C175" s="21"/>
      <c r="D175" s="21"/>
      <c r="E175" s="21"/>
      <c r="F175" s="21"/>
      <c r="G175" s="21"/>
      <c r="H175" s="21" t="str">
        <f>IFERROR(VLOOKUP(G175,Basic_Data!$E$2:$I$9,5,0),"")</f>
        <v/>
      </c>
      <c r="I175" s="21" t="str">
        <f>IFERROR(VLOOKUP($G175,Basic_Data!$E$2:$H$10,4,0),"")</f>
        <v/>
      </c>
      <c r="J175" s="21"/>
      <c r="K175" s="31" t="str">
        <f>IFERROR(VLOOKUP($B175-1,Inverter_PR!$B:$I,Module_Cleaning!H175,0),"")</f>
        <v/>
      </c>
      <c r="L175" s="31" t="str">
        <f>IFERROR(VLOOKUP($B175+1,Inverter_PR!$B:$I,Module_Cleaning!H175,0),"")</f>
        <v/>
      </c>
      <c r="M175" s="21" t="str">
        <f t="shared" si="91"/>
        <v/>
      </c>
      <c r="N175" s="21"/>
    </row>
    <row r="176" spans="1:14" ht="15">
      <c r="A176" s="18">
        <v>45906</v>
      </c>
      <c r="B176" s="19">
        <v>45906</v>
      </c>
      <c r="C176" s="21"/>
      <c r="D176" s="21"/>
      <c r="E176" s="21"/>
      <c r="F176" s="21"/>
      <c r="G176" s="21"/>
      <c r="H176" s="21" t="str">
        <f>IFERROR(VLOOKUP(G176,Basic_Data!$E$2:$I$9,5,0),"")</f>
        <v/>
      </c>
      <c r="I176" s="21" t="str">
        <f>IFERROR(VLOOKUP($G176,Basic_Data!$E$2:$H$10,4,0),"")</f>
        <v/>
      </c>
      <c r="J176" s="21"/>
      <c r="K176" s="31" t="str">
        <f>IFERROR(VLOOKUP($B176-1,Inverter_PR!$B:$I,Module_Cleaning!H176,0),"")</f>
        <v/>
      </c>
      <c r="L176" s="31" t="str">
        <f>IFERROR(VLOOKUP($B176+1,Inverter_PR!$B:$I,Module_Cleaning!H176,0),"")</f>
        <v/>
      </c>
      <c r="M176" s="21" t="str">
        <f t="shared" si="91"/>
        <v/>
      </c>
      <c r="N176" s="21"/>
    </row>
    <row r="177" spans="1:14" ht="15">
      <c r="A177" s="18">
        <v>45907</v>
      </c>
      <c r="B177" s="19">
        <v>45907</v>
      </c>
      <c r="C177" s="21"/>
      <c r="D177" s="21"/>
      <c r="E177" s="21"/>
      <c r="F177" s="21"/>
      <c r="G177" s="21"/>
      <c r="H177" s="21" t="str">
        <f>IFERROR(VLOOKUP(G177,Basic_Data!$E$2:$I$9,5,0),"")</f>
        <v/>
      </c>
      <c r="I177" s="21" t="str">
        <f>IFERROR(VLOOKUP($G177,Basic_Data!$E$2:$H$10,4,0),"")</f>
        <v/>
      </c>
      <c r="J177" s="21"/>
      <c r="K177" s="31" t="str">
        <f>IFERROR(VLOOKUP($B177-1,Inverter_PR!$B:$I,Module_Cleaning!H177,0),"")</f>
        <v/>
      </c>
      <c r="L177" s="31" t="str">
        <f>IFERROR(VLOOKUP($B177+1,Inverter_PR!$B:$I,Module_Cleaning!H177,0),"")</f>
        <v/>
      </c>
      <c r="M177" s="21" t="str">
        <f t="shared" si="91"/>
        <v/>
      </c>
      <c r="N177" s="21"/>
    </row>
    <row r="178" spans="1:14" ht="15">
      <c r="A178" s="18">
        <v>45908</v>
      </c>
      <c r="B178" s="19">
        <v>45908</v>
      </c>
      <c r="C178" s="21"/>
      <c r="D178" s="21"/>
      <c r="E178" s="21"/>
      <c r="F178" s="21"/>
      <c r="G178" s="21"/>
      <c r="H178" s="21" t="str">
        <f>IFERROR(VLOOKUP(G178,Basic_Data!$E$2:$I$9,5,0),"")</f>
        <v/>
      </c>
      <c r="I178" s="21" t="str">
        <f>IFERROR(VLOOKUP($G178,Basic_Data!$E$2:$H$10,4,0),"")</f>
        <v/>
      </c>
      <c r="J178" s="21"/>
      <c r="K178" s="31" t="str">
        <f>IFERROR(VLOOKUP($B178-1,Inverter_PR!$B:$I,Module_Cleaning!H178,0),"")</f>
        <v/>
      </c>
      <c r="L178" s="31" t="str">
        <f>IFERROR(VLOOKUP($B178+1,Inverter_PR!$B:$I,Module_Cleaning!H178,0),"")</f>
        <v/>
      </c>
      <c r="M178" s="21" t="str">
        <f t="shared" si="91"/>
        <v/>
      </c>
      <c r="N178" s="21"/>
    </row>
    <row r="179" spans="1:14" ht="15">
      <c r="A179" s="18">
        <v>45909</v>
      </c>
      <c r="B179" s="19">
        <v>45909</v>
      </c>
      <c r="C179" s="21"/>
      <c r="D179" s="21"/>
      <c r="E179" s="21"/>
      <c r="F179" s="21"/>
      <c r="G179" s="21"/>
      <c r="H179" s="21" t="str">
        <f>IFERROR(VLOOKUP(G179,Basic_Data!$E$2:$I$9,5,0),"")</f>
        <v/>
      </c>
      <c r="I179" s="21" t="str">
        <f>IFERROR(VLOOKUP($G179,Basic_Data!$E$2:$H$10,4,0),"")</f>
        <v/>
      </c>
      <c r="J179" s="21"/>
      <c r="K179" s="31" t="str">
        <f>IFERROR(VLOOKUP($B179-1,Inverter_PR!$B:$I,Module_Cleaning!H179,0),"")</f>
        <v/>
      </c>
      <c r="L179" s="31" t="str">
        <f>IFERROR(VLOOKUP($B179+1,Inverter_PR!$B:$I,Module_Cleaning!H179,0),"")</f>
        <v/>
      </c>
      <c r="M179" s="21" t="str">
        <f t="shared" si="91"/>
        <v/>
      </c>
      <c r="N179" s="21"/>
    </row>
    <row r="180" spans="1:14" ht="15">
      <c r="A180" s="18">
        <v>45910</v>
      </c>
      <c r="B180" s="19">
        <v>45910</v>
      </c>
      <c r="C180" s="21"/>
      <c r="D180" s="21"/>
      <c r="E180" s="21"/>
      <c r="F180" s="21"/>
      <c r="G180" s="21"/>
      <c r="H180" s="21" t="str">
        <f>IFERROR(VLOOKUP(G180,Basic_Data!$E$2:$I$9,5,0),"")</f>
        <v/>
      </c>
      <c r="I180" s="21" t="str">
        <f>IFERROR(VLOOKUP($G180,Basic_Data!$E$2:$H$10,4,0),"")</f>
        <v/>
      </c>
      <c r="J180" s="21"/>
      <c r="K180" s="31" t="str">
        <f>IFERROR(VLOOKUP($B180-1,Inverter_PR!$B:$I,Module_Cleaning!H180,0),"")</f>
        <v/>
      </c>
      <c r="L180" s="31" t="str">
        <f>IFERROR(VLOOKUP($B180+1,Inverter_PR!$B:$I,Module_Cleaning!H180,0),"")</f>
        <v/>
      </c>
      <c r="M180" s="21" t="str">
        <f t="shared" si="91"/>
        <v/>
      </c>
      <c r="N180" s="21"/>
    </row>
    <row r="181" spans="1:14" ht="15">
      <c r="A181" s="18">
        <v>45911</v>
      </c>
      <c r="B181" s="19">
        <v>45911</v>
      </c>
      <c r="C181" s="21"/>
      <c r="D181" s="21"/>
      <c r="E181" s="21"/>
      <c r="F181" s="21"/>
      <c r="G181" s="21"/>
      <c r="H181" s="21" t="str">
        <f>IFERROR(VLOOKUP(G181,Basic_Data!$E$2:$I$9,5,0),"")</f>
        <v/>
      </c>
      <c r="I181" s="21" t="str">
        <f>IFERROR(VLOOKUP($G181,Basic_Data!$E$2:$H$10,4,0),"")</f>
        <v/>
      </c>
      <c r="J181" s="21"/>
      <c r="K181" s="31" t="str">
        <f>IFERROR(VLOOKUP($B181-1,Inverter_PR!$B:$I,Module_Cleaning!H181,0),"")</f>
        <v/>
      </c>
      <c r="L181" s="31" t="str">
        <f>IFERROR(VLOOKUP($B181+1,Inverter_PR!$B:$I,Module_Cleaning!H181,0),"")</f>
        <v/>
      </c>
      <c r="M181" s="21" t="str">
        <f t="shared" si="91"/>
        <v/>
      </c>
      <c r="N181" s="21"/>
    </row>
    <row r="182" spans="1:14" ht="15">
      <c r="A182" s="18">
        <v>45912</v>
      </c>
      <c r="B182" s="19">
        <v>45912</v>
      </c>
      <c r="C182" s="21"/>
      <c r="D182" s="21"/>
      <c r="E182" s="21"/>
      <c r="F182" s="21"/>
      <c r="G182" s="21"/>
      <c r="H182" s="21" t="str">
        <f>IFERROR(VLOOKUP(G182,Basic_Data!$E$2:$I$9,5,0),"")</f>
        <v/>
      </c>
      <c r="I182" s="21" t="str">
        <f>IFERROR(VLOOKUP($G182,Basic_Data!$E$2:$H$10,4,0),"")</f>
        <v/>
      </c>
      <c r="J182" s="21"/>
      <c r="K182" s="31" t="str">
        <f>IFERROR(VLOOKUP($B182-1,Inverter_PR!$B:$I,Module_Cleaning!H182,0),"")</f>
        <v/>
      </c>
      <c r="L182" s="31" t="str">
        <f>IFERROR(VLOOKUP($B182+1,Inverter_PR!$B:$I,Module_Cleaning!H182,0),"")</f>
        <v/>
      </c>
      <c r="M182" s="21" t="str">
        <f t="shared" si="91"/>
        <v/>
      </c>
      <c r="N182" s="21"/>
    </row>
    <row r="183" spans="1:14" ht="15">
      <c r="A183" s="18">
        <v>45913</v>
      </c>
      <c r="B183" s="19">
        <v>45913</v>
      </c>
      <c r="C183" s="21"/>
      <c r="D183" s="21"/>
      <c r="E183" s="21"/>
      <c r="F183" s="21"/>
      <c r="G183" s="21"/>
      <c r="H183" s="21" t="str">
        <f>IFERROR(VLOOKUP(G183,Basic_Data!$E$2:$I$9,5,0),"")</f>
        <v/>
      </c>
      <c r="I183" s="21" t="str">
        <f>IFERROR(VLOOKUP($G183,Basic_Data!$E$2:$H$10,4,0),"")</f>
        <v/>
      </c>
      <c r="J183" s="21"/>
      <c r="K183" s="31" t="str">
        <f>IFERROR(VLOOKUP($B183-1,Inverter_PR!$B:$I,Module_Cleaning!H183,0),"")</f>
        <v/>
      </c>
      <c r="L183" s="31" t="str">
        <f>IFERROR(VLOOKUP($B183+1,Inverter_PR!$B:$I,Module_Cleaning!H183,0),"")</f>
        <v/>
      </c>
      <c r="M183" s="21" t="str">
        <f t="shared" si="91"/>
        <v/>
      </c>
      <c r="N183" s="21"/>
    </row>
    <row r="184" spans="1:14" ht="15">
      <c r="A184" s="18">
        <v>45914</v>
      </c>
      <c r="B184" s="19">
        <v>45914</v>
      </c>
      <c r="C184" s="21"/>
      <c r="D184" s="21"/>
      <c r="E184" s="21"/>
      <c r="F184" s="21"/>
      <c r="G184" s="21"/>
      <c r="H184" s="21" t="str">
        <f>IFERROR(VLOOKUP(G184,Basic_Data!$E$2:$I$9,5,0),"")</f>
        <v/>
      </c>
      <c r="I184" s="21" t="str">
        <f>IFERROR(VLOOKUP($G184,Basic_Data!$E$2:$H$10,4,0),"")</f>
        <v/>
      </c>
      <c r="J184" s="21"/>
      <c r="K184" s="31" t="str">
        <f>IFERROR(VLOOKUP($B184-1,Inverter_PR!$B:$I,Module_Cleaning!H184,0),"")</f>
        <v/>
      </c>
      <c r="L184" s="31" t="str">
        <f>IFERROR(VLOOKUP($B184+1,Inverter_PR!$B:$I,Module_Cleaning!H184,0),"")</f>
        <v/>
      </c>
      <c r="M184" s="21" t="str">
        <f t="shared" si="91"/>
        <v/>
      </c>
      <c r="N184" s="21"/>
    </row>
    <row r="185" spans="1:14" ht="15">
      <c r="A185" s="18">
        <v>45915</v>
      </c>
      <c r="B185" s="19">
        <v>45915</v>
      </c>
      <c r="C185" s="21"/>
      <c r="D185" s="21"/>
      <c r="E185" s="21"/>
      <c r="F185" s="21"/>
      <c r="G185" s="21"/>
      <c r="H185" s="21" t="str">
        <f>IFERROR(VLOOKUP(G185,Basic_Data!$E$2:$I$9,5,0),"")</f>
        <v/>
      </c>
      <c r="I185" s="21" t="str">
        <f>IFERROR(VLOOKUP($G185,Basic_Data!$E$2:$H$10,4,0),"")</f>
        <v/>
      </c>
      <c r="J185" s="21"/>
      <c r="K185" s="31" t="str">
        <f>IFERROR(VLOOKUP($B185-1,Inverter_PR!$B:$I,Module_Cleaning!H185,0),"")</f>
        <v/>
      </c>
      <c r="L185" s="31" t="str">
        <f>IFERROR(VLOOKUP($B185+1,Inverter_PR!$B:$I,Module_Cleaning!H185,0),"")</f>
        <v/>
      </c>
      <c r="M185" s="21" t="str">
        <f t="shared" si="91"/>
        <v/>
      </c>
      <c r="N185" s="21"/>
    </row>
    <row r="186" spans="1:14" ht="15">
      <c r="A186" s="18">
        <v>45916</v>
      </c>
      <c r="B186" s="19">
        <v>45916</v>
      </c>
      <c r="C186" s="21"/>
      <c r="D186" s="21"/>
      <c r="E186" s="21"/>
      <c r="F186" s="21"/>
      <c r="G186" s="21"/>
      <c r="H186" s="21" t="str">
        <f>IFERROR(VLOOKUP(G186,Basic_Data!$E$2:$I$9,5,0),"")</f>
        <v/>
      </c>
      <c r="I186" s="21" t="str">
        <f>IFERROR(VLOOKUP($G186,Basic_Data!$E$2:$H$10,4,0),"")</f>
        <v/>
      </c>
      <c r="J186" s="21"/>
      <c r="K186" s="31" t="str">
        <f>IFERROR(VLOOKUP($B186-1,Inverter_PR!$B:$I,Module_Cleaning!H186,0),"")</f>
        <v/>
      </c>
      <c r="L186" s="31" t="str">
        <f>IFERROR(VLOOKUP($B186+1,Inverter_PR!$B:$I,Module_Cleaning!H186,0),"")</f>
        <v/>
      </c>
      <c r="M186" s="21" t="str">
        <f t="shared" si="91"/>
        <v/>
      </c>
      <c r="N186" s="21"/>
    </row>
    <row r="187" spans="1:14" ht="15">
      <c r="A187" s="18">
        <v>45917</v>
      </c>
      <c r="B187" s="19">
        <v>45917</v>
      </c>
      <c r="C187" s="21"/>
      <c r="D187" s="21"/>
      <c r="E187" s="21"/>
      <c r="F187" s="21"/>
      <c r="G187" s="21"/>
      <c r="H187" s="21" t="str">
        <f>IFERROR(VLOOKUP(G187,Basic_Data!$E$2:$I$9,5,0),"")</f>
        <v/>
      </c>
      <c r="I187" s="21" t="str">
        <f>IFERROR(VLOOKUP($G187,Basic_Data!$E$2:$H$10,4,0),"")</f>
        <v/>
      </c>
      <c r="J187" s="21"/>
      <c r="K187" s="31" t="str">
        <f>IFERROR(VLOOKUP($B187-1,Inverter_PR!$B:$I,Module_Cleaning!H187,0),"")</f>
        <v/>
      </c>
      <c r="L187" s="31" t="str">
        <f>IFERROR(VLOOKUP($B187+1,Inverter_PR!$B:$I,Module_Cleaning!H187,0),"")</f>
        <v/>
      </c>
      <c r="M187" s="21" t="str">
        <f t="shared" si="91"/>
        <v/>
      </c>
      <c r="N187" s="21"/>
    </row>
    <row r="188" spans="1:14" ht="15">
      <c r="A188" s="18">
        <v>45918</v>
      </c>
      <c r="B188" s="19">
        <v>45918</v>
      </c>
      <c r="C188" s="21"/>
      <c r="D188" s="21"/>
      <c r="E188" s="21"/>
      <c r="F188" s="21"/>
      <c r="G188" s="21"/>
      <c r="H188" s="21" t="str">
        <f>IFERROR(VLOOKUP(G188,Basic_Data!$E$2:$I$9,5,0),"")</f>
        <v/>
      </c>
      <c r="I188" s="21" t="str">
        <f>IFERROR(VLOOKUP($G188,Basic_Data!$E$2:$H$10,4,0),"")</f>
        <v/>
      </c>
      <c r="J188" s="21"/>
      <c r="K188" s="31" t="str">
        <f>IFERROR(VLOOKUP($B188-1,Inverter_PR!$B:$I,Module_Cleaning!H188,0),"")</f>
        <v/>
      </c>
      <c r="L188" s="31" t="str">
        <f>IFERROR(VLOOKUP($B188+1,Inverter_PR!$B:$I,Module_Cleaning!H188,0),"")</f>
        <v/>
      </c>
      <c r="M188" s="21" t="str">
        <f t="shared" si="91"/>
        <v/>
      </c>
      <c r="N188" s="21"/>
    </row>
    <row r="189" spans="1:14" ht="15">
      <c r="A189" s="18">
        <v>45919</v>
      </c>
      <c r="B189" s="19">
        <v>45919</v>
      </c>
      <c r="C189" s="21"/>
      <c r="D189" s="21"/>
      <c r="E189" s="21"/>
      <c r="F189" s="21"/>
      <c r="G189" s="21"/>
      <c r="H189" s="21" t="str">
        <f>IFERROR(VLOOKUP(G189,Basic_Data!$E$2:$I$9,5,0),"")</f>
        <v/>
      </c>
      <c r="I189" s="21" t="str">
        <f>IFERROR(VLOOKUP($G189,Basic_Data!$E$2:$H$10,4,0),"")</f>
        <v/>
      </c>
      <c r="J189" s="21"/>
      <c r="K189" s="31" t="str">
        <f>IFERROR(VLOOKUP($B189-1,Inverter_PR!$B:$I,Module_Cleaning!H189,0),"")</f>
        <v/>
      </c>
      <c r="L189" s="31" t="str">
        <f>IFERROR(VLOOKUP($B189+1,Inverter_PR!$B:$I,Module_Cleaning!H189,0),"")</f>
        <v/>
      </c>
      <c r="M189" s="21" t="str">
        <f t="shared" si="91"/>
        <v/>
      </c>
      <c r="N189" s="21"/>
    </row>
    <row r="190" spans="1:14" ht="15">
      <c r="A190" s="18">
        <v>45920</v>
      </c>
      <c r="B190" s="19">
        <v>45920</v>
      </c>
      <c r="C190" s="21"/>
      <c r="D190" s="21"/>
      <c r="E190" s="21"/>
      <c r="F190" s="21"/>
      <c r="G190" s="21"/>
      <c r="H190" s="21" t="str">
        <f>IFERROR(VLOOKUP(G190,Basic_Data!$E$2:$I$9,5,0),"")</f>
        <v/>
      </c>
      <c r="I190" s="21" t="str">
        <f>IFERROR(VLOOKUP($G190,Basic_Data!$E$2:$H$10,4,0),"")</f>
        <v/>
      </c>
      <c r="J190" s="21"/>
      <c r="K190" s="31" t="str">
        <f>IFERROR(VLOOKUP($B190-1,Inverter_PR!$B:$I,Module_Cleaning!H190,0),"")</f>
        <v/>
      </c>
      <c r="L190" s="31" t="str">
        <f>IFERROR(VLOOKUP($B190+1,Inverter_PR!$B:$I,Module_Cleaning!H190,0),"")</f>
        <v/>
      </c>
      <c r="M190" s="21" t="str">
        <f t="shared" si="91"/>
        <v/>
      </c>
      <c r="N190" s="21"/>
    </row>
    <row r="191" spans="1:14" ht="15">
      <c r="A191" s="18">
        <v>45921</v>
      </c>
      <c r="B191" s="19">
        <v>45921</v>
      </c>
      <c r="C191" s="21"/>
      <c r="D191" s="21"/>
      <c r="E191" s="21"/>
      <c r="F191" s="21"/>
      <c r="G191" s="21"/>
      <c r="H191" s="21" t="str">
        <f>IFERROR(VLOOKUP(G191,Basic_Data!$E$2:$I$9,5,0),"")</f>
        <v/>
      </c>
      <c r="I191" s="21" t="str">
        <f>IFERROR(VLOOKUP($G191,Basic_Data!$E$2:$H$10,4,0),"")</f>
        <v/>
      </c>
      <c r="J191" s="21"/>
      <c r="K191" s="31" t="str">
        <f>IFERROR(VLOOKUP($B191-1,Inverter_PR!$B:$I,Module_Cleaning!H191,0),"")</f>
        <v/>
      </c>
      <c r="L191" s="31" t="str">
        <f>IFERROR(VLOOKUP($B191+1,Inverter_PR!$B:$I,Module_Cleaning!H191,0),"")</f>
        <v/>
      </c>
      <c r="M191" s="21" t="str">
        <f t="shared" si="91"/>
        <v/>
      </c>
      <c r="N191" s="21"/>
    </row>
    <row r="192" spans="1:14" ht="15">
      <c r="A192" s="18">
        <v>45922</v>
      </c>
      <c r="B192" s="19">
        <v>45922</v>
      </c>
      <c r="C192" s="21"/>
      <c r="D192" s="21"/>
      <c r="E192" s="21"/>
      <c r="F192" s="21"/>
      <c r="G192" s="21"/>
      <c r="H192" s="21" t="str">
        <f>IFERROR(VLOOKUP(G192,Basic_Data!$E$2:$I$9,5,0),"")</f>
        <v/>
      </c>
      <c r="I192" s="21" t="str">
        <f>IFERROR(VLOOKUP($G192,Basic_Data!$E$2:$H$10,4,0),"")</f>
        <v/>
      </c>
      <c r="J192" s="21"/>
      <c r="K192" s="31" t="str">
        <f>IFERROR(VLOOKUP($B192-1,Inverter_PR!$B:$I,Module_Cleaning!H192,0),"")</f>
        <v/>
      </c>
      <c r="L192" s="31" t="str">
        <f>IFERROR(VLOOKUP($B192+1,Inverter_PR!$B:$I,Module_Cleaning!H192,0),"")</f>
        <v/>
      </c>
      <c r="M192" s="21" t="str">
        <f t="shared" si="91"/>
        <v/>
      </c>
      <c r="N192" s="21"/>
    </row>
    <row r="193" spans="1:14" ht="15">
      <c r="A193" s="18">
        <v>45923</v>
      </c>
      <c r="B193" s="19">
        <v>45923</v>
      </c>
      <c r="C193" s="21">
        <v>0</v>
      </c>
      <c r="D193" s="21">
        <v>0</v>
      </c>
      <c r="E193" s="21">
        <v>0</v>
      </c>
      <c r="F193" s="21">
        <v>0</v>
      </c>
      <c r="G193" s="21"/>
      <c r="H193" s="21" t="str">
        <f>IFERROR(VLOOKUP(G193,Basic_Data!$E$2:$I$9,5,0),"")</f>
        <v/>
      </c>
      <c r="I193" s="21">
        <v>0</v>
      </c>
      <c r="J193" s="21">
        <v>0</v>
      </c>
      <c r="K193" s="31">
        <v>0</v>
      </c>
      <c r="L193" s="31">
        <v>0</v>
      </c>
      <c r="M193" s="21">
        <f t="shared" si="91"/>
        <v>0</v>
      </c>
      <c r="N193" s="21" t="s">
        <v>229</v>
      </c>
    </row>
    <row r="194" spans="1:14" ht="15">
      <c r="A194" s="18">
        <v>45924</v>
      </c>
      <c r="B194" s="19">
        <v>45924</v>
      </c>
      <c r="C194" s="21">
        <v>0</v>
      </c>
      <c r="D194" s="21">
        <v>0</v>
      </c>
      <c r="E194" s="21">
        <v>0</v>
      </c>
      <c r="F194" s="21">
        <v>0</v>
      </c>
      <c r="G194" s="21"/>
      <c r="H194" s="21" t="str">
        <f>IFERROR(VLOOKUP(G194,Basic_Data!$E$2:$I$9,5,0),"")</f>
        <v/>
      </c>
      <c r="I194" s="21">
        <v>0</v>
      </c>
      <c r="J194" s="21">
        <v>0</v>
      </c>
      <c r="K194" s="31">
        <v>0</v>
      </c>
      <c r="L194" s="31">
        <v>0</v>
      </c>
      <c r="M194" s="21">
        <f t="shared" ref="M194" si="92">IFERROR(I194-J194,"")</f>
        <v>0</v>
      </c>
      <c r="N194" s="21" t="s">
        <v>229</v>
      </c>
    </row>
    <row r="195" spans="1:14" ht="15">
      <c r="A195" s="18">
        <v>45925</v>
      </c>
      <c r="B195" s="19">
        <v>45925</v>
      </c>
      <c r="C195" s="21">
        <v>0</v>
      </c>
      <c r="D195" s="21">
        <v>0</v>
      </c>
      <c r="E195" s="21">
        <v>0</v>
      </c>
      <c r="F195" s="21">
        <v>0</v>
      </c>
      <c r="G195" s="21"/>
      <c r="H195" s="21" t="str">
        <f>IFERROR(VLOOKUP(G195,Basic_Data!$E$2:$I$9,5,0),"")</f>
        <v/>
      </c>
      <c r="I195" s="21">
        <v>0</v>
      </c>
      <c r="J195" s="21">
        <v>0</v>
      </c>
      <c r="K195" s="31">
        <v>0</v>
      </c>
      <c r="L195" s="31">
        <v>0</v>
      </c>
      <c r="M195" s="21">
        <f t="shared" ref="M195" si="93">IFERROR(I195-J195,"")</f>
        <v>0</v>
      </c>
      <c r="N195" s="21" t="s">
        <v>229</v>
      </c>
    </row>
    <row r="196" spans="1:14" ht="15">
      <c r="A196" s="18">
        <v>45926</v>
      </c>
      <c r="B196" s="19">
        <v>45926</v>
      </c>
      <c r="C196" s="21">
        <v>0</v>
      </c>
      <c r="D196" s="21">
        <v>0</v>
      </c>
      <c r="E196" s="21">
        <v>0</v>
      </c>
      <c r="F196" s="21">
        <v>0</v>
      </c>
      <c r="G196" s="21"/>
      <c r="H196" s="21" t="str">
        <f>IFERROR(VLOOKUP(G196,Basic_Data!$E$2:$I$9,5,0),"")</f>
        <v/>
      </c>
      <c r="I196" s="21">
        <v>0</v>
      </c>
      <c r="J196" s="21">
        <v>0</v>
      </c>
      <c r="K196" s="31">
        <v>0</v>
      </c>
      <c r="L196" s="31">
        <v>0</v>
      </c>
      <c r="M196" s="21">
        <f t="shared" ref="M196" si="94">IFERROR(I196-J196,"")</f>
        <v>0</v>
      </c>
      <c r="N196" s="21" t="s">
        <v>229</v>
      </c>
    </row>
    <row r="197" spans="1:14" ht="15">
      <c r="A197" s="18">
        <v>45927</v>
      </c>
      <c r="B197" s="19">
        <v>45927</v>
      </c>
      <c r="C197" s="21">
        <v>0</v>
      </c>
      <c r="D197" s="21">
        <v>0</v>
      </c>
      <c r="E197" s="21">
        <v>0</v>
      </c>
      <c r="F197" s="21">
        <v>0</v>
      </c>
      <c r="G197" s="21"/>
      <c r="H197" s="21" t="str">
        <f>IFERROR(VLOOKUP(G197,Basic_Data!$E$2:$I$9,5,0),"")</f>
        <v/>
      </c>
      <c r="I197" s="21">
        <v>0</v>
      </c>
      <c r="J197" s="21">
        <v>0</v>
      </c>
      <c r="K197" s="31">
        <v>0</v>
      </c>
      <c r="L197" s="31">
        <v>0</v>
      </c>
      <c r="M197" s="21">
        <f t="shared" ref="M197" si="95">IFERROR(I197-J197,"")</f>
        <v>0</v>
      </c>
      <c r="N197" s="21" t="s">
        <v>229</v>
      </c>
    </row>
    <row r="198" spans="1:14" ht="15">
      <c r="A198" s="18">
        <v>45928</v>
      </c>
      <c r="B198" s="19">
        <v>45928</v>
      </c>
      <c r="C198" s="21">
        <v>0</v>
      </c>
      <c r="D198" s="21">
        <v>0</v>
      </c>
      <c r="E198" s="21">
        <v>0</v>
      </c>
      <c r="F198" s="21">
        <v>0</v>
      </c>
      <c r="G198" s="21"/>
      <c r="H198" s="21" t="str">
        <f>IFERROR(VLOOKUP(G198,Basic_Data!$E$2:$I$9,5,0),"")</f>
        <v/>
      </c>
      <c r="I198" s="21">
        <v>0</v>
      </c>
      <c r="J198" s="21">
        <v>0</v>
      </c>
      <c r="K198" s="31">
        <v>0</v>
      </c>
      <c r="L198" s="31">
        <v>0</v>
      </c>
      <c r="M198" s="21">
        <f t="shared" ref="M198" si="96">IFERROR(I198-J198,"")</f>
        <v>0</v>
      </c>
      <c r="N198" s="21" t="s">
        <v>229</v>
      </c>
    </row>
    <row r="199" spans="1:14" ht="15">
      <c r="A199" s="18">
        <v>45929</v>
      </c>
      <c r="B199" s="19">
        <v>45929</v>
      </c>
      <c r="C199" s="32">
        <v>0</v>
      </c>
      <c r="D199" s="32">
        <v>0</v>
      </c>
      <c r="E199" s="32">
        <v>0</v>
      </c>
      <c r="F199" s="32">
        <v>0</v>
      </c>
      <c r="G199" s="32"/>
      <c r="H199" s="32" t="str">
        <f>IFERROR(VLOOKUP(G199,Basic_Data!$E$2:$I$9,5,0),"")</f>
        <v/>
      </c>
      <c r="I199" s="32">
        <v>0</v>
      </c>
      <c r="J199" s="32">
        <v>0</v>
      </c>
      <c r="K199" s="33">
        <v>0</v>
      </c>
      <c r="L199" s="33">
        <v>0</v>
      </c>
      <c r="M199" s="32">
        <f t="shared" ref="M199" si="97">IFERROR(I199-J199,"")</f>
        <v>0</v>
      </c>
      <c r="N199" s="32" t="s">
        <v>230</v>
      </c>
    </row>
    <row r="200" spans="1:14" ht="15">
      <c r="A200" s="18">
        <v>45930</v>
      </c>
      <c r="B200" s="19">
        <v>45930</v>
      </c>
      <c r="C200" s="32">
        <v>0</v>
      </c>
      <c r="D200" s="32">
        <v>0</v>
      </c>
      <c r="E200" s="32">
        <v>0</v>
      </c>
      <c r="F200" s="32">
        <v>0</v>
      </c>
      <c r="G200" s="32"/>
      <c r="H200" s="32" t="str">
        <f>IFERROR(VLOOKUP(G200,Basic_Data!$E$2:$I$9,5,0),"")</f>
        <v/>
      </c>
      <c r="I200" s="32">
        <v>0</v>
      </c>
      <c r="J200" s="32">
        <v>0</v>
      </c>
      <c r="K200" s="33">
        <v>0</v>
      </c>
      <c r="L200" s="33">
        <v>0</v>
      </c>
      <c r="M200" s="32">
        <f t="shared" ref="M200" si="98">IFERROR(I200-J200,"")</f>
        <v>0</v>
      </c>
      <c r="N200" s="32" t="s">
        <v>230</v>
      </c>
    </row>
    <row r="201" spans="1:14" ht="15">
      <c r="A201" s="18">
        <v>45931</v>
      </c>
      <c r="B201" s="19">
        <v>45931</v>
      </c>
      <c r="C201" s="32">
        <v>0</v>
      </c>
      <c r="D201" s="32">
        <v>0</v>
      </c>
      <c r="E201" s="32">
        <v>0</v>
      </c>
      <c r="F201" s="32">
        <v>0</v>
      </c>
      <c r="G201" s="32"/>
      <c r="H201" s="32" t="str">
        <f>IFERROR(VLOOKUP(G201,Basic_Data!$E$2:$I$9,5,0),"")</f>
        <v/>
      </c>
      <c r="I201" s="32">
        <v>0</v>
      </c>
      <c r="J201" s="32">
        <v>0</v>
      </c>
      <c r="K201" s="33">
        <v>0</v>
      </c>
      <c r="L201" s="33">
        <v>0</v>
      </c>
      <c r="M201" s="32">
        <f t="shared" ref="M201:M202" si="99">IFERROR(I201-J201,"")</f>
        <v>0</v>
      </c>
      <c r="N201" s="32" t="s">
        <v>230</v>
      </c>
    </row>
    <row r="202" spans="1:14" ht="15">
      <c r="A202" s="18">
        <v>45932</v>
      </c>
      <c r="B202" s="19">
        <v>45932</v>
      </c>
      <c r="C202" s="21">
        <v>0</v>
      </c>
      <c r="D202" s="21">
        <v>0</v>
      </c>
      <c r="E202" s="21">
        <v>0</v>
      </c>
      <c r="F202" s="21">
        <v>0</v>
      </c>
      <c r="G202" s="21"/>
      <c r="H202" s="21" t="str">
        <f>IFERROR(VLOOKUP(G202,Basic_Data!$E$2:$I$9,5,0),"")</f>
        <v/>
      </c>
      <c r="I202" s="21">
        <v>0</v>
      </c>
      <c r="J202" s="21">
        <v>0</v>
      </c>
      <c r="K202" s="31">
        <v>0</v>
      </c>
      <c r="L202" s="31">
        <v>0</v>
      </c>
      <c r="M202" s="21">
        <f t="shared" si="99"/>
        <v>0</v>
      </c>
      <c r="N202" s="21" t="s">
        <v>229</v>
      </c>
    </row>
    <row r="203" spans="1:14" ht="15">
      <c r="A203" s="18">
        <v>45933</v>
      </c>
      <c r="B203" s="19">
        <v>45933</v>
      </c>
      <c r="C203" s="21">
        <v>0</v>
      </c>
      <c r="D203" s="21">
        <v>0</v>
      </c>
      <c r="E203" s="21">
        <v>0</v>
      </c>
      <c r="F203" s="21">
        <v>0</v>
      </c>
      <c r="G203" s="21"/>
      <c r="H203" s="21" t="str">
        <f>IFERROR(VLOOKUP(G203,Basic_Data!$E$2:$I$9,5,0),"")</f>
        <v/>
      </c>
      <c r="I203" s="21">
        <v>0</v>
      </c>
      <c r="J203" s="21">
        <v>0</v>
      </c>
      <c r="K203" s="31">
        <v>0</v>
      </c>
      <c r="L203" s="31">
        <v>0</v>
      </c>
      <c r="M203" s="21">
        <f t="shared" ref="M203" si="100">IFERROR(I203-J203,"")</f>
        <v>0</v>
      </c>
      <c r="N203" s="21" t="s">
        <v>229</v>
      </c>
    </row>
    <row r="204" spans="1:14" ht="15">
      <c r="A204" s="18">
        <v>45934</v>
      </c>
      <c r="B204" s="19">
        <v>45934</v>
      </c>
      <c r="C204" s="21">
        <v>0</v>
      </c>
      <c r="D204" s="21">
        <v>0</v>
      </c>
      <c r="E204" s="21">
        <v>0</v>
      </c>
      <c r="F204" s="21">
        <v>0</v>
      </c>
      <c r="G204" s="21"/>
      <c r="H204" s="21" t="str">
        <f>IFERROR(VLOOKUP(G204,Basic_Data!$E$2:$I$9,5,0),"")</f>
        <v/>
      </c>
      <c r="I204" s="21">
        <v>0</v>
      </c>
      <c r="J204" s="21">
        <v>0</v>
      </c>
      <c r="K204" s="31">
        <v>0</v>
      </c>
      <c r="L204" s="31">
        <v>0</v>
      </c>
      <c r="M204" s="21">
        <f t="shared" ref="M204" si="101">IFERROR(I204-J204,"")</f>
        <v>0</v>
      </c>
      <c r="N204" s="21" t="s">
        <v>229</v>
      </c>
    </row>
    <row r="205" spans="1:14" ht="15">
      <c r="A205" s="18">
        <v>45935</v>
      </c>
      <c r="B205" s="19">
        <v>45935</v>
      </c>
      <c r="C205" s="21">
        <v>0</v>
      </c>
      <c r="D205" s="21">
        <v>0</v>
      </c>
      <c r="E205" s="21">
        <v>0</v>
      </c>
      <c r="F205" s="21">
        <v>0</v>
      </c>
      <c r="G205" s="21"/>
      <c r="H205" s="21" t="str">
        <f>IFERROR(VLOOKUP(G205,Basic_Data!$E$2:$I$9,5,0),"")</f>
        <v/>
      </c>
      <c r="I205" s="21">
        <v>0</v>
      </c>
      <c r="J205" s="21">
        <v>0</v>
      </c>
      <c r="K205" s="31">
        <v>0</v>
      </c>
      <c r="L205" s="31">
        <v>0</v>
      </c>
      <c r="M205" s="21">
        <f t="shared" ref="M205" si="102">IFERROR(I205-J205,"")</f>
        <v>0</v>
      </c>
      <c r="N205" s="21" t="s">
        <v>229</v>
      </c>
    </row>
    <row r="206" spans="1:14" ht="15">
      <c r="A206" s="18">
        <v>45936</v>
      </c>
      <c r="B206" s="19">
        <v>45936</v>
      </c>
      <c r="C206" s="21">
        <v>0</v>
      </c>
      <c r="D206" s="21">
        <v>0</v>
      </c>
      <c r="E206" s="21">
        <v>0</v>
      </c>
      <c r="F206" s="21">
        <v>0</v>
      </c>
      <c r="G206" s="21"/>
      <c r="H206" s="21" t="str">
        <f>IFERROR(VLOOKUP(G206,Basic_Data!$E$2:$I$9,5,0),"")</f>
        <v/>
      </c>
      <c r="I206" s="21">
        <v>0</v>
      </c>
      <c r="J206" s="21">
        <v>0</v>
      </c>
      <c r="K206" s="31">
        <v>0</v>
      </c>
      <c r="L206" s="31">
        <v>0</v>
      </c>
      <c r="M206" s="21">
        <f t="shared" ref="M206" si="103">IFERROR(I206-J206,"")</f>
        <v>0</v>
      </c>
      <c r="N206" s="21" t="s">
        <v>229</v>
      </c>
    </row>
    <row r="207" spans="1:14" ht="15">
      <c r="A207" s="18">
        <v>45937</v>
      </c>
      <c r="B207" s="19">
        <v>45937</v>
      </c>
      <c r="C207" s="21">
        <v>0</v>
      </c>
      <c r="D207" s="21">
        <v>0</v>
      </c>
      <c r="E207" s="21">
        <v>0</v>
      </c>
      <c r="F207" s="21">
        <v>0</v>
      </c>
      <c r="G207" s="21"/>
      <c r="H207" s="21" t="str">
        <f>IFERROR(VLOOKUP(G207,Basic_Data!$E$2:$I$9,5,0),"")</f>
        <v/>
      </c>
      <c r="I207" s="21">
        <v>0</v>
      </c>
      <c r="J207" s="21">
        <v>0</v>
      </c>
      <c r="K207" s="31">
        <v>0</v>
      </c>
      <c r="L207" s="31">
        <v>0</v>
      </c>
      <c r="M207" s="21">
        <f t="shared" ref="M207" si="104">IFERROR(I207-J207,"")</f>
        <v>0</v>
      </c>
      <c r="N207" s="21" t="s">
        <v>229</v>
      </c>
    </row>
    <row r="208" spans="1:14" ht="15">
      <c r="A208" s="18">
        <v>45938</v>
      </c>
      <c r="B208" s="19">
        <v>45938</v>
      </c>
      <c r="C208" s="21">
        <v>0</v>
      </c>
      <c r="D208" s="21">
        <v>0</v>
      </c>
      <c r="E208" s="21">
        <v>0</v>
      </c>
      <c r="F208" s="21">
        <v>0</v>
      </c>
      <c r="G208" s="21"/>
      <c r="H208" s="21" t="str">
        <f>IFERROR(VLOOKUP(G208,Basic_Data!$E$2:$I$9,5,0),"")</f>
        <v/>
      </c>
      <c r="I208" s="21">
        <v>0</v>
      </c>
      <c r="J208" s="21">
        <v>0</v>
      </c>
      <c r="K208" s="31">
        <v>0</v>
      </c>
      <c r="L208" s="31">
        <v>0</v>
      </c>
      <c r="M208" s="21">
        <f t="shared" ref="M208" si="105">IFERROR(I208-J208,"")</f>
        <v>0</v>
      </c>
      <c r="N208" s="21" t="s">
        <v>229</v>
      </c>
    </row>
    <row r="209" spans="1:14" ht="15">
      <c r="A209" s="18">
        <v>45939</v>
      </c>
      <c r="B209" s="19">
        <v>45939</v>
      </c>
      <c r="C209" s="21">
        <v>0</v>
      </c>
      <c r="D209" s="21">
        <v>0</v>
      </c>
      <c r="E209" s="21">
        <v>0</v>
      </c>
      <c r="F209" s="21">
        <v>0</v>
      </c>
      <c r="G209" s="21"/>
      <c r="H209" s="21" t="str">
        <f>IFERROR(VLOOKUP(G209,Basic_Data!$E$2:$I$9,5,0),"")</f>
        <v/>
      </c>
      <c r="I209" s="21">
        <v>0</v>
      </c>
      <c r="J209" s="21">
        <v>0</v>
      </c>
      <c r="K209" s="31">
        <v>0</v>
      </c>
      <c r="L209" s="31">
        <v>0</v>
      </c>
      <c r="M209" s="21">
        <f t="shared" ref="M209" si="106">IFERROR(I209-J209,"")</f>
        <v>0</v>
      </c>
      <c r="N209" s="21" t="s">
        <v>229</v>
      </c>
    </row>
    <row r="210" spans="1:14" ht="15">
      <c r="A210" s="18">
        <v>45940</v>
      </c>
      <c r="B210" s="19">
        <v>45940</v>
      </c>
      <c r="C210" s="21">
        <v>0</v>
      </c>
      <c r="D210" s="21">
        <v>0</v>
      </c>
      <c r="E210" s="21">
        <v>0</v>
      </c>
      <c r="F210" s="21">
        <v>0</v>
      </c>
      <c r="G210" s="21"/>
      <c r="H210" s="21" t="str">
        <f>IFERROR(VLOOKUP(G210,Basic_Data!$E$2:$I$9,5,0),"")</f>
        <v/>
      </c>
      <c r="I210" s="21">
        <v>0</v>
      </c>
      <c r="J210" s="21">
        <v>0</v>
      </c>
      <c r="K210" s="31">
        <v>0</v>
      </c>
      <c r="L210" s="31">
        <v>0</v>
      </c>
      <c r="M210" s="21">
        <f t="shared" ref="M210" si="107">IFERROR(I210-J210,"")</f>
        <v>0</v>
      </c>
      <c r="N210" s="21" t="s">
        <v>229</v>
      </c>
    </row>
    <row r="211" spans="1:14" ht="15">
      <c r="A211" s="18">
        <v>45941</v>
      </c>
      <c r="B211" s="19">
        <v>45941</v>
      </c>
      <c r="C211" s="21">
        <v>0</v>
      </c>
      <c r="D211" s="21">
        <v>0</v>
      </c>
      <c r="E211" s="21">
        <v>0</v>
      </c>
      <c r="F211" s="21">
        <v>0</v>
      </c>
      <c r="G211" s="21"/>
      <c r="H211" s="21" t="str">
        <f>IFERROR(VLOOKUP(G211,Basic_Data!$E$2:$I$9,5,0),"")</f>
        <v/>
      </c>
      <c r="I211" s="21">
        <v>0</v>
      </c>
      <c r="J211" s="21">
        <v>0</v>
      </c>
      <c r="K211" s="31">
        <v>0</v>
      </c>
      <c r="L211" s="31">
        <v>0</v>
      </c>
      <c r="M211" s="21">
        <f t="shared" ref="M211" si="108">IFERROR(I211-J211,"")</f>
        <v>0</v>
      </c>
      <c r="N211" s="21" t="s">
        <v>229</v>
      </c>
    </row>
    <row r="212" spans="1:14" ht="15">
      <c r="A212" s="18">
        <v>45942</v>
      </c>
      <c r="B212" s="19">
        <v>45942</v>
      </c>
      <c r="C212" s="21">
        <v>0</v>
      </c>
      <c r="D212" s="21">
        <v>0</v>
      </c>
      <c r="E212" s="21">
        <v>0</v>
      </c>
      <c r="F212" s="21">
        <v>0</v>
      </c>
      <c r="G212" s="21"/>
      <c r="H212" s="21" t="str">
        <f>IFERROR(VLOOKUP(G212,Basic_Data!$E$2:$I$9,5,0),"")</f>
        <v/>
      </c>
      <c r="I212" s="21">
        <v>0</v>
      </c>
      <c r="J212" s="21">
        <v>0</v>
      </c>
      <c r="K212" s="31">
        <v>0</v>
      </c>
      <c r="L212" s="31">
        <v>0</v>
      </c>
      <c r="M212" s="21">
        <f t="shared" ref="M212" si="109">IFERROR(I212-J212,"")</f>
        <v>0</v>
      </c>
      <c r="N212" s="21" t="s">
        <v>229</v>
      </c>
    </row>
    <row r="213" spans="1:14" ht="15">
      <c r="A213" s="18">
        <v>45943</v>
      </c>
      <c r="B213" s="19">
        <v>45943</v>
      </c>
      <c r="C213" s="21">
        <v>0</v>
      </c>
      <c r="D213" s="21">
        <v>0</v>
      </c>
      <c r="E213" s="21">
        <v>0</v>
      </c>
      <c r="F213" s="21">
        <v>0</v>
      </c>
      <c r="G213" s="21"/>
      <c r="H213" s="21" t="str">
        <f>IFERROR(VLOOKUP(G213,Basic_Data!$E$2:$I$9,5,0),"")</f>
        <v/>
      </c>
      <c r="I213" s="21">
        <v>0</v>
      </c>
      <c r="J213" s="21">
        <v>0</v>
      </c>
      <c r="K213" s="31">
        <v>0</v>
      </c>
      <c r="L213" s="31">
        <v>0</v>
      </c>
      <c r="M213" s="21">
        <f t="shared" ref="M213" si="110">IFERROR(I213-J213,"")</f>
        <v>0</v>
      </c>
      <c r="N213" s="21" t="s">
        <v>229</v>
      </c>
    </row>
    <row r="214" spans="1:14" ht="15">
      <c r="A214" s="18">
        <v>45944</v>
      </c>
      <c r="B214" s="19">
        <v>45944</v>
      </c>
      <c r="C214" s="21">
        <v>0</v>
      </c>
      <c r="D214" s="21">
        <v>0</v>
      </c>
      <c r="E214" s="21">
        <v>0</v>
      </c>
      <c r="F214" s="21">
        <v>0</v>
      </c>
      <c r="G214" s="21"/>
      <c r="H214" s="21" t="str">
        <f>IFERROR(VLOOKUP(G214,Basic_Data!$E$2:$I$9,5,0),"")</f>
        <v/>
      </c>
      <c r="I214" s="21">
        <v>0</v>
      </c>
      <c r="J214" s="21">
        <v>0</v>
      </c>
      <c r="K214" s="31">
        <v>0</v>
      </c>
      <c r="L214" s="31">
        <v>0</v>
      </c>
      <c r="M214" s="21">
        <f t="shared" ref="M214" si="111">IFERROR(I214-J214,"")</f>
        <v>0</v>
      </c>
      <c r="N214" s="21" t="s">
        <v>229</v>
      </c>
    </row>
    <row r="215" spans="1:14" ht="15">
      <c r="A215" s="18">
        <v>45945</v>
      </c>
      <c r="B215" s="19">
        <v>45945</v>
      </c>
      <c r="C215" s="21">
        <v>0</v>
      </c>
      <c r="D215" s="21">
        <v>0</v>
      </c>
      <c r="E215" s="21">
        <v>0</v>
      </c>
      <c r="F215" s="21">
        <v>0</v>
      </c>
      <c r="G215" s="21"/>
      <c r="H215" s="21" t="str">
        <f>IFERROR(VLOOKUP(G215,Basic_Data!$E$2:$I$9,5,0),"")</f>
        <v/>
      </c>
      <c r="I215" s="21">
        <v>0</v>
      </c>
      <c r="J215" s="21">
        <v>0</v>
      </c>
      <c r="K215" s="31">
        <v>0</v>
      </c>
      <c r="L215" s="31">
        <v>0</v>
      </c>
      <c r="M215" s="21">
        <f t="shared" ref="M215" si="112">IFERROR(I215-J215,"")</f>
        <v>0</v>
      </c>
      <c r="N215" s="21" t="s">
        <v>229</v>
      </c>
    </row>
    <row r="216" spans="1:14" ht="15">
      <c r="A216" s="18">
        <v>45946</v>
      </c>
      <c r="B216" s="19">
        <v>45946</v>
      </c>
      <c r="C216" s="21">
        <v>0</v>
      </c>
      <c r="D216" s="21">
        <v>0</v>
      </c>
      <c r="E216" s="21">
        <v>0</v>
      </c>
      <c r="F216" s="21">
        <v>0</v>
      </c>
      <c r="G216" s="21"/>
      <c r="H216" s="21" t="str">
        <f>IFERROR(VLOOKUP(G216,Basic_Data!$E$2:$I$9,5,0),"")</f>
        <v/>
      </c>
      <c r="I216" s="21">
        <v>0</v>
      </c>
      <c r="J216" s="21">
        <v>0</v>
      </c>
      <c r="K216" s="31">
        <v>0</v>
      </c>
      <c r="L216" s="31">
        <v>0</v>
      </c>
      <c r="M216" s="21">
        <f t="shared" ref="M216" si="113">IFERROR(I216-J216,"")</f>
        <v>0</v>
      </c>
      <c r="N216" s="21" t="s">
        <v>229</v>
      </c>
    </row>
    <row r="217" spans="1:14" ht="15">
      <c r="A217" s="18">
        <v>45947</v>
      </c>
      <c r="B217" s="19">
        <v>45947</v>
      </c>
      <c r="C217" s="21">
        <v>0</v>
      </c>
      <c r="D217" s="21">
        <v>0</v>
      </c>
      <c r="E217" s="21">
        <v>0</v>
      </c>
      <c r="F217" s="21">
        <v>0</v>
      </c>
      <c r="G217" s="21"/>
      <c r="H217" s="21" t="str">
        <f>IFERROR(VLOOKUP(G217,Basic_Data!$E$2:$I$9,5,0),"")</f>
        <v/>
      </c>
      <c r="I217" s="21">
        <v>0</v>
      </c>
      <c r="J217" s="21">
        <v>0</v>
      </c>
      <c r="K217" s="31">
        <v>0</v>
      </c>
      <c r="L217" s="31">
        <v>0</v>
      </c>
      <c r="M217" s="21">
        <f t="shared" ref="M217" si="114">IFERROR(I217-J217,"")</f>
        <v>0</v>
      </c>
      <c r="N217" s="21" t="s">
        <v>229</v>
      </c>
    </row>
    <row r="218" spans="1:14" ht="15">
      <c r="A218" s="18">
        <v>45948</v>
      </c>
      <c r="B218" s="19">
        <v>45948</v>
      </c>
      <c r="C218" s="21">
        <v>0</v>
      </c>
      <c r="D218" s="21">
        <v>0</v>
      </c>
      <c r="E218" s="21">
        <v>0</v>
      </c>
      <c r="F218" s="21">
        <v>0</v>
      </c>
      <c r="G218" s="21"/>
      <c r="H218" s="21" t="str">
        <f>IFERROR(VLOOKUP(G218,Basic_Data!$E$2:$I$9,5,0),"")</f>
        <v/>
      </c>
      <c r="I218" s="21">
        <v>0</v>
      </c>
      <c r="J218" s="21">
        <v>0</v>
      </c>
      <c r="K218" s="31">
        <v>0</v>
      </c>
      <c r="L218" s="31">
        <v>0</v>
      </c>
      <c r="M218" s="21">
        <f t="shared" ref="M218" si="115">IFERROR(I218-J218,"")</f>
        <v>0</v>
      </c>
      <c r="N218" s="21" t="s">
        <v>229</v>
      </c>
    </row>
    <row r="219" spans="1:14" ht="15">
      <c r="A219" s="18">
        <v>45949</v>
      </c>
      <c r="B219" s="19">
        <v>45949</v>
      </c>
      <c r="C219" s="21">
        <v>0</v>
      </c>
      <c r="D219" s="21">
        <v>0</v>
      </c>
      <c r="E219" s="21">
        <v>0</v>
      </c>
      <c r="F219" s="21">
        <v>0</v>
      </c>
      <c r="G219" s="21"/>
      <c r="H219" s="21" t="str">
        <f>IFERROR(VLOOKUP(G219,Basic_Data!$E$2:$I$9,5,0),"")</f>
        <v/>
      </c>
      <c r="I219" s="21">
        <v>0</v>
      </c>
      <c r="J219" s="21">
        <v>0</v>
      </c>
      <c r="K219" s="31">
        <v>0</v>
      </c>
      <c r="L219" s="31">
        <v>0</v>
      </c>
      <c r="M219" s="21">
        <f t="shared" ref="M219" si="116">IFERROR(I219-J219,"")</f>
        <v>0</v>
      </c>
      <c r="N219" s="21" t="s">
        <v>229</v>
      </c>
    </row>
    <row r="220" spans="1:14" ht="15">
      <c r="A220" s="18">
        <v>45950</v>
      </c>
      <c r="B220" s="19">
        <v>45950</v>
      </c>
      <c r="C220" s="21">
        <v>0</v>
      </c>
      <c r="D220" s="21">
        <v>0</v>
      </c>
      <c r="E220" s="21">
        <v>0</v>
      </c>
      <c r="F220" s="21">
        <v>0</v>
      </c>
      <c r="G220" s="21"/>
      <c r="H220" s="21" t="str">
        <f>IFERROR(VLOOKUP(G220,Basic_Data!$E$2:$I$9,5,0),"")</f>
        <v/>
      </c>
      <c r="I220" s="21">
        <v>0</v>
      </c>
      <c r="J220" s="21">
        <v>0</v>
      </c>
      <c r="K220" s="31">
        <v>0</v>
      </c>
      <c r="L220" s="31">
        <v>0</v>
      </c>
      <c r="M220" s="21">
        <f t="shared" ref="M220" si="117">IFERROR(I220-J220,"")</f>
        <v>0</v>
      </c>
      <c r="N220" s="21" t="s">
        <v>229</v>
      </c>
    </row>
    <row r="221" spans="1:14" ht="15">
      <c r="A221" s="18">
        <v>45951</v>
      </c>
      <c r="B221" s="19">
        <v>45951</v>
      </c>
      <c r="C221" s="21">
        <v>0</v>
      </c>
      <c r="D221" s="21">
        <v>0</v>
      </c>
      <c r="E221" s="21">
        <v>0</v>
      </c>
      <c r="F221" s="21">
        <v>0</v>
      </c>
      <c r="G221" s="21"/>
      <c r="H221" s="21" t="str">
        <f>IFERROR(VLOOKUP(G221,Basic_Data!$E$2:$I$9,5,0),"")</f>
        <v/>
      </c>
      <c r="I221" s="21">
        <v>0</v>
      </c>
      <c r="J221" s="21">
        <v>0</v>
      </c>
      <c r="K221" s="31">
        <v>0</v>
      </c>
      <c r="L221" s="31">
        <v>0</v>
      </c>
      <c r="M221" s="21">
        <f t="shared" ref="M221" si="118">IFERROR(I221-J221,"")</f>
        <v>0</v>
      </c>
      <c r="N221" s="21" t="s">
        <v>229</v>
      </c>
    </row>
    <row r="222" spans="1:14" ht="15">
      <c r="A222" s="18">
        <v>45952</v>
      </c>
      <c r="B222" s="19">
        <v>45952</v>
      </c>
      <c r="C222" s="21">
        <v>0</v>
      </c>
      <c r="D222" s="21">
        <v>0</v>
      </c>
      <c r="E222" s="21">
        <v>0</v>
      </c>
      <c r="F222" s="21">
        <v>0</v>
      </c>
      <c r="G222" s="21"/>
      <c r="H222" s="21" t="str">
        <f>IFERROR(VLOOKUP(G222,Basic_Data!$E$2:$I$9,5,0),"")</f>
        <v/>
      </c>
      <c r="I222" s="21">
        <v>0</v>
      </c>
      <c r="J222" s="21">
        <v>0</v>
      </c>
      <c r="K222" s="31">
        <v>0</v>
      </c>
      <c r="L222" s="31">
        <v>0</v>
      </c>
      <c r="M222" s="21">
        <f t="shared" ref="M222" si="119">IFERROR(I222-J222,"")</f>
        <v>0</v>
      </c>
      <c r="N222" s="21" t="s">
        <v>229</v>
      </c>
    </row>
    <row r="223" spans="1:14" ht="15">
      <c r="A223" s="18">
        <v>45953</v>
      </c>
      <c r="B223" s="19">
        <v>45953</v>
      </c>
      <c r="C223" s="21">
        <v>0</v>
      </c>
      <c r="D223" s="21">
        <v>0</v>
      </c>
      <c r="E223" s="21">
        <v>0</v>
      </c>
      <c r="F223" s="21">
        <v>0</v>
      </c>
      <c r="G223" s="21"/>
      <c r="H223" s="21" t="str">
        <f>IFERROR(VLOOKUP(G223,Basic_Data!$E$2:$I$9,5,0),"")</f>
        <v/>
      </c>
      <c r="I223" s="21">
        <v>0</v>
      </c>
      <c r="J223" s="21">
        <v>0</v>
      </c>
      <c r="K223" s="31">
        <v>0</v>
      </c>
      <c r="L223" s="31">
        <v>0</v>
      </c>
      <c r="M223" s="21">
        <f t="shared" ref="M223" si="120">IFERROR(I223-J223,"")</f>
        <v>0</v>
      </c>
      <c r="N223" s="21" t="s">
        <v>229</v>
      </c>
    </row>
    <row r="224" spans="1:14" ht="15">
      <c r="A224" s="18">
        <v>45954</v>
      </c>
      <c r="B224" s="19">
        <v>45954</v>
      </c>
      <c r="C224" s="21">
        <v>0</v>
      </c>
      <c r="D224" s="21">
        <v>0</v>
      </c>
      <c r="E224" s="21">
        <v>0</v>
      </c>
      <c r="F224" s="21">
        <v>0</v>
      </c>
      <c r="G224" s="21"/>
      <c r="H224" s="21" t="str">
        <f>IFERROR(VLOOKUP(G224,Basic_Data!$E$2:$I$9,5,0),"")</f>
        <v/>
      </c>
      <c r="I224" s="21">
        <v>0</v>
      </c>
      <c r="J224" s="21">
        <v>0</v>
      </c>
      <c r="K224" s="31">
        <v>0</v>
      </c>
      <c r="L224" s="31">
        <v>0</v>
      </c>
      <c r="M224" s="21">
        <f t="shared" ref="M224" si="121">IFERROR(I224-J224,"")</f>
        <v>0</v>
      </c>
      <c r="N224" s="21" t="s">
        <v>229</v>
      </c>
    </row>
    <row r="225" spans="1:14" ht="15">
      <c r="A225" s="18">
        <v>45955</v>
      </c>
      <c r="B225" s="19">
        <v>45955</v>
      </c>
      <c r="C225" s="21">
        <v>0</v>
      </c>
      <c r="D225" s="21">
        <v>0</v>
      </c>
      <c r="E225" s="21">
        <v>0</v>
      </c>
      <c r="F225" s="21">
        <v>0</v>
      </c>
      <c r="G225" s="21"/>
      <c r="H225" s="21" t="str">
        <f>IFERROR(VLOOKUP(G225,Basic_Data!$E$2:$I$9,5,0),"")</f>
        <v/>
      </c>
      <c r="I225" s="21">
        <v>0</v>
      </c>
      <c r="J225" s="21">
        <v>0</v>
      </c>
      <c r="K225" s="31">
        <v>0</v>
      </c>
      <c r="L225" s="31">
        <v>0</v>
      </c>
      <c r="M225" s="21">
        <f t="shared" ref="M225" si="122">IFERROR(I225-J225,"")</f>
        <v>0</v>
      </c>
      <c r="N225" s="21" t="s">
        <v>229</v>
      </c>
    </row>
    <row r="226" spans="1:14" ht="15">
      <c r="A226" s="18">
        <v>45956</v>
      </c>
      <c r="B226" s="19">
        <v>45956</v>
      </c>
      <c r="C226" s="21">
        <v>0</v>
      </c>
      <c r="D226" s="21">
        <v>0</v>
      </c>
      <c r="E226" s="21">
        <v>0</v>
      </c>
      <c r="F226" s="21">
        <v>0</v>
      </c>
      <c r="G226" s="21"/>
      <c r="H226" s="21" t="str">
        <f>IFERROR(VLOOKUP(G226,Basic_Data!$E$2:$I$9,5,0),"")</f>
        <v/>
      </c>
      <c r="I226" s="21">
        <v>0</v>
      </c>
      <c r="J226" s="21">
        <v>0</v>
      </c>
      <c r="K226" s="31">
        <v>0</v>
      </c>
      <c r="L226" s="31">
        <v>0</v>
      </c>
      <c r="M226" s="21">
        <f t="shared" ref="M226:M227" si="123">IFERROR(I226-J226,"")</f>
        <v>0</v>
      </c>
      <c r="N226" s="21" t="s">
        <v>229</v>
      </c>
    </row>
    <row r="227" spans="1:14" ht="15">
      <c r="A227" s="18">
        <v>45957</v>
      </c>
      <c r="B227" s="19">
        <v>45957</v>
      </c>
      <c r="C227" s="32">
        <v>0</v>
      </c>
      <c r="D227" s="32">
        <v>0</v>
      </c>
      <c r="E227" s="32">
        <v>0</v>
      </c>
      <c r="F227" s="32">
        <v>0</v>
      </c>
      <c r="G227" s="32"/>
      <c r="H227" s="32" t="str">
        <f>IFERROR(VLOOKUP(G227,Basic_Data!$E$2:$I$9,5,0),"")</f>
        <v/>
      </c>
      <c r="I227" s="32">
        <v>0</v>
      </c>
      <c r="J227" s="32">
        <v>0</v>
      </c>
      <c r="K227" s="33">
        <v>0</v>
      </c>
      <c r="L227" s="33">
        <v>0</v>
      </c>
      <c r="M227" s="32">
        <f t="shared" si="123"/>
        <v>0</v>
      </c>
      <c r="N227" s="32" t="s">
        <v>230</v>
      </c>
    </row>
    <row r="228" spans="1:14" ht="15">
      <c r="A228" s="18">
        <v>45958</v>
      </c>
      <c r="B228" s="19">
        <v>45958</v>
      </c>
      <c r="C228" s="32">
        <v>0</v>
      </c>
      <c r="D228" s="32">
        <v>0</v>
      </c>
      <c r="E228" s="32">
        <v>0</v>
      </c>
      <c r="F228" s="32">
        <v>0</v>
      </c>
      <c r="G228" s="32"/>
      <c r="H228" s="32" t="str">
        <f>IFERROR(VLOOKUP(G228,Basic_Data!$E$2:$I$9,5,0),"")</f>
        <v/>
      </c>
      <c r="I228" s="32">
        <v>0</v>
      </c>
      <c r="J228" s="32">
        <v>0</v>
      </c>
      <c r="K228" s="33">
        <v>0</v>
      </c>
      <c r="L228" s="33">
        <v>0</v>
      </c>
      <c r="M228" s="32">
        <f t="shared" ref="M228:M229" si="124">IFERROR(I228-J228,"")</f>
        <v>0</v>
      </c>
      <c r="N228" s="32" t="s">
        <v>230</v>
      </c>
    </row>
    <row r="229" spans="1:14" ht="15">
      <c r="A229" s="18">
        <v>45959</v>
      </c>
      <c r="B229" s="19">
        <v>45959</v>
      </c>
      <c r="C229" s="21">
        <v>0</v>
      </c>
      <c r="D229" s="21">
        <v>0</v>
      </c>
      <c r="E229" s="21">
        <v>0</v>
      </c>
      <c r="F229" s="21">
        <v>0</v>
      </c>
      <c r="G229" s="21"/>
      <c r="H229" s="21" t="str">
        <f>IFERROR(VLOOKUP(G229,Basic_Data!$E$2:$I$9,5,0),"")</f>
        <v/>
      </c>
      <c r="I229" s="21">
        <v>0</v>
      </c>
      <c r="J229" s="21">
        <v>0</v>
      </c>
      <c r="K229" s="31">
        <v>0</v>
      </c>
      <c r="L229" s="31">
        <v>0</v>
      </c>
      <c r="M229" s="21">
        <f t="shared" si="124"/>
        <v>0</v>
      </c>
      <c r="N229" s="21" t="s">
        <v>229</v>
      </c>
    </row>
    <row r="230" spans="1:14" ht="15">
      <c r="A230" s="18">
        <v>45960</v>
      </c>
      <c r="B230" s="19">
        <v>45960</v>
      </c>
      <c r="C230" s="32">
        <v>0</v>
      </c>
      <c r="D230" s="32">
        <v>0</v>
      </c>
      <c r="E230" s="32">
        <v>0</v>
      </c>
      <c r="F230" s="32">
        <v>0</v>
      </c>
      <c r="G230" s="32"/>
      <c r="H230" s="32" t="str">
        <f>IFERROR(VLOOKUP(G230,Basic_Data!$E$2:$I$9,5,0),"")</f>
        <v/>
      </c>
      <c r="I230" s="32">
        <v>0</v>
      </c>
      <c r="J230" s="32">
        <v>0</v>
      </c>
      <c r="K230" s="33">
        <v>0</v>
      </c>
      <c r="L230" s="33">
        <v>0</v>
      </c>
      <c r="M230" s="32">
        <f t="shared" ref="M230:M231" si="125">IFERROR(I230-J230,"")</f>
        <v>0</v>
      </c>
      <c r="N230" s="32" t="s">
        <v>230</v>
      </c>
    </row>
    <row r="231" spans="1:14" ht="15">
      <c r="A231" s="18">
        <v>45961</v>
      </c>
      <c r="B231" s="19">
        <v>45961</v>
      </c>
      <c r="C231" s="21">
        <v>0</v>
      </c>
      <c r="D231" s="21">
        <v>0</v>
      </c>
      <c r="E231" s="21">
        <v>0</v>
      </c>
      <c r="F231" s="21">
        <v>0</v>
      </c>
      <c r="G231" s="21"/>
      <c r="H231" s="21" t="str">
        <f>IFERROR(VLOOKUP(G231,Basic_Data!$E$2:$I$9,5,0),"")</f>
        <v/>
      </c>
      <c r="I231" s="21">
        <v>0</v>
      </c>
      <c r="J231" s="21">
        <v>0</v>
      </c>
      <c r="K231" s="31">
        <v>0</v>
      </c>
      <c r="L231" s="31">
        <v>0</v>
      </c>
      <c r="M231" s="21">
        <f t="shared" si="125"/>
        <v>0</v>
      </c>
      <c r="N231" s="21" t="s">
        <v>229</v>
      </c>
    </row>
    <row r="232" spans="1:14" ht="15">
      <c r="A232" s="18">
        <v>45962</v>
      </c>
      <c r="B232" s="19">
        <v>45962</v>
      </c>
      <c r="C232" s="21">
        <v>0</v>
      </c>
      <c r="D232" s="21">
        <v>0</v>
      </c>
      <c r="E232" s="21">
        <v>0</v>
      </c>
      <c r="F232" s="21">
        <v>0</v>
      </c>
      <c r="G232" s="21"/>
      <c r="H232" s="21" t="str">
        <f>IFERROR(VLOOKUP(G232,Basic_Data!$E$2:$I$9,5,0),"")</f>
        <v/>
      </c>
      <c r="I232" s="21">
        <v>0</v>
      </c>
      <c r="J232" s="21">
        <v>0</v>
      </c>
      <c r="K232" s="31">
        <v>0</v>
      </c>
      <c r="L232" s="31">
        <v>0</v>
      </c>
      <c r="M232" s="21">
        <f t="shared" ref="M232" si="126">IFERROR(I232-J232,"")</f>
        <v>0</v>
      </c>
      <c r="N232" s="21" t="s">
        <v>229</v>
      </c>
    </row>
    <row r="233" spans="1:14" ht="15">
      <c r="A233" s="18">
        <v>45963</v>
      </c>
      <c r="B233" s="19">
        <v>45963</v>
      </c>
      <c r="C233" s="21">
        <v>0</v>
      </c>
      <c r="D233" s="21">
        <v>0</v>
      </c>
      <c r="E233" s="21">
        <v>0</v>
      </c>
      <c r="F233" s="21">
        <v>0</v>
      </c>
      <c r="G233" s="21"/>
      <c r="H233" s="21" t="str">
        <f>IFERROR(VLOOKUP(G233,Basic_Data!$E$2:$I$9,5,0),"")</f>
        <v/>
      </c>
      <c r="I233" s="21">
        <v>0</v>
      </c>
      <c r="J233" s="21">
        <v>0</v>
      </c>
      <c r="K233" s="31">
        <v>0</v>
      </c>
      <c r="L233" s="31">
        <v>0</v>
      </c>
      <c r="M233" s="21">
        <f t="shared" ref="M233" si="127">IFERROR(I233-J233,"")</f>
        <v>0</v>
      </c>
      <c r="N233" s="21" t="s">
        <v>229</v>
      </c>
    </row>
    <row r="234" spans="1:14" ht="15">
      <c r="A234" s="18">
        <v>45964</v>
      </c>
      <c r="B234" s="19">
        <v>45964</v>
      </c>
      <c r="C234" s="21">
        <v>0</v>
      </c>
      <c r="D234" s="21">
        <v>0</v>
      </c>
      <c r="E234" s="21">
        <v>0</v>
      </c>
      <c r="F234" s="21">
        <v>0</v>
      </c>
      <c r="G234" s="21"/>
      <c r="H234" s="21" t="str">
        <f>IFERROR(VLOOKUP(G234,Basic_Data!$E$2:$I$9,5,0),"")</f>
        <v/>
      </c>
      <c r="I234" s="21">
        <v>0</v>
      </c>
      <c r="J234" s="21">
        <v>0</v>
      </c>
      <c r="K234" s="31">
        <v>0</v>
      </c>
      <c r="L234" s="31">
        <v>0</v>
      </c>
      <c r="M234" s="21">
        <f t="shared" ref="M234" si="128">IFERROR(I234-J234,"")</f>
        <v>0</v>
      </c>
      <c r="N234" s="21" t="s">
        <v>229</v>
      </c>
    </row>
    <row r="235" spans="1:14" ht="15">
      <c r="A235" s="18">
        <v>45965</v>
      </c>
      <c r="B235" s="19">
        <v>45965</v>
      </c>
      <c r="C235" s="21">
        <v>0</v>
      </c>
      <c r="D235" s="21">
        <v>0</v>
      </c>
      <c r="E235" s="21">
        <v>0</v>
      </c>
      <c r="F235" s="21">
        <v>0</v>
      </c>
      <c r="G235" s="21"/>
      <c r="H235" s="21" t="str">
        <f>IFERROR(VLOOKUP(G235,Basic_Data!$E$2:$I$9,5,0),"")</f>
        <v/>
      </c>
      <c r="I235" s="21">
        <v>0</v>
      </c>
      <c r="J235" s="21">
        <v>0</v>
      </c>
      <c r="K235" s="31">
        <v>0</v>
      </c>
      <c r="L235" s="31">
        <v>0</v>
      </c>
      <c r="M235" s="21">
        <f t="shared" ref="M235" si="129">IFERROR(I235-J235,"")</f>
        <v>0</v>
      </c>
      <c r="N235" s="21" t="s">
        <v>229</v>
      </c>
    </row>
    <row r="236" spans="1:14" ht="15">
      <c r="A236" s="18">
        <v>45966</v>
      </c>
      <c r="B236" s="19">
        <v>45966</v>
      </c>
      <c r="C236" s="21">
        <v>0</v>
      </c>
      <c r="D236" s="21">
        <v>0</v>
      </c>
      <c r="E236" s="21">
        <v>0</v>
      </c>
      <c r="F236" s="21">
        <v>0</v>
      </c>
      <c r="G236" s="21"/>
      <c r="H236" s="21" t="str">
        <f>IFERROR(VLOOKUP(G236,Basic_Data!$E$2:$I$9,5,0),"")</f>
        <v/>
      </c>
      <c r="I236" s="21">
        <v>0</v>
      </c>
      <c r="J236" s="21">
        <v>0</v>
      </c>
      <c r="K236" s="31">
        <v>0</v>
      </c>
      <c r="L236" s="31">
        <v>0</v>
      </c>
      <c r="M236" s="21">
        <f t="shared" ref="M236" si="130">IFERROR(I236-J236,"")</f>
        <v>0</v>
      </c>
      <c r="N236" s="21" t="s">
        <v>229</v>
      </c>
    </row>
    <row r="237" spans="1:14" ht="15">
      <c r="A237" s="18">
        <v>45967</v>
      </c>
      <c r="B237" s="19">
        <v>45967</v>
      </c>
      <c r="C237" s="21">
        <v>0</v>
      </c>
      <c r="D237" s="21">
        <v>0</v>
      </c>
      <c r="E237" s="21">
        <v>0</v>
      </c>
      <c r="F237" s="21">
        <v>0</v>
      </c>
      <c r="G237" s="21"/>
      <c r="H237" s="21" t="str">
        <f>IFERROR(VLOOKUP(G237,Basic_Data!$E$2:$I$9,5,0),"")</f>
        <v/>
      </c>
      <c r="I237" s="21">
        <v>0</v>
      </c>
      <c r="J237" s="21">
        <v>0</v>
      </c>
      <c r="K237" s="31">
        <v>0</v>
      </c>
      <c r="L237" s="31">
        <v>0</v>
      </c>
      <c r="M237" s="21">
        <f t="shared" ref="M237" si="131">IFERROR(I237-J237,"")</f>
        <v>0</v>
      </c>
      <c r="N237" s="21" t="s">
        <v>229</v>
      </c>
    </row>
    <row r="238" spans="1:14" ht="15">
      <c r="A238" s="18">
        <v>45968</v>
      </c>
      <c r="B238" s="19">
        <v>45968</v>
      </c>
      <c r="C238" s="21">
        <v>0</v>
      </c>
      <c r="D238" s="21">
        <v>0</v>
      </c>
      <c r="E238" s="21">
        <v>0</v>
      </c>
      <c r="F238" s="21">
        <v>0</v>
      </c>
      <c r="G238" s="21"/>
      <c r="H238" s="21" t="str">
        <f>IFERROR(VLOOKUP(G238,Basic_Data!$E$2:$I$9,5,0),"")</f>
        <v/>
      </c>
      <c r="I238" s="21">
        <v>0</v>
      </c>
      <c r="J238" s="21">
        <v>0</v>
      </c>
      <c r="K238" s="31">
        <v>0</v>
      </c>
      <c r="L238" s="31">
        <v>0</v>
      </c>
      <c r="M238" s="21">
        <f t="shared" ref="M238" si="132">IFERROR(I238-J238,"")</f>
        <v>0</v>
      </c>
      <c r="N238" s="21" t="s">
        <v>229</v>
      </c>
    </row>
    <row r="239" spans="1:14" ht="15">
      <c r="A239" s="18">
        <v>45969</v>
      </c>
      <c r="B239" s="19">
        <v>45969</v>
      </c>
      <c r="C239" s="21">
        <v>0</v>
      </c>
      <c r="D239" s="21">
        <v>0</v>
      </c>
      <c r="E239" s="21">
        <v>0</v>
      </c>
      <c r="F239" s="21">
        <v>0</v>
      </c>
      <c r="G239" s="21"/>
      <c r="H239" s="21" t="str">
        <f>IFERROR(VLOOKUP(G239,Basic_Data!$E$2:$I$9,5,0),"")</f>
        <v/>
      </c>
      <c r="I239" s="21">
        <v>0</v>
      </c>
      <c r="J239" s="21">
        <v>0</v>
      </c>
      <c r="K239" s="31">
        <v>0</v>
      </c>
      <c r="L239" s="31">
        <v>0</v>
      </c>
      <c r="M239" s="21">
        <f t="shared" ref="M239" si="133">IFERROR(I239-J239,"")</f>
        <v>0</v>
      </c>
      <c r="N239" s="21" t="s">
        <v>229</v>
      </c>
    </row>
    <row r="240" spans="1:14" ht="15">
      <c r="A240" s="18">
        <v>45970</v>
      </c>
      <c r="B240" s="19">
        <v>45970</v>
      </c>
      <c r="C240" s="21">
        <v>0</v>
      </c>
      <c r="D240" s="21">
        <v>0</v>
      </c>
      <c r="E240" s="21">
        <v>0</v>
      </c>
      <c r="F240" s="21">
        <v>0</v>
      </c>
      <c r="G240" s="21"/>
      <c r="H240" s="21" t="str">
        <f>IFERROR(VLOOKUP(G240,Basic_Data!$E$2:$I$9,5,0),"")</f>
        <v/>
      </c>
      <c r="I240" s="21">
        <v>0</v>
      </c>
      <c r="J240" s="21">
        <v>0</v>
      </c>
      <c r="K240" s="31">
        <v>0</v>
      </c>
      <c r="L240" s="31">
        <v>0</v>
      </c>
      <c r="M240" s="21">
        <f t="shared" ref="M240" si="134">IFERROR(I240-J240,"")</f>
        <v>0</v>
      </c>
      <c r="N240" s="21" t="s">
        <v>229</v>
      </c>
    </row>
    <row r="241" spans="1:14" ht="15">
      <c r="A241" s="18">
        <v>45971</v>
      </c>
      <c r="B241" s="19">
        <v>45971</v>
      </c>
      <c r="C241" s="21">
        <v>0</v>
      </c>
      <c r="D241" s="21">
        <v>0</v>
      </c>
      <c r="E241" s="21">
        <v>0</v>
      </c>
      <c r="F241" s="21">
        <v>0</v>
      </c>
      <c r="G241" s="21"/>
      <c r="H241" s="21" t="str">
        <f>IFERROR(VLOOKUP(G241,Basic_Data!$E$2:$I$9,5,0),"")</f>
        <v/>
      </c>
      <c r="I241" s="21">
        <v>0</v>
      </c>
      <c r="J241" s="21">
        <v>0</v>
      </c>
      <c r="K241" s="31">
        <v>0</v>
      </c>
      <c r="L241" s="31">
        <v>0</v>
      </c>
      <c r="M241" s="21">
        <f t="shared" ref="M241" si="135">IFERROR(I241-J241,"")</f>
        <v>0</v>
      </c>
      <c r="N241" s="21" t="s">
        <v>229</v>
      </c>
    </row>
    <row r="242" spans="1:14" ht="15">
      <c r="A242" s="18">
        <v>45972</v>
      </c>
      <c r="B242" s="19">
        <v>45972</v>
      </c>
      <c r="C242" s="21">
        <v>0</v>
      </c>
      <c r="D242" s="21">
        <v>0</v>
      </c>
      <c r="E242" s="21">
        <v>0</v>
      </c>
      <c r="F242" s="21">
        <v>0</v>
      </c>
      <c r="G242" s="21"/>
      <c r="H242" s="21" t="str">
        <f>IFERROR(VLOOKUP(G242,Basic_Data!$E$2:$I$9,5,0),"")</f>
        <v/>
      </c>
      <c r="I242" s="21">
        <v>0</v>
      </c>
      <c r="J242" s="21">
        <v>0</v>
      </c>
      <c r="K242" s="31">
        <v>0</v>
      </c>
      <c r="L242" s="31">
        <v>0</v>
      </c>
      <c r="M242" s="21">
        <f t="shared" ref="M242" si="136">IFERROR(I242-J242,"")</f>
        <v>0</v>
      </c>
      <c r="N242" s="21" t="s">
        <v>229</v>
      </c>
    </row>
    <row r="243" spans="1:14" ht="15">
      <c r="A243" s="18">
        <v>45973</v>
      </c>
      <c r="B243" s="19">
        <v>45973</v>
      </c>
      <c r="C243" s="21">
        <v>0</v>
      </c>
      <c r="D243" s="21">
        <v>0</v>
      </c>
      <c r="E243" s="21">
        <v>0</v>
      </c>
      <c r="F243" s="21">
        <v>0</v>
      </c>
      <c r="G243" s="21"/>
      <c r="H243" s="21" t="str">
        <f>IFERROR(VLOOKUP(G243,Basic_Data!$E$2:$I$9,5,0),"")</f>
        <v/>
      </c>
      <c r="I243" s="21">
        <v>0</v>
      </c>
      <c r="J243" s="21">
        <v>0</v>
      </c>
      <c r="K243" s="31">
        <v>0</v>
      </c>
      <c r="L243" s="31">
        <v>0</v>
      </c>
      <c r="M243" s="21">
        <f t="shared" ref="M243" si="137">IFERROR(I243-J243,"")</f>
        <v>0</v>
      </c>
      <c r="N243" s="21" t="s">
        <v>229</v>
      </c>
    </row>
    <row r="244" spans="1:14" ht="15">
      <c r="A244" s="18">
        <v>45974</v>
      </c>
      <c r="B244" s="19">
        <v>45974</v>
      </c>
      <c r="C244" s="21">
        <v>0</v>
      </c>
      <c r="D244" s="21">
        <v>0</v>
      </c>
      <c r="E244" s="21">
        <v>0</v>
      </c>
      <c r="F244" s="21">
        <v>0</v>
      </c>
      <c r="G244" s="21"/>
      <c r="H244" s="21" t="str">
        <f>IFERROR(VLOOKUP(G244,Basic_Data!$E$2:$I$9,5,0),"")</f>
        <v/>
      </c>
      <c r="I244" s="21">
        <v>0</v>
      </c>
      <c r="J244" s="21">
        <v>0</v>
      </c>
      <c r="K244" s="31">
        <v>0</v>
      </c>
      <c r="L244" s="31">
        <v>0</v>
      </c>
      <c r="M244" s="21">
        <f t="shared" ref="M244" si="138">IFERROR(I244-J244,"")</f>
        <v>0</v>
      </c>
      <c r="N244" s="21" t="s">
        <v>229</v>
      </c>
    </row>
    <row r="245" spans="1:14" ht="15">
      <c r="A245" s="18">
        <v>45975</v>
      </c>
      <c r="B245" s="19">
        <v>45975</v>
      </c>
      <c r="C245" s="21">
        <v>0</v>
      </c>
      <c r="D245" s="21">
        <v>0</v>
      </c>
      <c r="E245" s="21">
        <v>0</v>
      </c>
      <c r="F245" s="21">
        <v>0</v>
      </c>
      <c r="G245" s="21"/>
      <c r="H245" s="21" t="str">
        <f>IFERROR(VLOOKUP(G245,Basic_Data!$E$2:$I$9,5,0),"")</f>
        <v/>
      </c>
      <c r="I245" s="21">
        <v>0</v>
      </c>
      <c r="J245" s="21">
        <v>0</v>
      </c>
      <c r="K245" s="31">
        <v>0</v>
      </c>
      <c r="L245" s="31">
        <v>0</v>
      </c>
      <c r="M245" s="21">
        <f t="shared" ref="M245" si="139">IFERROR(I245-J245,"")</f>
        <v>0</v>
      </c>
      <c r="N245" s="21" t="s">
        <v>229</v>
      </c>
    </row>
    <row r="246" spans="1:14" ht="15">
      <c r="A246" s="18">
        <v>45976</v>
      </c>
      <c r="B246" s="19">
        <v>45976</v>
      </c>
      <c r="C246" s="21">
        <v>0</v>
      </c>
      <c r="D246" s="21">
        <v>0</v>
      </c>
      <c r="E246" s="21">
        <v>0</v>
      </c>
      <c r="F246" s="21">
        <v>0</v>
      </c>
      <c r="G246" s="21"/>
      <c r="H246" s="21" t="str">
        <f>IFERROR(VLOOKUP(G246,Basic_Data!$E$2:$I$9,5,0),"")</f>
        <v/>
      </c>
      <c r="I246" s="21">
        <v>0</v>
      </c>
      <c r="J246" s="21">
        <v>0</v>
      </c>
      <c r="K246" s="31">
        <v>0</v>
      </c>
      <c r="L246" s="31">
        <v>0</v>
      </c>
      <c r="M246" s="21">
        <f t="shared" ref="M246" si="140">IFERROR(I246-J246,"")</f>
        <v>0</v>
      </c>
      <c r="N246" s="21" t="s">
        <v>229</v>
      </c>
    </row>
    <row r="247" spans="1:14" ht="15">
      <c r="A247" s="18">
        <v>45977</v>
      </c>
      <c r="B247" s="19">
        <v>45977</v>
      </c>
      <c r="C247" s="21">
        <v>0</v>
      </c>
      <c r="D247" s="21">
        <v>0</v>
      </c>
      <c r="E247" s="21">
        <v>0</v>
      </c>
      <c r="F247" s="21">
        <v>0</v>
      </c>
      <c r="G247" s="21"/>
      <c r="H247" s="21" t="str">
        <f>IFERROR(VLOOKUP(G247,Basic_Data!$E$2:$I$9,5,0),"")</f>
        <v/>
      </c>
      <c r="I247" s="21">
        <v>0</v>
      </c>
      <c r="J247" s="21">
        <v>0</v>
      </c>
      <c r="K247" s="31">
        <v>0</v>
      </c>
      <c r="L247" s="31">
        <v>0</v>
      </c>
      <c r="M247" s="21">
        <f t="shared" ref="M247" si="141">IFERROR(I247-J247,"")</f>
        <v>0</v>
      </c>
      <c r="N247" s="21" t="s">
        <v>229</v>
      </c>
    </row>
    <row r="248" spans="1:14" ht="15">
      <c r="A248" s="18">
        <v>45978</v>
      </c>
      <c r="B248" s="19">
        <v>45978</v>
      </c>
      <c r="C248" s="21">
        <v>0</v>
      </c>
      <c r="D248" s="21">
        <v>0</v>
      </c>
      <c r="E248" s="21">
        <v>0</v>
      </c>
      <c r="F248" s="21">
        <v>0</v>
      </c>
      <c r="G248" s="21"/>
      <c r="H248" s="21" t="str">
        <f>IFERROR(VLOOKUP(G248,Basic_Data!$E$2:$I$9,5,0),"")</f>
        <v/>
      </c>
      <c r="I248" s="21">
        <v>0</v>
      </c>
      <c r="J248" s="21">
        <v>0</v>
      </c>
      <c r="K248" s="31">
        <v>0</v>
      </c>
      <c r="L248" s="31">
        <v>0</v>
      </c>
      <c r="M248" s="21">
        <f t="shared" ref="M248" si="142">IFERROR(I248-J248,"")</f>
        <v>0</v>
      </c>
      <c r="N248" s="21" t="s">
        <v>229</v>
      </c>
    </row>
    <row r="249" spans="1:14" ht="15">
      <c r="A249" s="18">
        <v>45979</v>
      </c>
      <c r="B249" s="19">
        <v>45979</v>
      </c>
      <c r="C249" s="21">
        <v>0</v>
      </c>
      <c r="D249" s="21">
        <v>0</v>
      </c>
      <c r="E249" s="21">
        <v>0</v>
      </c>
      <c r="F249" s="21">
        <v>0</v>
      </c>
      <c r="G249" s="21"/>
      <c r="H249" s="21" t="str">
        <f>IFERROR(VLOOKUP(G249,Basic_Data!$E$2:$I$9,5,0),"")</f>
        <v/>
      </c>
      <c r="I249" s="21">
        <v>0</v>
      </c>
      <c r="J249" s="21">
        <v>0</v>
      </c>
      <c r="K249" s="31">
        <v>0</v>
      </c>
      <c r="L249" s="31">
        <v>0</v>
      </c>
      <c r="M249" s="21">
        <f t="shared" ref="M249" si="143">IFERROR(I249-J249,"")</f>
        <v>0</v>
      </c>
      <c r="N249" s="21" t="s">
        <v>229</v>
      </c>
    </row>
    <row r="250" spans="1:14" ht="15">
      <c r="A250" s="18">
        <v>45980</v>
      </c>
      <c r="B250" s="19">
        <v>45980</v>
      </c>
      <c r="C250" s="21">
        <v>0</v>
      </c>
      <c r="D250" s="21">
        <v>0</v>
      </c>
      <c r="E250" s="21">
        <v>0</v>
      </c>
      <c r="F250" s="21">
        <v>0</v>
      </c>
      <c r="G250" s="21"/>
      <c r="H250" s="21" t="str">
        <f>IFERROR(VLOOKUP(G250,Basic_Data!$E$2:$I$9,5,0),"")</f>
        <v/>
      </c>
      <c r="I250" s="21">
        <v>0</v>
      </c>
      <c r="J250" s="21">
        <v>0</v>
      </c>
      <c r="K250" s="31">
        <v>0</v>
      </c>
      <c r="L250" s="31">
        <v>0</v>
      </c>
      <c r="M250" s="21">
        <f t="shared" ref="M250" si="144">IFERROR(I250-J250,"")</f>
        <v>0</v>
      </c>
      <c r="N250" s="21" t="s">
        <v>229</v>
      </c>
    </row>
    <row r="251" spans="1:14" ht="15">
      <c r="A251" s="18">
        <v>45981</v>
      </c>
      <c r="B251" s="19">
        <v>45981</v>
      </c>
      <c r="C251" s="21">
        <v>0</v>
      </c>
      <c r="D251" s="21">
        <v>0</v>
      </c>
      <c r="E251" s="21">
        <v>0</v>
      </c>
      <c r="F251" s="21">
        <v>0</v>
      </c>
      <c r="G251" s="21"/>
      <c r="H251" s="21" t="str">
        <f>IFERROR(VLOOKUP(G251,Basic_Data!$E$2:$I$9,5,0),"")</f>
        <v/>
      </c>
      <c r="I251" s="21">
        <v>0</v>
      </c>
      <c r="J251" s="21">
        <v>0</v>
      </c>
      <c r="K251" s="31">
        <v>0</v>
      </c>
      <c r="L251" s="31">
        <v>0</v>
      </c>
      <c r="M251" s="21">
        <f t="shared" ref="M251" si="145">IFERROR(I251-J251,"")</f>
        <v>0</v>
      </c>
      <c r="N251" s="21" t="s">
        <v>229</v>
      </c>
    </row>
    <row r="252" spans="1:14" ht="15">
      <c r="A252" s="18">
        <v>45982</v>
      </c>
      <c r="B252" s="19">
        <v>45982</v>
      </c>
      <c r="C252" s="21">
        <v>0</v>
      </c>
      <c r="D252" s="21">
        <v>0</v>
      </c>
      <c r="E252" s="21">
        <v>0</v>
      </c>
      <c r="F252" s="21">
        <v>0</v>
      </c>
      <c r="G252" s="21"/>
      <c r="H252" s="21" t="str">
        <f>IFERROR(VLOOKUP(G252,Basic_Data!$E$2:$I$9,5,0),"")</f>
        <v/>
      </c>
      <c r="I252" s="21">
        <v>0</v>
      </c>
      <c r="J252" s="21">
        <v>0</v>
      </c>
      <c r="K252" s="31">
        <v>0</v>
      </c>
      <c r="L252" s="31">
        <v>0</v>
      </c>
      <c r="M252" s="21">
        <f t="shared" ref="M252" si="146">IFERROR(I252-J252,"")</f>
        <v>0</v>
      </c>
      <c r="N252" s="21" t="s">
        <v>229</v>
      </c>
    </row>
    <row r="253" spans="1:14" ht="15">
      <c r="A253" s="18">
        <v>45983</v>
      </c>
      <c r="B253" s="19">
        <v>45983</v>
      </c>
      <c r="C253" s="21">
        <v>0</v>
      </c>
      <c r="D253" s="21">
        <v>0</v>
      </c>
      <c r="E253" s="21">
        <v>0</v>
      </c>
      <c r="F253" s="21">
        <v>0</v>
      </c>
      <c r="G253" s="21"/>
      <c r="H253" s="21" t="str">
        <f>IFERROR(VLOOKUP(G253,Basic_Data!$E$2:$I$9,5,0),"")</f>
        <v/>
      </c>
      <c r="I253" s="21">
        <v>0</v>
      </c>
      <c r="J253" s="21">
        <v>0</v>
      </c>
      <c r="K253" s="31">
        <v>0</v>
      </c>
      <c r="L253" s="31">
        <v>0</v>
      </c>
      <c r="M253" s="21">
        <f t="shared" ref="M253" si="147">IFERROR(I253-J253,"")</f>
        <v>0</v>
      </c>
      <c r="N253" s="21" t="s">
        <v>229</v>
      </c>
    </row>
    <row r="254" spans="1:14" ht="15">
      <c r="A254" s="18">
        <v>45984</v>
      </c>
      <c r="B254" s="19">
        <v>45984</v>
      </c>
      <c r="C254" s="21">
        <v>0</v>
      </c>
      <c r="D254" s="21">
        <v>0</v>
      </c>
      <c r="E254" s="21">
        <v>0</v>
      </c>
      <c r="F254" s="21">
        <v>0</v>
      </c>
      <c r="G254" s="21"/>
      <c r="H254" s="21" t="str">
        <f>IFERROR(VLOOKUP(G254,Basic_Data!$E$2:$I$9,5,0),"")</f>
        <v/>
      </c>
      <c r="I254" s="21">
        <v>0</v>
      </c>
      <c r="J254" s="21">
        <v>0</v>
      </c>
      <c r="K254" s="31">
        <v>0</v>
      </c>
      <c r="L254" s="31">
        <v>0</v>
      </c>
      <c r="M254" s="21">
        <f t="shared" ref="M254" si="148">IFERROR(I254-J254,"")</f>
        <v>0</v>
      </c>
      <c r="N254" s="21" t="s">
        <v>229</v>
      </c>
    </row>
    <row r="255" spans="1:14" ht="15">
      <c r="A255" s="18">
        <v>45985</v>
      </c>
      <c r="B255" s="19">
        <v>45985</v>
      </c>
      <c r="C255" s="21">
        <v>0</v>
      </c>
      <c r="D255" s="21">
        <v>0</v>
      </c>
      <c r="E255" s="21">
        <v>0</v>
      </c>
      <c r="F255" s="21">
        <v>0</v>
      </c>
      <c r="G255" s="21"/>
      <c r="H255" s="21" t="str">
        <f>IFERROR(VLOOKUP(G255,Basic_Data!$E$2:$I$9,5,0),"")</f>
        <v/>
      </c>
      <c r="I255" s="21">
        <v>0</v>
      </c>
      <c r="J255" s="21">
        <v>0</v>
      </c>
      <c r="K255" s="31">
        <v>0</v>
      </c>
      <c r="L255" s="31">
        <v>0</v>
      </c>
      <c r="M255" s="21">
        <f t="shared" ref="M255" si="149">IFERROR(I255-J255,"")</f>
        <v>0</v>
      </c>
      <c r="N255" s="21" t="s">
        <v>229</v>
      </c>
    </row>
    <row r="256" spans="1:14" ht="15">
      <c r="A256" s="18">
        <v>45986</v>
      </c>
      <c r="B256" s="19">
        <v>45986</v>
      </c>
      <c r="C256" s="21">
        <v>0</v>
      </c>
      <c r="D256" s="21">
        <v>0</v>
      </c>
      <c r="E256" s="21">
        <v>0</v>
      </c>
      <c r="F256" s="21">
        <v>0</v>
      </c>
      <c r="G256" s="21"/>
      <c r="H256" s="21" t="str">
        <f>IFERROR(VLOOKUP(G256,Basic_Data!$E$2:$I$9,5,0),"")</f>
        <v/>
      </c>
      <c r="I256" s="21">
        <v>0</v>
      </c>
      <c r="J256" s="21">
        <v>0</v>
      </c>
      <c r="K256" s="31">
        <v>0</v>
      </c>
      <c r="L256" s="31">
        <v>0</v>
      </c>
      <c r="M256" s="21">
        <f t="shared" ref="M256" si="150">IFERROR(I256-J256,"")</f>
        <v>0</v>
      </c>
      <c r="N256" s="21" t="s">
        <v>229</v>
      </c>
    </row>
    <row r="257" spans="1:14" ht="15">
      <c r="A257" s="18">
        <v>45987</v>
      </c>
      <c r="B257" s="19">
        <v>45987</v>
      </c>
      <c r="C257" s="21">
        <v>0</v>
      </c>
      <c r="D257" s="21">
        <v>0</v>
      </c>
      <c r="E257" s="21">
        <v>0</v>
      </c>
      <c r="F257" s="21">
        <v>0</v>
      </c>
      <c r="G257" s="21"/>
      <c r="H257" s="21" t="str">
        <f>IFERROR(VLOOKUP(G257,Basic_Data!$E$2:$I$9,5,0),"")</f>
        <v/>
      </c>
      <c r="I257" s="21">
        <v>0</v>
      </c>
      <c r="J257" s="21">
        <v>0</v>
      </c>
      <c r="K257" s="31">
        <v>0</v>
      </c>
      <c r="L257" s="31">
        <v>0</v>
      </c>
      <c r="M257" s="21">
        <f t="shared" ref="M257" si="151">IFERROR(I257-J257,"")</f>
        <v>0</v>
      </c>
      <c r="N257" s="21" t="s">
        <v>229</v>
      </c>
    </row>
    <row r="258" spans="1:14" ht="15">
      <c r="A258" s="18">
        <v>45988</v>
      </c>
      <c r="B258" s="19">
        <v>45988</v>
      </c>
      <c r="C258" s="21">
        <v>0</v>
      </c>
      <c r="D258" s="21">
        <v>0</v>
      </c>
      <c r="E258" s="21">
        <v>0</v>
      </c>
      <c r="F258" s="21">
        <v>0</v>
      </c>
      <c r="G258" s="21"/>
      <c r="H258" s="21" t="str">
        <f>IFERROR(VLOOKUP(G258,Basic_Data!$E$2:$I$9,5,0),"")</f>
        <v/>
      </c>
      <c r="I258" s="21">
        <v>0</v>
      </c>
      <c r="J258" s="21">
        <v>0</v>
      </c>
      <c r="K258" s="31">
        <v>0</v>
      </c>
      <c r="L258" s="31">
        <v>0</v>
      </c>
      <c r="M258" s="21">
        <f t="shared" ref="M258" si="152">IFERROR(I258-J258,"")</f>
        <v>0</v>
      </c>
      <c r="N258" s="21" t="s">
        <v>229</v>
      </c>
    </row>
    <row r="259" spans="1:14" ht="15">
      <c r="A259" s="18">
        <v>45989</v>
      </c>
      <c r="B259" s="19">
        <v>45989</v>
      </c>
      <c r="C259" s="21">
        <v>0</v>
      </c>
      <c r="D259" s="21">
        <v>0</v>
      </c>
      <c r="E259" s="21">
        <v>0</v>
      </c>
      <c r="F259" s="21">
        <v>0</v>
      </c>
      <c r="G259" s="21"/>
      <c r="H259" s="21" t="str">
        <f>IFERROR(VLOOKUP(G259,Basic_Data!$E$2:$I$9,5,0),"")</f>
        <v/>
      </c>
      <c r="I259" s="21">
        <v>0</v>
      </c>
      <c r="J259" s="21">
        <v>0</v>
      </c>
      <c r="K259" s="31">
        <v>0</v>
      </c>
      <c r="L259" s="31">
        <v>0</v>
      </c>
      <c r="M259" s="21">
        <f t="shared" ref="M259" si="153">IFERROR(I259-J259,"")</f>
        <v>0</v>
      </c>
      <c r="N259" s="21" t="s">
        <v>229</v>
      </c>
    </row>
    <row r="260" spans="1:14" ht="15">
      <c r="A260" s="18">
        <v>45990</v>
      </c>
      <c r="B260" s="19">
        <v>45990</v>
      </c>
      <c r="C260" s="21">
        <v>0</v>
      </c>
      <c r="D260" s="21">
        <v>0</v>
      </c>
      <c r="E260" s="21">
        <v>0</v>
      </c>
      <c r="F260" s="21">
        <v>0</v>
      </c>
      <c r="G260" s="21"/>
      <c r="H260" s="21" t="str">
        <f>IFERROR(VLOOKUP(G260,Basic_Data!$E$2:$I$9,5,0),"")</f>
        <v/>
      </c>
      <c r="I260" s="21">
        <v>0</v>
      </c>
      <c r="J260" s="21">
        <v>0</v>
      </c>
      <c r="K260" s="31">
        <v>0</v>
      </c>
      <c r="L260" s="31">
        <v>0</v>
      </c>
      <c r="M260" s="21">
        <f t="shared" ref="M260" si="154">IFERROR(I260-J260,"")</f>
        <v>0</v>
      </c>
      <c r="N260" s="21" t="s">
        <v>229</v>
      </c>
    </row>
    <row r="261" spans="1:14" ht="15">
      <c r="A261" s="18">
        <v>45991</v>
      </c>
      <c r="B261" s="19">
        <v>45991</v>
      </c>
      <c r="C261" s="21">
        <v>0</v>
      </c>
      <c r="D261" s="21">
        <v>0</v>
      </c>
      <c r="E261" s="21">
        <v>0</v>
      </c>
      <c r="F261" s="21">
        <v>0</v>
      </c>
      <c r="G261" s="21"/>
      <c r="H261" s="21" t="str">
        <f>IFERROR(VLOOKUP(G261,Basic_Data!$E$2:$I$9,5,0),"")</f>
        <v/>
      </c>
      <c r="I261" s="21">
        <v>0</v>
      </c>
      <c r="J261" s="21">
        <v>0</v>
      </c>
      <c r="K261" s="31">
        <v>0</v>
      </c>
      <c r="L261" s="31">
        <v>0</v>
      </c>
      <c r="M261" s="21">
        <f t="shared" ref="M261" si="155">IFERROR(I261-J261,"")</f>
        <v>0</v>
      </c>
      <c r="N261" s="21" t="s">
        <v>229</v>
      </c>
    </row>
    <row r="262" spans="1:14" ht="15">
      <c r="A262" s="18">
        <v>45992</v>
      </c>
      <c r="B262" s="19">
        <v>45992</v>
      </c>
      <c r="C262" s="21">
        <v>0</v>
      </c>
      <c r="D262" s="21">
        <v>0</v>
      </c>
      <c r="E262" s="21">
        <v>0</v>
      </c>
      <c r="F262" s="21">
        <v>0</v>
      </c>
      <c r="G262" s="21"/>
      <c r="H262" s="21" t="str">
        <f>IFERROR(VLOOKUP(G262,Basic_Data!$E$2:$I$9,5,0),"")</f>
        <v/>
      </c>
      <c r="I262" s="21">
        <v>0</v>
      </c>
      <c r="J262" s="21">
        <v>0</v>
      </c>
      <c r="K262" s="31">
        <v>0</v>
      </c>
      <c r="L262" s="31">
        <v>0</v>
      </c>
      <c r="M262" s="21">
        <f t="shared" ref="M262" si="156">IFERROR(I262-J262,"")</f>
        <v>0</v>
      </c>
      <c r="N262" s="21" t="s">
        <v>229</v>
      </c>
    </row>
    <row r="263" spans="1:14" ht="15">
      <c r="A263" s="18">
        <v>45993</v>
      </c>
      <c r="B263" s="19">
        <v>45993</v>
      </c>
      <c r="C263" s="21">
        <v>0</v>
      </c>
      <c r="D263" s="21">
        <v>0</v>
      </c>
      <c r="E263" s="21">
        <v>0</v>
      </c>
      <c r="F263" s="21">
        <v>0</v>
      </c>
      <c r="G263" s="21"/>
      <c r="H263" s="21" t="str">
        <f>IFERROR(VLOOKUP(G263,Basic_Data!$E$2:$I$9,5,0),"")</f>
        <v/>
      </c>
      <c r="I263" s="21">
        <v>0</v>
      </c>
      <c r="J263" s="21">
        <v>0</v>
      </c>
      <c r="K263" s="31">
        <v>0</v>
      </c>
      <c r="L263" s="31">
        <v>0</v>
      </c>
      <c r="M263" s="21">
        <f t="shared" ref="M263" si="157">IFERROR(I263-J263,"")</f>
        <v>0</v>
      </c>
      <c r="N263" s="21" t="s">
        <v>229</v>
      </c>
    </row>
    <row r="264" spans="1:14" ht="15">
      <c r="A264" s="18">
        <v>45994</v>
      </c>
      <c r="B264" s="19">
        <v>45994</v>
      </c>
      <c r="C264" s="21">
        <v>0</v>
      </c>
      <c r="D264" s="21">
        <v>0</v>
      </c>
      <c r="E264" s="21">
        <v>0</v>
      </c>
      <c r="F264" s="21">
        <v>0</v>
      </c>
      <c r="G264" s="21"/>
      <c r="H264" s="21" t="str">
        <f>IFERROR(VLOOKUP(G264,Basic_Data!$E$2:$I$9,5,0),"")</f>
        <v/>
      </c>
      <c r="I264" s="21">
        <v>0</v>
      </c>
      <c r="J264" s="21">
        <v>0</v>
      </c>
      <c r="K264" s="31">
        <v>0</v>
      </c>
      <c r="L264" s="31">
        <v>0</v>
      </c>
      <c r="M264" s="21">
        <f t="shared" ref="M264" si="158">IFERROR(I264-J264,"")</f>
        <v>0</v>
      </c>
      <c r="N264" s="21" t="s">
        <v>229</v>
      </c>
    </row>
    <row r="265" spans="1:14" ht="15">
      <c r="A265" s="18">
        <v>45995</v>
      </c>
      <c r="B265" s="19">
        <v>45995</v>
      </c>
      <c r="C265" s="21">
        <v>0</v>
      </c>
      <c r="D265" s="21">
        <v>0</v>
      </c>
      <c r="E265" s="21">
        <v>0</v>
      </c>
      <c r="F265" s="21">
        <v>0</v>
      </c>
      <c r="G265" s="21"/>
      <c r="H265" s="21" t="str">
        <f>IFERROR(VLOOKUP(G265,Basic_Data!$E$2:$I$9,5,0),"")</f>
        <v/>
      </c>
      <c r="I265" s="21">
        <v>0</v>
      </c>
      <c r="J265" s="21">
        <v>0</v>
      </c>
      <c r="K265" s="31">
        <v>0</v>
      </c>
      <c r="L265" s="31">
        <v>0</v>
      </c>
      <c r="M265" s="21">
        <f t="shared" ref="M265" si="159">IFERROR(I265-J265,"")</f>
        <v>0</v>
      </c>
      <c r="N265" s="21" t="s">
        <v>229</v>
      </c>
    </row>
    <row r="266" spans="1:14" ht="15">
      <c r="A266" s="18">
        <v>45996</v>
      </c>
      <c r="B266" s="19">
        <v>45996</v>
      </c>
      <c r="C266" s="21">
        <v>0</v>
      </c>
      <c r="D266" s="21">
        <v>0</v>
      </c>
      <c r="E266" s="21">
        <v>0</v>
      </c>
      <c r="F266" s="21">
        <v>0</v>
      </c>
      <c r="G266" s="21"/>
      <c r="H266" s="21" t="str">
        <f>IFERROR(VLOOKUP(G266,Basic_Data!$E$2:$I$9,5,0),"")</f>
        <v/>
      </c>
      <c r="I266" s="21">
        <v>0</v>
      </c>
      <c r="J266" s="21">
        <v>0</v>
      </c>
      <c r="K266" s="31">
        <v>0</v>
      </c>
      <c r="L266" s="31">
        <v>0</v>
      </c>
      <c r="M266" s="21">
        <f t="shared" ref="M266" si="160">IFERROR(I266-J266,"")</f>
        <v>0</v>
      </c>
      <c r="N266" s="21" t="s">
        <v>229</v>
      </c>
    </row>
    <row r="267" spans="1:14" ht="15">
      <c r="A267" s="18">
        <v>45997</v>
      </c>
      <c r="B267" s="19">
        <v>45997</v>
      </c>
      <c r="C267" s="21">
        <v>0</v>
      </c>
      <c r="D267" s="21">
        <v>0</v>
      </c>
      <c r="E267" s="21">
        <v>0</v>
      </c>
      <c r="F267" s="21">
        <v>0</v>
      </c>
      <c r="G267" s="21"/>
      <c r="H267" s="21" t="str">
        <f>IFERROR(VLOOKUP(G267,Basic_Data!$E$2:$I$9,5,0),"")</f>
        <v/>
      </c>
      <c r="I267" s="21">
        <v>0</v>
      </c>
      <c r="J267" s="21">
        <v>0</v>
      </c>
      <c r="K267" s="31">
        <v>0</v>
      </c>
      <c r="L267" s="31">
        <v>0</v>
      </c>
      <c r="M267" s="21">
        <f t="shared" ref="M267" si="161">IFERROR(I267-J267,"")</f>
        <v>0</v>
      </c>
      <c r="N267" s="21" t="s">
        <v>229</v>
      </c>
    </row>
    <row r="268" spans="1:14" ht="15">
      <c r="A268" s="18">
        <v>45998</v>
      </c>
      <c r="B268" s="19">
        <v>45998</v>
      </c>
      <c r="C268" s="21">
        <v>0</v>
      </c>
      <c r="D268" s="21">
        <v>0</v>
      </c>
      <c r="E268" s="21">
        <v>0</v>
      </c>
      <c r="F268" s="21">
        <v>0</v>
      </c>
      <c r="G268" s="21"/>
      <c r="H268" s="21" t="str">
        <f>IFERROR(VLOOKUP(G268,Basic_Data!$E$2:$I$9,5,0),"")</f>
        <v/>
      </c>
      <c r="I268" s="21">
        <v>0</v>
      </c>
      <c r="J268" s="21">
        <v>0</v>
      </c>
      <c r="K268" s="31">
        <v>0</v>
      </c>
      <c r="L268" s="31">
        <v>0</v>
      </c>
      <c r="M268" s="21">
        <f t="shared" ref="M268" si="162">IFERROR(I268-J268,"")</f>
        <v>0</v>
      </c>
      <c r="N268" s="21" t="s">
        <v>229</v>
      </c>
    </row>
    <row r="269" spans="1:14" ht="15">
      <c r="A269" s="18">
        <v>45999</v>
      </c>
      <c r="B269" s="19">
        <v>45999</v>
      </c>
      <c r="C269" s="21">
        <v>1</v>
      </c>
      <c r="D269" s="21">
        <v>3000</v>
      </c>
      <c r="E269" s="21">
        <v>0</v>
      </c>
      <c r="F269" s="21">
        <v>1</v>
      </c>
      <c r="G269" s="21" t="s">
        <v>21</v>
      </c>
      <c r="H269" s="21">
        <f>IFERROR(VLOOKUP(G269,Basic_Data!$E$2:$I$9,5,0),"")</f>
        <v>8</v>
      </c>
      <c r="I269" s="21">
        <f>IFERROR(VLOOKUP($G269,Basic_Data!$E$2:$H$10,4,0),"")</f>
        <v>644</v>
      </c>
      <c r="J269" s="21">
        <v>644</v>
      </c>
      <c r="K269" s="31">
        <f>IFERROR(VLOOKUP($B269-1,Inverter_PR!$B:$I,Module_Cleaning!H269,0),"")</f>
        <v>1.1321580414733801</v>
      </c>
      <c r="L269" s="31">
        <f>IFERROR(VLOOKUP($B269+1,Inverter_PR!$B:$I,Module_Cleaning!H269,0),"")</f>
        <v>1.2322191050806599</v>
      </c>
      <c r="M269" s="21">
        <f t="shared" ref="M269:M274" si="163">IFERROR(I269-J269,"")</f>
        <v>0</v>
      </c>
      <c r="N269" s="21" t="s">
        <v>228</v>
      </c>
    </row>
    <row r="270" spans="1:14" ht="15">
      <c r="A270" s="18">
        <v>46000</v>
      </c>
      <c r="B270" s="19">
        <v>46000</v>
      </c>
      <c r="C270" s="21">
        <v>3</v>
      </c>
      <c r="D270" s="21">
        <v>6000</v>
      </c>
      <c r="E270" s="21"/>
      <c r="F270" s="21">
        <v>1</v>
      </c>
      <c r="G270" s="21" t="s">
        <v>20</v>
      </c>
      <c r="H270" s="21">
        <f>IFERROR(VLOOKUP(G270,Basic_Data!$E$2:$I$9,5,0),"")</f>
        <v>7</v>
      </c>
      <c r="I270" s="21">
        <f>IFERROR(VLOOKUP($G270,Basic_Data!$E$2:$H$10,4,0),"")</f>
        <v>644</v>
      </c>
      <c r="J270" s="21">
        <v>644</v>
      </c>
      <c r="K270" s="31">
        <f>IFERROR(VLOOKUP($B270-1,Inverter_PR!$B:$I,Module_Cleaning!H270,0),"")</f>
        <v>1.13545945697596</v>
      </c>
      <c r="L270" s="31">
        <f>IFERROR(VLOOKUP($B270+1,Inverter_PR!$B:$I,Module_Cleaning!H270,0),"")</f>
        <v>1.0716054161647901</v>
      </c>
      <c r="M270" s="21">
        <f t="shared" si="163"/>
        <v>0</v>
      </c>
      <c r="N270" s="21" t="s">
        <v>228</v>
      </c>
    </row>
    <row r="271" spans="1:14" ht="15">
      <c r="A271" s="18"/>
      <c r="B271" s="19"/>
      <c r="C271" s="21"/>
      <c r="D271" s="21"/>
      <c r="E271" s="21"/>
      <c r="F271" s="21">
        <v>1</v>
      </c>
      <c r="G271" s="21" t="s">
        <v>19</v>
      </c>
      <c r="H271" s="21"/>
      <c r="I271" s="21"/>
      <c r="J271" s="21">
        <v>644</v>
      </c>
      <c r="K271" s="31"/>
      <c r="L271" s="31"/>
      <c r="M271" s="21"/>
      <c r="N271" s="21" t="s">
        <v>228</v>
      </c>
    </row>
    <row r="272" spans="1:14" ht="15">
      <c r="A272" s="18">
        <v>46001</v>
      </c>
      <c r="B272" s="19">
        <v>46001</v>
      </c>
      <c r="C272" s="21">
        <v>2</v>
      </c>
      <c r="D272" s="21">
        <v>5000</v>
      </c>
      <c r="E272" s="21"/>
      <c r="F272" s="21">
        <v>1</v>
      </c>
      <c r="G272" s="21" t="s">
        <v>18</v>
      </c>
      <c r="H272" s="21">
        <f>IFERROR(VLOOKUP(G272,Basic_Data!$E$2:$I$9,5,0),"")</f>
        <v>5</v>
      </c>
      <c r="I272" s="21">
        <f>IFERROR(VLOOKUP($G272,Basic_Data!$E$2:$H$10,4,0),"")</f>
        <v>644</v>
      </c>
      <c r="J272" s="21">
        <v>644</v>
      </c>
      <c r="K272" s="31">
        <f>IFERROR(VLOOKUP($B272-1,Inverter_PR!$B:$I,Module_Cleaning!H272,0),"")</f>
        <v>1.18952301939212</v>
      </c>
      <c r="L272" s="31">
        <f>IFERROR(VLOOKUP($B272+1,Inverter_PR!$B:$I,Module_Cleaning!H272,0),"")</f>
        <v>1.2499793764806499</v>
      </c>
      <c r="M272" s="21">
        <f t="shared" si="163"/>
        <v>0</v>
      </c>
      <c r="N272" s="21" t="s">
        <v>228</v>
      </c>
    </row>
    <row r="273" spans="1:14" ht="15">
      <c r="A273" s="18"/>
      <c r="B273" s="19"/>
      <c r="C273" s="21"/>
      <c r="D273" s="21"/>
      <c r="E273" s="21"/>
      <c r="F273" s="21">
        <v>1</v>
      </c>
      <c r="G273" s="21" t="s">
        <v>16</v>
      </c>
      <c r="H273" s="21"/>
      <c r="I273" s="21"/>
      <c r="J273" s="21"/>
      <c r="K273" s="31"/>
      <c r="L273" s="31"/>
      <c r="M273" s="21"/>
      <c r="N273" s="21" t="s">
        <v>228</v>
      </c>
    </row>
    <row r="274" spans="1:14" ht="15">
      <c r="A274" s="18">
        <v>46002</v>
      </c>
      <c r="B274" s="19">
        <v>46002</v>
      </c>
      <c r="C274" s="21"/>
      <c r="D274" s="21"/>
      <c r="E274" s="21"/>
      <c r="F274" s="21">
        <v>1</v>
      </c>
      <c r="G274" s="21" t="s">
        <v>17</v>
      </c>
      <c r="H274" s="21">
        <f>IFERROR(VLOOKUP(G274,Basic_Data!$E$2:$I$9,5,0),"")</f>
        <v>4</v>
      </c>
      <c r="I274" s="21">
        <f>IFERROR(VLOOKUP($G274,Basic_Data!$E$2:$H$10,4,0),"")</f>
        <v>616</v>
      </c>
      <c r="J274" s="21">
        <v>616</v>
      </c>
      <c r="K274" s="31">
        <f>IFERROR(VLOOKUP($B274-1,Inverter_PR!$B:$I,Module_Cleaning!H274,0),"")</f>
        <v>1.03651818496804</v>
      </c>
      <c r="L274" s="31">
        <f>IFERROR(VLOOKUP($B274+1,Inverter_PR!$B:$I,Module_Cleaning!H274,0),"")</f>
        <v>1.15443305451043</v>
      </c>
      <c r="M274" s="21">
        <f t="shared" si="163"/>
        <v>0</v>
      </c>
      <c r="N274" s="21" t="s">
        <v>228</v>
      </c>
    </row>
    <row r="275" spans="1:14" ht="15">
      <c r="A275" s="18"/>
      <c r="B275" s="19"/>
      <c r="C275" s="21"/>
      <c r="D275" s="21"/>
      <c r="E275" s="21"/>
      <c r="F275" s="21">
        <v>1</v>
      </c>
      <c r="G275" s="21" t="s">
        <v>15</v>
      </c>
      <c r="H275" s="21"/>
      <c r="I275" s="21">
        <f>IFERROR(VLOOKUP($G275,Basic_Data!$E$2:$H$10,4,0),"")</f>
        <v>616</v>
      </c>
      <c r="J275" s="21">
        <v>616</v>
      </c>
      <c r="K275" s="31"/>
      <c r="L275" s="31"/>
      <c r="M275" s="21"/>
      <c r="N275" s="21" t="s">
        <v>228</v>
      </c>
    </row>
    <row r="276" spans="1:14" ht="15">
      <c r="A276" s="18">
        <v>46003</v>
      </c>
      <c r="B276" s="19">
        <v>46003</v>
      </c>
      <c r="C276" s="21">
        <v>0</v>
      </c>
      <c r="D276" s="21">
        <v>0</v>
      </c>
      <c r="E276" s="21">
        <v>0</v>
      </c>
      <c r="F276" s="21"/>
      <c r="G276" s="21"/>
      <c r="H276" s="21" t="str">
        <f>IFERROR(VLOOKUP(G276,Basic_Data!$E$2:$I$9,5,0),"")</f>
        <v/>
      </c>
      <c r="I276" s="21">
        <v>0</v>
      </c>
      <c r="J276" s="21">
        <v>0</v>
      </c>
      <c r="K276" s="31">
        <v>0</v>
      </c>
      <c r="L276" s="31" t="str">
        <f>IFERROR(VLOOKUP($B276+1,Inverter_PR!$B:$I,Module_Cleaning!H276,0),"")</f>
        <v/>
      </c>
      <c r="M276" s="21">
        <v>0</v>
      </c>
      <c r="N276" s="21" t="s">
        <v>229</v>
      </c>
    </row>
    <row r="277" spans="1:14" ht="15">
      <c r="A277" s="18">
        <v>46004</v>
      </c>
      <c r="B277" s="19">
        <v>46004</v>
      </c>
      <c r="C277" s="21">
        <v>0</v>
      </c>
      <c r="D277" s="21">
        <v>0</v>
      </c>
      <c r="E277" s="21">
        <v>0</v>
      </c>
      <c r="F277" s="21"/>
      <c r="G277" s="21"/>
      <c r="H277" s="21" t="str">
        <f>IFERROR(VLOOKUP(G277,Basic_Data!$E$2:$I$9,5,0),"")</f>
        <v/>
      </c>
      <c r="I277" s="21">
        <v>0</v>
      </c>
      <c r="J277" s="21">
        <v>0</v>
      </c>
      <c r="K277" s="31">
        <v>0</v>
      </c>
      <c r="L277" s="31" t="str">
        <f>IFERROR(VLOOKUP($B277+1,Inverter_PR!$B:$I,Module_Cleaning!H277,0),"")</f>
        <v/>
      </c>
      <c r="M277" s="21">
        <v>0</v>
      </c>
      <c r="N277" s="21" t="s">
        <v>229</v>
      </c>
    </row>
    <row r="278" spans="1:14" ht="15">
      <c r="A278" s="18">
        <v>46005</v>
      </c>
      <c r="B278" s="19">
        <v>46005</v>
      </c>
      <c r="C278" s="21">
        <v>0</v>
      </c>
      <c r="D278" s="21">
        <v>0</v>
      </c>
      <c r="E278" s="21">
        <v>0</v>
      </c>
      <c r="F278" s="21"/>
      <c r="G278" s="21"/>
      <c r="H278" s="21" t="str">
        <f>IFERROR(VLOOKUP(G278,Basic_Data!$E$2:$I$9,5,0),"")</f>
        <v/>
      </c>
      <c r="I278" s="21">
        <v>0</v>
      </c>
      <c r="J278" s="21">
        <v>0</v>
      </c>
      <c r="K278" s="31">
        <v>0</v>
      </c>
      <c r="L278" s="31" t="str">
        <f>IFERROR(VLOOKUP($B278+1,Inverter_PR!$B:$I,Module_Cleaning!H278,0),"")</f>
        <v/>
      </c>
      <c r="M278" s="21">
        <v>0</v>
      </c>
      <c r="N278" s="21" t="s">
        <v>229</v>
      </c>
    </row>
    <row r="279" spans="1:14" ht="15">
      <c r="A279" s="18">
        <v>46006</v>
      </c>
      <c r="B279" s="19">
        <v>46006</v>
      </c>
      <c r="C279" s="21">
        <v>0</v>
      </c>
      <c r="D279" s="21">
        <v>0</v>
      </c>
      <c r="E279" s="21">
        <v>0</v>
      </c>
      <c r="F279" s="21"/>
      <c r="G279" s="21"/>
      <c r="H279" s="21" t="str">
        <f>IFERROR(VLOOKUP(G279,Basic_Data!$E$2:$I$9,5,0),"")</f>
        <v/>
      </c>
      <c r="I279" s="21">
        <v>0</v>
      </c>
      <c r="J279" s="21">
        <v>0</v>
      </c>
      <c r="K279" s="31">
        <v>0</v>
      </c>
      <c r="L279" s="31" t="str">
        <f>IFERROR(VLOOKUP($B279+1,Inverter_PR!$B:$I,Module_Cleaning!H279,0),"")</f>
        <v/>
      </c>
      <c r="M279" s="21">
        <v>0</v>
      </c>
      <c r="N279" s="21" t="s">
        <v>229</v>
      </c>
    </row>
    <row r="280" spans="1:14" ht="15">
      <c r="A280" s="18">
        <v>46007</v>
      </c>
      <c r="B280" s="19">
        <v>46007</v>
      </c>
      <c r="C280" s="21">
        <v>0</v>
      </c>
      <c r="D280" s="21">
        <v>0</v>
      </c>
      <c r="E280" s="21">
        <v>0</v>
      </c>
      <c r="F280" s="21"/>
      <c r="G280" s="21"/>
      <c r="H280" s="21" t="str">
        <f>IFERROR(VLOOKUP(G280,Basic_Data!$E$2:$I$9,5,0),"")</f>
        <v/>
      </c>
      <c r="I280" s="21">
        <v>0</v>
      </c>
      <c r="J280" s="21">
        <v>0</v>
      </c>
      <c r="K280" s="31">
        <v>0</v>
      </c>
      <c r="L280" s="31" t="str">
        <f>IFERROR(VLOOKUP($B280+1,Inverter_PR!$B:$I,Module_Cleaning!H280,0),"")</f>
        <v/>
      </c>
      <c r="M280" s="21">
        <v>0</v>
      </c>
      <c r="N280" s="21" t="s">
        <v>229</v>
      </c>
    </row>
    <row r="281" spans="1:14" ht="15">
      <c r="A281" s="18">
        <v>46008</v>
      </c>
      <c r="B281" s="19">
        <v>46008</v>
      </c>
      <c r="C281" s="21">
        <v>0</v>
      </c>
      <c r="D281" s="21">
        <v>0</v>
      </c>
      <c r="E281" s="21">
        <v>0</v>
      </c>
      <c r="F281" s="21"/>
      <c r="G281" s="21"/>
      <c r="H281" s="21" t="str">
        <f>IFERROR(VLOOKUP(G281,Basic_Data!$E$2:$I$9,5,0),"")</f>
        <v/>
      </c>
      <c r="I281" s="21">
        <v>0</v>
      </c>
      <c r="J281" s="21">
        <v>0</v>
      </c>
      <c r="K281" s="31">
        <v>0</v>
      </c>
      <c r="L281" s="31" t="str">
        <f>IFERROR(VLOOKUP($B281+1,Inverter_PR!$B:$I,Module_Cleaning!H281,0),"")</f>
        <v/>
      </c>
      <c r="M281" s="21">
        <v>0</v>
      </c>
      <c r="N281" s="21" t="s">
        <v>229</v>
      </c>
    </row>
    <row r="282" spans="1:14" ht="15">
      <c r="A282" s="18">
        <v>46009</v>
      </c>
      <c r="B282" s="19">
        <v>46009</v>
      </c>
      <c r="C282" s="21">
        <v>0</v>
      </c>
      <c r="D282" s="21">
        <v>0</v>
      </c>
      <c r="E282" s="21">
        <v>0</v>
      </c>
      <c r="F282" s="21"/>
      <c r="G282" s="21"/>
      <c r="H282" s="21" t="str">
        <f>IFERROR(VLOOKUP(G282,Basic_Data!$E$2:$I$9,5,0),"")</f>
        <v/>
      </c>
      <c r="I282" s="21">
        <v>0</v>
      </c>
      <c r="J282" s="21">
        <v>0</v>
      </c>
      <c r="K282" s="31">
        <v>0</v>
      </c>
      <c r="L282" s="31" t="str">
        <f>IFERROR(VLOOKUP($B282+1,Inverter_PR!$B:$I,Module_Cleaning!H282,0),"")</f>
        <v/>
      </c>
      <c r="M282" s="21">
        <v>0</v>
      </c>
      <c r="N282" s="21" t="s">
        <v>229</v>
      </c>
    </row>
    <row r="283" spans="1:14" ht="15">
      <c r="A283" s="18">
        <v>46010</v>
      </c>
      <c r="B283" s="19">
        <v>46010</v>
      </c>
      <c r="C283" s="21">
        <v>0</v>
      </c>
      <c r="D283" s="21">
        <v>0</v>
      </c>
      <c r="E283" s="21">
        <v>0</v>
      </c>
      <c r="F283" s="21"/>
      <c r="G283" s="21"/>
      <c r="H283" s="21" t="str">
        <f>IFERROR(VLOOKUP(G283,Basic_Data!$E$2:$I$9,5,0),"")</f>
        <v/>
      </c>
      <c r="I283" s="21">
        <v>0</v>
      </c>
      <c r="J283" s="21">
        <v>0</v>
      </c>
      <c r="K283" s="31">
        <v>0</v>
      </c>
      <c r="L283" s="31" t="str">
        <f>IFERROR(VLOOKUP($B283+1,Inverter_PR!$B:$I,Module_Cleaning!H283,0),"")</f>
        <v/>
      </c>
      <c r="M283" s="21">
        <v>0</v>
      </c>
      <c r="N283" s="21" t="s">
        <v>229</v>
      </c>
    </row>
    <row r="284" spans="1:14" ht="15">
      <c r="A284" s="18">
        <v>46011</v>
      </c>
      <c r="B284" s="19">
        <v>46011</v>
      </c>
      <c r="C284" s="21">
        <v>0</v>
      </c>
      <c r="D284" s="21">
        <v>0</v>
      </c>
      <c r="E284" s="21">
        <v>0</v>
      </c>
      <c r="F284" s="21"/>
      <c r="G284" s="21"/>
      <c r="H284" s="21" t="str">
        <f>IFERROR(VLOOKUP(G284,Basic_Data!$E$2:$I$9,5,0),"")</f>
        <v/>
      </c>
      <c r="I284" s="21">
        <v>0</v>
      </c>
      <c r="J284" s="21">
        <v>0</v>
      </c>
      <c r="K284" s="31">
        <v>0</v>
      </c>
      <c r="L284" s="31" t="str">
        <f>IFERROR(VLOOKUP($B284+1,Inverter_PR!$B:$I,Module_Cleaning!H284,0),"")</f>
        <v/>
      </c>
      <c r="M284" s="21">
        <v>0</v>
      </c>
      <c r="N284" s="21" t="s">
        <v>229</v>
      </c>
    </row>
    <row r="285" spans="1:14" ht="15">
      <c r="A285" s="18">
        <v>46012</v>
      </c>
      <c r="B285" s="19">
        <v>46012</v>
      </c>
      <c r="C285" s="21">
        <v>0</v>
      </c>
      <c r="D285" s="21">
        <v>0</v>
      </c>
      <c r="E285" s="21">
        <v>0</v>
      </c>
      <c r="F285" s="21"/>
      <c r="G285" s="21"/>
      <c r="H285" s="21" t="str">
        <f>IFERROR(VLOOKUP(G285,Basic_Data!$E$2:$I$9,5,0),"")</f>
        <v/>
      </c>
      <c r="I285" s="21">
        <v>0</v>
      </c>
      <c r="J285" s="21">
        <v>0</v>
      </c>
      <c r="K285" s="31">
        <v>0</v>
      </c>
      <c r="L285" s="31" t="str">
        <f>IFERROR(VLOOKUP($B285+1,Inverter_PR!$B:$I,Module_Cleaning!H285,0),"")</f>
        <v/>
      </c>
      <c r="M285" s="21">
        <v>0</v>
      </c>
      <c r="N285" s="21" t="s">
        <v>229</v>
      </c>
    </row>
    <row r="286" spans="1:14" ht="15">
      <c r="A286" s="18">
        <v>46013</v>
      </c>
      <c r="B286" s="19">
        <v>46013</v>
      </c>
      <c r="C286" s="21">
        <v>0</v>
      </c>
      <c r="D286" s="21">
        <v>0</v>
      </c>
      <c r="E286" s="21">
        <v>0</v>
      </c>
      <c r="F286" s="21"/>
      <c r="G286" s="21"/>
      <c r="H286" s="21" t="str">
        <f>IFERROR(VLOOKUP(G286,Basic_Data!$E$2:$I$9,5,0),"")</f>
        <v/>
      </c>
      <c r="I286" s="21">
        <v>0</v>
      </c>
      <c r="J286" s="21">
        <v>0</v>
      </c>
      <c r="K286" s="31">
        <v>0</v>
      </c>
      <c r="L286" s="31" t="str">
        <f>IFERROR(VLOOKUP($B286+1,Inverter_PR!$B:$I,Module_Cleaning!H286,0),"")</f>
        <v/>
      </c>
      <c r="M286" s="21">
        <v>0</v>
      </c>
      <c r="N286" s="21" t="s">
        <v>229</v>
      </c>
    </row>
    <row r="287" spans="1:14" ht="15">
      <c r="A287" s="18">
        <v>46014</v>
      </c>
      <c r="B287" s="19">
        <v>46014</v>
      </c>
      <c r="C287" s="21">
        <v>0</v>
      </c>
      <c r="D287" s="21">
        <v>0</v>
      </c>
      <c r="E287" s="21">
        <v>0</v>
      </c>
      <c r="F287" s="21"/>
      <c r="G287" s="21"/>
      <c r="H287" s="21" t="str">
        <f>IFERROR(VLOOKUP(G287,Basic_Data!$E$2:$I$9,5,0),"")</f>
        <v/>
      </c>
      <c r="I287" s="21">
        <v>0</v>
      </c>
      <c r="J287" s="21">
        <v>0</v>
      </c>
      <c r="K287" s="31">
        <v>0</v>
      </c>
      <c r="L287" s="31" t="str">
        <f>IFERROR(VLOOKUP($B287+1,Inverter_PR!$B:$I,Module_Cleaning!H287,0),"")</f>
        <v/>
      </c>
      <c r="M287" s="21">
        <v>0</v>
      </c>
      <c r="N287" s="21" t="s">
        <v>229</v>
      </c>
    </row>
    <row r="288" spans="1:14" ht="15">
      <c r="A288" s="18">
        <v>46015</v>
      </c>
      <c r="B288" s="19">
        <v>46015</v>
      </c>
      <c r="C288" s="21">
        <v>0</v>
      </c>
      <c r="D288" s="21">
        <v>0</v>
      </c>
      <c r="E288" s="21">
        <v>0</v>
      </c>
      <c r="F288" s="21"/>
      <c r="G288" s="21"/>
      <c r="H288" s="21" t="str">
        <f>IFERROR(VLOOKUP(G288,Basic_Data!$E$2:$I$9,5,0),"")</f>
        <v/>
      </c>
      <c r="I288" s="21">
        <v>0</v>
      </c>
      <c r="J288" s="21">
        <v>0</v>
      </c>
      <c r="K288" s="31">
        <v>0</v>
      </c>
      <c r="L288" s="31" t="str">
        <f>IFERROR(VLOOKUP($B288+1,Inverter_PR!$B:$I,Module_Cleaning!H288,0),"")</f>
        <v/>
      </c>
      <c r="M288" s="21">
        <v>0</v>
      </c>
      <c r="N288" s="21" t="s">
        <v>229</v>
      </c>
    </row>
    <row r="289" spans="1:14" ht="15">
      <c r="A289" s="18">
        <v>46016</v>
      </c>
      <c r="B289" s="19">
        <v>46016</v>
      </c>
      <c r="C289" s="21">
        <v>0</v>
      </c>
      <c r="D289" s="21">
        <v>0</v>
      </c>
      <c r="E289" s="21">
        <v>0</v>
      </c>
      <c r="F289" s="21"/>
      <c r="G289" s="21"/>
      <c r="H289" s="21" t="str">
        <f>IFERROR(VLOOKUP(G289,Basic_Data!$E$2:$I$9,5,0),"")</f>
        <v/>
      </c>
      <c r="I289" s="21">
        <v>0</v>
      </c>
      <c r="J289" s="21">
        <v>0</v>
      </c>
      <c r="K289" s="31">
        <v>0</v>
      </c>
      <c r="L289" s="31" t="str">
        <f>IFERROR(VLOOKUP($B289+1,Inverter_PR!$B:$I,Module_Cleaning!H289,0),"")</f>
        <v/>
      </c>
      <c r="M289" s="21">
        <v>0</v>
      </c>
      <c r="N289" s="21" t="s">
        <v>229</v>
      </c>
    </row>
    <row r="290" spans="1:14" ht="15">
      <c r="A290" s="18">
        <v>46017</v>
      </c>
      <c r="B290" s="19">
        <v>46017</v>
      </c>
      <c r="C290" s="21">
        <v>0</v>
      </c>
      <c r="D290" s="21">
        <v>0</v>
      </c>
      <c r="E290" s="21">
        <v>0</v>
      </c>
      <c r="F290" s="21"/>
      <c r="G290" s="21"/>
      <c r="H290" s="21" t="str">
        <f>IFERROR(VLOOKUP(G290,Basic_Data!$E$2:$I$9,5,0),"")</f>
        <v/>
      </c>
      <c r="I290" s="21">
        <v>0</v>
      </c>
      <c r="J290" s="21">
        <v>0</v>
      </c>
      <c r="K290" s="31">
        <v>0</v>
      </c>
      <c r="L290" s="31" t="str">
        <f>IFERROR(VLOOKUP($B290+1,Inverter_PR!$B:$I,Module_Cleaning!H290,0),"")</f>
        <v/>
      </c>
      <c r="M290" s="21">
        <v>0</v>
      </c>
      <c r="N290" s="21" t="s">
        <v>229</v>
      </c>
    </row>
    <row r="291" spans="1:14" ht="15">
      <c r="A291" s="18">
        <v>46018</v>
      </c>
      <c r="B291" s="19">
        <v>46018</v>
      </c>
      <c r="C291" s="21">
        <v>0</v>
      </c>
      <c r="D291" s="21">
        <v>0</v>
      </c>
      <c r="E291" s="21">
        <v>0</v>
      </c>
      <c r="F291" s="21"/>
      <c r="G291" s="21"/>
      <c r="H291" s="21" t="str">
        <f>IFERROR(VLOOKUP(G291,Basic_Data!$E$2:$I$9,5,0),"")</f>
        <v/>
      </c>
      <c r="I291" s="21">
        <v>0</v>
      </c>
      <c r="J291" s="21">
        <v>0</v>
      </c>
      <c r="K291" s="31">
        <v>0</v>
      </c>
      <c r="L291" s="31" t="str">
        <f>IFERROR(VLOOKUP($B291+1,Inverter_PR!$B:$I,Module_Cleaning!H291,0),"")</f>
        <v/>
      </c>
      <c r="M291" s="21">
        <v>0</v>
      </c>
      <c r="N291" s="21" t="s">
        <v>229</v>
      </c>
    </row>
    <row r="292" spans="1:14" ht="15">
      <c r="A292" s="18">
        <v>46019</v>
      </c>
      <c r="B292" s="19">
        <v>46019</v>
      </c>
      <c r="C292" s="21">
        <v>0</v>
      </c>
      <c r="D292" s="21">
        <v>0</v>
      </c>
      <c r="E292" s="21">
        <v>0</v>
      </c>
      <c r="F292" s="21"/>
      <c r="G292" s="21"/>
      <c r="H292" s="21" t="str">
        <f>IFERROR(VLOOKUP(G292,Basic_Data!$E$2:$I$9,5,0),"")</f>
        <v/>
      </c>
      <c r="I292" s="21">
        <v>0</v>
      </c>
      <c r="J292" s="21">
        <v>0</v>
      </c>
      <c r="K292" s="31">
        <v>0</v>
      </c>
      <c r="L292" s="31" t="str">
        <f>IFERROR(VLOOKUP($B292+1,Inverter_PR!$B:$I,Module_Cleaning!H292,0),"")</f>
        <v/>
      </c>
      <c r="M292" s="21">
        <v>0</v>
      </c>
      <c r="N292" s="21" t="s">
        <v>229</v>
      </c>
    </row>
    <row r="293" spans="1:14" ht="15">
      <c r="A293" s="18">
        <v>46020</v>
      </c>
      <c r="B293" s="19">
        <v>46020</v>
      </c>
      <c r="C293" s="21">
        <v>0</v>
      </c>
      <c r="D293" s="21">
        <v>0</v>
      </c>
      <c r="E293" s="21">
        <v>0</v>
      </c>
      <c r="F293" s="21"/>
      <c r="G293" s="21"/>
      <c r="H293" s="21" t="str">
        <f>IFERROR(VLOOKUP(G293,Basic_Data!$E$2:$I$9,5,0),"")</f>
        <v/>
      </c>
      <c r="I293" s="21">
        <v>0</v>
      </c>
      <c r="J293" s="21">
        <v>0</v>
      </c>
      <c r="K293" s="31">
        <v>0</v>
      </c>
      <c r="L293" s="31" t="str">
        <f>IFERROR(VLOOKUP($B293+1,Inverter_PR!$B:$I,Module_Cleaning!H293,0),"")</f>
        <v/>
      </c>
      <c r="M293" s="21">
        <v>0</v>
      </c>
      <c r="N293" s="21" t="s">
        <v>229</v>
      </c>
    </row>
    <row r="294" spans="1:14" ht="15">
      <c r="A294" s="18">
        <v>46021</v>
      </c>
      <c r="B294" s="19">
        <v>46021</v>
      </c>
      <c r="C294" s="21">
        <v>0</v>
      </c>
      <c r="D294" s="21">
        <v>0</v>
      </c>
      <c r="E294" s="21">
        <v>0</v>
      </c>
      <c r="F294" s="21"/>
      <c r="G294" s="21"/>
      <c r="H294" s="21" t="str">
        <f>IFERROR(VLOOKUP(G294,Basic_Data!$E$2:$I$9,5,0),"")</f>
        <v/>
      </c>
      <c r="I294" s="21">
        <v>0</v>
      </c>
      <c r="J294" s="21">
        <v>0</v>
      </c>
      <c r="K294" s="31">
        <v>0</v>
      </c>
      <c r="L294" s="31" t="str">
        <f>IFERROR(VLOOKUP($B294+1,Inverter_PR!$B:$I,Module_Cleaning!H294,0),"")</f>
        <v/>
      </c>
      <c r="M294" s="21">
        <v>0</v>
      </c>
      <c r="N294" s="21" t="s">
        <v>229</v>
      </c>
    </row>
    <row r="295" spans="1:14" ht="15">
      <c r="A295" s="18">
        <v>46022</v>
      </c>
      <c r="B295" s="19">
        <v>46022</v>
      </c>
      <c r="C295" s="21">
        <v>0</v>
      </c>
      <c r="D295" s="21">
        <v>0</v>
      </c>
      <c r="E295" s="21">
        <v>0</v>
      </c>
      <c r="F295" s="21"/>
      <c r="G295" s="21"/>
      <c r="H295" s="21" t="str">
        <f>IFERROR(VLOOKUP(G295,Basic_Data!$E$2:$I$9,5,0),"")</f>
        <v/>
      </c>
      <c r="I295" s="21">
        <v>0</v>
      </c>
      <c r="J295" s="21">
        <v>0</v>
      </c>
      <c r="K295" s="31">
        <v>0</v>
      </c>
      <c r="L295" s="31" t="str">
        <f>IFERROR(VLOOKUP($B295+1,Inverter_PR!$B:$I,Module_Cleaning!H295,0),"")</f>
        <v/>
      </c>
      <c r="M295" s="21">
        <v>0</v>
      </c>
      <c r="N295" s="21" t="s">
        <v>229</v>
      </c>
    </row>
    <row r="296" spans="1:14" ht="15">
      <c r="A296" s="18">
        <v>46023</v>
      </c>
      <c r="B296" s="19">
        <v>46023</v>
      </c>
      <c r="C296" s="21">
        <v>0</v>
      </c>
      <c r="D296" s="21">
        <v>0</v>
      </c>
      <c r="E296" s="21">
        <v>0</v>
      </c>
      <c r="F296" s="21"/>
      <c r="G296" s="21"/>
      <c r="H296" s="21" t="str">
        <f>IFERROR(VLOOKUP(G296,Basic_Data!$E$2:$I$9,5,0),"")</f>
        <v/>
      </c>
      <c r="I296" s="21">
        <v>0</v>
      </c>
      <c r="J296" s="21">
        <v>0</v>
      </c>
      <c r="K296" s="31">
        <v>0</v>
      </c>
      <c r="L296" s="31" t="str">
        <f>IFERROR(VLOOKUP($B296+1,Inverter_PR!$B:$I,Module_Cleaning!H296,0),"")</f>
        <v/>
      </c>
      <c r="M296" s="21">
        <v>0</v>
      </c>
      <c r="N296" s="21" t="s">
        <v>229</v>
      </c>
    </row>
    <row r="297" spans="1:14" ht="15">
      <c r="A297" s="18">
        <v>46024</v>
      </c>
      <c r="B297" s="19">
        <v>46024</v>
      </c>
      <c r="C297" s="21">
        <v>0</v>
      </c>
      <c r="D297" s="21">
        <v>0</v>
      </c>
      <c r="E297" s="21">
        <v>0</v>
      </c>
      <c r="F297" s="21"/>
      <c r="G297" s="21"/>
      <c r="H297" s="21" t="str">
        <f>IFERROR(VLOOKUP(G297,Basic_Data!$E$2:$I$9,5,0),"")</f>
        <v/>
      </c>
      <c r="I297" s="21">
        <v>0</v>
      </c>
      <c r="J297" s="21">
        <v>0</v>
      </c>
      <c r="K297" s="31">
        <v>0</v>
      </c>
      <c r="L297" s="31" t="str">
        <f>IFERROR(VLOOKUP($B297+1,Inverter_PR!$B:$I,Module_Cleaning!H297,0),"")</f>
        <v/>
      </c>
      <c r="M297" s="21">
        <v>0</v>
      </c>
      <c r="N297" s="21" t="s">
        <v>229</v>
      </c>
    </row>
    <row r="298" spans="1:14" ht="15">
      <c r="A298" s="18">
        <v>46025</v>
      </c>
      <c r="B298" s="19">
        <v>46025</v>
      </c>
      <c r="C298" s="21">
        <v>0</v>
      </c>
      <c r="D298" s="21">
        <v>0</v>
      </c>
      <c r="E298" s="21">
        <v>0</v>
      </c>
      <c r="F298" s="21"/>
      <c r="G298" s="21"/>
      <c r="H298" s="21" t="str">
        <f>IFERROR(VLOOKUP(G298,Basic_Data!$E$2:$I$9,5,0),"")</f>
        <v/>
      </c>
      <c r="I298" s="21">
        <v>0</v>
      </c>
      <c r="J298" s="21">
        <v>0</v>
      </c>
      <c r="K298" s="31">
        <v>0</v>
      </c>
      <c r="L298" s="31" t="str">
        <f>IFERROR(VLOOKUP($B298+1,Inverter_PR!$B:$I,Module_Cleaning!H298,0),"")</f>
        <v/>
      </c>
      <c r="M298" s="21">
        <v>0</v>
      </c>
      <c r="N298" s="21" t="s">
        <v>229</v>
      </c>
    </row>
    <row r="299" spans="1:14" ht="15">
      <c r="A299" s="18">
        <v>46026</v>
      </c>
      <c r="B299" s="19">
        <v>46026</v>
      </c>
      <c r="C299" s="21">
        <v>0</v>
      </c>
      <c r="D299" s="21">
        <v>0</v>
      </c>
      <c r="E299" s="21">
        <v>0</v>
      </c>
      <c r="F299" s="21"/>
      <c r="G299" s="21"/>
      <c r="H299" s="21" t="str">
        <f>IFERROR(VLOOKUP(G299,Basic_Data!$E$2:$I$9,5,0),"")</f>
        <v/>
      </c>
      <c r="I299" s="21">
        <v>0</v>
      </c>
      <c r="J299" s="21">
        <v>0</v>
      </c>
      <c r="K299" s="31">
        <v>0</v>
      </c>
      <c r="L299" s="31" t="str">
        <f>IFERROR(VLOOKUP($B299+1,Inverter_PR!$B:$I,Module_Cleaning!H299,0),"")</f>
        <v/>
      </c>
      <c r="M299" s="21">
        <v>0</v>
      </c>
      <c r="N299" s="21" t="s">
        <v>229</v>
      </c>
    </row>
    <row r="300" spans="1:14" ht="15">
      <c r="A300" s="18">
        <v>46027</v>
      </c>
      <c r="B300" s="19">
        <v>46027</v>
      </c>
      <c r="C300" s="21">
        <v>0</v>
      </c>
      <c r="D300" s="21">
        <v>0</v>
      </c>
      <c r="E300" s="21">
        <v>0</v>
      </c>
      <c r="F300" s="21"/>
      <c r="G300" s="21"/>
      <c r="H300" s="21" t="str">
        <f>IFERROR(VLOOKUP(G300,Basic_Data!$E$2:$I$9,5,0),"")</f>
        <v/>
      </c>
      <c r="I300" s="21">
        <v>0</v>
      </c>
      <c r="J300" s="21">
        <v>0</v>
      </c>
      <c r="K300" s="31">
        <v>0</v>
      </c>
      <c r="L300" s="31" t="str">
        <f>IFERROR(VLOOKUP($B300+1,Inverter_PR!$B:$I,Module_Cleaning!H300,0),"")</f>
        <v/>
      </c>
      <c r="M300" s="21">
        <v>0</v>
      </c>
      <c r="N300" s="21" t="s">
        <v>229</v>
      </c>
    </row>
    <row r="301" spans="1:14" ht="15">
      <c r="A301" s="18">
        <v>46028</v>
      </c>
      <c r="B301" s="19">
        <v>46028</v>
      </c>
      <c r="C301" s="21">
        <v>0</v>
      </c>
      <c r="D301" s="21">
        <v>0</v>
      </c>
      <c r="E301" s="21">
        <v>0</v>
      </c>
      <c r="F301" s="21"/>
      <c r="G301" s="21"/>
      <c r="H301" s="21" t="str">
        <f>IFERROR(VLOOKUP(G301,Basic_Data!$E$2:$I$9,5,0),"")</f>
        <v/>
      </c>
      <c r="I301" s="21">
        <v>0</v>
      </c>
      <c r="J301" s="21">
        <v>0</v>
      </c>
      <c r="K301" s="31">
        <v>0</v>
      </c>
      <c r="L301" s="31" t="str">
        <f>IFERROR(VLOOKUP($B301+1,Inverter_PR!$B:$I,Module_Cleaning!H301,0),"")</f>
        <v/>
      </c>
      <c r="M301" s="21">
        <v>0</v>
      </c>
      <c r="N301" s="21" t="s">
        <v>229</v>
      </c>
    </row>
    <row r="302" spans="1:14" ht="15">
      <c r="A302" s="18">
        <v>46029</v>
      </c>
      <c r="B302" s="19">
        <v>46029</v>
      </c>
      <c r="C302" s="21">
        <v>0</v>
      </c>
      <c r="D302" s="21">
        <v>0</v>
      </c>
      <c r="E302" s="21">
        <v>0</v>
      </c>
      <c r="F302" s="21"/>
      <c r="G302" s="21"/>
      <c r="H302" s="21" t="str">
        <f>IFERROR(VLOOKUP(G302,Basic_Data!$E$2:$I$9,5,0),"")</f>
        <v/>
      </c>
      <c r="I302" s="21">
        <v>0</v>
      </c>
      <c r="J302" s="21">
        <v>0</v>
      </c>
      <c r="K302" s="31">
        <v>0</v>
      </c>
      <c r="L302" s="31" t="str">
        <f>IFERROR(VLOOKUP($B302+1,Inverter_PR!$B:$I,Module_Cleaning!H302,0),"")</f>
        <v/>
      </c>
      <c r="M302" s="21">
        <v>0</v>
      </c>
      <c r="N302" s="21" t="s">
        <v>229</v>
      </c>
    </row>
    <row r="303" spans="1:14" ht="15">
      <c r="A303" s="18">
        <v>46030</v>
      </c>
      <c r="B303" s="19">
        <v>46030</v>
      </c>
      <c r="C303" s="21">
        <v>0</v>
      </c>
      <c r="D303" s="21">
        <v>0</v>
      </c>
      <c r="E303" s="21">
        <v>0</v>
      </c>
      <c r="F303" s="21"/>
      <c r="G303" s="21"/>
      <c r="H303" s="21" t="str">
        <f>IFERROR(VLOOKUP(G303,Basic_Data!$E$2:$I$9,5,0),"")</f>
        <v/>
      </c>
      <c r="I303" s="21">
        <v>0</v>
      </c>
      <c r="J303" s="21">
        <v>0</v>
      </c>
      <c r="K303" s="31">
        <v>0</v>
      </c>
      <c r="L303" s="31" t="str">
        <f>IFERROR(VLOOKUP($B303+1,Inverter_PR!$B:$I,Module_Cleaning!H303,0),"")</f>
        <v/>
      </c>
      <c r="M303" s="21">
        <v>0</v>
      </c>
      <c r="N303" s="21" t="s">
        <v>229</v>
      </c>
    </row>
    <row r="304" spans="1:14" ht="15">
      <c r="A304" s="18">
        <v>46031</v>
      </c>
      <c r="B304" s="19">
        <v>46031</v>
      </c>
      <c r="C304" s="21">
        <v>1</v>
      </c>
      <c r="D304" s="21">
        <v>3000</v>
      </c>
      <c r="E304" s="21">
        <v>0</v>
      </c>
      <c r="F304" s="21">
        <v>1</v>
      </c>
      <c r="G304" s="21" t="s">
        <v>21</v>
      </c>
      <c r="H304" s="21">
        <f>IFERROR(VLOOKUP(G304,Basic_Data!$E$2:$I$9,5,0),"")</f>
        <v>8</v>
      </c>
      <c r="I304" s="21">
        <f>IFERROR(VLOOKUP($G304,Basic_Data!$E$2:$H$10,4,0),"")</f>
        <v>644</v>
      </c>
      <c r="J304" s="21">
        <f>IFERROR(VLOOKUP($G304,Basic_Data!$E$2:$H$10,4,0),"")</f>
        <v>644</v>
      </c>
      <c r="K304" s="31">
        <v>0</v>
      </c>
      <c r="L304" s="31">
        <f>IFERROR(VLOOKUP($B304+1,Inverter_PR!$B:$I,Module_Cleaning!H304,0),"")</f>
        <v>1.2798297544075099</v>
      </c>
      <c r="M304" s="21">
        <v>0</v>
      </c>
      <c r="N304" s="21" t="s">
        <v>228</v>
      </c>
    </row>
    <row r="305" spans="1:17" ht="15">
      <c r="A305" s="18">
        <v>46032</v>
      </c>
      <c r="B305" s="19">
        <v>46032</v>
      </c>
      <c r="C305" s="21">
        <v>2</v>
      </c>
      <c r="D305" s="21">
        <v>6000</v>
      </c>
      <c r="E305" s="21"/>
      <c r="F305" s="21">
        <v>1</v>
      </c>
      <c r="G305" s="21" t="s">
        <v>20</v>
      </c>
      <c r="H305" s="21"/>
      <c r="I305" s="21"/>
      <c r="J305" s="21"/>
      <c r="K305" s="31"/>
      <c r="L305" s="31"/>
      <c r="M305" s="21"/>
      <c r="N305" s="21" t="s">
        <v>228</v>
      </c>
    </row>
    <row r="306" spans="1:17" ht="15">
      <c r="A306" s="18"/>
      <c r="B306" s="19"/>
      <c r="C306" s="21"/>
      <c r="D306" s="21"/>
      <c r="E306" s="21"/>
      <c r="F306" s="21">
        <v>1</v>
      </c>
      <c r="G306" s="21" t="s">
        <v>19</v>
      </c>
      <c r="H306" s="21"/>
      <c r="I306" s="21"/>
      <c r="J306" s="21"/>
      <c r="K306" s="31"/>
      <c r="L306" s="31"/>
      <c r="M306" s="21"/>
      <c r="N306" s="21" t="s">
        <v>228</v>
      </c>
    </row>
    <row r="307" spans="1:17" ht="15">
      <c r="A307" s="18"/>
      <c r="B307" s="19"/>
      <c r="C307" s="21"/>
      <c r="D307" s="21"/>
      <c r="E307" s="21"/>
      <c r="F307" s="21">
        <v>1</v>
      </c>
      <c r="G307" s="21" t="s">
        <v>18</v>
      </c>
      <c r="H307" s="21"/>
      <c r="I307" s="21"/>
      <c r="J307" s="21"/>
      <c r="K307" s="31"/>
      <c r="L307" s="31"/>
      <c r="M307" s="21"/>
      <c r="N307" s="21" t="s">
        <v>228</v>
      </c>
    </row>
    <row r="308" spans="1:17" ht="15">
      <c r="A308" s="18"/>
      <c r="B308" s="19"/>
      <c r="C308" s="21"/>
      <c r="D308" s="21"/>
      <c r="E308" s="21"/>
      <c r="F308" s="21">
        <v>1</v>
      </c>
      <c r="G308" s="21" t="s">
        <v>17</v>
      </c>
      <c r="H308" s="21"/>
      <c r="I308" s="21"/>
      <c r="J308" s="21"/>
      <c r="K308" s="31"/>
      <c r="L308" s="31"/>
      <c r="M308" s="21"/>
      <c r="N308" s="21" t="s">
        <v>228</v>
      </c>
    </row>
    <row r="309" spans="1:17" ht="15">
      <c r="A309" s="18"/>
      <c r="B309" s="19"/>
      <c r="C309" s="21"/>
      <c r="D309" s="21"/>
      <c r="E309" s="21"/>
      <c r="F309" s="21">
        <v>1</v>
      </c>
      <c r="G309" s="21" t="s">
        <v>16</v>
      </c>
      <c r="H309" s="21"/>
      <c r="I309" s="21"/>
      <c r="J309" s="21"/>
      <c r="K309" s="31"/>
      <c r="L309" s="31"/>
      <c r="M309" s="21"/>
      <c r="N309" s="21" t="s">
        <v>228</v>
      </c>
    </row>
    <row r="310" spans="1:17" ht="15">
      <c r="A310" s="18">
        <v>46033</v>
      </c>
      <c r="B310" s="19">
        <v>46033</v>
      </c>
      <c r="C310" s="21">
        <v>1</v>
      </c>
      <c r="D310" s="21">
        <v>3000</v>
      </c>
      <c r="E310" s="21"/>
      <c r="F310" s="21">
        <v>1</v>
      </c>
      <c r="G310" s="21" t="s">
        <v>15</v>
      </c>
      <c r="H310" s="21"/>
      <c r="I310" s="21"/>
      <c r="J310" s="21"/>
      <c r="K310" s="31"/>
      <c r="L310" s="31"/>
      <c r="M310" s="21"/>
      <c r="N310" s="21" t="s">
        <v>228</v>
      </c>
    </row>
    <row r="311" spans="1:17" ht="15">
      <c r="A311" s="18">
        <v>46034</v>
      </c>
      <c r="B311" s="19">
        <v>46034</v>
      </c>
      <c r="C311" s="21">
        <v>0</v>
      </c>
      <c r="D311" s="21">
        <v>0</v>
      </c>
      <c r="E311" s="21">
        <v>0</v>
      </c>
      <c r="F311" s="21">
        <v>0</v>
      </c>
      <c r="G311" s="21"/>
      <c r="H311" s="21"/>
      <c r="I311" s="21"/>
      <c r="J311" s="21"/>
      <c r="K311" s="31"/>
      <c r="L311" s="31"/>
      <c r="M311" s="21"/>
      <c r="N311" s="21" t="s">
        <v>229</v>
      </c>
    </row>
    <row r="312" spans="1:17" ht="15">
      <c r="A312" s="18">
        <v>46035</v>
      </c>
      <c r="B312" s="19">
        <v>46035</v>
      </c>
      <c r="C312" s="21">
        <v>0</v>
      </c>
      <c r="D312" s="21">
        <v>0</v>
      </c>
      <c r="E312" s="21">
        <v>0</v>
      </c>
      <c r="F312" s="21">
        <v>0</v>
      </c>
      <c r="G312" s="21"/>
      <c r="H312" s="21"/>
      <c r="I312" s="21"/>
      <c r="J312" s="21"/>
      <c r="K312" s="31"/>
      <c r="L312" s="31"/>
      <c r="M312" s="21"/>
      <c r="N312" s="21" t="s">
        <v>229</v>
      </c>
    </row>
    <row r="313" spans="1:17" ht="15">
      <c r="A313" s="18">
        <v>46036</v>
      </c>
      <c r="B313" s="19">
        <v>46036</v>
      </c>
      <c r="C313" s="21">
        <v>0</v>
      </c>
      <c r="D313" s="21">
        <v>0</v>
      </c>
      <c r="E313" s="21">
        <v>0</v>
      </c>
      <c r="F313" s="21">
        <v>0</v>
      </c>
      <c r="G313" s="21"/>
      <c r="H313" s="21"/>
      <c r="I313" s="21"/>
      <c r="J313" s="21"/>
      <c r="K313" s="31"/>
      <c r="L313" s="31"/>
      <c r="M313" s="21"/>
      <c r="N313" s="21" t="s">
        <v>229</v>
      </c>
    </row>
    <row r="314" spans="1:17" ht="15">
      <c r="A314" s="18">
        <v>46037</v>
      </c>
      <c r="B314" s="19">
        <v>46037</v>
      </c>
      <c r="C314" s="21">
        <v>0</v>
      </c>
      <c r="D314" s="21">
        <v>0</v>
      </c>
      <c r="E314" s="21">
        <v>0</v>
      </c>
      <c r="F314" s="21">
        <v>0</v>
      </c>
      <c r="G314" s="21"/>
      <c r="H314" s="21"/>
      <c r="I314" s="21"/>
      <c r="J314" s="21"/>
      <c r="K314" s="31"/>
      <c r="L314" s="31"/>
      <c r="M314" s="21"/>
      <c r="N314" s="21" t="s">
        <v>229</v>
      </c>
    </row>
    <row r="315" spans="1:17" ht="15">
      <c r="A315" s="18">
        <v>46038</v>
      </c>
      <c r="B315" s="19">
        <v>46038</v>
      </c>
      <c r="C315" s="21">
        <v>0</v>
      </c>
      <c r="D315" s="21">
        <v>0</v>
      </c>
      <c r="E315" s="21">
        <v>0</v>
      </c>
      <c r="F315" s="21">
        <v>0</v>
      </c>
      <c r="G315" s="21"/>
      <c r="H315" s="21"/>
      <c r="I315" s="21"/>
      <c r="J315" s="21"/>
      <c r="K315" s="31"/>
      <c r="L315" s="31"/>
      <c r="M315" s="21"/>
      <c r="N315" s="21" t="s">
        <v>229</v>
      </c>
    </row>
    <row r="316" spans="1:17" ht="15">
      <c r="A316" s="18">
        <v>46039</v>
      </c>
      <c r="B316" s="19">
        <v>46039</v>
      </c>
      <c r="C316" s="21">
        <v>0</v>
      </c>
      <c r="D316" s="21">
        <v>0</v>
      </c>
      <c r="E316" s="21">
        <v>0</v>
      </c>
      <c r="F316" s="21">
        <v>0</v>
      </c>
      <c r="G316" s="21"/>
      <c r="H316" s="21"/>
      <c r="I316" s="21"/>
      <c r="J316" s="21"/>
      <c r="K316" s="31"/>
      <c r="L316" s="31"/>
      <c r="M316" s="21"/>
      <c r="N316" s="21" t="s">
        <v>229</v>
      </c>
      <c r="Q316">
        <v>1</v>
      </c>
    </row>
    <row r="317" spans="1:17" ht="15">
      <c r="A317" s="18">
        <v>46040</v>
      </c>
      <c r="B317" s="19">
        <v>46040</v>
      </c>
      <c r="C317" s="21">
        <v>0</v>
      </c>
      <c r="D317" s="21">
        <v>0</v>
      </c>
      <c r="E317" s="21">
        <v>0</v>
      </c>
      <c r="F317" s="21">
        <v>0</v>
      </c>
      <c r="G317" s="21"/>
      <c r="H317" s="21"/>
      <c r="I317" s="21"/>
      <c r="J317" s="21"/>
      <c r="K317" s="31"/>
      <c r="L317" s="31"/>
      <c r="M317" s="21"/>
      <c r="N317" s="21" t="s">
        <v>229</v>
      </c>
    </row>
    <row r="318" spans="1:17" ht="15">
      <c r="A318" s="18">
        <v>46041</v>
      </c>
      <c r="B318" s="19">
        <v>46041</v>
      </c>
      <c r="C318" s="21">
        <v>0</v>
      </c>
      <c r="D318" s="21">
        <v>0</v>
      </c>
      <c r="E318" s="21">
        <v>0</v>
      </c>
      <c r="F318" s="21">
        <v>0</v>
      </c>
      <c r="G318" s="21"/>
      <c r="H318" s="21"/>
      <c r="I318" s="21"/>
      <c r="J318" s="21"/>
      <c r="K318" s="31"/>
      <c r="L318" s="31"/>
      <c r="M318" s="21"/>
      <c r="N318" s="21" t="s">
        <v>229</v>
      </c>
    </row>
    <row r="319" spans="1:17" ht="15">
      <c r="A319" s="18">
        <v>46042</v>
      </c>
      <c r="B319" s="19">
        <v>46042</v>
      </c>
      <c r="C319" s="21">
        <v>0</v>
      </c>
      <c r="D319" s="21">
        <v>0</v>
      </c>
      <c r="E319" s="21">
        <v>0</v>
      </c>
      <c r="F319" s="21">
        <v>0</v>
      </c>
      <c r="G319" s="21"/>
      <c r="H319" s="21"/>
      <c r="I319" s="21"/>
      <c r="J319" s="21"/>
      <c r="K319" s="31"/>
      <c r="L319" s="31"/>
      <c r="M319" s="21"/>
      <c r="N319" s="21" t="s">
        <v>229</v>
      </c>
    </row>
    <row r="320" spans="1:17" ht="15">
      <c r="A320" s="18">
        <v>46043</v>
      </c>
      <c r="B320" s="19">
        <v>46043</v>
      </c>
      <c r="C320" s="21">
        <v>0</v>
      </c>
      <c r="D320" s="21">
        <v>0</v>
      </c>
      <c r="E320" s="21">
        <v>0</v>
      </c>
      <c r="F320" s="21">
        <v>0</v>
      </c>
      <c r="G320" s="21"/>
      <c r="H320" s="21"/>
      <c r="I320" s="21"/>
      <c r="J320" s="21"/>
      <c r="K320" s="31"/>
      <c r="L320" s="31"/>
      <c r="M320" s="21"/>
      <c r="N320" s="21" t="s">
        <v>229</v>
      </c>
    </row>
    <row r="321" spans="1:14" ht="15">
      <c r="A321" s="18">
        <v>46044</v>
      </c>
      <c r="B321" s="19">
        <v>46044</v>
      </c>
      <c r="C321" s="21">
        <v>2</v>
      </c>
      <c r="D321" s="21">
        <v>6000</v>
      </c>
      <c r="E321" s="21"/>
      <c r="F321" s="38">
        <v>2</v>
      </c>
      <c r="G321" s="21" t="s">
        <v>21</v>
      </c>
      <c r="H321" s="21"/>
      <c r="I321" s="21"/>
      <c r="J321" s="21"/>
      <c r="K321" s="31"/>
      <c r="L321" s="31"/>
      <c r="M321" s="21"/>
      <c r="N321" s="21" t="s">
        <v>228</v>
      </c>
    </row>
    <row r="322" spans="1:14" ht="15">
      <c r="A322" s="18"/>
      <c r="B322" s="19"/>
      <c r="C322" s="21"/>
      <c r="D322" s="21"/>
      <c r="E322" s="21"/>
      <c r="F322" s="38">
        <v>2</v>
      </c>
      <c r="G322" s="21" t="s">
        <v>20</v>
      </c>
      <c r="H322" s="21"/>
      <c r="I322" s="21"/>
      <c r="J322" s="21"/>
      <c r="K322" s="31"/>
      <c r="L322" s="31"/>
      <c r="M322" s="21"/>
      <c r="N322" s="21" t="s">
        <v>228</v>
      </c>
    </row>
    <row r="323" spans="1:14" ht="15">
      <c r="A323" s="18"/>
      <c r="B323" s="19"/>
      <c r="C323" s="21"/>
      <c r="D323" s="21"/>
      <c r="E323" s="21"/>
      <c r="F323" s="21">
        <v>2</v>
      </c>
      <c r="G323" s="21" t="s">
        <v>19</v>
      </c>
      <c r="H323" s="21"/>
      <c r="I323" s="21"/>
      <c r="J323" s="21"/>
      <c r="K323" s="31"/>
      <c r="L323" s="31"/>
      <c r="M323" s="21"/>
      <c r="N323" s="21" t="s">
        <v>228</v>
      </c>
    </row>
    <row r="324" spans="1:14" ht="15">
      <c r="A324" s="18">
        <v>46045</v>
      </c>
      <c r="B324" s="19">
        <v>46045</v>
      </c>
      <c r="C324" s="21">
        <v>2</v>
      </c>
      <c r="D324" s="21">
        <v>6000</v>
      </c>
      <c r="E324" s="21"/>
      <c r="F324" s="21">
        <v>2</v>
      </c>
      <c r="G324" s="21" t="s">
        <v>18</v>
      </c>
      <c r="H324" s="21"/>
      <c r="I324" s="21"/>
      <c r="J324" s="21"/>
      <c r="K324" s="31"/>
      <c r="L324" s="31"/>
      <c r="M324" s="21"/>
      <c r="N324" s="21" t="s">
        <v>228</v>
      </c>
    </row>
    <row r="325" spans="1:14" ht="15">
      <c r="A325" s="18"/>
      <c r="B325" s="19"/>
      <c r="C325" s="21"/>
      <c r="D325" s="21"/>
      <c r="E325" s="21"/>
      <c r="F325" s="21">
        <v>2</v>
      </c>
      <c r="G325" s="21" t="s">
        <v>17</v>
      </c>
      <c r="H325" s="21"/>
      <c r="I325" s="21"/>
      <c r="J325" s="21"/>
      <c r="K325" s="31"/>
      <c r="L325" s="31"/>
      <c r="M325" s="21"/>
      <c r="N325" s="21" t="s">
        <v>228</v>
      </c>
    </row>
    <row r="326" spans="1:14" ht="15">
      <c r="A326" s="18"/>
      <c r="B326" s="19"/>
      <c r="C326" s="21"/>
      <c r="D326" s="21"/>
      <c r="E326" s="21"/>
      <c r="F326" s="21">
        <v>2</v>
      </c>
      <c r="G326" s="21" t="s">
        <v>16</v>
      </c>
      <c r="H326" s="21"/>
      <c r="I326" s="21"/>
      <c r="J326" s="21"/>
      <c r="K326" s="31"/>
      <c r="L326" s="31"/>
      <c r="M326" s="21"/>
      <c r="N326" s="21" t="s">
        <v>228</v>
      </c>
    </row>
    <row r="327" spans="1:14" ht="15">
      <c r="A327" s="18">
        <v>46046</v>
      </c>
      <c r="B327" s="19">
        <v>46046</v>
      </c>
      <c r="C327" s="21">
        <v>1</v>
      </c>
      <c r="D327" s="21">
        <v>1500</v>
      </c>
      <c r="E327" s="21"/>
      <c r="F327" s="21">
        <v>2</v>
      </c>
      <c r="G327" s="21" t="s">
        <v>15</v>
      </c>
      <c r="H327" s="21"/>
      <c r="I327" s="21"/>
      <c r="J327" s="21"/>
      <c r="K327" s="31"/>
      <c r="L327" s="31"/>
      <c r="M327" s="21"/>
      <c r="N327" s="21" t="s">
        <v>228</v>
      </c>
    </row>
    <row r="328" spans="1:14" ht="15">
      <c r="A328" s="18">
        <v>46047</v>
      </c>
      <c r="B328" s="19">
        <v>46047</v>
      </c>
      <c r="C328" s="21">
        <v>0</v>
      </c>
      <c r="D328" s="21">
        <v>0</v>
      </c>
      <c r="E328" s="21">
        <v>0</v>
      </c>
      <c r="F328" s="21">
        <v>0</v>
      </c>
      <c r="G328" s="21"/>
      <c r="H328" s="21"/>
      <c r="I328" s="21">
        <v>0</v>
      </c>
      <c r="J328" s="21">
        <v>0</v>
      </c>
      <c r="K328" s="31">
        <v>0</v>
      </c>
      <c r="L328" s="31">
        <v>0</v>
      </c>
      <c r="M328" s="21">
        <v>0</v>
      </c>
      <c r="N328" s="21" t="s">
        <v>229</v>
      </c>
    </row>
    <row r="329" spans="1:14" ht="15">
      <c r="A329" s="18">
        <v>46048</v>
      </c>
      <c r="B329" s="19">
        <v>46048</v>
      </c>
      <c r="C329" s="21">
        <v>0</v>
      </c>
      <c r="D329" s="21">
        <v>0</v>
      </c>
      <c r="E329" s="21">
        <v>0</v>
      </c>
      <c r="F329" s="21">
        <v>0</v>
      </c>
      <c r="G329" s="21"/>
      <c r="H329" s="21"/>
      <c r="I329" s="21">
        <v>0</v>
      </c>
      <c r="J329" s="21">
        <v>0</v>
      </c>
      <c r="K329" s="31">
        <v>0</v>
      </c>
      <c r="L329" s="31">
        <v>0</v>
      </c>
      <c r="M329" s="21">
        <v>0</v>
      </c>
      <c r="N329" s="21" t="s">
        <v>229</v>
      </c>
    </row>
    <row r="330" spans="1:14" ht="15">
      <c r="A330" s="18">
        <v>46049</v>
      </c>
      <c r="B330" s="19">
        <v>46049</v>
      </c>
      <c r="C330" s="21">
        <v>0</v>
      </c>
      <c r="D330" s="21">
        <v>0</v>
      </c>
      <c r="E330" s="21">
        <v>0</v>
      </c>
      <c r="F330" s="21">
        <v>0</v>
      </c>
      <c r="G330" s="21"/>
      <c r="H330" s="21"/>
      <c r="I330" s="21">
        <v>0</v>
      </c>
      <c r="J330" s="21">
        <v>0</v>
      </c>
      <c r="K330" s="31">
        <v>0</v>
      </c>
      <c r="L330" s="31">
        <v>0</v>
      </c>
      <c r="M330" s="21">
        <v>0</v>
      </c>
      <c r="N330" s="21" t="s">
        <v>229</v>
      </c>
    </row>
    <row r="331" spans="1:14" ht="15">
      <c r="A331" s="18">
        <v>46050</v>
      </c>
      <c r="B331" s="19">
        <v>46050</v>
      </c>
      <c r="C331" s="21">
        <v>0</v>
      </c>
      <c r="D331" s="21">
        <v>0</v>
      </c>
      <c r="E331" s="21">
        <v>0</v>
      </c>
      <c r="F331" s="21">
        <v>0</v>
      </c>
      <c r="G331" s="21"/>
      <c r="H331" s="21"/>
      <c r="I331" s="21">
        <v>0</v>
      </c>
      <c r="J331" s="21">
        <v>0</v>
      </c>
      <c r="K331" s="31">
        <v>0</v>
      </c>
      <c r="L331" s="31">
        <v>0</v>
      </c>
      <c r="M331" s="21">
        <v>0</v>
      </c>
      <c r="N331" s="21" t="s">
        <v>229</v>
      </c>
    </row>
    <row r="332" spans="1:14" ht="15">
      <c r="A332" s="18">
        <v>46051</v>
      </c>
      <c r="B332" s="19">
        <v>46051</v>
      </c>
      <c r="C332" s="21">
        <v>0</v>
      </c>
      <c r="D332" s="21">
        <v>0</v>
      </c>
      <c r="E332" s="21">
        <v>0</v>
      </c>
      <c r="F332" s="21">
        <v>0</v>
      </c>
      <c r="G332" s="21"/>
      <c r="H332" s="21"/>
      <c r="I332" s="21">
        <v>0</v>
      </c>
      <c r="J332" s="21">
        <v>0</v>
      </c>
      <c r="K332" s="31">
        <v>0</v>
      </c>
      <c r="L332" s="31">
        <v>0</v>
      </c>
      <c r="M332" s="21">
        <v>0</v>
      </c>
      <c r="N332" s="21" t="s">
        <v>229</v>
      </c>
    </row>
    <row r="333" spans="1:14" ht="15">
      <c r="A333" s="18">
        <v>46052</v>
      </c>
      <c r="B333" s="19">
        <v>46052</v>
      </c>
      <c r="C333" s="21">
        <v>0</v>
      </c>
      <c r="D333" s="21">
        <v>0</v>
      </c>
      <c r="E333" s="21">
        <v>0</v>
      </c>
      <c r="F333" s="21">
        <v>0</v>
      </c>
      <c r="G333" s="21"/>
      <c r="H333" s="21"/>
      <c r="I333" s="21">
        <v>0</v>
      </c>
      <c r="J333" s="21">
        <v>0</v>
      </c>
      <c r="K333" s="31">
        <v>0</v>
      </c>
      <c r="L333" s="31">
        <v>0</v>
      </c>
      <c r="M333" s="21">
        <v>0</v>
      </c>
      <c r="N333" s="21" t="s">
        <v>229</v>
      </c>
    </row>
    <row r="334" spans="1:14" ht="15">
      <c r="A334" s="18">
        <v>46053</v>
      </c>
      <c r="B334" s="19">
        <v>46053</v>
      </c>
      <c r="C334" s="21">
        <v>0</v>
      </c>
      <c r="D334" s="21">
        <v>0</v>
      </c>
      <c r="E334" s="21">
        <v>0</v>
      </c>
      <c r="F334" s="21">
        <v>0</v>
      </c>
      <c r="G334" s="21"/>
      <c r="H334" s="21"/>
      <c r="I334" s="21">
        <v>0</v>
      </c>
      <c r="J334" s="21">
        <v>0</v>
      </c>
      <c r="K334" s="31">
        <v>0</v>
      </c>
      <c r="L334" s="31">
        <v>0</v>
      </c>
      <c r="M334" s="21">
        <v>0</v>
      </c>
      <c r="N334" s="21" t="s">
        <v>229</v>
      </c>
    </row>
    <row r="335" spans="1:14" ht="15">
      <c r="A335" s="18">
        <v>46054</v>
      </c>
      <c r="B335" s="19">
        <v>46054</v>
      </c>
      <c r="C335" s="21">
        <v>0</v>
      </c>
      <c r="D335" s="21">
        <v>0</v>
      </c>
      <c r="E335" s="21">
        <v>0</v>
      </c>
      <c r="F335" s="21">
        <v>0</v>
      </c>
      <c r="G335" s="21"/>
      <c r="H335" s="21"/>
      <c r="I335" s="21">
        <v>0</v>
      </c>
      <c r="J335" s="21">
        <v>0</v>
      </c>
      <c r="K335" s="31">
        <v>0</v>
      </c>
      <c r="L335" s="31">
        <v>0</v>
      </c>
      <c r="M335" s="21">
        <v>0</v>
      </c>
      <c r="N335" s="21" t="s">
        <v>229</v>
      </c>
    </row>
    <row r="336" spans="1:14" ht="15">
      <c r="A336" s="18">
        <v>46055</v>
      </c>
      <c r="B336" s="19">
        <v>46055</v>
      </c>
      <c r="C336" s="21">
        <v>0</v>
      </c>
      <c r="D336" s="21">
        <v>0</v>
      </c>
      <c r="E336" s="21">
        <v>0</v>
      </c>
      <c r="F336" s="21">
        <v>0</v>
      </c>
      <c r="G336" s="21"/>
      <c r="H336" s="21"/>
      <c r="I336" s="21">
        <v>0</v>
      </c>
      <c r="J336" s="21">
        <v>0</v>
      </c>
      <c r="K336" s="31">
        <v>0</v>
      </c>
      <c r="L336" s="31">
        <v>0</v>
      </c>
      <c r="M336" s="21">
        <v>0</v>
      </c>
      <c r="N336" s="21" t="s">
        <v>229</v>
      </c>
    </row>
    <row r="337" spans="1:14" ht="15">
      <c r="A337" s="18">
        <v>46056</v>
      </c>
      <c r="B337" s="19">
        <v>46056</v>
      </c>
      <c r="C337" s="21">
        <v>0</v>
      </c>
      <c r="D337" s="21">
        <v>0</v>
      </c>
      <c r="E337" s="21">
        <v>0</v>
      </c>
      <c r="F337" s="21">
        <v>0</v>
      </c>
      <c r="G337" s="21"/>
      <c r="H337" s="21"/>
      <c r="I337" s="21">
        <v>0</v>
      </c>
      <c r="J337" s="21">
        <v>0</v>
      </c>
      <c r="K337" s="31">
        <v>0</v>
      </c>
      <c r="L337" s="31">
        <v>0</v>
      </c>
      <c r="M337" s="21">
        <v>0</v>
      </c>
      <c r="N337" s="21" t="s">
        <v>229</v>
      </c>
    </row>
    <row r="338" spans="1:14" ht="15">
      <c r="A338" s="18">
        <v>46057</v>
      </c>
      <c r="B338" s="19">
        <v>46057</v>
      </c>
      <c r="C338" s="21">
        <v>0</v>
      </c>
      <c r="D338" s="21">
        <v>0</v>
      </c>
      <c r="E338" s="21">
        <v>0</v>
      </c>
      <c r="F338" s="21">
        <v>0</v>
      </c>
      <c r="G338" s="21"/>
      <c r="H338" s="21"/>
      <c r="I338" s="21">
        <v>0</v>
      </c>
      <c r="J338" s="21">
        <v>0</v>
      </c>
      <c r="K338" s="31">
        <v>0</v>
      </c>
      <c r="L338" s="31">
        <v>0</v>
      </c>
      <c r="M338" s="21">
        <v>0</v>
      </c>
      <c r="N338" s="21" t="s">
        <v>229</v>
      </c>
    </row>
    <row r="339" spans="1:14" ht="15">
      <c r="A339" s="18">
        <v>46058</v>
      </c>
      <c r="B339" s="19">
        <v>46058</v>
      </c>
      <c r="C339" s="21">
        <v>0</v>
      </c>
      <c r="D339" s="21">
        <v>0</v>
      </c>
      <c r="E339" s="21">
        <v>0</v>
      </c>
      <c r="F339" s="21">
        <v>0</v>
      </c>
      <c r="G339" s="21"/>
      <c r="H339" s="21"/>
      <c r="I339" s="21">
        <v>0</v>
      </c>
      <c r="J339" s="21">
        <v>0</v>
      </c>
      <c r="K339" s="31">
        <v>0</v>
      </c>
      <c r="L339" s="31">
        <v>0</v>
      </c>
      <c r="M339" s="21">
        <v>0</v>
      </c>
      <c r="N339" s="21" t="s">
        <v>229</v>
      </c>
    </row>
    <row r="340" spans="1:14" ht="15">
      <c r="A340" s="18">
        <v>46059</v>
      </c>
      <c r="B340" s="19">
        <v>46059</v>
      </c>
      <c r="C340" s="21">
        <v>2</v>
      </c>
      <c r="D340" s="21">
        <v>6000</v>
      </c>
      <c r="E340" s="21"/>
      <c r="F340" s="21">
        <v>1</v>
      </c>
      <c r="G340" s="21" t="s">
        <v>15</v>
      </c>
      <c r="H340" s="21">
        <f>IFERROR(VLOOKUP(G340,Basic_Data!$E$2:$I$9,5,0),"")</f>
        <v>2</v>
      </c>
      <c r="I340" s="21">
        <f>IFERROR(VLOOKUP($G340,Basic_Data!$E$2:$H$10,4,0),"")</f>
        <v>616</v>
      </c>
      <c r="J340" s="21"/>
      <c r="K340" s="31">
        <f>IFERROR(VLOOKUP($B340-1,Inverter_PR!$B:$I,Module_Cleaning!H340,0),"")</f>
        <v>1.1994937145560201</v>
      </c>
      <c r="L340" s="31">
        <f>IFERROR(VLOOKUP($B340+1,Inverter_PR!$B:$I,Module_Cleaning!H340,0),"")</f>
        <v>1.24898374696</v>
      </c>
      <c r="M340" s="21">
        <v>0</v>
      </c>
      <c r="N340" s="21" t="s">
        <v>228</v>
      </c>
    </row>
    <row r="341" spans="1:14" ht="15">
      <c r="A341" s="18"/>
      <c r="B341" s="19"/>
      <c r="C341" s="21"/>
      <c r="D341" s="21"/>
      <c r="E341" s="21"/>
      <c r="F341" s="21">
        <v>1</v>
      </c>
      <c r="G341" s="21" t="s">
        <v>16</v>
      </c>
      <c r="H341" s="21"/>
      <c r="I341" s="21"/>
      <c r="J341" s="21"/>
      <c r="K341" s="31"/>
      <c r="L341" s="31"/>
      <c r="M341" s="21"/>
      <c r="N341" s="21" t="s">
        <v>228</v>
      </c>
    </row>
    <row r="342" spans="1:14" ht="15">
      <c r="A342" s="18"/>
      <c r="B342" s="19"/>
      <c r="C342" s="21"/>
      <c r="D342" s="21"/>
      <c r="E342" s="21"/>
      <c r="F342" s="21">
        <v>1</v>
      </c>
      <c r="G342" s="21" t="s">
        <v>17</v>
      </c>
      <c r="H342" s="21"/>
      <c r="I342" s="21"/>
      <c r="J342" s="21"/>
      <c r="K342" s="31"/>
      <c r="L342" s="31"/>
      <c r="M342" s="21"/>
      <c r="N342" s="21" t="s">
        <v>228</v>
      </c>
    </row>
    <row r="343" spans="1:14" ht="15">
      <c r="A343" s="18">
        <v>46060</v>
      </c>
      <c r="B343" s="19">
        <v>46060</v>
      </c>
      <c r="C343" s="21">
        <v>3</v>
      </c>
      <c r="D343" s="21">
        <v>9000</v>
      </c>
      <c r="E343" s="21"/>
      <c r="F343" s="21">
        <v>1</v>
      </c>
      <c r="G343" s="21" t="s">
        <v>18</v>
      </c>
      <c r="H343" s="21">
        <f>IFERROR(VLOOKUP(G343,Basic_Data!$E$2:$I$9,5,0),"")</f>
        <v>5</v>
      </c>
      <c r="I343" s="21">
        <f>IFERROR(VLOOKUP($G343,Basic_Data!$E$2:$H$10,4,0),"")</f>
        <v>644</v>
      </c>
      <c r="J343" s="21"/>
      <c r="K343" s="31">
        <f>IFERROR(VLOOKUP($B343-1,Inverter_PR!$B:$I,Module_Cleaning!H343,0),"")</f>
        <v>1.2205077483725799</v>
      </c>
      <c r="L343" s="31">
        <f>IFERROR(VLOOKUP($B343+1,Inverter_PR!$B:$I,Module_Cleaning!H343,0),"")</f>
        <v>1.2163121390617699</v>
      </c>
      <c r="M343" s="21">
        <v>0</v>
      </c>
      <c r="N343" s="21" t="s">
        <v>228</v>
      </c>
    </row>
    <row r="344" spans="1:14" ht="15">
      <c r="A344" s="18"/>
      <c r="B344" s="19"/>
      <c r="C344" s="21"/>
      <c r="D344" s="21"/>
      <c r="E344" s="21"/>
      <c r="F344" s="21">
        <v>1</v>
      </c>
      <c r="G344" s="21" t="s">
        <v>19</v>
      </c>
      <c r="H344" s="21"/>
      <c r="I344" s="21"/>
      <c r="J344" s="21"/>
      <c r="K344" s="31"/>
      <c r="L344" s="31"/>
      <c r="M344" s="21"/>
      <c r="N344" s="21" t="s">
        <v>228</v>
      </c>
    </row>
    <row r="345" spans="1:14" ht="15">
      <c r="A345" s="18"/>
      <c r="B345" s="19"/>
      <c r="C345" s="21"/>
      <c r="D345" s="21"/>
      <c r="E345" s="21"/>
      <c r="F345" s="21">
        <v>1</v>
      </c>
      <c r="G345" s="21" t="s">
        <v>20</v>
      </c>
      <c r="H345" s="21"/>
      <c r="I345" s="21"/>
      <c r="J345" s="21"/>
      <c r="K345" s="31"/>
      <c r="L345" s="31"/>
      <c r="M345" s="21"/>
      <c r="N345" s="21" t="s">
        <v>228</v>
      </c>
    </row>
    <row r="346" spans="1:14" ht="15">
      <c r="A346" s="18"/>
      <c r="B346" s="19"/>
      <c r="C346" s="21"/>
      <c r="D346" s="21"/>
      <c r="E346" s="21"/>
      <c r="F346" s="21">
        <v>1</v>
      </c>
      <c r="G346" s="21" t="s">
        <v>21</v>
      </c>
      <c r="H346" s="21"/>
      <c r="I346" s="21"/>
      <c r="J346" s="21"/>
      <c r="K346" s="31"/>
      <c r="L346" s="31"/>
      <c r="M346" s="21"/>
      <c r="N346" s="21" t="s">
        <v>228</v>
      </c>
    </row>
    <row r="347" spans="1:14" ht="15">
      <c r="A347" s="18">
        <v>46061</v>
      </c>
      <c r="B347" s="19">
        <v>46061</v>
      </c>
      <c r="C347" s="21">
        <v>0</v>
      </c>
      <c r="D347" s="21">
        <v>0</v>
      </c>
      <c r="E347" s="21">
        <v>0</v>
      </c>
      <c r="F347" s="21">
        <v>0</v>
      </c>
      <c r="G347" s="21"/>
      <c r="H347" s="21" t="str">
        <f>IFERROR(VLOOKUP(G347,Basic_Data!$E$2:$I$9,5,0),"")</f>
        <v/>
      </c>
      <c r="I347" s="21">
        <v>0</v>
      </c>
      <c r="J347" s="21">
        <v>0</v>
      </c>
      <c r="K347" s="39">
        <v>0</v>
      </c>
      <c r="L347" s="39">
        <v>0</v>
      </c>
      <c r="M347" s="21">
        <v>0</v>
      </c>
      <c r="N347" s="21" t="s">
        <v>229</v>
      </c>
    </row>
    <row r="348" spans="1:14" ht="15">
      <c r="A348" s="18">
        <v>46062</v>
      </c>
      <c r="B348" s="19">
        <v>46062</v>
      </c>
      <c r="C348" s="21">
        <v>0</v>
      </c>
      <c r="D348" s="21">
        <v>0</v>
      </c>
      <c r="E348" s="21">
        <v>0</v>
      </c>
      <c r="F348" s="21">
        <v>0</v>
      </c>
      <c r="G348" s="21"/>
      <c r="H348" s="21" t="str">
        <f>IFERROR(VLOOKUP(G348,Basic_Data!$E$2:$I$9,5,0),"")</f>
        <v/>
      </c>
      <c r="I348" s="21">
        <v>0</v>
      </c>
      <c r="J348" s="21">
        <v>0</v>
      </c>
      <c r="K348" s="39">
        <v>0</v>
      </c>
      <c r="L348" s="39">
        <v>0</v>
      </c>
      <c r="M348" s="21">
        <v>0</v>
      </c>
      <c r="N348" s="21" t="s">
        <v>229</v>
      </c>
    </row>
    <row r="349" spans="1:14" ht="15">
      <c r="A349" s="18">
        <v>46063</v>
      </c>
      <c r="B349" s="19">
        <v>46063</v>
      </c>
      <c r="C349" s="21">
        <v>0</v>
      </c>
      <c r="D349" s="21">
        <v>0</v>
      </c>
      <c r="E349" s="21">
        <v>0</v>
      </c>
      <c r="F349" s="21">
        <v>0</v>
      </c>
      <c r="G349" s="21"/>
      <c r="H349" s="21" t="str">
        <f>IFERROR(VLOOKUP(G349,Basic_Data!$E$2:$I$9,5,0),"")</f>
        <v/>
      </c>
      <c r="I349" s="21">
        <v>0</v>
      </c>
      <c r="J349" s="21">
        <v>0</v>
      </c>
      <c r="K349" s="39">
        <v>0</v>
      </c>
      <c r="L349" s="39">
        <v>0</v>
      </c>
      <c r="M349" s="21">
        <v>0</v>
      </c>
      <c r="N349" s="21" t="s">
        <v>229</v>
      </c>
    </row>
    <row r="350" spans="1:14" ht="15">
      <c r="A350" s="18">
        <v>46064</v>
      </c>
      <c r="B350" s="19">
        <v>46064</v>
      </c>
      <c r="C350" s="21">
        <v>0</v>
      </c>
      <c r="D350" s="21">
        <v>0</v>
      </c>
      <c r="E350" s="21">
        <v>0</v>
      </c>
      <c r="F350" s="21">
        <v>0</v>
      </c>
      <c r="G350" s="21"/>
      <c r="H350" s="21" t="str">
        <f>IFERROR(VLOOKUP(G350,Basic_Data!$E$2:$I$9,5,0),"")</f>
        <v/>
      </c>
      <c r="I350" s="21">
        <v>0</v>
      </c>
      <c r="J350" s="21">
        <v>0</v>
      </c>
      <c r="K350" s="39">
        <v>0</v>
      </c>
      <c r="L350" s="39">
        <v>0</v>
      </c>
      <c r="M350" s="21">
        <v>0</v>
      </c>
      <c r="N350" s="21" t="s">
        <v>229</v>
      </c>
    </row>
    <row r="351" spans="1:14" ht="15">
      <c r="A351" s="18">
        <v>46065</v>
      </c>
      <c r="B351" s="19">
        <v>46065</v>
      </c>
      <c r="C351" s="21">
        <v>0</v>
      </c>
      <c r="D351" s="21">
        <v>0</v>
      </c>
      <c r="E351" s="21">
        <v>0</v>
      </c>
      <c r="F351" s="21">
        <v>0</v>
      </c>
      <c r="G351" s="21"/>
      <c r="H351" s="21" t="str">
        <f>IFERROR(VLOOKUP(G351,Basic_Data!$E$2:$I$9,5,0),"")</f>
        <v/>
      </c>
      <c r="I351" s="21">
        <v>0</v>
      </c>
      <c r="J351" s="21">
        <v>0</v>
      </c>
      <c r="K351" s="39">
        <v>0</v>
      </c>
      <c r="L351" s="39">
        <v>0</v>
      </c>
      <c r="M351" s="21">
        <v>0</v>
      </c>
      <c r="N351" s="21" t="s">
        <v>229</v>
      </c>
    </row>
    <row r="352" spans="1:14" ht="15">
      <c r="A352" s="18">
        <v>46066</v>
      </c>
      <c r="B352" s="19">
        <v>46066</v>
      </c>
      <c r="C352" s="21">
        <v>0</v>
      </c>
      <c r="D352" s="21">
        <v>0</v>
      </c>
      <c r="E352" s="21">
        <v>0</v>
      </c>
      <c r="F352" s="21">
        <v>0</v>
      </c>
      <c r="G352" s="21"/>
      <c r="H352" s="21" t="str">
        <f>IFERROR(VLOOKUP(G352,Basic_Data!$E$2:$I$9,5,0),"")</f>
        <v/>
      </c>
      <c r="I352" s="21">
        <v>0</v>
      </c>
      <c r="J352" s="21">
        <v>0</v>
      </c>
      <c r="K352" s="39">
        <v>0</v>
      </c>
      <c r="L352" s="39">
        <v>0</v>
      </c>
      <c r="M352" s="21">
        <v>0</v>
      </c>
      <c r="N352" s="21" t="s">
        <v>229</v>
      </c>
    </row>
    <row r="353" spans="1:15" ht="15">
      <c r="A353" s="18">
        <v>46067</v>
      </c>
      <c r="B353" s="19">
        <v>46067</v>
      </c>
      <c r="C353" s="21">
        <v>0</v>
      </c>
      <c r="D353" s="21">
        <v>0</v>
      </c>
      <c r="E353" s="21">
        <v>0</v>
      </c>
      <c r="F353" s="21">
        <v>0</v>
      </c>
      <c r="G353" s="21"/>
      <c r="H353" s="21" t="str">
        <f>IFERROR(VLOOKUP(G353,Basic_Data!$E$2:$I$9,5,0),"")</f>
        <v/>
      </c>
      <c r="I353" s="21">
        <v>0</v>
      </c>
      <c r="J353" s="21">
        <v>0</v>
      </c>
      <c r="K353" s="39">
        <v>0</v>
      </c>
      <c r="L353" s="39">
        <v>0</v>
      </c>
      <c r="M353" s="21">
        <v>0</v>
      </c>
      <c r="N353" s="21" t="s">
        <v>229</v>
      </c>
    </row>
    <row r="354" spans="1:15" ht="15">
      <c r="A354" s="18">
        <v>46068</v>
      </c>
      <c r="B354" s="19">
        <v>46068</v>
      </c>
      <c r="C354" s="21">
        <v>0</v>
      </c>
      <c r="D354" s="21">
        <v>0</v>
      </c>
      <c r="E354" s="21">
        <v>0</v>
      </c>
      <c r="F354" s="21">
        <v>0</v>
      </c>
      <c r="G354" s="21"/>
      <c r="H354" s="21" t="str">
        <f>IFERROR(VLOOKUP(G354,Basic_Data!$E$2:$I$9,5,0),"")</f>
        <v/>
      </c>
      <c r="I354" s="21">
        <v>0</v>
      </c>
      <c r="J354" s="21">
        <v>0</v>
      </c>
      <c r="K354" s="39">
        <v>0</v>
      </c>
      <c r="L354" s="39">
        <v>0</v>
      </c>
      <c r="M354" s="21">
        <v>0</v>
      </c>
      <c r="N354" s="21" t="s">
        <v>229</v>
      </c>
    </row>
    <row r="355" spans="1:15" ht="15">
      <c r="A355" s="18">
        <v>46069</v>
      </c>
      <c r="B355" s="19">
        <v>46069</v>
      </c>
      <c r="C355" s="21">
        <v>1</v>
      </c>
      <c r="D355" s="21">
        <v>3000</v>
      </c>
      <c r="E355" s="21">
        <v>0</v>
      </c>
      <c r="F355" s="21">
        <v>1</v>
      </c>
      <c r="G355" s="21" t="s">
        <v>21</v>
      </c>
      <c r="H355" s="21">
        <f>IFERROR(VLOOKUP(G355,Basic_Data!$E$2:$I$9,5,0),"")</f>
        <v>8</v>
      </c>
      <c r="I355" s="21">
        <v>644</v>
      </c>
      <c r="J355" s="21">
        <v>644</v>
      </c>
      <c r="K355" s="39">
        <v>0</v>
      </c>
      <c r="L355" s="39">
        <v>0</v>
      </c>
      <c r="M355" s="21">
        <v>0</v>
      </c>
      <c r="N355" s="21" t="s">
        <v>228</v>
      </c>
      <c r="O355">
        <v>2</v>
      </c>
    </row>
    <row r="356" spans="1:15" ht="15">
      <c r="A356" s="18">
        <v>46070</v>
      </c>
      <c r="B356" s="19">
        <v>46070</v>
      </c>
      <c r="C356" s="21">
        <v>2</v>
      </c>
      <c r="D356" s="21">
        <v>6000</v>
      </c>
      <c r="E356" s="21">
        <v>0</v>
      </c>
      <c r="F356" s="21">
        <v>1</v>
      </c>
      <c r="G356" s="21" t="s">
        <v>20</v>
      </c>
      <c r="H356" s="21">
        <f>IFERROR(VLOOKUP(G356,Basic_Data!$E$2:$I$9,5,0),"")</f>
        <v>7</v>
      </c>
      <c r="I356" s="21">
        <f>IFERROR(VLOOKUP($G356,Basic_Data!$E$2:$H$10,4,0),"")</f>
        <v>644</v>
      </c>
      <c r="J356" s="21"/>
      <c r="K356" s="39">
        <v>0</v>
      </c>
      <c r="L356" s="39">
        <v>0</v>
      </c>
      <c r="M356" s="21">
        <v>0</v>
      </c>
      <c r="N356" s="21" t="s">
        <v>228</v>
      </c>
    </row>
    <row r="357" spans="1:15" ht="15">
      <c r="A357" s="18">
        <v>46071</v>
      </c>
      <c r="B357" s="19">
        <v>46071</v>
      </c>
      <c r="C357" s="21">
        <v>0</v>
      </c>
      <c r="D357" s="21">
        <v>0</v>
      </c>
      <c r="E357" s="21">
        <v>0</v>
      </c>
      <c r="F357" s="21">
        <v>0</v>
      </c>
      <c r="G357" s="21"/>
      <c r="H357" s="21" t="str">
        <f>IFERROR(VLOOKUP(G357,Basic_Data!$E$2:$I$9,5,0),"")</f>
        <v/>
      </c>
      <c r="I357" s="21">
        <v>644</v>
      </c>
      <c r="J357" s="21">
        <v>644</v>
      </c>
      <c r="K357" s="39">
        <v>0</v>
      </c>
      <c r="L357" s="39">
        <v>0</v>
      </c>
      <c r="M357" s="21">
        <v>0</v>
      </c>
      <c r="N357" s="21" t="s">
        <v>229</v>
      </c>
    </row>
    <row r="358" spans="1:15" ht="15">
      <c r="A358" s="18">
        <v>46072</v>
      </c>
      <c r="B358" s="19">
        <v>46072</v>
      </c>
      <c r="C358" s="21">
        <v>0</v>
      </c>
      <c r="D358" s="21">
        <v>0</v>
      </c>
      <c r="E358" s="21">
        <v>0</v>
      </c>
      <c r="F358" s="21">
        <v>0</v>
      </c>
      <c r="G358" s="21"/>
      <c r="H358" s="21" t="str">
        <f>IFERROR(VLOOKUP(G358,Basic_Data!$E$2:$I$9,5,0),"")</f>
        <v/>
      </c>
      <c r="I358" s="21">
        <v>644</v>
      </c>
      <c r="J358" s="21">
        <v>644</v>
      </c>
      <c r="K358" s="39">
        <v>0</v>
      </c>
      <c r="L358" s="39">
        <v>0</v>
      </c>
      <c r="M358" s="21">
        <v>0</v>
      </c>
      <c r="N358" s="21" t="s">
        <v>229</v>
      </c>
    </row>
    <row r="359" spans="1:15" ht="15">
      <c r="A359" s="18">
        <v>46073</v>
      </c>
      <c r="B359" s="19">
        <v>46073</v>
      </c>
      <c r="C359" s="21">
        <v>0</v>
      </c>
      <c r="D359" s="21">
        <v>0</v>
      </c>
      <c r="E359" s="21">
        <v>0</v>
      </c>
      <c r="F359" s="21">
        <v>0</v>
      </c>
      <c r="G359" s="21"/>
      <c r="H359" s="21" t="str">
        <f>IFERROR(VLOOKUP(G359,Basic_Data!$E$2:$I$9,5,0),"")</f>
        <v/>
      </c>
      <c r="I359" s="21">
        <v>644</v>
      </c>
      <c r="J359" s="21">
        <v>644</v>
      </c>
      <c r="K359" s="39">
        <v>0</v>
      </c>
      <c r="L359" s="39">
        <v>0</v>
      </c>
      <c r="M359" s="21">
        <v>0</v>
      </c>
      <c r="N359" s="21" t="s">
        <v>229</v>
      </c>
    </row>
    <row r="360" spans="1:15" ht="15">
      <c r="A360" s="18">
        <v>46074</v>
      </c>
      <c r="B360" s="19">
        <v>46074</v>
      </c>
      <c r="C360" s="21">
        <v>0</v>
      </c>
      <c r="D360" s="21">
        <v>0</v>
      </c>
      <c r="E360" s="21">
        <v>0</v>
      </c>
      <c r="F360" s="21">
        <v>0</v>
      </c>
      <c r="G360" s="21"/>
      <c r="H360" s="21" t="str">
        <f>IFERROR(VLOOKUP(G360,Basic_Data!$E$2:$I$9,5,0),"")</f>
        <v/>
      </c>
      <c r="I360" s="21">
        <v>644</v>
      </c>
      <c r="J360" s="21">
        <v>644</v>
      </c>
      <c r="K360" s="39">
        <v>0</v>
      </c>
      <c r="L360" s="39">
        <v>0</v>
      </c>
      <c r="M360" s="21">
        <v>0</v>
      </c>
      <c r="N360" s="21" t="s">
        <v>229</v>
      </c>
    </row>
    <row r="361" spans="1:15" ht="15">
      <c r="A361" s="18">
        <v>46075</v>
      </c>
      <c r="B361" s="19">
        <v>46075</v>
      </c>
      <c r="C361" s="21">
        <v>0</v>
      </c>
      <c r="D361" s="21">
        <v>0</v>
      </c>
      <c r="E361" s="21">
        <v>0</v>
      </c>
      <c r="F361" s="21">
        <v>0</v>
      </c>
      <c r="G361" s="21"/>
      <c r="H361" s="21" t="str">
        <f>IFERROR(VLOOKUP(G361,Basic_Data!$E$2:$I$9,5,0),"")</f>
        <v/>
      </c>
      <c r="I361" s="21">
        <v>644</v>
      </c>
      <c r="J361" s="21">
        <v>644</v>
      </c>
      <c r="K361" s="39">
        <v>0</v>
      </c>
      <c r="L361" s="39">
        <v>0</v>
      </c>
      <c r="M361" s="21">
        <v>0</v>
      </c>
      <c r="N361" s="21" t="s">
        <v>229</v>
      </c>
    </row>
    <row r="362" spans="1:15" ht="15">
      <c r="A362" s="18">
        <v>46076</v>
      </c>
      <c r="B362" s="19">
        <v>46076</v>
      </c>
      <c r="C362" s="21">
        <v>0</v>
      </c>
      <c r="D362" s="21">
        <v>0</v>
      </c>
      <c r="E362" s="21">
        <v>0</v>
      </c>
      <c r="F362" s="21">
        <v>0</v>
      </c>
      <c r="G362" s="21"/>
      <c r="H362" s="21" t="str">
        <f>IFERROR(VLOOKUP(G362,Basic_Data!$E$2:$I$9,5,0),"")</f>
        <v/>
      </c>
      <c r="I362" s="21">
        <v>644</v>
      </c>
      <c r="J362" s="21">
        <v>644</v>
      </c>
      <c r="K362" s="39">
        <v>0</v>
      </c>
      <c r="L362" s="39">
        <v>0</v>
      </c>
      <c r="M362" s="21">
        <v>0</v>
      </c>
      <c r="N362" s="21" t="s">
        <v>229</v>
      </c>
    </row>
    <row r="363" spans="1:15" ht="15">
      <c r="A363" s="18">
        <v>46077</v>
      </c>
      <c r="B363" s="19">
        <v>46077</v>
      </c>
      <c r="C363" s="21">
        <v>0</v>
      </c>
      <c r="D363" s="21">
        <v>0</v>
      </c>
      <c r="E363" s="21">
        <v>0</v>
      </c>
      <c r="F363" s="21">
        <v>0</v>
      </c>
      <c r="G363" s="21"/>
      <c r="H363" s="21" t="str">
        <f>IFERROR(VLOOKUP(G363,Basic_Data!$E$2:$I$9,5,0),"")</f>
        <v/>
      </c>
      <c r="I363" s="21">
        <v>644</v>
      </c>
      <c r="J363" s="21">
        <v>644</v>
      </c>
      <c r="K363" s="39">
        <v>0</v>
      </c>
      <c r="L363" s="39">
        <v>0</v>
      </c>
      <c r="M363" s="21">
        <v>0</v>
      </c>
      <c r="N363" s="21" t="s">
        <v>229</v>
      </c>
    </row>
    <row r="364" spans="1:15" ht="15">
      <c r="A364" s="18">
        <v>46078</v>
      </c>
      <c r="B364" s="19">
        <v>46078</v>
      </c>
      <c r="C364" s="21">
        <v>0</v>
      </c>
      <c r="D364" s="21">
        <v>0</v>
      </c>
      <c r="E364" s="21">
        <v>0</v>
      </c>
      <c r="F364" s="21">
        <v>0</v>
      </c>
      <c r="G364" s="21"/>
      <c r="H364" s="21" t="str">
        <f>IFERROR(VLOOKUP(G364,Basic_Data!$E$2:$I$9,5,0),"")</f>
        <v/>
      </c>
      <c r="I364" s="21">
        <v>644</v>
      </c>
      <c r="J364" s="21">
        <v>644</v>
      </c>
      <c r="K364" s="39">
        <v>0</v>
      </c>
      <c r="L364" s="39">
        <v>0</v>
      </c>
      <c r="M364" s="21">
        <v>0</v>
      </c>
      <c r="N364" s="21" t="s">
        <v>229</v>
      </c>
    </row>
    <row r="365" spans="1:15" ht="15">
      <c r="A365" s="18">
        <v>46079</v>
      </c>
      <c r="B365" s="19">
        <v>46079</v>
      </c>
      <c r="C365" s="21">
        <v>0</v>
      </c>
      <c r="D365" s="21">
        <v>0</v>
      </c>
      <c r="E365" s="21">
        <v>0</v>
      </c>
      <c r="F365" s="21">
        <v>0</v>
      </c>
      <c r="G365" s="21"/>
      <c r="H365" s="21"/>
      <c r="I365" s="21">
        <v>644</v>
      </c>
      <c r="J365" s="21">
        <v>644</v>
      </c>
      <c r="K365" s="39">
        <v>0</v>
      </c>
      <c r="L365" s="39">
        <v>0</v>
      </c>
      <c r="M365" s="21">
        <v>0</v>
      </c>
      <c r="N365" s="21" t="s">
        <v>229</v>
      </c>
    </row>
    <row r="366" spans="1:15" ht="15">
      <c r="A366" s="18">
        <v>46080</v>
      </c>
      <c r="B366" s="19">
        <v>46080</v>
      </c>
      <c r="C366" s="21">
        <v>0</v>
      </c>
      <c r="D366" s="21">
        <v>0</v>
      </c>
      <c r="E366" s="21">
        <v>0</v>
      </c>
      <c r="F366" s="21">
        <v>0</v>
      </c>
      <c r="G366" s="21"/>
      <c r="H366" s="21" t="str">
        <f>IFERROR(VLOOKUP(G366,Basic_Data!$E$2:$I$9,5,0),"")</f>
        <v/>
      </c>
      <c r="I366" s="21">
        <v>644</v>
      </c>
      <c r="J366" s="21">
        <v>644</v>
      </c>
      <c r="K366" s="39">
        <v>0</v>
      </c>
      <c r="L366" s="39">
        <v>0</v>
      </c>
      <c r="M366" s="21">
        <v>0</v>
      </c>
      <c r="N366" s="21" t="s">
        <v>229</v>
      </c>
    </row>
    <row r="367" spans="1:15" ht="15">
      <c r="A367" s="18">
        <v>46081</v>
      </c>
      <c r="B367" s="19">
        <v>46081</v>
      </c>
      <c r="C367" s="21">
        <v>0</v>
      </c>
      <c r="D367" s="21">
        <v>0</v>
      </c>
      <c r="E367" s="21">
        <v>0</v>
      </c>
      <c r="F367" s="21">
        <v>0</v>
      </c>
      <c r="G367" s="21"/>
      <c r="H367" s="21" t="str">
        <f>IFERROR(VLOOKUP(G367,Basic_Data!$E$2:$I$9,5,0),"")</f>
        <v/>
      </c>
      <c r="I367" s="21">
        <v>644</v>
      </c>
      <c r="J367" s="21">
        <v>644</v>
      </c>
      <c r="K367" s="39">
        <v>0</v>
      </c>
      <c r="L367" s="39">
        <v>0</v>
      </c>
      <c r="M367" s="21">
        <v>0</v>
      </c>
      <c r="N367" s="21" t="s">
        <v>229</v>
      </c>
    </row>
    <row r="368" spans="1:15" ht="15">
      <c r="A368" s="18">
        <v>46082</v>
      </c>
      <c r="B368" s="19">
        <v>46082</v>
      </c>
      <c r="C368" s="21">
        <v>0</v>
      </c>
      <c r="D368" s="21">
        <v>0</v>
      </c>
      <c r="E368" s="21">
        <v>0</v>
      </c>
      <c r="F368" s="21">
        <v>0</v>
      </c>
      <c r="G368" s="21"/>
      <c r="H368" s="21" t="str">
        <f>IFERROR(VLOOKUP(G368,Basic_Data!$E$2:$I$9,5,0),"")</f>
        <v/>
      </c>
      <c r="I368" s="21">
        <v>644</v>
      </c>
      <c r="J368" s="21">
        <v>644</v>
      </c>
      <c r="K368" s="39">
        <v>0</v>
      </c>
      <c r="L368" s="39">
        <v>0</v>
      </c>
      <c r="M368" s="21">
        <v>0</v>
      </c>
      <c r="N368" s="21" t="s">
        <v>229</v>
      </c>
    </row>
    <row r="369" spans="1:14" ht="15">
      <c r="A369" s="18">
        <v>46083</v>
      </c>
      <c r="B369" s="19">
        <v>46083</v>
      </c>
      <c r="C369" s="21">
        <v>0</v>
      </c>
      <c r="D369" s="21">
        <v>0</v>
      </c>
      <c r="E369" s="21">
        <v>0</v>
      </c>
      <c r="F369" s="21">
        <v>0</v>
      </c>
      <c r="G369" s="21"/>
      <c r="H369" s="21" t="str">
        <f>IFERROR(VLOOKUP(G369,Basic_Data!$E$2:$I$9,5,0),"")</f>
        <v/>
      </c>
      <c r="I369" s="21">
        <v>644</v>
      </c>
      <c r="J369" s="21">
        <v>644</v>
      </c>
      <c r="K369" s="39">
        <v>0</v>
      </c>
      <c r="L369" s="39">
        <v>0</v>
      </c>
      <c r="M369" s="21">
        <v>0</v>
      </c>
      <c r="N369" s="21" t="s">
        <v>229</v>
      </c>
    </row>
    <row r="370" spans="1:14" ht="15">
      <c r="A370" s="18">
        <v>46084</v>
      </c>
      <c r="B370" s="19">
        <v>46084</v>
      </c>
      <c r="C370" s="21">
        <v>1</v>
      </c>
      <c r="D370" s="21">
        <v>3000</v>
      </c>
      <c r="E370" s="21">
        <v>0</v>
      </c>
      <c r="F370" s="21">
        <v>1</v>
      </c>
      <c r="G370" s="21" t="s">
        <v>16</v>
      </c>
      <c r="H370" s="21">
        <f>IFERROR(VLOOKUP(G370,Basic_Data!$E$2:$I$9,5,0),"")</f>
        <v>3</v>
      </c>
      <c r="I370" s="21">
        <v>644</v>
      </c>
      <c r="J370" s="21">
        <v>644</v>
      </c>
      <c r="K370" s="31">
        <f>IFERROR(VLOOKUP($B370-1,Inverter_PR!$B:$I,Module_Cleaning!H370,0),"")</f>
        <v>1.1944256443452499</v>
      </c>
      <c r="L370" s="39">
        <v>0</v>
      </c>
      <c r="M370" s="21">
        <v>0</v>
      </c>
      <c r="N370" s="21" t="s">
        <v>228</v>
      </c>
    </row>
    <row r="371" spans="1:14" ht="15">
      <c r="A371" s="18">
        <v>46085</v>
      </c>
      <c r="B371" s="19">
        <v>46085</v>
      </c>
      <c r="C371" s="21">
        <v>0</v>
      </c>
      <c r="D371" s="21">
        <v>0</v>
      </c>
      <c r="E371" s="21">
        <v>0</v>
      </c>
      <c r="F371" s="21">
        <v>0</v>
      </c>
      <c r="G371" s="21"/>
      <c r="H371" s="21" t="str">
        <f>IFERROR(VLOOKUP(G371,Basic_Data!$E$2:$I$9,5,0),"")</f>
        <v/>
      </c>
      <c r="I371" s="21">
        <v>644</v>
      </c>
      <c r="J371" s="21">
        <v>644</v>
      </c>
      <c r="K371" s="39">
        <v>0</v>
      </c>
      <c r="L371" s="39">
        <v>0</v>
      </c>
      <c r="M371" s="21">
        <v>0</v>
      </c>
      <c r="N371" s="21" t="s">
        <v>229</v>
      </c>
    </row>
    <row r="372" spans="1:14" ht="15">
      <c r="A372" s="18">
        <v>46086</v>
      </c>
      <c r="B372" s="19">
        <v>46086</v>
      </c>
      <c r="C372" s="21">
        <v>0</v>
      </c>
      <c r="D372" s="21">
        <v>0</v>
      </c>
      <c r="E372" s="21">
        <v>0</v>
      </c>
      <c r="F372" s="21">
        <v>0</v>
      </c>
      <c r="G372" s="21"/>
      <c r="H372" s="21" t="str">
        <f>IFERROR(VLOOKUP(G372,Basic_Data!$E$2:$I$9,5,0),"")</f>
        <v/>
      </c>
      <c r="I372" s="21">
        <v>644</v>
      </c>
      <c r="J372" s="21">
        <v>644</v>
      </c>
      <c r="K372" s="39">
        <v>0</v>
      </c>
      <c r="L372" s="39">
        <v>0</v>
      </c>
      <c r="M372" s="21">
        <v>0</v>
      </c>
      <c r="N372" s="21" t="s">
        <v>229</v>
      </c>
    </row>
    <row r="373" spans="1:14" ht="15">
      <c r="A373" s="18">
        <v>46087</v>
      </c>
      <c r="B373" s="19">
        <v>46087</v>
      </c>
      <c r="C373" s="21">
        <v>0</v>
      </c>
      <c r="D373" s="21">
        <v>0</v>
      </c>
      <c r="E373" s="21">
        <v>0</v>
      </c>
      <c r="F373" s="21">
        <v>0</v>
      </c>
      <c r="G373" s="21"/>
      <c r="H373" s="21" t="str">
        <f>IFERROR(VLOOKUP(G373,Basic_Data!$E$2:$I$9,5,0),"")</f>
        <v/>
      </c>
      <c r="I373" s="21">
        <v>644</v>
      </c>
      <c r="J373" s="21">
        <v>644</v>
      </c>
      <c r="K373" s="39">
        <v>0</v>
      </c>
      <c r="L373" s="39">
        <v>0</v>
      </c>
      <c r="M373" s="21">
        <v>0</v>
      </c>
      <c r="N373" s="21" t="s">
        <v>229</v>
      </c>
    </row>
    <row r="374" spans="1:14" ht="15">
      <c r="A374" s="18">
        <v>46088</v>
      </c>
      <c r="B374" s="19">
        <v>46088</v>
      </c>
      <c r="C374" s="21">
        <v>0</v>
      </c>
      <c r="D374" s="21">
        <v>0</v>
      </c>
      <c r="E374" s="21">
        <v>0</v>
      </c>
      <c r="F374" s="21">
        <v>0</v>
      </c>
      <c r="G374" s="21"/>
      <c r="H374" s="21" t="str">
        <f>IFERROR(VLOOKUP(G374,Basic_Data!$E$2:$I$9,5,0),"")</f>
        <v/>
      </c>
      <c r="I374" s="21">
        <v>644</v>
      </c>
      <c r="J374" s="21">
        <v>644</v>
      </c>
      <c r="K374" s="39">
        <v>0</v>
      </c>
      <c r="L374" s="39">
        <v>0</v>
      </c>
      <c r="M374" s="21">
        <v>0</v>
      </c>
      <c r="N374" s="21" t="s">
        <v>229</v>
      </c>
    </row>
    <row r="375" spans="1:14" ht="15">
      <c r="A375" s="18">
        <v>46089</v>
      </c>
      <c r="B375" s="19">
        <v>46089</v>
      </c>
      <c r="C375" s="21">
        <v>0</v>
      </c>
      <c r="D375" s="21">
        <v>0</v>
      </c>
      <c r="E375" s="21">
        <v>0</v>
      </c>
      <c r="F375" s="21">
        <v>0</v>
      </c>
      <c r="G375" s="21"/>
      <c r="H375" s="21" t="str">
        <f>IFERROR(VLOOKUP(G375,Basic_Data!$E$2:$I$9,5,0),"")</f>
        <v/>
      </c>
      <c r="I375" s="21">
        <v>644</v>
      </c>
      <c r="J375" s="21">
        <v>644</v>
      </c>
      <c r="K375" s="39">
        <v>0</v>
      </c>
      <c r="L375" s="39">
        <v>0</v>
      </c>
      <c r="M375" s="21">
        <v>0</v>
      </c>
      <c r="N375" s="21" t="s">
        <v>229</v>
      </c>
    </row>
    <row r="376" spans="1:14" ht="15">
      <c r="A376" s="18">
        <v>46090</v>
      </c>
      <c r="B376" s="19">
        <v>46090</v>
      </c>
      <c r="C376" s="21">
        <v>0</v>
      </c>
      <c r="D376" s="21">
        <v>0</v>
      </c>
      <c r="E376" s="21">
        <v>0</v>
      </c>
      <c r="F376" s="21">
        <v>0</v>
      </c>
      <c r="G376" s="21"/>
      <c r="H376" s="21" t="str">
        <f>IFERROR(VLOOKUP(G376,Basic_Data!$E$2:$I$9,5,0),"")</f>
        <v/>
      </c>
      <c r="I376" s="21">
        <v>644</v>
      </c>
      <c r="J376" s="21">
        <v>644</v>
      </c>
      <c r="K376" s="39">
        <v>0</v>
      </c>
      <c r="L376" s="39">
        <v>0</v>
      </c>
      <c r="M376" s="21">
        <v>0</v>
      </c>
      <c r="N376" t="s">
        <v>229</v>
      </c>
    </row>
    <row r="377" spans="1:14" ht="15">
      <c r="A377" s="18">
        <v>46091</v>
      </c>
      <c r="B377" s="19">
        <v>46091</v>
      </c>
      <c r="C377" s="21">
        <v>0</v>
      </c>
      <c r="D377" s="21">
        <v>0</v>
      </c>
      <c r="E377" s="21">
        <v>0</v>
      </c>
      <c r="F377" s="21">
        <v>0</v>
      </c>
      <c r="G377" s="21"/>
      <c r="H377" s="21" t="str">
        <f>IFERROR(VLOOKUP(G377,Basic_Data!$E$2:$I$9,5,0),"")</f>
        <v/>
      </c>
      <c r="I377" s="21">
        <v>644</v>
      </c>
      <c r="J377" s="21">
        <v>644</v>
      </c>
      <c r="K377" s="39">
        <v>0</v>
      </c>
      <c r="L377" s="39">
        <v>0</v>
      </c>
      <c r="M377" s="21">
        <v>0</v>
      </c>
      <c r="N377" t="s">
        <v>229</v>
      </c>
    </row>
    <row r="378" spans="1:14" ht="15">
      <c r="A378" s="18">
        <v>46092</v>
      </c>
      <c r="B378" s="19">
        <v>46092</v>
      </c>
      <c r="C378" s="21">
        <v>0</v>
      </c>
      <c r="D378" s="21">
        <v>0</v>
      </c>
      <c r="E378" s="21">
        <v>0</v>
      </c>
      <c r="F378" s="21">
        <v>0</v>
      </c>
      <c r="G378" s="21"/>
      <c r="H378" s="21" t="str">
        <f>IFERROR(VLOOKUP(G378,Basic_Data!$E$2:$I$9,5,0),"")</f>
        <v/>
      </c>
      <c r="I378" s="21">
        <v>644</v>
      </c>
      <c r="J378" s="21">
        <v>644</v>
      </c>
      <c r="K378" s="39">
        <v>0</v>
      </c>
      <c r="L378" s="39">
        <v>0</v>
      </c>
      <c r="M378" s="21">
        <v>0</v>
      </c>
      <c r="N378" t="s">
        <v>229</v>
      </c>
    </row>
    <row r="379" spans="1:14" ht="15">
      <c r="A379" s="18">
        <v>46093</v>
      </c>
      <c r="B379" s="19">
        <v>46093</v>
      </c>
      <c r="C379" s="21">
        <v>0</v>
      </c>
      <c r="D379" s="21">
        <v>0</v>
      </c>
      <c r="E379" s="21">
        <v>0</v>
      </c>
      <c r="F379" s="21">
        <v>0</v>
      </c>
      <c r="G379" s="21"/>
      <c r="H379" s="21" t="str">
        <f>IFERROR(VLOOKUP(G379,Basic_Data!$E$2:$I$9,5,0),"")</f>
        <v/>
      </c>
      <c r="I379" s="21">
        <v>644</v>
      </c>
      <c r="J379" s="21">
        <v>644</v>
      </c>
      <c r="K379" s="39">
        <v>0</v>
      </c>
      <c r="L379" s="39">
        <v>0</v>
      </c>
      <c r="M379" s="21">
        <v>0</v>
      </c>
      <c r="N379" t="s">
        <v>229</v>
      </c>
    </row>
    <row r="380" spans="1:14" ht="15">
      <c r="A380" s="18">
        <v>46094</v>
      </c>
      <c r="B380" s="19">
        <v>46094</v>
      </c>
      <c r="C380" s="21">
        <v>0</v>
      </c>
      <c r="D380" s="21">
        <v>0</v>
      </c>
      <c r="E380" s="21">
        <v>0</v>
      </c>
      <c r="F380" s="21">
        <v>0</v>
      </c>
      <c r="G380" s="21"/>
      <c r="H380" s="21" t="str">
        <f>IFERROR(VLOOKUP(G380,Basic_Data!$E$2:$I$9,5,0),"")</f>
        <v/>
      </c>
      <c r="I380" s="21">
        <v>644</v>
      </c>
      <c r="J380" s="21">
        <v>644</v>
      </c>
      <c r="K380" s="39">
        <v>0</v>
      </c>
      <c r="L380" s="39">
        <v>0</v>
      </c>
      <c r="M380" s="21">
        <v>0</v>
      </c>
      <c r="N380" t="s">
        <v>229</v>
      </c>
    </row>
    <row r="381" spans="1:14" ht="15">
      <c r="A381" s="18">
        <v>46095</v>
      </c>
      <c r="B381" s="19">
        <v>46095</v>
      </c>
      <c r="C381" s="21">
        <v>0</v>
      </c>
      <c r="D381" s="21">
        <v>0</v>
      </c>
      <c r="E381" s="21">
        <v>0</v>
      </c>
      <c r="F381" s="21">
        <v>0</v>
      </c>
      <c r="G381" s="21"/>
      <c r="H381" s="21" t="str">
        <f>IFERROR(VLOOKUP(G381,Basic_Data!$E$2:$I$9,5,0),"")</f>
        <v/>
      </c>
      <c r="I381" s="21">
        <v>644</v>
      </c>
      <c r="J381" s="21">
        <v>644</v>
      </c>
      <c r="K381" s="39">
        <v>0</v>
      </c>
      <c r="L381" s="39">
        <v>0</v>
      </c>
      <c r="M381" s="21">
        <v>0</v>
      </c>
      <c r="N381" t="s">
        <v>229</v>
      </c>
    </row>
    <row r="382" spans="1:14" ht="15">
      <c r="A382" s="18">
        <v>46096</v>
      </c>
      <c r="B382" s="19">
        <v>46096</v>
      </c>
      <c r="C382" s="21">
        <v>0</v>
      </c>
      <c r="D382" s="21">
        <v>0</v>
      </c>
      <c r="E382" s="21">
        <v>0</v>
      </c>
      <c r="F382" s="21">
        <v>0</v>
      </c>
      <c r="G382" s="21"/>
      <c r="H382" s="21" t="str">
        <f>IFERROR(VLOOKUP(G382,Basic_Data!$E$2:$I$9,5,0),"")</f>
        <v/>
      </c>
      <c r="I382" s="21">
        <v>644</v>
      </c>
      <c r="J382" s="21">
        <v>644</v>
      </c>
      <c r="K382" s="39">
        <v>0</v>
      </c>
      <c r="L382" s="39">
        <v>0</v>
      </c>
      <c r="M382" s="21">
        <v>0</v>
      </c>
      <c r="N382" t="s">
        <v>229</v>
      </c>
    </row>
    <row r="383" spans="1:14" ht="15">
      <c r="A383" s="18">
        <v>46097</v>
      </c>
      <c r="B383" s="19">
        <v>46097</v>
      </c>
      <c r="C383" s="21">
        <v>0</v>
      </c>
      <c r="D383" s="21">
        <v>0</v>
      </c>
      <c r="E383" s="21">
        <v>0</v>
      </c>
      <c r="F383" s="21">
        <v>0</v>
      </c>
      <c r="G383" s="21"/>
      <c r="H383" s="21" t="str">
        <f>IFERROR(VLOOKUP(G383,Basic_Data!$E$2:$I$9,5,0),"")</f>
        <v/>
      </c>
      <c r="I383" s="21">
        <v>644</v>
      </c>
      <c r="J383" s="21">
        <v>644</v>
      </c>
      <c r="K383" s="39">
        <v>0</v>
      </c>
      <c r="L383" s="39">
        <v>0</v>
      </c>
      <c r="M383" s="21">
        <v>0</v>
      </c>
      <c r="N383" t="s">
        <v>229</v>
      </c>
    </row>
    <row r="384" spans="1:14" ht="15">
      <c r="A384" s="18">
        <v>46098</v>
      </c>
      <c r="B384" s="19">
        <v>46098</v>
      </c>
      <c r="C384" s="21">
        <v>0</v>
      </c>
      <c r="D384" s="21">
        <v>0</v>
      </c>
      <c r="E384" s="21">
        <v>0</v>
      </c>
      <c r="G384" s="21"/>
      <c r="H384" s="21" t="str">
        <f>IFERROR(VLOOKUP(G384,Basic_Data!$E$2:$I$9,5,0),"")</f>
        <v/>
      </c>
      <c r="I384" s="21">
        <v>644</v>
      </c>
      <c r="J384" s="21">
        <v>644</v>
      </c>
      <c r="K384" s="39">
        <v>0</v>
      </c>
      <c r="L384" s="39">
        <v>0</v>
      </c>
      <c r="M384" s="21">
        <v>0</v>
      </c>
      <c r="N384" t="s">
        <v>229</v>
      </c>
    </row>
    <row r="385" spans="1:14" ht="15">
      <c r="A385" s="18">
        <v>46099</v>
      </c>
      <c r="B385" s="19">
        <v>46099</v>
      </c>
      <c r="C385" s="21">
        <v>0</v>
      </c>
      <c r="D385" s="21">
        <v>0</v>
      </c>
      <c r="E385" s="21">
        <v>0</v>
      </c>
      <c r="F385" s="21">
        <v>0</v>
      </c>
      <c r="G385" s="21"/>
      <c r="H385" s="21" t="str">
        <f>IFERROR(VLOOKUP(G385,Basic_Data!$E$2:$I$9,5,0),"")</f>
        <v/>
      </c>
      <c r="I385" s="21">
        <v>644</v>
      </c>
      <c r="J385" s="21">
        <v>644</v>
      </c>
      <c r="K385" s="39">
        <v>0</v>
      </c>
      <c r="L385" s="39">
        <v>0</v>
      </c>
      <c r="M385" s="21">
        <v>0</v>
      </c>
      <c r="N385" t="s">
        <v>229</v>
      </c>
    </row>
    <row r="386" spans="1:14" ht="15">
      <c r="A386" s="18">
        <v>46100</v>
      </c>
      <c r="B386" s="19">
        <v>46100</v>
      </c>
      <c r="C386" s="21"/>
      <c r="D386" s="21">
        <v>0</v>
      </c>
      <c r="E386" s="21">
        <v>0</v>
      </c>
      <c r="F386" s="21">
        <v>0</v>
      </c>
      <c r="G386" s="21"/>
      <c r="H386" s="21" t="str">
        <f>IFERROR(VLOOKUP(G386,Basic_Data!$E$2:$I$9,5,0),"")</f>
        <v/>
      </c>
      <c r="I386" s="21">
        <v>644</v>
      </c>
      <c r="J386" s="21">
        <v>644</v>
      </c>
      <c r="K386" s="39">
        <v>0</v>
      </c>
      <c r="L386" s="39">
        <v>0</v>
      </c>
      <c r="M386" s="21">
        <v>0</v>
      </c>
      <c r="N386" t="s">
        <v>229</v>
      </c>
    </row>
    <row r="387" spans="1:14" ht="15">
      <c r="A387" s="18">
        <v>46101</v>
      </c>
      <c r="B387" s="19">
        <v>46101</v>
      </c>
      <c r="C387" s="21"/>
      <c r="D387" s="21">
        <v>0</v>
      </c>
      <c r="E387" s="21">
        <v>0</v>
      </c>
      <c r="F387" s="21">
        <v>0</v>
      </c>
      <c r="G387" s="21"/>
      <c r="H387" s="21" t="str">
        <f>IFERROR(VLOOKUP(G387,Basic_Data!$E$2:$I$9,5,0),"")</f>
        <v/>
      </c>
      <c r="I387" s="21">
        <v>644</v>
      </c>
      <c r="J387" s="21">
        <v>644</v>
      </c>
      <c r="K387" s="39">
        <v>0</v>
      </c>
      <c r="L387" s="39">
        <v>0</v>
      </c>
      <c r="M387" s="21">
        <v>0</v>
      </c>
      <c r="N387" t="s">
        <v>229</v>
      </c>
    </row>
    <row r="388" spans="1:14" ht="15">
      <c r="A388" s="18">
        <v>46102</v>
      </c>
      <c r="B388" s="19">
        <v>46102</v>
      </c>
      <c r="C388" s="21"/>
      <c r="D388" s="21">
        <v>0</v>
      </c>
      <c r="E388" s="21">
        <v>0</v>
      </c>
      <c r="F388" s="21">
        <v>0</v>
      </c>
      <c r="G388" s="21"/>
      <c r="H388" s="21" t="str">
        <f>IFERROR(VLOOKUP(G388,Basic_Data!$E$2:$I$9,5,0),"")</f>
        <v/>
      </c>
      <c r="I388" s="21">
        <v>644</v>
      </c>
      <c r="J388" s="21">
        <v>644</v>
      </c>
      <c r="K388" s="39">
        <v>0</v>
      </c>
      <c r="L388" s="39">
        <v>0</v>
      </c>
      <c r="M388" s="21">
        <v>0</v>
      </c>
      <c r="N388" t="s">
        <v>229</v>
      </c>
    </row>
    <row r="389" spans="1:14" ht="15">
      <c r="A389" s="18">
        <v>46103</v>
      </c>
      <c r="B389" s="19">
        <v>46103</v>
      </c>
      <c r="C389" s="21"/>
      <c r="D389" s="21">
        <v>0</v>
      </c>
      <c r="E389" s="21">
        <v>0</v>
      </c>
      <c r="F389" s="21">
        <v>0</v>
      </c>
      <c r="G389" s="21"/>
      <c r="H389" s="21"/>
      <c r="I389" s="21">
        <v>644</v>
      </c>
      <c r="J389" s="21">
        <v>644</v>
      </c>
      <c r="K389" s="39">
        <v>0</v>
      </c>
      <c r="L389" s="39">
        <v>0</v>
      </c>
      <c r="M389" s="21">
        <v>0</v>
      </c>
      <c r="N389" t="s">
        <v>229</v>
      </c>
    </row>
    <row r="390" spans="1:14" ht="15">
      <c r="A390" s="18">
        <v>46104</v>
      </c>
      <c r="B390" s="19">
        <v>46104</v>
      </c>
      <c r="C390" s="21"/>
      <c r="D390" s="21">
        <v>6000</v>
      </c>
      <c r="E390" s="21">
        <v>0</v>
      </c>
      <c r="F390" s="21">
        <v>1</v>
      </c>
      <c r="G390" s="21"/>
      <c r="H390" s="21" t="str">
        <f>IFERROR(VLOOKUP(G390,Basic_Data!$E$2:$I$9,5,0),"")</f>
        <v/>
      </c>
      <c r="I390" s="21">
        <v>644</v>
      </c>
      <c r="J390" s="21">
        <v>644</v>
      </c>
      <c r="K390" s="40">
        <v>119</v>
      </c>
      <c r="L390" s="39">
        <v>0</v>
      </c>
      <c r="M390" s="21">
        <v>0</v>
      </c>
      <c r="N390" t="s">
        <v>229</v>
      </c>
    </row>
    <row r="391" spans="1:14" ht="15">
      <c r="A391" s="18">
        <v>46105</v>
      </c>
      <c r="B391" s="19">
        <v>46105</v>
      </c>
      <c r="C391" s="21"/>
      <c r="D391" s="21">
        <v>0</v>
      </c>
      <c r="E391" s="21">
        <v>0</v>
      </c>
      <c r="F391" s="21">
        <v>0</v>
      </c>
      <c r="G391" s="21"/>
      <c r="H391" s="21" t="str">
        <f>IFERROR(VLOOKUP(G391,Basic_Data!$E$2:$I$9,5,0),"")</f>
        <v/>
      </c>
      <c r="I391" s="21">
        <v>644</v>
      </c>
      <c r="J391" s="21">
        <v>644</v>
      </c>
      <c r="K391" s="39">
        <v>0</v>
      </c>
      <c r="L391" s="39">
        <v>0</v>
      </c>
      <c r="M391" s="21">
        <v>0</v>
      </c>
      <c r="N391" s="21" t="s">
        <v>229</v>
      </c>
    </row>
    <row r="392" spans="1:14" ht="15">
      <c r="A392" s="18">
        <v>46106</v>
      </c>
      <c r="B392" s="19">
        <v>46106</v>
      </c>
      <c r="C392" s="21"/>
      <c r="D392" s="21">
        <v>0</v>
      </c>
      <c r="E392" s="21">
        <v>0</v>
      </c>
      <c r="F392" s="21">
        <v>0</v>
      </c>
      <c r="G392" s="21"/>
      <c r="H392" s="21" t="str">
        <f>IFERROR(VLOOKUP(G392,Basic_Data!$E$2:$I$9,5,0),"")</f>
        <v/>
      </c>
      <c r="I392" s="21">
        <v>644</v>
      </c>
      <c r="J392" s="21">
        <v>644</v>
      </c>
      <c r="K392" s="39">
        <v>0</v>
      </c>
      <c r="L392" s="39">
        <v>0</v>
      </c>
      <c r="M392" s="21">
        <v>0</v>
      </c>
      <c r="N392" t="s">
        <v>229</v>
      </c>
    </row>
    <row r="393" spans="1:14" ht="15">
      <c r="A393" s="18">
        <v>46107</v>
      </c>
      <c r="B393" s="19">
        <v>46107</v>
      </c>
      <c r="C393" s="21"/>
      <c r="D393" s="21">
        <v>0</v>
      </c>
      <c r="E393" s="21">
        <v>0</v>
      </c>
      <c r="F393" s="21">
        <v>0</v>
      </c>
      <c r="G393" s="21"/>
      <c r="H393" s="21" t="str">
        <f>IFERROR(VLOOKUP(G393,Basic_Data!$E$2:$I$9,5,0),"")</f>
        <v/>
      </c>
      <c r="I393" s="21">
        <v>644</v>
      </c>
      <c r="J393" s="21">
        <v>644</v>
      </c>
      <c r="K393" s="39">
        <v>0</v>
      </c>
      <c r="L393" s="39">
        <v>0</v>
      </c>
      <c r="M393" s="21">
        <v>0</v>
      </c>
      <c r="N393" t="s">
        <v>229</v>
      </c>
    </row>
    <row r="394" spans="1:14" ht="15">
      <c r="A394" s="18">
        <v>46108</v>
      </c>
      <c r="B394" s="19">
        <v>46108</v>
      </c>
      <c r="C394" s="21"/>
      <c r="D394" s="21">
        <v>0</v>
      </c>
      <c r="E394" s="21">
        <v>0</v>
      </c>
      <c r="F394" s="21">
        <v>0</v>
      </c>
      <c r="G394" s="21"/>
      <c r="H394" s="21" t="str">
        <f>IFERROR(VLOOKUP(G394,Basic_Data!$E$2:$I$9,5,0),"")</f>
        <v/>
      </c>
      <c r="I394" s="21">
        <v>644</v>
      </c>
      <c r="J394" s="21">
        <v>644</v>
      </c>
      <c r="K394" s="39">
        <v>0</v>
      </c>
      <c r="L394" s="39">
        <v>0</v>
      </c>
      <c r="M394" s="21">
        <v>0</v>
      </c>
      <c r="N394" t="s">
        <v>229</v>
      </c>
    </row>
    <row r="395" spans="1:14" ht="15">
      <c r="A395" s="18">
        <v>46109</v>
      </c>
      <c r="B395" s="19">
        <v>46109</v>
      </c>
      <c r="C395" s="21"/>
      <c r="D395" s="21">
        <v>0</v>
      </c>
      <c r="E395" s="21">
        <v>0</v>
      </c>
      <c r="F395" s="21">
        <v>0</v>
      </c>
      <c r="G395" s="21"/>
      <c r="H395" s="21" t="str">
        <f>IFERROR(VLOOKUP(G395,Basic_Data!$E$2:$I$9,5,0),"")</f>
        <v/>
      </c>
      <c r="I395" s="21">
        <v>644</v>
      </c>
      <c r="J395" s="21">
        <v>644</v>
      </c>
      <c r="K395" s="39">
        <v>0</v>
      </c>
      <c r="L395" s="39">
        <v>0</v>
      </c>
      <c r="M395" s="21">
        <v>0</v>
      </c>
      <c r="N395" t="s">
        <v>229</v>
      </c>
    </row>
    <row r="396" spans="1:14" ht="15">
      <c r="A396" s="18">
        <v>46110</v>
      </c>
      <c r="B396" s="19">
        <v>46110</v>
      </c>
      <c r="C396" s="21"/>
      <c r="D396" s="21">
        <v>0</v>
      </c>
      <c r="E396" s="21">
        <v>0</v>
      </c>
      <c r="F396" s="21">
        <v>0</v>
      </c>
      <c r="G396" s="21"/>
      <c r="H396" s="21" t="str">
        <f>IFERROR(VLOOKUP(G396,Basic_Data!$E$2:$I$9,5,0),"")</f>
        <v/>
      </c>
      <c r="I396" s="21">
        <v>644</v>
      </c>
      <c r="J396" s="21">
        <v>644</v>
      </c>
      <c r="K396" s="39">
        <v>0</v>
      </c>
      <c r="L396" s="39">
        <v>0</v>
      </c>
      <c r="M396" s="21">
        <v>0</v>
      </c>
      <c r="N396" t="s">
        <v>229</v>
      </c>
    </row>
    <row r="397" spans="1:14" ht="15">
      <c r="A397" s="18">
        <v>46111</v>
      </c>
      <c r="B397" s="19">
        <v>46111</v>
      </c>
      <c r="C397" s="21"/>
      <c r="D397" s="21">
        <v>0</v>
      </c>
      <c r="E397" s="21">
        <v>0</v>
      </c>
      <c r="F397" s="21">
        <v>0</v>
      </c>
      <c r="G397" s="21"/>
      <c r="H397" s="21" t="str">
        <f>IFERROR(VLOOKUP(G397,Basic_Data!$E$2:$I$9,5,0),"")</f>
        <v/>
      </c>
      <c r="I397" s="21">
        <v>644</v>
      </c>
      <c r="J397" s="21">
        <v>644</v>
      </c>
      <c r="K397" s="39">
        <v>0</v>
      </c>
      <c r="L397" s="39">
        <v>0</v>
      </c>
      <c r="M397" s="21">
        <v>0</v>
      </c>
      <c r="N397" t="s">
        <v>229</v>
      </c>
    </row>
    <row r="398" spans="1:14" ht="15">
      <c r="A398" s="18">
        <v>46112</v>
      </c>
      <c r="B398" s="19">
        <v>46112</v>
      </c>
      <c r="C398" s="21"/>
      <c r="D398" s="21">
        <v>0</v>
      </c>
      <c r="E398" s="21">
        <v>0</v>
      </c>
      <c r="F398" s="21">
        <v>0</v>
      </c>
      <c r="G398" s="21"/>
      <c r="H398" s="21" t="str">
        <f>IFERROR(VLOOKUP(G398,Basic_Data!$E$2:$I$9,5,0),"")</f>
        <v/>
      </c>
      <c r="I398" s="21">
        <v>644</v>
      </c>
      <c r="J398" s="21">
        <v>644</v>
      </c>
      <c r="K398" s="39">
        <v>0</v>
      </c>
      <c r="L398" s="39">
        <v>0</v>
      </c>
      <c r="M398" s="21">
        <v>0</v>
      </c>
    </row>
    <row r="399" spans="1:14" ht="15">
      <c r="A399" s="18">
        <v>46112</v>
      </c>
      <c r="B399" s="19">
        <v>46113</v>
      </c>
      <c r="C399" s="21"/>
      <c r="D399" s="21">
        <v>0</v>
      </c>
      <c r="E399" s="21">
        <v>0</v>
      </c>
      <c r="F399" s="21">
        <v>0</v>
      </c>
      <c r="G399" s="21"/>
      <c r="H399" s="21" t="str">
        <f>IFERROR(VLOOKUP(G399,Basic_Data!$E$2:$I$9,5,0),"")</f>
        <v/>
      </c>
      <c r="I399" s="21">
        <v>0</v>
      </c>
      <c r="J399" s="21">
        <v>0</v>
      </c>
      <c r="K399" s="39">
        <v>0</v>
      </c>
      <c r="L399" s="39">
        <v>0</v>
      </c>
      <c r="M399" s="21">
        <v>0</v>
      </c>
      <c r="N399" t="s">
        <v>229</v>
      </c>
    </row>
    <row r="400" spans="1:14" ht="15">
      <c r="A400" s="18">
        <v>46113</v>
      </c>
      <c r="B400" s="19">
        <v>46114</v>
      </c>
      <c r="C400" s="21"/>
      <c r="D400" s="21">
        <v>0</v>
      </c>
      <c r="E400" s="21">
        <v>0</v>
      </c>
      <c r="F400" s="21">
        <v>0</v>
      </c>
      <c r="G400" s="21"/>
      <c r="H400" s="21" t="str">
        <f>IFERROR(VLOOKUP(G400,Basic_Data!$E$2:$I$9,5,0),"")</f>
        <v/>
      </c>
      <c r="I400" s="21">
        <v>0</v>
      </c>
      <c r="J400" s="21">
        <v>0</v>
      </c>
      <c r="K400" s="39">
        <v>0</v>
      </c>
      <c r="L400" s="39">
        <v>0</v>
      </c>
      <c r="M400" s="21">
        <v>0</v>
      </c>
      <c r="N400" t="s">
        <v>229</v>
      </c>
    </row>
    <row r="401" spans="1:14" ht="15">
      <c r="A401" s="18">
        <v>46114</v>
      </c>
      <c r="B401" s="19">
        <v>46115</v>
      </c>
      <c r="C401" s="21"/>
      <c r="D401" s="21">
        <v>0</v>
      </c>
      <c r="E401" s="21">
        <v>0</v>
      </c>
      <c r="F401" s="21">
        <v>0</v>
      </c>
      <c r="G401" s="21"/>
      <c r="H401" s="21" t="str">
        <f>IFERROR(VLOOKUP(G401,Basic_Data!$E$2:$I$9,5,0),"")</f>
        <v/>
      </c>
      <c r="I401" s="21">
        <v>0</v>
      </c>
      <c r="J401" s="21">
        <v>0</v>
      </c>
      <c r="K401" s="39">
        <v>0</v>
      </c>
      <c r="L401" s="39">
        <v>0</v>
      </c>
      <c r="M401" s="21">
        <v>0</v>
      </c>
      <c r="N401" t="s">
        <v>229</v>
      </c>
    </row>
    <row r="402" spans="1:14" ht="15">
      <c r="A402" s="18">
        <v>46115</v>
      </c>
      <c r="B402" s="19">
        <v>46116</v>
      </c>
      <c r="C402" s="21"/>
      <c r="D402" s="21">
        <v>2000</v>
      </c>
      <c r="E402" s="21">
        <v>0</v>
      </c>
      <c r="F402" s="21">
        <v>1</v>
      </c>
      <c r="G402" s="21" t="s">
        <v>15</v>
      </c>
      <c r="H402" s="21">
        <f>IFERROR(VLOOKUP(G402,Basic_Data!$E$2:$I$9,5,0),"")</f>
        <v>2</v>
      </c>
      <c r="I402" s="21">
        <v>644</v>
      </c>
      <c r="J402" s="21">
        <v>644</v>
      </c>
      <c r="K402" s="39">
        <v>0</v>
      </c>
      <c r="L402" s="39">
        <v>0</v>
      </c>
      <c r="M402" s="21">
        <v>0</v>
      </c>
      <c r="N402" t="s">
        <v>228</v>
      </c>
    </row>
    <row r="403" spans="1:14" ht="15">
      <c r="A403" s="18">
        <v>46116</v>
      </c>
      <c r="B403" s="19">
        <v>46117</v>
      </c>
      <c r="C403" s="21"/>
      <c r="D403" s="21">
        <v>0</v>
      </c>
      <c r="E403" s="21">
        <v>0</v>
      </c>
      <c r="F403" s="21">
        <v>0</v>
      </c>
      <c r="G403" s="21"/>
      <c r="H403" s="21" t="str">
        <f>IFERROR(VLOOKUP(G403,Basic_Data!$E$2:$I$9,5,0),"")</f>
        <v/>
      </c>
      <c r="I403" s="21">
        <v>644</v>
      </c>
      <c r="J403" s="21">
        <v>644</v>
      </c>
      <c r="K403" s="39">
        <v>0</v>
      </c>
      <c r="L403" s="39">
        <v>0</v>
      </c>
      <c r="M403" s="21">
        <v>0</v>
      </c>
      <c r="N403" t="s">
        <v>228</v>
      </c>
    </row>
    <row r="404" spans="1:14" ht="15">
      <c r="A404" s="18">
        <v>46117</v>
      </c>
      <c r="B404" s="19">
        <v>46118</v>
      </c>
      <c r="C404" s="21"/>
      <c r="D404" s="21">
        <v>0</v>
      </c>
      <c r="E404" s="21">
        <v>0</v>
      </c>
      <c r="F404" s="21">
        <v>0</v>
      </c>
      <c r="G404" s="21"/>
      <c r="H404" s="21" t="str">
        <f>IFERROR(VLOOKUP(G404,Basic_Data!$E$2:$I$9,5,0),"")</f>
        <v/>
      </c>
      <c r="I404" s="21">
        <v>0</v>
      </c>
      <c r="J404" s="21">
        <v>0</v>
      </c>
      <c r="K404" s="39">
        <v>0</v>
      </c>
      <c r="L404" s="39">
        <v>0</v>
      </c>
      <c r="M404" s="21">
        <v>0</v>
      </c>
      <c r="N404" t="s">
        <v>229</v>
      </c>
    </row>
    <row r="405" spans="1:14" ht="15">
      <c r="A405" s="18">
        <v>46118</v>
      </c>
      <c r="B405" s="19">
        <v>46119</v>
      </c>
      <c r="C405" s="21"/>
      <c r="D405" s="21">
        <v>0</v>
      </c>
      <c r="E405" s="21">
        <v>0</v>
      </c>
      <c r="F405" s="21">
        <v>0</v>
      </c>
      <c r="G405" s="21"/>
      <c r="H405" s="21" t="str">
        <f>IFERROR(VLOOKUP(G405,Basic_Data!$E$2:$I$9,5,0),"")</f>
        <v/>
      </c>
      <c r="I405" s="21">
        <v>0</v>
      </c>
      <c r="J405" s="21">
        <v>0</v>
      </c>
      <c r="K405" s="39">
        <v>0</v>
      </c>
      <c r="L405" s="39">
        <v>0</v>
      </c>
      <c r="M405" s="21">
        <v>0</v>
      </c>
      <c r="N405" t="s">
        <v>229</v>
      </c>
    </row>
    <row r="406" spans="1:14" ht="15">
      <c r="A406" s="18">
        <v>46119</v>
      </c>
      <c r="B406" s="19">
        <v>46120</v>
      </c>
      <c r="C406" s="21"/>
      <c r="D406" s="21">
        <v>0</v>
      </c>
      <c r="E406" s="21">
        <v>0</v>
      </c>
      <c r="F406" s="21">
        <v>0</v>
      </c>
      <c r="G406" s="21"/>
      <c r="H406" s="21" t="str">
        <f>IFERROR(VLOOKUP(G406,Basic_Data!$E$2:$I$9,5,0),"")</f>
        <v/>
      </c>
      <c r="I406" s="21">
        <v>0</v>
      </c>
      <c r="J406" s="21">
        <v>0</v>
      </c>
      <c r="K406" s="39">
        <v>0</v>
      </c>
      <c r="L406" s="39">
        <v>0</v>
      </c>
      <c r="M406" s="21">
        <v>0</v>
      </c>
      <c r="N406" t="s">
        <v>229</v>
      </c>
    </row>
    <row r="407" spans="1:14" ht="15">
      <c r="A407" s="18">
        <v>46120</v>
      </c>
      <c r="B407" s="19">
        <v>46121</v>
      </c>
      <c r="C407" s="21"/>
      <c r="D407" s="21">
        <v>0</v>
      </c>
      <c r="E407" s="21">
        <v>0</v>
      </c>
      <c r="F407" s="21">
        <v>0</v>
      </c>
      <c r="G407" s="21"/>
      <c r="H407" s="21" t="str">
        <f>IFERROR(VLOOKUP(G407,Basic_Data!$E$2:$I$9,5,0),"")</f>
        <v/>
      </c>
      <c r="I407" s="21">
        <v>0</v>
      </c>
      <c r="J407" s="21">
        <v>0</v>
      </c>
      <c r="K407" s="39">
        <v>0</v>
      </c>
      <c r="L407" s="39">
        <v>0</v>
      </c>
      <c r="M407" s="21">
        <v>0</v>
      </c>
      <c r="N407" t="s">
        <v>229</v>
      </c>
    </row>
    <row r="408" spans="1:14" ht="15">
      <c r="A408" s="18">
        <v>46121</v>
      </c>
      <c r="B408" s="19">
        <v>46122</v>
      </c>
      <c r="C408" s="21"/>
      <c r="D408" s="21">
        <v>0</v>
      </c>
      <c r="E408" s="21">
        <v>0</v>
      </c>
      <c r="F408" s="21">
        <v>0</v>
      </c>
      <c r="G408" s="21"/>
      <c r="H408" s="21" t="str">
        <f>IFERROR(VLOOKUP(G408,Basic_Data!$E$2:$I$9,5,0),"")</f>
        <v/>
      </c>
      <c r="I408" s="21">
        <v>0</v>
      </c>
      <c r="J408" s="21">
        <v>0</v>
      </c>
      <c r="K408" s="39">
        <v>0</v>
      </c>
      <c r="L408" s="39">
        <v>0</v>
      </c>
      <c r="M408" s="21">
        <v>0</v>
      </c>
      <c r="N408" t="s">
        <v>229</v>
      </c>
    </row>
    <row r="409" spans="1:14" ht="15">
      <c r="A409" s="18">
        <v>46122</v>
      </c>
      <c r="B409" s="19">
        <v>46123</v>
      </c>
      <c r="C409" s="21"/>
      <c r="D409" s="21">
        <v>500</v>
      </c>
      <c r="E409" s="21">
        <v>0</v>
      </c>
      <c r="F409" s="21">
        <v>0</v>
      </c>
      <c r="G409" s="21" t="s">
        <v>21</v>
      </c>
      <c r="H409" s="21">
        <f>IFERROR(VLOOKUP(G409,Basic_Data!$E$2:$I$9,5,0),"")</f>
        <v>8</v>
      </c>
      <c r="I409" s="21">
        <v>644</v>
      </c>
      <c r="J409" s="21">
        <v>644</v>
      </c>
      <c r="K409" s="39">
        <v>0</v>
      </c>
      <c r="L409" s="39">
        <v>0</v>
      </c>
      <c r="M409" s="21">
        <v>0</v>
      </c>
      <c r="N409" t="s">
        <v>228</v>
      </c>
    </row>
    <row r="410" spans="1:14" ht="15">
      <c r="A410" s="18">
        <v>46123</v>
      </c>
      <c r="B410" s="19">
        <v>46124</v>
      </c>
      <c r="C410" s="21"/>
      <c r="D410" s="21">
        <v>1500</v>
      </c>
      <c r="E410" s="21">
        <v>0</v>
      </c>
      <c r="F410" s="21">
        <v>0</v>
      </c>
      <c r="G410" s="21"/>
      <c r="H410" s="21" t="str">
        <f>IFERROR(VLOOKUP(G410,Basic_Data!$E$2:$I$9,5,0),"")</f>
        <v/>
      </c>
      <c r="I410" s="21">
        <v>644</v>
      </c>
      <c r="J410" s="21">
        <v>644</v>
      </c>
      <c r="K410" s="39">
        <v>0</v>
      </c>
      <c r="L410" s="39">
        <v>0</v>
      </c>
      <c r="M410" s="21">
        <v>0</v>
      </c>
      <c r="N410" t="s">
        <v>228</v>
      </c>
    </row>
    <row r="411" spans="1:14" ht="15">
      <c r="A411" s="18">
        <v>46124</v>
      </c>
      <c r="B411" s="19">
        <v>46125</v>
      </c>
      <c r="C411" s="21"/>
      <c r="D411" s="21">
        <v>0</v>
      </c>
      <c r="E411" s="21">
        <v>0</v>
      </c>
      <c r="F411" s="21">
        <v>0</v>
      </c>
      <c r="G411" s="21"/>
      <c r="H411" s="21" t="str">
        <f>IFERROR(VLOOKUP(G411,Basic_Data!$E$2:$I$9,5,0),"")</f>
        <v/>
      </c>
      <c r="I411" s="21">
        <v>0</v>
      </c>
      <c r="J411" s="21">
        <v>0</v>
      </c>
      <c r="K411" s="39">
        <v>0</v>
      </c>
      <c r="L411" s="39">
        <v>0</v>
      </c>
      <c r="M411" s="21">
        <v>0</v>
      </c>
      <c r="N411" t="s">
        <v>229</v>
      </c>
    </row>
    <row r="412" spans="1:14" ht="15">
      <c r="A412" s="18">
        <v>46125</v>
      </c>
      <c r="B412" s="19">
        <v>46126</v>
      </c>
      <c r="C412" s="21"/>
      <c r="D412" s="21">
        <v>0</v>
      </c>
      <c r="E412" s="21">
        <v>0</v>
      </c>
      <c r="F412" s="21">
        <v>0</v>
      </c>
      <c r="G412" s="21"/>
      <c r="H412" s="21" t="str">
        <f>IFERROR(VLOOKUP(G412,Basic_Data!$E$2:$I$9,5,0),"")</f>
        <v/>
      </c>
      <c r="I412" s="21">
        <v>0</v>
      </c>
      <c r="J412" s="21">
        <v>0</v>
      </c>
      <c r="K412" s="39">
        <v>0</v>
      </c>
      <c r="L412" s="39">
        <v>0</v>
      </c>
      <c r="M412" s="21">
        <v>0</v>
      </c>
      <c r="N412" t="s">
        <v>229</v>
      </c>
    </row>
    <row r="413" spans="1:14" ht="15">
      <c r="A413" s="18">
        <v>46126</v>
      </c>
      <c r="B413" s="19">
        <v>46127</v>
      </c>
      <c r="C413" s="21"/>
      <c r="D413" s="21">
        <v>0</v>
      </c>
      <c r="E413" s="21">
        <v>0</v>
      </c>
      <c r="F413" s="21">
        <v>0</v>
      </c>
      <c r="G413" s="21"/>
      <c r="H413" s="21" t="str">
        <f>IFERROR(VLOOKUP(G413,Basic_Data!$E$2:$I$9,5,0),"")</f>
        <v/>
      </c>
      <c r="I413" s="21">
        <v>0</v>
      </c>
      <c r="J413" s="21">
        <v>0</v>
      </c>
      <c r="K413" s="39">
        <v>0</v>
      </c>
      <c r="L413" s="39">
        <v>0</v>
      </c>
      <c r="M413" s="21">
        <v>0</v>
      </c>
      <c r="N413" t="s">
        <v>229</v>
      </c>
    </row>
    <row r="414" spans="1:14" ht="15">
      <c r="A414" s="18">
        <v>46127</v>
      </c>
      <c r="B414" s="19">
        <v>46128</v>
      </c>
      <c r="C414" s="21"/>
      <c r="D414" s="21">
        <v>0</v>
      </c>
      <c r="E414" s="21">
        <v>0</v>
      </c>
      <c r="F414" s="21">
        <v>0</v>
      </c>
      <c r="G414" s="21"/>
      <c r="H414" s="21" t="str">
        <f>IFERROR(VLOOKUP(G414,Basic_Data!$E$2:$I$9,5,0),"")</f>
        <v/>
      </c>
      <c r="I414" s="21">
        <v>0</v>
      </c>
      <c r="J414" s="21">
        <v>0</v>
      </c>
      <c r="K414" s="39">
        <v>0</v>
      </c>
      <c r="L414" s="39">
        <v>0</v>
      </c>
      <c r="M414" s="21">
        <v>0</v>
      </c>
      <c r="N414" t="s">
        <v>229</v>
      </c>
    </row>
    <row r="415" spans="1:14" ht="15">
      <c r="A415" s="18">
        <v>46128</v>
      </c>
      <c r="B415" s="19">
        <v>46129</v>
      </c>
      <c r="C415" s="21"/>
      <c r="D415" s="21">
        <v>0</v>
      </c>
      <c r="E415" s="21">
        <v>0</v>
      </c>
      <c r="F415" s="21">
        <v>0</v>
      </c>
      <c r="G415" s="21"/>
      <c r="H415" s="21" t="str">
        <f>IFERROR(VLOOKUP(G415,Basic_Data!$E$2:$I$9,5,0),"")</f>
        <v/>
      </c>
      <c r="I415" s="21">
        <v>0</v>
      </c>
      <c r="J415" s="21">
        <v>0</v>
      </c>
      <c r="K415" s="39">
        <v>0</v>
      </c>
      <c r="L415" s="39">
        <v>0</v>
      </c>
      <c r="M415" s="21">
        <v>0</v>
      </c>
      <c r="N415" t="s">
        <v>229</v>
      </c>
    </row>
    <row r="416" spans="1:14" ht="15">
      <c r="A416" s="18">
        <v>46129</v>
      </c>
      <c r="B416" s="19">
        <v>46130</v>
      </c>
      <c r="C416" s="21"/>
      <c r="D416" s="21">
        <v>0</v>
      </c>
      <c r="E416" s="21">
        <v>0</v>
      </c>
      <c r="F416" s="21">
        <v>0</v>
      </c>
      <c r="G416" s="21"/>
      <c r="H416" s="21" t="str">
        <f>IFERROR(VLOOKUP(G416,Basic_Data!$E$2:$I$9,5,0),"")</f>
        <v/>
      </c>
      <c r="I416" s="21">
        <v>0</v>
      </c>
      <c r="J416" s="21">
        <v>0</v>
      </c>
      <c r="K416" s="39">
        <v>0</v>
      </c>
      <c r="L416" s="39">
        <v>0</v>
      </c>
      <c r="M416" s="21">
        <v>0</v>
      </c>
      <c r="N416" t="s">
        <v>229</v>
      </c>
    </row>
    <row r="417" spans="1:14" ht="15">
      <c r="A417" s="18">
        <v>46130</v>
      </c>
      <c r="B417" s="19">
        <v>46131</v>
      </c>
      <c r="C417" s="21"/>
      <c r="D417" s="21">
        <v>0</v>
      </c>
      <c r="E417" s="21">
        <v>0</v>
      </c>
      <c r="F417" s="21">
        <v>0</v>
      </c>
      <c r="G417" s="21"/>
      <c r="H417" s="21" t="str">
        <f>IFERROR(VLOOKUP(G417,Basic_Data!$E$2:$I$9,5,0),"")</f>
        <v/>
      </c>
      <c r="I417" s="21">
        <v>0</v>
      </c>
      <c r="J417" s="21">
        <v>0</v>
      </c>
      <c r="K417" s="39">
        <v>0</v>
      </c>
      <c r="L417" s="39">
        <v>0</v>
      </c>
      <c r="M417" s="21">
        <v>0</v>
      </c>
      <c r="N417" t="s">
        <v>229</v>
      </c>
    </row>
    <row r="418" spans="1:14" ht="15">
      <c r="A418" s="18">
        <v>46131</v>
      </c>
      <c r="B418" s="19">
        <v>46132</v>
      </c>
      <c r="C418" s="21"/>
      <c r="D418" s="21">
        <v>0</v>
      </c>
      <c r="E418" s="21">
        <v>0</v>
      </c>
      <c r="F418" s="21">
        <v>0</v>
      </c>
      <c r="G418" s="21"/>
      <c r="H418" s="21" t="str">
        <f>IFERROR(VLOOKUP(G418,Basic_Data!$E$2:$I$9,5,0),"")</f>
        <v/>
      </c>
      <c r="I418" s="21">
        <v>0</v>
      </c>
      <c r="J418" s="21">
        <v>0</v>
      </c>
      <c r="K418" s="39">
        <v>0</v>
      </c>
      <c r="L418" s="39">
        <v>0</v>
      </c>
      <c r="M418" s="21">
        <v>0</v>
      </c>
      <c r="N418" t="s">
        <v>229</v>
      </c>
    </row>
    <row r="419" spans="1:14" ht="15">
      <c r="A419" s="18">
        <v>46132</v>
      </c>
      <c r="B419" s="19">
        <v>46133</v>
      </c>
      <c r="C419" s="21"/>
      <c r="D419" s="21">
        <v>0</v>
      </c>
      <c r="E419" s="21">
        <v>0</v>
      </c>
      <c r="F419" s="21">
        <v>0</v>
      </c>
      <c r="G419" s="21"/>
      <c r="H419" s="21" t="str">
        <f>IFERROR(VLOOKUP(G419,Basic_Data!$E$2:$I$9,5,0),"")</f>
        <v/>
      </c>
      <c r="I419" s="21">
        <v>0</v>
      </c>
      <c r="J419" s="21">
        <v>0</v>
      </c>
      <c r="K419" s="39">
        <v>0</v>
      </c>
      <c r="L419" s="39">
        <v>0</v>
      </c>
      <c r="M419" s="21">
        <v>0</v>
      </c>
      <c r="N419" t="s">
        <v>229</v>
      </c>
    </row>
    <row r="420" spans="1:14" ht="15">
      <c r="A420" s="18">
        <v>46133</v>
      </c>
      <c r="B420" s="19">
        <v>46134</v>
      </c>
      <c r="C420" s="21"/>
      <c r="D420" s="21">
        <v>0</v>
      </c>
      <c r="E420" s="21">
        <v>0</v>
      </c>
      <c r="F420" s="21">
        <v>0</v>
      </c>
      <c r="G420" s="21"/>
      <c r="H420" s="21" t="str">
        <f>IFERROR(VLOOKUP(G420,Basic_Data!$E$2:$I$9,5,0),"")</f>
        <v/>
      </c>
      <c r="I420" s="21">
        <v>0</v>
      </c>
      <c r="J420" s="21">
        <v>0</v>
      </c>
      <c r="K420" s="39">
        <v>0</v>
      </c>
      <c r="L420" s="39">
        <v>0</v>
      </c>
      <c r="M420" s="21">
        <v>0</v>
      </c>
      <c r="N420" t="s">
        <v>229</v>
      </c>
    </row>
    <row r="421" spans="1:14" ht="15">
      <c r="A421" s="18">
        <v>46134</v>
      </c>
      <c r="B421" s="19">
        <v>46135</v>
      </c>
      <c r="C421" s="21"/>
      <c r="D421" s="21">
        <v>0</v>
      </c>
      <c r="E421" s="21">
        <v>0</v>
      </c>
      <c r="F421" s="21">
        <v>0</v>
      </c>
      <c r="G421" s="21"/>
      <c r="H421" s="21" t="str">
        <f>IFERROR(VLOOKUP(G421,Basic_Data!$E$2:$I$9,5,0),"")</f>
        <v/>
      </c>
      <c r="I421" s="21">
        <v>0</v>
      </c>
      <c r="J421" s="21">
        <v>0</v>
      </c>
      <c r="K421" s="39">
        <v>0</v>
      </c>
      <c r="L421" s="39">
        <v>0</v>
      </c>
      <c r="M421" s="21">
        <v>0</v>
      </c>
      <c r="N421" t="s">
        <v>229</v>
      </c>
    </row>
    <row r="422" spans="1:14" ht="15">
      <c r="A422" s="18">
        <v>46135</v>
      </c>
      <c r="B422" s="19">
        <v>46136</v>
      </c>
      <c r="C422" s="21"/>
      <c r="D422" s="21">
        <v>0</v>
      </c>
      <c r="E422" s="21">
        <v>0</v>
      </c>
      <c r="F422" s="21">
        <v>0</v>
      </c>
      <c r="G422" s="21"/>
      <c r="H422" s="21" t="str">
        <f>IFERROR(VLOOKUP(G422,Basic_Data!$E$2:$I$9,5,0),"")</f>
        <v/>
      </c>
      <c r="I422" s="21">
        <v>0</v>
      </c>
      <c r="J422" s="21">
        <v>0</v>
      </c>
      <c r="K422" s="39">
        <v>0</v>
      </c>
      <c r="L422" s="39">
        <v>0</v>
      </c>
      <c r="M422" s="21">
        <v>0</v>
      </c>
      <c r="N422" t="s">
        <v>229</v>
      </c>
    </row>
    <row r="423" spans="1:14" ht="15">
      <c r="A423" s="18">
        <v>46136</v>
      </c>
      <c r="B423" s="19">
        <v>46137</v>
      </c>
      <c r="C423" s="21"/>
      <c r="D423" s="21">
        <v>0</v>
      </c>
      <c r="E423" s="21">
        <v>0</v>
      </c>
      <c r="F423" s="21">
        <v>0</v>
      </c>
      <c r="G423" s="21"/>
      <c r="H423" s="21" t="str">
        <f>IFERROR(VLOOKUP(G423,Basic_Data!$E$2:$I$9,5,0),"")</f>
        <v/>
      </c>
      <c r="I423" s="21">
        <v>0</v>
      </c>
      <c r="J423" s="21">
        <v>0</v>
      </c>
      <c r="K423" s="39">
        <v>0</v>
      </c>
      <c r="L423" s="39">
        <v>0</v>
      </c>
      <c r="M423" s="21">
        <v>0</v>
      </c>
      <c r="N423" t="s">
        <v>229</v>
      </c>
    </row>
    <row r="424" spans="1:14" ht="15">
      <c r="A424" s="18">
        <v>46137</v>
      </c>
      <c r="B424" s="19">
        <v>46138</v>
      </c>
      <c r="C424" s="21"/>
      <c r="D424" s="21">
        <v>0</v>
      </c>
      <c r="E424" s="21">
        <v>0</v>
      </c>
      <c r="F424" s="21">
        <v>0</v>
      </c>
      <c r="G424" s="21"/>
      <c r="H424" s="21" t="str">
        <f>IFERROR(VLOOKUP(G424,Basic_Data!$E$2:$I$9,5,0),"")</f>
        <v/>
      </c>
      <c r="I424" s="21">
        <v>0</v>
      </c>
      <c r="J424" s="21">
        <v>0</v>
      </c>
      <c r="K424" s="39">
        <v>0</v>
      </c>
      <c r="L424" s="39">
        <v>0</v>
      </c>
      <c r="M424" s="21">
        <v>0</v>
      </c>
      <c r="N424" t="s">
        <v>229</v>
      </c>
    </row>
    <row r="425" spans="1:14" ht="15">
      <c r="A425" s="18">
        <v>46138</v>
      </c>
      <c r="B425" s="19">
        <v>46139</v>
      </c>
      <c r="C425" s="21"/>
      <c r="D425" s="21">
        <v>0</v>
      </c>
      <c r="E425" s="21">
        <v>0</v>
      </c>
      <c r="F425" s="21">
        <v>0</v>
      </c>
      <c r="G425" s="21"/>
      <c r="H425" s="21" t="str">
        <f>IFERROR(VLOOKUP(G425,Basic_Data!$E$2:$I$9,5,0),"")</f>
        <v/>
      </c>
      <c r="I425" s="21">
        <v>0</v>
      </c>
      <c r="J425" s="21">
        <v>0</v>
      </c>
      <c r="K425" s="39">
        <v>0</v>
      </c>
      <c r="L425" s="39">
        <v>0</v>
      </c>
      <c r="M425" s="21">
        <v>0</v>
      </c>
      <c r="N425" t="s">
        <v>229</v>
      </c>
    </row>
    <row r="426" spans="1:14" ht="15">
      <c r="A426" s="18">
        <v>46139</v>
      </c>
      <c r="B426" s="19">
        <v>46140</v>
      </c>
      <c r="C426" s="21"/>
      <c r="D426" s="21">
        <v>0</v>
      </c>
      <c r="E426" s="21">
        <v>0</v>
      </c>
      <c r="F426" s="21">
        <v>0</v>
      </c>
      <c r="G426" s="21"/>
      <c r="H426" s="21" t="str">
        <f>IFERROR(VLOOKUP(G426,Basic_Data!$E$2:$I$9,5,0),"")</f>
        <v/>
      </c>
      <c r="I426" s="21">
        <v>0</v>
      </c>
      <c r="J426" s="21">
        <v>0</v>
      </c>
      <c r="K426" s="39">
        <v>0</v>
      </c>
      <c r="L426" s="39">
        <v>0</v>
      </c>
      <c r="M426" s="21">
        <v>0</v>
      </c>
      <c r="N426" t="s">
        <v>229</v>
      </c>
    </row>
    <row r="427" spans="1:14" ht="15">
      <c r="A427" s="18">
        <v>46140</v>
      </c>
      <c r="B427" s="19">
        <v>46141</v>
      </c>
      <c r="C427" s="21"/>
      <c r="D427" s="21">
        <v>0</v>
      </c>
      <c r="E427" s="21">
        <v>0</v>
      </c>
      <c r="F427" s="21">
        <v>0</v>
      </c>
      <c r="G427" s="21"/>
      <c r="H427" s="21" t="str">
        <f>IFERROR(VLOOKUP(G427,Basic_Data!$E$2:$I$9,5,0),"")</f>
        <v/>
      </c>
      <c r="I427" s="21">
        <v>0</v>
      </c>
      <c r="J427" s="21">
        <v>0</v>
      </c>
      <c r="K427" s="39">
        <v>0</v>
      </c>
      <c r="L427" s="39">
        <v>0</v>
      </c>
      <c r="M427" s="21">
        <v>0</v>
      </c>
      <c r="N427" t="s">
        <v>229</v>
      </c>
    </row>
    <row r="428" spans="1:14" ht="15">
      <c r="A428" s="18"/>
      <c r="B428" s="19"/>
      <c r="C428" s="21"/>
      <c r="D428" s="21"/>
      <c r="E428" s="21"/>
      <c r="F428" s="21"/>
      <c r="G428" s="21"/>
      <c r="H428" s="21"/>
      <c r="I428" s="21"/>
      <c r="J428" s="21"/>
      <c r="K428" s="39"/>
      <c r="L428" s="39"/>
      <c r="M428" s="21"/>
    </row>
    <row r="429" spans="1:14" ht="15">
      <c r="A429" s="18">
        <v>46141</v>
      </c>
      <c r="B429" s="19">
        <v>46142</v>
      </c>
      <c r="C429" s="21"/>
      <c r="D429" s="21">
        <v>0</v>
      </c>
      <c r="E429" s="21">
        <v>0</v>
      </c>
      <c r="F429" s="21">
        <v>0</v>
      </c>
      <c r="G429" s="21"/>
      <c r="H429" s="21" t="str">
        <f>IFERROR(VLOOKUP(G429,Basic_Data!$E$2:$I$9,5,0),"")</f>
        <v/>
      </c>
      <c r="I429" s="21">
        <v>0</v>
      </c>
      <c r="J429" s="21">
        <v>0</v>
      </c>
      <c r="K429" s="39">
        <v>0</v>
      </c>
      <c r="L429" s="39">
        <v>0</v>
      </c>
      <c r="M429" s="21">
        <v>0</v>
      </c>
      <c r="N429" t="s">
        <v>229</v>
      </c>
    </row>
    <row r="430" spans="1:14" ht="15">
      <c r="A430" s="18"/>
      <c r="B430" s="19"/>
      <c r="C430" s="21"/>
      <c r="D430" s="21"/>
      <c r="E430" s="21"/>
      <c r="F430" s="21"/>
      <c r="G430" s="21"/>
      <c r="H430" s="21"/>
      <c r="I430" s="21"/>
      <c r="J430" s="21"/>
      <c r="K430" s="39"/>
      <c r="L430" s="39"/>
      <c r="M430" s="21"/>
    </row>
    <row r="431" spans="1:14" ht="15">
      <c r="A431" s="18"/>
      <c r="B431" s="19"/>
      <c r="C431" s="21"/>
      <c r="D431" s="21"/>
      <c r="E431" s="21"/>
      <c r="F431" s="21"/>
      <c r="G431" s="21"/>
      <c r="H431" s="21"/>
      <c r="I431" s="21"/>
      <c r="J431" s="21"/>
      <c r="K431" s="39"/>
      <c r="L431" s="39"/>
      <c r="M431" s="21"/>
    </row>
    <row r="432" spans="1:14" ht="15">
      <c r="A432" s="18"/>
      <c r="B432" s="19"/>
      <c r="C432" s="21"/>
      <c r="D432" s="21"/>
      <c r="E432" s="21"/>
      <c r="F432" s="21"/>
      <c r="G432" s="21"/>
      <c r="H432" s="21"/>
      <c r="I432" s="21"/>
      <c r="J432" s="21"/>
      <c r="K432" s="39"/>
      <c r="L432" s="39"/>
      <c r="M432" s="21"/>
    </row>
    <row r="433" spans="1:14" ht="15">
      <c r="A433" s="18"/>
      <c r="B433" s="19"/>
      <c r="C433" s="21"/>
      <c r="D433" s="21"/>
      <c r="E433" s="21"/>
      <c r="F433" s="21"/>
      <c r="G433" s="21"/>
      <c r="H433" s="21"/>
      <c r="I433" s="21"/>
      <c r="J433" s="21"/>
      <c r="K433" s="39"/>
      <c r="L433" s="39"/>
      <c r="M433" s="21"/>
    </row>
    <row r="434" spans="1:14" ht="15">
      <c r="A434" s="18"/>
      <c r="B434" s="19"/>
      <c r="C434" s="21"/>
      <c r="D434" s="21"/>
      <c r="E434" s="21"/>
      <c r="F434" s="21"/>
      <c r="G434" s="21"/>
      <c r="H434" s="21"/>
      <c r="I434" s="21"/>
      <c r="J434" s="21"/>
      <c r="K434" s="39"/>
      <c r="L434" s="39"/>
      <c r="M434" s="21"/>
    </row>
    <row r="435" spans="1:14" ht="15">
      <c r="A435" s="18"/>
      <c r="B435" s="19"/>
      <c r="C435" s="21"/>
      <c r="D435" s="21"/>
      <c r="E435" s="21"/>
      <c r="F435" s="21"/>
      <c r="G435" s="21"/>
      <c r="H435" s="21"/>
      <c r="I435" s="21"/>
      <c r="J435" s="21"/>
      <c r="K435" s="39"/>
      <c r="L435" s="39"/>
      <c r="M435" s="21"/>
    </row>
    <row r="436" spans="1:14" ht="15">
      <c r="A436" s="18">
        <v>46142</v>
      </c>
      <c r="B436" s="19">
        <v>46143</v>
      </c>
      <c r="C436" s="21"/>
      <c r="D436" s="21">
        <v>1000</v>
      </c>
      <c r="E436" s="21">
        <v>0</v>
      </c>
      <c r="F436" s="21">
        <v>1</v>
      </c>
      <c r="G436" s="21" t="s">
        <v>21</v>
      </c>
      <c r="H436" s="21">
        <f>IFERROR(VLOOKUP(G436,Basic_Data!$E$2:$I$9,5,0),"")</f>
        <v>8</v>
      </c>
      <c r="I436" s="21">
        <v>644</v>
      </c>
      <c r="J436" s="21">
        <v>35</v>
      </c>
      <c r="K436" s="39">
        <v>0</v>
      </c>
      <c r="L436" s="39">
        <v>0</v>
      </c>
      <c r="M436" s="21">
        <v>0</v>
      </c>
      <c r="N436" t="s">
        <v>228</v>
      </c>
    </row>
    <row r="437" spans="1:14" ht="15">
      <c r="A437" s="18"/>
      <c r="B437" s="19"/>
      <c r="C437" s="21"/>
      <c r="D437" s="21">
        <v>1000</v>
      </c>
      <c r="E437" s="21"/>
      <c r="F437" s="21"/>
      <c r="G437" s="21" t="s">
        <v>20</v>
      </c>
      <c r="H437" s="21"/>
      <c r="I437" s="21"/>
      <c r="J437" s="21"/>
      <c r="K437" s="39"/>
      <c r="L437" s="39"/>
      <c r="M437" s="21"/>
      <c r="N437" t="s">
        <v>228</v>
      </c>
    </row>
    <row r="438" spans="1:14" ht="15.95" customHeight="1">
      <c r="A438" s="18"/>
      <c r="B438" s="19"/>
      <c r="C438" s="21"/>
      <c r="D438" s="21"/>
      <c r="E438" s="21"/>
      <c r="F438" s="21"/>
      <c r="G438" s="21" t="s">
        <v>19</v>
      </c>
      <c r="H438" s="21"/>
      <c r="I438" s="21"/>
      <c r="J438" s="21"/>
      <c r="K438" s="39"/>
      <c r="L438" s="39"/>
      <c r="M438" s="21"/>
      <c r="N438" t="s">
        <v>228</v>
      </c>
    </row>
    <row r="439" spans="1:14" ht="15.95" customHeight="1">
      <c r="A439" s="18"/>
      <c r="B439" s="19"/>
      <c r="C439" s="21"/>
      <c r="D439" s="21"/>
      <c r="E439" s="21"/>
      <c r="F439" s="21"/>
      <c r="G439" s="21" t="s">
        <v>18</v>
      </c>
      <c r="H439" s="21"/>
      <c r="I439" s="21"/>
      <c r="J439" s="21"/>
      <c r="K439" s="39"/>
      <c r="L439" s="39"/>
      <c r="M439" s="21"/>
      <c r="N439" t="s">
        <v>228</v>
      </c>
    </row>
    <row r="440" spans="1:14" ht="15.95" customHeight="1">
      <c r="A440" s="18"/>
      <c r="B440" s="19"/>
      <c r="C440" s="21"/>
      <c r="D440" s="21"/>
      <c r="E440" s="21"/>
      <c r="F440" s="21"/>
      <c r="G440" s="21" t="s">
        <v>17</v>
      </c>
      <c r="H440" s="21"/>
      <c r="I440" s="21"/>
      <c r="J440" s="21"/>
      <c r="K440" s="39"/>
      <c r="L440" s="39"/>
      <c r="M440" s="21"/>
      <c r="N440" t="s">
        <v>228</v>
      </c>
    </row>
    <row r="441" spans="1:14" ht="15.95" customHeight="1">
      <c r="A441" s="18"/>
      <c r="B441" s="19"/>
      <c r="C441" s="21"/>
      <c r="D441" s="21"/>
      <c r="E441" s="21"/>
      <c r="F441" s="21"/>
      <c r="G441" s="21" t="s">
        <v>16</v>
      </c>
      <c r="H441" s="21"/>
      <c r="I441" s="21"/>
      <c r="J441" s="21"/>
      <c r="K441" s="39"/>
      <c r="L441" s="39"/>
      <c r="M441" s="21"/>
      <c r="N441" t="s">
        <v>228</v>
      </c>
    </row>
    <row r="442" spans="1:14" ht="15.95" customHeight="1">
      <c r="A442" s="18"/>
      <c r="B442" s="19"/>
      <c r="C442" s="21"/>
      <c r="D442" s="21"/>
      <c r="E442" s="21"/>
      <c r="F442" s="21"/>
      <c r="G442" s="21" t="s">
        <v>15</v>
      </c>
      <c r="H442" s="21"/>
      <c r="I442" s="21"/>
      <c r="J442" s="21"/>
      <c r="K442" s="39"/>
      <c r="L442" s="39"/>
      <c r="M442" s="21"/>
      <c r="N442" t="s">
        <v>228</v>
      </c>
    </row>
    <row r="443" spans="1:14" ht="15.95" customHeight="1">
      <c r="A443" s="18"/>
      <c r="B443" s="19"/>
      <c r="C443" s="21"/>
      <c r="D443" s="21"/>
      <c r="E443" s="21"/>
      <c r="F443" s="21"/>
      <c r="G443" s="21"/>
      <c r="H443" s="21"/>
      <c r="I443" s="21"/>
      <c r="J443" s="21"/>
      <c r="K443" s="39"/>
      <c r="L443" s="39"/>
      <c r="M443" s="21"/>
    </row>
    <row r="444" spans="1:14" ht="15">
      <c r="A444" s="18">
        <v>46143</v>
      </c>
      <c r="B444" s="19">
        <v>46144</v>
      </c>
      <c r="C444" s="21"/>
      <c r="D444" s="21">
        <v>0</v>
      </c>
      <c r="E444" s="21">
        <v>0</v>
      </c>
      <c r="F444" s="21">
        <v>0</v>
      </c>
      <c r="G444" s="21"/>
      <c r="H444" s="21" t="str">
        <f>IFERROR(VLOOKUP(G444,Basic_Data!$E$2:$I$9,5,0),"")</f>
        <v/>
      </c>
      <c r="I444" s="21">
        <v>644</v>
      </c>
      <c r="J444" s="21">
        <v>644</v>
      </c>
      <c r="K444" s="39">
        <v>0</v>
      </c>
      <c r="L444" s="39">
        <v>0</v>
      </c>
      <c r="M444" s="21">
        <v>0</v>
      </c>
    </row>
    <row r="445" spans="1:14" ht="15">
      <c r="A445" s="18"/>
      <c r="B445" s="19"/>
      <c r="C445" s="21"/>
      <c r="D445" s="21"/>
      <c r="E445" s="21"/>
      <c r="F445" s="21"/>
      <c r="G445" s="21"/>
      <c r="H445" s="21"/>
      <c r="I445" s="21"/>
      <c r="J445" s="21"/>
      <c r="K445" s="39"/>
      <c r="L445" s="39"/>
      <c r="M445" s="21"/>
    </row>
    <row r="446" spans="1:14" ht="15">
      <c r="A446" s="18"/>
      <c r="B446" s="19"/>
      <c r="C446" s="21"/>
      <c r="D446" s="21"/>
      <c r="E446" s="21"/>
      <c r="F446" s="21"/>
      <c r="G446" s="21"/>
      <c r="H446" s="21"/>
      <c r="I446" s="21"/>
      <c r="J446" s="21"/>
      <c r="K446" s="39"/>
      <c r="L446" s="39"/>
      <c r="M446" s="21"/>
    </row>
    <row r="447" spans="1:14" ht="15">
      <c r="A447" s="18"/>
      <c r="B447" s="19"/>
      <c r="C447" s="21"/>
      <c r="D447" s="21"/>
      <c r="E447" s="21"/>
      <c r="F447" s="21"/>
      <c r="G447" s="21"/>
      <c r="H447" s="21"/>
      <c r="I447" s="21"/>
      <c r="J447" s="21"/>
      <c r="K447" s="39"/>
      <c r="L447" s="39"/>
      <c r="M447" s="21"/>
    </row>
    <row r="448" spans="1:14" ht="15">
      <c r="A448" s="18"/>
      <c r="B448" s="19"/>
      <c r="C448" s="21"/>
      <c r="D448" s="21"/>
      <c r="E448" s="21"/>
      <c r="F448" s="21"/>
      <c r="G448" s="21"/>
      <c r="H448" s="21"/>
      <c r="I448" s="21"/>
      <c r="J448" s="21"/>
      <c r="K448" s="39"/>
      <c r="L448" s="39"/>
      <c r="M448" s="21"/>
    </row>
    <row r="449" spans="1:14" ht="15">
      <c r="A449" s="18"/>
      <c r="B449" s="19"/>
      <c r="C449" s="21"/>
      <c r="D449" s="21"/>
      <c r="E449" s="21"/>
      <c r="F449" s="21"/>
      <c r="G449" s="21"/>
      <c r="H449" s="21"/>
      <c r="I449" s="21"/>
      <c r="J449" s="21"/>
      <c r="K449" s="39"/>
      <c r="L449" s="39"/>
      <c r="M449" s="21"/>
    </row>
    <row r="450" spans="1:14" ht="15">
      <c r="A450" s="18"/>
      <c r="B450" s="19"/>
      <c r="C450" s="21"/>
      <c r="D450" s="21"/>
      <c r="E450" s="21"/>
      <c r="F450" s="21"/>
      <c r="G450" s="21"/>
      <c r="H450" s="21"/>
      <c r="I450" s="21"/>
      <c r="J450" s="21"/>
      <c r="K450" s="39"/>
      <c r="L450" s="39"/>
      <c r="M450" s="21"/>
    </row>
    <row r="451" spans="1:14" ht="15">
      <c r="A451" s="18"/>
      <c r="B451" s="19"/>
      <c r="C451" s="21"/>
      <c r="D451" s="21"/>
      <c r="E451" s="21"/>
      <c r="F451" s="21"/>
      <c r="G451" s="21"/>
      <c r="H451" s="21"/>
      <c r="I451" s="21"/>
      <c r="J451" s="21"/>
      <c r="K451" s="39"/>
      <c r="L451" s="39"/>
      <c r="M451" s="21"/>
    </row>
    <row r="452" spans="1:14" ht="15">
      <c r="A452" s="18"/>
      <c r="B452" s="19"/>
      <c r="C452" s="21"/>
      <c r="D452" s="21"/>
      <c r="E452" s="21"/>
      <c r="F452" s="21"/>
      <c r="G452" s="21"/>
      <c r="H452" s="21"/>
      <c r="I452" s="21"/>
      <c r="J452" s="21"/>
      <c r="K452" s="39"/>
      <c r="L452" s="39"/>
      <c r="M452" s="21"/>
    </row>
    <row r="453" spans="1:14" ht="15">
      <c r="A453" s="18"/>
      <c r="B453" s="19"/>
      <c r="C453" s="21"/>
      <c r="D453" s="21"/>
      <c r="E453" s="21"/>
      <c r="F453" s="21"/>
      <c r="G453" s="21"/>
      <c r="H453" s="21"/>
      <c r="I453" s="21"/>
      <c r="J453" s="21"/>
      <c r="K453" s="39"/>
      <c r="L453" s="39"/>
      <c r="M453" s="21"/>
    </row>
    <row r="454" spans="1:14" ht="15">
      <c r="A454" s="18"/>
      <c r="B454" s="19"/>
      <c r="C454" s="21"/>
      <c r="D454" s="21"/>
      <c r="E454" s="21"/>
      <c r="F454" s="21"/>
      <c r="G454" s="21"/>
      <c r="H454" s="21"/>
      <c r="I454" s="21"/>
      <c r="J454" s="21"/>
      <c r="K454" s="39"/>
      <c r="L454" s="39"/>
      <c r="M454" s="21"/>
    </row>
    <row r="455" spans="1:14" ht="15">
      <c r="A455" s="18"/>
      <c r="B455" s="19"/>
      <c r="C455" s="21"/>
      <c r="D455" s="21"/>
      <c r="E455" s="21"/>
      <c r="F455" s="21"/>
      <c r="G455" s="21"/>
      <c r="H455" s="21"/>
      <c r="I455" s="21"/>
      <c r="J455" s="21"/>
      <c r="K455" s="39"/>
      <c r="L455" s="39"/>
      <c r="M455" s="21"/>
    </row>
    <row r="456" spans="1:14" ht="15">
      <c r="A456" s="18"/>
      <c r="B456" s="19"/>
      <c r="C456" s="21"/>
      <c r="D456" s="21"/>
      <c r="E456" s="21"/>
      <c r="F456" s="21"/>
      <c r="G456" s="21"/>
      <c r="H456" s="21"/>
      <c r="I456" s="21"/>
      <c r="J456" s="21"/>
      <c r="K456" s="39"/>
      <c r="L456" s="39"/>
      <c r="M456" s="21"/>
    </row>
    <row r="457" spans="1:14" ht="15">
      <c r="A457" s="18"/>
      <c r="B457" s="19"/>
      <c r="C457" s="21"/>
      <c r="D457" s="21"/>
      <c r="E457" s="21"/>
      <c r="F457" s="21"/>
      <c r="G457" s="21"/>
      <c r="H457" s="21"/>
      <c r="I457" s="21"/>
      <c r="J457" s="21"/>
      <c r="K457" s="39"/>
      <c r="L457" s="39"/>
      <c r="M457" s="21"/>
    </row>
    <row r="458" spans="1:14" ht="15">
      <c r="A458" s="18"/>
      <c r="B458" s="19"/>
      <c r="C458" s="21"/>
      <c r="D458" s="21"/>
      <c r="E458" s="21"/>
      <c r="F458" s="21"/>
      <c r="G458" s="21"/>
      <c r="H458" s="21"/>
      <c r="I458" s="21"/>
      <c r="J458" s="21"/>
      <c r="K458" s="39"/>
      <c r="L458" s="39"/>
      <c r="M458" s="21"/>
    </row>
    <row r="459" spans="1:14" ht="15">
      <c r="A459" s="18"/>
      <c r="B459" s="19"/>
      <c r="C459" s="21"/>
      <c r="D459" s="21"/>
      <c r="E459" s="21"/>
      <c r="F459" s="21"/>
      <c r="G459" s="21"/>
      <c r="H459" s="21"/>
      <c r="I459" s="21"/>
      <c r="J459" s="21"/>
      <c r="K459" s="39"/>
      <c r="L459" s="39"/>
      <c r="M459" s="21"/>
    </row>
    <row r="460" spans="1:14" ht="9.9499999999999993" customHeight="1">
      <c r="A460" s="18"/>
      <c r="B460" s="19"/>
      <c r="C460" s="21"/>
      <c r="D460" s="21"/>
      <c r="E460" s="21"/>
      <c r="F460" s="21"/>
      <c r="G460" s="21"/>
      <c r="H460" s="21"/>
      <c r="I460" s="21"/>
      <c r="J460" s="21"/>
      <c r="K460" s="39"/>
      <c r="L460" s="39"/>
      <c r="M460" s="21"/>
    </row>
    <row r="461" spans="1:14" ht="9.9499999999999993" customHeight="1">
      <c r="A461" s="18"/>
      <c r="B461" s="19"/>
      <c r="C461" s="21"/>
      <c r="D461" s="21"/>
      <c r="E461" s="21"/>
      <c r="F461" s="21"/>
      <c r="G461" s="21"/>
      <c r="H461" s="21"/>
      <c r="I461" s="21"/>
      <c r="J461" s="21"/>
      <c r="K461" s="39"/>
      <c r="L461" s="39"/>
      <c r="M461" s="21"/>
    </row>
    <row r="462" spans="1:14" ht="15">
      <c r="A462" s="18">
        <v>46144</v>
      </c>
      <c r="B462" s="19">
        <v>46145</v>
      </c>
      <c r="C462" s="21"/>
      <c r="D462" s="21">
        <v>0</v>
      </c>
      <c r="E462" s="21">
        <v>0</v>
      </c>
      <c r="F462" s="21">
        <v>1</v>
      </c>
      <c r="G462" s="21" t="s">
        <v>15</v>
      </c>
      <c r="H462" s="21"/>
      <c r="I462" s="21">
        <v>0</v>
      </c>
      <c r="J462" s="21">
        <v>0</v>
      </c>
      <c r="K462" s="39">
        <v>0</v>
      </c>
      <c r="L462" s="39">
        <v>0</v>
      </c>
      <c r="M462" s="21">
        <v>0</v>
      </c>
      <c r="N462" t="s">
        <v>231</v>
      </c>
    </row>
    <row r="463" spans="1:14" ht="15">
      <c r="A463" s="18"/>
      <c r="B463" s="19"/>
      <c r="C463" s="21"/>
      <c r="D463" s="21"/>
      <c r="E463" s="21"/>
      <c r="F463" s="21"/>
      <c r="G463" s="21" t="s">
        <v>16</v>
      </c>
      <c r="H463" s="21"/>
      <c r="I463" s="21"/>
      <c r="J463" s="21"/>
      <c r="K463" s="39"/>
      <c r="L463" s="39"/>
      <c r="M463" s="21"/>
      <c r="N463" t="s">
        <v>231</v>
      </c>
    </row>
    <row r="464" spans="1:14" ht="15">
      <c r="A464" s="18"/>
      <c r="B464" s="19"/>
      <c r="C464" s="21"/>
      <c r="D464" s="21"/>
      <c r="E464" s="21"/>
      <c r="F464" s="21"/>
      <c r="G464" s="21" t="s">
        <v>17</v>
      </c>
      <c r="H464" s="21"/>
      <c r="I464" s="21"/>
      <c r="J464" s="21"/>
      <c r="K464" s="39"/>
      <c r="L464" s="39"/>
      <c r="M464" s="21"/>
      <c r="N464" t="s">
        <v>231</v>
      </c>
    </row>
    <row r="465" spans="1:14" ht="15">
      <c r="A465" s="18"/>
      <c r="B465" s="19"/>
      <c r="C465" s="21"/>
      <c r="D465" s="21"/>
      <c r="E465" s="21"/>
      <c r="F465" s="21"/>
      <c r="G465" s="21" t="s">
        <v>18</v>
      </c>
      <c r="H465" s="21"/>
      <c r="I465" s="21"/>
      <c r="J465" s="21"/>
      <c r="K465" s="39"/>
      <c r="L465" s="39"/>
      <c r="M465" s="21"/>
      <c r="N465" t="s">
        <v>231</v>
      </c>
    </row>
    <row r="466" spans="1:14" ht="15">
      <c r="A466" s="18"/>
      <c r="B466" s="19"/>
      <c r="C466" s="21"/>
      <c r="D466" s="21"/>
      <c r="E466" s="21"/>
      <c r="F466" s="21"/>
      <c r="G466" s="21" t="s">
        <v>19</v>
      </c>
      <c r="H466" s="21"/>
      <c r="I466" s="21"/>
      <c r="J466" s="21"/>
      <c r="K466" s="39"/>
      <c r="L466" s="39"/>
      <c r="M466" s="21"/>
      <c r="N466" t="s">
        <v>231</v>
      </c>
    </row>
    <row r="467" spans="1:14" ht="15">
      <c r="A467" s="18"/>
      <c r="B467" s="19"/>
      <c r="C467" s="21"/>
      <c r="D467" s="21"/>
      <c r="E467" s="21"/>
      <c r="F467" s="21"/>
      <c r="G467" s="21" t="s">
        <v>20</v>
      </c>
      <c r="H467" s="21"/>
      <c r="I467" s="21"/>
      <c r="J467" s="21"/>
      <c r="K467" s="39"/>
      <c r="L467" s="39"/>
      <c r="M467" s="21"/>
      <c r="N467" t="s">
        <v>231</v>
      </c>
    </row>
    <row r="468" spans="1:14" ht="15">
      <c r="A468" s="18"/>
      <c r="B468" s="19"/>
      <c r="C468" s="21"/>
      <c r="D468" s="21"/>
      <c r="E468" s="21"/>
      <c r="F468" s="21"/>
      <c r="G468" s="21" t="s">
        <v>21</v>
      </c>
      <c r="H468" s="21"/>
      <c r="I468" s="21"/>
      <c r="J468" s="21"/>
      <c r="K468" s="39"/>
      <c r="L468" s="39"/>
      <c r="M468" s="21"/>
      <c r="N468" t="s">
        <v>231</v>
      </c>
    </row>
    <row r="469" spans="1:14" ht="15">
      <c r="A469" s="18"/>
      <c r="B469" s="19"/>
      <c r="C469" s="21"/>
      <c r="D469" s="21"/>
      <c r="E469" s="21"/>
      <c r="F469" s="21"/>
      <c r="G469" s="21"/>
      <c r="H469" s="21"/>
      <c r="I469" s="21"/>
      <c r="J469" s="21"/>
      <c r="K469" s="39"/>
      <c r="L469" s="39"/>
      <c r="M469" s="21"/>
    </row>
    <row r="470" spans="1:14" ht="15">
      <c r="A470" s="18">
        <v>46145</v>
      </c>
      <c r="B470" s="19">
        <v>46146</v>
      </c>
      <c r="C470" s="21"/>
      <c r="D470" s="21">
        <v>0</v>
      </c>
      <c r="E470" s="21">
        <v>0</v>
      </c>
      <c r="F470" s="21">
        <v>0</v>
      </c>
      <c r="G470" s="21"/>
      <c r="H470" s="21" t="str">
        <f>IFERROR(VLOOKUP(G470,Basic_Data!$E$2:$I$9,5,0),"")</f>
        <v/>
      </c>
      <c r="I470" s="21">
        <v>0</v>
      </c>
      <c r="J470" s="21">
        <v>0</v>
      </c>
      <c r="K470" s="39">
        <v>0</v>
      </c>
      <c r="L470" s="39">
        <v>0</v>
      </c>
      <c r="M470" s="21">
        <v>0</v>
      </c>
      <c r="N470" t="s">
        <v>229</v>
      </c>
    </row>
    <row r="471" spans="1:14" ht="15">
      <c r="A471" s="18">
        <v>46146</v>
      </c>
      <c r="B471" s="19">
        <v>46147</v>
      </c>
      <c r="C471" s="21"/>
      <c r="D471" s="21">
        <v>0</v>
      </c>
      <c r="E471" s="21">
        <v>0</v>
      </c>
      <c r="F471" s="21">
        <v>0</v>
      </c>
      <c r="G471" s="21"/>
      <c r="H471" s="21" t="str">
        <f>IFERROR(VLOOKUP(G471,Basic_Data!$E$2:$I$9,5,0),"")</f>
        <v/>
      </c>
      <c r="I471" s="21">
        <v>0</v>
      </c>
      <c r="J471" s="21">
        <v>0</v>
      </c>
      <c r="K471" s="39">
        <v>0</v>
      </c>
      <c r="L471" s="39">
        <v>0</v>
      </c>
      <c r="M471" s="21">
        <v>0</v>
      </c>
      <c r="N471" t="s">
        <v>229</v>
      </c>
    </row>
    <row r="472" spans="1:14" ht="15">
      <c r="A472" s="18">
        <v>46147</v>
      </c>
      <c r="B472" s="19">
        <v>46148</v>
      </c>
      <c r="C472" s="21"/>
      <c r="D472" s="21">
        <v>0</v>
      </c>
      <c r="E472" s="21">
        <v>0</v>
      </c>
      <c r="F472" s="21">
        <v>0</v>
      </c>
      <c r="G472" s="21"/>
      <c r="H472" s="21" t="str">
        <f>IFERROR(VLOOKUP(G472,Basic_Data!$E$2:$I$9,5,0),"")</f>
        <v/>
      </c>
      <c r="I472" s="21">
        <v>0</v>
      </c>
      <c r="J472" s="21">
        <v>0</v>
      </c>
      <c r="K472" s="39">
        <v>0</v>
      </c>
      <c r="L472" s="39">
        <v>0</v>
      </c>
      <c r="M472" s="21">
        <v>0</v>
      </c>
      <c r="N472" t="s">
        <v>229</v>
      </c>
    </row>
    <row r="473" spans="1:14" ht="15">
      <c r="A473" s="18">
        <v>46148</v>
      </c>
      <c r="B473" s="19">
        <v>46149</v>
      </c>
      <c r="C473" s="21"/>
      <c r="D473" s="21">
        <v>0</v>
      </c>
      <c r="E473" s="21">
        <v>0</v>
      </c>
      <c r="F473" s="21">
        <v>0</v>
      </c>
      <c r="G473" s="21"/>
      <c r="H473" s="21" t="str">
        <f>IFERROR(VLOOKUP(G473,Basic_Data!$E$2:$I$9,5,0),"")</f>
        <v/>
      </c>
      <c r="I473" s="21">
        <v>0</v>
      </c>
      <c r="J473" s="21">
        <v>0</v>
      </c>
      <c r="K473" s="39">
        <v>0</v>
      </c>
      <c r="L473" s="39">
        <v>0</v>
      </c>
      <c r="M473" s="21">
        <v>0</v>
      </c>
      <c r="N473" t="s">
        <v>229</v>
      </c>
    </row>
    <row r="474" spans="1:14" ht="15">
      <c r="A474" s="18">
        <v>46149</v>
      </c>
      <c r="B474" s="19">
        <v>46150</v>
      </c>
      <c r="C474" s="21"/>
      <c r="D474" s="21">
        <v>0</v>
      </c>
      <c r="E474" s="21">
        <v>0</v>
      </c>
      <c r="F474" s="21">
        <v>0</v>
      </c>
      <c r="G474" s="21"/>
      <c r="H474" s="21" t="str">
        <f>IFERROR(VLOOKUP(G474,Basic_Data!$E$2:$I$9,5,0),"")</f>
        <v/>
      </c>
      <c r="I474" s="21">
        <v>0</v>
      </c>
      <c r="J474" s="21">
        <v>0</v>
      </c>
      <c r="K474" s="39">
        <v>0</v>
      </c>
      <c r="L474" s="39">
        <v>0</v>
      </c>
      <c r="M474" s="21">
        <v>0</v>
      </c>
      <c r="N474" t="s">
        <v>229</v>
      </c>
    </row>
    <row r="475" spans="1:14" ht="15">
      <c r="A475" s="18"/>
      <c r="B475" s="19"/>
      <c r="C475" s="21"/>
      <c r="D475" s="21"/>
      <c r="E475" s="21"/>
      <c r="F475" s="21"/>
      <c r="G475" s="21"/>
      <c r="H475" s="21"/>
      <c r="I475" s="21"/>
      <c r="J475" s="21"/>
      <c r="K475" s="39"/>
      <c r="L475" s="39"/>
      <c r="M475" s="21"/>
    </row>
    <row r="476" spans="1:14" ht="15">
      <c r="A476" s="18"/>
      <c r="B476" s="19"/>
      <c r="C476" s="21"/>
      <c r="D476" s="21"/>
      <c r="E476" s="21"/>
      <c r="F476" s="21"/>
      <c r="G476" s="21"/>
      <c r="H476" s="21"/>
      <c r="I476" s="21"/>
      <c r="J476" s="21"/>
      <c r="K476" s="39"/>
      <c r="L476" s="39"/>
      <c r="M476" s="21"/>
    </row>
    <row r="477" spans="1:14" ht="15">
      <c r="A477" s="18"/>
      <c r="B477" s="19"/>
      <c r="C477" s="21"/>
      <c r="D477" s="21"/>
      <c r="E477" s="21"/>
      <c r="F477" s="21"/>
      <c r="G477" s="21"/>
      <c r="H477" s="21"/>
      <c r="I477" s="21"/>
      <c r="J477" s="21"/>
      <c r="K477" s="39"/>
      <c r="L477" s="39"/>
      <c r="M477" s="21"/>
    </row>
    <row r="478" spans="1:14" ht="15">
      <c r="A478" s="18"/>
      <c r="B478" s="19"/>
      <c r="C478" s="21"/>
      <c r="D478" s="21"/>
      <c r="E478" s="21"/>
      <c r="F478" s="21"/>
      <c r="G478" s="21"/>
      <c r="H478" s="21"/>
      <c r="I478" s="21"/>
      <c r="J478" s="21"/>
      <c r="K478" s="39"/>
      <c r="L478" s="39"/>
      <c r="M478" s="21"/>
    </row>
    <row r="479" spans="1:14" ht="15">
      <c r="A479" s="18"/>
      <c r="B479" s="19"/>
      <c r="C479" s="21"/>
      <c r="D479" s="21"/>
      <c r="E479" s="21"/>
      <c r="F479" s="21"/>
      <c r="G479" s="21"/>
      <c r="H479" s="21"/>
      <c r="I479" s="21"/>
      <c r="J479" s="21"/>
      <c r="K479" s="39"/>
      <c r="L479" s="39"/>
      <c r="M479" s="21"/>
    </row>
    <row r="480" spans="1:14" ht="15">
      <c r="A480" s="18"/>
      <c r="B480" s="19"/>
      <c r="C480" s="21"/>
      <c r="D480" s="21"/>
      <c r="E480" s="21"/>
      <c r="F480" s="21"/>
      <c r="G480" s="21"/>
      <c r="H480" s="21"/>
      <c r="I480" s="21"/>
      <c r="J480" s="21"/>
      <c r="K480" s="39"/>
      <c r="L480" s="39"/>
      <c r="M480" s="21"/>
    </row>
    <row r="481" spans="1:14" ht="15">
      <c r="A481" s="18"/>
      <c r="B481" s="19"/>
      <c r="C481" s="21"/>
      <c r="D481" s="21"/>
      <c r="E481" s="21"/>
      <c r="F481" s="21"/>
      <c r="G481" s="21"/>
      <c r="H481" s="21"/>
      <c r="I481" s="21"/>
      <c r="J481" s="21"/>
      <c r="K481" s="39"/>
      <c r="L481" s="39"/>
      <c r="M481" s="21"/>
    </row>
    <row r="482" spans="1:14" ht="15">
      <c r="A482" s="18"/>
      <c r="B482" s="19"/>
      <c r="C482" s="21"/>
      <c r="D482" s="21"/>
      <c r="E482" s="21"/>
      <c r="F482" s="21"/>
      <c r="G482" s="21"/>
      <c r="H482" s="21"/>
      <c r="I482" s="21"/>
      <c r="J482" s="21"/>
      <c r="K482" s="39"/>
      <c r="L482" s="39"/>
      <c r="M482" s="21"/>
    </row>
    <row r="483" spans="1:14" ht="14.1" customHeight="1">
      <c r="A483" s="18">
        <v>46150</v>
      </c>
      <c r="B483" s="19">
        <v>46151</v>
      </c>
      <c r="C483" s="21"/>
      <c r="D483" s="21">
        <v>0</v>
      </c>
      <c r="E483" s="21">
        <v>0</v>
      </c>
      <c r="F483" s="21">
        <v>2</v>
      </c>
      <c r="G483" s="21" t="s">
        <v>15</v>
      </c>
      <c r="H483" s="21">
        <f>IFERROR(VLOOKUP(G483,Basic_Data!$E$2:$I$9,5,0),"")</f>
        <v>2</v>
      </c>
      <c r="I483" s="21">
        <v>644</v>
      </c>
      <c r="J483" s="21">
        <v>644</v>
      </c>
      <c r="K483" s="39">
        <v>0</v>
      </c>
      <c r="L483" s="39">
        <v>0</v>
      </c>
      <c r="M483" s="21">
        <v>0</v>
      </c>
      <c r="N483" t="s">
        <v>231</v>
      </c>
    </row>
    <row r="484" spans="1:14" ht="14.1" customHeight="1">
      <c r="A484" s="18"/>
      <c r="B484" s="19"/>
      <c r="C484" s="21"/>
      <c r="D484" s="21"/>
      <c r="E484" s="21"/>
      <c r="F484" s="21"/>
      <c r="G484" s="21" t="s">
        <v>16</v>
      </c>
      <c r="H484" s="21"/>
      <c r="I484" s="21"/>
      <c r="J484" s="21"/>
      <c r="K484" s="39"/>
      <c r="L484" s="39"/>
      <c r="M484" s="21"/>
      <c r="N484" t="s">
        <v>231</v>
      </c>
    </row>
    <row r="485" spans="1:14" ht="14.1" customHeight="1">
      <c r="A485" s="18"/>
      <c r="B485" s="19"/>
      <c r="C485" s="21"/>
      <c r="D485" s="21"/>
      <c r="E485" s="21"/>
      <c r="F485" s="21"/>
      <c r="G485" s="21" t="s">
        <v>17</v>
      </c>
      <c r="H485" s="21"/>
      <c r="I485" s="21"/>
      <c r="J485" s="21"/>
      <c r="K485" s="39"/>
      <c r="L485" s="39"/>
      <c r="M485" s="21"/>
      <c r="N485" t="s">
        <v>231</v>
      </c>
    </row>
    <row r="486" spans="1:14" ht="14.1" customHeight="1">
      <c r="A486" s="18"/>
      <c r="B486" s="19"/>
      <c r="C486" s="21"/>
      <c r="D486" s="21"/>
      <c r="E486" s="21"/>
      <c r="F486" s="21"/>
      <c r="G486" s="21" t="s">
        <v>18</v>
      </c>
      <c r="H486" s="21"/>
      <c r="I486" s="21"/>
      <c r="J486" s="21"/>
      <c r="K486" s="39"/>
      <c r="L486" s="39"/>
      <c r="M486" s="21"/>
      <c r="N486" t="s">
        <v>231</v>
      </c>
    </row>
    <row r="487" spans="1:14" ht="14.1" customHeight="1">
      <c r="A487" s="18"/>
      <c r="B487" s="19"/>
      <c r="C487" s="21"/>
      <c r="D487" s="21"/>
      <c r="E487" s="21"/>
      <c r="F487" s="21"/>
      <c r="G487" s="21" t="s">
        <v>19</v>
      </c>
      <c r="H487" s="21"/>
      <c r="I487" s="21"/>
      <c r="J487" s="21"/>
      <c r="K487" s="39"/>
      <c r="L487" s="39"/>
      <c r="M487" s="21"/>
      <c r="N487" t="s">
        <v>231</v>
      </c>
    </row>
    <row r="488" spans="1:14" ht="14.1" customHeight="1">
      <c r="A488" s="18"/>
      <c r="B488" s="19"/>
      <c r="C488" s="21"/>
      <c r="D488" s="21"/>
      <c r="E488" s="21"/>
      <c r="F488" s="21"/>
      <c r="G488" s="21" t="s">
        <v>20</v>
      </c>
      <c r="H488" s="21"/>
      <c r="I488" s="21"/>
      <c r="J488" s="21"/>
      <c r="K488" s="39"/>
      <c r="L488" s="39"/>
      <c r="M488" s="21"/>
      <c r="N488" t="s">
        <v>231</v>
      </c>
    </row>
    <row r="489" spans="1:14" ht="14.1" customHeight="1">
      <c r="A489" s="18"/>
      <c r="B489" s="19"/>
      <c r="C489" s="21"/>
      <c r="D489" s="21"/>
      <c r="E489" s="21"/>
      <c r="F489" s="21"/>
      <c r="G489" s="21" t="s">
        <v>21</v>
      </c>
      <c r="H489" s="21"/>
      <c r="I489" s="21"/>
      <c r="J489" s="21"/>
      <c r="K489" s="39"/>
      <c r="L489" s="39"/>
      <c r="M489" s="21"/>
      <c r="N489" t="s">
        <v>231</v>
      </c>
    </row>
    <row r="490" spans="1:14" ht="14.1" customHeight="1">
      <c r="A490" s="18"/>
      <c r="B490" s="19"/>
      <c r="C490" s="21"/>
      <c r="D490" s="21"/>
      <c r="E490" s="21"/>
      <c r="F490" s="21"/>
      <c r="G490" s="21"/>
      <c r="H490" s="21"/>
      <c r="I490" s="21"/>
      <c r="J490" s="21"/>
      <c r="K490" s="39"/>
      <c r="L490" s="39"/>
      <c r="M490" s="21"/>
    </row>
    <row r="491" spans="1:14" ht="15">
      <c r="A491" s="18">
        <v>46151</v>
      </c>
      <c r="B491" s="19">
        <v>46152</v>
      </c>
      <c r="C491" s="21"/>
      <c r="D491" s="21">
        <v>0</v>
      </c>
      <c r="E491" s="21">
        <v>0</v>
      </c>
      <c r="F491" s="21">
        <v>0</v>
      </c>
      <c r="G491" s="21"/>
      <c r="H491" s="21" t="str">
        <f>IFERROR(VLOOKUP(G491,Basic_Data!$E$2:$I$9,5,0),"")</f>
        <v/>
      </c>
      <c r="I491" s="21">
        <v>0</v>
      </c>
      <c r="J491" s="21">
        <v>0</v>
      </c>
      <c r="K491" s="39">
        <v>0</v>
      </c>
      <c r="L491" s="39">
        <v>0</v>
      </c>
      <c r="M491" s="21">
        <v>0</v>
      </c>
      <c r="N491" t="s">
        <v>229</v>
      </c>
    </row>
    <row r="492" spans="1:14" ht="15">
      <c r="A492" s="18">
        <v>46152</v>
      </c>
      <c r="B492" s="19">
        <v>46153</v>
      </c>
      <c r="C492" s="21"/>
      <c r="D492" s="21">
        <v>0</v>
      </c>
      <c r="E492" s="21">
        <v>0</v>
      </c>
      <c r="F492" s="21">
        <v>0</v>
      </c>
      <c r="G492" s="21"/>
      <c r="H492" s="21" t="str">
        <f>IFERROR(VLOOKUP(G492,Basic_Data!$E$2:$I$9,5,0),"")</f>
        <v/>
      </c>
      <c r="I492" s="21">
        <v>0</v>
      </c>
      <c r="J492" s="21">
        <v>0</v>
      </c>
      <c r="K492" s="39">
        <v>0</v>
      </c>
      <c r="L492" s="39">
        <v>0</v>
      </c>
      <c r="M492" s="21">
        <v>0</v>
      </c>
      <c r="N492" t="s">
        <v>229</v>
      </c>
    </row>
    <row r="493" spans="1:14" ht="15">
      <c r="A493" s="18">
        <v>46153</v>
      </c>
      <c r="B493" s="19">
        <v>46154</v>
      </c>
      <c r="C493" s="21"/>
      <c r="D493" s="21">
        <v>0</v>
      </c>
      <c r="E493" s="21">
        <v>0</v>
      </c>
      <c r="F493" s="21">
        <v>0</v>
      </c>
      <c r="G493" s="21"/>
      <c r="H493" s="21" t="str">
        <f>IFERROR(VLOOKUP(G493,Basic_Data!$E$2:$I$9,5,0),"")</f>
        <v/>
      </c>
      <c r="I493" s="21">
        <v>0</v>
      </c>
      <c r="J493" s="21">
        <v>0</v>
      </c>
      <c r="K493" s="39">
        <v>0</v>
      </c>
      <c r="L493" s="39">
        <v>0</v>
      </c>
      <c r="M493" s="21">
        <v>0</v>
      </c>
      <c r="N493" t="s">
        <v>229</v>
      </c>
    </row>
    <row r="494" spans="1:14" ht="15">
      <c r="A494" s="18">
        <v>46154</v>
      </c>
      <c r="B494" s="19">
        <v>46155</v>
      </c>
      <c r="C494" s="21"/>
      <c r="D494" s="21">
        <v>0</v>
      </c>
      <c r="E494" s="21">
        <v>0</v>
      </c>
      <c r="F494" s="21">
        <v>0</v>
      </c>
      <c r="G494" s="21"/>
      <c r="H494" s="21" t="str">
        <f>IFERROR(VLOOKUP(G494,Basic_Data!$E$2:$I$9,5,0),"")</f>
        <v/>
      </c>
      <c r="I494" s="21">
        <v>0</v>
      </c>
      <c r="J494" s="21">
        <v>0</v>
      </c>
      <c r="K494" s="39">
        <v>0</v>
      </c>
      <c r="L494" s="39">
        <v>0</v>
      </c>
      <c r="M494" s="21">
        <v>0</v>
      </c>
      <c r="N494" t="s">
        <v>229</v>
      </c>
    </row>
    <row r="495" spans="1:14" ht="15">
      <c r="A495" s="18">
        <v>46155</v>
      </c>
      <c r="B495" s="19">
        <v>46156</v>
      </c>
      <c r="C495" s="21"/>
      <c r="D495" s="21">
        <v>0</v>
      </c>
      <c r="E495" s="21">
        <v>0</v>
      </c>
      <c r="F495" s="21">
        <v>0</v>
      </c>
      <c r="G495" s="21"/>
      <c r="H495" s="21" t="str">
        <f>IFERROR(VLOOKUP(G495,Basic_Data!$E$2:$I$9,5,0),"")</f>
        <v/>
      </c>
      <c r="I495" s="21">
        <v>0</v>
      </c>
      <c r="J495" s="21">
        <v>0</v>
      </c>
      <c r="K495" s="39">
        <v>0</v>
      </c>
      <c r="L495" s="39">
        <v>0</v>
      </c>
      <c r="M495" s="21">
        <v>0</v>
      </c>
      <c r="N495" t="s">
        <v>232</v>
      </c>
    </row>
    <row r="496" spans="1:14" ht="15">
      <c r="A496" s="18">
        <v>46156</v>
      </c>
      <c r="B496" s="19">
        <v>46157</v>
      </c>
      <c r="C496" s="21"/>
      <c r="D496" s="21">
        <v>0</v>
      </c>
      <c r="E496" s="21">
        <v>0</v>
      </c>
      <c r="F496" s="21">
        <v>0</v>
      </c>
      <c r="G496" s="21"/>
      <c r="H496" s="21" t="str">
        <f>IFERROR(VLOOKUP(G496,Basic_Data!$E$2:$I$9,5,0),"")</f>
        <v/>
      </c>
      <c r="I496" s="21">
        <v>0</v>
      </c>
      <c r="J496" s="21">
        <v>0</v>
      </c>
      <c r="K496" s="39">
        <v>0</v>
      </c>
      <c r="L496" s="39">
        <v>0</v>
      </c>
      <c r="M496" s="21">
        <v>0</v>
      </c>
      <c r="N496" t="s">
        <v>229</v>
      </c>
    </row>
    <row r="497" spans="1:14" ht="15">
      <c r="A497" s="18">
        <v>46157</v>
      </c>
      <c r="B497" s="19">
        <v>46158</v>
      </c>
      <c r="C497" s="21"/>
      <c r="D497" s="21">
        <v>0</v>
      </c>
      <c r="E497" s="21">
        <v>0</v>
      </c>
      <c r="F497" s="21">
        <v>0</v>
      </c>
      <c r="G497" s="21"/>
      <c r="H497" s="21" t="str">
        <f>IFERROR(VLOOKUP(G497,Basic_Data!$E$2:$I$9,5,0),"")</f>
        <v/>
      </c>
      <c r="I497" s="21">
        <v>0</v>
      </c>
      <c r="J497" s="21">
        <v>0</v>
      </c>
      <c r="K497" s="39">
        <v>0</v>
      </c>
      <c r="L497" s="39">
        <v>0</v>
      </c>
      <c r="M497" s="21">
        <v>0</v>
      </c>
      <c r="N497" t="s">
        <v>229</v>
      </c>
    </row>
    <row r="498" spans="1:14" ht="15">
      <c r="A498" s="18">
        <v>46158</v>
      </c>
      <c r="B498" s="19">
        <v>46159</v>
      </c>
      <c r="C498" s="21"/>
      <c r="D498" s="21">
        <v>0</v>
      </c>
      <c r="E498" s="21">
        <v>0</v>
      </c>
      <c r="F498" s="21">
        <v>0</v>
      </c>
      <c r="G498" s="21"/>
      <c r="H498" s="21" t="str">
        <f>IFERROR(VLOOKUP(G498,Basic_Data!$E$2:$I$9,5,0),"")</f>
        <v/>
      </c>
      <c r="I498" s="21">
        <v>0</v>
      </c>
      <c r="J498" s="21">
        <v>0</v>
      </c>
      <c r="K498" s="39">
        <v>0</v>
      </c>
      <c r="L498" s="39">
        <v>0</v>
      </c>
      <c r="M498" s="21">
        <v>0</v>
      </c>
      <c r="N498" t="s">
        <v>229</v>
      </c>
    </row>
    <row r="499" spans="1:14" ht="15">
      <c r="A499" s="18">
        <v>46159</v>
      </c>
      <c r="B499" s="19">
        <v>46160</v>
      </c>
      <c r="C499" s="21"/>
      <c r="D499" s="21">
        <v>0</v>
      </c>
      <c r="E499" s="21">
        <v>0</v>
      </c>
      <c r="F499" s="21">
        <v>0</v>
      </c>
      <c r="G499" s="21"/>
      <c r="H499" s="21" t="str">
        <f>IFERROR(VLOOKUP(G499,Basic_Data!$E$2:$I$9,5,0),"")</f>
        <v/>
      </c>
      <c r="I499" s="21">
        <v>0</v>
      </c>
      <c r="J499" s="21">
        <v>0</v>
      </c>
      <c r="K499" s="39">
        <v>0</v>
      </c>
      <c r="L499" s="39">
        <v>0</v>
      </c>
      <c r="M499" s="21">
        <v>0</v>
      </c>
      <c r="N499" t="s">
        <v>229</v>
      </c>
    </row>
    <row r="500" spans="1:14" ht="15">
      <c r="A500" s="18">
        <v>46160</v>
      </c>
      <c r="B500" s="19">
        <v>46161</v>
      </c>
      <c r="C500" s="21"/>
      <c r="D500" s="21">
        <v>0</v>
      </c>
      <c r="E500" s="21">
        <v>0</v>
      </c>
      <c r="F500" s="21">
        <v>0</v>
      </c>
      <c r="G500" s="21"/>
      <c r="H500" s="21" t="str">
        <f>IFERROR(VLOOKUP(G500,Basic_Data!$E$2:$I$9,5,0),"")</f>
        <v/>
      </c>
      <c r="I500" s="21">
        <v>0</v>
      </c>
      <c r="J500" s="21">
        <v>0</v>
      </c>
      <c r="K500" s="39">
        <v>0</v>
      </c>
      <c r="L500" s="39">
        <v>0</v>
      </c>
      <c r="M500" s="21">
        <v>0</v>
      </c>
      <c r="N500" t="s">
        <v>229</v>
      </c>
    </row>
    <row r="501" spans="1:14" ht="15">
      <c r="A501" s="18">
        <v>46161</v>
      </c>
      <c r="B501" s="19">
        <v>46162</v>
      </c>
      <c r="C501" s="21"/>
      <c r="D501" s="21">
        <v>0</v>
      </c>
      <c r="E501" s="21">
        <v>0</v>
      </c>
      <c r="F501" s="21">
        <v>0</v>
      </c>
      <c r="G501" s="21"/>
      <c r="H501" s="21" t="str">
        <f>IFERROR(VLOOKUP(G501,Basic_Data!$E$2:$I$9,5,0),"")</f>
        <v/>
      </c>
      <c r="I501" s="21">
        <v>0</v>
      </c>
      <c r="J501" s="21">
        <v>0</v>
      </c>
      <c r="K501" s="39">
        <v>0</v>
      </c>
      <c r="L501" s="39">
        <v>0</v>
      </c>
      <c r="M501" s="21">
        <v>0</v>
      </c>
      <c r="N501" t="s">
        <v>232</v>
      </c>
    </row>
    <row r="502" spans="1:14" ht="15">
      <c r="A502" s="18">
        <v>46162</v>
      </c>
      <c r="B502" s="19">
        <v>46163</v>
      </c>
      <c r="C502" s="21"/>
      <c r="D502" s="21">
        <v>0</v>
      </c>
      <c r="E502" s="21">
        <v>0</v>
      </c>
      <c r="F502" s="21">
        <v>0</v>
      </c>
      <c r="G502" s="21"/>
      <c r="H502" s="21" t="str">
        <f>IFERROR(VLOOKUP(G502,Basic_Data!$E$2:$I$9,5,0),"")</f>
        <v/>
      </c>
      <c r="I502" s="21">
        <v>0</v>
      </c>
      <c r="J502" s="21">
        <v>0</v>
      </c>
      <c r="K502" s="39">
        <v>0</v>
      </c>
      <c r="L502" s="39">
        <v>0</v>
      </c>
      <c r="M502" s="21">
        <v>0</v>
      </c>
      <c r="N502" t="s">
        <v>229</v>
      </c>
    </row>
    <row r="503" spans="1:14" ht="15">
      <c r="A503" s="18">
        <v>46163</v>
      </c>
      <c r="B503" s="19">
        <v>46164</v>
      </c>
      <c r="C503" s="21"/>
      <c r="D503" s="21">
        <v>0</v>
      </c>
      <c r="E503" s="21">
        <v>0</v>
      </c>
      <c r="F503" s="21">
        <v>0</v>
      </c>
      <c r="G503" s="21"/>
      <c r="H503" s="21" t="str">
        <f>IFERROR(VLOOKUP(G503,Basic_Data!$E$2:$I$9,5,0),"")</f>
        <v/>
      </c>
      <c r="I503" s="21">
        <v>0</v>
      </c>
      <c r="J503" s="21">
        <v>0</v>
      </c>
      <c r="K503" s="39">
        <v>0</v>
      </c>
      <c r="L503" s="39">
        <v>0</v>
      </c>
      <c r="M503" s="21">
        <v>0</v>
      </c>
      <c r="N503" t="s">
        <v>229</v>
      </c>
    </row>
    <row r="504" spans="1:14" ht="15">
      <c r="A504" s="18">
        <v>46164</v>
      </c>
      <c r="B504" s="19">
        <v>46165</v>
      </c>
      <c r="C504" s="21"/>
      <c r="D504" s="21">
        <v>0</v>
      </c>
      <c r="E504" s="21">
        <v>0</v>
      </c>
      <c r="F504" s="21">
        <v>0</v>
      </c>
      <c r="G504" s="21"/>
      <c r="H504" s="21" t="str">
        <f>IFERROR(VLOOKUP(G504,Basic_Data!$E$2:$I$9,5,0),"")</f>
        <v/>
      </c>
      <c r="I504" s="21">
        <v>0</v>
      </c>
      <c r="J504" s="21">
        <v>0</v>
      </c>
      <c r="K504" s="39">
        <v>0</v>
      </c>
      <c r="L504" s="39">
        <v>0</v>
      </c>
      <c r="M504" s="21">
        <v>0</v>
      </c>
      <c r="N504" t="s">
        <v>229</v>
      </c>
    </row>
    <row r="505" spans="1:14" ht="15">
      <c r="A505" s="18">
        <v>46165</v>
      </c>
      <c r="B505" s="19">
        <v>46166</v>
      </c>
      <c r="C505" s="21"/>
      <c r="D505" s="21">
        <v>0</v>
      </c>
      <c r="E505" s="21">
        <v>0</v>
      </c>
      <c r="F505" s="21">
        <v>0</v>
      </c>
      <c r="G505" s="21"/>
      <c r="H505" s="21" t="str">
        <f>IFERROR(VLOOKUP(G505,Basic_Data!$E$2:$I$9,5,0),"")</f>
        <v/>
      </c>
      <c r="I505" s="21">
        <v>0</v>
      </c>
      <c r="J505" s="21">
        <v>0</v>
      </c>
      <c r="K505" s="39">
        <v>0</v>
      </c>
      <c r="L505" s="39">
        <v>0</v>
      </c>
      <c r="M505" s="21">
        <v>0</v>
      </c>
      <c r="N505" t="s">
        <v>229</v>
      </c>
    </row>
    <row r="506" spans="1:14" ht="15">
      <c r="A506" s="18">
        <v>46166</v>
      </c>
      <c r="B506" s="19">
        <v>46167</v>
      </c>
      <c r="C506" s="21"/>
      <c r="D506" s="21">
        <v>0</v>
      </c>
      <c r="E506" s="21">
        <v>0</v>
      </c>
      <c r="F506" s="21">
        <v>0</v>
      </c>
      <c r="G506" s="21"/>
      <c r="H506" s="21" t="str">
        <f>IFERROR(VLOOKUP(G506,Basic_Data!$E$2:$I$9,5,0),"")</f>
        <v/>
      </c>
      <c r="I506" s="21">
        <v>0</v>
      </c>
      <c r="J506" s="21">
        <v>0</v>
      </c>
      <c r="K506" s="39">
        <v>0</v>
      </c>
      <c r="L506" s="39">
        <v>0</v>
      </c>
      <c r="M506" s="21">
        <v>0</v>
      </c>
      <c r="N506" t="s">
        <v>229</v>
      </c>
    </row>
    <row r="507" spans="1:14" ht="15">
      <c r="A507" s="18">
        <v>46167</v>
      </c>
      <c r="B507" s="19">
        <v>46168</v>
      </c>
      <c r="C507" s="21"/>
      <c r="D507" s="21">
        <v>0</v>
      </c>
      <c r="E507" s="21">
        <v>0</v>
      </c>
      <c r="F507" s="21">
        <v>0</v>
      </c>
      <c r="G507" s="21"/>
      <c r="H507" s="21" t="str">
        <f>IFERROR(VLOOKUP(G507,Basic_Data!$E$2:$I$9,5,0),"")</f>
        <v/>
      </c>
      <c r="I507" s="21">
        <v>0</v>
      </c>
      <c r="J507" s="21">
        <v>0</v>
      </c>
      <c r="K507" s="39">
        <v>0</v>
      </c>
      <c r="L507" s="39">
        <v>0</v>
      </c>
      <c r="M507" s="21">
        <v>0</v>
      </c>
      <c r="N507" t="s">
        <v>233</v>
      </c>
    </row>
    <row r="508" spans="1:14" ht="15">
      <c r="A508" s="18">
        <v>46168</v>
      </c>
      <c r="B508" s="19">
        <v>46169</v>
      </c>
      <c r="C508" s="21"/>
      <c r="D508" s="21">
        <v>0</v>
      </c>
      <c r="E508" s="21">
        <v>0</v>
      </c>
      <c r="F508" s="21">
        <v>0</v>
      </c>
      <c r="G508" s="21"/>
      <c r="H508" s="21" t="str">
        <f>IFERROR(VLOOKUP(G508,Basic_Data!$E$2:$I$9,5,0),"")</f>
        <v/>
      </c>
      <c r="I508" s="21">
        <v>0</v>
      </c>
      <c r="J508" s="21">
        <v>0</v>
      </c>
      <c r="K508" s="39">
        <v>0</v>
      </c>
      <c r="L508" s="39">
        <v>0</v>
      </c>
      <c r="M508" s="21">
        <v>0</v>
      </c>
      <c r="N508" t="s">
        <v>229</v>
      </c>
    </row>
    <row r="509" spans="1:14" ht="15">
      <c r="A509" s="18">
        <v>46169</v>
      </c>
      <c r="B509" s="19">
        <v>46170</v>
      </c>
      <c r="C509" s="21"/>
      <c r="D509" s="21">
        <v>0</v>
      </c>
      <c r="E509" s="21">
        <v>0</v>
      </c>
      <c r="F509" s="21">
        <v>0</v>
      </c>
      <c r="G509" s="21"/>
      <c r="H509" s="21"/>
      <c r="I509" s="21">
        <v>0</v>
      </c>
      <c r="J509" s="21">
        <v>0</v>
      </c>
      <c r="K509" s="39">
        <v>0</v>
      </c>
      <c r="L509" s="39">
        <v>0</v>
      </c>
      <c r="M509" s="21">
        <v>0</v>
      </c>
      <c r="N509" t="s">
        <v>229</v>
      </c>
    </row>
    <row r="510" spans="1:14" ht="15">
      <c r="A510" s="18">
        <v>46170</v>
      </c>
      <c r="B510" s="19">
        <v>46171</v>
      </c>
      <c r="C510" s="21"/>
      <c r="D510" s="21">
        <v>0</v>
      </c>
      <c r="E510" s="21">
        <v>0</v>
      </c>
      <c r="F510" s="21">
        <v>0</v>
      </c>
      <c r="G510" s="21"/>
      <c r="H510" s="21" t="str">
        <f>IFERROR(VLOOKUP(G510,Basic_Data!$E$2:$I$9,5,0),"")</f>
        <v/>
      </c>
      <c r="I510" s="21">
        <v>0</v>
      </c>
      <c r="J510" s="21">
        <v>0</v>
      </c>
      <c r="K510" s="39">
        <v>0</v>
      </c>
      <c r="L510" s="39">
        <v>0</v>
      </c>
      <c r="M510" s="21">
        <v>0</v>
      </c>
      <c r="N510" t="s">
        <v>229</v>
      </c>
    </row>
    <row r="511" spans="1:14" ht="15">
      <c r="A511" s="18"/>
      <c r="B511" s="19"/>
      <c r="C511" s="21"/>
      <c r="D511" s="21"/>
      <c r="E511" s="21"/>
      <c r="F511" s="21"/>
      <c r="G511" s="21"/>
      <c r="H511" s="21"/>
      <c r="I511" s="21"/>
      <c r="J511" s="21"/>
      <c r="K511" s="39"/>
      <c r="L511" s="39"/>
      <c r="M511" s="21"/>
    </row>
    <row r="512" spans="1:14" ht="15">
      <c r="A512" s="18"/>
      <c r="B512" s="19"/>
      <c r="C512" s="21"/>
      <c r="D512" s="21"/>
      <c r="E512" s="21"/>
      <c r="F512" s="21"/>
      <c r="G512" s="21"/>
      <c r="H512" s="21"/>
      <c r="I512" s="21"/>
      <c r="J512" s="21"/>
      <c r="K512" s="39"/>
      <c r="L512" s="39"/>
      <c r="M512" s="21"/>
    </row>
    <row r="513" spans="1:14" ht="15">
      <c r="A513" s="18"/>
      <c r="B513" s="19"/>
      <c r="C513" s="21"/>
      <c r="D513" s="21"/>
      <c r="E513" s="21"/>
      <c r="F513" s="21"/>
      <c r="G513" s="21"/>
      <c r="H513" s="21"/>
      <c r="I513" s="21"/>
      <c r="J513" s="21"/>
      <c r="K513" s="39"/>
      <c r="L513" s="39"/>
      <c r="M513" s="21"/>
    </row>
    <row r="514" spans="1:14" ht="15">
      <c r="A514" s="18"/>
      <c r="B514" s="19"/>
      <c r="C514" s="21"/>
      <c r="D514" s="21"/>
      <c r="E514" s="21"/>
      <c r="F514" s="21"/>
      <c r="G514" s="21"/>
      <c r="H514" s="21"/>
      <c r="I514" s="21"/>
      <c r="J514" s="21"/>
      <c r="K514" s="39"/>
      <c r="L514" s="39"/>
      <c r="M514" s="21"/>
    </row>
    <row r="515" spans="1:14" ht="15">
      <c r="A515" s="18"/>
      <c r="B515" s="19"/>
      <c r="C515" s="21"/>
      <c r="D515" s="21"/>
      <c r="E515" s="21"/>
      <c r="F515" s="21"/>
      <c r="G515" s="21"/>
      <c r="H515" s="21"/>
      <c r="I515" s="21"/>
      <c r="J515" s="21"/>
      <c r="K515" s="39"/>
      <c r="L515" s="39"/>
      <c r="M515" s="21"/>
    </row>
    <row r="516" spans="1:14" ht="15">
      <c r="A516" s="18"/>
      <c r="B516" s="19"/>
      <c r="C516" s="21"/>
      <c r="D516" s="21"/>
      <c r="E516" s="21"/>
      <c r="F516" s="21"/>
      <c r="G516" s="21"/>
      <c r="H516" s="21"/>
      <c r="I516" s="21"/>
      <c r="J516" s="21"/>
      <c r="K516" s="39"/>
      <c r="L516" s="39"/>
      <c r="M516" s="21"/>
    </row>
    <row r="517" spans="1:14" ht="15">
      <c r="A517" s="18"/>
      <c r="B517" s="19"/>
      <c r="C517" s="21"/>
      <c r="D517" s="21"/>
      <c r="E517" s="21"/>
      <c r="F517" s="21"/>
      <c r="G517" s="21"/>
      <c r="H517" s="21"/>
      <c r="I517" s="21"/>
      <c r="J517" s="21"/>
      <c r="K517" s="39"/>
      <c r="L517" s="39"/>
      <c r="M517" s="21"/>
    </row>
    <row r="518" spans="1:14" ht="15">
      <c r="A518" s="18"/>
      <c r="B518" s="19"/>
      <c r="C518" s="21"/>
      <c r="D518" s="21"/>
      <c r="E518" s="21"/>
      <c r="F518" s="21"/>
      <c r="G518" s="21"/>
      <c r="H518" s="21"/>
      <c r="I518" s="21"/>
      <c r="J518" s="21"/>
      <c r="K518" s="39"/>
      <c r="L518" s="39"/>
      <c r="M518" s="21"/>
    </row>
    <row r="519" spans="1:14" ht="12" customHeight="1">
      <c r="A519" s="18">
        <v>46171</v>
      </c>
      <c r="B519" s="19">
        <v>46172</v>
      </c>
      <c r="C519" s="21"/>
      <c r="D519" s="21">
        <v>0</v>
      </c>
      <c r="E519" s="21">
        <v>0</v>
      </c>
      <c r="F519" s="21">
        <v>1</v>
      </c>
      <c r="G519" s="21" t="s">
        <v>15</v>
      </c>
      <c r="H519" s="21">
        <f>IFERROR(VLOOKUP(G519,Basic_Data!$E$2:$I$9,5,0),"")</f>
        <v>2</v>
      </c>
      <c r="I519" s="21">
        <v>644</v>
      </c>
      <c r="J519" s="21">
        <v>644</v>
      </c>
      <c r="K519" s="39">
        <v>0</v>
      </c>
      <c r="L519" s="39">
        <v>0</v>
      </c>
      <c r="M519" s="21">
        <v>0</v>
      </c>
      <c r="N519" t="s">
        <v>231</v>
      </c>
    </row>
    <row r="520" spans="1:14" ht="12" customHeight="1">
      <c r="A520" s="18"/>
      <c r="B520" s="19"/>
      <c r="C520" s="21"/>
      <c r="D520" s="21"/>
      <c r="E520" s="21"/>
      <c r="F520" s="21"/>
      <c r="G520" s="21" t="s">
        <v>16</v>
      </c>
      <c r="H520" s="21"/>
      <c r="I520" s="21"/>
      <c r="J520" s="21"/>
      <c r="K520" s="39"/>
      <c r="L520" s="39"/>
      <c r="M520" s="21"/>
      <c r="N520" t="s">
        <v>231</v>
      </c>
    </row>
    <row r="521" spans="1:14" ht="12" customHeight="1">
      <c r="A521" s="18"/>
      <c r="B521" s="19"/>
      <c r="C521" s="21"/>
      <c r="D521" s="21"/>
      <c r="E521" s="21"/>
      <c r="F521" s="21"/>
      <c r="G521" s="21" t="s">
        <v>17</v>
      </c>
      <c r="H521" s="21"/>
      <c r="I521" s="21"/>
      <c r="J521" s="21"/>
      <c r="K521" s="39"/>
      <c r="L521" s="39"/>
      <c r="M521" s="21"/>
    </row>
    <row r="522" spans="1:14" ht="12" customHeight="1">
      <c r="A522" s="18"/>
      <c r="B522" s="19"/>
      <c r="C522" s="21"/>
      <c r="D522" s="21"/>
      <c r="E522" s="21"/>
      <c r="F522" s="21"/>
      <c r="G522" s="21" t="s">
        <v>18</v>
      </c>
      <c r="H522" s="21"/>
      <c r="I522" s="21"/>
      <c r="J522" s="21"/>
      <c r="K522" s="39"/>
      <c r="L522" s="39"/>
      <c r="M522" s="21"/>
    </row>
    <row r="523" spans="1:14" ht="12" customHeight="1">
      <c r="A523" s="18"/>
      <c r="B523" s="19"/>
      <c r="C523" s="21"/>
      <c r="D523" s="21"/>
      <c r="E523" s="21"/>
      <c r="F523" s="21"/>
      <c r="G523" s="21" t="s">
        <v>19</v>
      </c>
      <c r="H523" s="21"/>
      <c r="I523" s="21"/>
      <c r="J523" s="21"/>
      <c r="K523" s="39"/>
      <c r="L523" s="39"/>
      <c r="M523" s="21"/>
    </row>
    <row r="524" spans="1:14" ht="15">
      <c r="A524" s="18">
        <v>46172</v>
      </c>
      <c r="B524" s="19">
        <v>46173</v>
      </c>
      <c r="C524" s="21"/>
      <c r="D524" s="21">
        <v>0</v>
      </c>
      <c r="E524" s="21">
        <v>0</v>
      </c>
      <c r="F524" s="21">
        <v>0</v>
      </c>
      <c r="G524" s="21" t="s">
        <v>20</v>
      </c>
      <c r="H524" s="21">
        <f>IFERROR(VLOOKUP(G524,Basic_Data!$E$2:$I$9,5,0),"")</f>
        <v>7</v>
      </c>
      <c r="I524" s="21">
        <v>644</v>
      </c>
      <c r="J524" s="21">
        <v>644</v>
      </c>
      <c r="K524" s="39">
        <v>0</v>
      </c>
      <c r="L524" s="39">
        <v>0</v>
      </c>
      <c r="M524" s="21">
        <v>0</v>
      </c>
      <c r="N524" t="s">
        <v>231</v>
      </c>
    </row>
    <row r="525" spans="1:14" ht="15">
      <c r="A525" s="18"/>
      <c r="B525" s="19"/>
      <c r="C525" s="21"/>
      <c r="D525" s="21"/>
      <c r="E525" s="21"/>
      <c r="F525" s="21"/>
      <c r="G525" s="21" t="s">
        <v>21</v>
      </c>
      <c r="H525" s="21"/>
      <c r="I525" s="21"/>
      <c r="J525" s="21"/>
      <c r="K525" s="39"/>
      <c r="L525" s="39"/>
      <c r="M525" s="21"/>
    </row>
    <row r="526" spans="1:14" ht="15">
      <c r="A526" s="18"/>
      <c r="B526" s="19"/>
      <c r="C526" s="21"/>
      <c r="D526" s="21"/>
      <c r="E526" s="21"/>
      <c r="F526" s="21"/>
      <c r="G526" s="21"/>
      <c r="H526" s="21"/>
      <c r="I526" s="21"/>
      <c r="J526" s="21"/>
      <c r="K526" s="39"/>
      <c r="L526" s="39"/>
      <c r="M526" s="21"/>
    </row>
    <row r="527" spans="1:14" ht="15">
      <c r="A527" s="18"/>
      <c r="B527" s="19"/>
      <c r="C527" s="21"/>
      <c r="D527" s="21"/>
      <c r="E527" s="21"/>
      <c r="F527" s="21"/>
      <c r="G527" s="21"/>
      <c r="H527" s="21"/>
      <c r="I527" s="21"/>
      <c r="J527" s="21"/>
      <c r="K527" s="39"/>
      <c r="L527" s="39"/>
      <c r="M527" s="21"/>
    </row>
    <row r="528" spans="1:14" ht="15">
      <c r="A528" s="18"/>
      <c r="B528" s="19"/>
      <c r="C528" s="21"/>
      <c r="D528" s="21"/>
      <c r="E528" s="21"/>
      <c r="F528" s="21"/>
      <c r="G528" s="21"/>
      <c r="H528" s="21"/>
      <c r="I528" s="21"/>
      <c r="J528" s="21"/>
      <c r="K528" s="39"/>
      <c r="L528" s="39"/>
      <c r="M528" s="21"/>
    </row>
    <row r="529" spans="1:14" ht="15">
      <c r="A529" s="18"/>
      <c r="B529" s="19"/>
      <c r="C529" s="21"/>
      <c r="D529" s="21"/>
      <c r="E529" s="21"/>
      <c r="F529" s="21"/>
      <c r="G529" s="21"/>
      <c r="H529" s="21"/>
      <c r="I529" s="21"/>
      <c r="J529" s="21"/>
      <c r="K529" s="39"/>
      <c r="L529" s="39"/>
      <c r="M529" s="21"/>
    </row>
    <row r="530" spans="1:14" ht="15">
      <c r="A530" s="18">
        <v>46173</v>
      </c>
      <c r="B530" s="19">
        <v>46174</v>
      </c>
      <c r="C530" s="21"/>
      <c r="D530" s="21">
        <v>0</v>
      </c>
      <c r="E530" s="21">
        <v>0</v>
      </c>
      <c r="F530" s="21">
        <v>0</v>
      </c>
      <c r="G530" s="21"/>
      <c r="H530" s="21" t="str">
        <f>IFERROR(VLOOKUP(G530,Basic_Data!$E$2:$I$9,5,0),"")</f>
        <v/>
      </c>
      <c r="I530" s="21">
        <v>0</v>
      </c>
      <c r="J530" s="21">
        <v>0</v>
      </c>
      <c r="K530" s="39">
        <v>0</v>
      </c>
      <c r="L530" s="39">
        <v>0</v>
      </c>
      <c r="M530" s="21">
        <v>0</v>
      </c>
      <c r="N530" t="s">
        <v>229</v>
      </c>
    </row>
    <row r="531" spans="1:14" ht="15">
      <c r="A531" s="18">
        <v>46174</v>
      </c>
      <c r="B531" s="19">
        <v>46175</v>
      </c>
      <c r="C531" s="21"/>
      <c r="D531" s="21">
        <v>0</v>
      </c>
      <c r="E531" s="21">
        <v>0</v>
      </c>
      <c r="F531" s="21">
        <v>0</v>
      </c>
      <c r="G531" s="21"/>
      <c r="H531" s="21" t="str">
        <f>IFERROR(VLOOKUP(G531,Basic_Data!$E$2:$I$9,5,0),"")</f>
        <v/>
      </c>
      <c r="I531" s="21">
        <v>0</v>
      </c>
      <c r="J531" s="21">
        <v>0</v>
      </c>
      <c r="K531" s="39">
        <v>0</v>
      </c>
      <c r="L531" s="39">
        <v>0</v>
      </c>
      <c r="M531" s="21">
        <v>0</v>
      </c>
      <c r="N531" t="s">
        <v>229</v>
      </c>
    </row>
    <row r="532" spans="1:14" ht="15">
      <c r="A532" s="18">
        <v>46175</v>
      </c>
      <c r="B532" s="19">
        <v>46176</v>
      </c>
      <c r="C532" s="21"/>
      <c r="D532" s="21">
        <v>0</v>
      </c>
      <c r="E532" s="21">
        <v>0</v>
      </c>
      <c r="F532" s="21">
        <v>0</v>
      </c>
      <c r="G532" s="21"/>
      <c r="H532" s="21" t="str">
        <f>IFERROR(VLOOKUP(G532,Basic_Data!$E$2:$I$9,5,0),"")</f>
        <v/>
      </c>
      <c r="I532" s="21">
        <v>0</v>
      </c>
      <c r="J532" s="21">
        <v>0</v>
      </c>
      <c r="K532" s="39">
        <v>0</v>
      </c>
      <c r="L532" s="39">
        <v>0</v>
      </c>
      <c r="M532" s="21">
        <v>0</v>
      </c>
      <c r="N532" t="s">
        <v>232</v>
      </c>
    </row>
    <row r="533" spans="1:14" ht="15">
      <c r="A533" s="18">
        <v>46176</v>
      </c>
      <c r="B533" s="19">
        <v>46177</v>
      </c>
      <c r="C533" s="21"/>
      <c r="D533" s="21">
        <v>0</v>
      </c>
      <c r="E533" s="21">
        <v>0</v>
      </c>
      <c r="F533" s="21">
        <v>0</v>
      </c>
      <c r="G533" s="21"/>
      <c r="H533" s="21" t="str">
        <f>IFERROR(VLOOKUP(G533,Basic_Data!$E$2:$I$9,5,0),"")</f>
        <v/>
      </c>
      <c r="I533" s="21">
        <v>0</v>
      </c>
      <c r="J533" s="21">
        <v>0</v>
      </c>
      <c r="K533" s="39">
        <v>0</v>
      </c>
      <c r="L533" s="39">
        <v>0</v>
      </c>
      <c r="M533" s="21">
        <v>0</v>
      </c>
      <c r="N533" t="s">
        <v>229</v>
      </c>
    </row>
    <row r="534" spans="1:14" ht="15">
      <c r="A534" s="18">
        <v>46177</v>
      </c>
      <c r="B534" s="19">
        <v>46178</v>
      </c>
      <c r="C534" s="21"/>
      <c r="D534" s="21">
        <v>0</v>
      </c>
      <c r="E534" s="21">
        <v>0</v>
      </c>
      <c r="F534" s="21">
        <v>0</v>
      </c>
      <c r="G534" s="21"/>
      <c r="H534" s="21" t="str">
        <f>IFERROR(VLOOKUP(G534,Basic_Data!$E$2:$I$9,5,0),"")</f>
        <v/>
      </c>
      <c r="I534" s="21">
        <v>0</v>
      </c>
      <c r="J534" s="21">
        <v>0</v>
      </c>
      <c r="K534" s="39">
        <v>0</v>
      </c>
      <c r="L534" s="39">
        <v>0</v>
      </c>
      <c r="M534" s="21">
        <v>0</v>
      </c>
      <c r="N534" t="s">
        <v>232</v>
      </c>
    </row>
    <row r="535" spans="1:14" ht="15">
      <c r="A535" s="18">
        <v>46178</v>
      </c>
      <c r="B535" s="19">
        <v>46179</v>
      </c>
      <c r="C535" s="21"/>
      <c r="D535" s="21">
        <v>0</v>
      </c>
      <c r="E535" s="21">
        <v>0</v>
      </c>
      <c r="F535" s="21">
        <v>0</v>
      </c>
      <c r="G535" s="21"/>
      <c r="H535" s="21" t="str">
        <f>IFERROR(VLOOKUP(G535,Basic_Data!$E$2:$I$9,5,0),"")</f>
        <v/>
      </c>
      <c r="I535" s="21">
        <v>644</v>
      </c>
      <c r="J535" s="21">
        <v>644</v>
      </c>
      <c r="K535" s="39">
        <v>0</v>
      </c>
      <c r="L535" s="39">
        <v>0</v>
      </c>
      <c r="M535" s="21">
        <v>0</v>
      </c>
    </row>
    <row r="536" spans="1:14" ht="15">
      <c r="A536" s="18">
        <v>46179</v>
      </c>
      <c r="B536" s="19">
        <v>46180</v>
      </c>
      <c r="C536" s="21"/>
      <c r="D536" s="21">
        <v>0</v>
      </c>
      <c r="E536" s="21">
        <v>0</v>
      </c>
      <c r="F536" s="21">
        <v>0</v>
      </c>
      <c r="G536" s="21"/>
      <c r="H536" s="21" t="str">
        <f>IFERROR(VLOOKUP(G536,Basic_Data!$E$2:$I$9,5,0),"")</f>
        <v/>
      </c>
      <c r="I536" s="21">
        <v>644</v>
      </c>
      <c r="J536" s="21">
        <v>644</v>
      </c>
      <c r="K536" s="39">
        <v>0</v>
      </c>
      <c r="L536" s="39">
        <v>0</v>
      </c>
      <c r="M536" s="21">
        <v>0</v>
      </c>
    </row>
    <row r="537" spans="1:14" ht="15">
      <c r="A537" s="18">
        <v>46180</v>
      </c>
      <c r="B537" s="19">
        <v>46181</v>
      </c>
      <c r="C537" s="21"/>
      <c r="D537" s="21">
        <v>0</v>
      </c>
      <c r="E537" s="21">
        <v>0</v>
      </c>
      <c r="F537" s="21">
        <v>0</v>
      </c>
      <c r="G537" s="21"/>
      <c r="H537" s="21" t="str">
        <f>IFERROR(VLOOKUP(G537,Basic_Data!$E$2:$I$9,5,0),"")</f>
        <v/>
      </c>
      <c r="I537" s="21">
        <v>644</v>
      </c>
      <c r="J537" s="21">
        <v>644</v>
      </c>
      <c r="K537" s="39">
        <v>0</v>
      </c>
      <c r="L537" s="39">
        <v>0</v>
      </c>
      <c r="M537" s="21">
        <v>0</v>
      </c>
    </row>
    <row r="538" spans="1:14" ht="15">
      <c r="A538" s="18">
        <v>46181</v>
      </c>
      <c r="B538" s="19">
        <v>46182</v>
      </c>
      <c r="C538" s="21"/>
      <c r="D538" s="21">
        <v>0</v>
      </c>
      <c r="E538" s="21">
        <v>0</v>
      </c>
      <c r="F538" s="21">
        <v>0</v>
      </c>
      <c r="G538" s="21"/>
      <c r="H538" s="21" t="str">
        <f>IFERROR(VLOOKUP(G538,Basic_Data!$E$2:$I$9,5,0),"")</f>
        <v/>
      </c>
      <c r="I538" s="21">
        <v>644</v>
      </c>
      <c r="J538" s="21">
        <v>644</v>
      </c>
      <c r="K538" s="39">
        <v>0</v>
      </c>
      <c r="L538" s="39">
        <v>0</v>
      </c>
      <c r="M538" s="21">
        <v>0</v>
      </c>
    </row>
    <row r="539" spans="1:14" ht="15">
      <c r="A539" s="18">
        <v>46182</v>
      </c>
      <c r="B539" s="19">
        <v>46183</v>
      </c>
      <c r="C539" s="21"/>
      <c r="D539" s="21">
        <v>0</v>
      </c>
      <c r="E539" s="21">
        <v>0</v>
      </c>
      <c r="F539" s="21">
        <v>0</v>
      </c>
      <c r="G539" s="21"/>
      <c r="H539" s="21" t="str">
        <f>IFERROR(VLOOKUP(G539,Basic_Data!$E$2:$I$9,5,0),"")</f>
        <v/>
      </c>
      <c r="I539" s="21">
        <v>644</v>
      </c>
      <c r="J539" s="21">
        <v>644</v>
      </c>
      <c r="K539" s="39">
        <v>0</v>
      </c>
      <c r="L539" s="39">
        <v>0</v>
      </c>
      <c r="M539" s="21">
        <v>0</v>
      </c>
    </row>
    <row r="540" spans="1:14" ht="15">
      <c r="A540" s="18">
        <v>46183</v>
      </c>
      <c r="B540" s="19">
        <v>46184</v>
      </c>
      <c r="C540" s="21"/>
      <c r="D540" s="21">
        <v>0</v>
      </c>
      <c r="E540" s="21">
        <v>0</v>
      </c>
      <c r="F540" s="21">
        <v>0</v>
      </c>
      <c r="G540" s="21"/>
      <c r="H540" s="21" t="str">
        <f>IFERROR(VLOOKUP(G540,Basic_Data!$E$2:$I$9,5,0),"")</f>
        <v/>
      </c>
      <c r="I540" s="21">
        <v>644</v>
      </c>
      <c r="J540" s="21">
        <v>644</v>
      </c>
      <c r="K540" s="39">
        <v>0</v>
      </c>
      <c r="L540" s="39">
        <v>0</v>
      </c>
      <c r="M540" s="21">
        <v>0</v>
      </c>
    </row>
    <row r="541" spans="1:14" ht="15">
      <c r="A541" s="18">
        <v>46184</v>
      </c>
      <c r="B541" s="19">
        <v>46185</v>
      </c>
      <c r="C541" s="21"/>
      <c r="D541" s="21">
        <v>0</v>
      </c>
      <c r="E541" s="21">
        <v>0</v>
      </c>
      <c r="F541" s="21">
        <v>0</v>
      </c>
      <c r="G541" s="21"/>
      <c r="H541" s="21" t="str">
        <f>IFERROR(VLOOKUP(G541,Basic_Data!$E$2:$I$9,5,0),"")</f>
        <v/>
      </c>
      <c r="I541" s="21">
        <v>644</v>
      </c>
      <c r="J541" s="21">
        <v>644</v>
      </c>
      <c r="K541" s="39">
        <v>0</v>
      </c>
      <c r="L541" s="39">
        <v>0</v>
      </c>
      <c r="M541" s="21">
        <v>0</v>
      </c>
    </row>
    <row r="542" spans="1:14" ht="15">
      <c r="A542" s="18">
        <v>46185</v>
      </c>
      <c r="B542" s="19">
        <v>46186</v>
      </c>
      <c r="C542" s="21"/>
      <c r="D542" s="21">
        <v>0</v>
      </c>
      <c r="E542" s="21">
        <v>0</v>
      </c>
      <c r="F542" s="21">
        <v>0</v>
      </c>
      <c r="G542" s="21"/>
      <c r="H542" s="21" t="str">
        <f>IFERROR(VLOOKUP(G542,Basic_Data!$E$2:$I$9,5,0),"")</f>
        <v/>
      </c>
      <c r="I542" s="21">
        <v>644</v>
      </c>
      <c r="J542" s="21">
        <v>644</v>
      </c>
      <c r="K542" s="39">
        <v>0</v>
      </c>
      <c r="L542" s="39">
        <v>0</v>
      </c>
      <c r="M542" s="21">
        <v>0</v>
      </c>
    </row>
    <row r="543" spans="1:14" ht="15">
      <c r="A543" s="18">
        <v>46186</v>
      </c>
      <c r="B543" s="19">
        <v>46187</v>
      </c>
      <c r="C543" s="21"/>
      <c r="D543" s="21">
        <v>0</v>
      </c>
      <c r="E543" s="21">
        <v>0</v>
      </c>
      <c r="F543" s="21">
        <v>0</v>
      </c>
      <c r="G543" s="21"/>
      <c r="H543" s="21" t="str">
        <f>IFERROR(VLOOKUP(G543,Basic_Data!$E$2:$I$9,5,0),"")</f>
        <v/>
      </c>
      <c r="I543" s="21">
        <v>644</v>
      </c>
      <c r="J543" s="21">
        <v>644</v>
      </c>
      <c r="K543" s="39">
        <v>0</v>
      </c>
      <c r="L543" s="39">
        <v>0</v>
      </c>
      <c r="M543" s="21">
        <v>0</v>
      </c>
    </row>
    <row r="544" spans="1:14" ht="15">
      <c r="A544" s="18">
        <v>46187</v>
      </c>
      <c r="B544" s="19">
        <v>46188</v>
      </c>
      <c r="C544" s="21"/>
      <c r="D544" s="21">
        <v>0</v>
      </c>
      <c r="E544" s="21">
        <v>0</v>
      </c>
      <c r="F544" s="21">
        <v>0</v>
      </c>
      <c r="G544" s="21"/>
      <c r="H544" s="21" t="str">
        <f>IFERROR(VLOOKUP(G544,Basic_Data!$E$2:$I$9,5,0),"")</f>
        <v/>
      </c>
      <c r="I544" s="21">
        <v>644</v>
      </c>
      <c r="J544" s="21">
        <v>644</v>
      </c>
      <c r="K544" s="39">
        <v>0</v>
      </c>
      <c r="L544" s="39">
        <v>0</v>
      </c>
      <c r="M544" s="21">
        <v>0</v>
      </c>
    </row>
    <row r="545" spans="1:13" ht="15">
      <c r="A545" s="18">
        <v>46188</v>
      </c>
      <c r="B545" s="19">
        <v>46189</v>
      </c>
      <c r="C545" s="21"/>
      <c r="D545" s="21">
        <v>0</v>
      </c>
      <c r="E545" s="21">
        <v>0</v>
      </c>
      <c r="F545" s="21">
        <v>0</v>
      </c>
      <c r="G545" s="21"/>
      <c r="H545" s="21" t="str">
        <f>IFERROR(VLOOKUP(G545,Basic_Data!$E$2:$I$9,5,0),"")</f>
        <v/>
      </c>
      <c r="I545" s="21">
        <v>644</v>
      </c>
      <c r="J545" s="21">
        <v>644</v>
      </c>
      <c r="K545" s="39">
        <v>0</v>
      </c>
      <c r="L545" s="39">
        <v>0</v>
      </c>
      <c r="M545" s="21">
        <v>0</v>
      </c>
    </row>
    <row r="546" spans="1:13" ht="15">
      <c r="A546" s="18">
        <v>46189</v>
      </c>
      <c r="B546" s="19">
        <v>46190</v>
      </c>
      <c r="C546" s="21"/>
      <c r="D546" s="21">
        <v>0</v>
      </c>
      <c r="E546" s="21">
        <v>0</v>
      </c>
      <c r="F546" s="21">
        <v>0</v>
      </c>
      <c r="G546" s="21"/>
      <c r="H546" s="21" t="str">
        <f>IFERROR(VLOOKUP(G546,Basic_Data!$E$2:$I$9,5,0),"")</f>
        <v/>
      </c>
      <c r="I546" s="21">
        <v>644</v>
      </c>
      <c r="J546" s="21">
        <v>644</v>
      </c>
      <c r="K546" s="39">
        <v>0</v>
      </c>
      <c r="L546" s="39">
        <v>0</v>
      </c>
      <c r="M546" s="21">
        <v>0</v>
      </c>
    </row>
    <row r="547" spans="1:13" ht="15">
      <c r="A547" s="18">
        <v>46190</v>
      </c>
      <c r="B547" s="19">
        <v>46191</v>
      </c>
      <c r="C547" s="21"/>
      <c r="D547" s="21">
        <v>0</v>
      </c>
      <c r="E547" s="21">
        <v>0</v>
      </c>
      <c r="F547" s="21">
        <v>0</v>
      </c>
      <c r="G547" s="21"/>
      <c r="H547" s="21" t="str">
        <f>IFERROR(VLOOKUP(G547,Basic_Data!$E$2:$I$9,5,0),"")</f>
        <v/>
      </c>
      <c r="I547" s="21">
        <v>644</v>
      </c>
      <c r="J547" s="21">
        <v>644</v>
      </c>
      <c r="K547" s="39">
        <v>0</v>
      </c>
      <c r="L547" s="39">
        <v>0</v>
      </c>
      <c r="M547" s="21">
        <v>0</v>
      </c>
    </row>
    <row r="548" spans="1:13" ht="15">
      <c r="A548" s="18">
        <v>46191</v>
      </c>
      <c r="B548" s="19">
        <v>46192</v>
      </c>
      <c r="C548" s="21"/>
      <c r="D548" s="21">
        <v>0</v>
      </c>
      <c r="E548" s="21">
        <v>0</v>
      </c>
      <c r="F548" s="21">
        <v>0</v>
      </c>
      <c r="G548" s="21"/>
      <c r="H548" s="21" t="str">
        <f>IFERROR(VLOOKUP(G548,Basic_Data!$E$2:$I$9,5,0),"")</f>
        <v/>
      </c>
      <c r="I548" s="21">
        <v>644</v>
      </c>
      <c r="J548" s="21">
        <v>644</v>
      </c>
      <c r="K548" s="39">
        <v>0</v>
      </c>
      <c r="L548" s="39">
        <v>0</v>
      </c>
      <c r="M548" s="21">
        <v>0</v>
      </c>
    </row>
    <row r="549" spans="1:13" ht="15">
      <c r="A549" s="18">
        <v>46192</v>
      </c>
      <c r="B549" s="19">
        <v>46193</v>
      </c>
      <c r="C549" s="21"/>
      <c r="D549" s="21">
        <v>0</v>
      </c>
      <c r="E549" s="21">
        <v>0</v>
      </c>
      <c r="F549" s="21">
        <v>0</v>
      </c>
      <c r="G549" s="21"/>
      <c r="H549" s="21" t="str">
        <f>IFERROR(VLOOKUP(G549,Basic_Data!$E$2:$I$9,5,0),"")</f>
        <v/>
      </c>
      <c r="I549" s="21">
        <v>644</v>
      </c>
      <c r="J549" s="21">
        <v>644</v>
      </c>
      <c r="K549" s="39">
        <v>0</v>
      </c>
      <c r="L549" s="39">
        <v>0</v>
      </c>
      <c r="M549" s="21">
        <v>0</v>
      </c>
    </row>
    <row r="550" spans="1:13" ht="15">
      <c r="A550" s="18">
        <v>46193</v>
      </c>
      <c r="B550" s="19">
        <v>46194</v>
      </c>
      <c r="C550" s="21"/>
      <c r="D550" s="21">
        <v>0</v>
      </c>
      <c r="E550" s="21">
        <v>0</v>
      </c>
      <c r="F550" s="21">
        <v>0</v>
      </c>
      <c r="G550" s="21"/>
      <c r="H550" s="21" t="str">
        <f>IFERROR(VLOOKUP(G550,Basic_Data!$E$2:$I$9,5,0),"")</f>
        <v/>
      </c>
      <c r="I550" s="21">
        <v>644</v>
      </c>
      <c r="J550" s="21">
        <v>644</v>
      </c>
      <c r="K550" s="39">
        <v>0</v>
      </c>
      <c r="L550" s="39">
        <v>0</v>
      </c>
      <c r="M550" s="21">
        <v>0</v>
      </c>
    </row>
    <row r="551" spans="1:13" ht="15">
      <c r="A551" s="18">
        <v>46194</v>
      </c>
      <c r="B551" s="19">
        <v>46195</v>
      </c>
      <c r="C551" s="21"/>
      <c r="D551" s="21">
        <v>0</v>
      </c>
      <c r="E551" s="21">
        <v>0</v>
      </c>
      <c r="F551" s="21">
        <v>0</v>
      </c>
      <c r="G551" s="21"/>
      <c r="H551" s="21" t="str">
        <f>IFERROR(VLOOKUP(G551,Basic_Data!$E$2:$I$9,5,0),"")</f>
        <v/>
      </c>
      <c r="I551" s="21">
        <v>644</v>
      </c>
      <c r="J551" s="21">
        <v>644</v>
      </c>
      <c r="K551" s="39">
        <v>0</v>
      </c>
      <c r="L551" s="39">
        <v>0</v>
      </c>
      <c r="M551" s="21">
        <v>0</v>
      </c>
    </row>
    <row r="552" spans="1:13" ht="15">
      <c r="A552" s="18">
        <v>46195</v>
      </c>
      <c r="B552" s="19">
        <v>46196</v>
      </c>
      <c r="C552" s="21"/>
      <c r="D552" s="21">
        <v>0</v>
      </c>
      <c r="E552" s="21">
        <v>0</v>
      </c>
      <c r="F552" s="21">
        <v>0</v>
      </c>
      <c r="G552" s="21"/>
      <c r="H552" s="21" t="str">
        <f>IFERROR(VLOOKUP(G552,Basic_Data!$E$2:$I$9,5,0),"")</f>
        <v/>
      </c>
      <c r="I552" s="21">
        <v>644</v>
      </c>
      <c r="J552" s="21">
        <v>644</v>
      </c>
      <c r="K552" s="39">
        <v>0</v>
      </c>
      <c r="L552" s="39">
        <v>0</v>
      </c>
      <c r="M552" s="21">
        <v>0</v>
      </c>
    </row>
    <row r="553" spans="1:13" ht="15">
      <c r="A553" s="18">
        <v>46196</v>
      </c>
      <c r="B553" s="19">
        <v>46197</v>
      </c>
      <c r="C553" s="21"/>
      <c r="D553" s="21">
        <v>0</v>
      </c>
      <c r="E553" s="21">
        <v>0</v>
      </c>
      <c r="F553" s="21">
        <v>0</v>
      </c>
      <c r="G553" s="21"/>
      <c r="H553" s="21" t="str">
        <f>IFERROR(VLOOKUP(G553,Basic_Data!$E$2:$I$9,5,0),"")</f>
        <v/>
      </c>
      <c r="I553" s="21">
        <v>644</v>
      </c>
      <c r="J553" s="21">
        <v>644</v>
      </c>
      <c r="K553" s="39">
        <v>0</v>
      </c>
      <c r="L553" s="39">
        <v>0</v>
      </c>
      <c r="M553" s="21">
        <v>0</v>
      </c>
    </row>
    <row r="554" spans="1:13" ht="15">
      <c r="A554" s="18">
        <v>46197</v>
      </c>
      <c r="B554" s="19">
        <v>46198</v>
      </c>
      <c r="C554" s="21"/>
      <c r="D554" s="21">
        <v>0</v>
      </c>
      <c r="E554" s="21">
        <v>0</v>
      </c>
      <c r="F554" s="21">
        <v>0</v>
      </c>
      <c r="G554" s="21"/>
      <c r="H554" s="21" t="str">
        <f>IFERROR(VLOOKUP(G554,Basic_Data!$E$2:$I$9,5,0),"")</f>
        <v/>
      </c>
      <c r="I554" s="21">
        <v>644</v>
      </c>
      <c r="J554" s="21">
        <v>644</v>
      </c>
      <c r="K554" s="39">
        <v>0</v>
      </c>
      <c r="L554" s="39">
        <v>0</v>
      </c>
      <c r="M554" s="21">
        <v>0</v>
      </c>
    </row>
    <row r="555" spans="1:13" ht="15">
      <c r="A555" s="18">
        <v>46198</v>
      </c>
      <c r="B555" s="19">
        <v>46199</v>
      </c>
      <c r="C555" s="21"/>
      <c r="D555" s="21">
        <v>0</v>
      </c>
      <c r="E555" s="21">
        <v>0</v>
      </c>
      <c r="F555" s="21">
        <v>0</v>
      </c>
      <c r="G555" s="21"/>
      <c r="H555" s="21" t="str">
        <f>IFERROR(VLOOKUP(G555,Basic_Data!$E$2:$I$9,5,0),"")</f>
        <v/>
      </c>
      <c r="I555" s="21">
        <v>644</v>
      </c>
      <c r="J555" s="21">
        <v>644</v>
      </c>
      <c r="K555" s="39">
        <v>0</v>
      </c>
      <c r="L555" s="39">
        <v>0</v>
      </c>
      <c r="M555" s="21">
        <v>0</v>
      </c>
    </row>
    <row r="556" spans="1:13" ht="15">
      <c r="A556" s="18">
        <v>46199</v>
      </c>
      <c r="B556" s="19">
        <v>46200</v>
      </c>
      <c r="C556" s="21"/>
      <c r="D556" s="21">
        <v>0</v>
      </c>
      <c r="E556" s="21">
        <v>0</v>
      </c>
      <c r="F556" s="21">
        <v>0</v>
      </c>
      <c r="G556" s="21"/>
      <c r="H556" s="21" t="str">
        <f>IFERROR(VLOOKUP(G556,Basic_Data!$E$2:$I$9,5,0),"")</f>
        <v/>
      </c>
      <c r="I556" s="21">
        <v>644</v>
      </c>
      <c r="J556" s="21">
        <v>644</v>
      </c>
      <c r="K556" s="39">
        <v>0</v>
      </c>
      <c r="L556" s="39">
        <v>0</v>
      </c>
      <c r="M556" s="21">
        <v>0</v>
      </c>
    </row>
    <row r="557" spans="1:13" ht="15">
      <c r="A557" s="18">
        <v>46200</v>
      </c>
      <c r="B557" s="19">
        <v>46201</v>
      </c>
      <c r="C557" s="21"/>
      <c r="D557" s="21">
        <v>0</v>
      </c>
      <c r="E557" s="21">
        <v>0</v>
      </c>
      <c r="F557" s="21">
        <v>0</v>
      </c>
      <c r="G557" s="21"/>
      <c r="H557" s="21" t="str">
        <f>IFERROR(VLOOKUP(G557,Basic_Data!$E$2:$I$9,5,0),"")</f>
        <v/>
      </c>
      <c r="I557" s="21">
        <v>644</v>
      </c>
      <c r="J557" s="21">
        <v>644</v>
      </c>
      <c r="K557" s="39">
        <v>0</v>
      </c>
      <c r="L557" s="39">
        <v>0</v>
      </c>
      <c r="M557" s="21">
        <v>0</v>
      </c>
    </row>
    <row r="558" spans="1:13" ht="15">
      <c r="A558" s="18">
        <v>46201</v>
      </c>
      <c r="B558" s="19">
        <v>46202</v>
      </c>
      <c r="C558" s="21"/>
      <c r="D558" s="21">
        <v>0</v>
      </c>
      <c r="E558" s="21">
        <v>0</v>
      </c>
      <c r="F558" s="21">
        <v>0</v>
      </c>
      <c r="G558" s="21"/>
      <c r="H558" s="21" t="str">
        <f>IFERROR(VLOOKUP(G558,Basic_Data!$E$2:$I$9,5,0),"")</f>
        <v/>
      </c>
      <c r="I558" s="21">
        <v>644</v>
      </c>
      <c r="J558" s="21">
        <v>644</v>
      </c>
      <c r="K558" s="39">
        <v>0</v>
      </c>
      <c r="L558" s="39">
        <v>0</v>
      </c>
      <c r="M558" s="21">
        <v>0</v>
      </c>
    </row>
    <row r="559" spans="1:13" ht="15">
      <c r="A559" s="18">
        <v>46202</v>
      </c>
      <c r="B559" s="19">
        <v>46203</v>
      </c>
      <c r="C559" s="21"/>
      <c r="D559" s="21">
        <v>0</v>
      </c>
      <c r="E559" s="21">
        <v>0</v>
      </c>
      <c r="F559" s="21">
        <v>0</v>
      </c>
      <c r="G559" s="21"/>
      <c r="H559" s="21" t="str">
        <f>IFERROR(VLOOKUP(G559,Basic_Data!$E$2:$I$9,5,0),"")</f>
        <v/>
      </c>
      <c r="I559" s="21">
        <v>644</v>
      </c>
      <c r="J559" s="21">
        <v>644</v>
      </c>
      <c r="K559" s="39">
        <v>0</v>
      </c>
      <c r="L559" s="39">
        <v>0</v>
      </c>
      <c r="M559" s="21">
        <v>0</v>
      </c>
    </row>
    <row r="560" spans="1:13" ht="15">
      <c r="A560" s="18">
        <v>46203</v>
      </c>
      <c r="B560" s="19">
        <v>46204</v>
      </c>
      <c r="C560" s="21"/>
      <c r="D560" s="21">
        <v>0</v>
      </c>
      <c r="E560" s="21">
        <v>0</v>
      </c>
      <c r="F560" s="21">
        <v>0</v>
      </c>
      <c r="G560" s="21"/>
      <c r="H560" s="21" t="str">
        <f>IFERROR(VLOOKUP(G560,Basic_Data!$E$2:$I$9,5,0),"")</f>
        <v/>
      </c>
      <c r="I560" s="21">
        <v>644</v>
      </c>
      <c r="J560" s="21">
        <v>644</v>
      </c>
      <c r="K560" s="39">
        <v>0</v>
      </c>
      <c r="L560" s="39">
        <v>0</v>
      </c>
      <c r="M560" s="21">
        <v>0</v>
      </c>
    </row>
    <row r="561" spans="1:13" ht="15">
      <c r="A561" s="18">
        <v>46204</v>
      </c>
      <c r="B561" s="19">
        <v>46205</v>
      </c>
      <c r="C561" s="21"/>
      <c r="D561" s="21">
        <v>0</v>
      </c>
      <c r="E561" s="21">
        <v>0</v>
      </c>
      <c r="F561" s="21">
        <v>0</v>
      </c>
      <c r="G561" s="21"/>
      <c r="H561" s="21" t="str">
        <f>IFERROR(VLOOKUP(G561,Basic_Data!$E$2:$I$9,5,0),"")</f>
        <v/>
      </c>
      <c r="I561" s="21">
        <v>644</v>
      </c>
      <c r="J561" s="21">
        <v>644</v>
      </c>
      <c r="K561" s="39">
        <v>0</v>
      </c>
      <c r="L561" s="39">
        <v>0</v>
      </c>
      <c r="M561" s="21">
        <v>0</v>
      </c>
    </row>
    <row r="562" spans="1:13" ht="15">
      <c r="A562" s="18">
        <v>46205</v>
      </c>
      <c r="B562" s="19">
        <v>46206</v>
      </c>
      <c r="C562" s="21"/>
      <c r="D562" s="21">
        <v>0</v>
      </c>
      <c r="E562" s="21">
        <v>0</v>
      </c>
      <c r="F562" s="21">
        <v>0</v>
      </c>
      <c r="G562" s="21"/>
      <c r="H562" s="21" t="str">
        <f>IFERROR(VLOOKUP(G562,Basic_Data!$E$2:$I$9,5,0),"")</f>
        <v/>
      </c>
      <c r="I562" s="21">
        <v>644</v>
      </c>
      <c r="J562" s="21">
        <v>644</v>
      </c>
      <c r="K562" s="39">
        <v>0</v>
      </c>
      <c r="L562" s="39">
        <v>0</v>
      </c>
      <c r="M562" s="21">
        <v>0</v>
      </c>
    </row>
    <row r="563" spans="1:13" ht="15">
      <c r="A563" s="18">
        <v>46206</v>
      </c>
      <c r="B563" s="19">
        <v>46207</v>
      </c>
      <c r="C563" s="21"/>
      <c r="D563" s="21">
        <v>0</v>
      </c>
      <c r="E563" s="21">
        <v>0</v>
      </c>
      <c r="F563" s="21">
        <v>0</v>
      </c>
      <c r="G563" s="21"/>
      <c r="H563" s="21" t="str">
        <f>IFERROR(VLOOKUP(G563,Basic_Data!$E$2:$I$9,5,0),"")</f>
        <v/>
      </c>
      <c r="I563" s="21">
        <v>644</v>
      </c>
      <c r="J563" s="21">
        <v>644</v>
      </c>
      <c r="K563" s="39">
        <v>0</v>
      </c>
      <c r="L563" s="39">
        <v>0</v>
      </c>
      <c r="M563" s="21">
        <v>0</v>
      </c>
    </row>
    <row r="564" spans="1:13" ht="15">
      <c r="A564" s="18">
        <v>46207</v>
      </c>
      <c r="B564" s="19">
        <v>46208</v>
      </c>
      <c r="C564" s="21"/>
      <c r="D564" s="21">
        <v>0</v>
      </c>
      <c r="E564" s="21">
        <v>0</v>
      </c>
      <c r="F564" s="21">
        <v>0</v>
      </c>
      <c r="G564" s="21"/>
      <c r="H564" s="21" t="str">
        <f>IFERROR(VLOOKUP(G564,Basic_Data!$E$2:$I$9,5,0),"")</f>
        <v/>
      </c>
      <c r="I564" s="21">
        <v>644</v>
      </c>
      <c r="J564" s="21">
        <v>644</v>
      </c>
      <c r="K564" s="39">
        <v>0</v>
      </c>
      <c r="L564" s="39">
        <v>0</v>
      </c>
      <c r="M564" s="21">
        <v>0</v>
      </c>
    </row>
    <row r="565" spans="1:13" ht="15">
      <c r="A565" s="18">
        <v>46208</v>
      </c>
      <c r="B565" s="19">
        <v>46209</v>
      </c>
      <c r="C565" s="21"/>
      <c r="D565" s="21">
        <v>0</v>
      </c>
      <c r="E565" s="21">
        <v>0</v>
      </c>
      <c r="F565" s="21">
        <v>0</v>
      </c>
      <c r="G565" s="21"/>
      <c r="H565" s="21" t="str">
        <f>IFERROR(VLOOKUP(G565,Basic_Data!$E$2:$I$9,5,0),"")</f>
        <v/>
      </c>
      <c r="I565" s="21">
        <v>644</v>
      </c>
      <c r="J565" s="21">
        <v>644</v>
      </c>
      <c r="K565" s="39">
        <v>0</v>
      </c>
      <c r="L565" s="39">
        <v>0</v>
      </c>
      <c r="M565" s="21">
        <v>0</v>
      </c>
    </row>
    <row r="566" spans="1:13" ht="15">
      <c r="A566" s="18">
        <v>46209</v>
      </c>
      <c r="B566" s="19">
        <v>46210</v>
      </c>
      <c r="C566" s="21"/>
      <c r="D566" s="21">
        <v>0</v>
      </c>
      <c r="E566" s="21">
        <v>0</v>
      </c>
      <c r="F566" s="21">
        <v>0</v>
      </c>
      <c r="G566" s="21"/>
      <c r="H566" s="21" t="str">
        <f>IFERROR(VLOOKUP(G566,Basic_Data!$E$2:$I$9,5,0),"")</f>
        <v/>
      </c>
      <c r="I566" s="21">
        <v>644</v>
      </c>
      <c r="J566" s="21">
        <v>644</v>
      </c>
      <c r="K566" s="39">
        <v>0</v>
      </c>
      <c r="L566" s="39">
        <v>0</v>
      </c>
      <c r="M566" s="21">
        <v>0</v>
      </c>
    </row>
    <row r="567" spans="1:13" ht="15">
      <c r="A567" s="18">
        <v>46210</v>
      </c>
      <c r="B567" s="19">
        <v>46211</v>
      </c>
      <c r="C567" s="21"/>
      <c r="D567" s="21">
        <v>0</v>
      </c>
      <c r="E567" s="21">
        <v>0</v>
      </c>
      <c r="F567" s="21">
        <v>0</v>
      </c>
      <c r="G567" s="21"/>
      <c r="H567" s="21" t="str">
        <f>IFERROR(VLOOKUP(G567,Basic_Data!$E$2:$I$9,5,0),"")</f>
        <v/>
      </c>
      <c r="I567" s="21">
        <v>644</v>
      </c>
      <c r="J567" s="21">
        <v>644</v>
      </c>
      <c r="K567" s="39">
        <v>0</v>
      </c>
      <c r="L567" s="39">
        <v>0</v>
      </c>
      <c r="M567" s="21">
        <v>0</v>
      </c>
    </row>
    <row r="568" spans="1:13" ht="15">
      <c r="A568" s="18">
        <v>46211</v>
      </c>
      <c r="B568" s="19">
        <v>46212</v>
      </c>
      <c r="C568" s="21"/>
      <c r="D568" s="21">
        <v>0</v>
      </c>
      <c r="E568" s="21">
        <v>0</v>
      </c>
      <c r="F568" s="21">
        <v>0</v>
      </c>
      <c r="G568" s="21"/>
      <c r="H568" s="21" t="str">
        <f>IFERROR(VLOOKUP(G568,Basic_Data!$E$2:$I$9,5,0),"")</f>
        <v/>
      </c>
      <c r="I568" s="21">
        <v>644</v>
      </c>
      <c r="J568" s="21">
        <v>644</v>
      </c>
      <c r="K568" s="39">
        <v>0</v>
      </c>
      <c r="L568" s="39">
        <v>0</v>
      </c>
      <c r="M568" s="21">
        <v>0</v>
      </c>
    </row>
    <row r="569" spans="1:13" ht="15">
      <c r="A569" s="18">
        <v>46212</v>
      </c>
      <c r="B569" s="19">
        <v>46213</v>
      </c>
      <c r="C569" s="21"/>
      <c r="D569" s="21">
        <v>0</v>
      </c>
      <c r="E569" s="21">
        <v>0</v>
      </c>
      <c r="F569" s="21">
        <v>0</v>
      </c>
      <c r="G569" s="21"/>
      <c r="H569" s="21" t="str">
        <f>IFERROR(VLOOKUP(G569,Basic_Data!$E$2:$I$9,5,0),"")</f>
        <v/>
      </c>
      <c r="I569" s="21">
        <v>644</v>
      </c>
      <c r="J569" s="21">
        <v>644</v>
      </c>
      <c r="K569" s="39">
        <v>0</v>
      </c>
      <c r="L569" s="39">
        <v>0</v>
      </c>
      <c r="M569" s="21">
        <v>0</v>
      </c>
    </row>
    <row r="570" spans="1:13" ht="15">
      <c r="A570" s="18">
        <v>46213</v>
      </c>
      <c r="B570" s="19">
        <v>46214</v>
      </c>
      <c r="C570" s="21"/>
      <c r="D570" s="21">
        <v>0</v>
      </c>
      <c r="E570" s="21">
        <v>0</v>
      </c>
      <c r="F570" s="21">
        <v>0</v>
      </c>
      <c r="G570" s="21"/>
      <c r="H570" s="21" t="str">
        <f>IFERROR(VLOOKUP(G570,Basic_Data!$E$2:$I$9,5,0),"")</f>
        <v/>
      </c>
      <c r="I570" s="21">
        <v>644</v>
      </c>
      <c r="J570" s="21">
        <v>644</v>
      </c>
      <c r="K570" s="39">
        <v>0</v>
      </c>
      <c r="L570" s="39">
        <v>0</v>
      </c>
      <c r="M570" s="21">
        <v>0</v>
      </c>
    </row>
    <row r="571" spans="1:13" ht="15">
      <c r="A571" s="18">
        <v>46214</v>
      </c>
      <c r="B571" s="19">
        <v>46215</v>
      </c>
      <c r="C571" s="21"/>
      <c r="D571" s="21">
        <v>0</v>
      </c>
      <c r="E571" s="21">
        <v>0</v>
      </c>
      <c r="F571" s="21">
        <v>0</v>
      </c>
      <c r="G571" s="21"/>
      <c r="H571" s="21" t="str">
        <f>IFERROR(VLOOKUP(G571,Basic_Data!$E$2:$I$9,5,0),"")</f>
        <v/>
      </c>
      <c r="I571" s="21">
        <v>644</v>
      </c>
      <c r="J571" s="21">
        <v>644</v>
      </c>
      <c r="K571" s="39">
        <v>0</v>
      </c>
      <c r="L571" s="39">
        <v>0</v>
      </c>
      <c r="M571" s="21">
        <v>0</v>
      </c>
    </row>
    <row r="572" spans="1:13" ht="15">
      <c r="A572" s="18">
        <v>46215</v>
      </c>
      <c r="B572" s="19">
        <v>46216</v>
      </c>
      <c r="C572" s="21"/>
      <c r="D572" s="21">
        <v>0</v>
      </c>
      <c r="E572" s="21">
        <v>0</v>
      </c>
      <c r="F572" s="21">
        <v>0</v>
      </c>
      <c r="G572" s="21"/>
      <c r="H572" s="21" t="str">
        <f>IFERROR(VLOOKUP(G572,Basic_Data!$E$2:$I$9,5,0),"")</f>
        <v/>
      </c>
      <c r="I572" s="21">
        <v>644</v>
      </c>
      <c r="J572" s="21">
        <v>644</v>
      </c>
      <c r="K572" s="39">
        <v>0</v>
      </c>
      <c r="L572" s="39">
        <v>0</v>
      </c>
      <c r="M572" s="21">
        <v>0</v>
      </c>
    </row>
    <row r="573" spans="1:13" ht="15">
      <c r="A573" s="18">
        <v>46216</v>
      </c>
      <c r="B573" s="19">
        <v>46217</v>
      </c>
      <c r="C573" s="21"/>
      <c r="D573" s="21">
        <v>0</v>
      </c>
      <c r="E573" s="21">
        <v>0</v>
      </c>
      <c r="F573" s="21">
        <v>0</v>
      </c>
      <c r="G573" s="21"/>
      <c r="H573" s="21" t="str">
        <f>IFERROR(VLOOKUP(G573,Basic_Data!$E$2:$I$9,5,0),"")</f>
        <v/>
      </c>
      <c r="I573" s="21">
        <v>644</v>
      </c>
      <c r="J573" s="21">
        <v>644</v>
      </c>
      <c r="K573" s="39">
        <v>0</v>
      </c>
      <c r="L573" s="39">
        <v>0</v>
      </c>
      <c r="M573" s="21">
        <v>0</v>
      </c>
    </row>
    <row r="574" spans="1:13" ht="15">
      <c r="A574" s="18">
        <v>46217</v>
      </c>
      <c r="B574" s="19">
        <v>46218</v>
      </c>
      <c r="C574" s="21"/>
      <c r="D574" s="21">
        <v>0</v>
      </c>
      <c r="E574" s="21">
        <v>0</v>
      </c>
      <c r="F574" s="21">
        <v>0</v>
      </c>
      <c r="G574" s="21"/>
      <c r="H574" s="21" t="str">
        <f>IFERROR(VLOOKUP(G574,Basic_Data!$E$2:$I$9,5,0),"")</f>
        <v/>
      </c>
      <c r="I574" s="21">
        <v>644</v>
      </c>
      <c r="J574" s="21">
        <v>644</v>
      </c>
      <c r="K574" s="39">
        <v>0</v>
      </c>
      <c r="L574" s="39">
        <v>0</v>
      </c>
      <c r="M574" s="21">
        <v>0</v>
      </c>
    </row>
    <row r="575" spans="1:13" ht="15">
      <c r="A575" s="18">
        <v>46218</v>
      </c>
      <c r="B575" s="19">
        <v>46219</v>
      </c>
      <c r="C575" s="21"/>
      <c r="D575" s="21">
        <v>0</v>
      </c>
      <c r="E575" s="21">
        <v>0</v>
      </c>
      <c r="F575" s="21">
        <v>0</v>
      </c>
      <c r="G575" s="21"/>
      <c r="H575" s="21" t="str">
        <f>IFERROR(VLOOKUP(G575,Basic_Data!$E$2:$I$9,5,0),"")</f>
        <v/>
      </c>
      <c r="I575" s="21">
        <v>644</v>
      </c>
      <c r="J575" s="21">
        <v>644</v>
      </c>
      <c r="K575" s="39">
        <v>0</v>
      </c>
      <c r="L575" s="39">
        <v>0</v>
      </c>
      <c r="M575" s="21">
        <v>0</v>
      </c>
    </row>
    <row r="576" spans="1:13" ht="15">
      <c r="A576" s="18">
        <v>46219</v>
      </c>
      <c r="B576" s="19">
        <v>46220</v>
      </c>
      <c r="C576" s="21"/>
      <c r="D576" s="21">
        <v>0</v>
      </c>
      <c r="E576" s="21">
        <v>0</v>
      </c>
      <c r="F576" s="21">
        <v>0</v>
      </c>
      <c r="G576" s="21"/>
      <c r="H576" s="21" t="str">
        <f>IFERROR(VLOOKUP(G576,Basic_Data!$E$2:$I$9,5,0),"")</f>
        <v/>
      </c>
      <c r="I576" s="21">
        <v>644</v>
      </c>
      <c r="J576" s="21">
        <v>644</v>
      </c>
      <c r="K576" s="39">
        <v>0</v>
      </c>
      <c r="L576" s="39">
        <v>0</v>
      </c>
      <c r="M576" s="21">
        <v>0</v>
      </c>
    </row>
    <row r="577" spans="1:13" ht="15">
      <c r="A577" s="18">
        <v>46220</v>
      </c>
      <c r="B577" s="19">
        <v>46221</v>
      </c>
      <c r="C577" s="21"/>
      <c r="D577" s="21">
        <v>0</v>
      </c>
      <c r="E577" s="21">
        <v>0</v>
      </c>
      <c r="F577" s="21">
        <v>0</v>
      </c>
      <c r="G577" s="21"/>
      <c r="H577" s="21" t="str">
        <f>IFERROR(VLOOKUP(G577,Basic_Data!$E$2:$I$9,5,0),"")</f>
        <v/>
      </c>
      <c r="I577" s="21">
        <v>644</v>
      </c>
      <c r="J577" s="21">
        <v>644</v>
      </c>
      <c r="K577" s="39">
        <v>0</v>
      </c>
      <c r="L577" s="39">
        <v>0</v>
      </c>
      <c r="M577" s="21">
        <v>0</v>
      </c>
    </row>
    <row r="578" spans="1:13" ht="15">
      <c r="A578" s="18">
        <v>46221</v>
      </c>
      <c r="B578" s="19">
        <v>46222</v>
      </c>
      <c r="C578" s="21"/>
      <c r="D578" s="21">
        <v>0</v>
      </c>
      <c r="E578" s="21">
        <v>0</v>
      </c>
      <c r="F578" s="21">
        <v>0</v>
      </c>
      <c r="G578" s="21"/>
      <c r="H578" s="21" t="str">
        <f>IFERROR(VLOOKUP(G578,Basic_Data!$E$2:$I$9,5,0),"")</f>
        <v/>
      </c>
      <c r="I578" s="21">
        <v>644</v>
      </c>
      <c r="J578" s="21">
        <v>644</v>
      </c>
      <c r="K578" s="39">
        <v>0</v>
      </c>
      <c r="L578" s="39">
        <v>0</v>
      </c>
      <c r="M578" s="21">
        <v>0</v>
      </c>
    </row>
    <row r="579" spans="1:13" ht="15">
      <c r="A579" s="18">
        <v>46222</v>
      </c>
      <c r="B579" s="19">
        <v>46223</v>
      </c>
      <c r="C579" s="21"/>
      <c r="D579" s="21">
        <v>0</v>
      </c>
      <c r="E579" s="21">
        <v>0</v>
      </c>
      <c r="F579" s="21">
        <v>0</v>
      </c>
      <c r="G579" s="21"/>
      <c r="H579" s="21" t="str">
        <f>IFERROR(VLOOKUP(G579,Basic_Data!$E$2:$I$9,5,0),"")</f>
        <v/>
      </c>
      <c r="I579" s="21">
        <v>644</v>
      </c>
      <c r="J579" s="21">
        <v>644</v>
      </c>
      <c r="K579" s="39">
        <v>0</v>
      </c>
      <c r="L579" s="39">
        <v>0</v>
      </c>
      <c r="M579" s="21">
        <v>0</v>
      </c>
    </row>
    <row r="580" spans="1:13" ht="15">
      <c r="A580" s="18">
        <v>46223</v>
      </c>
      <c r="B580" s="19">
        <v>46224</v>
      </c>
      <c r="C580" s="21"/>
      <c r="D580" s="21">
        <v>0</v>
      </c>
      <c r="E580" s="21">
        <v>0</v>
      </c>
      <c r="F580" s="21">
        <v>0</v>
      </c>
      <c r="G580" s="21"/>
      <c r="H580" s="21" t="str">
        <f>IFERROR(VLOOKUP(G580,Basic_Data!$E$2:$I$9,5,0),"")</f>
        <v/>
      </c>
      <c r="I580" s="21">
        <v>644</v>
      </c>
      <c r="J580" s="21">
        <v>644</v>
      </c>
      <c r="K580" s="39">
        <v>0</v>
      </c>
      <c r="L580" s="39">
        <v>0</v>
      </c>
      <c r="M580" s="21">
        <v>0</v>
      </c>
    </row>
    <row r="581" spans="1:13" ht="15">
      <c r="A581" s="18">
        <v>46224</v>
      </c>
      <c r="B581" s="19">
        <v>46225</v>
      </c>
      <c r="C581" s="21"/>
      <c r="D581" s="21">
        <v>0</v>
      </c>
      <c r="E581" s="21">
        <v>0</v>
      </c>
      <c r="F581" s="21">
        <v>0</v>
      </c>
      <c r="G581" s="21"/>
      <c r="H581" s="21" t="str">
        <f>IFERROR(VLOOKUP(G581,Basic_Data!$E$2:$I$9,5,0),"")</f>
        <v/>
      </c>
      <c r="I581" s="21">
        <v>644</v>
      </c>
      <c r="J581" s="21">
        <v>644</v>
      </c>
      <c r="K581" s="39">
        <v>0</v>
      </c>
      <c r="L581" s="39">
        <v>0</v>
      </c>
      <c r="M581" s="21">
        <v>0</v>
      </c>
    </row>
    <row r="582" spans="1:13" ht="15">
      <c r="A582" s="18">
        <v>46225</v>
      </c>
      <c r="B582" s="19">
        <v>46226</v>
      </c>
      <c r="C582" s="21"/>
      <c r="D582" s="21">
        <v>0</v>
      </c>
      <c r="E582" s="21">
        <v>0</v>
      </c>
      <c r="F582" s="21">
        <v>0</v>
      </c>
      <c r="G582" s="21"/>
      <c r="H582" s="21" t="str">
        <f>IFERROR(VLOOKUP(G582,Basic_Data!$E$2:$I$9,5,0),"")</f>
        <v/>
      </c>
      <c r="I582" s="21">
        <v>644</v>
      </c>
      <c r="J582" s="21">
        <v>644</v>
      </c>
      <c r="K582" s="39">
        <v>0</v>
      </c>
      <c r="L582" s="39">
        <v>0</v>
      </c>
      <c r="M582" s="21">
        <v>0</v>
      </c>
    </row>
    <row r="583" spans="1:13" ht="15">
      <c r="A583" s="18">
        <v>46226</v>
      </c>
      <c r="B583" s="19">
        <v>46227</v>
      </c>
      <c r="C583" s="21"/>
      <c r="D583" s="21">
        <v>0</v>
      </c>
      <c r="E583" s="21">
        <v>0</v>
      </c>
      <c r="F583" s="21">
        <v>0</v>
      </c>
      <c r="G583" s="21"/>
      <c r="H583" s="21" t="str">
        <f>IFERROR(VLOOKUP(G583,Basic_Data!$E$2:$I$9,5,0),"")</f>
        <v/>
      </c>
      <c r="I583" s="21">
        <v>644</v>
      </c>
      <c r="J583" s="21">
        <v>644</v>
      </c>
      <c r="K583" s="39">
        <v>0</v>
      </c>
      <c r="L583" s="39">
        <v>0</v>
      </c>
      <c r="M583" s="21">
        <v>0</v>
      </c>
    </row>
    <row r="584" spans="1:13" ht="15">
      <c r="A584" s="18">
        <v>46227</v>
      </c>
      <c r="B584" s="19">
        <v>46228</v>
      </c>
      <c r="C584" s="21"/>
      <c r="D584" s="21">
        <v>0</v>
      </c>
      <c r="E584" s="21">
        <v>0</v>
      </c>
      <c r="F584" s="21">
        <v>0</v>
      </c>
      <c r="G584" s="21"/>
      <c r="H584" s="21" t="str">
        <f>IFERROR(VLOOKUP(G584,Basic_Data!$E$2:$I$9,5,0),"")</f>
        <v/>
      </c>
      <c r="I584" s="21">
        <v>644</v>
      </c>
      <c r="J584" s="21">
        <v>644</v>
      </c>
      <c r="K584" s="39">
        <v>0</v>
      </c>
      <c r="L584" s="39">
        <v>0</v>
      </c>
      <c r="M584" s="21">
        <v>0</v>
      </c>
    </row>
    <row r="585" spans="1:13" ht="15">
      <c r="A585" s="18">
        <v>46228</v>
      </c>
      <c r="B585" s="19">
        <v>46229</v>
      </c>
      <c r="C585" s="21"/>
      <c r="D585" s="21">
        <v>0</v>
      </c>
      <c r="E585" s="21">
        <v>0</v>
      </c>
      <c r="F585" s="21">
        <v>0</v>
      </c>
      <c r="G585" s="21"/>
      <c r="H585" s="21" t="str">
        <f>IFERROR(VLOOKUP(G585,Basic_Data!$E$2:$I$9,5,0),"")</f>
        <v/>
      </c>
      <c r="I585" s="21">
        <v>644</v>
      </c>
      <c r="J585" s="21">
        <v>644</v>
      </c>
      <c r="K585" s="39">
        <v>0</v>
      </c>
      <c r="L585" s="39">
        <v>0</v>
      </c>
      <c r="M585" s="21">
        <v>0</v>
      </c>
    </row>
    <row r="586" spans="1:13" ht="15">
      <c r="A586" s="18">
        <v>46229</v>
      </c>
      <c r="B586" s="19">
        <v>46230</v>
      </c>
      <c r="C586" s="21"/>
      <c r="D586" s="21">
        <v>0</v>
      </c>
      <c r="E586" s="21">
        <v>0</v>
      </c>
      <c r="F586" s="21">
        <v>0</v>
      </c>
      <c r="G586" s="21"/>
      <c r="H586" s="21" t="str">
        <f>IFERROR(VLOOKUP(G586,Basic_Data!$E$2:$I$9,5,0),"")</f>
        <v/>
      </c>
      <c r="I586" s="21">
        <v>644</v>
      </c>
      <c r="J586" s="21">
        <v>644</v>
      </c>
      <c r="K586" s="39">
        <v>0</v>
      </c>
      <c r="L586" s="39">
        <v>0</v>
      </c>
      <c r="M586" s="21">
        <v>0</v>
      </c>
    </row>
    <row r="587" spans="1:13" ht="15">
      <c r="A587" s="18">
        <v>46230</v>
      </c>
      <c r="B587" s="19">
        <v>46231</v>
      </c>
      <c r="C587" s="21"/>
      <c r="D587" s="21">
        <v>0</v>
      </c>
      <c r="E587" s="21">
        <v>0</v>
      </c>
      <c r="F587" s="21">
        <v>0</v>
      </c>
      <c r="G587" s="21"/>
      <c r="H587" s="21" t="str">
        <f>IFERROR(VLOOKUP(G587,Basic_Data!$E$2:$I$9,5,0),"")</f>
        <v/>
      </c>
      <c r="I587" s="21">
        <v>644</v>
      </c>
      <c r="J587" s="21">
        <v>644</v>
      </c>
      <c r="K587" s="39">
        <v>0</v>
      </c>
      <c r="L587" s="39">
        <v>0</v>
      </c>
      <c r="M587" s="21">
        <v>0</v>
      </c>
    </row>
    <row r="588" spans="1:13" ht="15">
      <c r="A588" s="18">
        <v>46231</v>
      </c>
      <c r="B588" s="19">
        <v>46232</v>
      </c>
      <c r="C588" s="21"/>
      <c r="D588" s="21">
        <v>0</v>
      </c>
      <c r="E588" s="21">
        <v>0</v>
      </c>
      <c r="F588" s="21">
        <v>0</v>
      </c>
      <c r="G588" s="21"/>
      <c r="H588" s="21" t="str">
        <f>IFERROR(VLOOKUP(G588,Basic_Data!$E$2:$I$9,5,0),"")</f>
        <v/>
      </c>
      <c r="I588" s="21">
        <v>644</v>
      </c>
      <c r="J588" s="21">
        <v>644</v>
      </c>
      <c r="K588" s="39">
        <v>0</v>
      </c>
      <c r="L588" s="39">
        <v>0</v>
      </c>
      <c r="M588" s="21">
        <v>0</v>
      </c>
    </row>
    <row r="589" spans="1:13" ht="15">
      <c r="A589" s="18">
        <v>46232</v>
      </c>
      <c r="B589" s="19">
        <v>46233</v>
      </c>
      <c r="C589" s="21"/>
      <c r="D589" s="21">
        <v>0</v>
      </c>
      <c r="E589" s="21">
        <v>0</v>
      </c>
      <c r="F589" s="21">
        <v>0</v>
      </c>
      <c r="G589" s="21"/>
      <c r="H589" s="21" t="str">
        <f>IFERROR(VLOOKUP(G589,Basic_Data!$E$2:$I$9,5,0),"")</f>
        <v/>
      </c>
      <c r="I589" s="21">
        <v>644</v>
      </c>
      <c r="J589" s="21">
        <v>644</v>
      </c>
      <c r="K589" s="39">
        <v>0</v>
      </c>
      <c r="L589" s="39">
        <v>0</v>
      </c>
      <c r="M589" s="21">
        <v>0</v>
      </c>
    </row>
    <row r="590" spans="1:13" ht="15">
      <c r="A590" s="18">
        <v>46233</v>
      </c>
      <c r="B590" s="19">
        <v>46234</v>
      </c>
      <c r="C590" s="21"/>
      <c r="D590" s="21">
        <v>0</v>
      </c>
      <c r="E590" s="21">
        <v>0</v>
      </c>
      <c r="F590" s="21">
        <v>0</v>
      </c>
      <c r="G590" s="21"/>
      <c r="H590" s="21" t="str">
        <f>IFERROR(VLOOKUP(G590,Basic_Data!$E$2:$I$9,5,0),"")</f>
        <v/>
      </c>
      <c r="I590" s="21">
        <v>644</v>
      </c>
      <c r="J590" s="21">
        <v>644</v>
      </c>
      <c r="K590" s="39">
        <v>0</v>
      </c>
      <c r="L590" s="39">
        <v>0</v>
      </c>
      <c r="M590" s="21">
        <v>0</v>
      </c>
    </row>
    <row r="591" spans="1:13" ht="15">
      <c r="A591" s="18">
        <v>46234</v>
      </c>
      <c r="B591" s="19">
        <v>46235</v>
      </c>
      <c r="C591" s="21"/>
      <c r="D591" s="21">
        <v>0</v>
      </c>
      <c r="E591" s="21">
        <v>0</v>
      </c>
      <c r="F591" s="21">
        <v>0</v>
      </c>
      <c r="G591" s="21"/>
      <c r="H591" s="21" t="str">
        <f>IFERROR(VLOOKUP(G591,Basic_Data!$E$2:$I$9,5,0),"")</f>
        <v/>
      </c>
      <c r="I591" s="21">
        <v>644</v>
      </c>
      <c r="J591" s="21">
        <v>644</v>
      </c>
      <c r="K591" s="39">
        <v>0</v>
      </c>
      <c r="L591" s="39">
        <v>0</v>
      </c>
      <c r="M591" s="21">
        <v>0</v>
      </c>
    </row>
    <row r="592" spans="1:13" ht="15">
      <c r="A592" s="18">
        <v>46235</v>
      </c>
      <c r="B592" s="19">
        <v>46236</v>
      </c>
      <c r="C592" s="21"/>
      <c r="D592" s="21">
        <v>0</v>
      </c>
      <c r="E592" s="21">
        <v>0</v>
      </c>
      <c r="F592" s="21">
        <v>0</v>
      </c>
      <c r="G592" s="21"/>
      <c r="H592" s="21" t="str">
        <f>IFERROR(VLOOKUP(G592,Basic_Data!$E$2:$I$9,5,0),"")</f>
        <v/>
      </c>
      <c r="I592" s="21">
        <v>644</v>
      </c>
      <c r="J592" s="21">
        <v>644</v>
      </c>
      <c r="K592" s="39">
        <v>0</v>
      </c>
      <c r="L592" s="39">
        <v>0</v>
      </c>
      <c r="M592" s="21">
        <v>0</v>
      </c>
    </row>
    <row r="593" spans="1:13" ht="15">
      <c r="A593" s="18">
        <v>46236</v>
      </c>
      <c r="B593" s="19">
        <v>46237</v>
      </c>
      <c r="C593" s="21"/>
      <c r="D593" s="21">
        <v>0</v>
      </c>
      <c r="E593" s="21">
        <v>0</v>
      </c>
      <c r="F593" s="21">
        <v>0</v>
      </c>
      <c r="G593" s="21"/>
      <c r="H593" s="21" t="str">
        <f>IFERROR(VLOOKUP(G593,Basic_Data!$E$2:$I$9,5,0),"")</f>
        <v/>
      </c>
      <c r="I593" s="21">
        <v>644</v>
      </c>
      <c r="J593" s="21">
        <v>644</v>
      </c>
      <c r="K593" s="39">
        <v>0</v>
      </c>
      <c r="L593" s="39">
        <v>0</v>
      </c>
      <c r="M593" s="21">
        <v>0</v>
      </c>
    </row>
    <row r="594" spans="1:13" ht="15">
      <c r="A594" s="18">
        <v>46237</v>
      </c>
      <c r="B594" s="19">
        <v>46238</v>
      </c>
      <c r="C594" s="21"/>
      <c r="D594" s="21">
        <v>0</v>
      </c>
      <c r="E594" s="21">
        <v>0</v>
      </c>
      <c r="F594" s="21">
        <v>0</v>
      </c>
      <c r="G594" s="21"/>
      <c r="H594" s="21" t="str">
        <f>IFERROR(VLOOKUP(G594,Basic_Data!$E$2:$I$9,5,0),"")</f>
        <v/>
      </c>
      <c r="I594" s="21">
        <v>644</v>
      </c>
      <c r="J594" s="21">
        <v>644</v>
      </c>
      <c r="K594" s="39">
        <v>0</v>
      </c>
      <c r="L594" s="39">
        <v>0</v>
      </c>
      <c r="M594" s="21">
        <v>0</v>
      </c>
    </row>
    <row r="595" spans="1:13" ht="15">
      <c r="A595" s="18">
        <v>46238</v>
      </c>
      <c r="B595" s="19">
        <v>46239</v>
      </c>
      <c r="C595" s="21"/>
      <c r="D595" s="21">
        <v>0</v>
      </c>
      <c r="E595" s="21">
        <v>0</v>
      </c>
      <c r="F595" s="21">
        <v>0</v>
      </c>
      <c r="G595" s="21"/>
      <c r="H595" s="21" t="str">
        <f>IFERROR(VLOOKUP(G595,Basic_Data!$E$2:$I$9,5,0),"")</f>
        <v/>
      </c>
      <c r="I595" s="21">
        <v>644</v>
      </c>
      <c r="J595" s="21">
        <v>644</v>
      </c>
      <c r="K595" s="39">
        <v>0</v>
      </c>
      <c r="L595" s="39">
        <v>0</v>
      </c>
      <c r="M595" s="21">
        <v>0</v>
      </c>
    </row>
    <row r="596" spans="1:13" ht="15">
      <c r="A596" s="18">
        <v>46239</v>
      </c>
      <c r="B596" s="19">
        <v>46240</v>
      </c>
      <c r="C596" s="21"/>
      <c r="D596" s="21">
        <v>0</v>
      </c>
      <c r="E596" s="21">
        <v>0</v>
      </c>
      <c r="F596" s="21">
        <v>0</v>
      </c>
      <c r="G596" s="21"/>
      <c r="H596" s="21" t="str">
        <f>IFERROR(VLOOKUP(G596,Basic_Data!$E$2:$I$9,5,0),"")</f>
        <v/>
      </c>
      <c r="I596" s="21">
        <v>644</v>
      </c>
      <c r="J596" s="21">
        <v>644</v>
      </c>
      <c r="K596" s="39">
        <v>0</v>
      </c>
      <c r="L596" s="39">
        <v>0</v>
      </c>
      <c r="M596" s="21">
        <v>0</v>
      </c>
    </row>
    <row r="597" spans="1:13" ht="15">
      <c r="A597" s="18">
        <v>46240</v>
      </c>
      <c r="B597" s="19">
        <v>46241</v>
      </c>
      <c r="C597" s="21"/>
      <c r="D597" s="21">
        <v>0</v>
      </c>
      <c r="E597" s="21">
        <v>0</v>
      </c>
      <c r="F597" s="21">
        <v>0</v>
      </c>
      <c r="G597" s="21"/>
      <c r="H597" s="21" t="str">
        <f>IFERROR(VLOOKUP(G597,Basic_Data!$E$2:$I$9,5,0),"")</f>
        <v/>
      </c>
      <c r="I597" s="21">
        <v>644</v>
      </c>
      <c r="J597" s="21">
        <v>644</v>
      </c>
      <c r="K597" s="39">
        <v>0</v>
      </c>
      <c r="L597" s="39">
        <v>0</v>
      </c>
      <c r="M597" s="21">
        <v>0</v>
      </c>
    </row>
    <row r="598" spans="1:13" ht="15">
      <c r="A598" s="18">
        <v>46241</v>
      </c>
      <c r="B598" s="19">
        <v>46242</v>
      </c>
      <c r="C598" s="21"/>
      <c r="D598" s="21">
        <v>0</v>
      </c>
      <c r="E598" s="21">
        <v>0</v>
      </c>
      <c r="F598" s="21">
        <v>0</v>
      </c>
      <c r="G598" s="21"/>
      <c r="H598" s="21" t="str">
        <f>IFERROR(VLOOKUP(G598,Basic_Data!$E$2:$I$9,5,0),"")</f>
        <v/>
      </c>
      <c r="I598" s="21">
        <v>644</v>
      </c>
      <c r="J598" s="21">
        <v>644</v>
      </c>
      <c r="K598" s="39">
        <v>0</v>
      </c>
      <c r="L598" s="39">
        <v>0</v>
      </c>
      <c r="M598" s="21">
        <v>0</v>
      </c>
    </row>
    <row r="599" spans="1:13" ht="15">
      <c r="A599" s="18">
        <v>46242</v>
      </c>
      <c r="B599" s="19">
        <v>46243</v>
      </c>
      <c r="C599" s="21"/>
      <c r="D599" s="21">
        <v>0</v>
      </c>
      <c r="E599" s="21">
        <v>0</v>
      </c>
      <c r="F599" s="21">
        <v>0</v>
      </c>
      <c r="G599" s="21"/>
      <c r="H599" s="21" t="str">
        <f>IFERROR(VLOOKUP(G599,Basic_Data!$E$2:$I$9,5,0),"")</f>
        <v/>
      </c>
      <c r="I599" s="21">
        <v>644</v>
      </c>
      <c r="J599" s="21">
        <v>644</v>
      </c>
      <c r="K599" s="39">
        <v>0</v>
      </c>
      <c r="L599" s="39">
        <v>0</v>
      </c>
      <c r="M599" s="21">
        <v>0</v>
      </c>
    </row>
    <row r="600" spans="1:13" ht="15">
      <c r="A600" s="18">
        <v>46243</v>
      </c>
      <c r="B600" s="19">
        <v>46244</v>
      </c>
      <c r="C600" s="21"/>
      <c r="D600" s="21">
        <v>0</v>
      </c>
      <c r="E600" s="21">
        <v>0</v>
      </c>
      <c r="F600" s="21">
        <v>0</v>
      </c>
      <c r="G600" s="21"/>
      <c r="H600" s="21" t="str">
        <f>IFERROR(VLOOKUP(G600,Basic_Data!$E$2:$I$9,5,0),"")</f>
        <v/>
      </c>
      <c r="I600" s="21">
        <v>644</v>
      </c>
      <c r="J600" s="21">
        <v>644</v>
      </c>
      <c r="K600" s="39">
        <v>0</v>
      </c>
      <c r="L600" s="39">
        <v>0</v>
      </c>
      <c r="M600" s="21">
        <v>0</v>
      </c>
    </row>
    <row r="601" spans="1:13" ht="15">
      <c r="A601" s="18">
        <v>46244</v>
      </c>
      <c r="B601" s="19">
        <v>46245</v>
      </c>
      <c r="C601" s="21"/>
      <c r="D601" s="21">
        <v>0</v>
      </c>
      <c r="E601" s="21">
        <v>0</v>
      </c>
      <c r="F601" s="21">
        <v>0</v>
      </c>
      <c r="G601" s="21"/>
      <c r="H601" s="21" t="str">
        <f>IFERROR(VLOOKUP(G601,Basic_Data!$E$2:$I$9,5,0),"")</f>
        <v/>
      </c>
      <c r="I601" s="21">
        <v>644</v>
      </c>
      <c r="J601" s="21">
        <v>644</v>
      </c>
      <c r="K601" s="39">
        <v>0</v>
      </c>
      <c r="L601" s="39">
        <v>0</v>
      </c>
      <c r="M601" s="21">
        <v>0</v>
      </c>
    </row>
    <row r="602" spans="1:13" ht="15">
      <c r="A602" s="18">
        <v>46245</v>
      </c>
      <c r="B602" s="19">
        <v>46246</v>
      </c>
      <c r="C602" s="21"/>
      <c r="D602" s="21">
        <v>0</v>
      </c>
      <c r="E602" s="21">
        <v>0</v>
      </c>
      <c r="F602" s="21">
        <v>0</v>
      </c>
      <c r="G602" s="21"/>
      <c r="H602" s="21" t="str">
        <f>IFERROR(VLOOKUP(G602,Basic_Data!$E$2:$I$9,5,0),"")</f>
        <v/>
      </c>
      <c r="I602" s="21">
        <v>644</v>
      </c>
      <c r="J602" s="21">
        <v>644</v>
      </c>
      <c r="K602" s="39">
        <v>0</v>
      </c>
      <c r="L602" s="39">
        <v>0</v>
      </c>
      <c r="M602" s="21">
        <v>0</v>
      </c>
    </row>
    <row r="603" spans="1:13" ht="15">
      <c r="A603" s="18">
        <v>46246</v>
      </c>
      <c r="B603" s="19">
        <v>46247</v>
      </c>
      <c r="C603" s="21"/>
      <c r="D603" s="21">
        <v>0</v>
      </c>
      <c r="E603" s="21">
        <v>0</v>
      </c>
      <c r="F603" s="21">
        <v>0</v>
      </c>
      <c r="G603" s="21"/>
      <c r="H603" s="21" t="str">
        <f>IFERROR(VLOOKUP(G603,Basic_Data!$E$2:$I$9,5,0),"")</f>
        <v/>
      </c>
      <c r="I603" s="21">
        <v>644</v>
      </c>
      <c r="J603" s="21">
        <v>644</v>
      </c>
      <c r="K603" s="39">
        <v>0</v>
      </c>
      <c r="L603" s="39">
        <v>0</v>
      </c>
      <c r="M603" s="21">
        <v>0</v>
      </c>
    </row>
    <row r="604" spans="1:13" ht="15">
      <c r="A604" s="18">
        <v>46247</v>
      </c>
      <c r="B604" s="19">
        <v>46248</v>
      </c>
      <c r="C604" s="21"/>
      <c r="D604" s="21">
        <v>0</v>
      </c>
      <c r="E604" s="21">
        <v>0</v>
      </c>
      <c r="F604" s="21">
        <v>0</v>
      </c>
      <c r="G604" s="21"/>
      <c r="H604" s="21" t="str">
        <f>IFERROR(VLOOKUP(G604,Basic_Data!$E$2:$I$9,5,0),"")</f>
        <v/>
      </c>
      <c r="I604" s="21">
        <v>644</v>
      </c>
      <c r="J604" s="21">
        <v>644</v>
      </c>
      <c r="K604" s="39">
        <v>0</v>
      </c>
      <c r="L604" s="39">
        <v>0</v>
      </c>
      <c r="M604" s="21">
        <v>0</v>
      </c>
    </row>
    <row r="605" spans="1:13" ht="15">
      <c r="A605" s="18">
        <v>46248</v>
      </c>
      <c r="B605" s="19">
        <v>46249</v>
      </c>
      <c r="C605" s="21"/>
      <c r="D605" s="21">
        <v>0</v>
      </c>
      <c r="E605" s="21">
        <v>0</v>
      </c>
      <c r="F605" s="21">
        <v>0</v>
      </c>
      <c r="G605" s="21"/>
      <c r="H605" s="21" t="str">
        <f>IFERROR(VLOOKUP(G605,Basic_Data!$E$2:$I$9,5,0),"")</f>
        <v/>
      </c>
      <c r="I605" s="21">
        <v>644</v>
      </c>
      <c r="J605" s="21">
        <v>644</v>
      </c>
      <c r="K605" s="39">
        <v>0</v>
      </c>
      <c r="L605" s="39">
        <v>0</v>
      </c>
      <c r="M605" s="21">
        <v>0</v>
      </c>
    </row>
    <row r="606" spans="1:13" ht="15">
      <c r="A606" s="18">
        <v>46249</v>
      </c>
      <c r="B606" s="19">
        <v>46250</v>
      </c>
      <c r="C606" s="21"/>
      <c r="D606" s="21">
        <v>0</v>
      </c>
      <c r="E606" s="21">
        <v>0</v>
      </c>
      <c r="F606" s="21">
        <v>0</v>
      </c>
      <c r="G606" s="21"/>
      <c r="H606" s="21" t="str">
        <f>IFERROR(VLOOKUP(G606,Basic_Data!$E$2:$I$9,5,0),"")</f>
        <v/>
      </c>
      <c r="I606" s="21">
        <v>644</v>
      </c>
      <c r="J606" s="21">
        <v>644</v>
      </c>
      <c r="K606" s="39">
        <v>0</v>
      </c>
      <c r="L606" s="39">
        <v>0</v>
      </c>
      <c r="M606" s="21">
        <v>0</v>
      </c>
    </row>
    <row r="607" spans="1:13" ht="15">
      <c r="A607" s="18">
        <v>46250</v>
      </c>
      <c r="B607" s="19">
        <v>46251</v>
      </c>
      <c r="C607" s="21"/>
      <c r="D607" s="21">
        <v>0</v>
      </c>
      <c r="E607" s="21">
        <v>0</v>
      </c>
      <c r="F607" s="21">
        <v>0</v>
      </c>
      <c r="G607" s="21"/>
      <c r="H607" s="21" t="str">
        <f>IFERROR(VLOOKUP(G607,Basic_Data!$E$2:$I$9,5,0),"")</f>
        <v/>
      </c>
      <c r="I607" s="21">
        <v>644</v>
      </c>
      <c r="J607" s="21">
        <v>644</v>
      </c>
      <c r="K607" s="39">
        <v>0</v>
      </c>
      <c r="L607" s="39">
        <v>0</v>
      </c>
      <c r="M607" s="21">
        <v>0</v>
      </c>
    </row>
    <row r="608" spans="1:13" ht="15">
      <c r="A608" s="18">
        <v>46251</v>
      </c>
      <c r="B608" s="19">
        <v>46252</v>
      </c>
      <c r="C608" s="21"/>
      <c r="D608" s="21">
        <v>0</v>
      </c>
      <c r="E608" s="21">
        <v>0</v>
      </c>
      <c r="F608" s="21">
        <v>0</v>
      </c>
      <c r="G608" s="21"/>
      <c r="H608" s="21" t="str">
        <f>IFERROR(VLOOKUP(G608,Basic_Data!$E$2:$I$9,5,0),"")</f>
        <v/>
      </c>
      <c r="I608" s="21">
        <v>644</v>
      </c>
      <c r="J608" s="21">
        <v>644</v>
      </c>
      <c r="K608" s="39">
        <v>0</v>
      </c>
      <c r="L608" s="39">
        <v>0</v>
      </c>
      <c r="M608" s="21">
        <v>0</v>
      </c>
    </row>
    <row r="609" spans="1:13" ht="15">
      <c r="A609" s="18">
        <v>46252</v>
      </c>
      <c r="B609" s="19">
        <v>46253</v>
      </c>
      <c r="C609" s="21"/>
      <c r="D609" s="21">
        <v>0</v>
      </c>
      <c r="E609" s="21">
        <v>0</v>
      </c>
      <c r="F609" s="21">
        <v>0</v>
      </c>
      <c r="G609" s="21"/>
      <c r="H609" s="21" t="str">
        <f>IFERROR(VLOOKUP(G609,Basic_Data!$E$2:$I$9,5,0),"")</f>
        <v/>
      </c>
      <c r="I609" s="21">
        <v>644</v>
      </c>
      <c r="J609" s="21">
        <v>644</v>
      </c>
      <c r="K609" s="39">
        <v>0</v>
      </c>
      <c r="L609" s="39">
        <v>0</v>
      </c>
      <c r="M609" s="21">
        <v>0</v>
      </c>
    </row>
    <row r="610" spans="1:13" ht="15">
      <c r="A610" s="18">
        <v>46253</v>
      </c>
      <c r="B610" s="19">
        <v>46254</v>
      </c>
      <c r="C610" s="21"/>
      <c r="D610" s="21">
        <v>0</v>
      </c>
      <c r="E610" s="21">
        <v>0</v>
      </c>
      <c r="F610" s="21">
        <v>0</v>
      </c>
      <c r="G610" s="21"/>
      <c r="H610" s="21" t="str">
        <f>IFERROR(VLOOKUP(G610,Basic_Data!$E$2:$I$9,5,0),"")</f>
        <v/>
      </c>
      <c r="I610" s="21">
        <v>644</v>
      </c>
      <c r="J610" s="21">
        <v>644</v>
      </c>
      <c r="K610" s="39">
        <v>0</v>
      </c>
      <c r="L610" s="39">
        <v>0</v>
      </c>
      <c r="M610" s="21">
        <v>0</v>
      </c>
    </row>
    <row r="611" spans="1:13" ht="15">
      <c r="A611" s="18">
        <v>46254</v>
      </c>
      <c r="B611" s="19">
        <v>46255</v>
      </c>
      <c r="C611" s="21"/>
      <c r="D611" s="21">
        <v>0</v>
      </c>
      <c r="E611" s="21">
        <v>0</v>
      </c>
      <c r="F611" s="21">
        <v>0</v>
      </c>
      <c r="G611" s="21"/>
      <c r="H611" s="21" t="str">
        <f>IFERROR(VLOOKUP(G611,Basic_Data!$E$2:$I$9,5,0),"")</f>
        <v/>
      </c>
      <c r="I611" s="21">
        <v>644</v>
      </c>
      <c r="J611" s="21">
        <v>644</v>
      </c>
      <c r="K611" s="39">
        <v>0</v>
      </c>
      <c r="L611" s="39">
        <v>0</v>
      </c>
      <c r="M611" s="21">
        <v>0</v>
      </c>
    </row>
    <row r="612" spans="1:13" ht="15">
      <c r="A612" s="18">
        <v>46255</v>
      </c>
      <c r="B612" s="19">
        <v>46256</v>
      </c>
      <c r="C612" s="21"/>
      <c r="D612" s="21">
        <v>0</v>
      </c>
      <c r="E612" s="21">
        <v>0</v>
      </c>
      <c r="F612" s="21">
        <v>0</v>
      </c>
      <c r="G612" s="21"/>
      <c r="H612" s="21" t="str">
        <f>IFERROR(VLOOKUP(G612,Basic_Data!$E$2:$I$9,5,0),"")</f>
        <v/>
      </c>
      <c r="I612" s="21">
        <v>644</v>
      </c>
      <c r="J612" s="21">
        <v>644</v>
      </c>
      <c r="K612" s="39">
        <v>0</v>
      </c>
      <c r="L612" s="39">
        <v>0</v>
      </c>
      <c r="M612" s="21">
        <v>0</v>
      </c>
    </row>
    <row r="613" spans="1:13" ht="15">
      <c r="A613" s="18">
        <v>46256</v>
      </c>
      <c r="B613" s="19">
        <v>46257</v>
      </c>
      <c r="C613" s="21"/>
      <c r="D613" s="21">
        <v>0</v>
      </c>
      <c r="E613" s="21">
        <v>0</v>
      </c>
      <c r="F613" s="21">
        <v>0</v>
      </c>
      <c r="G613" s="21"/>
      <c r="H613" s="21" t="str">
        <f>IFERROR(VLOOKUP(G613,Basic_Data!$E$2:$I$9,5,0),"")</f>
        <v/>
      </c>
      <c r="I613" s="21">
        <v>644</v>
      </c>
      <c r="J613" s="21">
        <v>644</v>
      </c>
      <c r="K613" s="39">
        <v>0</v>
      </c>
      <c r="L613" s="39">
        <v>0</v>
      </c>
      <c r="M613" s="21">
        <v>0</v>
      </c>
    </row>
    <row r="614" spans="1:13" ht="15">
      <c r="A614" s="18">
        <v>46257</v>
      </c>
      <c r="B614" s="19">
        <v>46258</v>
      </c>
      <c r="C614" s="21"/>
      <c r="D614" s="21">
        <v>0</v>
      </c>
      <c r="E614" s="21">
        <v>0</v>
      </c>
      <c r="F614" s="21">
        <v>0</v>
      </c>
      <c r="G614" s="21"/>
      <c r="H614" s="21" t="str">
        <f>IFERROR(VLOOKUP(G614,Basic_Data!$E$2:$I$9,5,0),"")</f>
        <v/>
      </c>
      <c r="I614" s="21">
        <v>644</v>
      </c>
      <c r="J614" s="21">
        <v>644</v>
      </c>
      <c r="K614" s="39">
        <v>0</v>
      </c>
      <c r="L614" s="39">
        <v>0</v>
      </c>
      <c r="M614" s="21">
        <v>0</v>
      </c>
    </row>
    <row r="615" spans="1:13" ht="15">
      <c r="A615" s="18">
        <v>46258</v>
      </c>
      <c r="B615" s="19">
        <v>46259</v>
      </c>
      <c r="C615" s="21"/>
      <c r="D615" s="21">
        <v>0</v>
      </c>
      <c r="E615" s="21">
        <v>0</v>
      </c>
      <c r="F615" s="21">
        <v>0</v>
      </c>
      <c r="G615" s="21"/>
      <c r="H615" s="21" t="str">
        <f>IFERROR(VLOOKUP(G615,Basic_Data!$E$2:$I$9,5,0),"")</f>
        <v/>
      </c>
      <c r="I615" s="21">
        <v>644</v>
      </c>
      <c r="J615" s="21">
        <v>644</v>
      </c>
      <c r="K615" s="39">
        <v>0</v>
      </c>
      <c r="L615" s="39">
        <v>0</v>
      </c>
      <c r="M615" s="21">
        <v>0</v>
      </c>
    </row>
    <row r="616" spans="1:13" ht="15">
      <c r="A616" s="18">
        <v>46259</v>
      </c>
      <c r="B616" s="19">
        <v>46260</v>
      </c>
      <c r="C616" s="21"/>
      <c r="D616" s="21">
        <v>0</v>
      </c>
      <c r="E616" s="21">
        <v>0</v>
      </c>
      <c r="F616" s="21">
        <v>0</v>
      </c>
      <c r="G616" s="21"/>
      <c r="H616" s="21" t="str">
        <f>IFERROR(VLOOKUP(G616,Basic_Data!$E$2:$I$9,5,0),"")</f>
        <v/>
      </c>
      <c r="I616" s="21">
        <v>644</v>
      </c>
      <c r="J616" s="21">
        <v>644</v>
      </c>
      <c r="K616" s="39">
        <v>0</v>
      </c>
      <c r="L616" s="39">
        <v>0</v>
      </c>
      <c r="M616" s="21">
        <v>0</v>
      </c>
    </row>
    <row r="617" spans="1:13" ht="15">
      <c r="A617" s="18">
        <v>46260</v>
      </c>
      <c r="B617" s="19">
        <v>46261</v>
      </c>
      <c r="C617" s="21"/>
      <c r="D617" s="21">
        <v>0</v>
      </c>
      <c r="E617" s="21">
        <v>0</v>
      </c>
      <c r="F617" s="21">
        <v>0</v>
      </c>
      <c r="G617" s="21"/>
      <c r="H617" s="21" t="str">
        <f>IFERROR(VLOOKUP(G617,Basic_Data!$E$2:$I$9,5,0),"")</f>
        <v/>
      </c>
      <c r="I617" s="21">
        <v>644</v>
      </c>
      <c r="J617" s="21">
        <v>644</v>
      </c>
      <c r="K617" s="39">
        <v>0</v>
      </c>
      <c r="L617" s="39">
        <v>0</v>
      </c>
      <c r="M617" s="21">
        <v>0</v>
      </c>
    </row>
    <row r="618" spans="1:13" ht="15">
      <c r="A618" s="18">
        <v>46261</v>
      </c>
      <c r="B618" s="19">
        <v>46262</v>
      </c>
      <c r="C618" s="21"/>
      <c r="D618" s="21">
        <v>0</v>
      </c>
      <c r="E618" s="21">
        <v>0</v>
      </c>
      <c r="F618" s="21">
        <v>0</v>
      </c>
      <c r="G618" s="21"/>
      <c r="H618" s="21" t="str">
        <f>IFERROR(VLOOKUP(G618,Basic_Data!$E$2:$I$9,5,0),"")</f>
        <v/>
      </c>
      <c r="I618" s="21">
        <v>644</v>
      </c>
      <c r="J618" s="21">
        <v>644</v>
      </c>
      <c r="K618" s="39">
        <v>0</v>
      </c>
      <c r="L618" s="39">
        <v>0</v>
      </c>
      <c r="M618" s="21">
        <v>0</v>
      </c>
    </row>
    <row r="619" spans="1:13" ht="15">
      <c r="A619" s="18">
        <v>46262</v>
      </c>
      <c r="B619" s="19">
        <v>46263</v>
      </c>
      <c r="C619" s="21"/>
      <c r="D619" s="21">
        <v>0</v>
      </c>
      <c r="E619" s="21">
        <v>0</v>
      </c>
      <c r="F619" s="21">
        <v>0</v>
      </c>
      <c r="G619" s="21"/>
      <c r="H619" s="21" t="str">
        <f>IFERROR(VLOOKUP(G619,Basic_Data!$E$2:$I$9,5,0),"")</f>
        <v/>
      </c>
      <c r="I619" s="21">
        <v>644</v>
      </c>
      <c r="J619" s="21">
        <v>644</v>
      </c>
      <c r="K619" s="39">
        <v>0</v>
      </c>
      <c r="L619" s="39">
        <v>0</v>
      </c>
      <c r="M619" s="21">
        <v>0</v>
      </c>
    </row>
    <row r="620" spans="1:13" ht="15">
      <c r="A620" s="18">
        <v>46263</v>
      </c>
      <c r="B620" s="19">
        <v>46264</v>
      </c>
      <c r="C620" s="21"/>
      <c r="D620" s="21">
        <v>0</v>
      </c>
      <c r="E620" s="21">
        <v>0</v>
      </c>
      <c r="F620" s="21">
        <v>0</v>
      </c>
      <c r="G620" s="21"/>
      <c r="H620" s="21" t="str">
        <f>IFERROR(VLOOKUP(G620,Basic_Data!$E$2:$I$9,5,0),"")</f>
        <v/>
      </c>
      <c r="I620" s="21">
        <v>644</v>
      </c>
      <c r="J620" s="21">
        <v>644</v>
      </c>
      <c r="K620" s="39">
        <v>0</v>
      </c>
      <c r="L620" s="39">
        <v>0</v>
      </c>
      <c r="M620" s="21">
        <v>0</v>
      </c>
    </row>
    <row r="621" spans="1:13" ht="15">
      <c r="A621" s="18">
        <v>46264</v>
      </c>
      <c r="B621" s="19">
        <v>46265</v>
      </c>
      <c r="C621" s="21"/>
      <c r="D621" s="21">
        <v>0</v>
      </c>
      <c r="E621" s="21">
        <v>0</v>
      </c>
      <c r="F621" s="21">
        <v>0</v>
      </c>
      <c r="G621" s="21"/>
      <c r="H621" s="21" t="str">
        <f>IFERROR(VLOOKUP(G621,Basic_Data!$E$2:$I$9,5,0),"")</f>
        <v/>
      </c>
      <c r="I621" s="21">
        <v>644</v>
      </c>
      <c r="J621" s="21">
        <v>644</v>
      </c>
      <c r="K621" s="39">
        <v>0</v>
      </c>
      <c r="L621" s="39">
        <v>0</v>
      </c>
      <c r="M621" s="21">
        <v>0</v>
      </c>
    </row>
    <row r="622" spans="1:13" ht="15">
      <c r="A622" s="18">
        <v>46265</v>
      </c>
      <c r="B622" s="19">
        <v>46266</v>
      </c>
      <c r="C622" s="21"/>
      <c r="D622" s="21">
        <v>0</v>
      </c>
      <c r="E622" s="21">
        <v>0</v>
      </c>
      <c r="F622" s="21">
        <v>0</v>
      </c>
      <c r="G622" s="21"/>
      <c r="H622" s="21" t="str">
        <f>IFERROR(VLOOKUP(G622,Basic_Data!$E$2:$I$9,5,0),"")</f>
        <v/>
      </c>
      <c r="I622" s="21">
        <v>644</v>
      </c>
      <c r="J622" s="21">
        <v>644</v>
      </c>
      <c r="K622" s="39">
        <v>0</v>
      </c>
      <c r="L622" s="39">
        <v>0</v>
      </c>
      <c r="M622" s="21">
        <v>0</v>
      </c>
    </row>
    <row r="623" spans="1:13" ht="15">
      <c r="A623" s="18">
        <v>46266</v>
      </c>
      <c r="B623" s="19">
        <v>46267</v>
      </c>
      <c r="C623" s="21"/>
      <c r="D623" s="21">
        <v>0</v>
      </c>
      <c r="E623" s="21">
        <v>0</v>
      </c>
      <c r="F623" s="21">
        <v>0</v>
      </c>
      <c r="G623" s="21"/>
      <c r="H623" s="21" t="str">
        <f>IFERROR(VLOOKUP(G623,Basic_Data!$E$2:$I$9,5,0),"")</f>
        <v/>
      </c>
      <c r="I623" s="21">
        <v>644</v>
      </c>
      <c r="J623" s="21">
        <v>644</v>
      </c>
      <c r="K623" s="39">
        <v>0</v>
      </c>
      <c r="L623" s="39">
        <v>0</v>
      </c>
      <c r="M623" s="21">
        <v>0</v>
      </c>
    </row>
    <row r="624" spans="1:13" ht="15">
      <c r="A624" s="18">
        <v>46267</v>
      </c>
      <c r="B624" s="19">
        <v>46268</v>
      </c>
      <c r="C624" s="21"/>
      <c r="D624" s="21">
        <v>0</v>
      </c>
      <c r="E624" s="21">
        <v>0</v>
      </c>
      <c r="F624" s="21">
        <v>0</v>
      </c>
      <c r="G624" s="21"/>
      <c r="H624" s="21" t="str">
        <f>IFERROR(VLOOKUP(G624,Basic_Data!$E$2:$I$9,5,0),"")</f>
        <v/>
      </c>
      <c r="I624" s="21">
        <v>644</v>
      </c>
      <c r="J624" s="21">
        <v>644</v>
      </c>
      <c r="K624" s="39">
        <v>0</v>
      </c>
      <c r="L624" s="39">
        <v>0</v>
      </c>
      <c r="M624" s="21">
        <v>0</v>
      </c>
    </row>
    <row r="625" spans="1:13" ht="15">
      <c r="A625" s="18">
        <v>46268</v>
      </c>
      <c r="B625" s="19">
        <v>46269</v>
      </c>
      <c r="C625" s="21"/>
      <c r="D625" s="21">
        <v>0</v>
      </c>
      <c r="E625" s="21">
        <v>0</v>
      </c>
      <c r="F625" s="21">
        <v>0</v>
      </c>
      <c r="G625" s="21"/>
      <c r="H625" s="21" t="str">
        <f>IFERROR(VLOOKUP(G625,Basic_Data!$E$2:$I$9,5,0),"")</f>
        <v/>
      </c>
      <c r="I625" s="21">
        <v>644</v>
      </c>
      <c r="J625" s="21">
        <v>644</v>
      </c>
      <c r="K625" s="39">
        <v>0</v>
      </c>
      <c r="L625" s="39">
        <v>0</v>
      </c>
      <c r="M625" s="21">
        <v>0</v>
      </c>
    </row>
    <row r="626" spans="1:13" ht="15">
      <c r="A626" s="18">
        <v>46269</v>
      </c>
      <c r="B626" s="19">
        <v>46270</v>
      </c>
      <c r="C626" s="21"/>
      <c r="D626" s="21">
        <v>0</v>
      </c>
      <c r="E626" s="21">
        <v>0</v>
      </c>
      <c r="F626" s="21">
        <v>0</v>
      </c>
      <c r="G626" s="21"/>
      <c r="H626" s="21" t="str">
        <f>IFERROR(VLOOKUP(G626,Basic_Data!$E$2:$I$9,5,0),"")</f>
        <v/>
      </c>
      <c r="I626" s="21">
        <v>644</v>
      </c>
      <c r="J626" s="21">
        <v>644</v>
      </c>
      <c r="K626" s="39">
        <v>0</v>
      </c>
      <c r="L626" s="39">
        <v>0</v>
      </c>
      <c r="M626" s="21">
        <v>0</v>
      </c>
    </row>
    <row r="627" spans="1:13" ht="15">
      <c r="A627" s="18">
        <v>46270</v>
      </c>
      <c r="B627" s="19">
        <v>46271</v>
      </c>
      <c r="C627" s="21"/>
      <c r="D627" s="21">
        <v>0</v>
      </c>
      <c r="E627" s="21">
        <v>0</v>
      </c>
      <c r="F627" s="21">
        <v>0</v>
      </c>
      <c r="G627" s="21"/>
      <c r="H627" s="21" t="str">
        <f>IFERROR(VLOOKUP(G627,Basic_Data!$E$2:$I$9,5,0),"")</f>
        <v/>
      </c>
      <c r="I627" s="21">
        <v>644</v>
      </c>
      <c r="J627" s="21">
        <v>644</v>
      </c>
      <c r="K627" s="39">
        <v>0</v>
      </c>
      <c r="L627" s="39">
        <v>0</v>
      </c>
      <c r="M627" s="21">
        <v>0</v>
      </c>
    </row>
    <row r="628" spans="1:13" ht="15">
      <c r="A628" s="18">
        <v>46271</v>
      </c>
      <c r="B628" s="19">
        <v>46272</v>
      </c>
      <c r="C628" s="21"/>
      <c r="D628" s="21">
        <v>0</v>
      </c>
      <c r="E628" s="21">
        <v>0</v>
      </c>
      <c r="F628" s="21">
        <v>0</v>
      </c>
      <c r="G628" s="21"/>
      <c r="H628" s="21" t="str">
        <f>IFERROR(VLOOKUP(G628,Basic_Data!$E$2:$I$9,5,0),"")</f>
        <v/>
      </c>
      <c r="I628" s="21">
        <v>644</v>
      </c>
      <c r="J628" s="21">
        <v>644</v>
      </c>
      <c r="K628" s="39">
        <v>0</v>
      </c>
      <c r="L628" s="39">
        <v>0</v>
      </c>
      <c r="M628" s="21">
        <v>0</v>
      </c>
    </row>
    <row r="629" spans="1:13" ht="15">
      <c r="A629" s="18">
        <v>46272</v>
      </c>
      <c r="B629" s="19">
        <v>46273</v>
      </c>
      <c r="C629" s="21"/>
      <c r="D629" s="21">
        <v>0</v>
      </c>
      <c r="E629" s="21">
        <v>0</v>
      </c>
      <c r="F629" s="21">
        <v>0</v>
      </c>
      <c r="G629" s="21"/>
      <c r="H629" s="21" t="str">
        <f>IFERROR(VLOOKUP(G629,Basic_Data!$E$2:$I$9,5,0),"")</f>
        <v/>
      </c>
      <c r="I629" s="21">
        <v>644</v>
      </c>
      <c r="J629" s="21">
        <v>644</v>
      </c>
      <c r="K629" s="39">
        <v>0</v>
      </c>
      <c r="L629" s="39">
        <v>0</v>
      </c>
      <c r="M629" s="21">
        <v>0</v>
      </c>
    </row>
    <row r="630" spans="1:13" ht="15">
      <c r="A630" s="18">
        <v>46273</v>
      </c>
      <c r="B630" s="19">
        <v>46274</v>
      </c>
      <c r="C630" s="21"/>
      <c r="D630" s="21">
        <v>0</v>
      </c>
      <c r="E630" s="21">
        <v>0</v>
      </c>
      <c r="F630" s="21">
        <v>0</v>
      </c>
      <c r="G630" s="21"/>
      <c r="H630" s="21" t="str">
        <f>IFERROR(VLOOKUP(G630,Basic_Data!$E$2:$I$9,5,0),"")</f>
        <v/>
      </c>
      <c r="I630" s="21">
        <v>644</v>
      </c>
      <c r="J630" s="21">
        <v>644</v>
      </c>
      <c r="K630" s="39">
        <v>0</v>
      </c>
      <c r="L630" s="39">
        <v>0</v>
      </c>
      <c r="M630" s="21">
        <v>0</v>
      </c>
    </row>
    <row r="631" spans="1:13" ht="15">
      <c r="A631" s="18">
        <v>46274</v>
      </c>
      <c r="B631" s="19">
        <v>46275</v>
      </c>
      <c r="C631" s="21"/>
      <c r="D631" s="21">
        <v>0</v>
      </c>
      <c r="E631" s="21">
        <v>0</v>
      </c>
      <c r="F631" s="21">
        <v>0</v>
      </c>
      <c r="G631" s="21"/>
      <c r="H631" s="21" t="str">
        <f>IFERROR(VLOOKUP(G631,Basic_Data!$E$2:$I$9,5,0),"")</f>
        <v/>
      </c>
      <c r="I631" s="21">
        <v>644</v>
      </c>
      <c r="J631" s="21">
        <v>644</v>
      </c>
      <c r="K631" s="39">
        <v>0</v>
      </c>
      <c r="L631" s="39">
        <v>0</v>
      </c>
      <c r="M631" s="21">
        <v>0</v>
      </c>
    </row>
    <row r="632" spans="1:13" ht="15">
      <c r="A632" s="18">
        <v>46275</v>
      </c>
      <c r="B632" s="19">
        <v>46276</v>
      </c>
      <c r="C632" s="21"/>
      <c r="D632" s="21">
        <v>0</v>
      </c>
      <c r="E632" s="21">
        <v>0</v>
      </c>
      <c r="F632" s="21">
        <v>0</v>
      </c>
      <c r="G632" s="21"/>
      <c r="H632" s="21" t="str">
        <f>IFERROR(VLOOKUP(G632,Basic_Data!$E$2:$I$9,5,0),"")</f>
        <v/>
      </c>
      <c r="I632" s="21">
        <v>644</v>
      </c>
      <c r="J632" s="21">
        <v>644</v>
      </c>
      <c r="K632" s="39">
        <v>0</v>
      </c>
      <c r="L632" s="39">
        <v>0</v>
      </c>
      <c r="M632" s="21">
        <v>0</v>
      </c>
    </row>
    <row r="633" spans="1:13" ht="15">
      <c r="A633" s="18">
        <v>46276</v>
      </c>
      <c r="B633" s="19">
        <v>46277</v>
      </c>
      <c r="C633" s="21"/>
      <c r="D633" s="21">
        <v>0</v>
      </c>
      <c r="E633" s="21">
        <v>0</v>
      </c>
      <c r="F633" s="21">
        <v>0</v>
      </c>
      <c r="G633" s="21"/>
      <c r="H633" s="21" t="str">
        <f>IFERROR(VLOOKUP(G633,Basic_Data!$E$2:$I$9,5,0),"")</f>
        <v/>
      </c>
      <c r="I633" s="21">
        <v>644</v>
      </c>
      <c r="J633" s="21">
        <v>644</v>
      </c>
      <c r="K633" s="39">
        <v>0</v>
      </c>
      <c r="L633" s="39">
        <v>0</v>
      </c>
      <c r="M633" s="21">
        <v>0</v>
      </c>
    </row>
    <row r="634" spans="1:13" ht="15">
      <c r="A634" s="18">
        <v>46277</v>
      </c>
      <c r="B634" s="19">
        <v>46278</v>
      </c>
      <c r="C634" s="21"/>
      <c r="D634" s="21">
        <v>0</v>
      </c>
      <c r="E634" s="21">
        <v>0</v>
      </c>
      <c r="F634" s="21">
        <v>0</v>
      </c>
      <c r="G634" s="21"/>
      <c r="H634" s="21" t="str">
        <f>IFERROR(VLOOKUP(G634,Basic_Data!$E$2:$I$9,5,0),"")</f>
        <v/>
      </c>
      <c r="I634" s="21">
        <v>644</v>
      </c>
      <c r="J634" s="21">
        <v>644</v>
      </c>
      <c r="K634" s="39">
        <v>0</v>
      </c>
      <c r="L634" s="39">
        <v>0</v>
      </c>
      <c r="M634" s="21">
        <v>0</v>
      </c>
    </row>
    <row r="635" spans="1:13" ht="15">
      <c r="A635" s="18">
        <v>46278</v>
      </c>
      <c r="B635" s="19">
        <v>46279</v>
      </c>
      <c r="C635" s="21"/>
      <c r="D635" s="21">
        <v>0</v>
      </c>
      <c r="E635" s="21">
        <v>0</v>
      </c>
      <c r="F635" s="21">
        <v>0</v>
      </c>
      <c r="G635" s="21"/>
      <c r="H635" s="21" t="str">
        <f>IFERROR(VLOOKUP(G635,Basic_Data!$E$2:$I$9,5,0),"")</f>
        <v/>
      </c>
      <c r="I635" s="21">
        <v>644</v>
      </c>
      <c r="J635" s="21">
        <v>644</v>
      </c>
      <c r="K635" s="39">
        <v>0</v>
      </c>
      <c r="L635" s="39">
        <v>0</v>
      </c>
      <c r="M635" s="21">
        <v>0</v>
      </c>
    </row>
    <row r="636" spans="1:13" ht="15">
      <c r="A636" s="18">
        <v>46279</v>
      </c>
      <c r="B636" s="19">
        <v>46280</v>
      </c>
      <c r="C636" s="21"/>
      <c r="D636" s="21">
        <v>0</v>
      </c>
      <c r="E636" s="21">
        <v>0</v>
      </c>
      <c r="F636" s="21">
        <v>0</v>
      </c>
      <c r="G636" s="21"/>
      <c r="H636" s="21" t="str">
        <f>IFERROR(VLOOKUP(G636,Basic_Data!$E$2:$I$9,5,0),"")</f>
        <v/>
      </c>
      <c r="I636" s="21">
        <v>644</v>
      </c>
      <c r="J636" s="21">
        <v>644</v>
      </c>
      <c r="K636" s="39">
        <v>0</v>
      </c>
      <c r="L636" s="39">
        <v>0</v>
      </c>
      <c r="M636" s="21">
        <v>0</v>
      </c>
    </row>
    <row r="637" spans="1:13" ht="15">
      <c r="A637" s="18">
        <v>46280</v>
      </c>
      <c r="B637" s="19">
        <v>46281</v>
      </c>
      <c r="C637" s="21"/>
      <c r="D637" s="21">
        <v>0</v>
      </c>
      <c r="E637" s="21">
        <v>0</v>
      </c>
      <c r="F637" s="21">
        <v>0</v>
      </c>
      <c r="G637" s="21"/>
      <c r="H637" s="21" t="str">
        <f>IFERROR(VLOOKUP(G637,Basic_Data!$E$2:$I$9,5,0),"")</f>
        <v/>
      </c>
      <c r="I637" s="21">
        <v>644</v>
      </c>
      <c r="J637" s="21">
        <v>644</v>
      </c>
      <c r="K637" s="39">
        <v>0</v>
      </c>
      <c r="L637" s="39">
        <v>0</v>
      </c>
      <c r="M637" s="21">
        <v>0</v>
      </c>
    </row>
    <row r="638" spans="1:13" ht="15">
      <c r="A638" s="18">
        <v>46281</v>
      </c>
      <c r="B638" s="19">
        <v>46282</v>
      </c>
      <c r="C638" s="21"/>
      <c r="D638" s="21">
        <v>0</v>
      </c>
      <c r="E638" s="21">
        <v>0</v>
      </c>
      <c r="F638" s="21">
        <v>0</v>
      </c>
      <c r="G638" s="21"/>
      <c r="H638" s="21" t="str">
        <f>IFERROR(VLOOKUP(G638,Basic_Data!$E$2:$I$9,5,0),"")</f>
        <v/>
      </c>
      <c r="I638" s="21">
        <v>644</v>
      </c>
      <c r="J638" s="21">
        <v>644</v>
      </c>
      <c r="K638" s="39">
        <v>0</v>
      </c>
      <c r="L638" s="39">
        <v>0</v>
      </c>
      <c r="M638" s="21">
        <v>0</v>
      </c>
    </row>
    <row r="639" spans="1:13" ht="15">
      <c r="A639" s="18">
        <v>46282</v>
      </c>
      <c r="B639" s="19">
        <v>46283</v>
      </c>
      <c r="C639" s="21"/>
      <c r="D639" s="21">
        <v>0</v>
      </c>
      <c r="E639" s="21">
        <v>0</v>
      </c>
      <c r="F639" s="21">
        <v>0</v>
      </c>
      <c r="G639" s="21"/>
      <c r="H639" s="21" t="str">
        <f>IFERROR(VLOOKUP(G639,Basic_Data!$E$2:$I$9,5,0),"")</f>
        <v/>
      </c>
      <c r="I639" s="21">
        <v>644</v>
      </c>
      <c r="J639" s="21">
        <v>644</v>
      </c>
      <c r="K639" s="39">
        <v>0</v>
      </c>
      <c r="L639" s="39">
        <v>0</v>
      </c>
      <c r="M639" s="21">
        <v>0</v>
      </c>
    </row>
    <row r="640" spans="1:13" ht="15">
      <c r="A640" s="18">
        <v>46283</v>
      </c>
      <c r="B640" s="19">
        <v>46284</v>
      </c>
      <c r="C640" s="21"/>
      <c r="D640" s="21">
        <v>0</v>
      </c>
      <c r="E640" s="21">
        <v>0</v>
      </c>
      <c r="F640" s="21">
        <v>0</v>
      </c>
      <c r="G640" s="21"/>
      <c r="H640" s="21" t="str">
        <f>IFERROR(VLOOKUP(G640,Basic_Data!$E$2:$I$9,5,0),"")</f>
        <v/>
      </c>
      <c r="I640" s="21">
        <v>644</v>
      </c>
      <c r="J640" s="21">
        <v>644</v>
      </c>
      <c r="K640" s="39">
        <v>0</v>
      </c>
      <c r="L640" s="39">
        <v>0</v>
      </c>
      <c r="M640" s="21">
        <v>0</v>
      </c>
    </row>
    <row r="641" spans="1:13" ht="15">
      <c r="A641" s="18">
        <v>46284</v>
      </c>
      <c r="B641" s="19">
        <v>46285</v>
      </c>
      <c r="C641" s="21"/>
      <c r="D641" s="21">
        <v>0</v>
      </c>
      <c r="E641" s="21">
        <v>0</v>
      </c>
      <c r="F641" s="21">
        <v>0</v>
      </c>
      <c r="G641" s="21"/>
      <c r="H641" s="21" t="str">
        <f>IFERROR(VLOOKUP(G641,Basic_Data!$E$2:$I$9,5,0),"")</f>
        <v/>
      </c>
      <c r="I641" s="21">
        <v>644</v>
      </c>
      <c r="J641" s="21">
        <v>644</v>
      </c>
      <c r="K641" s="39">
        <v>0</v>
      </c>
      <c r="L641" s="39">
        <v>0</v>
      </c>
      <c r="M641" s="21">
        <v>0</v>
      </c>
    </row>
    <row r="642" spans="1:13" ht="15">
      <c r="A642" s="18">
        <v>46285</v>
      </c>
      <c r="B642" s="19">
        <v>46286</v>
      </c>
      <c r="C642" s="21"/>
      <c r="D642" s="21">
        <v>0</v>
      </c>
      <c r="E642" s="21">
        <v>0</v>
      </c>
      <c r="F642" s="21">
        <v>0</v>
      </c>
      <c r="G642" s="21"/>
      <c r="H642" s="21" t="str">
        <f>IFERROR(VLOOKUP(G642,Basic_Data!$E$2:$I$9,5,0),"")</f>
        <v/>
      </c>
      <c r="I642" s="21">
        <v>644</v>
      </c>
      <c r="J642" s="21">
        <v>644</v>
      </c>
      <c r="K642" s="39">
        <v>0</v>
      </c>
      <c r="L642" s="39">
        <v>0</v>
      </c>
      <c r="M642" s="21">
        <v>0</v>
      </c>
    </row>
    <row r="643" spans="1:13" ht="15">
      <c r="A643" s="18">
        <v>46286</v>
      </c>
      <c r="B643" s="19">
        <v>46287</v>
      </c>
      <c r="C643" s="21"/>
      <c r="D643" s="21">
        <v>0</v>
      </c>
      <c r="E643" s="21">
        <v>0</v>
      </c>
      <c r="F643" s="21">
        <v>0</v>
      </c>
      <c r="G643" s="21"/>
      <c r="H643" s="21" t="str">
        <f>IFERROR(VLOOKUP(G643,Basic_Data!$E$2:$I$9,5,0),"")</f>
        <v/>
      </c>
      <c r="I643" s="21">
        <v>644</v>
      </c>
      <c r="J643" s="21">
        <v>644</v>
      </c>
      <c r="K643" s="39">
        <v>0</v>
      </c>
      <c r="L643" s="39">
        <v>0</v>
      </c>
      <c r="M643" s="21">
        <v>0</v>
      </c>
    </row>
    <row r="644" spans="1:13" ht="15">
      <c r="A644" s="18">
        <v>46287</v>
      </c>
      <c r="B644" s="19">
        <v>46288</v>
      </c>
      <c r="C644" s="21"/>
      <c r="D644" s="21">
        <v>0</v>
      </c>
      <c r="E644" s="21">
        <v>0</v>
      </c>
      <c r="F644" s="21">
        <v>0</v>
      </c>
      <c r="G644" s="21"/>
      <c r="H644" s="21" t="str">
        <f>IFERROR(VLOOKUP(G644,Basic_Data!$E$2:$I$9,5,0),"")</f>
        <v/>
      </c>
      <c r="I644" s="21">
        <v>644</v>
      </c>
      <c r="J644" s="21">
        <v>644</v>
      </c>
      <c r="K644" s="39">
        <v>0</v>
      </c>
      <c r="L644" s="39">
        <v>0</v>
      </c>
      <c r="M644" s="21">
        <v>0</v>
      </c>
    </row>
    <row r="645" spans="1:13" ht="15">
      <c r="A645" s="18">
        <v>46288</v>
      </c>
      <c r="B645" s="19">
        <v>46289</v>
      </c>
      <c r="C645" s="21"/>
      <c r="D645" s="21">
        <v>0</v>
      </c>
      <c r="E645" s="21">
        <v>0</v>
      </c>
      <c r="F645" s="21">
        <v>0</v>
      </c>
      <c r="G645" s="21"/>
      <c r="H645" s="21" t="str">
        <f>IFERROR(VLOOKUP(G645,Basic_Data!$E$2:$I$9,5,0),"")</f>
        <v/>
      </c>
      <c r="I645" s="21">
        <v>644</v>
      </c>
      <c r="J645" s="21">
        <v>644</v>
      </c>
      <c r="K645" s="39">
        <v>0</v>
      </c>
      <c r="L645" s="39">
        <v>0</v>
      </c>
      <c r="M645" s="21">
        <v>0</v>
      </c>
    </row>
    <row r="646" spans="1:13" ht="15">
      <c r="A646" s="18">
        <v>46289</v>
      </c>
      <c r="B646" s="19">
        <v>46290</v>
      </c>
      <c r="C646" s="21"/>
      <c r="D646" s="21">
        <v>0</v>
      </c>
      <c r="E646" s="21">
        <v>0</v>
      </c>
      <c r="F646" s="21">
        <v>0</v>
      </c>
      <c r="G646" s="21"/>
      <c r="H646" s="21" t="str">
        <f>IFERROR(VLOOKUP(G646,Basic_Data!$E$2:$I$9,5,0),"")</f>
        <v/>
      </c>
      <c r="I646" s="21">
        <v>644</v>
      </c>
      <c r="J646" s="21">
        <v>644</v>
      </c>
      <c r="K646" s="39">
        <v>0</v>
      </c>
      <c r="L646" s="39">
        <v>0</v>
      </c>
      <c r="M646" s="21">
        <v>0</v>
      </c>
    </row>
    <row r="647" spans="1:13" ht="15">
      <c r="A647" s="18">
        <v>46290</v>
      </c>
      <c r="B647" s="19">
        <v>46291</v>
      </c>
      <c r="C647" s="21"/>
      <c r="D647" s="21">
        <v>0</v>
      </c>
      <c r="E647" s="21">
        <v>0</v>
      </c>
      <c r="F647" s="21">
        <v>0</v>
      </c>
      <c r="G647" s="21"/>
      <c r="H647" s="21" t="str">
        <f>IFERROR(VLOOKUP(G647,Basic_Data!$E$2:$I$9,5,0),"")</f>
        <v/>
      </c>
      <c r="I647" s="21">
        <v>644</v>
      </c>
      <c r="J647" s="21">
        <v>644</v>
      </c>
      <c r="K647" s="39">
        <v>0</v>
      </c>
      <c r="L647" s="39">
        <v>0</v>
      </c>
      <c r="M647" s="21">
        <v>0</v>
      </c>
    </row>
    <row r="648" spans="1:13" ht="15">
      <c r="A648" s="18">
        <v>46291</v>
      </c>
      <c r="B648" s="19">
        <v>46292</v>
      </c>
      <c r="C648" s="21"/>
      <c r="D648" s="21">
        <v>0</v>
      </c>
      <c r="E648" s="21">
        <v>0</v>
      </c>
      <c r="F648" s="21">
        <v>0</v>
      </c>
      <c r="G648" s="21"/>
      <c r="H648" s="21" t="str">
        <f>IFERROR(VLOOKUP(G648,Basic_Data!$E$2:$I$9,5,0),"")</f>
        <v/>
      </c>
      <c r="I648" s="21">
        <v>644</v>
      </c>
      <c r="J648" s="21">
        <v>644</v>
      </c>
      <c r="K648" s="39">
        <v>0</v>
      </c>
      <c r="L648" s="39">
        <v>0</v>
      </c>
      <c r="M648" s="21">
        <v>0</v>
      </c>
    </row>
    <row r="649" spans="1:13" ht="15">
      <c r="A649" s="18">
        <v>46292</v>
      </c>
      <c r="B649" s="19">
        <v>46293</v>
      </c>
      <c r="C649" s="21"/>
      <c r="D649" s="21">
        <v>0</v>
      </c>
      <c r="E649" s="21">
        <v>0</v>
      </c>
      <c r="F649" s="21">
        <v>0</v>
      </c>
      <c r="G649" s="21"/>
      <c r="H649" s="21" t="str">
        <f>IFERROR(VLOOKUP(G649,Basic_Data!$E$2:$I$9,5,0),"")</f>
        <v/>
      </c>
      <c r="I649" s="21">
        <v>644</v>
      </c>
      <c r="J649" s="21">
        <v>644</v>
      </c>
      <c r="K649" s="39">
        <v>0</v>
      </c>
      <c r="L649" s="39">
        <v>0</v>
      </c>
      <c r="M649" s="21">
        <v>0</v>
      </c>
    </row>
    <row r="650" spans="1:13" ht="15">
      <c r="A650" s="18">
        <v>46293</v>
      </c>
      <c r="B650" s="19">
        <v>46294</v>
      </c>
      <c r="C650" s="21"/>
      <c r="D650" s="21">
        <v>0</v>
      </c>
      <c r="E650" s="21">
        <v>0</v>
      </c>
      <c r="F650" s="21">
        <v>0</v>
      </c>
      <c r="G650" s="21"/>
      <c r="H650" s="21" t="str">
        <f>IFERROR(VLOOKUP(G650,Basic_Data!$E$2:$I$9,5,0),"")</f>
        <v/>
      </c>
      <c r="I650" s="21">
        <v>644</v>
      </c>
      <c r="J650" s="21">
        <v>644</v>
      </c>
      <c r="K650" s="39">
        <v>0</v>
      </c>
      <c r="L650" s="39">
        <v>0</v>
      </c>
      <c r="M650" s="21">
        <v>0</v>
      </c>
    </row>
    <row r="651" spans="1:13" ht="15">
      <c r="A651" s="18">
        <v>46294</v>
      </c>
      <c r="B651" s="19">
        <v>46295</v>
      </c>
      <c r="C651" s="21"/>
      <c r="D651" s="21">
        <v>0</v>
      </c>
      <c r="E651" s="21">
        <v>0</v>
      </c>
      <c r="F651" s="21">
        <v>0</v>
      </c>
      <c r="G651" s="21"/>
      <c r="H651" s="21" t="str">
        <f>IFERROR(VLOOKUP(G651,Basic_Data!$E$2:$I$9,5,0),"")</f>
        <v/>
      </c>
      <c r="I651" s="21">
        <v>644</v>
      </c>
      <c r="J651" s="21">
        <v>644</v>
      </c>
      <c r="K651" s="39">
        <v>0</v>
      </c>
      <c r="L651" s="39">
        <v>0</v>
      </c>
      <c r="M651" s="21">
        <v>0</v>
      </c>
    </row>
    <row r="652" spans="1:13" ht="15">
      <c r="A652" s="18">
        <v>46295</v>
      </c>
      <c r="B652" s="19">
        <v>46296</v>
      </c>
      <c r="C652" s="21"/>
      <c r="D652" s="21">
        <v>0</v>
      </c>
      <c r="E652" s="21">
        <v>0</v>
      </c>
      <c r="F652" s="21">
        <v>0</v>
      </c>
      <c r="G652" s="21"/>
      <c r="H652" s="21" t="str">
        <f>IFERROR(VLOOKUP(G652,Basic_Data!$E$2:$I$9,5,0),"")</f>
        <v/>
      </c>
      <c r="I652" s="21">
        <v>644</v>
      </c>
      <c r="J652" s="21">
        <v>644</v>
      </c>
      <c r="K652" s="39">
        <v>0</v>
      </c>
      <c r="L652" s="39">
        <v>0</v>
      </c>
      <c r="M652" s="21">
        <v>0</v>
      </c>
    </row>
    <row r="653" spans="1:13" ht="15">
      <c r="A653" s="18">
        <v>46296</v>
      </c>
      <c r="B653" s="19">
        <v>46297</v>
      </c>
      <c r="C653" s="21"/>
      <c r="D653" s="21">
        <v>0</v>
      </c>
      <c r="E653" s="21">
        <v>0</v>
      </c>
      <c r="F653" s="21">
        <v>0</v>
      </c>
      <c r="G653" s="21"/>
      <c r="H653" s="21" t="str">
        <f>IFERROR(VLOOKUP(G653,Basic_Data!$E$2:$I$9,5,0),"")</f>
        <v/>
      </c>
      <c r="I653" s="21">
        <v>644</v>
      </c>
      <c r="J653" s="21">
        <v>644</v>
      </c>
      <c r="K653" s="39">
        <v>0</v>
      </c>
      <c r="L653" s="39">
        <v>0</v>
      </c>
      <c r="M653" s="21">
        <v>0</v>
      </c>
    </row>
    <row r="654" spans="1:13" ht="15">
      <c r="A654" s="18">
        <v>46297</v>
      </c>
      <c r="B654" s="19">
        <v>46298</v>
      </c>
      <c r="C654" s="21"/>
      <c r="D654" s="21">
        <v>0</v>
      </c>
      <c r="E654" s="21">
        <v>0</v>
      </c>
      <c r="F654" s="21">
        <v>0</v>
      </c>
      <c r="G654" s="21"/>
      <c r="H654" s="21" t="str">
        <f>IFERROR(VLOOKUP(G654,Basic_Data!$E$2:$I$9,5,0),"")</f>
        <v/>
      </c>
      <c r="I654" s="21">
        <v>644</v>
      </c>
      <c r="J654" s="21">
        <v>644</v>
      </c>
      <c r="K654" s="39">
        <v>0</v>
      </c>
      <c r="L654" s="39">
        <v>0</v>
      </c>
      <c r="M654" s="21">
        <v>0</v>
      </c>
    </row>
    <row r="655" spans="1:13" ht="15">
      <c r="A655" s="18">
        <v>46298</v>
      </c>
      <c r="B655" s="19">
        <v>46299</v>
      </c>
      <c r="C655" s="21"/>
      <c r="D655" s="21">
        <v>0</v>
      </c>
      <c r="E655" s="21">
        <v>0</v>
      </c>
      <c r="F655" s="21">
        <v>0</v>
      </c>
      <c r="G655" s="21"/>
      <c r="H655" s="21" t="str">
        <f>IFERROR(VLOOKUP(G655,Basic_Data!$E$2:$I$9,5,0),"")</f>
        <v/>
      </c>
      <c r="I655" s="21">
        <v>644</v>
      </c>
      <c r="J655" s="21">
        <v>644</v>
      </c>
      <c r="K655" s="39">
        <v>0</v>
      </c>
      <c r="L655" s="39">
        <v>0</v>
      </c>
      <c r="M655" s="21">
        <v>0</v>
      </c>
    </row>
    <row r="656" spans="1:13" ht="15">
      <c r="A656" s="18">
        <v>46299</v>
      </c>
      <c r="B656" s="19">
        <v>46300</v>
      </c>
      <c r="C656" s="21"/>
      <c r="D656" s="21">
        <v>0</v>
      </c>
      <c r="E656" s="21">
        <v>0</v>
      </c>
      <c r="F656" s="21">
        <v>0</v>
      </c>
      <c r="G656" s="21"/>
      <c r="H656" s="21" t="str">
        <f>IFERROR(VLOOKUP(G656,Basic_Data!$E$2:$I$9,5,0),"")</f>
        <v/>
      </c>
      <c r="I656" s="21">
        <v>644</v>
      </c>
      <c r="J656" s="21">
        <v>644</v>
      </c>
      <c r="K656" s="39">
        <v>0</v>
      </c>
      <c r="L656" s="39">
        <v>0</v>
      </c>
      <c r="M656" s="21">
        <v>0</v>
      </c>
    </row>
    <row r="657" spans="1:13" ht="15">
      <c r="A657" s="18">
        <v>46300</v>
      </c>
      <c r="B657" s="19">
        <v>46301</v>
      </c>
      <c r="C657" s="21"/>
      <c r="D657" s="21">
        <v>0</v>
      </c>
      <c r="E657" s="21">
        <v>0</v>
      </c>
      <c r="F657" s="21">
        <v>0</v>
      </c>
      <c r="G657" s="21"/>
      <c r="H657" s="21" t="str">
        <f>IFERROR(VLOOKUP(G657,Basic_Data!$E$2:$I$9,5,0),"")</f>
        <v/>
      </c>
      <c r="I657" s="21">
        <v>644</v>
      </c>
      <c r="J657" s="21">
        <v>644</v>
      </c>
      <c r="K657" s="39">
        <v>0</v>
      </c>
      <c r="L657" s="39">
        <v>0</v>
      </c>
      <c r="M657" s="21">
        <v>0</v>
      </c>
    </row>
    <row r="658" spans="1:13" ht="15">
      <c r="A658" s="18">
        <v>46301</v>
      </c>
      <c r="B658" s="19">
        <v>46302</v>
      </c>
      <c r="C658" s="21"/>
      <c r="D658" s="21">
        <v>0</v>
      </c>
      <c r="E658" s="21">
        <v>0</v>
      </c>
      <c r="F658" s="21">
        <v>0</v>
      </c>
      <c r="G658" s="21"/>
      <c r="H658" s="21" t="str">
        <f>IFERROR(VLOOKUP(G658,Basic_Data!$E$2:$I$9,5,0),"")</f>
        <v/>
      </c>
      <c r="I658" s="21">
        <v>644</v>
      </c>
      <c r="J658" s="21">
        <v>644</v>
      </c>
      <c r="K658" s="39">
        <v>0</v>
      </c>
      <c r="L658" s="39">
        <v>0</v>
      </c>
      <c r="M658" s="21">
        <v>0</v>
      </c>
    </row>
    <row r="659" spans="1:13" ht="15">
      <c r="A659" s="18">
        <v>46302</v>
      </c>
      <c r="B659" s="19">
        <v>46303</v>
      </c>
      <c r="C659" s="21"/>
      <c r="D659" s="21">
        <v>0</v>
      </c>
      <c r="E659" s="21">
        <v>0</v>
      </c>
      <c r="F659" s="21">
        <v>0</v>
      </c>
      <c r="G659" s="21"/>
      <c r="H659" s="21" t="str">
        <f>IFERROR(VLOOKUP(G659,Basic_Data!$E$2:$I$9,5,0),"")</f>
        <v/>
      </c>
      <c r="I659" s="21">
        <v>644</v>
      </c>
      <c r="J659" s="21">
        <v>644</v>
      </c>
      <c r="K659" s="39">
        <v>0</v>
      </c>
      <c r="L659" s="39">
        <v>0</v>
      </c>
      <c r="M659" s="21">
        <v>0</v>
      </c>
    </row>
    <row r="660" spans="1:13" ht="15">
      <c r="A660" s="18">
        <v>46303</v>
      </c>
      <c r="B660" s="19">
        <v>46304</v>
      </c>
      <c r="C660" s="21"/>
      <c r="D660" s="21">
        <v>0</v>
      </c>
      <c r="E660" s="21">
        <v>0</v>
      </c>
      <c r="F660" s="21">
        <v>0</v>
      </c>
      <c r="G660" s="21"/>
      <c r="H660" s="21" t="str">
        <f>IFERROR(VLOOKUP(G660,Basic_Data!$E$2:$I$9,5,0),"")</f>
        <v/>
      </c>
      <c r="I660" s="21">
        <v>644</v>
      </c>
      <c r="J660" s="21">
        <v>644</v>
      </c>
      <c r="K660" s="39">
        <v>0</v>
      </c>
      <c r="L660" s="39">
        <v>0</v>
      </c>
      <c r="M660" s="21">
        <v>0</v>
      </c>
    </row>
    <row r="661" spans="1:13" ht="15">
      <c r="A661" s="18">
        <v>46304</v>
      </c>
      <c r="B661" s="19">
        <v>46305</v>
      </c>
      <c r="C661" s="21"/>
      <c r="D661" s="21">
        <v>0</v>
      </c>
      <c r="E661" s="21">
        <v>0</v>
      </c>
      <c r="F661" s="21">
        <v>0</v>
      </c>
      <c r="G661" s="21"/>
      <c r="H661" s="21" t="str">
        <f>IFERROR(VLOOKUP(G661,Basic_Data!$E$2:$I$9,5,0),"")</f>
        <v/>
      </c>
      <c r="I661" s="21">
        <v>644</v>
      </c>
      <c r="J661" s="21">
        <v>644</v>
      </c>
      <c r="K661" s="39">
        <v>0</v>
      </c>
      <c r="L661" s="39">
        <v>0</v>
      </c>
      <c r="M661" s="21">
        <v>0</v>
      </c>
    </row>
    <row r="662" spans="1:13" ht="15">
      <c r="A662" s="18">
        <v>46305</v>
      </c>
      <c r="B662" s="19">
        <v>46306</v>
      </c>
      <c r="C662" s="21"/>
      <c r="D662" s="21">
        <v>0</v>
      </c>
      <c r="E662" s="21">
        <v>0</v>
      </c>
      <c r="F662" s="21">
        <v>0</v>
      </c>
      <c r="G662" s="21"/>
      <c r="H662" s="21" t="str">
        <f>IFERROR(VLOOKUP(G662,Basic_Data!$E$2:$I$9,5,0),"")</f>
        <v/>
      </c>
      <c r="I662" s="21">
        <v>644</v>
      </c>
      <c r="J662" s="21">
        <v>644</v>
      </c>
      <c r="K662" s="39">
        <v>0</v>
      </c>
      <c r="L662" s="39">
        <v>0</v>
      </c>
      <c r="M662" s="21">
        <v>0</v>
      </c>
    </row>
    <row r="663" spans="1:13" ht="15">
      <c r="A663" s="18">
        <v>46306</v>
      </c>
      <c r="B663" s="19">
        <v>46307</v>
      </c>
      <c r="C663" s="21"/>
      <c r="D663" s="21">
        <v>0</v>
      </c>
      <c r="E663" s="21">
        <v>0</v>
      </c>
      <c r="F663" s="21">
        <v>0</v>
      </c>
      <c r="G663" s="21"/>
      <c r="H663" s="21" t="str">
        <f>IFERROR(VLOOKUP(G663,Basic_Data!$E$2:$I$9,5,0),"")</f>
        <v/>
      </c>
      <c r="I663" s="21">
        <v>644</v>
      </c>
      <c r="J663" s="21">
        <v>644</v>
      </c>
      <c r="K663" s="39">
        <v>0</v>
      </c>
      <c r="L663" s="39">
        <v>0</v>
      </c>
      <c r="M663" s="21">
        <v>0</v>
      </c>
    </row>
    <row r="664" spans="1:13" ht="15">
      <c r="A664" s="18">
        <v>46307</v>
      </c>
      <c r="B664" s="19">
        <v>46308</v>
      </c>
      <c r="C664" s="21"/>
      <c r="D664" s="21">
        <v>0</v>
      </c>
      <c r="E664" s="21">
        <v>0</v>
      </c>
      <c r="F664" s="21">
        <v>0</v>
      </c>
      <c r="G664" s="21"/>
      <c r="H664" s="21" t="str">
        <f>IFERROR(VLOOKUP(G664,Basic_Data!$E$2:$I$9,5,0),"")</f>
        <v/>
      </c>
      <c r="I664" s="21">
        <v>644</v>
      </c>
      <c r="J664" s="21">
        <v>644</v>
      </c>
      <c r="K664" s="39">
        <v>0</v>
      </c>
      <c r="L664" s="39">
        <v>0</v>
      </c>
      <c r="M664" s="21">
        <v>0</v>
      </c>
    </row>
    <row r="665" spans="1:13" ht="15">
      <c r="A665" s="18">
        <v>46308</v>
      </c>
      <c r="B665" s="19">
        <v>46309</v>
      </c>
      <c r="C665" s="21"/>
      <c r="D665" s="21">
        <v>0</v>
      </c>
      <c r="E665" s="21">
        <v>0</v>
      </c>
      <c r="F665" s="21">
        <v>0</v>
      </c>
      <c r="G665" s="21"/>
      <c r="H665" s="21" t="str">
        <f>IFERROR(VLOOKUP(G665,Basic_Data!$E$2:$I$9,5,0),"")</f>
        <v/>
      </c>
      <c r="I665" s="21">
        <v>644</v>
      </c>
      <c r="J665" s="21">
        <v>644</v>
      </c>
      <c r="K665" s="39">
        <v>0</v>
      </c>
      <c r="L665" s="39">
        <v>0</v>
      </c>
      <c r="M665" s="21">
        <v>0</v>
      </c>
    </row>
    <row r="666" spans="1:13" ht="15">
      <c r="A666" s="18">
        <v>46309</v>
      </c>
      <c r="B666" s="19">
        <v>46310</v>
      </c>
      <c r="C666" s="21"/>
      <c r="D666" s="21">
        <v>0</v>
      </c>
      <c r="E666" s="21">
        <v>0</v>
      </c>
      <c r="F666" s="21">
        <v>0</v>
      </c>
      <c r="G666" s="21"/>
      <c r="H666" s="21" t="str">
        <f>IFERROR(VLOOKUP(G666,Basic_Data!$E$2:$I$9,5,0),"")</f>
        <v/>
      </c>
      <c r="I666" s="21">
        <v>644</v>
      </c>
      <c r="J666" s="21">
        <v>644</v>
      </c>
      <c r="K666" s="39">
        <v>0</v>
      </c>
      <c r="L666" s="39">
        <v>0</v>
      </c>
      <c r="M666" s="21">
        <v>0</v>
      </c>
    </row>
    <row r="667" spans="1:13" ht="15">
      <c r="A667" s="18">
        <v>46310</v>
      </c>
      <c r="B667" s="19">
        <v>46311</v>
      </c>
      <c r="C667" s="21"/>
      <c r="D667" s="21">
        <v>0</v>
      </c>
      <c r="E667" s="21">
        <v>0</v>
      </c>
      <c r="F667" s="21">
        <v>0</v>
      </c>
      <c r="G667" s="21"/>
      <c r="H667" s="21" t="str">
        <f>IFERROR(VLOOKUP(G667,Basic_Data!$E$2:$I$9,5,0),"")</f>
        <v/>
      </c>
      <c r="I667" s="21">
        <v>644</v>
      </c>
      <c r="J667" s="21">
        <v>644</v>
      </c>
      <c r="K667" s="39">
        <v>0</v>
      </c>
      <c r="L667" s="39">
        <v>0</v>
      </c>
      <c r="M667" s="21">
        <v>0</v>
      </c>
    </row>
    <row r="668" spans="1:13" ht="15">
      <c r="A668" s="18">
        <v>46311</v>
      </c>
      <c r="B668" s="19">
        <v>46312</v>
      </c>
      <c r="C668" s="21"/>
      <c r="D668" s="21">
        <v>0</v>
      </c>
      <c r="E668" s="21">
        <v>0</v>
      </c>
      <c r="F668" s="21">
        <v>0</v>
      </c>
      <c r="G668" s="21"/>
      <c r="H668" s="21" t="str">
        <f>IFERROR(VLOOKUP(G668,Basic_Data!$E$2:$I$9,5,0),"")</f>
        <v/>
      </c>
      <c r="I668" s="21">
        <v>644</v>
      </c>
      <c r="J668" s="21">
        <v>644</v>
      </c>
      <c r="K668" s="39">
        <v>0</v>
      </c>
      <c r="L668" s="39">
        <v>0</v>
      </c>
      <c r="M668" s="21">
        <v>0</v>
      </c>
    </row>
    <row r="669" spans="1:13" ht="15">
      <c r="A669" s="18">
        <v>46312</v>
      </c>
      <c r="B669" s="19">
        <v>46313</v>
      </c>
      <c r="C669" s="21"/>
      <c r="D669" s="21">
        <v>0</v>
      </c>
      <c r="E669" s="21">
        <v>0</v>
      </c>
      <c r="F669" s="21">
        <v>0</v>
      </c>
      <c r="G669" s="21"/>
      <c r="H669" s="21" t="str">
        <f>IFERROR(VLOOKUP(G669,Basic_Data!$E$2:$I$9,5,0),"")</f>
        <v/>
      </c>
      <c r="I669" s="21">
        <v>644</v>
      </c>
      <c r="J669" s="21">
        <v>644</v>
      </c>
      <c r="K669" s="39">
        <v>0</v>
      </c>
      <c r="L669" s="39">
        <v>0</v>
      </c>
      <c r="M669" s="21">
        <v>0</v>
      </c>
    </row>
    <row r="670" spans="1:13" ht="15">
      <c r="A670" s="18">
        <v>46313</v>
      </c>
      <c r="B670" s="19">
        <v>46314</v>
      </c>
      <c r="C670" s="21"/>
      <c r="D670" s="21">
        <v>0</v>
      </c>
      <c r="E670" s="21">
        <v>0</v>
      </c>
      <c r="F670" s="21">
        <v>0</v>
      </c>
      <c r="G670" s="21"/>
      <c r="H670" s="21" t="str">
        <f>IFERROR(VLOOKUP(G670,Basic_Data!$E$2:$I$9,5,0),"")</f>
        <v/>
      </c>
      <c r="I670" s="21">
        <v>644</v>
      </c>
      <c r="J670" s="21">
        <v>644</v>
      </c>
      <c r="K670" s="39">
        <v>0</v>
      </c>
      <c r="L670" s="39">
        <v>0</v>
      </c>
      <c r="M670" s="21">
        <v>0</v>
      </c>
    </row>
    <row r="671" spans="1:13" ht="15">
      <c r="A671" s="18">
        <v>46314</v>
      </c>
      <c r="B671" s="19">
        <v>46315</v>
      </c>
      <c r="C671" s="21"/>
      <c r="D671" s="21">
        <v>0</v>
      </c>
      <c r="E671" s="21">
        <v>0</v>
      </c>
      <c r="F671" s="21">
        <v>0</v>
      </c>
      <c r="G671" s="21"/>
      <c r="H671" s="21" t="str">
        <f>IFERROR(VLOOKUP(G671,Basic_Data!$E$2:$I$9,5,0),"")</f>
        <v/>
      </c>
      <c r="I671" s="21">
        <v>644</v>
      </c>
      <c r="J671" s="21">
        <v>644</v>
      </c>
      <c r="K671" s="39">
        <v>0</v>
      </c>
      <c r="L671" s="39">
        <v>0</v>
      </c>
      <c r="M671" s="21">
        <v>0</v>
      </c>
    </row>
    <row r="672" spans="1:13" ht="15">
      <c r="A672" s="18">
        <v>46315</v>
      </c>
      <c r="B672" s="19">
        <v>46316</v>
      </c>
      <c r="C672" s="21"/>
      <c r="D672" s="21">
        <v>0</v>
      </c>
      <c r="E672" s="21">
        <v>0</v>
      </c>
      <c r="F672" s="21">
        <v>0</v>
      </c>
      <c r="G672" s="21"/>
      <c r="H672" s="21" t="str">
        <f>IFERROR(VLOOKUP(G672,Basic_Data!$E$2:$I$9,5,0),"")</f>
        <v/>
      </c>
      <c r="I672" s="21">
        <v>644</v>
      </c>
      <c r="J672" s="21">
        <v>644</v>
      </c>
      <c r="K672" s="39">
        <v>0</v>
      </c>
      <c r="L672" s="39">
        <v>0</v>
      </c>
      <c r="M672" s="21">
        <v>0</v>
      </c>
    </row>
    <row r="673" spans="1:13" ht="15">
      <c r="A673" s="18">
        <v>46316</v>
      </c>
      <c r="B673" s="19">
        <v>46317</v>
      </c>
      <c r="C673" s="21"/>
      <c r="D673" s="21">
        <v>0</v>
      </c>
      <c r="E673" s="21">
        <v>0</v>
      </c>
      <c r="F673" s="21">
        <v>0</v>
      </c>
      <c r="G673" s="21"/>
      <c r="H673" s="21" t="str">
        <f>IFERROR(VLOOKUP(G673,Basic_Data!$E$2:$I$9,5,0),"")</f>
        <v/>
      </c>
      <c r="I673" s="21">
        <v>644</v>
      </c>
      <c r="J673" s="21">
        <v>644</v>
      </c>
      <c r="K673" s="39">
        <v>0</v>
      </c>
      <c r="L673" s="39">
        <v>0</v>
      </c>
      <c r="M673" s="21">
        <v>0</v>
      </c>
    </row>
    <row r="674" spans="1:13" ht="15">
      <c r="A674" s="18">
        <v>46317</v>
      </c>
      <c r="B674" s="19">
        <v>46318</v>
      </c>
      <c r="C674" s="21"/>
      <c r="D674" s="21">
        <v>0</v>
      </c>
      <c r="E674" s="21">
        <v>0</v>
      </c>
      <c r="F674" s="21">
        <v>0</v>
      </c>
      <c r="G674" s="21"/>
      <c r="H674" s="21" t="str">
        <f>IFERROR(VLOOKUP(G674,Basic_Data!$E$2:$I$9,5,0),"")</f>
        <v/>
      </c>
      <c r="I674" s="21">
        <v>644</v>
      </c>
      <c r="J674" s="21">
        <v>644</v>
      </c>
      <c r="K674" s="39">
        <v>0</v>
      </c>
      <c r="L674" s="39">
        <v>0</v>
      </c>
      <c r="M674" s="21">
        <v>0</v>
      </c>
    </row>
    <row r="675" spans="1:13" ht="15">
      <c r="A675" s="18">
        <v>46318</v>
      </c>
      <c r="B675" s="19">
        <v>46319</v>
      </c>
      <c r="C675" s="21"/>
      <c r="D675" s="21">
        <v>0</v>
      </c>
      <c r="E675" s="21">
        <v>0</v>
      </c>
      <c r="F675" s="21">
        <v>0</v>
      </c>
      <c r="G675" s="21"/>
      <c r="H675" s="21" t="str">
        <f>IFERROR(VLOOKUP(G675,Basic_Data!$E$2:$I$9,5,0),"")</f>
        <v/>
      </c>
      <c r="I675" s="21">
        <v>644</v>
      </c>
      <c r="J675" s="21">
        <v>644</v>
      </c>
      <c r="K675" s="39">
        <v>0</v>
      </c>
      <c r="L675" s="39">
        <v>0</v>
      </c>
      <c r="M675" s="21">
        <v>0</v>
      </c>
    </row>
    <row r="676" spans="1:13" ht="15">
      <c r="A676" s="18">
        <v>46319</v>
      </c>
      <c r="B676" s="19">
        <v>46320</v>
      </c>
      <c r="C676" s="21"/>
      <c r="D676" s="21">
        <v>0</v>
      </c>
      <c r="E676" s="21">
        <v>0</v>
      </c>
      <c r="F676" s="21">
        <v>0</v>
      </c>
      <c r="G676" s="21"/>
      <c r="H676" s="21" t="str">
        <f>IFERROR(VLOOKUP(G676,Basic_Data!$E$2:$I$9,5,0),"")</f>
        <v/>
      </c>
      <c r="I676" s="21">
        <v>644</v>
      </c>
      <c r="J676" s="21">
        <v>644</v>
      </c>
      <c r="K676" s="39">
        <v>0</v>
      </c>
      <c r="L676" s="39">
        <v>0</v>
      </c>
      <c r="M676" s="21">
        <v>0</v>
      </c>
    </row>
    <row r="677" spans="1:13" ht="15">
      <c r="A677" s="18">
        <v>46320</v>
      </c>
      <c r="B677" s="19">
        <v>46321</v>
      </c>
      <c r="C677" s="21"/>
      <c r="D677" s="21">
        <v>0</v>
      </c>
      <c r="E677" s="21">
        <v>0</v>
      </c>
      <c r="F677" s="21">
        <v>0</v>
      </c>
      <c r="G677" s="21"/>
      <c r="H677" s="21" t="str">
        <f>IFERROR(VLOOKUP(G677,Basic_Data!$E$2:$I$9,5,0),"")</f>
        <v/>
      </c>
      <c r="I677" s="21">
        <v>644</v>
      </c>
      <c r="J677" s="21">
        <v>644</v>
      </c>
      <c r="K677" s="39">
        <v>0</v>
      </c>
      <c r="L677" s="39">
        <v>0</v>
      </c>
      <c r="M677" s="21">
        <v>0</v>
      </c>
    </row>
    <row r="678" spans="1:13" ht="15">
      <c r="A678" s="18">
        <v>46321</v>
      </c>
      <c r="B678" s="19">
        <v>46322</v>
      </c>
      <c r="C678" s="21"/>
      <c r="D678" s="21">
        <v>0</v>
      </c>
      <c r="E678" s="21">
        <v>0</v>
      </c>
      <c r="F678" s="21">
        <v>0</v>
      </c>
      <c r="G678" s="21"/>
      <c r="H678" s="21" t="str">
        <f>IFERROR(VLOOKUP(G678,Basic_Data!$E$2:$I$9,5,0),"")</f>
        <v/>
      </c>
      <c r="I678" s="21">
        <v>644</v>
      </c>
      <c r="J678" s="21">
        <v>644</v>
      </c>
      <c r="K678" s="39">
        <v>0</v>
      </c>
      <c r="L678" s="39">
        <v>0</v>
      </c>
      <c r="M678" s="21">
        <v>0</v>
      </c>
    </row>
    <row r="679" spans="1:13" ht="15">
      <c r="A679" s="18">
        <v>46322</v>
      </c>
      <c r="B679" s="19">
        <v>46323</v>
      </c>
      <c r="C679" s="21"/>
      <c r="D679" s="21">
        <v>0</v>
      </c>
      <c r="E679" s="21">
        <v>0</v>
      </c>
      <c r="F679" s="21">
        <v>0</v>
      </c>
      <c r="G679" s="21"/>
      <c r="H679" s="21" t="str">
        <f>IFERROR(VLOOKUP(G679,Basic_Data!$E$2:$I$9,5,0),"")</f>
        <v/>
      </c>
      <c r="I679" s="21">
        <v>644</v>
      </c>
      <c r="J679" s="21">
        <v>644</v>
      </c>
      <c r="K679" s="39">
        <v>0</v>
      </c>
      <c r="L679" s="39">
        <v>0</v>
      </c>
      <c r="M679" s="21">
        <v>0</v>
      </c>
    </row>
    <row r="680" spans="1:13" ht="15">
      <c r="A680" s="18">
        <v>46323</v>
      </c>
      <c r="B680" s="19">
        <v>46324</v>
      </c>
      <c r="C680" s="21"/>
      <c r="D680" s="21">
        <v>0</v>
      </c>
      <c r="E680" s="21">
        <v>0</v>
      </c>
      <c r="F680" s="21">
        <v>0</v>
      </c>
      <c r="G680" s="21"/>
      <c r="H680" s="21" t="str">
        <f>IFERROR(VLOOKUP(G680,Basic_Data!$E$2:$I$9,5,0),"")</f>
        <v/>
      </c>
      <c r="I680" s="21">
        <v>644</v>
      </c>
      <c r="J680" s="21">
        <v>644</v>
      </c>
      <c r="K680" s="39">
        <v>0</v>
      </c>
      <c r="L680" s="39">
        <v>0</v>
      </c>
      <c r="M680" s="21">
        <v>0</v>
      </c>
    </row>
    <row r="681" spans="1:13" ht="15">
      <c r="A681" s="18">
        <v>46324</v>
      </c>
      <c r="B681" s="19">
        <v>46325</v>
      </c>
      <c r="C681" s="21"/>
      <c r="D681" s="21">
        <v>0</v>
      </c>
      <c r="E681" s="21">
        <v>0</v>
      </c>
      <c r="F681" s="21">
        <v>0</v>
      </c>
      <c r="G681" s="21"/>
      <c r="H681" s="21" t="str">
        <f>IFERROR(VLOOKUP(G681,Basic_Data!$E$2:$I$9,5,0),"")</f>
        <v/>
      </c>
      <c r="I681" s="21">
        <v>644</v>
      </c>
      <c r="J681" s="21">
        <v>644</v>
      </c>
      <c r="K681" s="39">
        <v>0</v>
      </c>
      <c r="L681" s="39">
        <v>0</v>
      </c>
      <c r="M681" s="21">
        <v>0</v>
      </c>
    </row>
    <row r="682" spans="1:13" ht="15">
      <c r="A682" s="18">
        <v>46325</v>
      </c>
      <c r="B682" s="19">
        <v>46326</v>
      </c>
      <c r="C682" s="21"/>
      <c r="D682" s="21">
        <v>0</v>
      </c>
      <c r="E682" s="21">
        <v>0</v>
      </c>
      <c r="F682" s="21">
        <v>0</v>
      </c>
      <c r="G682" s="21"/>
      <c r="H682" s="21" t="str">
        <f>IFERROR(VLOOKUP(G682,Basic_Data!$E$2:$I$9,5,0),"")</f>
        <v/>
      </c>
      <c r="I682" s="21">
        <v>644</v>
      </c>
      <c r="J682" s="21">
        <v>644</v>
      </c>
      <c r="K682" s="39">
        <v>0</v>
      </c>
      <c r="L682" s="39">
        <v>0</v>
      </c>
      <c r="M682" s="21">
        <v>0</v>
      </c>
    </row>
    <row r="683" spans="1:13" ht="15">
      <c r="A683" s="18">
        <v>46326</v>
      </c>
      <c r="B683" s="19">
        <v>46327</v>
      </c>
      <c r="C683" s="21"/>
      <c r="D683" s="21">
        <v>0</v>
      </c>
      <c r="E683" s="21">
        <v>0</v>
      </c>
      <c r="F683" s="21">
        <v>0</v>
      </c>
      <c r="G683" s="21"/>
      <c r="H683" s="21" t="str">
        <f>IFERROR(VLOOKUP(G683,Basic_Data!$E$2:$I$9,5,0),"")</f>
        <v/>
      </c>
      <c r="I683" s="21">
        <v>644</v>
      </c>
      <c r="J683" s="21">
        <v>644</v>
      </c>
      <c r="K683" s="39">
        <v>0</v>
      </c>
      <c r="L683" s="39">
        <v>0</v>
      </c>
      <c r="M683" s="21">
        <v>0</v>
      </c>
    </row>
    <row r="684" spans="1:13" ht="15">
      <c r="A684" s="18">
        <v>46327</v>
      </c>
      <c r="B684" s="19">
        <v>46328</v>
      </c>
      <c r="C684" s="21"/>
      <c r="D684" s="21">
        <v>0</v>
      </c>
      <c r="E684" s="21">
        <v>0</v>
      </c>
      <c r="F684" s="21">
        <v>0</v>
      </c>
      <c r="G684" s="21"/>
      <c r="H684" s="21" t="str">
        <f>IFERROR(VLOOKUP(G684,Basic_Data!$E$2:$I$9,5,0),"")</f>
        <v/>
      </c>
      <c r="I684" s="21">
        <v>644</v>
      </c>
      <c r="J684" s="21">
        <v>644</v>
      </c>
      <c r="K684" s="39">
        <v>0</v>
      </c>
      <c r="L684" s="39">
        <v>0</v>
      </c>
      <c r="M684" s="21">
        <v>0</v>
      </c>
    </row>
    <row r="685" spans="1:13" ht="15">
      <c r="A685" s="18">
        <v>46328</v>
      </c>
      <c r="B685" s="19">
        <v>46329</v>
      </c>
      <c r="C685" s="21"/>
      <c r="D685" s="21">
        <v>0</v>
      </c>
      <c r="E685" s="21">
        <v>0</v>
      </c>
      <c r="F685" s="21">
        <v>0</v>
      </c>
      <c r="G685" s="21"/>
      <c r="H685" s="21" t="str">
        <f>IFERROR(VLOOKUP(G685,Basic_Data!$E$2:$I$9,5,0),"")</f>
        <v/>
      </c>
      <c r="I685" s="21">
        <v>644</v>
      </c>
      <c r="J685" s="21">
        <v>644</v>
      </c>
      <c r="K685" s="39">
        <v>0</v>
      </c>
      <c r="L685" s="39">
        <v>0</v>
      </c>
      <c r="M685" s="21">
        <v>0</v>
      </c>
    </row>
    <row r="686" spans="1:13" ht="15">
      <c r="A686" s="18">
        <v>46329</v>
      </c>
      <c r="B686" s="19">
        <v>46330</v>
      </c>
      <c r="C686" s="21"/>
      <c r="D686" s="21">
        <v>0</v>
      </c>
      <c r="E686" s="21">
        <v>0</v>
      </c>
      <c r="F686" s="21">
        <v>0</v>
      </c>
      <c r="G686" s="21"/>
      <c r="H686" s="21" t="str">
        <f>IFERROR(VLOOKUP(G686,Basic_Data!$E$2:$I$9,5,0),"")</f>
        <v/>
      </c>
      <c r="I686" s="21">
        <v>644</v>
      </c>
      <c r="J686" s="21">
        <v>644</v>
      </c>
      <c r="K686" s="39">
        <v>0</v>
      </c>
      <c r="L686" s="39">
        <v>0</v>
      </c>
      <c r="M686" s="21">
        <v>0</v>
      </c>
    </row>
    <row r="687" spans="1:13" ht="15">
      <c r="A687" s="18">
        <v>46330</v>
      </c>
      <c r="B687" s="19">
        <v>46331</v>
      </c>
      <c r="C687" s="21"/>
      <c r="D687" s="21">
        <v>0</v>
      </c>
      <c r="E687" s="21">
        <v>0</v>
      </c>
      <c r="F687" s="21">
        <v>0</v>
      </c>
      <c r="G687" s="21"/>
      <c r="H687" s="21" t="str">
        <f>IFERROR(VLOOKUP(G687,Basic_Data!$E$2:$I$9,5,0),"")</f>
        <v/>
      </c>
      <c r="I687" s="21">
        <v>644</v>
      </c>
      <c r="J687" s="21">
        <v>644</v>
      </c>
      <c r="K687" s="39">
        <v>0</v>
      </c>
      <c r="L687" s="39">
        <v>0</v>
      </c>
      <c r="M687" s="21">
        <v>0</v>
      </c>
    </row>
    <row r="688" spans="1:13" ht="15">
      <c r="A688" s="18">
        <v>46331</v>
      </c>
      <c r="B688" s="19">
        <v>46332</v>
      </c>
      <c r="C688" s="21"/>
      <c r="D688" s="21">
        <v>0</v>
      </c>
      <c r="E688" s="21">
        <v>0</v>
      </c>
      <c r="F688" s="21">
        <v>0</v>
      </c>
      <c r="G688" s="21"/>
      <c r="H688" s="21" t="str">
        <f>IFERROR(VLOOKUP(G688,Basic_Data!$E$2:$I$9,5,0),"")</f>
        <v/>
      </c>
      <c r="I688" s="21">
        <v>644</v>
      </c>
      <c r="J688" s="21">
        <v>644</v>
      </c>
      <c r="K688" s="39">
        <v>0</v>
      </c>
      <c r="L688" s="39">
        <v>0</v>
      </c>
      <c r="M688" s="21">
        <v>0</v>
      </c>
    </row>
    <row r="689" spans="1:13" ht="15">
      <c r="A689" s="18">
        <v>46332</v>
      </c>
      <c r="B689" s="19">
        <v>46333</v>
      </c>
      <c r="C689" s="21"/>
      <c r="D689" s="21">
        <v>0</v>
      </c>
      <c r="E689" s="21">
        <v>0</v>
      </c>
      <c r="F689" s="21">
        <v>0</v>
      </c>
      <c r="G689" s="21"/>
      <c r="H689" s="21" t="str">
        <f>IFERROR(VLOOKUP(G689,Basic_Data!$E$2:$I$9,5,0),"")</f>
        <v/>
      </c>
      <c r="I689" s="21">
        <v>644</v>
      </c>
      <c r="J689" s="21">
        <v>644</v>
      </c>
      <c r="K689" s="39">
        <v>0</v>
      </c>
      <c r="L689" s="39">
        <v>0</v>
      </c>
      <c r="M689" s="21">
        <v>0</v>
      </c>
    </row>
    <row r="690" spans="1:13" ht="15">
      <c r="A690" s="18">
        <v>46333</v>
      </c>
      <c r="B690" s="19">
        <v>46334</v>
      </c>
      <c r="C690" s="21"/>
      <c r="D690" s="21">
        <v>0</v>
      </c>
      <c r="E690" s="21">
        <v>0</v>
      </c>
      <c r="F690" s="21">
        <v>0</v>
      </c>
      <c r="G690" s="21"/>
      <c r="H690" s="21" t="str">
        <f>IFERROR(VLOOKUP(G690,Basic_Data!$E$2:$I$9,5,0),"")</f>
        <v/>
      </c>
      <c r="I690" s="21">
        <v>644</v>
      </c>
      <c r="J690" s="21">
        <v>644</v>
      </c>
      <c r="K690" s="39">
        <v>0</v>
      </c>
      <c r="L690" s="39">
        <v>0</v>
      </c>
      <c r="M690" s="21">
        <v>0</v>
      </c>
    </row>
    <row r="691" spans="1:13" ht="15">
      <c r="A691" s="18">
        <v>46334</v>
      </c>
      <c r="B691" s="19">
        <v>46335</v>
      </c>
      <c r="C691" s="21"/>
      <c r="D691" s="21">
        <v>0</v>
      </c>
      <c r="E691" s="21">
        <v>0</v>
      </c>
      <c r="F691" s="21">
        <v>0</v>
      </c>
      <c r="G691" s="21"/>
      <c r="H691" s="21" t="str">
        <f>IFERROR(VLOOKUP(G691,Basic_Data!$E$2:$I$9,5,0),"")</f>
        <v/>
      </c>
      <c r="I691" s="21">
        <v>644</v>
      </c>
      <c r="J691" s="21">
        <v>644</v>
      </c>
      <c r="K691" s="39">
        <v>0</v>
      </c>
      <c r="L691" s="39">
        <v>0</v>
      </c>
      <c r="M691" s="21">
        <v>0</v>
      </c>
    </row>
    <row r="692" spans="1:13" ht="15">
      <c r="A692" s="18">
        <v>46335</v>
      </c>
      <c r="B692" s="19">
        <v>46336</v>
      </c>
      <c r="C692" s="21"/>
      <c r="D692" s="21">
        <v>0</v>
      </c>
      <c r="E692" s="21">
        <v>0</v>
      </c>
      <c r="F692" s="21">
        <v>0</v>
      </c>
      <c r="G692" s="21"/>
      <c r="H692" s="21" t="str">
        <f>IFERROR(VLOOKUP(G692,Basic_Data!$E$2:$I$9,5,0),"")</f>
        <v/>
      </c>
      <c r="I692" s="21">
        <v>644</v>
      </c>
      <c r="J692" s="21">
        <v>644</v>
      </c>
      <c r="K692" s="39">
        <v>0</v>
      </c>
      <c r="L692" s="39">
        <v>0</v>
      </c>
      <c r="M692" s="21">
        <v>0</v>
      </c>
    </row>
    <row r="693" spans="1:13" ht="15">
      <c r="A693" s="18">
        <v>46336</v>
      </c>
      <c r="B693" s="19">
        <v>46337</v>
      </c>
      <c r="C693" s="21"/>
      <c r="D693" s="21">
        <v>0</v>
      </c>
      <c r="E693" s="21">
        <v>0</v>
      </c>
      <c r="F693" s="21">
        <v>0</v>
      </c>
      <c r="G693" s="21"/>
      <c r="H693" s="21" t="str">
        <f>IFERROR(VLOOKUP(G693,Basic_Data!$E$2:$I$9,5,0),"")</f>
        <v/>
      </c>
      <c r="I693" s="21">
        <v>644</v>
      </c>
      <c r="J693" s="21">
        <v>644</v>
      </c>
      <c r="K693" s="39">
        <v>0</v>
      </c>
      <c r="L693" s="39">
        <v>0</v>
      </c>
      <c r="M693" s="21">
        <v>0</v>
      </c>
    </row>
    <row r="694" spans="1:13" ht="15">
      <c r="A694" s="18">
        <v>46337</v>
      </c>
      <c r="B694" s="19">
        <v>46338</v>
      </c>
      <c r="C694" s="21"/>
      <c r="D694" s="21">
        <v>0</v>
      </c>
      <c r="E694" s="21">
        <v>0</v>
      </c>
      <c r="F694" s="21">
        <v>0</v>
      </c>
      <c r="G694" s="21"/>
      <c r="H694" s="21" t="str">
        <f>IFERROR(VLOOKUP(G694,Basic_Data!$E$2:$I$9,5,0),"")</f>
        <v/>
      </c>
      <c r="I694" s="21">
        <v>644</v>
      </c>
      <c r="J694" s="21">
        <v>644</v>
      </c>
      <c r="K694" s="39">
        <v>0</v>
      </c>
      <c r="L694" s="39">
        <v>0</v>
      </c>
      <c r="M694" s="21">
        <v>0</v>
      </c>
    </row>
    <row r="695" spans="1:13" ht="15">
      <c r="A695" s="18">
        <v>46338</v>
      </c>
      <c r="B695" s="19">
        <v>46339</v>
      </c>
      <c r="C695" s="21"/>
      <c r="D695" s="21">
        <v>0</v>
      </c>
      <c r="E695" s="21">
        <v>0</v>
      </c>
      <c r="F695" s="21">
        <v>0</v>
      </c>
      <c r="G695" s="21"/>
      <c r="H695" s="21" t="str">
        <f>IFERROR(VLOOKUP(G695,Basic_Data!$E$2:$I$9,5,0),"")</f>
        <v/>
      </c>
      <c r="I695" s="21">
        <v>644</v>
      </c>
      <c r="J695" s="21">
        <v>644</v>
      </c>
      <c r="K695" s="39">
        <v>0</v>
      </c>
      <c r="L695" s="39">
        <v>0</v>
      </c>
      <c r="M695" s="21">
        <v>0</v>
      </c>
    </row>
    <row r="696" spans="1:13" ht="15">
      <c r="A696" s="18">
        <v>46339</v>
      </c>
      <c r="B696" s="19">
        <v>46340</v>
      </c>
      <c r="C696" s="21"/>
      <c r="D696" s="21">
        <v>0</v>
      </c>
      <c r="E696" s="21">
        <v>0</v>
      </c>
      <c r="F696" s="21">
        <v>0</v>
      </c>
      <c r="G696" s="21"/>
      <c r="H696" s="21" t="str">
        <f>IFERROR(VLOOKUP(G696,Basic_Data!$E$2:$I$9,5,0),"")</f>
        <v/>
      </c>
      <c r="I696" s="21">
        <v>644</v>
      </c>
      <c r="J696" s="21">
        <v>644</v>
      </c>
      <c r="K696" s="39">
        <v>0</v>
      </c>
      <c r="L696" s="39">
        <v>0</v>
      </c>
      <c r="M696" s="21">
        <v>0</v>
      </c>
    </row>
    <row r="697" spans="1:13" ht="15">
      <c r="A697" s="18">
        <v>46340</v>
      </c>
      <c r="B697" s="19">
        <v>46341</v>
      </c>
      <c r="C697" s="21"/>
      <c r="D697" s="21">
        <v>0</v>
      </c>
      <c r="E697" s="21">
        <v>0</v>
      </c>
      <c r="F697" s="21">
        <v>0</v>
      </c>
      <c r="G697" s="21"/>
      <c r="H697" s="21" t="str">
        <f>IFERROR(VLOOKUP(G697,Basic_Data!$E$2:$I$9,5,0),"")</f>
        <v/>
      </c>
      <c r="I697" s="21">
        <v>644</v>
      </c>
      <c r="J697" s="21">
        <v>644</v>
      </c>
      <c r="K697" s="39">
        <v>0</v>
      </c>
      <c r="L697" s="39">
        <v>0</v>
      </c>
      <c r="M697" s="21">
        <v>0</v>
      </c>
    </row>
    <row r="698" spans="1:13" ht="15">
      <c r="A698" s="18">
        <v>46341</v>
      </c>
      <c r="B698" s="19">
        <v>46342</v>
      </c>
      <c r="C698" s="21"/>
      <c r="D698" s="21">
        <v>0</v>
      </c>
      <c r="E698" s="21">
        <v>0</v>
      </c>
      <c r="F698" s="21">
        <v>0</v>
      </c>
      <c r="G698" s="21"/>
      <c r="H698" s="21" t="str">
        <f>IFERROR(VLOOKUP(G698,Basic_Data!$E$2:$I$9,5,0),"")</f>
        <v/>
      </c>
      <c r="I698" s="21">
        <v>644</v>
      </c>
      <c r="J698" s="21">
        <v>644</v>
      </c>
      <c r="K698" s="39">
        <v>0</v>
      </c>
      <c r="L698" s="39">
        <v>0</v>
      </c>
      <c r="M698" s="21">
        <v>0</v>
      </c>
    </row>
    <row r="699" spans="1:13" ht="15">
      <c r="A699" s="18">
        <v>46342</v>
      </c>
      <c r="B699" s="19">
        <v>46343</v>
      </c>
      <c r="C699" s="21"/>
      <c r="D699" s="21">
        <v>0</v>
      </c>
      <c r="E699" s="21">
        <v>0</v>
      </c>
      <c r="F699" s="21">
        <v>0</v>
      </c>
      <c r="G699" s="21"/>
      <c r="H699" s="21" t="str">
        <f>IFERROR(VLOOKUP(G699,Basic_Data!$E$2:$I$9,5,0),"")</f>
        <v/>
      </c>
      <c r="I699" s="21">
        <v>644</v>
      </c>
      <c r="J699" s="21">
        <v>644</v>
      </c>
      <c r="K699" s="39">
        <v>0</v>
      </c>
      <c r="L699" s="39">
        <v>0</v>
      </c>
      <c r="M699" s="21">
        <v>0</v>
      </c>
    </row>
    <row r="700" spans="1:13" ht="15">
      <c r="A700" s="18">
        <v>46343</v>
      </c>
      <c r="B700" s="19">
        <v>46344</v>
      </c>
      <c r="C700" s="21"/>
      <c r="D700" s="21">
        <v>0</v>
      </c>
      <c r="E700" s="21">
        <v>0</v>
      </c>
      <c r="F700" s="21">
        <v>0</v>
      </c>
      <c r="G700" s="21"/>
      <c r="H700" s="21" t="str">
        <f>IFERROR(VLOOKUP(G700,Basic_Data!$E$2:$I$9,5,0),"")</f>
        <v/>
      </c>
      <c r="I700" s="21">
        <v>644</v>
      </c>
      <c r="J700" s="21">
        <v>644</v>
      </c>
      <c r="K700" s="39">
        <v>0</v>
      </c>
      <c r="L700" s="39">
        <v>0</v>
      </c>
      <c r="M700" s="21">
        <v>0</v>
      </c>
    </row>
    <row r="701" spans="1:13" ht="15">
      <c r="A701" s="18">
        <v>46344</v>
      </c>
      <c r="B701" s="19">
        <v>46345</v>
      </c>
      <c r="C701" s="21"/>
      <c r="D701" s="21">
        <v>0</v>
      </c>
      <c r="E701" s="21">
        <v>0</v>
      </c>
      <c r="F701" s="21">
        <v>0</v>
      </c>
      <c r="G701" s="21"/>
      <c r="H701" s="21" t="str">
        <f>IFERROR(VLOOKUP(G701,Basic_Data!$E$2:$I$9,5,0),"")</f>
        <v/>
      </c>
      <c r="I701" s="21">
        <v>644</v>
      </c>
      <c r="J701" s="21">
        <v>644</v>
      </c>
      <c r="K701" s="39">
        <v>0</v>
      </c>
      <c r="L701" s="39">
        <v>0</v>
      </c>
      <c r="M701" s="21">
        <v>0</v>
      </c>
    </row>
    <row r="702" spans="1:13" ht="15">
      <c r="A702" s="18">
        <v>46345</v>
      </c>
      <c r="B702" s="19">
        <v>46346</v>
      </c>
      <c r="C702" s="21"/>
      <c r="D702" s="21">
        <v>0</v>
      </c>
      <c r="E702" s="21">
        <v>0</v>
      </c>
      <c r="F702" s="21">
        <v>0</v>
      </c>
      <c r="G702" s="21"/>
      <c r="H702" s="21" t="str">
        <f>IFERROR(VLOOKUP(G702,Basic_Data!$E$2:$I$9,5,0),"")</f>
        <v/>
      </c>
      <c r="I702" s="21">
        <v>644</v>
      </c>
      <c r="J702" s="21">
        <v>644</v>
      </c>
      <c r="K702" s="39">
        <v>0</v>
      </c>
      <c r="L702" s="39">
        <v>0</v>
      </c>
      <c r="M702" s="21">
        <v>0</v>
      </c>
    </row>
    <row r="703" spans="1:13" ht="15">
      <c r="A703" s="18">
        <v>46346</v>
      </c>
      <c r="B703" s="19">
        <v>46347</v>
      </c>
      <c r="C703" s="21"/>
      <c r="D703" s="21">
        <v>0</v>
      </c>
      <c r="E703" s="21">
        <v>0</v>
      </c>
      <c r="F703" s="21">
        <v>0</v>
      </c>
      <c r="G703" s="21"/>
      <c r="H703" s="21" t="str">
        <f>IFERROR(VLOOKUP(G703,Basic_Data!$E$2:$I$9,5,0),"")</f>
        <v/>
      </c>
      <c r="I703" s="21">
        <v>644</v>
      </c>
      <c r="J703" s="21">
        <v>644</v>
      </c>
      <c r="K703" s="39">
        <v>0</v>
      </c>
      <c r="L703" s="39">
        <v>0</v>
      </c>
      <c r="M703" s="21">
        <v>0</v>
      </c>
    </row>
    <row r="704" spans="1:13" ht="15">
      <c r="A704" s="18">
        <v>46347</v>
      </c>
      <c r="B704" s="19">
        <v>46348</v>
      </c>
      <c r="C704" s="21"/>
      <c r="D704" s="21">
        <v>0</v>
      </c>
      <c r="E704" s="21">
        <v>0</v>
      </c>
      <c r="F704" s="21">
        <v>0</v>
      </c>
      <c r="G704" s="21"/>
      <c r="H704" s="21" t="str">
        <f>IFERROR(VLOOKUP(G704,Basic_Data!$E$2:$I$9,5,0),"")</f>
        <v/>
      </c>
      <c r="I704" s="21">
        <v>644</v>
      </c>
      <c r="J704" s="21">
        <v>644</v>
      </c>
      <c r="K704" s="39">
        <v>0</v>
      </c>
      <c r="L704" s="39">
        <v>0</v>
      </c>
      <c r="M704" s="21">
        <v>0</v>
      </c>
    </row>
    <row r="705" spans="1:13" ht="15">
      <c r="A705" s="18">
        <v>46348</v>
      </c>
      <c r="B705" s="19">
        <v>46349</v>
      </c>
      <c r="C705" s="21"/>
      <c r="D705" s="21">
        <v>0</v>
      </c>
      <c r="E705" s="21">
        <v>0</v>
      </c>
      <c r="F705" s="21">
        <v>0</v>
      </c>
      <c r="G705" s="21"/>
      <c r="H705" s="21" t="str">
        <f>IFERROR(VLOOKUP(G705,Basic_Data!$E$2:$I$9,5,0),"")</f>
        <v/>
      </c>
      <c r="I705" s="21">
        <v>644</v>
      </c>
      <c r="J705" s="21">
        <v>644</v>
      </c>
      <c r="K705" s="39">
        <v>0</v>
      </c>
      <c r="L705" s="39">
        <v>0</v>
      </c>
      <c r="M705" s="21">
        <v>0</v>
      </c>
    </row>
    <row r="706" spans="1:13" ht="15">
      <c r="A706" s="18">
        <v>46349</v>
      </c>
      <c r="B706" s="19">
        <v>46350</v>
      </c>
      <c r="C706" s="21"/>
      <c r="D706" s="21">
        <v>0</v>
      </c>
      <c r="E706" s="21">
        <v>0</v>
      </c>
      <c r="F706" s="21">
        <v>0</v>
      </c>
      <c r="G706" s="21"/>
      <c r="H706" s="21" t="str">
        <f>IFERROR(VLOOKUP(G706,Basic_Data!$E$2:$I$9,5,0),"")</f>
        <v/>
      </c>
      <c r="I706" s="21">
        <v>644</v>
      </c>
      <c r="J706" s="21">
        <v>644</v>
      </c>
      <c r="K706" s="39">
        <v>0</v>
      </c>
      <c r="L706" s="39">
        <v>0</v>
      </c>
      <c r="M706" s="21">
        <v>0</v>
      </c>
    </row>
    <row r="707" spans="1:13" ht="15">
      <c r="A707" s="18">
        <v>46350</v>
      </c>
      <c r="B707" s="19">
        <v>46351</v>
      </c>
      <c r="C707" s="21"/>
      <c r="D707" s="21">
        <v>0</v>
      </c>
      <c r="E707" s="21">
        <v>0</v>
      </c>
      <c r="F707" s="21">
        <v>0</v>
      </c>
      <c r="G707" s="21"/>
      <c r="H707" s="21" t="str">
        <f>IFERROR(VLOOKUP(G707,Basic_Data!$E$2:$I$9,5,0),"")</f>
        <v/>
      </c>
      <c r="I707" s="21">
        <v>644</v>
      </c>
      <c r="J707" s="21">
        <v>644</v>
      </c>
      <c r="K707" s="39">
        <v>0</v>
      </c>
      <c r="L707" s="39">
        <v>0</v>
      </c>
      <c r="M707" s="21">
        <v>0</v>
      </c>
    </row>
    <row r="708" spans="1:13" ht="15">
      <c r="A708" s="18">
        <v>46351</v>
      </c>
      <c r="B708" s="19">
        <v>46352</v>
      </c>
      <c r="C708" s="21"/>
      <c r="D708" s="21">
        <v>0</v>
      </c>
      <c r="E708" s="21">
        <v>0</v>
      </c>
      <c r="F708" s="21">
        <v>0</v>
      </c>
      <c r="G708" s="21"/>
      <c r="H708" s="21" t="str">
        <f>IFERROR(VLOOKUP(G708,Basic_Data!$E$2:$I$9,5,0),"")</f>
        <v/>
      </c>
      <c r="I708" s="21">
        <v>644</v>
      </c>
      <c r="J708" s="21">
        <v>644</v>
      </c>
      <c r="K708" s="39">
        <v>0</v>
      </c>
      <c r="L708" s="39">
        <v>0</v>
      </c>
      <c r="M708" s="21">
        <v>0</v>
      </c>
    </row>
    <row r="709" spans="1:13" ht="15">
      <c r="A709" s="18">
        <v>46352</v>
      </c>
      <c r="B709" s="19">
        <v>46353</v>
      </c>
      <c r="C709" s="21"/>
      <c r="D709" s="21">
        <v>0</v>
      </c>
      <c r="E709" s="21">
        <v>0</v>
      </c>
      <c r="F709" s="21">
        <v>0</v>
      </c>
      <c r="G709" s="21"/>
      <c r="H709" s="21" t="str">
        <f>IFERROR(VLOOKUP(G709,Basic_Data!$E$2:$I$9,5,0),"")</f>
        <v/>
      </c>
      <c r="I709" s="21">
        <v>644</v>
      </c>
      <c r="J709" s="21">
        <v>644</v>
      </c>
      <c r="K709" s="39">
        <v>0</v>
      </c>
      <c r="L709" s="39">
        <v>0</v>
      </c>
      <c r="M709" s="21">
        <v>0</v>
      </c>
    </row>
    <row r="710" spans="1:13" ht="15">
      <c r="A710" s="18">
        <v>46353</v>
      </c>
      <c r="B710" s="19">
        <v>46354</v>
      </c>
      <c r="C710" s="21"/>
      <c r="D710" s="21">
        <v>0</v>
      </c>
      <c r="E710" s="21">
        <v>0</v>
      </c>
      <c r="F710" s="21">
        <v>0</v>
      </c>
      <c r="G710" s="21"/>
      <c r="H710" s="21" t="str">
        <f>IFERROR(VLOOKUP(G710,Basic_Data!$E$2:$I$9,5,0),"")</f>
        <v/>
      </c>
      <c r="I710" s="21">
        <v>644</v>
      </c>
      <c r="J710" s="21">
        <v>644</v>
      </c>
      <c r="K710" s="39">
        <v>0</v>
      </c>
      <c r="L710" s="39">
        <v>0</v>
      </c>
      <c r="M710" s="21">
        <v>0</v>
      </c>
    </row>
    <row r="711" spans="1:13" ht="15">
      <c r="A711" s="18">
        <v>46354</v>
      </c>
      <c r="B711" s="19">
        <v>46355</v>
      </c>
      <c r="C711" s="21"/>
      <c r="D711" s="21">
        <v>0</v>
      </c>
      <c r="E711" s="21">
        <v>0</v>
      </c>
      <c r="F711" s="21">
        <v>0</v>
      </c>
      <c r="G711" s="21"/>
      <c r="H711" s="21" t="str">
        <f>IFERROR(VLOOKUP(G711,Basic_Data!$E$2:$I$9,5,0),"")</f>
        <v/>
      </c>
      <c r="I711" s="21">
        <v>644</v>
      </c>
      <c r="J711" s="21">
        <v>644</v>
      </c>
      <c r="K711" s="39">
        <v>0</v>
      </c>
      <c r="L711" s="39">
        <v>0</v>
      </c>
      <c r="M711" s="21">
        <v>0</v>
      </c>
    </row>
    <row r="712" spans="1:13" ht="15">
      <c r="A712" s="18">
        <v>46355</v>
      </c>
      <c r="B712" s="19">
        <v>46356</v>
      </c>
      <c r="C712" s="21"/>
      <c r="D712" s="21">
        <v>0</v>
      </c>
      <c r="E712" s="21">
        <v>0</v>
      </c>
      <c r="F712" s="21">
        <v>0</v>
      </c>
      <c r="G712" s="21"/>
      <c r="H712" s="21" t="str">
        <f>IFERROR(VLOOKUP(G712,Basic_Data!$E$2:$I$9,5,0),"")</f>
        <v/>
      </c>
      <c r="I712" s="21">
        <v>644</v>
      </c>
      <c r="J712" s="21">
        <v>644</v>
      </c>
      <c r="K712" s="39">
        <v>0</v>
      </c>
      <c r="L712" s="39">
        <v>0</v>
      </c>
      <c r="M712" s="21">
        <v>0</v>
      </c>
    </row>
    <row r="713" spans="1:13" ht="15">
      <c r="A713" s="18">
        <v>46356</v>
      </c>
      <c r="B713" s="19">
        <v>46357</v>
      </c>
      <c r="C713" s="21"/>
      <c r="D713" s="21">
        <v>0</v>
      </c>
      <c r="E713" s="21">
        <v>0</v>
      </c>
      <c r="F713" s="21">
        <v>0</v>
      </c>
      <c r="G713" s="21"/>
      <c r="H713" s="21" t="str">
        <f>IFERROR(VLOOKUP(G713,Basic_Data!$E$2:$I$9,5,0),"")</f>
        <v/>
      </c>
      <c r="I713" s="21">
        <v>644</v>
      </c>
      <c r="J713" s="21">
        <v>644</v>
      </c>
      <c r="K713" s="39">
        <v>0</v>
      </c>
      <c r="L713" s="39">
        <v>0</v>
      </c>
      <c r="M713" s="21">
        <v>0</v>
      </c>
    </row>
    <row r="714" spans="1:13" ht="15">
      <c r="A714" s="18">
        <v>46357</v>
      </c>
      <c r="B714" s="19">
        <v>46358</v>
      </c>
      <c r="C714" s="21"/>
      <c r="D714" s="21">
        <v>0</v>
      </c>
      <c r="E714" s="21">
        <v>0</v>
      </c>
      <c r="F714" s="21">
        <v>0</v>
      </c>
      <c r="G714" s="21"/>
      <c r="H714" s="21" t="str">
        <f>IFERROR(VLOOKUP(G714,Basic_Data!$E$2:$I$9,5,0),"")</f>
        <v/>
      </c>
      <c r="I714" s="21">
        <v>644</v>
      </c>
      <c r="J714" s="21">
        <v>644</v>
      </c>
      <c r="K714" s="39">
        <v>0</v>
      </c>
      <c r="L714" s="39">
        <v>0</v>
      </c>
      <c r="M714" s="21">
        <v>0</v>
      </c>
    </row>
    <row r="715" spans="1:13" ht="15">
      <c r="A715" s="18">
        <v>46358</v>
      </c>
      <c r="B715" s="19">
        <v>46359</v>
      </c>
      <c r="C715" s="21"/>
      <c r="D715" s="21">
        <v>0</v>
      </c>
      <c r="E715" s="21">
        <v>0</v>
      </c>
      <c r="F715" s="21">
        <v>0</v>
      </c>
      <c r="G715" s="21"/>
      <c r="H715" s="21" t="str">
        <f>IFERROR(VLOOKUP(G715,Basic_Data!$E$2:$I$9,5,0),"")</f>
        <v/>
      </c>
      <c r="I715" s="21">
        <v>644</v>
      </c>
      <c r="J715" s="21">
        <v>644</v>
      </c>
      <c r="K715" s="39">
        <v>0</v>
      </c>
      <c r="L715" s="39">
        <v>0</v>
      </c>
      <c r="M715" s="21">
        <v>0</v>
      </c>
    </row>
    <row r="716" spans="1:13" ht="15">
      <c r="A716" s="18">
        <v>46359</v>
      </c>
      <c r="B716" s="19">
        <v>46360</v>
      </c>
      <c r="C716" s="21"/>
      <c r="D716" s="21">
        <v>0</v>
      </c>
      <c r="E716" s="21">
        <v>0</v>
      </c>
      <c r="F716" s="21">
        <v>0</v>
      </c>
      <c r="G716" s="21"/>
      <c r="H716" s="21" t="str">
        <f>IFERROR(VLOOKUP(G716,Basic_Data!$E$2:$I$9,5,0),"")</f>
        <v/>
      </c>
      <c r="I716" s="21">
        <v>644</v>
      </c>
      <c r="J716" s="21">
        <v>644</v>
      </c>
      <c r="K716" s="39">
        <v>0</v>
      </c>
      <c r="L716" s="39">
        <v>0</v>
      </c>
      <c r="M716" s="21">
        <v>0</v>
      </c>
    </row>
    <row r="717" spans="1:13" ht="15">
      <c r="A717" s="18">
        <v>46360</v>
      </c>
      <c r="B717" s="19">
        <v>46361</v>
      </c>
      <c r="C717" s="21"/>
      <c r="D717" s="21">
        <v>0</v>
      </c>
      <c r="E717" s="21">
        <v>0</v>
      </c>
      <c r="F717" s="21">
        <v>0</v>
      </c>
      <c r="G717" s="21"/>
      <c r="H717" s="21" t="str">
        <f>IFERROR(VLOOKUP(G717,Basic_Data!$E$2:$I$9,5,0),"")</f>
        <v/>
      </c>
      <c r="I717" s="21">
        <v>644</v>
      </c>
      <c r="J717" s="21">
        <v>644</v>
      </c>
      <c r="K717" s="39">
        <v>0</v>
      </c>
      <c r="L717" s="39">
        <v>0</v>
      </c>
      <c r="M717" s="21">
        <v>0</v>
      </c>
    </row>
    <row r="718" spans="1:13" ht="15">
      <c r="A718" s="18">
        <v>46361</v>
      </c>
      <c r="B718" s="19">
        <v>46362</v>
      </c>
      <c r="C718" s="21"/>
      <c r="D718" s="21">
        <v>0</v>
      </c>
      <c r="E718" s="21">
        <v>0</v>
      </c>
      <c r="F718" s="21">
        <v>0</v>
      </c>
      <c r="G718" s="21"/>
      <c r="H718" s="21" t="str">
        <f>IFERROR(VLOOKUP(G718,Basic_Data!$E$2:$I$9,5,0),"")</f>
        <v/>
      </c>
      <c r="I718" s="21">
        <v>644</v>
      </c>
      <c r="J718" s="21">
        <v>644</v>
      </c>
      <c r="K718" s="39">
        <v>0</v>
      </c>
      <c r="L718" s="39">
        <v>0</v>
      </c>
      <c r="M718" s="21">
        <v>0</v>
      </c>
    </row>
    <row r="719" spans="1:13" ht="15">
      <c r="A719" s="18">
        <v>46362</v>
      </c>
      <c r="B719" s="19">
        <v>46363</v>
      </c>
      <c r="C719" s="21"/>
      <c r="D719" s="21">
        <v>0</v>
      </c>
      <c r="E719" s="21">
        <v>0</v>
      </c>
      <c r="F719" s="21">
        <v>0</v>
      </c>
      <c r="G719" s="21"/>
      <c r="H719" s="21" t="str">
        <f>IFERROR(VLOOKUP(G719,Basic_Data!$E$2:$I$9,5,0),"")</f>
        <v/>
      </c>
      <c r="I719" s="21">
        <v>644</v>
      </c>
      <c r="J719" s="21">
        <v>644</v>
      </c>
      <c r="K719" s="39">
        <v>0</v>
      </c>
      <c r="L719" s="39">
        <v>0</v>
      </c>
      <c r="M719" s="21">
        <v>0</v>
      </c>
    </row>
    <row r="720" spans="1:13" ht="15">
      <c r="A720" s="18">
        <v>46363</v>
      </c>
      <c r="B720" s="19">
        <v>46364</v>
      </c>
      <c r="C720" s="21"/>
      <c r="D720" s="21">
        <v>0</v>
      </c>
      <c r="E720" s="21">
        <v>0</v>
      </c>
      <c r="F720" s="21">
        <v>0</v>
      </c>
      <c r="G720" s="21"/>
      <c r="H720" s="21" t="str">
        <f>IFERROR(VLOOKUP(G720,Basic_Data!$E$2:$I$9,5,0),"")</f>
        <v/>
      </c>
      <c r="I720" s="21">
        <v>644</v>
      </c>
      <c r="J720" s="21">
        <v>644</v>
      </c>
      <c r="K720" s="39">
        <v>0</v>
      </c>
      <c r="L720" s="39">
        <v>0</v>
      </c>
      <c r="M720" s="21">
        <v>0</v>
      </c>
    </row>
    <row r="721" spans="1:13" ht="15">
      <c r="A721" s="18">
        <v>46364</v>
      </c>
      <c r="B721" s="19">
        <v>46365</v>
      </c>
      <c r="C721" s="21"/>
      <c r="D721" s="21">
        <v>0</v>
      </c>
      <c r="E721" s="21">
        <v>0</v>
      </c>
      <c r="F721" s="21">
        <v>0</v>
      </c>
      <c r="G721" s="21"/>
      <c r="H721" s="21" t="str">
        <f>IFERROR(VLOOKUP(G721,Basic_Data!$E$2:$I$9,5,0),"")</f>
        <v/>
      </c>
      <c r="I721" s="21">
        <v>644</v>
      </c>
      <c r="J721" s="21">
        <v>644</v>
      </c>
      <c r="K721" s="39">
        <v>0</v>
      </c>
      <c r="L721" s="39">
        <v>0</v>
      </c>
      <c r="M721" s="21">
        <v>0</v>
      </c>
    </row>
    <row r="722" spans="1:13" ht="15">
      <c r="A722" s="18">
        <v>46365</v>
      </c>
      <c r="B722" s="19">
        <v>46366</v>
      </c>
      <c r="C722" s="21"/>
      <c r="D722" s="21">
        <v>0</v>
      </c>
      <c r="E722" s="21">
        <v>0</v>
      </c>
      <c r="F722" s="21">
        <v>0</v>
      </c>
      <c r="G722" s="21"/>
      <c r="H722" s="21" t="str">
        <f>IFERROR(VLOOKUP(G722,Basic_Data!$E$2:$I$9,5,0),"")</f>
        <v/>
      </c>
      <c r="I722" s="21">
        <v>644</v>
      </c>
      <c r="J722" s="21">
        <v>644</v>
      </c>
      <c r="K722" s="39">
        <v>0</v>
      </c>
      <c r="L722" s="39">
        <v>0</v>
      </c>
      <c r="M722" s="21">
        <v>0</v>
      </c>
    </row>
    <row r="723" spans="1:13" ht="15">
      <c r="A723" s="18">
        <v>46366</v>
      </c>
      <c r="B723" s="19">
        <v>46367</v>
      </c>
      <c r="C723" s="21"/>
      <c r="D723" s="21">
        <v>0</v>
      </c>
      <c r="E723" s="21">
        <v>0</v>
      </c>
      <c r="F723" s="21">
        <v>0</v>
      </c>
      <c r="G723" s="21"/>
      <c r="H723" s="21" t="str">
        <f>IFERROR(VLOOKUP(G723,Basic_Data!$E$2:$I$9,5,0),"")</f>
        <v/>
      </c>
      <c r="I723" s="21">
        <v>644</v>
      </c>
      <c r="J723" s="21">
        <v>644</v>
      </c>
      <c r="K723" s="39">
        <v>0</v>
      </c>
      <c r="L723" s="39">
        <v>0</v>
      </c>
      <c r="M723" s="21">
        <v>0</v>
      </c>
    </row>
    <row r="724" spans="1:13" ht="15">
      <c r="A724" s="18">
        <v>46367</v>
      </c>
      <c r="B724" s="19">
        <v>46368</v>
      </c>
      <c r="C724" s="21"/>
      <c r="D724" s="21">
        <v>0</v>
      </c>
      <c r="E724" s="21">
        <v>0</v>
      </c>
      <c r="F724" s="21">
        <v>0</v>
      </c>
      <c r="G724" s="21"/>
      <c r="H724" s="21" t="str">
        <f>IFERROR(VLOOKUP(G724,Basic_Data!$E$2:$I$9,5,0),"")</f>
        <v/>
      </c>
      <c r="I724" s="21">
        <v>644</v>
      </c>
      <c r="J724" s="21">
        <v>644</v>
      </c>
      <c r="K724" s="39">
        <v>0</v>
      </c>
      <c r="L724" s="39">
        <v>0</v>
      </c>
      <c r="M724" s="21">
        <v>0</v>
      </c>
    </row>
    <row r="725" spans="1:13" ht="15">
      <c r="A725" s="18">
        <v>46368</v>
      </c>
      <c r="B725" s="19">
        <v>46369</v>
      </c>
      <c r="C725" s="21"/>
      <c r="D725" s="21">
        <v>0</v>
      </c>
      <c r="E725" s="21">
        <v>0</v>
      </c>
      <c r="F725" s="21">
        <v>0</v>
      </c>
      <c r="G725" s="21"/>
      <c r="H725" s="21" t="str">
        <f>IFERROR(VLOOKUP(G725,Basic_Data!$E$2:$I$9,5,0),"")</f>
        <v/>
      </c>
      <c r="I725" s="21">
        <v>644</v>
      </c>
      <c r="J725" s="21">
        <v>644</v>
      </c>
      <c r="K725" s="39">
        <v>0</v>
      </c>
      <c r="L725" s="39">
        <v>0</v>
      </c>
      <c r="M725" s="21">
        <v>0</v>
      </c>
    </row>
    <row r="726" spans="1:13" ht="15">
      <c r="A726" s="18">
        <v>46369</v>
      </c>
      <c r="B726" s="19">
        <v>46370</v>
      </c>
      <c r="C726" s="21"/>
      <c r="D726" s="21">
        <v>0</v>
      </c>
      <c r="E726" s="21">
        <v>0</v>
      </c>
      <c r="F726" s="21">
        <v>0</v>
      </c>
      <c r="G726" s="21"/>
      <c r="H726" s="21" t="str">
        <f>IFERROR(VLOOKUP(G726,Basic_Data!$E$2:$I$9,5,0),"")</f>
        <v/>
      </c>
      <c r="I726" s="21">
        <v>644</v>
      </c>
      <c r="J726" s="21">
        <v>644</v>
      </c>
      <c r="K726" s="39">
        <v>0</v>
      </c>
      <c r="L726" s="39">
        <v>0</v>
      </c>
      <c r="M726" s="21">
        <v>0</v>
      </c>
    </row>
    <row r="727" spans="1:13" ht="15">
      <c r="A727" s="18">
        <v>46370</v>
      </c>
      <c r="B727" s="19">
        <v>46371</v>
      </c>
      <c r="C727" s="21"/>
      <c r="D727" s="21">
        <v>0</v>
      </c>
      <c r="E727" s="21">
        <v>0</v>
      </c>
      <c r="F727" s="21">
        <v>0</v>
      </c>
      <c r="G727" s="21"/>
      <c r="H727" s="21" t="str">
        <f>IFERROR(VLOOKUP(G727,Basic_Data!$E$2:$I$9,5,0),"")</f>
        <v/>
      </c>
      <c r="I727" s="21">
        <v>644</v>
      </c>
      <c r="J727" s="21">
        <v>644</v>
      </c>
      <c r="K727" s="39">
        <v>0</v>
      </c>
      <c r="L727" s="39">
        <v>0</v>
      </c>
      <c r="M727" s="21">
        <v>0</v>
      </c>
    </row>
    <row r="728" spans="1:13" ht="15">
      <c r="A728" s="18">
        <v>46371</v>
      </c>
      <c r="B728" s="19">
        <v>46372</v>
      </c>
      <c r="C728" s="21"/>
      <c r="D728" s="21">
        <v>0</v>
      </c>
      <c r="E728" s="21">
        <v>0</v>
      </c>
      <c r="F728" s="21">
        <v>0</v>
      </c>
      <c r="G728" s="21"/>
      <c r="H728" s="21" t="str">
        <f>IFERROR(VLOOKUP(G728,Basic_Data!$E$2:$I$9,5,0),"")</f>
        <v/>
      </c>
      <c r="I728" s="21">
        <v>644</v>
      </c>
      <c r="J728" s="21">
        <v>644</v>
      </c>
      <c r="K728" s="39">
        <v>0</v>
      </c>
      <c r="L728" s="39">
        <v>0</v>
      </c>
      <c r="M728" s="21">
        <v>0</v>
      </c>
    </row>
    <row r="729" spans="1:13" ht="15">
      <c r="A729" s="18">
        <v>46372</v>
      </c>
      <c r="B729" s="19">
        <v>46373</v>
      </c>
      <c r="C729" s="21"/>
      <c r="D729" s="21">
        <v>0</v>
      </c>
      <c r="E729" s="21">
        <v>0</v>
      </c>
      <c r="F729" s="21">
        <v>0</v>
      </c>
      <c r="G729" s="21"/>
      <c r="H729" s="21" t="str">
        <f>IFERROR(VLOOKUP(G729,Basic_Data!$E$2:$I$9,5,0),"")</f>
        <v/>
      </c>
      <c r="I729" s="21">
        <v>644</v>
      </c>
      <c r="J729" s="21">
        <v>644</v>
      </c>
      <c r="K729" s="39">
        <v>0</v>
      </c>
      <c r="L729" s="39">
        <v>0</v>
      </c>
      <c r="M729" s="21">
        <v>0</v>
      </c>
    </row>
    <row r="730" spans="1:13" ht="15">
      <c r="A730" s="18">
        <v>46373</v>
      </c>
      <c r="B730" s="19">
        <v>46374</v>
      </c>
      <c r="C730" s="21"/>
      <c r="D730" s="21">
        <v>0</v>
      </c>
      <c r="E730" s="21">
        <v>0</v>
      </c>
      <c r="F730" s="21">
        <v>0</v>
      </c>
      <c r="G730" s="21"/>
      <c r="H730" s="21" t="str">
        <f>IFERROR(VLOOKUP(G730,Basic_Data!$E$2:$I$9,5,0),"")</f>
        <v/>
      </c>
      <c r="I730" s="21">
        <v>644</v>
      </c>
      <c r="J730" s="21">
        <v>644</v>
      </c>
      <c r="K730" s="39">
        <v>0</v>
      </c>
      <c r="L730" s="39">
        <v>0</v>
      </c>
      <c r="M730" s="21">
        <v>0</v>
      </c>
    </row>
    <row r="731" spans="1:13" ht="15">
      <c r="A731" s="18">
        <v>46374</v>
      </c>
      <c r="B731" s="19">
        <v>46375</v>
      </c>
      <c r="C731" s="21"/>
      <c r="D731" s="21">
        <v>0</v>
      </c>
      <c r="E731" s="21">
        <v>0</v>
      </c>
      <c r="F731" s="21">
        <v>0</v>
      </c>
      <c r="G731" s="21"/>
      <c r="H731" s="21" t="str">
        <f>IFERROR(VLOOKUP(G731,Basic_Data!$E$2:$I$9,5,0),"")</f>
        <v/>
      </c>
      <c r="I731" s="21">
        <v>644</v>
      </c>
      <c r="J731" s="21">
        <v>644</v>
      </c>
      <c r="K731" s="39">
        <v>0</v>
      </c>
      <c r="L731" s="39">
        <v>0</v>
      </c>
      <c r="M731" s="21">
        <v>0</v>
      </c>
    </row>
    <row r="732" spans="1:13" ht="15">
      <c r="A732" s="18">
        <v>46375</v>
      </c>
      <c r="B732" s="19">
        <v>46376</v>
      </c>
      <c r="C732" s="21"/>
      <c r="D732" s="21">
        <v>0</v>
      </c>
      <c r="E732" s="21">
        <v>0</v>
      </c>
      <c r="F732" s="21">
        <v>0</v>
      </c>
      <c r="G732" s="21"/>
      <c r="H732" s="21" t="str">
        <f>IFERROR(VLOOKUP(G732,Basic_Data!$E$2:$I$9,5,0),"")</f>
        <v/>
      </c>
      <c r="I732" s="21">
        <v>644</v>
      </c>
      <c r="J732" s="21">
        <v>644</v>
      </c>
      <c r="K732" s="39">
        <v>0</v>
      </c>
      <c r="L732" s="39">
        <v>0</v>
      </c>
      <c r="M732" s="21">
        <v>0</v>
      </c>
    </row>
    <row r="733" spans="1:13" ht="15">
      <c r="A733" s="18">
        <v>46376</v>
      </c>
      <c r="B733" s="19">
        <v>46377</v>
      </c>
      <c r="C733" s="21"/>
      <c r="D733" s="21">
        <v>0</v>
      </c>
      <c r="E733" s="21">
        <v>0</v>
      </c>
      <c r="F733" s="21">
        <v>0</v>
      </c>
      <c r="G733" s="21"/>
      <c r="H733" s="21" t="str">
        <f>IFERROR(VLOOKUP(G733,Basic_Data!$E$2:$I$9,5,0),"")</f>
        <v/>
      </c>
      <c r="I733" s="21">
        <v>644</v>
      </c>
      <c r="J733" s="21">
        <v>644</v>
      </c>
      <c r="K733" s="39">
        <v>0</v>
      </c>
      <c r="L733" s="39">
        <v>0</v>
      </c>
      <c r="M733" s="21">
        <v>0</v>
      </c>
    </row>
    <row r="734" spans="1:13" ht="15">
      <c r="A734" s="18">
        <v>46377</v>
      </c>
      <c r="B734" s="19">
        <v>46378</v>
      </c>
      <c r="C734" s="21"/>
      <c r="D734" s="21">
        <v>0</v>
      </c>
      <c r="E734" s="21">
        <v>0</v>
      </c>
      <c r="F734" s="21">
        <v>0</v>
      </c>
      <c r="G734" s="21"/>
      <c r="H734" s="21" t="str">
        <f>IFERROR(VLOOKUP(G734,Basic_Data!$E$2:$I$9,5,0),"")</f>
        <v/>
      </c>
      <c r="I734" s="21">
        <v>644</v>
      </c>
      <c r="J734" s="21">
        <v>644</v>
      </c>
      <c r="K734" s="39">
        <v>0</v>
      </c>
      <c r="L734" s="39">
        <v>0</v>
      </c>
      <c r="M734" s="21">
        <v>0</v>
      </c>
    </row>
    <row r="735" spans="1:13" ht="15">
      <c r="A735" s="18">
        <v>46378</v>
      </c>
      <c r="B735" s="19">
        <v>46379</v>
      </c>
      <c r="C735" s="21"/>
      <c r="D735" s="21">
        <v>0</v>
      </c>
      <c r="E735" s="21">
        <v>0</v>
      </c>
      <c r="F735" s="21">
        <v>0</v>
      </c>
      <c r="G735" s="21"/>
      <c r="H735" s="21" t="str">
        <f>IFERROR(VLOOKUP(G735,Basic_Data!$E$2:$I$9,5,0),"")</f>
        <v/>
      </c>
      <c r="I735" s="21">
        <v>644</v>
      </c>
      <c r="J735" s="21">
        <v>644</v>
      </c>
      <c r="K735" s="39">
        <v>0</v>
      </c>
      <c r="L735" s="39">
        <v>0</v>
      </c>
      <c r="M735" s="21">
        <v>0</v>
      </c>
    </row>
    <row r="736" spans="1:13" ht="15">
      <c r="A736" s="18">
        <v>46379</v>
      </c>
      <c r="B736" s="19">
        <v>46380</v>
      </c>
      <c r="C736" s="21"/>
      <c r="D736" s="21">
        <v>0</v>
      </c>
      <c r="E736" s="21">
        <v>0</v>
      </c>
      <c r="F736" s="21">
        <v>0</v>
      </c>
      <c r="G736" s="21"/>
      <c r="H736" s="21" t="str">
        <f>IFERROR(VLOOKUP(G736,Basic_Data!$E$2:$I$9,5,0),"")</f>
        <v/>
      </c>
      <c r="I736" s="21">
        <v>644</v>
      </c>
      <c r="J736" s="21">
        <v>644</v>
      </c>
      <c r="K736" s="39">
        <v>0</v>
      </c>
      <c r="L736" s="39">
        <v>0</v>
      </c>
      <c r="M736" s="21">
        <v>0</v>
      </c>
    </row>
    <row r="737" spans="1:13" ht="15">
      <c r="A737" s="18">
        <v>46380</v>
      </c>
      <c r="B737" s="19">
        <v>46381</v>
      </c>
      <c r="C737" s="21"/>
      <c r="D737" s="21">
        <v>0</v>
      </c>
      <c r="E737" s="21">
        <v>0</v>
      </c>
      <c r="F737" s="21">
        <v>0</v>
      </c>
      <c r="G737" s="21"/>
      <c r="H737" s="21" t="str">
        <f>IFERROR(VLOOKUP(G737,Basic_Data!$E$2:$I$9,5,0),"")</f>
        <v/>
      </c>
      <c r="I737" s="21">
        <v>644</v>
      </c>
      <c r="J737" s="21">
        <v>644</v>
      </c>
      <c r="K737" s="39">
        <v>0</v>
      </c>
      <c r="L737" s="39">
        <v>0</v>
      </c>
      <c r="M737" s="21">
        <v>0</v>
      </c>
    </row>
    <row r="738" spans="1:13" ht="15">
      <c r="A738" s="18">
        <v>46381</v>
      </c>
      <c r="B738" s="19">
        <v>46382</v>
      </c>
      <c r="C738" s="21"/>
      <c r="D738" s="21">
        <v>0</v>
      </c>
      <c r="E738" s="21">
        <v>0</v>
      </c>
      <c r="F738" s="21">
        <v>0</v>
      </c>
      <c r="G738" s="21"/>
      <c r="H738" s="21" t="str">
        <f>IFERROR(VLOOKUP(G738,Basic_Data!$E$2:$I$9,5,0),"")</f>
        <v/>
      </c>
      <c r="I738" s="21">
        <v>644</v>
      </c>
      <c r="J738" s="21">
        <v>644</v>
      </c>
      <c r="K738" s="39">
        <v>0</v>
      </c>
      <c r="L738" s="39">
        <v>0</v>
      </c>
      <c r="M738" s="21">
        <v>0</v>
      </c>
    </row>
    <row r="739" spans="1:13" ht="15">
      <c r="A739" s="18">
        <v>46382</v>
      </c>
      <c r="B739" s="19">
        <v>46383</v>
      </c>
      <c r="C739" s="21"/>
      <c r="D739" s="21">
        <v>0</v>
      </c>
      <c r="E739" s="21">
        <v>0</v>
      </c>
      <c r="F739" s="21">
        <v>0</v>
      </c>
      <c r="G739" s="21"/>
      <c r="H739" s="21" t="str">
        <f>IFERROR(VLOOKUP(G739,Basic_Data!$E$2:$I$9,5,0),"")</f>
        <v/>
      </c>
      <c r="I739" s="21">
        <v>644</v>
      </c>
      <c r="J739" s="21">
        <v>644</v>
      </c>
      <c r="K739" s="39">
        <v>0</v>
      </c>
      <c r="L739" s="39">
        <v>0</v>
      </c>
      <c r="M739" s="21">
        <v>0</v>
      </c>
    </row>
    <row r="740" spans="1:13" ht="15">
      <c r="A740" s="18">
        <v>46383</v>
      </c>
      <c r="B740" s="19">
        <v>46384</v>
      </c>
      <c r="C740" s="21"/>
      <c r="D740" s="21">
        <v>0</v>
      </c>
      <c r="E740" s="21">
        <v>0</v>
      </c>
      <c r="F740" s="21">
        <v>0</v>
      </c>
      <c r="G740" s="21"/>
      <c r="H740" s="21" t="str">
        <f>IFERROR(VLOOKUP(G740,Basic_Data!$E$2:$I$9,5,0),"")</f>
        <v/>
      </c>
      <c r="I740" s="21">
        <v>644</v>
      </c>
      <c r="J740" s="21">
        <v>644</v>
      </c>
      <c r="K740" s="39">
        <v>0</v>
      </c>
      <c r="L740" s="39">
        <v>0</v>
      </c>
      <c r="M740" s="21">
        <v>0</v>
      </c>
    </row>
    <row r="741" spans="1:13" ht="15">
      <c r="A741" s="18">
        <v>46384</v>
      </c>
      <c r="B741" s="19">
        <v>46385</v>
      </c>
      <c r="C741" s="21"/>
      <c r="D741" s="21">
        <v>0</v>
      </c>
      <c r="E741" s="21">
        <v>0</v>
      </c>
      <c r="F741" s="21">
        <v>0</v>
      </c>
      <c r="G741" s="21"/>
      <c r="H741" s="21" t="str">
        <f>IFERROR(VLOOKUP(G741,Basic_Data!$E$2:$I$9,5,0),"")</f>
        <v/>
      </c>
      <c r="I741" s="21">
        <v>644</v>
      </c>
      <c r="J741" s="21">
        <v>644</v>
      </c>
      <c r="K741" s="39">
        <v>0</v>
      </c>
      <c r="L741" s="39">
        <v>0</v>
      </c>
      <c r="M741" s="21">
        <v>0</v>
      </c>
    </row>
    <row r="742" spans="1:13" ht="15">
      <c r="A742" s="18">
        <v>46385</v>
      </c>
      <c r="B742" s="19">
        <v>46386</v>
      </c>
      <c r="C742" s="21"/>
      <c r="D742" s="21">
        <v>0</v>
      </c>
      <c r="E742" s="21">
        <v>0</v>
      </c>
      <c r="F742" s="21">
        <v>0</v>
      </c>
      <c r="G742" s="21"/>
      <c r="H742" s="21" t="str">
        <f>IFERROR(VLOOKUP(G742,Basic_Data!$E$2:$I$9,5,0),"")</f>
        <v/>
      </c>
      <c r="I742" s="21">
        <v>644</v>
      </c>
      <c r="J742" s="21">
        <v>644</v>
      </c>
      <c r="K742" s="39">
        <v>0</v>
      </c>
      <c r="L742" s="39">
        <v>0</v>
      </c>
      <c r="M742" s="21">
        <v>0</v>
      </c>
    </row>
    <row r="743" spans="1:13" ht="15">
      <c r="A743" s="18">
        <v>46386</v>
      </c>
      <c r="B743" s="19">
        <v>46387</v>
      </c>
      <c r="C743" s="21"/>
      <c r="D743" s="21">
        <v>0</v>
      </c>
      <c r="E743" s="21">
        <v>0</v>
      </c>
      <c r="F743" s="21">
        <v>0</v>
      </c>
      <c r="G743" s="21"/>
      <c r="H743" s="21" t="str">
        <f>IFERROR(VLOOKUP(G743,Basic_Data!$E$2:$I$9,5,0),"")</f>
        <v/>
      </c>
      <c r="I743" s="21">
        <v>644</v>
      </c>
      <c r="J743" s="21">
        <v>644</v>
      </c>
      <c r="K743" s="39">
        <v>0</v>
      </c>
      <c r="L743" s="39">
        <v>0</v>
      </c>
      <c r="M743" s="21">
        <v>0</v>
      </c>
    </row>
    <row r="744" spans="1:13" ht="15">
      <c r="A744" s="18">
        <v>46387</v>
      </c>
      <c r="B744" s="19">
        <v>46388</v>
      </c>
      <c r="C744" s="21"/>
      <c r="D744" s="21">
        <v>0</v>
      </c>
      <c r="E744" s="21">
        <v>0</v>
      </c>
      <c r="F744" s="21">
        <v>0</v>
      </c>
      <c r="G744" s="21"/>
      <c r="H744" s="21" t="str">
        <f>IFERROR(VLOOKUP(G744,Basic_Data!$E$2:$I$9,5,0),"")</f>
        <v/>
      </c>
      <c r="I744" s="21">
        <v>644</v>
      </c>
      <c r="J744" s="21">
        <v>644</v>
      </c>
      <c r="K744" s="39">
        <v>0</v>
      </c>
      <c r="L744" s="39">
        <v>0</v>
      </c>
      <c r="M744" s="21">
        <v>0</v>
      </c>
    </row>
    <row r="745" spans="1:13" ht="15">
      <c r="A745" s="18">
        <v>46388</v>
      </c>
      <c r="B745" s="19">
        <v>46389</v>
      </c>
      <c r="C745" s="21"/>
      <c r="D745" s="21">
        <v>0</v>
      </c>
      <c r="E745" s="21">
        <v>0</v>
      </c>
      <c r="F745" s="21">
        <v>0</v>
      </c>
      <c r="G745" s="21"/>
      <c r="H745" s="21" t="str">
        <f>IFERROR(VLOOKUP(G745,Basic_Data!$E$2:$I$9,5,0),"")</f>
        <v/>
      </c>
      <c r="I745" s="21">
        <v>644</v>
      </c>
      <c r="J745" s="21">
        <v>644</v>
      </c>
      <c r="K745" s="39">
        <v>0</v>
      </c>
      <c r="L745" s="39">
        <v>0</v>
      </c>
      <c r="M745" s="21">
        <v>0</v>
      </c>
    </row>
    <row r="746" spans="1:13" ht="15">
      <c r="A746" s="18">
        <v>46389</v>
      </c>
      <c r="B746" s="19">
        <v>46390</v>
      </c>
      <c r="C746" s="21"/>
      <c r="D746" s="21">
        <v>0</v>
      </c>
      <c r="E746" s="21">
        <v>0</v>
      </c>
      <c r="F746" s="21">
        <v>0</v>
      </c>
      <c r="G746" s="21"/>
      <c r="H746" s="21" t="str">
        <f>IFERROR(VLOOKUP(G746,Basic_Data!$E$2:$I$9,5,0),"")</f>
        <v/>
      </c>
      <c r="I746" s="21">
        <v>644</v>
      </c>
      <c r="J746" s="21">
        <v>644</v>
      </c>
      <c r="K746" s="39">
        <v>0</v>
      </c>
      <c r="L746" s="39">
        <v>0</v>
      </c>
      <c r="M746" s="21">
        <v>0</v>
      </c>
    </row>
    <row r="747" spans="1:13" ht="15">
      <c r="A747" s="18">
        <v>46390</v>
      </c>
      <c r="B747" s="19">
        <v>46391</v>
      </c>
      <c r="C747" s="21"/>
      <c r="D747" s="21">
        <v>0</v>
      </c>
      <c r="E747" s="21">
        <v>0</v>
      </c>
      <c r="F747" s="21">
        <v>0</v>
      </c>
      <c r="G747" s="21"/>
      <c r="H747" s="21" t="str">
        <f>IFERROR(VLOOKUP(G747,Basic_Data!$E$2:$I$9,5,0),"")</f>
        <v/>
      </c>
      <c r="I747" s="21">
        <v>644</v>
      </c>
      <c r="J747" s="21">
        <v>644</v>
      </c>
      <c r="K747" s="39">
        <v>0</v>
      </c>
      <c r="L747" s="39">
        <v>0</v>
      </c>
      <c r="M747" s="21">
        <v>0</v>
      </c>
    </row>
    <row r="748" spans="1:13" ht="15">
      <c r="A748" s="18">
        <v>46391</v>
      </c>
      <c r="B748" s="19">
        <v>46392</v>
      </c>
      <c r="C748" s="21"/>
      <c r="D748" s="21">
        <v>0</v>
      </c>
      <c r="E748" s="21">
        <v>0</v>
      </c>
      <c r="F748" s="21">
        <v>0</v>
      </c>
      <c r="G748" s="21"/>
      <c r="H748" s="21" t="str">
        <f>IFERROR(VLOOKUP(G748,Basic_Data!$E$2:$I$9,5,0),"")</f>
        <v/>
      </c>
      <c r="I748" s="21">
        <v>644</v>
      </c>
      <c r="J748" s="21">
        <v>644</v>
      </c>
      <c r="K748" s="39">
        <v>0</v>
      </c>
      <c r="L748" s="39">
        <v>0</v>
      </c>
      <c r="M748" s="21">
        <v>0</v>
      </c>
    </row>
    <row r="749" spans="1:13" ht="15">
      <c r="A749" s="18">
        <v>46392</v>
      </c>
      <c r="B749" s="19">
        <v>46393</v>
      </c>
      <c r="C749" s="21"/>
      <c r="D749" s="21">
        <v>0</v>
      </c>
      <c r="E749" s="21">
        <v>0</v>
      </c>
      <c r="F749" s="21">
        <v>0</v>
      </c>
      <c r="G749" s="21"/>
      <c r="H749" s="21" t="str">
        <f>IFERROR(VLOOKUP(G749,Basic_Data!$E$2:$I$9,5,0),"")</f>
        <v/>
      </c>
      <c r="I749" s="21">
        <v>644</v>
      </c>
      <c r="J749" s="21">
        <v>644</v>
      </c>
      <c r="K749" s="39">
        <v>0</v>
      </c>
      <c r="L749" s="39">
        <v>0</v>
      </c>
      <c r="M749" s="21">
        <v>0</v>
      </c>
    </row>
    <row r="750" spans="1:13" ht="15">
      <c r="A750" s="18">
        <v>46393</v>
      </c>
      <c r="B750" s="19">
        <v>46394</v>
      </c>
      <c r="C750" s="21"/>
      <c r="D750" s="21">
        <v>0</v>
      </c>
      <c r="E750" s="21">
        <v>0</v>
      </c>
      <c r="F750" s="21">
        <v>0</v>
      </c>
      <c r="G750" s="21"/>
      <c r="H750" s="21" t="str">
        <f>IFERROR(VLOOKUP(G750,Basic_Data!$E$2:$I$9,5,0),"")</f>
        <v/>
      </c>
      <c r="I750" s="21">
        <v>644</v>
      </c>
      <c r="J750" s="21">
        <v>644</v>
      </c>
      <c r="K750" s="39">
        <v>0</v>
      </c>
      <c r="L750" s="39">
        <v>0</v>
      </c>
      <c r="M750" s="21">
        <v>0</v>
      </c>
    </row>
    <row r="751" spans="1:13" ht="15">
      <c r="A751" s="18">
        <v>46394</v>
      </c>
      <c r="B751" s="19">
        <v>46395</v>
      </c>
      <c r="C751" s="21"/>
      <c r="D751" s="21">
        <v>0</v>
      </c>
      <c r="E751" s="21">
        <v>0</v>
      </c>
      <c r="F751" s="21">
        <v>0</v>
      </c>
      <c r="G751" s="21"/>
      <c r="H751" s="21" t="str">
        <f>IFERROR(VLOOKUP(G751,Basic_Data!$E$2:$I$9,5,0),"")</f>
        <v/>
      </c>
      <c r="I751" s="21">
        <v>644</v>
      </c>
      <c r="J751" s="21">
        <v>644</v>
      </c>
      <c r="K751" s="39">
        <v>0</v>
      </c>
      <c r="L751" s="39">
        <v>0</v>
      </c>
      <c r="M751" s="21">
        <v>0</v>
      </c>
    </row>
    <row r="752" spans="1:13" ht="15">
      <c r="A752" s="18">
        <v>46395</v>
      </c>
      <c r="B752" s="19">
        <v>46396</v>
      </c>
      <c r="C752" s="21"/>
      <c r="D752" s="21">
        <v>0</v>
      </c>
      <c r="E752" s="21">
        <v>0</v>
      </c>
      <c r="F752" s="21">
        <v>0</v>
      </c>
      <c r="G752" s="21"/>
      <c r="H752" s="21" t="str">
        <f>IFERROR(VLOOKUP(G752,Basic_Data!$E$2:$I$9,5,0),"")</f>
        <v/>
      </c>
      <c r="I752" s="21">
        <v>644</v>
      </c>
      <c r="J752" s="21">
        <v>644</v>
      </c>
      <c r="K752" s="39">
        <v>0</v>
      </c>
      <c r="L752" s="39">
        <v>0</v>
      </c>
      <c r="M752" s="21">
        <v>0</v>
      </c>
    </row>
    <row r="753" spans="1:13" ht="15">
      <c r="A753" s="18">
        <v>46396</v>
      </c>
      <c r="B753" s="19">
        <v>46397</v>
      </c>
      <c r="C753" s="21"/>
      <c r="D753" s="21">
        <v>0</v>
      </c>
      <c r="E753" s="21">
        <v>0</v>
      </c>
      <c r="F753" s="21">
        <v>0</v>
      </c>
      <c r="G753" s="21"/>
      <c r="H753" s="21" t="str">
        <f>IFERROR(VLOOKUP(G753,Basic_Data!$E$2:$I$9,5,0),"")</f>
        <v/>
      </c>
      <c r="I753" s="21">
        <v>644</v>
      </c>
      <c r="J753" s="21">
        <v>644</v>
      </c>
      <c r="K753" s="39">
        <v>0</v>
      </c>
      <c r="L753" s="39">
        <v>0</v>
      </c>
      <c r="M753" s="21">
        <v>0</v>
      </c>
    </row>
    <row r="754" spans="1:13" ht="15">
      <c r="A754" s="18">
        <v>46397</v>
      </c>
      <c r="B754" s="19">
        <v>46398</v>
      </c>
      <c r="C754" s="21"/>
      <c r="D754" s="21">
        <v>0</v>
      </c>
      <c r="E754" s="21">
        <v>0</v>
      </c>
      <c r="F754" s="21">
        <v>0</v>
      </c>
      <c r="G754" s="21"/>
      <c r="H754" s="21" t="str">
        <f>IFERROR(VLOOKUP(G754,Basic_Data!$E$2:$I$9,5,0),"")</f>
        <v/>
      </c>
      <c r="I754" s="21">
        <v>644</v>
      </c>
      <c r="J754" s="21">
        <v>644</v>
      </c>
      <c r="K754" s="39">
        <v>0</v>
      </c>
      <c r="L754" s="39">
        <v>0</v>
      </c>
      <c r="M754" s="21">
        <v>0</v>
      </c>
    </row>
    <row r="755" spans="1:13" ht="15">
      <c r="A755" s="18">
        <v>46398</v>
      </c>
      <c r="B755" s="19">
        <v>46399</v>
      </c>
      <c r="C755" s="21"/>
      <c r="D755" s="21">
        <v>0</v>
      </c>
      <c r="E755" s="21">
        <v>0</v>
      </c>
      <c r="F755" s="21">
        <v>0</v>
      </c>
      <c r="G755" s="21"/>
      <c r="H755" s="21" t="str">
        <f>IFERROR(VLOOKUP(G755,Basic_Data!$E$2:$I$9,5,0),"")</f>
        <v/>
      </c>
      <c r="I755" s="21">
        <v>644</v>
      </c>
      <c r="J755" s="21">
        <v>644</v>
      </c>
      <c r="K755" s="39">
        <v>0</v>
      </c>
      <c r="L755" s="39">
        <v>0</v>
      </c>
      <c r="M755" s="21">
        <v>0</v>
      </c>
    </row>
    <row r="756" spans="1:13" ht="15">
      <c r="A756" s="18">
        <v>46399</v>
      </c>
      <c r="B756" s="19">
        <v>46400</v>
      </c>
      <c r="C756" s="21"/>
      <c r="D756" s="21">
        <v>0</v>
      </c>
      <c r="E756" s="21">
        <v>0</v>
      </c>
      <c r="F756" s="21">
        <v>0</v>
      </c>
      <c r="G756" s="21"/>
      <c r="H756" s="21" t="str">
        <f>IFERROR(VLOOKUP(G756,Basic_Data!$E$2:$I$9,5,0),"")</f>
        <v/>
      </c>
      <c r="I756" s="21">
        <v>644</v>
      </c>
      <c r="J756" s="21">
        <v>644</v>
      </c>
      <c r="K756" s="39">
        <v>0</v>
      </c>
      <c r="L756" s="39">
        <v>0</v>
      </c>
      <c r="M756" s="21">
        <v>0</v>
      </c>
    </row>
    <row r="757" spans="1:13" ht="15">
      <c r="A757" s="18">
        <v>46400</v>
      </c>
      <c r="B757" s="19">
        <v>46401</v>
      </c>
      <c r="C757" s="21"/>
      <c r="D757" s="21">
        <v>0</v>
      </c>
      <c r="E757" s="21">
        <v>0</v>
      </c>
      <c r="F757" s="21">
        <v>0</v>
      </c>
      <c r="G757" s="21"/>
      <c r="H757" s="21" t="str">
        <f>IFERROR(VLOOKUP(G757,Basic_Data!$E$2:$I$9,5,0),"")</f>
        <v/>
      </c>
      <c r="I757" s="21">
        <v>644</v>
      </c>
      <c r="J757" s="21">
        <v>644</v>
      </c>
      <c r="K757" s="39">
        <v>0</v>
      </c>
      <c r="L757" s="39">
        <v>0</v>
      </c>
      <c r="M757" s="21">
        <v>0</v>
      </c>
    </row>
    <row r="758" spans="1:13" ht="15">
      <c r="A758" s="18">
        <v>46401</v>
      </c>
      <c r="B758" s="19">
        <v>46402</v>
      </c>
      <c r="C758" s="21"/>
      <c r="D758" s="21">
        <v>0</v>
      </c>
      <c r="E758" s="21">
        <v>0</v>
      </c>
      <c r="F758" s="21">
        <v>0</v>
      </c>
      <c r="G758" s="21"/>
      <c r="H758" s="21" t="str">
        <f>IFERROR(VLOOKUP(G758,Basic_Data!$E$2:$I$9,5,0),"")</f>
        <v/>
      </c>
      <c r="I758" s="21">
        <v>644</v>
      </c>
      <c r="J758" s="21">
        <v>644</v>
      </c>
      <c r="K758" s="39">
        <v>0</v>
      </c>
      <c r="L758" s="39">
        <v>0</v>
      </c>
      <c r="M758" s="21">
        <v>0</v>
      </c>
    </row>
    <row r="759" spans="1:13" ht="15">
      <c r="A759" s="18">
        <v>46402</v>
      </c>
      <c r="B759" s="19">
        <v>46403</v>
      </c>
      <c r="C759" s="21"/>
      <c r="D759" s="21">
        <v>0</v>
      </c>
      <c r="E759" s="21">
        <v>0</v>
      </c>
      <c r="F759" s="21">
        <v>0</v>
      </c>
      <c r="G759" s="21"/>
      <c r="H759" s="21" t="str">
        <f>IFERROR(VLOOKUP(G759,Basic_Data!$E$2:$I$9,5,0),"")</f>
        <v/>
      </c>
      <c r="I759" s="21">
        <v>644</v>
      </c>
      <c r="J759" s="21">
        <v>644</v>
      </c>
      <c r="K759" s="39">
        <v>0</v>
      </c>
      <c r="L759" s="39">
        <v>0</v>
      </c>
      <c r="M759" s="21">
        <v>0</v>
      </c>
    </row>
    <row r="760" spans="1:13" ht="15">
      <c r="A760" s="18">
        <v>46403</v>
      </c>
      <c r="B760" s="19">
        <v>46404</v>
      </c>
      <c r="C760" s="21"/>
      <c r="D760" s="21">
        <v>0</v>
      </c>
      <c r="E760" s="21">
        <v>0</v>
      </c>
      <c r="F760" s="21">
        <v>0</v>
      </c>
      <c r="G760" s="21"/>
      <c r="H760" s="21" t="str">
        <f>IFERROR(VLOOKUP(G760,Basic_Data!$E$2:$I$9,5,0),"")</f>
        <v/>
      </c>
      <c r="I760" s="21">
        <v>644</v>
      </c>
      <c r="J760" s="21">
        <v>644</v>
      </c>
      <c r="K760" s="39">
        <v>0</v>
      </c>
      <c r="L760" s="39">
        <v>0</v>
      </c>
      <c r="M760" s="21">
        <v>0</v>
      </c>
    </row>
    <row r="761" spans="1:13" ht="15">
      <c r="A761" s="18">
        <v>46404</v>
      </c>
      <c r="B761" s="19">
        <v>46405</v>
      </c>
      <c r="C761" s="21"/>
      <c r="D761" s="21">
        <v>0</v>
      </c>
      <c r="E761" s="21">
        <v>0</v>
      </c>
      <c r="F761" s="21">
        <v>0</v>
      </c>
      <c r="G761" s="21"/>
      <c r="H761" s="21" t="str">
        <f>IFERROR(VLOOKUP(G761,Basic_Data!$E$2:$I$9,5,0),"")</f>
        <v/>
      </c>
      <c r="I761" s="21">
        <v>644</v>
      </c>
      <c r="J761" s="21">
        <v>644</v>
      </c>
      <c r="K761" s="39">
        <v>0</v>
      </c>
      <c r="L761" s="39">
        <v>0</v>
      </c>
      <c r="M761" s="21">
        <v>0</v>
      </c>
    </row>
    <row r="762" spans="1:13" ht="15">
      <c r="A762" s="18">
        <v>46405</v>
      </c>
      <c r="B762" s="19">
        <v>46406</v>
      </c>
      <c r="C762" s="21"/>
      <c r="D762" s="21">
        <v>0</v>
      </c>
      <c r="E762" s="21">
        <v>0</v>
      </c>
      <c r="F762" s="21">
        <v>0</v>
      </c>
      <c r="G762" s="21"/>
      <c r="H762" s="21" t="str">
        <f>IFERROR(VLOOKUP(G762,Basic_Data!$E$2:$I$9,5,0),"")</f>
        <v/>
      </c>
      <c r="I762" s="21">
        <v>644</v>
      </c>
      <c r="J762" s="21">
        <v>644</v>
      </c>
      <c r="K762" s="39">
        <v>0</v>
      </c>
      <c r="L762" s="39">
        <v>0</v>
      </c>
      <c r="M762" s="21">
        <v>0</v>
      </c>
    </row>
    <row r="763" spans="1:13" ht="15">
      <c r="A763" s="18">
        <v>46406</v>
      </c>
      <c r="B763" s="19">
        <v>46407</v>
      </c>
      <c r="C763" s="21"/>
      <c r="D763" s="21">
        <v>0</v>
      </c>
      <c r="E763" s="21">
        <v>0</v>
      </c>
      <c r="F763" s="21">
        <v>0</v>
      </c>
      <c r="G763" s="21"/>
      <c r="H763" s="21" t="str">
        <f>IFERROR(VLOOKUP(G763,Basic_Data!$E$2:$I$9,5,0),"")</f>
        <v/>
      </c>
      <c r="I763" s="21">
        <v>644</v>
      </c>
      <c r="J763" s="21">
        <v>644</v>
      </c>
      <c r="K763" s="39">
        <v>0</v>
      </c>
      <c r="L763" s="39">
        <v>0</v>
      </c>
      <c r="M763" s="21">
        <v>0</v>
      </c>
    </row>
    <row r="764" spans="1:13" ht="15">
      <c r="A764" s="18">
        <v>46407</v>
      </c>
      <c r="B764" s="19">
        <v>46408</v>
      </c>
      <c r="C764" s="21"/>
      <c r="D764" s="21">
        <v>1</v>
      </c>
      <c r="E764" s="21">
        <v>1</v>
      </c>
      <c r="F764" s="21">
        <v>1</v>
      </c>
      <c r="G764" s="21"/>
      <c r="H764" s="21" t="str">
        <f>IFERROR(VLOOKUP(G764,Basic_Data!$E$2:$I$9,5,0),"")</f>
        <v/>
      </c>
      <c r="I764" s="21">
        <v>645</v>
      </c>
      <c r="J764" s="21">
        <v>645</v>
      </c>
      <c r="K764" s="39">
        <v>1</v>
      </c>
      <c r="L764" s="39">
        <v>1</v>
      </c>
      <c r="M764" s="21">
        <v>1</v>
      </c>
    </row>
    <row r="765" spans="1:13" ht="15">
      <c r="A765" s="18">
        <v>46408</v>
      </c>
      <c r="B765" s="19">
        <v>46409</v>
      </c>
      <c r="C765" s="21"/>
      <c r="D765" s="21">
        <v>2</v>
      </c>
      <c r="E765" s="21">
        <v>2</v>
      </c>
      <c r="F765" s="21">
        <v>2</v>
      </c>
      <c r="G765" s="21"/>
      <c r="H765" s="21" t="str">
        <f>IFERROR(VLOOKUP(G765,Basic_Data!$E$2:$I$9,5,0),"")</f>
        <v/>
      </c>
      <c r="I765" s="21">
        <v>646</v>
      </c>
      <c r="J765" s="21">
        <v>646</v>
      </c>
      <c r="K765" s="39">
        <v>2</v>
      </c>
      <c r="L765" s="39">
        <v>2</v>
      </c>
      <c r="M765" s="21">
        <v>2</v>
      </c>
    </row>
    <row r="766" spans="1:13" ht="15">
      <c r="A766" s="18">
        <v>46409</v>
      </c>
      <c r="B766" s="19">
        <v>46410</v>
      </c>
      <c r="C766" s="21"/>
      <c r="D766" s="21">
        <v>3</v>
      </c>
      <c r="E766" s="21">
        <v>3</v>
      </c>
      <c r="F766" s="21">
        <v>3</v>
      </c>
      <c r="G766" s="21"/>
      <c r="H766" s="21" t="str">
        <f>IFERROR(VLOOKUP(G766,Basic_Data!$E$2:$I$9,5,0),"")</f>
        <v/>
      </c>
      <c r="I766" s="21">
        <v>647</v>
      </c>
      <c r="J766" s="21">
        <v>647</v>
      </c>
      <c r="K766" s="39">
        <v>3</v>
      </c>
      <c r="L766" s="39">
        <v>3</v>
      </c>
      <c r="M766" s="21">
        <v>3</v>
      </c>
    </row>
    <row r="767" spans="1:13" ht="15">
      <c r="A767" s="18">
        <v>46410</v>
      </c>
      <c r="B767" s="19">
        <v>46411</v>
      </c>
      <c r="C767" s="21"/>
      <c r="D767" s="21">
        <v>4</v>
      </c>
      <c r="E767" s="21">
        <v>4</v>
      </c>
      <c r="F767" s="21">
        <v>4</v>
      </c>
      <c r="G767" s="21"/>
      <c r="H767" s="21" t="str">
        <f>IFERROR(VLOOKUP(G767,Basic_Data!$E$2:$I$9,5,0),"")</f>
        <v/>
      </c>
      <c r="I767" s="21">
        <v>648</v>
      </c>
      <c r="J767" s="21">
        <v>648</v>
      </c>
      <c r="K767" s="39">
        <v>4</v>
      </c>
      <c r="L767" s="39">
        <v>4</v>
      </c>
      <c r="M767" s="21">
        <v>4</v>
      </c>
    </row>
    <row r="768" spans="1:13" ht="15">
      <c r="A768" s="18">
        <v>46411</v>
      </c>
      <c r="B768" s="19">
        <v>46412</v>
      </c>
      <c r="C768" s="21"/>
      <c r="D768" s="21">
        <v>5</v>
      </c>
      <c r="E768" s="21">
        <v>5</v>
      </c>
      <c r="F768" s="21">
        <v>5</v>
      </c>
      <c r="G768" s="21"/>
      <c r="H768" s="21" t="str">
        <f>IFERROR(VLOOKUP(G768,Basic_Data!$E$2:$I$9,5,0),"")</f>
        <v/>
      </c>
      <c r="I768" s="21">
        <v>649</v>
      </c>
      <c r="J768" s="21">
        <v>649</v>
      </c>
      <c r="K768" s="39">
        <v>5</v>
      </c>
      <c r="L768" s="39">
        <v>5</v>
      </c>
      <c r="M768" s="21">
        <v>5</v>
      </c>
    </row>
    <row r="769" spans="1:13" ht="15">
      <c r="A769" s="18">
        <v>46412</v>
      </c>
      <c r="B769" s="19">
        <v>46413</v>
      </c>
      <c r="C769" s="21"/>
      <c r="D769" s="21">
        <v>6</v>
      </c>
      <c r="E769" s="21">
        <v>6</v>
      </c>
      <c r="F769" s="21">
        <v>6</v>
      </c>
      <c r="G769" s="21"/>
      <c r="H769" s="21" t="str">
        <f>IFERROR(VLOOKUP(G769,Basic_Data!$E$2:$I$9,5,0),"")</f>
        <v/>
      </c>
      <c r="I769" s="21">
        <v>650</v>
      </c>
      <c r="J769" s="21">
        <v>650</v>
      </c>
      <c r="K769" s="39">
        <v>6</v>
      </c>
      <c r="L769" s="39">
        <v>6</v>
      </c>
      <c r="M769" s="21">
        <v>6</v>
      </c>
    </row>
    <row r="770" spans="1:13" ht="15">
      <c r="A770" s="18">
        <v>46413</v>
      </c>
      <c r="B770" s="19">
        <v>46414</v>
      </c>
      <c r="C770" s="21"/>
      <c r="D770" s="21">
        <v>7</v>
      </c>
      <c r="E770" s="21">
        <v>7</v>
      </c>
      <c r="F770" s="21">
        <v>7</v>
      </c>
      <c r="G770" s="21"/>
      <c r="H770" s="21" t="str">
        <f>IFERROR(VLOOKUP(G770,Basic_Data!$E$2:$I$9,5,0),"")</f>
        <v/>
      </c>
      <c r="I770" s="21">
        <v>651</v>
      </c>
      <c r="J770" s="21">
        <v>651</v>
      </c>
      <c r="K770" s="39">
        <v>7</v>
      </c>
      <c r="L770" s="39">
        <v>7</v>
      </c>
      <c r="M770" s="21">
        <v>7</v>
      </c>
    </row>
    <row r="771" spans="1:13" ht="15">
      <c r="A771" s="18">
        <v>46414</v>
      </c>
      <c r="B771" s="19">
        <v>46415</v>
      </c>
      <c r="C771" s="21"/>
      <c r="D771" s="21">
        <v>8</v>
      </c>
      <c r="E771" s="21">
        <v>8</v>
      </c>
      <c r="F771" s="21">
        <v>8</v>
      </c>
      <c r="G771" s="21"/>
      <c r="H771" s="21" t="str">
        <f>IFERROR(VLOOKUP(G771,Basic_Data!$E$2:$I$9,5,0),"")</f>
        <v/>
      </c>
      <c r="I771" s="21">
        <v>652</v>
      </c>
      <c r="J771" s="21">
        <v>652</v>
      </c>
      <c r="K771" s="39">
        <v>8</v>
      </c>
      <c r="L771" s="39">
        <v>8</v>
      </c>
      <c r="M771" s="21">
        <v>8</v>
      </c>
    </row>
    <row r="772" spans="1:13" ht="15">
      <c r="A772" s="18">
        <v>46415</v>
      </c>
      <c r="B772" s="19">
        <v>46416</v>
      </c>
      <c r="C772" s="21"/>
      <c r="D772" s="21">
        <v>9</v>
      </c>
      <c r="E772" s="21">
        <v>9</v>
      </c>
      <c r="F772" s="21">
        <v>9</v>
      </c>
      <c r="G772" s="21"/>
      <c r="H772" s="21" t="str">
        <f>IFERROR(VLOOKUP(G772,Basic_Data!$E$2:$I$9,5,0),"")</f>
        <v/>
      </c>
      <c r="I772" s="21">
        <v>653</v>
      </c>
      <c r="J772" s="21">
        <v>653</v>
      </c>
      <c r="K772" s="39">
        <v>9</v>
      </c>
      <c r="L772" s="39">
        <v>9</v>
      </c>
      <c r="M772" s="21">
        <v>9</v>
      </c>
    </row>
    <row r="773" spans="1:13" ht="15">
      <c r="A773" s="18">
        <v>46416</v>
      </c>
      <c r="B773" s="19">
        <v>46417</v>
      </c>
      <c r="C773" s="21"/>
      <c r="D773" s="21">
        <v>10</v>
      </c>
      <c r="E773" s="21">
        <v>10</v>
      </c>
      <c r="F773" s="21">
        <v>10</v>
      </c>
      <c r="G773" s="21"/>
      <c r="H773" s="21" t="str">
        <f>IFERROR(VLOOKUP(G773,Basic_Data!$E$2:$I$9,5,0),"")</f>
        <v/>
      </c>
      <c r="I773" s="21">
        <v>654</v>
      </c>
      <c r="J773" s="21">
        <v>654</v>
      </c>
      <c r="K773" s="39">
        <v>10</v>
      </c>
      <c r="L773" s="39">
        <v>10</v>
      </c>
      <c r="M773" s="21">
        <v>10</v>
      </c>
    </row>
    <row r="774" spans="1:13" ht="15">
      <c r="A774" s="18">
        <v>46417</v>
      </c>
      <c r="B774" s="19">
        <v>46418</v>
      </c>
      <c r="C774" s="21"/>
      <c r="D774" s="21">
        <v>11</v>
      </c>
      <c r="E774" s="21">
        <v>11</v>
      </c>
      <c r="F774" s="21">
        <v>11</v>
      </c>
      <c r="G774" s="21"/>
      <c r="H774" s="21" t="str">
        <f>IFERROR(VLOOKUP(G774,Basic_Data!$E$2:$I$9,5,0),"")</f>
        <v/>
      </c>
      <c r="I774" s="21">
        <v>655</v>
      </c>
      <c r="J774" s="21">
        <v>655</v>
      </c>
      <c r="K774" s="39">
        <v>11</v>
      </c>
      <c r="L774" s="39">
        <v>11</v>
      </c>
      <c r="M774" s="21">
        <v>11</v>
      </c>
    </row>
    <row r="775" spans="1:13" ht="15">
      <c r="A775" s="18">
        <v>46418</v>
      </c>
      <c r="B775" s="19">
        <v>46419</v>
      </c>
      <c r="C775" s="21"/>
      <c r="D775" s="21">
        <v>12</v>
      </c>
      <c r="E775" s="21">
        <v>12</v>
      </c>
      <c r="F775" s="21">
        <v>12</v>
      </c>
      <c r="G775" s="21"/>
      <c r="H775" s="21" t="str">
        <f>IFERROR(VLOOKUP(G775,Basic_Data!$E$2:$I$9,5,0),"")</f>
        <v/>
      </c>
      <c r="I775" s="21">
        <v>656</v>
      </c>
      <c r="J775" s="21">
        <v>656</v>
      </c>
      <c r="K775" s="39">
        <v>12</v>
      </c>
      <c r="L775" s="39">
        <v>12</v>
      </c>
      <c r="M775" s="21">
        <v>12</v>
      </c>
    </row>
    <row r="776" spans="1:13" ht="15">
      <c r="A776" s="18">
        <v>46419</v>
      </c>
      <c r="B776" s="19">
        <v>46420</v>
      </c>
      <c r="C776" s="21"/>
      <c r="D776" s="21">
        <v>13</v>
      </c>
      <c r="E776" s="21">
        <v>13</v>
      </c>
      <c r="F776" s="21">
        <v>13</v>
      </c>
      <c r="G776" s="21"/>
      <c r="H776" s="21" t="str">
        <f>IFERROR(VLOOKUP(G776,Basic_Data!$E$2:$I$9,5,0),"")</f>
        <v/>
      </c>
      <c r="I776" s="21">
        <v>657</v>
      </c>
      <c r="J776" s="21">
        <v>657</v>
      </c>
      <c r="K776" s="39">
        <v>13</v>
      </c>
      <c r="L776" s="39">
        <v>13</v>
      </c>
      <c r="M776" s="21">
        <v>13</v>
      </c>
    </row>
    <row r="777" spans="1:13" ht="15">
      <c r="A777" s="18">
        <v>46420</v>
      </c>
      <c r="B777" s="19">
        <v>46421</v>
      </c>
      <c r="C777" s="21"/>
      <c r="D777" s="21">
        <v>14</v>
      </c>
      <c r="E777" s="21">
        <v>14</v>
      </c>
      <c r="F777" s="21">
        <v>14</v>
      </c>
      <c r="G777" s="21"/>
      <c r="H777" s="21" t="str">
        <f>IFERROR(VLOOKUP(G777,Basic_Data!$E$2:$I$9,5,0),"")</f>
        <v/>
      </c>
      <c r="I777" s="21">
        <v>658</v>
      </c>
      <c r="J777" s="21">
        <v>658</v>
      </c>
      <c r="K777" s="39">
        <v>14</v>
      </c>
      <c r="L777" s="39">
        <v>14</v>
      </c>
      <c r="M777" s="21">
        <v>14</v>
      </c>
    </row>
    <row r="778" spans="1:13" ht="15">
      <c r="A778" s="18">
        <v>46421</v>
      </c>
      <c r="B778" s="19">
        <v>46422</v>
      </c>
      <c r="C778" s="21"/>
      <c r="D778" s="21">
        <v>15</v>
      </c>
      <c r="E778" s="21">
        <v>15</v>
      </c>
      <c r="F778" s="21">
        <v>15</v>
      </c>
      <c r="G778" s="21"/>
      <c r="H778" s="21" t="str">
        <f>IFERROR(VLOOKUP(G778,Basic_Data!$E$2:$I$9,5,0),"")</f>
        <v/>
      </c>
      <c r="I778" s="21">
        <v>659</v>
      </c>
      <c r="J778" s="21">
        <v>659</v>
      </c>
      <c r="K778" s="39">
        <v>15</v>
      </c>
      <c r="L778" s="39">
        <v>15</v>
      </c>
      <c r="M778" s="21">
        <v>15</v>
      </c>
    </row>
    <row r="779" spans="1:13" ht="15">
      <c r="A779" s="18">
        <v>46422</v>
      </c>
      <c r="B779" s="19">
        <v>46423</v>
      </c>
      <c r="C779" s="21"/>
      <c r="D779" s="21">
        <v>16</v>
      </c>
      <c r="E779" s="21">
        <v>16</v>
      </c>
      <c r="F779" s="21">
        <v>16</v>
      </c>
      <c r="G779" s="21"/>
      <c r="H779" s="21" t="str">
        <f>IFERROR(VLOOKUP(G779,Basic_Data!$E$2:$I$9,5,0),"")</f>
        <v/>
      </c>
      <c r="I779" s="21">
        <v>660</v>
      </c>
      <c r="J779" s="21">
        <v>660</v>
      </c>
      <c r="K779" s="39">
        <v>16</v>
      </c>
      <c r="L779" s="39">
        <v>16</v>
      </c>
      <c r="M779" s="21">
        <v>16</v>
      </c>
    </row>
    <row r="780" spans="1:13" ht="15">
      <c r="A780" s="18">
        <v>46423</v>
      </c>
      <c r="B780" s="19">
        <v>46424</v>
      </c>
      <c r="C780" s="21"/>
      <c r="D780" s="21">
        <v>17</v>
      </c>
      <c r="E780" s="21">
        <v>17</v>
      </c>
      <c r="F780" s="21">
        <v>17</v>
      </c>
      <c r="G780" s="21"/>
      <c r="H780" s="21" t="str">
        <f>IFERROR(VLOOKUP(G780,Basic_Data!$E$2:$I$9,5,0),"")</f>
        <v/>
      </c>
      <c r="I780" s="21">
        <v>661</v>
      </c>
      <c r="J780" s="21">
        <v>661</v>
      </c>
      <c r="K780" s="39">
        <v>17</v>
      </c>
      <c r="L780" s="39">
        <v>17</v>
      </c>
      <c r="M780" s="21">
        <v>17</v>
      </c>
    </row>
    <row r="781" spans="1:13" ht="15">
      <c r="A781" s="18">
        <v>46424</v>
      </c>
      <c r="B781" s="19">
        <v>46425</v>
      </c>
      <c r="C781" s="21"/>
      <c r="D781" s="21">
        <v>18</v>
      </c>
      <c r="E781" s="21">
        <v>18</v>
      </c>
      <c r="F781" s="21">
        <v>18</v>
      </c>
      <c r="G781" s="21"/>
      <c r="H781" s="21" t="str">
        <f>IFERROR(VLOOKUP(G781,Basic_Data!$E$2:$I$9,5,0),"")</f>
        <v/>
      </c>
      <c r="I781" s="21">
        <v>662</v>
      </c>
      <c r="J781" s="21">
        <v>662</v>
      </c>
      <c r="K781" s="39">
        <v>18</v>
      </c>
      <c r="L781" s="39">
        <v>18</v>
      </c>
      <c r="M781" s="21">
        <v>18</v>
      </c>
    </row>
    <row r="782" spans="1:13" ht="15">
      <c r="A782" s="18">
        <v>46425</v>
      </c>
      <c r="B782" s="19">
        <v>46426</v>
      </c>
      <c r="C782" s="21"/>
      <c r="D782" s="21">
        <v>19</v>
      </c>
      <c r="E782" s="21">
        <v>19</v>
      </c>
      <c r="F782" s="21">
        <v>19</v>
      </c>
      <c r="G782" s="21"/>
      <c r="H782" s="21" t="str">
        <f>IFERROR(VLOOKUP(G782,Basic_Data!$E$2:$I$9,5,0),"")</f>
        <v/>
      </c>
      <c r="I782" s="21">
        <v>663</v>
      </c>
      <c r="J782" s="21">
        <v>663</v>
      </c>
      <c r="K782" s="39">
        <v>19</v>
      </c>
      <c r="L782" s="39">
        <v>19</v>
      </c>
      <c r="M782" s="21">
        <v>19</v>
      </c>
    </row>
    <row r="783" spans="1:13" ht="15">
      <c r="A783" s="18">
        <v>46426</v>
      </c>
      <c r="B783" s="19">
        <v>46427</v>
      </c>
      <c r="C783" s="21"/>
      <c r="D783" s="21">
        <v>20</v>
      </c>
      <c r="E783" s="21">
        <v>20</v>
      </c>
      <c r="F783" s="21">
        <v>20</v>
      </c>
      <c r="G783" s="21"/>
      <c r="H783" s="21" t="str">
        <f>IFERROR(VLOOKUP(G783,Basic_Data!$E$2:$I$9,5,0),"")</f>
        <v/>
      </c>
      <c r="I783" s="21">
        <v>664</v>
      </c>
      <c r="J783" s="21">
        <v>664</v>
      </c>
      <c r="K783" s="39">
        <v>20</v>
      </c>
      <c r="L783" s="39">
        <v>20</v>
      </c>
      <c r="M783" s="21">
        <v>20</v>
      </c>
    </row>
    <row r="784" spans="1:13" ht="15">
      <c r="A784" s="18">
        <v>46427</v>
      </c>
      <c r="B784" s="19">
        <v>46428</v>
      </c>
      <c r="C784" s="21"/>
      <c r="D784" s="21">
        <v>21</v>
      </c>
      <c r="E784" s="21">
        <v>21</v>
      </c>
      <c r="F784" s="21">
        <v>21</v>
      </c>
      <c r="G784" s="21"/>
      <c r="H784" s="21" t="str">
        <f>IFERROR(VLOOKUP(G784,Basic_Data!$E$2:$I$9,5,0),"")</f>
        <v/>
      </c>
      <c r="I784" s="21">
        <v>665</v>
      </c>
      <c r="J784" s="21">
        <v>665</v>
      </c>
      <c r="K784" s="39">
        <v>21</v>
      </c>
      <c r="L784" s="39">
        <v>21</v>
      </c>
      <c r="M784" s="21">
        <v>21</v>
      </c>
    </row>
    <row r="785" spans="1:13" ht="15">
      <c r="A785" s="18">
        <v>46428</v>
      </c>
      <c r="B785" s="19">
        <v>46429</v>
      </c>
      <c r="C785" s="21"/>
      <c r="D785" s="21">
        <v>22</v>
      </c>
      <c r="E785" s="21">
        <v>22</v>
      </c>
      <c r="F785" s="21">
        <v>22</v>
      </c>
      <c r="G785" s="21"/>
      <c r="H785" s="21" t="str">
        <f>IFERROR(VLOOKUP(G785,Basic_Data!$E$2:$I$9,5,0),"")</f>
        <v/>
      </c>
      <c r="I785" s="21">
        <v>666</v>
      </c>
      <c r="J785" s="21">
        <v>666</v>
      </c>
      <c r="K785" s="39">
        <v>22</v>
      </c>
      <c r="L785" s="39">
        <v>22</v>
      </c>
      <c r="M785" s="21">
        <v>22</v>
      </c>
    </row>
    <row r="786" spans="1:13" ht="15">
      <c r="A786" s="18">
        <v>46429</v>
      </c>
      <c r="B786" s="19">
        <v>46430</v>
      </c>
      <c r="C786" s="21"/>
      <c r="D786" s="21">
        <v>23</v>
      </c>
      <c r="E786" s="21">
        <v>23</v>
      </c>
      <c r="F786" s="21">
        <v>23</v>
      </c>
      <c r="G786" s="21"/>
      <c r="H786" s="21" t="str">
        <f>IFERROR(VLOOKUP(G786,Basic_Data!$E$2:$I$9,5,0),"")</f>
        <v/>
      </c>
      <c r="I786" s="21">
        <v>667</v>
      </c>
      <c r="J786" s="21">
        <v>667</v>
      </c>
      <c r="K786" s="39">
        <v>23</v>
      </c>
      <c r="L786" s="39">
        <v>23</v>
      </c>
      <c r="M786" s="21">
        <v>23</v>
      </c>
    </row>
    <row r="787" spans="1:13" ht="15">
      <c r="A787" s="18">
        <v>46430</v>
      </c>
      <c r="B787" s="19">
        <v>46431</v>
      </c>
      <c r="C787" s="21"/>
      <c r="D787" s="21">
        <v>24</v>
      </c>
      <c r="E787" s="21">
        <v>24</v>
      </c>
      <c r="F787" s="21">
        <v>24</v>
      </c>
      <c r="G787" s="21"/>
      <c r="H787" s="21" t="str">
        <f>IFERROR(VLOOKUP(G787,Basic_Data!$E$2:$I$9,5,0),"")</f>
        <v/>
      </c>
      <c r="I787" s="21">
        <v>668</v>
      </c>
      <c r="J787" s="21">
        <v>668</v>
      </c>
      <c r="K787" s="39">
        <v>24</v>
      </c>
      <c r="L787" s="39">
        <v>24</v>
      </c>
      <c r="M787" s="21">
        <v>24</v>
      </c>
    </row>
    <row r="788" spans="1:13" ht="15">
      <c r="A788" s="18">
        <v>46431</v>
      </c>
      <c r="B788" s="19">
        <v>46432</v>
      </c>
      <c r="C788" s="21"/>
      <c r="D788" s="21">
        <v>25</v>
      </c>
      <c r="E788" s="21">
        <v>25</v>
      </c>
      <c r="F788" s="21">
        <v>25</v>
      </c>
      <c r="G788" s="21"/>
      <c r="H788" s="21" t="str">
        <f>IFERROR(VLOOKUP(G788,Basic_Data!$E$2:$I$9,5,0),"")</f>
        <v/>
      </c>
      <c r="I788" s="21">
        <v>669</v>
      </c>
      <c r="J788" s="21">
        <v>669</v>
      </c>
      <c r="K788" s="39">
        <v>25</v>
      </c>
      <c r="L788" s="39">
        <v>25</v>
      </c>
      <c r="M788" s="21">
        <v>25</v>
      </c>
    </row>
    <row r="789" spans="1:13" ht="15">
      <c r="A789" s="18">
        <v>46432</v>
      </c>
      <c r="B789" s="19">
        <v>46433</v>
      </c>
      <c r="C789" s="21"/>
      <c r="D789" s="21">
        <v>26</v>
      </c>
      <c r="E789" s="21">
        <v>26</v>
      </c>
      <c r="F789" s="21">
        <v>26</v>
      </c>
      <c r="G789" s="21"/>
      <c r="H789" s="21" t="str">
        <f>IFERROR(VLOOKUP(G789,Basic_Data!$E$2:$I$9,5,0),"")</f>
        <v/>
      </c>
      <c r="I789" s="21">
        <v>670</v>
      </c>
      <c r="J789" s="21">
        <v>670</v>
      </c>
      <c r="K789" s="39">
        <v>26</v>
      </c>
      <c r="L789" s="39">
        <v>26</v>
      </c>
      <c r="M789" s="21">
        <v>26</v>
      </c>
    </row>
    <row r="790" spans="1:13" ht="15">
      <c r="A790" s="18">
        <v>46433</v>
      </c>
      <c r="B790" s="19">
        <v>46434</v>
      </c>
      <c r="C790" s="21"/>
      <c r="D790" s="21">
        <v>27</v>
      </c>
      <c r="E790" s="21">
        <v>27</v>
      </c>
      <c r="F790" s="21">
        <v>27</v>
      </c>
      <c r="G790" s="21"/>
      <c r="H790" s="21" t="str">
        <f>IFERROR(VLOOKUP(G790,Basic_Data!$E$2:$I$9,5,0),"")</f>
        <v/>
      </c>
      <c r="I790" s="21">
        <v>671</v>
      </c>
      <c r="J790" s="21">
        <v>671</v>
      </c>
      <c r="K790" s="39">
        <v>27</v>
      </c>
      <c r="L790" s="39">
        <v>27</v>
      </c>
      <c r="M790" s="21">
        <v>27</v>
      </c>
    </row>
    <row r="791" spans="1:13" ht="15">
      <c r="A791" s="18">
        <v>46434</v>
      </c>
      <c r="B791" s="19">
        <v>46435</v>
      </c>
      <c r="C791" s="21"/>
      <c r="D791" s="21">
        <v>28</v>
      </c>
      <c r="E791" s="21">
        <v>28</v>
      </c>
      <c r="F791" s="21">
        <v>28</v>
      </c>
      <c r="G791" s="21"/>
      <c r="H791" s="21" t="str">
        <f>IFERROR(VLOOKUP(G791,Basic_Data!$E$2:$I$9,5,0),"")</f>
        <v/>
      </c>
      <c r="I791" s="21">
        <v>672</v>
      </c>
      <c r="J791" s="21">
        <v>672</v>
      </c>
      <c r="K791" s="39">
        <v>28</v>
      </c>
      <c r="L791" s="39">
        <v>28</v>
      </c>
      <c r="M791" s="21">
        <v>28</v>
      </c>
    </row>
    <row r="792" spans="1:13" ht="15">
      <c r="A792" s="18">
        <v>46435</v>
      </c>
      <c r="B792" s="19">
        <v>46436</v>
      </c>
      <c r="C792" s="21"/>
      <c r="D792" s="21">
        <v>29</v>
      </c>
      <c r="E792" s="21">
        <v>29</v>
      </c>
      <c r="F792" s="21">
        <v>29</v>
      </c>
      <c r="G792" s="21"/>
      <c r="H792" s="21" t="str">
        <f>IFERROR(VLOOKUP(G792,Basic_Data!$E$2:$I$9,5,0),"")</f>
        <v/>
      </c>
      <c r="I792" s="21">
        <v>673</v>
      </c>
      <c r="J792" s="21">
        <v>673</v>
      </c>
      <c r="K792" s="39">
        <v>29</v>
      </c>
      <c r="L792" s="39">
        <v>29</v>
      </c>
      <c r="M792" s="21">
        <v>29</v>
      </c>
    </row>
    <row r="793" spans="1:13" ht="15">
      <c r="A793" s="18">
        <v>46436</v>
      </c>
      <c r="B793" s="19">
        <v>46437</v>
      </c>
      <c r="C793" s="21"/>
      <c r="D793" s="21">
        <v>30</v>
      </c>
      <c r="E793" s="21">
        <v>30</v>
      </c>
      <c r="F793" s="21">
        <v>30</v>
      </c>
      <c r="G793" s="21"/>
      <c r="H793" s="21" t="str">
        <f>IFERROR(VLOOKUP(G793,Basic_Data!$E$2:$I$9,5,0),"")</f>
        <v/>
      </c>
      <c r="I793" s="21">
        <v>674</v>
      </c>
      <c r="J793" s="21">
        <v>674</v>
      </c>
      <c r="K793" s="39">
        <v>30</v>
      </c>
      <c r="L793" s="39">
        <v>30</v>
      </c>
      <c r="M793" s="21">
        <v>30</v>
      </c>
    </row>
    <row r="794" spans="1:13" ht="15">
      <c r="A794" s="18">
        <v>46437</v>
      </c>
      <c r="B794" s="19">
        <v>46438</v>
      </c>
      <c r="C794" s="21"/>
      <c r="D794" s="21">
        <v>31</v>
      </c>
      <c r="E794" s="21">
        <v>31</v>
      </c>
      <c r="F794" s="21">
        <v>31</v>
      </c>
      <c r="G794" s="21"/>
      <c r="H794" s="21" t="str">
        <f>IFERROR(VLOOKUP(G794,Basic_Data!$E$2:$I$9,5,0),"")</f>
        <v/>
      </c>
      <c r="I794" s="21">
        <v>675</v>
      </c>
      <c r="J794" s="21">
        <v>675</v>
      </c>
      <c r="K794" s="39">
        <v>31</v>
      </c>
      <c r="L794" s="39">
        <v>31</v>
      </c>
      <c r="M794" s="21">
        <v>31</v>
      </c>
    </row>
    <row r="795" spans="1:13" ht="15">
      <c r="A795" s="18">
        <v>46438</v>
      </c>
      <c r="B795" s="19">
        <v>46439</v>
      </c>
      <c r="C795" s="21"/>
      <c r="D795" s="21">
        <v>32</v>
      </c>
      <c r="E795" s="21">
        <v>32</v>
      </c>
      <c r="F795" s="21">
        <v>32</v>
      </c>
      <c r="G795" s="21"/>
      <c r="H795" s="21" t="str">
        <f>IFERROR(VLOOKUP(G795,Basic_Data!$E$2:$I$9,5,0),"")</f>
        <v/>
      </c>
      <c r="I795" s="21">
        <v>676</v>
      </c>
      <c r="J795" s="21">
        <v>676</v>
      </c>
      <c r="K795" s="39">
        <v>32</v>
      </c>
      <c r="L795" s="39">
        <v>32</v>
      </c>
      <c r="M795" s="21">
        <v>32</v>
      </c>
    </row>
    <row r="796" spans="1:13" ht="15">
      <c r="A796" s="18">
        <v>46439</v>
      </c>
      <c r="B796" s="19">
        <v>46440</v>
      </c>
      <c r="C796" s="21"/>
      <c r="D796" s="21">
        <v>33</v>
      </c>
      <c r="E796" s="21">
        <v>33</v>
      </c>
      <c r="F796" s="21">
        <v>33</v>
      </c>
      <c r="G796" s="21"/>
      <c r="H796" s="21" t="str">
        <f>IFERROR(VLOOKUP(G796,Basic_Data!$E$2:$I$9,5,0),"")</f>
        <v/>
      </c>
      <c r="I796" s="21">
        <v>677</v>
      </c>
      <c r="J796" s="21">
        <v>677</v>
      </c>
      <c r="K796" s="39">
        <v>33</v>
      </c>
      <c r="L796" s="39">
        <v>33</v>
      </c>
      <c r="M796" s="21">
        <v>33</v>
      </c>
    </row>
    <row r="797" spans="1:13" ht="15">
      <c r="A797" s="18">
        <v>46440</v>
      </c>
      <c r="B797" s="19">
        <v>46441</v>
      </c>
      <c r="C797" s="21"/>
      <c r="D797" s="21">
        <v>34</v>
      </c>
      <c r="E797" s="21">
        <v>34</v>
      </c>
      <c r="F797" s="21">
        <v>34</v>
      </c>
      <c r="G797" s="21"/>
      <c r="H797" s="21" t="str">
        <f>IFERROR(VLOOKUP(G797,Basic_Data!$E$2:$I$9,5,0),"")</f>
        <v/>
      </c>
      <c r="I797" s="21">
        <v>678</v>
      </c>
      <c r="J797" s="21">
        <v>678</v>
      </c>
      <c r="K797" s="39">
        <v>34</v>
      </c>
      <c r="L797" s="39">
        <v>34</v>
      </c>
      <c r="M797" s="21">
        <v>34</v>
      </c>
    </row>
    <row r="798" spans="1:13" ht="15">
      <c r="A798" s="18">
        <v>46441</v>
      </c>
      <c r="B798" s="19">
        <v>46442</v>
      </c>
      <c r="C798" s="21"/>
      <c r="D798" s="21">
        <v>35</v>
      </c>
      <c r="E798" s="21">
        <v>35</v>
      </c>
      <c r="F798" s="21">
        <v>35</v>
      </c>
      <c r="G798" s="21"/>
      <c r="H798" s="21" t="str">
        <f>IFERROR(VLOOKUP(G798,Basic_Data!$E$2:$I$9,5,0),"")</f>
        <v/>
      </c>
      <c r="I798" s="21">
        <v>679</v>
      </c>
      <c r="J798" s="21">
        <v>679</v>
      </c>
      <c r="K798" s="39">
        <v>35</v>
      </c>
      <c r="L798" s="39">
        <v>35</v>
      </c>
      <c r="M798" s="21">
        <v>35</v>
      </c>
    </row>
    <row r="799" spans="1:13" ht="15">
      <c r="A799" s="18">
        <v>46442</v>
      </c>
      <c r="B799" s="19">
        <v>46443</v>
      </c>
      <c r="C799" s="21"/>
      <c r="D799" s="21">
        <v>36</v>
      </c>
      <c r="E799" s="21">
        <v>36</v>
      </c>
      <c r="F799" s="21">
        <v>36</v>
      </c>
      <c r="G799" s="21"/>
      <c r="H799" s="21" t="str">
        <f>IFERROR(VLOOKUP(G799,Basic_Data!$E$2:$I$9,5,0),"")</f>
        <v/>
      </c>
      <c r="I799" s="21">
        <v>680</v>
      </c>
      <c r="J799" s="21">
        <v>680</v>
      </c>
      <c r="K799" s="39">
        <v>36</v>
      </c>
      <c r="L799" s="39">
        <v>36</v>
      </c>
      <c r="M799" s="21">
        <v>36</v>
      </c>
    </row>
    <row r="800" spans="1:13" ht="15">
      <c r="A800" s="18">
        <v>46443</v>
      </c>
      <c r="B800" s="19">
        <v>46444</v>
      </c>
      <c r="C800" s="21"/>
      <c r="D800" s="21">
        <v>37</v>
      </c>
      <c r="E800" s="21">
        <v>37</v>
      </c>
      <c r="F800" s="21">
        <v>37</v>
      </c>
      <c r="G800" s="21"/>
      <c r="H800" s="21" t="str">
        <f>IFERROR(VLOOKUP(G800,Basic_Data!$E$2:$I$9,5,0),"")</f>
        <v/>
      </c>
      <c r="I800" s="21">
        <v>681</v>
      </c>
      <c r="J800" s="21">
        <v>681</v>
      </c>
      <c r="K800" s="39">
        <v>37</v>
      </c>
      <c r="L800" s="39">
        <v>37</v>
      </c>
      <c r="M800" s="21">
        <v>37</v>
      </c>
    </row>
    <row r="801" spans="1:13" ht="15">
      <c r="A801" s="18">
        <v>46444</v>
      </c>
      <c r="B801" s="19">
        <v>46445</v>
      </c>
      <c r="C801" s="21"/>
      <c r="D801" s="21">
        <v>38</v>
      </c>
      <c r="E801" s="21">
        <v>38</v>
      </c>
      <c r="F801" s="21">
        <v>38</v>
      </c>
      <c r="G801" s="21"/>
      <c r="H801" s="21" t="str">
        <f>IFERROR(VLOOKUP(G801,Basic_Data!$E$2:$I$9,5,0),"")</f>
        <v/>
      </c>
      <c r="I801" s="21">
        <v>682</v>
      </c>
      <c r="J801" s="21">
        <v>682</v>
      </c>
      <c r="K801" s="39">
        <v>38</v>
      </c>
      <c r="L801" s="39">
        <v>38</v>
      </c>
      <c r="M801" s="21">
        <v>38</v>
      </c>
    </row>
    <row r="802" spans="1:13" ht="15">
      <c r="A802" s="18">
        <v>46445</v>
      </c>
      <c r="B802" s="19">
        <v>46446</v>
      </c>
      <c r="C802" s="21"/>
      <c r="D802" s="21">
        <v>39</v>
      </c>
      <c r="E802" s="21">
        <v>39</v>
      </c>
      <c r="F802" s="21">
        <v>39</v>
      </c>
      <c r="G802" s="21"/>
      <c r="H802" s="21" t="str">
        <f>IFERROR(VLOOKUP(G802,Basic_Data!$E$2:$I$9,5,0),"")</f>
        <v/>
      </c>
      <c r="I802" s="21">
        <v>683</v>
      </c>
      <c r="J802" s="21">
        <v>683</v>
      </c>
      <c r="K802" s="39">
        <v>39</v>
      </c>
      <c r="L802" s="39">
        <v>39</v>
      </c>
      <c r="M802" s="21">
        <v>39</v>
      </c>
    </row>
    <row r="803" spans="1:13" ht="15">
      <c r="A803" s="18">
        <v>46446</v>
      </c>
      <c r="B803" s="19">
        <v>46447</v>
      </c>
      <c r="C803" s="21"/>
      <c r="D803" s="21">
        <v>40</v>
      </c>
      <c r="E803" s="21">
        <v>40</v>
      </c>
      <c r="F803" s="21">
        <v>40</v>
      </c>
      <c r="G803" s="21"/>
      <c r="H803" s="21" t="str">
        <f>IFERROR(VLOOKUP(G803,Basic_Data!$E$2:$I$9,5,0),"")</f>
        <v/>
      </c>
      <c r="I803" s="21">
        <v>684</v>
      </c>
      <c r="J803" s="21">
        <v>684</v>
      </c>
      <c r="K803" s="39">
        <v>40</v>
      </c>
      <c r="L803" s="39">
        <v>40</v>
      </c>
      <c r="M803" s="21">
        <v>40</v>
      </c>
    </row>
  </sheetData>
  <mergeCells count="1">
    <mergeCell ref="C2: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Basic_Data!$E$3:$E$9</xm:f>
          </x14:formula1>
          <xm:sqref>G4:G803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K1000"/>
  <sheetViews>
    <sheetView workbookViewId="0">
      <pane xSplit="2" ySplit="1" topLeftCell="C409" activePane="bottomRight" state="frozen"/>
      <selection pane="topRight"/>
      <selection pane="bottomLeft"/>
      <selection pane="bottomRight" activeCell="F433" sqref="F433"/>
    </sheetView>
  </sheetViews>
  <sheetFormatPr defaultColWidth="12" defaultRowHeight="15" customHeight="1"/>
  <cols>
    <col min="1" max="11" width="16.25" customWidth="1"/>
    <col min="12" max="26" width="14.375" customWidth="1"/>
  </cols>
  <sheetData>
    <row r="1" spans="1:11" ht="14.25" customHeight="1">
      <c r="A1" s="17" t="s">
        <v>216</v>
      </c>
      <c r="B1" s="17" t="s">
        <v>1</v>
      </c>
      <c r="C1" s="17" t="s">
        <v>63</v>
      </c>
      <c r="D1" s="17" t="s">
        <v>62</v>
      </c>
      <c r="E1" s="17" t="s">
        <v>234</v>
      </c>
      <c r="F1" s="17" t="s">
        <v>235</v>
      </c>
      <c r="G1" s="17" t="s">
        <v>236</v>
      </c>
      <c r="H1" s="17" t="s">
        <v>237</v>
      </c>
      <c r="I1" s="17" t="s">
        <v>238</v>
      </c>
      <c r="J1" s="17" t="s">
        <v>239</v>
      </c>
      <c r="K1" s="17" t="s">
        <v>240</v>
      </c>
    </row>
    <row r="2" spans="1:11" ht="14.25" customHeight="1">
      <c r="A2" s="18">
        <v>45747</v>
      </c>
      <c r="B2" s="19">
        <v>45747</v>
      </c>
      <c r="C2" s="17"/>
      <c r="D2" s="17"/>
      <c r="E2" s="17"/>
      <c r="F2" s="17"/>
      <c r="G2" s="17"/>
      <c r="H2" s="17"/>
      <c r="I2" s="17"/>
      <c r="J2" s="17"/>
      <c r="K2" s="17"/>
    </row>
    <row r="3" spans="1:11" ht="14.25" customHeight="1">
      <c r="A3" s="18">
        <v>45748</v>
      </c>
      <c r="B3" s="19">
        <v>45748</v>
      </c>
      <c r="C3" s="17"/>
      <c r="D3" s="17"/>
      <c r="E3" s="17"/>
      <c r="F3" s="17"/>
      <c r="G3" s="17"/>
      <c r="H3" s="17"/>
      <c r="I3" s="17"/>
      <c r="J3" s="17"/>
      <c r="K3" s="17"/>
    </row>
    <row r="4" spans="1:11" ht="14.25" customHeight="1">
      <c r="A4" s="18">
        <v>45749</v>
      </c>
      <c r="B4" s="19">
        <v>45749</v>
      </c>
      <c r="C4" s="17"/>
      <c r="D4" s="17"/>
      <c r="E4" s="17"/>
      <c r="F4" s="17"/>
      <c r="G4" s="17"/>
      <c r="H4" s="17"/>
      <c r="I4" s="17"/>
      <c r="J4" s="17"/>
      <c r="K4" s="17"/>
    </row>
    <row r="5" spans="1:11" ht="14.25" customHeight="1">
      <c r="A5" s="18">
        <v>45750</v>
      </c>
      <c r="B5" s="19">
        <v>45750</v>
      </c>
      <c r="C5" s="17"/>
      <c r="D5" s="17"/>
      <c r="E5" s="17"/>
      <c r="F5" s="17"/>
      <c r="G5" s="17"/>
      <c r="H5" s="17"/>
      <c r="I5" s="17"/>
      <c r="J5" s="17"/>
      <c r="K5" s="17"/>
    </row>
    <row r="6" spans="1:11" ht="14.25" customHeight="1">
      <c r="A6" s="18">
        <v>45751</v>
      </c>
      <c r="B6" s="19">
        <v>45751</v>
      </c>
      <c r="C6" s="17"/>
      <c r="D6" s="17"/>
      <c r="E6" s="17"/>
      <c r="F6" s="17"/>
      <c r="G6" s="17"/>
      <c r="H6" s="17"/>
      <c r="I6" s="17"/>
      <c r="J6" s="17"/>
      <c r="K6" s="17"/>
    </row>
    <row r="7" spans="1:11" ht="14.25" customHeight="1">
      <c r="A7" s="18">
        <v>45752</v>
      </c>
      <c r="B7" s="19">
        <v>45752</v>
      </c>
      <c r="C7" s="17"/>
      <c r="D7" s="17"/>
      <c r="E7" s="17"/>
      <c r="F7" s="17"/>
      <c r="G7" s="17"/>
      <c r="H7" s="17"/>
      <c r="I7" s="17"/>
      <c r="J7" s="17"/>
      <c r="K7" s="17"/>
    </row>
    <row r="8" spans="1:11" ht="14.25" customHeight="1">
      <c r="A8" s="18">
        <v>45753</v>
      </c>
      <c r="B8" s="19">
        <v>45753</v>
      </c>
      <c r="C8" s="17"/>
      <c r="D8" s="17"/>
      <c r="E8" s="17"/>
      <c r="F8" s="17"/>
      <c r="G8" s="17"/>
      <c r="H8" s="17"/>
      <c r="I8" s="17"/>
      <c r="J8" s="17"/>
      <c r="K8" s="17"/>
    </row>
    <row r="9" spans="1:11" ht="14.25" customHeight="1">
      <c r="A9" s="18">
        <v>45754</v>
      </c>
      <c r="B9" s="19">
        <v>45754</v>
      </c>
      <c r="C9" s="17"/>
      <c r="D9" s="17"/>
      <c r="E9" s="17"/>
      <c r="F9" s="17"/>
      <c r="G9" s="17"/>
      <c r="H9" s="17"/>
      <c r="I9" s="17"/>
      <c r="J9" s="17"/>
      <c r="K9" s="17"/>
    </row>
    <row r="10" spans="1:11" ht="14.25" customHeight="1">
      <c r="A10" s="18">
        <v>45755</v>
      </c>
      <c r="B10" s="19">
        <v>45755</v>
      </c>
      <c r="C10" s="17"/>
      <c r="D10" s="17"/>
      <c r="E10" s="17"/>
      <c r="F10" s="17"/>
      <c r="G10" s="17"/>
      <c r="H10" s="17"/>
      <c r="I10" s="17"/>
      <c r="J10" s="17"/>
      <c r="K10" s="17"/>
    </row>
    <row r="11" spans="1:11" ht="14.25" customHeight="1">
      <c r="A11" s="18">
        <v>45756</v>
      </c>
      <c r="B11" s="19">
        <v>45756</v>
      </c>
      <c r="C11" s="17"/>
      <c r="D11" s="17"/>
      <c r="E11" s="17"/>
      <c r="F11" s="17"/>
      <c r="G11" s="17"/>
      <c r="H11" s="17"/>
      <c r="I11" s="17"/>
      <c r="J11" s="17"/>
      <c r="K11" s="17"/>
    </row>
    <row r="12" spans="1:11" ht="14.25" customHeight="1">
      <c r="A12" s="18">
        <v>45757</v>
      </c>
      <c r="B12" s="19">
        <v>45757</v>
      </c>
      <c r="C12" s="17"/>
      <c r="D12" s="17">
        <v>5.55</v>
      </c>
      <c r="E12" s="17"/>
      <c r="F12" s="17"/>
      <c r="G12" s="17"/>
      <c r="H12" s="17"/>
      <c r="I12" s="17"/>
      <c r="J12" s="17"/>
      <c r="K12" s="17"/>
    </row>
    <row r="13" spans="1:11" ht="14.25" customHeight="1">
      <c r="A13" s="18">
        <v>45758</v>
      </c>
      <c r="B13" s="19">
        <v>45758</v>
      </c>
      <c r="C13" s="17"/>
      <c r="D13" s="17">
        <v>5.45</v>
      </c>
      <c r="E13" s="17"/>
      <c r="F13" s="17"/>
      <c r="G13" s="17"/>
      <c r="H13" s="17"/>
      <c r="I13" s="17"/>
      <c r="J13" s="17"/>
      <c r="K13" s="17"/>
    </row>
    <row r="14" spans="1:11" ht="14.25" customHeight="1">
      <c r="A14" s="18">
        <v>45759</v>
      </c>
      <c r="B14" s="19">
        <v>45759</v>
      </c>
      <c r="C14" s="17"/>
      <c r="D14" s="17">
        <v>5.82</v>
      </c>
      <c r="E14" s="17"/>
      <c r="F14" s="17"/>
      <c r="G14" s="17"/>
      <c r="H14" s="17"/>
      <c r="I14" s="17"/>
      <c r="J14" s="17"/>
      <c r="K14" s="17"/>
    </row>
    <row r="15" spans="1:11" ht="14.25" customHeight="1">
      <c r="A15" s="18">
        <v>45760</v>
      </c>
      <c r="B15" s="19">
        <v>45760</v>
      </c>
      <c r="C15" s="17"/>
      <c r="D15" s="17">
        <v>5.82</v>
      </c>
      <c r="E15" s="17"/>
      <c r="F15" s="17"/>
      <c r="G15" s="17"/>
      <c r="H15" s="17"/>
      <c r="I15" s="17"/>
      <c r="J15" s="17"/>
      <c r="K15" s="17"/>
    </row>
    <row r="16" spans="1:11" ht="14.25" customHeight="1">
      <c r="A16" s="18">
        <v>45761</v>
      </c>
      <c r="B16" s="19">
        <v>45761</v>
      </c>
      <c r="C16" s="17"/>
      <c r="D16" s="17">
        <v>5.75</v>
      </c>
      <c r="E16" s="17"/>
      <c r="F16" s="17"/>
      <c r="G16" s="17"/>
      <c r="H16" s="17"/>
      <c r="I16" s="17"/>
      <c r="J16" s="17"/>
      <c r="K16" s="17"/>
    </row>
    <row r="17" spans="1:11" ht="14.25" customHeight="1">
      <c r="A17" s="18">
        <v>45762</v>
      </c>
      <c r="B17" s="19">
        <v>45762</v>
      </c>
      <c r="C17" s="17"/>
      <c r="D17" s="17">
        <v>5.78</v>
      </c>
      <c r="E17" s="17"/>
      <c r="F17" s="17"/>
      <c r="G17" s="17"/>
      <c r="H17" s="17"/>
      <c r="I17" s="17"/>
      <c r="J17" s="17"/>
      <c r="K17" s="17"/>
    </row>
    <row r="18" spans="1:11" ht="14.25" customHeight="1">
      <c r="A18" s="18">
        <v>45763</v>
      </c>
      <c r="B18" s="19">
        <v>45763</v>
      </c>
      <c r="C18" s="17"/>
      <c r="D18" s="17">
        <v>5.39</v>
      </c>
      <c r="E18" s="17"/>
      <c r="F18" s="17">
        <v>32.04</v>
      </c>
      <c r="G18" s="17"/>
      <c r="H18" s="17"/>
      <c r="I18" s="17"/>
      <c r="J18" s="17"/>
      <c r="K18" s="17"/>
    </row>
    <row r="19" spans="1:11" ht="14.25" customHeight="1">
      <c r="A19" s="18">
        <v>45764</v>
      </c>
      <c r="B19" s="19">
        <v>45764</v>
      </c>
      <c r="C19" s="17"/>
      <c r="D19" s="20"/>
      <c r="E19" s="17"/>
      <c r="F19" s="17"/>
      <c r="G19" s="17"/>
      <c r="H19" s="17"/>
      <c r="I19" s="17"/>
      <c r="J19" s="17"/>
      <c r="K19" s="17"/>
    </row>
    <row r="20" spans="1:11" ht="14.25" customHeight="1">
      <c r="A20" s="18">
        <v>45765</v>
      </c>
      <c r="B20" s="19">
        <v>45765</v>
      </c>
      <c r="C20" s="17"/>
      <c r="D20" s="17">
        <v>5.74</v>
      </c>
      <c r="E20" s="17"/>
      <c r="F20" s="17"/>
      <c r="G20" s="17"/>
      <c r="H20" s="17"/>
      <c r="I20" s="17"/>
      <c r="J20" s="17"/>
      <c r="K20" s="17"/>
    </row>
    <row r="21" spans="1:11" ht="14.25" customHeight="1">
      <c r="A21" s="18">
        <v>45766</v>
      </c>
      <c r="B21" s="19">
        <v>45766</v>
      </c>
      <c r="C21" s="17"/>
      <c r="D21" s="17">
        <v>5.79</v>
      </c>
      <c r="E21" s="17"/>
      <c r="F21" s="17"/>
      <c r="G21" s="17"/>
      <c r="H21" s="17"/>
      <c r="I21" s="17"/>
      <c r="J21" s="17"/>
      <c r="K21" s="17"/>
    </row>
    <row r="22" spans="1:11" ht="14.25" customHeight="1">
      <c r="A22" s="18">
        <v>45767</v>
      </c>
      <c r="B22" s="19">
        <v>45767</v>
      </c>
      <c r="C22" s="17"/>
      <c r="D22" s="17">
        <v>5.79</v>
      </c>
      <c r="E22" s="17"/>
      <c r="F22" s="17">
        <v>32.54</v>
      </c>
      <c r="G22" s="17"/>
      <c r="H22" s="17"/>
      <c r="I22" s="17"/>
      <c r="J22" s="17"/>
      <c r="K22" s="17"/>
    </row>
    <row r="23" spans="1:11" ht="14.25" customHeight="1">
      <c r="A23" s="18">
        <v>45768</v>
      </c>
      <c r="B23" s="19">
        <v>45768</v>
      </c>
      <c r="C23" s="17"/>
      <c r="D23" s="17">
        <v>5.62</v>
      </c>
      <c r="E23" s="17"/>
      <c r="F23" s="17">
        <v>33.86</v>
      </c>
      <c r="G23" s="17"/>
      <c r="H23" s="17"/>
      <c r="I23" s="17"/>
      <c r="J23" s="17"/>
      <c r="K23" s="17"/>
    </row>
    <row r="24" spans="1:11" ht="14.25" customHeight="1">
      <c r="A24" s="18">
        <v>45769</v>
      </c>
      <c r="B24" s="19">
        <v>45769</v>
      </c>
      <c r="C24" s="17"/>
      <c r="D24" s="17">
        <v>5.69</v>
      </c>
      <c r="E24" s="17"/>
      <c r="F24" s="17">
        <v>35.880000000000003</v>
      </c>
      <c r="G24" s="17"/>
      <c r="H24" s="17"/>
      <c r="I24" s="17"/>
      <c r="J24" s="17"/>
      <c r="K24" s="17"/>
    </row>
    <row r="25" spans="1:11" ht="14.25" customHeight="1">
      <c r="A25" s="18">
        <v>45770</v>
      </c>
      <c r="B25" s="19">
        <v>45770</v>
      </c>
      <c r="C25" s="17"/>
      <c r="D25" s="17">
        <v>5.01</v>
      </c>
      <c r="E25" s="17"/>
      <c r="F25" s="17">
        <v>35.880000000000003</v>
      </c>
      <c r="G25" s="17"/>
      <c r="H25" s="17"/>
      <c r="I25" s="17"/>
      <c r="J25" s="17"/>
      <c r="K25" s="17"/>
    </row>
    <row r="26" spans="1:11" ht="14.25" customHeight="1">
      <c r="A26" s="18">
        <v>45771</v>
      </c>
      <c r="B26" s="19">
        <v>45771</v>
      </c>
      <c r="C26" s="17"/>
      <c r="D26" s="17">
        <v>5.26</v>
      </c>
      <c r="E26" s="17"/>
      <c r="F26" s="17">
        <v>32.75</v>
      </c>
      <c r="G26" s="17"/>
      <c r="H26" s="17"/>
      <c r="I26" s="17"/>
      <c r="J26" s="17"/>
      <c r="K26" s="17"/>
    </row>
    <row r="27" spans="1:11" ht="14.25" customHeight="1">
      <c r="A27" s="18">
        <v>45772</v>
      </c>
      <c r="B27" s="19">
        <v>45772</v>
      </c>
      <c r="C27" s="17"/>
      <c r="D27" s="17">
        <v>5.61</v>
      </c>
      <c r="E27" s="17"/>
      <c r="F27" s="17">
        <v>31.86</v>
      </c>
      <c r="G27" s="17"/>
      <c r="H27" s="17"/>
      <c r="I27" s="17"/>
      <c r="J27" s="17"/>
      <c r="K27" s="17"/>
    </row>
    <row r="28" spans="1:11" ht="14.25" customHeight="1">
      <c r="A28" s="18">
        <v>45773</v>
      </c>
      <c r="B28" s="19">
        <v>45773</v>
      </c>
      <c r="C28" s="21"/>
      <c r="D28" s="21">
        <v>5.68</v>
      </c>
      <c r="E28" s="21"/>
      <c r="F28" s="21">
        <v>32.49</v>
      </c>
      <c r="G28" s="21"/>
      <c r="H28" s="21"/>
      <c r="I28" s="21"/>
      <c r="J28" s="21"/>
      <c r="K28" s="21"/>
    </row>
    <row r="29" spans="1:11" ht="14.25" customHeight="1">
      <c r="A29" s="18">
        <v>45774</v>
      </c>
      <c r="B29" s="19">
        <v>45774</v>
      </c>
      <c r="C29" s="21"/>
      <c r="D29" s="21">
        <v>5.77</v>
      </c>
      <c r="E29" s="21"/>
      <c r="F29" s="21">
        <v>33.49</v>
      </c>
      <c r="G29" s="21"/>
      <c r="H29" s="21"/>
      <c r="I29" s="21"/>
      <c r="J29" s="21"/>
      <c r="K29" s="21"/>
    </row>
    <row r="30" spans="1:11" ht="14.25" customHeight="1">
      <c r="A30" s="18">
        <v>45775</v>
      </c>
      <c r="B30" s="19">
        <v>45775</v>
      </c>
      <c r="C30" s="21"/>
      <c r="D30" s="21">
        <v>5.74</v>
      </c>
      <c r="E30" s="21"/>
      <c r="F30" s="21">
        <v>34.14</v>
      </c>
      <c r="G30" s="21"/>
      <c r="H30" s="21"/>
      <c r="I30" s="21"/>
      <c r="J30" s="21"/>
      <c r="K30" s="21"/>
    </row>
    <row r="31" spans="1:11" ht="14.25" customHeight="1">
      <c r="A31" s="18">
        <v>45776</v>
      </c>
      <c r="B31" s="19">
        <v>45776</v>
      </c>
      <c r="C31" s="21"/>
      <c r="D31" s="21">
        <v>5.55</v>
      </c>
      <c r="E31" s="21"/>
      <c r="F31" s="21">
        <v>37.01</v>
      </c>
      <c r="G31" s="21"/>
      <c r="H31" s="21"/>
      <c r="I31" s="21"/>
      <c r="J31" s="21"/>
      <c r="K31" s="21"/>
    </row>
    <row r="32" spans="1:11" ht="14.25" customHeight="1">
      <c r="A32" s="18">
        <v>45777</v>
      </c>
      <c r="B32" s="19">
        <v>45777</v>
      </c>
      <c r="C32" s="21"/>
      <c r="D32" s="21">
        <v>5.7</v>
      </c>
      <c r="E32" s="21"/>
      <c r="F32" s="21">
        <v>33.92</v>
      </c>
      <c r="G32" s="21"/>
      <c r="H32" s="21"/>
      <c r="I32" s="21"/>
      <c r="J32" s="21"/>
      <c r="K32" s="21"/>
    </row>
    <row r="33" spans="1:11" ht="14.25" customHeight="1">
      <c r="A33" s="18">
        <v>45778</v>
      </c>
      <c r="B33" s="19">
        <v>45778</v>
      </c>
      <c r="C33" s="21"/>
      <c r="D33" s="21">
        <v>5.76</v>
      </c>
      <c r="E33" s="21"/>
      <c r="F33" s="21">
        <v>34.659999999999997</v>
      </c>
      <c r="G33" s="21"/>
      <c r="H33" s="21"/>
      <c r="I33" s="21"/>
      <c r="J33" s="21"/>
      <c r="K33" s="21"/>
    </row>
    <row r="34" spans="1:11" ht="14.25" customHeight="1">
      <c r="A34" s="18">
        <v>45779</v>
      </c>
      <c r="B34" s="19">
        <v>45779</v>
      </c>
      <c r="C34" s="21"/>
      <c r="D34" s="21">
        <v>5.91</v>
      </c>
      <c r="E34" s="21"/>
      <c r="F34" s="21">
        <v>34.33</v>
      </c>
      <c r="G34" s="21"/>
      <c r="H34" s="21"/>
      <c r="I34" s="21"/>
      <c r="J34" s="21"/>
      <c r="K34" s="21"/>
    </row>
    <row r="35" spans="1:11" ht="14.25" customHeight="1">
      <c r="A35" s="18">
        <v>45780</v>
      </c>
      <c r="B35" s="19">
        <v>45780</v>
      </c>
      <c r="C35" s="21"/>
      <c r="D35" s="21">
        <v>5.5</v>
      </c>
      <c r="E35" s="21"/>
      <c r="F35" s="21">
        <v>31.78</v>
      </c>
      <c r="G35" s="21"/>
      <c r="H35" s="21"/>
      <c r="I35" s="21"/>
      <c r="J35" s="21"/>
      <c r="K35" s="21"/>
    </row>
    <row r="36" spans="1:11" ht="14.25" customHeight="1">
      <c r="A36" s="18">
        <v>45781</v>
      </c>
      <c r="B36" s="19">
        <v>45781</v>
      </c>
      <c r="C36" s="21"/>
      <c r="D36" s="21">
        <v>5.16</v>
      </c>
      <c r="E36" s="21"/>
      <c r="F36" s="21">
        <v>32.1</v>
      </c>
      <c r="G36" s="21"/>
      <c r="H36" s="21"/>
      <c r="I36" s="21"/>
      <c r="J36" s="21"/>
      <c r="K36" s="21"/>
    </row>
    <row r="37" spans="1:11" ht="14.25" customHeight="1">
      <c r="A37" s="18">
        <v>45782</v>
      </c>
      <c r="B37" s="19">
        <v>45782</v>
      </c>
      <c r="C37" s="21"/>
      <c r="D37" s="21">
        <v>4.2300000000000004</v>
      </c>
      <c r="E37" s="21"/>
      <c r="F37" s="21">
        <v>31.68</v>
      </c>
      <c r="G37" s="21"/>
      <c r="H37" s="21"/>
      <c r="I37" s="21"/>
      <c r="J37" s="21"/>
      <c r="K37" s="21"/>
    </row>
    <row r="38" spans="1:11" ht="14.25" customHeight="1">
      <c r="A38" s="18">
        <v>45783</v>
      </c>
      <c r="B38" s="19">
        <v>45783</v>
      </c>
      <c r="C38" s="21"/>
      <c r="D38" s="21">
        <v>1.44</v>
      </c>
      <c r="E38" s="21"/>
      <c r="F38" s="21">
        <v>30.36</v>
      </c>
      <c r="G38" s="21"/>
      <c r="H38" s="21"/>
      <c r="I38" s="21"/>
      <c r="J38" s="21"/>
      <c r="K38" s="21"/>
    </row>
    <row r="39" spans="1:11" ht="14.25" customHeight="1">
      <c r="A39" s="18">
        <v>45784</v>
      </c>
      <c r="B39" s="19">
        <v>45784</v>
      </c>
      <c r="C39" s="21"/>
      <c r="D39" s="21">
        <v>3.33</v>
      </c>
      <c r="E39" s="21"/>
      <c r="F39" s="21">
        <v>28.95</v>
      </c>
      <c r="G39" s="21"/>
      <c r="H39" s="21"/>
      <c r="I39" s="21"/>
      <c r="J39" s="21"/>
      <c r="K39" s="21"/>
    </row>
    <row r="40" spans="1:11" ht="14.25" customHeight="1">
      <c r="A40" s="18">
        <v>45785</v>
      </c>
      <c r="B40" s="19">
        <v>45785</v>
      </c>
      <c r="C40" s="21"/>
      <c r="D40" s="21">
        <v>4.03</v>
      </c>
      <c r="E40" s="21"/>
      <c r="F40" s="21">
        <v>30.19</v>
      </c>
      <c r="G40" s="21"/>
      <c r="H40" s="21"/>
      <c r="I40" s="21"/>
      <c r="J40" s="21"/>
      <c r="K40" s="21"/>
    </row>
    <row r="41" spans="1:11" ht="14.25" customHeight="1">
      <c r="A41" s="18">
        <v>45786</v>
      </c>
      <c r="B41" s="19">
        <v>45786</v>
      </c>
      <c r="C41" s="21"/>
      <c r="D41" s="21">
        <v>3.41</v>
      </c>
      <c r="E41" s="21"/>
      <c r="F41" s="21">
        <v>29.47</v>
      </c>
      <c r="G41" s="21"/>
      <c r="H41" s="21"/>
      <c r="I41" s="21"/>
      <c r="J41" s="21"/>
      <c r="K41" s="21"/>
    </row>
    <row r="42" spans="1:11" ht="14.25" customHeight="1">
      <c r="A42" s="18">
        <v>45787</v>
      </c>
      <c r="B42" s="19">
        <v>45787</v>
      </c>
      <c r="C42" s="21"/>
      <c r="D42" s="21">
        <v>4.21</v>
      </c>
      <c r="E42" s="21"/>
      <c r="F42" s="21">
        <v>30.8</v>
      </c>
      <c r="G42" s="21"/>
      <c r="H42" s="21"/>
      <c r="I42" s="21"/>
      <c r="J42" s="21"/>
      <c r="K42" s="21"/>
    </row>
    <row r="43" spans="1:11" ht="14.25" customHeight="1">
      <c r="A43" s="18">
        <v>45788</v>
      </c>
      <c r="B43" s="19">
        <v>45788</v>
      </c>
      <c r="C43" s="21"/>
      <c r="D43" s="21">
        <v>3.68</v>
      </c>
      <c r="E43" s="21"/>
      <c r="F43" s="21">
        <v>29.45</v>
      </c>
      <c r="G43" s="21"/>
      <c r="H43" s="21"/>
      <c r="I43" s="21"/>
      <c r="J43" s="21"/>
      <c r="K43" s="21"/>
    </row>
    <row r="44" spans="1:11" ht="14.25" customHeight="1">
      <c r="A44" s="18">
        <v>45789</v>
      </c>
      <c r="B44" s="19">
        <v>45789</v>
      </c>
      <c r="C44" s="21"/>
      <c r="D44" s="21">
        <v>5.08</v>
      </c>
      <c r="E44" s="21"/>
      <c r="F44" s="21">
        <v>31.8</v>
      </c>
      <c r="G44" s="21"/>
      <c r="H44" s="21"/>
      <c r="I44" s="21"/>
      <c r="J44" s="21"/>
      <c r="K44" s="21"/>
    </row>
    <row r="45" spans="1:11" ht="14.25" customHeight="1">
      <c r="A45" s="18">
        <v>45790</v>
      </c>
      <c r="B45" s="19">
        <v>45790</v>
      </c>
      <c r="C45" s="21"/>
      <c r="D45" s="22"/>
      <c r="E45" s="21"/>
      <c r="F45" s="22"/>
      <c r="G45" s="21"/>
      <c r="H45" s="21"/>
      <c r="I45" s="21"/>
      <c r="J45" s="21"/>
      <c r="K45" s="21"/>
    </row>
    <row r="46" spans="1:11" ht="14.25" customHeight="1">
      <c r="A46" s="18">
        <v>45791</v>
      </c>
      <c r="B46" s="19">
        <v>45791</v>
      </c>
      <c r="C46" s="21"/>
      <c r="D46" s="22"/>
      <c r="E46" s="21"/>
      <c r="F46" s="22"/>
      <c r="G46" s="21"/>
      <c r="H46" s="21"/>
      <c r="I46" s="21"/>
      <c r="J46" s="21"/>
      <c r="K46" s="21"/>
    </row>
    <row r="47" spans="1:11" ht="14.25" customHeight="1">
      <c r="A47" s="18">
        <v>45792</v>
      </c>
      <c r="B47" s="19">
        <v>45792</v>
      </c>
      <c r="C47" s="21"/>
      <c r="D47" s="22"/>
      <c r="E47" s="21"/>
      <c r="F47" s="22"/>
      <c r="G47" s="21"/>
      <c r="H47" s="21"/>
      <c r="I47" s="21"/>
      <c r="J47" s="21"/>
      <c r="K47" s="21"/>
    </row>
    <row r="48" spans="1:11" ht="14.25" customHeight="1">
      <c r="A48" s="18">
        <v>45793</v>
      </c>
      <c r="B48" s="19">
        <v>45793</v>
      </c>
      <c r="C48" s="21"/>
      <c r="D48" s="21">
        <v>5.35</v>
      </c>
      <c r="E48" s="21"/>
      <c r="F48" s="21">
        <v>32.479999999999997</v>
      </c>
      <c r="G48" s="21"/>
      <c r="H48" s="21"/>
      <c r="I48" s="21"/>
      <c r="J48" s="21"/>
      <c r="K48" s="21"/>
    </row>
    <row r="49" spans="1:11" ht="14.25" customHeight="1">
      <c r="A49" s="18">
        <v>45794</v>
      </c>
      <c r="B49" s="19">
        <v>45794</v>
      </c>
      <c r="C49" s="21"/>
      <c r="D49" s="21">
        <v>5.2</v>
      </c>
      <c r="E49" s="21"/>
      <c r="F49" s="21">
        <v>32.71</v>
      </c>
      <c r="G49" s="21"/>
      <c r="H49" s="21"/>
      <c r="I49" s="21"/>
      <c r="J49" s="21"/>
      <c r="K49" s="21"/>
    </row>
    <row r="50" spans="1:11" ht="14.25" customHeight="1">
      <c r="A50" s="18">
        <v>45795</v>
      </c>
      <c r="B50" s="19">
        <v>45795</v>
      </c>
      <c r="C50" s="21"/>
      <c r="D50" s="21">
        <v>5.65</v>
      </c>
      <c r="E50" s="21"/>
      <c r="F50" s="21">
        <v>33.94</v>
      </c>
      <c r="G50" s="21"/>
      <c r="H50" s="21"/>
      <c r="I50" s="21"/>
      <c r="J50" s="21"/>
      <c r="K50" s="21"/>
    </row>
    <row r="51" spans="1:11" ht="14.25" customHeight="1">
      <c r="A51" s="18">
        <v>45796</v>
      </c>
      <c r="B51" s="19">
        <v>45796</v>
      </c>
      <c r="C51" s="21"/>
      <c r="D51" s="21">
        <v>5.43</v>
      </c>
      <c r="E51" s="21"/>
      <c r="F51" s="21">
        <v>36</v>
      </c>
      <c r="G51" s="21"/>
      <c r="H51" s="21"/>
      <c r="I51" s="21"/>
      <c r="J51" s="21"/>
      <c r="K51" s="21"/>
    </row>
    <row r="52" spans="1:11" ht="14.25" customHeight="1">
      <c r="A52" s="18">
        <v>45797</v>
      </c>
      <c r="B52" s="19">
        <v>45797</v>
      </c>
      <c r="C52" s="21"/>
      <c r="D52" s="21">
        <v>5.61</v>
      </c>
      <c r="E52" s="21"/>
      <c r="F52" s="21">
        <v>36</v>
      </c>
      <c r="G52" s="21"/>
      <c r="H52" s="21"/>
      <c r="I52" s="21"/>
      <c r="J52" s="21"/>
      <c r="K52" s="21"/>
    </row>
    <row r="53" spans="1:11" ht="14.25" customHeight="1">
      <c r="A53" s="18">
        <v>45798</v>
      </c>
      <c r="B53" s="19">
        <v>45798</v>
      </c>
      <c r="C53" s="21"/>
      <c r="D53" s="21">
        <v>3.17</v>
      </c>
      <c r="E53" s="21"/>
      <c r="F53" s="21">
        <v>36</v>
      </c>
      <c r="G53" s="21"/>
      <c r="H53" s="21"/>
      <c r="I53" s="21"/>
      <c r="J53" s="21"/>
      <c r="K53" s="21"/>
    </row>
    <row r="54" spans="1:11" ht="14.25" customHeight="1">
      <c r="A54" s="18">
        <v>45799</v>
      </c>
      <c r="B54" s="19">
        <v>45799</v>
      </c>
      <c r="C54" s="21"/>
      <c r="D54" s="21">
        <v>5.41</v>
      </c>
      <c r="E54" s="21"/>
      <c r="F54" s="21">
        <v>36</v>
      </c>
      <c r="G54" s="21"/>
      <c r="H54" s="21"/>
      <c r="I54" s="21"/>
      <c r="J54" s="21"/>
      <c r="K54" s="21"/>
    </row>
    <row r="55" spans="1:11" ht="14.25" customHeight="1">
      <c r="A55" s="18">
        <v>45800</v>
      </c>
      <c r="B55" s="19">
        <v>45800</v>
      </c>
      <c r="C55" s="21"/>
      <c r="D55" s="21">
        <v>5.33</v>
      </c>
      <c r="E55" s="21"/>
      <c r="F55" s="21">
        <v>36</v>
      </c>
      <c r="G55" s="21"/>
      <c r="H55" s="21"/>
      <c r="I55" s="21"/>
      <c r="J55" s="21"/>
      <c r="K55" s="21"/>
    </row>
    <row r="56" spans="1:11" ht="14.25" customHeight="1">
      <c r="A56" s="18">
        <v>45801</v>
      </c>
      <c r="B56" s="19">
        <v>45801</v>
      </c>
      <c r="C56" s="21"/>
      <c r="D56" s="21">
        <v>6.24</v>
      </c>
      <c r="E56" s="21"/>
      <c r="F56" s="21">
        <v>33.380000000000003</v>
      </c>
      <c r="G56" s="21"/>
      <c r="H56" s="21"/>
      <c r="I56" s="21"/>
      <c r="J56" s="21"/>
      <c r="K56" s="21"/>
    </row>
    <row r="57" spans="1:11" ht="14.25" customHeight="1">
      <c r="A57" s="18">
        <v>45802</v>
      </c>
      <c r="B57" s="19">
        <v>45802</v>
      </c>
      <c r="C57" s="21"/>
      <c r="D57" s="21">
        <v>5.61</v>
      </c>
      <c r="E57" s="21"/>
      <c r="F57" s="21">
        <v>33.64</v>
      </c>
      <c r="G57" s="21"/>
      <c r="H57" s="21"/>
      <c r="I57" s="21"/>
      <c r="J57" s="21"/>
      <c r="K57" s="21"/>
    </row>
    <row r="58" spans="1:11" ht="14.25" customHeight="1">
      <c r="A58" s="18">
        <v>45803</v>
      </c>
      <c r="B58" s="19">
        <v>45803</v>
      </c>
      <c r="C58" s="21"/>
      <c r="D58" s="21">
        <v>4.33</v>
      </c>
      <c r="E58" s="21"/>
      <c r="F58" s="21">
        <v>30</v>
      </c>
      <c r="G58" s="21"/>
      <c r="H58" s="21"/>
      <c r="I58" s="21"/>
      <c r="J58" s="21"/>
      <c r="K58" s="21"/>
    </row>
    <row r="59" spans="1:11" ht="14.25" customHeight="1">
      <c r="A59" s="18">
        <v>45804</v>
      </c>
      <c r="B59" s="19">
        <v>45804</v>
      </c>
      <c r="C59" s="21"/>
      <c r="D59" s="21">
        <v>2.58</v>
      </c>
      <c r="E59" s="21"/>
      <c r="F59" s="21">
        <v>30</v>
      </c>
      <c r="G59" s="21"/>
      <c r="H59" s="21"/>
      <c r="I59" s="21"/>
      <c r="J59" s="21"/>
      <c r="K59" s="21"/>
    </row>
    <row r="60" spans="1:11" ht="14.25" customHeight="1">
      <c r="A60" s="18">
        <v>45805</v>
      </c>
      <c r="B60" s="19">
        <v>45805</v>
      </c>
      <c r="C60" s="21"/>
      <c r="D60" s="21">
        <v>4.63</v>
      </c>
      <c r="E60" s="21"/>
      <c r="F60" s="21">
        <v>30</v>
      </c>
      <c r="G60" s="21"/>
      <c r="H60" s="21"/>
      <c r="I60" s="21"/>
      <c r="J60" s="21"/>
      <c r="K60" s="21"/>
    </row>
    <row r="61" spans="1:11" ht="14.25" customHeight="1">
      <c r="A61" s="18">
        <v>45806</v>
      </c>
      <c r="B61" s="19">
        <v>45806</v>
      </c>
      <c r="C61" s="21"/>
      <c r="D61" s="21">
        <v>5.09</v>
      </c>
      <c r="E61" s="21"/>
      <c r="F61" s="21">
        <v>30</v>
      </c>
      <c r="G61" s="21"/>
      <c r="H61" s="21"/>
      <c r="I61" s="21"/>
      <c r="J61" s="21"/>
      <c r="K61" s="21"/>
    </row>
    <row r="62" spans="1:11" ht="14.25" customHeight="1">
      <c r="A62" s="18">
        <v>45807</v>
      </c>
      <c r="B62" s="19">
        <v>45807</v>
      </c>
      <c r="C62" s="21"/>
      <c r="D62" s="21">
        <v>4.7300000000000004</v>
      </c>
      <c r="E62" s="21"/>
      <c r="F62" s="21">
        <v>30</v>
      </c>
      <c r="G62" s="21"/>
      <c r="H62" s="21"/>
      <c r="I62" s="21"/>
      <c r="J62" s="21"/>
      <c r="K62" s="21"/>
    </row>
    <row r="63" spans="1:11" ht="14.25" customHeight="1">
      <c r="A63" s="18">
        <v>45808</v>
      </c>
      <c r="B63" s="19">
        <v>45808</v>
      </c>
      <c r="C63" s="21"/>
      <c r="D63" s="21">
        <v>4.84</v>
      </c>
      <c r="E63" s="21"/>
      <c r="F63" s="21">
        <v>30</v>
      </c>
      <c r="G63" s="21"/>
      <c r="H63" s="21"/>
      <c r="I63" s="21"/>
      <c r="J63" s="21"/>
      <c r="K63" s="21"/>
    </row>
    <row r="64" spans="1:11" ht="14.25" customHeight="1">
      <c r="A64" s="18">
        <v>45809</v>
      </c>
      <c r="B64" s="19">
        <v>45809</v>
      </c>
      <c r="C64" s="21"/>
      <c r="D64" s="21">
        <v>4.41</v>
      </c>
      <c r="E64" s="21"/>
      <c r="F64" s="21">
        <v>30</v>
      </c>
      <c r="G64" s="21"/>
      <c r="H64" s="21"/>
      <c r="I64" s="21"/>
      <c r="J64" s="21"/>
      <c r="K64" s="21"/>
    </row>
    <row r="65" spans="1:11" ht="14.25" customHeight="1">
      <c r="A65" s="18">
        <v>45810</v>
      </c>
      <c r="B65" s="19">
        <v>45810</v>
      </c>
      <c r="C65" s="21"/>
      <c r="D65" s="21">
        <v>4.8899999999999997</v>
      </c>
      <c r="E65" s="21"/>
      <c r="F65" s="21">
        <v>32.229999999999997</v>
      </c>
      <c r="G65" s="21"/>
      <c r="H65" s="21"/>
      <c r="I65" s="21"/>
      <c r="J65" s="21"/>
      <c r="K65" s="21"/>
    </row>
    <row r="66" spans="1:11" ht="14.25" customHeight="1">
      <c r="A66" s="18">
        <v>45811</v>
      </c>
      <c r="B66" s="19">
        <v>45811</v>
      </c>
      <c r="C66" s="21"/>
      <c r="D66" s="21">
        <v>5.08</v>
      </c>
      <c r="E66" s="21"/>
      <c r="F66" s="21">
        <v>32.31</v>
      </c>
      <c r="G66" s="21"/>
      <c r="H66" s="21"/>
      <c r="I66" s="21"/>
      <c r="J66" s="21"/>
      <c r="K66" s="21"/>
    </row>
    <row r="67" spans="1:11" ht="14.25" customHeight="1">
      <c r="A67" s="18">
        <v>45812</v>
      </c>
      <c r="B67" s="19">
        <v>45812</v>
      </c>
      <c r="C67" s="21"/>
      <c r="D67" s="21">
        <v>4.9800000000000004</v>
      </c>
      <c r="E67" s="21"/>
      <c r="F67" s="21">
        <v>33.090000000000003</v>
      </c>
      <c r="G67" s="21"/>
      <c r="H67" s="21"/>
      <c r="I67" s="21"/>
      <c r="J67" s="21"/>
      <c r="K67" s="21"/>
    </row>
    <row r="68" spans="1:11" ht="14.25" customHeight="1">
      <c r="A68" s="18">
        <v>45813</v>
      </c>
      <c r="B68" s="19">
        <v>45813</v>
      </c>
      <c r="C68" s="21"/>
      <c r="D68" s="23">
        <v>5.24</v>
      </c>
      <c r="F68" s="23">
        <v>33.299999999999997</v>
      </c>
      <c r="G68" s="21"/>
      <c r="H68" s="21"/>
      <c r="I68" s="21"/>
      <c r="J68" s="21"/>
      <c r="K68" s="21"/>
    </row>
    <row r="69" spans="1:11" ht="14.25" customHeight="1">
      <c r="A69" s="18">
        <v>45814</v>
      </c>
      <c r="B69" s="19">
        <v>45814</v>
      </c>
      <c r="C69" s="21"/>
      <c r="D69" s="23">
        <v>4.9800000000000004</v>
      </c>
      <c r="F69" s="23">
        <v>33.090000000000003</v>
      </c>
      <c r="G69" s="21"/>
      <c r="H69" s="21"/>
      <c r="I69" s="21"/>
      <c r="J69" s="21"/>
      <c r="K69" s="21"/>
    </row>
    <row r="70" spans="1:11" ht="14.25" customHeight="1">
      <c r="A70" s="18">
        <v>45815</v>
      </c>
      <c r="B70" s="19">
        <v>45815</v>
      </c>
      <c r="C70" s="21"/>
      <c r="D70" s="23">
        <v>5.29</v>
      </c>
      <c r="F70" s="23">
        <v>32.799999999999997</v>
      </c>
      <c r="G70" s="21"/>
      <c r="H70" s="21"/>
      <c r="I70" s="21"/>
      <c r="J70" s="21"/>
      <c r="K70" s="21"/>
    </row>
    <row r="71" spans="1:11" ht="14.25" customHeight="1">
      <c r="A71" s="18">
        <v>45816</v>
      </c>
      <c r="B71" s="19">
        <v>45816</v>
      </c>
      <c r="C71" s="21"/>
      <c r="D71" s="23">
        <v>4.92</v>
      </c>
      <c r="F71" s="23">
        <v>32.700000000000003</v>
      </c>
      <c r="G71" s="21"/>
      <c r="H71" s="21"/>
      <c r="I71" s="21"/>
      <c r="J71" s="21"/>
      <c r="K71" s="21"/>
    </row>
    <row r="72" spans="1:11" ht="14.25" customHeight="1">
      <c r="A72" s="18">
        <v>45817</v>
      </c>
      <c r="B72" s="19">
        <v>45817</v>
      </c>
      <c r="C72" s="21"/>
      <c r="D72" s="23">
        <v>5.52</v>
      </c>
      <c r="F72" s="23">
        <v>32.78</v>
      </c>
      <c r="G72" s="21"/>
      <c r="H72" s="21"/>
      <c r="I72" s="21"/>
      <c r="J72" s="21"/>
      <c r="K72" s="21"/>
    </row>
    <row r="73" spans="1:11" ht="14.25" customHeight="1">
      <c r="A73" s="18">
        <v>45818</v>
      </c>
      <c r="B73" s="19">
        <v>45818</v>
      </c>
      <c r="C73" s="21"/>
      <c r="D73" s="21">
        <v>4.71</v>
      </c>
      <c r="E73" s="21"/>
      <c r="F73" s="21">
        <v>32.64</v>
      </c>
      <c r="G73" s="21"/>
      <c r="H73" s="21"/>
      <c r="I73" s="21"/>
      <c r="J73" s="21"/>
      <c r="K73" s="21"/>
    </row>
    <row r="74" spans="1:11" ht="14.25" customHeight="1">
      <c r="A74" s="18">
        <v>45819</v>
      </c>
      <c r="B74" s="19">
        <v>45819</v>
      </c>
      <c r="C74" s="21"/>
      <c r="D74" s="21">
        <v>4.3600000000000003</v>
      </c>
      <c r="E74" s="21"/>
      <c r="F74" s="21">
        <v>32.869999999999997</v>
      </c>
      <c r="G74" s="21"/>
      <c r="H74" s="21"/>
      <c r="I74" s="21"/>
      <c r="J74" s="21"/>
      <c r="K74" s="21"/>
    </row>
    <row r="75" spans="1:11" ht="14.25" customHeight="1">
      <c r="A75" s="18">
        <v>45820</v>
      </c>
      <c r="B75" s="19">
        <v>45820</v>
      </c>
      <c r="C75" s="21"/>
      <c r="D75" s="21">
        <v>4.9400000000000004</v>
      </c>
      <c r="E75" s="21"/>
      <c r="F75" s="21">
        <v>33.03</v>
      </c>
      <c r="G75" s="21"/>
      <c r="H75" s="21"/>
      <c r="I75" s="21"/>
      <c r="J75" s="21"/>
      <c r="K75" s="21"/>
    </row>
    <row r="76" spans="1:11" ht="14.25" customHeight="1">
      <c r="A76" s="18">
        <v>45821</v>
      </c>
      <c r="B76" s="19">
        <v>45821</v>
      </c>
      <c r="C76" s="21"/>
      <c r="D76" s="21">
        <v>3.59</v>
      </c>
      <c r="E76" s="21"/>
      <c r="F76" s="21">
        <v>31.75</v>
      </c>
      <c r="G76" s="21"/>
      <c r="H76" s="21"/>
      <c r="I76" s="21"/>
      <c r="J76" s="21"/>
      <c r="K76" s="21"/>
    </row>
    <row r="77" spans="1:11" ht="14.25" customHeight="1">
      <c r="A77" s="18">
        <v>45822</v>
      </c>
      <c r="B77" s="19">
        <v>45822</v>
      </c>
      <c r="C77" s="21"/>
      <c r="D77" s="21">
        <v>4.8</v>
      </c>
      <c r="E77" s="21"/>
      <c r="F77" s="21">
        <v>32.78</v>
      </c>
      <c r="G77" s="21"/>
      <c r="H77" s="21"/>
      <c r="I77" s="21"/>
      <c r="J77" s="21"/>
      <c r="K77" s="21"/>
    </row>
    <row r="78" spans="1:11" ht="14.25" customHeight="1">
      <c r="A78" s="18">
        <v>45823</v>
      </c>
      <c r="B78" s="19">
        <v>45823</v>
      </c>
      <c r="C78" s="21"/>
      <c r="D78" s="21">
        <v>4.5599999999999996</v>
      </c>
      <c r="E78" s="21"/>
      <c r="F78" s="21">
        <v>32.79</v>
      </c>
      <c r="G78" s="21"/>
      <c r="H78" s="21"/>
      <c r="I78" s="21"/>
      <c r="J78" s="21"/>
      <c r="K78" s="21"/>
    </row>
    <row r="79" spans="1:11" ht="14.25" customHeight="1">
      <c r="A79" s="18">
        <v>45824</v>
      </c>
      <c r="B79" s="19">
        <v>45824</v>
      </c>
      <c r="C79" s="21"/>
      <c r="D79" s="21">
        <v>0.46</v>
      </c>
      <c r="E79" s="21"/>
      <c r="F79" s="21">
        <v>25.87</v>
      </c>
      <c r="G79" s="21"/>
      <c r="H79" s="21"/>
      <c r="I79" s="21"/>
      <c r="J79" s="21"/>
      <c r="K79" s="21"/>
    </row>
    <row r="80" spans="1:11" ht="14.25" customHeight="1">
      <c r="A80" s="18">
        <v>45825</v>
      </c>
      <c r="B80" s="19">
        <v>45825</v>
      </c>
      <c r="C80" s="21"/>
      <c r="D80" s="21">
        <v>1.52</v>
      </c>
      <c r="E80" s="21"/>
      <c r="F80" s="21">
        <v>26.83</v>
      </c>
      <c r="G80" s="21"/>
      <c r="H80" s="21"/>
      <c r="I80" s="21"/>
      <c r="J80" s="21"/>
      <c r="K80" s="21"/>
    </row>
    <row r="81" spans="1:11" ht="14.25" customHeight="1">
      <c r="A81" s="18">
        <v>45826</v>
      </c>
      <c r="B81" s="19">
        <v>45826</v>
      </c>
      <c r="C81" s="21"/>
      <c r="D81" s="21">
        <v>1.22</v>
      </c>
      <c r="E81" s="21"/>
      <c r="F81" s="21">
        <v>27.47</v>
      </c>
      <c r="G81" s="21"/>
      <c r="H81" s="21"/>
      <c r="I81" s="21"/>
      <c r="J81" s="21"/>
      <c r="K81" s="21"/>
    </row>
    <row r="82" spans="1:11" ht="14.25" customHeight="1">
      <c r="A82" s="18">
        <v>45827</v>
      </c>
      <c r="B82" s="19">
        <v>45827</v>
      </c>
      <c r="C82" s="21"/>
      <c r="D82" s="21">
        <v>3.34</v>
      </c>
      <c r="E82" s="21"/>
      <c r="F82" s="21">
        <v>29.76</v>
      </c>
      <c r="G82" s="21"/>
      <c r="H82" s="21"/>
      <c r="I82" s="21"/>
      <c r="J82" s="21"/>
      <c r="K82" s="21"/>
    </row>
    <row r="83" spans="1:11" ht="14.25" customHeight="1">
      <c r="A83" s="18">
        <v>45828</v>
      </c>
      <c r="B83" s="19">
        <v>45828</v>
      </c>
      <c r="C83" s="21"/>
      <c r="D83" s="21">
        <v>3.87</v>
      </c>
      <c r="E83" s="21"/>
      <c r="F83" s="21">
        <v>30.66</v>
      </c>
      <c r="G83" s="21"/>
      <c r="H83" s="21"/>
      <c r="I83" s="21"/>
      <c r="J83" s="21"/>
      <c r="K83" s="21"/>
    </row>
    <row r="84" spans="1:11" ht="14.25" customHeight="1">
      <c r="A84" s="18">
        <v>45829</v>
      </c>
      <c r="B84" s="19">
        <v>45829</v>
      </c>
      <c r="C84" s="21"/>
      <c r="D84" s="21">
        <v>2.64</v>
      </c>
      <c r="E84" s="21"/>
      <c r="F84" s="21">
        <v>29.97</v>
      </c>
      <c r="G84" s="21"/>
      <c r="H84" s="21"/>
      <c r="I84" s="21"/>
      <c r="J84" s="21"/>
      <c r="K84" s="21"/>
    </row>
    <row r="85" spans="1:11" ht="14.25" customHeight="1">
      <c r="A85" s="18">
        <v>45830</v>
      </c>
      <c r="B85" s="19">
        <v>45830</v>
      </c>
      <c r="C85" s="21"/>
      <c r="D85" s="21">
        <v>0.78</v>
      </c>
      <c r="E85" s="21"/>
      <c r="F85" s="21">
        <v>25.8</v>
      </c>
      <c r="G85" s="21"/>
      <c r="H85" s="21"/>
      <c r="I85" s="21"/>
      <c r="J85" s="21"/>
      <c r="K85" s="21"/>
    </row>
    <row r="86" spans="1:11" ht="14.25" customHeight="1">
      <c r="A86" s="18">
        <v>45831</v>
      </c>
      <c r="B86" s="19">
        <v>45831</v>
      </c>
      <c r="C86" s="21"/>
      <c r="D86" s="21">
        <v>1.6</v>
      </c>
      <c r="E86" s="21"/>
      <c r="F86" s="21">
        <v>28.25</v>
      </c>
      <c r="G86" s="21"/>
      <c r="H86" s="21"/>
      <c r="I86" s="21"/>
      <c r="J86" s="21"/>
      <c r="K86" s="21"/>
    </row>
    <row r="87" spans="1:11" ht="14.25" customHeight="1">
      <c r="A87" s="18">
        <v>45832</v>
      </c>
      <c r="B87" s="19">
        <v>45832</v>
      </c>
      <c r="C87" s="21"/>
      <c r="D87" s="21">
        <v>2.52</v>
      </c>
      <c r="E87" s="21"/>
      <c r="F87" s="21">
        <v>29.02</v>
      </c>
      <c r="G87" s="21"/>
      <c r="H87" s="21"/>
      <c r="I87" s="21"/>
      <c r="J87" s="21"/>
      <c r="K87" s="21"/>
    </row>
    <row r="88" spans="1:11" ht="14.25" customHeight="1">
      <c r="A88" s="18">
        <v>45833</v>
      </c>
      <c r="B88" s="19">
        <v>45833</v>
      </c>
      <c r="C88" s="21"/>
      <c r="D88" s="21">
        <v>1.68</v>
      </c>
      <c r="E88" s="21"/>
      <c r="F88" s="21">
        <v>26.75</v>
      </c>
      <c r="G88" s="21"/>
      <c r="H88" s="21"/>
      <c r="I88" s="21"/>
      <c r="J88" s="21"/>
      <c r="K88" s="21"/>
    </row>
    <row r="89" spans="1:11" ht="14.25" customHeight="1">
      <c r="A89" s="18">
        <v>45834</v>
      </c>
      <c r="B89" s="19">
        <v>45834</v>
      </c>
      <c r="C89" s="21"/>
      <c r="D89" s="21">
        <v>0.71</v>
      </c>
      <c r="E89" s="21"/>
      <c r="F89" s="21">
        <v>26.1</v>
      </c>
      <c r="G89" s="21"/>
      <c r="H89" s="21"/>
      <c r="I89" s="21"/>
      <c r="J89" s="21"/>
      <c r="K89" s="21"/>
    </row>
    <row r="90" spans="1:11" ht="14.25" customHeight="1">
      <c r="A90" s="18">
        <v>45835</v>
      </c>
      <c r="B90" s="19">
        <v>45835</v>
      </c>
      <c r="C90" s="21"/>
      <c r="D90" s="21">
        <v>1.01</v>
      </c>
      <c r="E90" s="21"/>
      <c r="F90" s="21">
        <v>25.93</v>
      </c>
      <c r="G90" s="21"/>
      <c r="H90" s="21"/>
      <c r="I90" s="21"/>
      <c r="J90" s="21"/>
      <c r="K90" s="21"/>
    </row>
    <row r="91" spans="1:11" ht="14.25" customHeight="1">
      <c r="A91" s="18">
        <v>45836</v>
      </c>
      <c r="B91" s="19">
        <v>45836</v>
      </c>
      <c r="C91" s="21"/>
      <c r="D91" s="21">
        <v>2.29</v>
      </c>
      <c r="E91" s="21"/>
      <c r="F91" s="21">
        <v>27.33</v>
      </c>
      <c r="G91" s="21"/>
      <c r="H91" s="21"/>
      <c r="I91" s="21"/>
      <c r="J91" s="21"/>
      <c r="K91" s="21"/>
    </row>
    <row r="92" spans="1:11" ht="14.25" customHeight="1">
      <c r="A92" s="18">
        <v>45837</v>
      </c>
      <c r="B92" s="19">
        <v>45837</v>
      </c>
      <c r="C92" s="21"/>
      <c r="D92" s="21">
        <v>3.61</v>
      </c>
      <c r="E92" s="21"/>
      <c r="F92" s="21">
        <v>29.25</v>
      </c>
      <c r="G92" s="21"/>
      <c r="H92" s="21"/>
      <c r="I92" s="21"/>
      <c r="J92" s="21"/>
      <c r="K92" s="21"/>
    </row>
    <row r="93" spans="1:11" ht="14.25" customHeight="1">
      <c r="A93" s="18">
        <v>45838</v>
      </c>
      <c r="B93" s="19">
        <v>45838</v>
      </c>
      <c r="C93" s="21"/>
      <c r="D93" s="21">
        <v>1.23</v>
      </c>
      <c r="E93" s="21"/>
      <c r="F93" s="21">
        <v>27.06</v>
      </c>
      <c r="G93" s="21"/>
      <c r="H93" s="21"/>
      <c r="I93" s="21"/>
      <c r="J93" s="21"/>
      <c r="K93" s="21"/>
    </row>
    <row r="94" spans="1:11" ht="14.25" customHeight="1">
      <c r="A94" s="18">
        <v>45839</v>
      </c>
      <c r="B94" s="19">
        <v>45839</v>
      </c>
      <c r="C94" s="21"/>
      <c r="D94" s="21">
        <v>3.07</v>
      </c>
      <c r="E94" s="21"/>
      <c r="F94" s="21">
        <v>28.95</v>
      </c>
      <c r="G94" s="21"/>
      <c r="H94" s="21"/>
      <c r="I94" s="21"/>
      <c r="J94" s="21"/>
      <c r="K94" s="21"/>
    </row>
    <row r="95" spans="1:11" ht="14.25" customHeight="1">
      <c r="A95" s="18">
        <v>45840</v>
      </c>
      <c r="B95" s="19">
        <v>45840</v>
      </c>
      <c r="C95" s="21"/>
      <c r="D95" s="21">
        <v>2.41</v>
      </c>
      <c r="E95" s="21"/>
      <c r="F95" s="21">
        <v>28.45</v>
      </c>
      <c r="G95" s="21"/>
      <c r="H95" s="21"/>
      <c r="I95" s="21"/>
      <c r="J95" s="21"/>
      <c r="K95" s="21"/>
    </row>
    <row r="96" spans="1:11" ht="14.25" customHeight="1">
      <c r="A96" s="18">
        <v>45841</v>
      </c>
      <c r="B96" s="19">
        <v>45841</v>
      </c>
      <c r="C96" s="21"/>
      <c r="D96" s="21">
        <v>0.41</v>
      </c>
      <c r="E96" s="21"/>
      <c r="F96" s="21">
        <v>25.7</v>
      </c>
      <c r="G96" s="21"/>
      <c r="H96" s="21"/>
      <c r="I96" s="21"/>
      <c r="J96" s="21"/>
      <c r="K96" s="21"/>
    </row>
    <row r="97" spans="1:11" ht="14.25" customHeight="1">
      <c r="A97" s="18">
        <v>45842</v>
      </c>
      <c r="B97" s="19">
        <v>45842</v>
      </c>
      <c r="C97" s="21"/>
      <c r="D97" s="21">
        <v>0.86</v>
      </c>
      <c r="E97" s="21"/>
      <c r="F97" s="21">
        <v>27</v>
      </c>
      <c r="G97" s="21"/>
      <c r="H97" s="21"/>
      <c r="I97" s="21"/>
      <c r="J97" s="21"/>
      <c r="K97" s="21"/>
    </row>
    <row r="98" spans="1:11" ht="14.25" customHeight="1">
      <c r="A98" s="18">
        <v>45843</v>
      </c>
      <c r="B98" s="19">
        <v>45843</v>
      </c>
      <c r="C98" s="21"/>
      <c r="D98" s="21">
        <v>1.08</v>
      </c>
      <c r="E98" s="21"/>
      <c r="F98" s="21">
        <v>27.22</v>
      </c>
      <c r="G98" s="21"/>
      <c r="H98" s="21"/>
      <c r="I98" s="21"/>
      <c r="J98" s="21"/>
      <c r="K98" s="21"/>
    </row>
    <row r="99" spans="1:11" ht="14.25" customHeight="1">
      <c r="A99" s="18">
        <v>45844</v>
      </c>
      <c r="B99" s="19">
        <v>45844</v>
      </c>
      <c r="C99" s="21"/>
      <c r="D99" s="21">
        <v>0.48</v>
      </c>
      <c r="E99" s="21"/>
      <c r="F99" s="21">
        <v>28.32</v>
      </c>
      <c r="G99" s="21"/>
      <c r="H99" s="21"/>
      <c r="I99" s="21"/>
      <c r="J99" s="21"/>
      <c r="K99" s="21"/>
    </row>
    <row r="100" spans="1:11" ht="14.25" customHeight="1">
      <c r="A100" s="18">
        <v>45845</v>
      </c>
      <c r="B100" s="19">
        <v>45845</v>
      </c>
      <c r="C100" s="21"/>
      <c r="D100" s="21">
        <v>0.27</v>
      </c>
      <c r="E100" s="21"/>
      <c r="F100" s="21">
        <v>0</v>
      </c>
      <c r="G100" s="21"/>
      <c r="H100" s="21"/>
      <c r="I100" s="21"/>
      <c r="J100" s="21"/>
      <c r="K100" s="21"/>
    </row>
    <row r="101" spans="1:11" ht="15.75" customHeight="1">
      <c r="A101" s="18">
        <v>45846</v>
      </c>
      <c r="B101" s="19">
        <v>45846</v>
      </c>
      <c r="C101" s="21"/>
      <c r="D101" s="21">
        <v>0.36</v>
      </c>
      <c r="E101" s="21"/>
      <c r="F101" s="21">
        <v>28.49</v>
      </c>
      <c r="G101" s="21"/>
      <c r="H101" s="21"/>
      <c r="I101" s="21"/>
      <c r="J101" s="21"/>
      <c r="K101" s="21"/>
    </row>
    <row r="102" spans="1:11" ht="15.75" customHeight="1">
      <c r="A102" s="18">
        <v>45847</v>
      </c>
      <c r="B102" s="19">
        <v>45847</v>
      </c>
      <c r="C102" s="21"/>
      <c r="D102" s="21">
        <v>0</v>
      </c>
      <c r="E102" s="21"/>
      <c r="F102" s="21">
        <v>29.73</v>
      </c>
      <c r="G102" s="21"/>
      <c r="H102" s="21"/>
      <c r="I102" s="21"/>
      <c r="J102" s="21"/>
      <c r="K102" s="21"/>
    </row>
    <row r="103" spans="1:11" ht="15.75" customHeight="1">
      <c r="A103" s="18">
        <v>45848</v>
      </c>
      <c r="B103" s="19">
        <v>45848</v>
      </c>
      <c r="C103" s="21"/>
      <c r="D103" s="21">
        <v>0</v>
      </c>
      <c r="E103" s="21"/>
      <c r="F103" s="21">
        <v>29.1</v>
      </c>
      <c r="G103" s="21"/>
      <c r="H103" s="21"/>
      <c r="I103" s="21"/>
      <c r="J103" s="21"/>
      <c r="K103" s="21"/>
    </row>
    <row r="104" spans="1:11" ht="15.75" customHeight="1">
      <c r="A104" s="18">
        <v>45849</v>
      </c>
      <c r="B104" s="19">
        <v>45849</v>
      </c>
      <c r="C104" s="21"/>
      <c r="D104" s="21">
        <v>1.61</v>
      </c>
      <c r="E104" s="21"/>
      <c r="F104" s="21">
        <v>28.75</v>
      </c>
      <c r="G104" s="21"/>
      <c r="H104" s="21"/>
      <c r="I104" s="21"/>
      <c r="J104" s="21"/>
      <c r="K104" s="21"/>
    </row>
    <row r="105" spans="1:11" ht="15.75" customHeight="1">
      <c r="A105" s="18">
        <v>45850</v>
      </c>
      <c r="B105" s="19">
        <v>45850</v>
      </c>
      <c r="C105" s="21"/>
      <c r="D105" s="21">
        <v>3.27</v>
      </c>
      <c r="E105" s="21"/>
      <c r="F105" s="21">
        <v>28.62</v>
      </c>
      <c r="G105" s="21"/>
      <c r="H105" s="21"/>
      <c r="I105" s="21"/>
      <c r="J105" s="21"/>
      <c r="K105" s="21"/>
    </row>
    <row r="106" spans="1:11" ht="15.75" customHeight="1">
      <c r="A106" s="18">
        <v>45851</v>
      </c>
      <c r="B106" s="19">
        <v>45851</v>
      </c>
      <c r="C106" s="21"/>
      <c r="D106" s="21">
        <v>3.36</v>
      </c>
      <c r="E106" s="21"/>
      <c r="F106" s="21">
        <v>29.84</v>
      </c>
      <c r="G106" s="21"/>
      <c r="H106" s="21"/>
      <c r="I106" s="21"/>
      <c r="J106" s="21"/>
      <c r="K106" s="21"/>
    </row>
    <row r="107" spans="1:11" ht="15.75" customHeight="1">
      <c r="A107" s="18">
        <v>45852</v>
      </c>
      <c r="B107" s="19">
        <v>45852</v>
      </c>
      <c r="C107" s="21"/>
      <c r="D107" s="21">
        <v>3.38</v>
      </c>
      <c r="E107" s="21"/>
      <c r="F107" s="21">
        <v>29.88</v>
      </c>
      <c r="G107" s="21"/>
      <c r="H107" s="21"/>
      <c r="I107" s="21"/>
      <c r="J107" s="21"/>
      <c r="K107" s="21"/>
    </row>
    <row r="108" spans="1:11" ht="15.75" customHeight="1">
      <c r="A108" s="18">
        <v>45853</v>
      </c>
      <c r="B108" s="19">
        <v>45853</v>
      </c>
      <c r="C108" s="21"/>
      <c r="D108" s="21">
        <v>3.31</v>
      </c>
      <c r="E108" s="21"/>
      <c r="F108" s="21">
        <v>29.69</v>
      </c>
      <c r="G108" s="21"/>
      <c r="H108" s="21"/>
      <c r="I108" s="21"/>
      <c r="J108" s="21"/>
      <c r="K108" s="21"/>
    </row>
    <row r="109" spans="1:11" ht="15.75" customHeight="1">
      <c r="A109" s="18">
        <v>45854</v>
      </c>
      <c r="B109" s="19">
        <v>45854</v>
      </c>
      <c r="C109" s="21"/>
      <c r="D109" s="21">
        <v>3.32</v>
      </c>
      <c r="E109" s="21"/>
      <c r="F109" s="21">
        <v>30.36</v>
      </c>
      <c r="G109" s="21"/>
      <c r="H109" s="21"/>
      <c r="I109" s="21"/>
      <c r="J109" s="21"/>
      <c r="K109" s="21"/>
    </row>
    <row r="110" spans="1:11" ht="15.75" customHeight="1">
      <c r="A110" s="18">
        <v>45855</v>
      </c>
      <c r="B110" s="19">
        <v>45855</v>
      </c>
      <c r="C110" s="21"/>
      <c r="D110" s="21">
        <v>1.82</v>
      </c>
      <c r="E110" s="21"/>
      <c r="F110" s="21">
        <v>30.23</v>
      </c>
      <c r="G110" s="21"/>
      <c r="H110" s="21"/>
      <c r="I110" s="21"/>
      <c r="J110" s="21"/>
      <c r="K110" s="21"/>
    </row>
    <row r="111" spans="1:11" ht="15.75" customHeight="1">
      <c r="A111" s="18">
        <v>45856</v>
      </c>
      <c r="B111" s="19">
        <v>45856</v>
      </c>
      <c r="C111" s="21"/>
      <c r="D111" s="21">
        <v>0</v>
      </c>
      <c r="E111" s="21"/>
      <c r="F111" s="21">
        <v>30.52</v>
      </c>
      <c r="G111" s="21"/>
      <c r="H111" s="21"/>
      <c r="I111" s="21"/>
      <c r="J111" s="21"/>
      <c r="K111" s="21"/>
    </row>
    <row r="112" spans="1:11" ht="15.75" customHeight="1">
      <c r="A112" s="18">
        <v>45857</v>
      </c>
      <c r="B112" s="19">
        <v>45857</v>
      </c>
      <c r="C112" s="21"/>
      <c r="D112" s="21">
        <v>0</v>
      </c>
      <c r="E112" s="21"/>
      <c r="F112" s="21">
        <v>28.69</v>
      </c>
      <c r="G112" s="21"/>
      <c r="H112" s="21"/>
      <c r="I112" s="21"/>
      <c r="J112" s="21"/>
      <c r="K112" s="21"/>
    </row>
    <row r="113" spans="1:11" ht="15.75" customHeight="1">
      <c r="A113" s="18">
        <v>45858</v>
      </c>
      <c r="B113" s="19">
        <v>45858</v>
      </c>
      <c r="C113" s="21"/>
      <c r="D113" s="21">
        <v>0</v>
      </c>
      <c r="E113" s="21"/>
      <c r="F113" s="21">
        <v>27.93</v>
      </c>
      <c r="G113" s="21"/>
      <c r="H113" s="21"/>
      <c r="I113" s="21"/>
      <c r="J113" s="21"/>
      <c r="K113" s="21"/>
    </row>
    <row r="114" spans="1:11" ht="15.75" customHeight="1">
      <c r="A114" s="18">
        <v>45859</v>
      </c>
      <c r="B114" s="19">
        <v>45859</v>
      </c>
      <c r="C114" s="21"/>
      <c r="D114" s="21">
        <v>0</v>
      </c>
      <c r="E114" s="21"/>
      <c r="F114" s="21">
        <v>29.33</v>
      </c>
      <c r="G114" s="21"/>
      <c r="H114" s="21"/>
      <c r="I114" s="21"/>
      <c r="J114" s="21"/>
      <c r="K114" s="21"/>
    </row>
    <row r="115" spans="1:11" ht="15.75" customHeight="1">
      <c r="A115" s="18">
        <v>45860</v>
      </c>
      <c r="B115" s="19">
        <v>45860</v>
      </c>
      <c r="C115" s="21"/>
      <c r="D115" s="21">
        <v>0</v>
      </c>
      <c r="E115" s="21"/>
      <c r="F115" s="21">
        <v>28.06</v>
      </c>
      <c r="G115" s="21"/>
      <c r="H115" s="21"/>
      <c r="I115" s="21"/>
      <c r="J115" s="21"/>
      <c r="K115" s="21"/>
    </row>
    <row r="116" spans="1:11" ht="15.75" customHeight="1">
      <c r="A116" s="18">
        <v>45861</v>
      </c>
      <c r="B116" s="19">
        <v>45861</v>
      </c>
      <c r="C116" s="21"/>
      <c r="D116" s="21">
        <v>0</v>
      </c>
      <c r="E116" s="21"/>
      <c r="F116" s="21">
        <v>28.14</v>
      </c>
      <c r="G116" s="21"/>
      <c r="H116" s="21"/>
      <c r="I116" s="21"/>
      <c r="J116" s="21"/>
      <c r="K116" s="21"/>
    </row>
    <row r="117" spans="1:11" ht="15.75" customHeight="1">
      <c r="A117" s="18">
        <v>45862</v>
      </c>
      <c r="B117" s="19">
        <v>45862</v>
      </c>
      <c r="C117" s="21"/>
      <c r="D117" s="21">
        <v>0</v>
      </c>
      <c r="E117" s="21"/>
      <c r="F117" s="21">
        <v>27.91</v>
      </c>
      <c r="G117" s="21"/>
      <c r="H117" s="21"/>
      <c r="I117" s="21"/>
      <c r="J117" s="21"/>
      <c r="K117" s="21"/>
    </row>
    <row r="118" spans="1:11" ht="15.75" customHeight="1">
      <c r="A118" s="18">
        <v>45863</v>
      </c>
      <c r="B118" s="19">
        <v>45863</v>
      </c>
      <c r="C118" s="21"/>
      <c r="D118" s="21">
        <v>0</v>
      </c>
      <c r="E118" s="21"/>
      <c r="F118" s="21">
        <v>27.97</v>
      </c>
      <c r="G118" s="21"/>
      <c r="H118" s="21"/>
      <c r="I118" s="21"/>
      <c r="J118" s="21"/>
      <c r="K118" s="21"/>
    </row>
    <row r="119" spans="1:11" ht="15.75" customHeight="1">
      <c r="A119" s="18">
        <v>45864</v>
      </c>
      <c r="B119" s="19">
        <v>45864</v>
      </c>
      <c r="C119" s="21"/>
      <c r="D119" s="21">
        <v>0</v>
      </c>
      <c r="E119" s="21"/>
      <c r="F119" s="21">
        <v>27.97</v>
      </c>
      <c r="G119" s="21"/>
      <c r="H119" s="21"/>
      <c r="I119" s="21"/>
      <c r="J119" s="21"/>
      <c r="K119" s="21"/>
    </row>
    <row r="120" spans="1:11" ht="15.75" customHeight="1">
      <c r="A120" s="18">
        <v>45865</v>
      </c>
      <c r="B120" s="19">
        <v>45865</v>
      </c>
      <c r="C120" s="21"/>
      <c r="D120" s="21">
        <v>0</v>
      </c>
      <c r="E120" s="21"/>
      <c r="F120" s="21">
        <v>28.86</v>
      </c>
      <c r="G120" s="21"/>
      <c r="H120" s="21"/>
      <c r="I120" s="21"/>
      <c r="J120" s="21"/>
      <c r="K120" s="21"/>
    </row>
    <row r="121" spans="1:11" ht="15.75" customHeight="1">
      <c r="A121" s="18">
        <v>45866</v>
      </c>
      <c r="B121" s="19">
        <v>45866</v>
      </c>
      <c r="C121" s="21"/>
      <c r="D121" s="21">
        <v>0</v>
      </c>
      <c r="E121" s="21"/>
      <c r="F121" s="21">
        <v>27.53</v>
      </c>
      <c r="G121" s="21"/>
      <c r="H121" s="21"/>
      <c r="I121" s="21"/>
      <c r="J121" s="21"/>
      <c r="K121" s="21"/>
    </row>
    <row r="122" spans="1:11" ht="15.75" customHeight="1">
      <c r="A122" s="18">
        <v>45867</v>
      </c>
      <c r="B122" s="19">
        <v>45867</v>
      </c>
      <c r="C122" s="21"/>
      <c r="D122" s="21">
        <v>0</v>
      </c>
      <c r="E122" s="21"/>
      <c r="F122" s="21">
        <v>26.5</v>
      </c>
      <c r="G122" s="21"/>
      <c r="H122" s="21"/>
      <c r="I122" s="21"/>
      <c r="J122" s="21"/>
      <c r="K122" s="21"/>
    </row>
    <row r="123" spans="1:11" ht="15.75" customHeight="1">
      <c r="A123" s="18">
        <v>45868</v>
      </c>
      <c r="B123" s="19">
        <v>45868</v>
      </c>
      <c r="C123" s="21"/>
      <c r="D123" s="21">
        <v>0</v>
      </c>
      <c r="E123" s="21"/>
      <c r="F123" s="21">
        <v>26.5</v>
      </c>
      <c r="G123" s="21"/>
      <c r="H123" s="21"/>
      <c r="I123" s="21"/>
      <c r="J123" s="21"/>
      <c r="K123" s="21"/>
    </row>
    <row r="124" spans="1:11" ht="15.75" customHeight="1">
      <c r="A124" s="18">
        <v>45869</v>
      </c>
      <c r="B124" s="19">
        <v>45869</v>
      </c>
      <c r="C124" s="21"/>
      <c r="D124" s="21">
        <v>2.2599999999999998</v>
      </c>
      <c r="E124" s="21"/>
      <c r="F124" s="21">
        <v>27.76</v>
      </c>
      <c r="G124" s="21"/>
      <c r="H124" s="21"/>
      <c r="I124" s="21"/>
      <c r="J124" s="21"/>
      <c r="K124" s="21"/>
    </row>
    <row r="125" spans="1:11" ht="15.75" customHeight="1">
      <c r="A125" s="18">
        <v>45870</v>
      </c>
      <c r="B125" s="19">
        <v>45870</v>
      </c>
      <c r="C125" s="21"/>
      <c r="D125" s="21">
        <v>3.07</v>
      </c>
      <c r="E125" s="21"/>
      <c r="F125" s="21">
        <v>27.95</v>
      </c>
      <c r="G125" s="21"/>
      <c r="H125" s="21"/>
      <c r="I125" s="21"/>
      <c r="J125" s="21"/>
      <c r="K125" s="21"/>
    </row>
    <row r="126" spans="1:11" ht="15.75" customHeight="1">
      <c r="A126" s="18">
        <v>45871</v>
      </c>
      <c r="B126" s="19">
        <v>45871</v>
      </c>
      <c r="C126" s="21"/>
      <c r="D126" s="21">
        <v>3.38</v>
      </c>
      <c r="E126" s="21"/>
      <c r="F126" s="21">
        <v>28.22</v>
      </c>
      <c r="G126" s="21"/>
      <c r="H126" s="21"/>
      <c r="I126" s="21"/>
      <c r="J126" s="21"/>
      <c r="K126" s="21"/>
    </row>
    <row r="127" spans="1:11" ht="15.75" customHeight="1">
      <c r="A127" s="18">
        <v>45872</v>
      </c>
      <c r="B127" s="19">
        <v>45872</v>
      </c>
      <c r="C127" s="21"/>
      <c r="D127" s="21">
        <v>3.18</v>
      </c>
      <c r="E127" s="21"/>
      <c r="F127" s="21">
        <v>27.92</v>
      </c>
      <c r="G127" s="21"/>
      <c r="H127" s="21"/>
      <c r="I127" s="21"/>
      <c r="J127" s="21"/>
      <c r="K127" s="21"/>
    </row>
    <row r="128" spans="1:11" ht="15.75" customHeight="1">
      <c r="A128" s="18">
        <v>45873</v>
      </c>
      <c r="B128" s="19">
        <v>45873</v>
      </c>
      <c r="C128" s="21"/>
      <c r="D128" s="21">
        <v>3.85</v>
      </c>
      <c r="E128" s="21"/>
      <c r="F128" s="21">
        <v>28.11</v>
      </c>
      <c r="G128" s="21"/>
      <c r="H128" s="21"/>
      <c r="I128" s="21"/>
      <c r="J128" s="21"/>
      <c r="K128" s="21"/>
    </row>
    <row r="129" spans="1:11" ht="15.75" customHeight="1">
      <c r="A129" s="18">
        <v>45874</v>
      </c>
      <c r="B129" s="19">
        <v>45874</v>
      </c>
      <c r="C129" s="21"/>
      <c r="D129" s="21">
        <v>3.78</v>
      </c>
      <c r="E129" s="21"/>
      <c r="F129" s="21">
        <v>28.49</v>
      </c>
      <c r="G129" s="21"/>
      <c r="H129" s="21"/>
      <c r="I129" s="21"/>
      <c r="J129" s="21"/>
      <c r="K129" s="21"/>
    </row>
    <row r="130" spans="1:11" ht="15.75" customHeight="1">
      <c r="A130" s="18">
        <v>45875</v>
      </c>
      <c r="B130" s="19">
        <v>45875</v>
      </c>
      <c r="C130" s="21"/>
      <c r="D130" s="21">
        <v>3.68</v>
      </c>
      <c r="E130" s="21"/>
      <c r="F130" s="21">
        <v>27.87</v>
      </c>
      <c r="G130" s="21"/>
      <c r="H130" s="21"/>
      <c r="I130" s="21"/>
      <c r="J130" s="21"/>
      <c r="K130" s="21"/>
    </row>
    <row r="131" spans="1:11" ht="15.75" customHeight="1">
      <c r="A131" s="18">
        <v>45876</v>
      </c>
      <c r="B131" s="19">
        <v>45876</v>
      </c>
      <c r="C131" s="21"/>
      <c r="D131" s="21">
        <v>3.3</v>
      </c>
      <c r="E131" s="21"/>
      <c r="F131" s="21">
        <v>30.02</v>
      </c>
      <c r="G131" s="21"/>
      <c r="H131" s="21"/>
      <c r="I131" s="21"/>
      <c r="J131" s="21"/>
      <c r="K131" s="21"/>
    </row>
    <row r="132" spans="1:11" ht="15.75" customHeight="1">
      <c r="A132" s="18">
        <v>45877</v>
      </c>
      <c r="B132" s="19">
        <v>45877</v>
      </c>
      <c r="C132" s="21"/>
      <c r="D132" s="21">
        <v>4.26</v>
      </c>
      <c r="E132" s="21"/>
      <c r="F132" s="21">
        <v>0</v>
      </c>
      <c r="G132" s="21"/>
      <c r="H132" s="21"/>
      <c r="I132" s="21"/>
      <c r="J132" s="21"/>
      <c r="K132" s="21"/>
    </row>
    <row r="133" spans="1:11" ht="15.75" customHeight="1">
      <c r="A133" s="18">
        <v>45878</v>
      </c>
      <c r="B133" s="19">
        <v>45878</v>
      </c>
      <c r="C133" s="21"/>
      <c r="D133" s="21">
        <v>3.37</v>
      </c>
      <c r="E133" s="21"/>
      <c r="F133" s="21">
        <v>0</v>
      </c>
      <c r="G133" s="21"/>
      <c r="H133" s="21"/>
      <c r="I133" s="21"/>
      <c r="J133" s="21"/>
      <c r="K133" s="21"/>
    </row>
    <row r="134" spans="1:11" ht="15.75" customHeight="1">
      <c r="A134" s="18">
        <v>45879</v>
      </c>
      <c r="B134" s="19">
        <v>45879</v>
      </c>
      <c r="C134" s="21"/>
      <c r="D134" s="21">
        <v>3.26</v>
      </c>
      <c r="E134" s="21"/>
      <c r="F134" s="21">
        <v>0</v>
      </c>
      <c r="G134" s="21"/>
      <c r="H134" s="21"/>
      <c r="I134" s="21"/>
      <c r="J134" s="21"/>
      <c r="K134" s="21"/>
    </row>
    <row r="135" spans="1:11" ht="15.75" customHeight="1">
      <c r="A135" s="18">
        <v>45880</v>
      </c>
      <c r="B135" s="19">
        <v>45880</v>
      </c>
      <c r="C135" s="21"/>
      <c r="D135" s="21">
        <v>3.95</v>
      </c>
      <c r="E135" s="21"/>
      <c r="F135" s="21">
        <v>28.81</v>
      </c>
      <c r="G135" s="21"/>
      <c r="H135" s="21"/>
      <c r="I135" s="21"/>
      <c r="J135" s="21"/>
      <c r="K135" s="21"/>
    </row>
    <row r="136" spans="1:11" ht="15.75" customHeight="1">
      <c r="A136" s="18">
        <v>45881</v>
      </c>
      <c r="B136" s="19">
        <v>45881</v>
      </c>
      <c r="C136" s="21"/>
      <c r="D136" s="21">
        <v>4.13</v>
      </c>
      <c r="E136" s="21"/>
      <c r="F136" s="21">
        <v>27.19</v>
      </c>
      <c r="G136" s="21"/>
      <c r="H136" s="21"/>
      <c r="I136" s="21"/>
      <c r="J136" s="21"/>
      <c r="K136" s="21"/>
    </row>
    <row r="137" spans="1:11" ht="15.75" customHeight="1">
      <c r="A137" s="18">
        <v>45882</v>
      </c>
      <c r="B137" s="19">
        <v>45882</v>
      </c>
      <c r="C137" s="21"/>
      <c r="D137" s="21">
        <v>3.79</v>
      </c>
      <c r="E137" s="21"/>
      <c r="F137" s="21">
        <v>26</v>
      </c>
      <c r="G137" s="21"/>
      <c r="H137" s="21"/>
      <c r="I137" s="21"/>
      <c r="J137" s="21"/>
      <c r="K137" s="21"/>
    </row>
    <row r="138" spans="1:11" ht="15.75" customHeight="1">
      <c r="A138" s="18">
        <v>45883</v>
      </c>
      <c r="B138" s="19">
        <v>45883</v>
      </c>
      <c r="C138" s="21"/>
      <c r="D138" s="21">
        <v>1.54</v>
      </c>
      <c r="E138" s="21"/>
      <c r="F138" s="21">
        <v>26</v>
      </c>
      <c r="G138" s="21"/>
      <c r="H138" s="21"/>
      <c r="I138" s="21"/>
      <c r="J138" s="21"/>
      <c r="K138" s="21"/>
    </row>
    <row r="139" spans="1:11" ht="15.75" customHeight="1">
      <c r="A139" s="18">
        <v>45884</v>
      </c>
      <c r="B139" s="19">
        <v>45884</v>
      </c>
      <c r="C139" s="21"/>
      <c r="D139" s="21">
        <v>3.34</v>
      </c>
      <c r="E139" s="21"/>
      <c r="F139" s="21">
        <v>0</v>
      </c>
      <c r="G139" s="21"/>
      <c r="H139" s="21"/>
      <c r="I139" s="21"/>
      <c r="J139" s="21"/>
      <c r="K139" s="21"/>
    </row>
    <row r="140" spans="1:11" ht="15.75" customHeight="1">
      <c r="A140" s="18">
        <v>45885</v>
      </c>
      <c r="B140" s="19">
        <v>45885</v>
      </c>
      <c r="C140" s="21"/>
      <c r="D140" s="21">
        <v>3.05</v>
      </c>
      <c r="E140" s="21"/>
      <c r="F140" s="21">
        <v>0</v>
      </c>
      <c r="G140" s="21"/>
      <c r="H140" s="21"/>
      <c r="I140" s="21"/>
      <c r="J140" s="21"/>
      <c r="K140" s="21"/>
    </row>
    <row r="141" spans="1:11" ht="15.75" customHeight="1">
      <c r="A141" s="18">
        <v>45886</v>
      </c>
      <c r="B141" s="19">
        <v>45886</v>
      </c>
      <c r="C141" s="21"/>
      <c r="D141" s="21">
        <v>3.32</v>
      </c>
      <c r="E141" s="21"/>
      <c r="F141" s="21">
        <v>0</v>
      </c>
      <c r="G141" s="21"/>
      <c r="H141" s="21"/>
      <c r="I141" s="21"/>
      <c r="J141" s="21"/>
      <c r="K141" s="21"/>
    </row>
    <row r="142" spans="1:11" ht="15.75" customHeight="1">
      <c r="A142" s="18">
        <v>45887</v>
      </c>
      <c r="B142" s="19">
        <v>45887</v>
      </c>
      <c r="C142" s="21"/>
      <c r="D142" s="21">
        <v>4</v>
      </c>
      <c r="E142" s="21"/>
      <c r="F142" s="21">
        <v>0</v>
      </c>
      <c r="G142" s="21"/>
      <c r="H142" s="21"/>
      <c r="I142" s="21"/>
      <c r="J142" s="21"/>
      <c r="K142" s="21"/>
    </row>
    <row r="143" spans="1:11" ht="15.75" customHeight="1">
      <c r="A143" s="18">
        <v>45888</v>
      </c>
      <c r="B143" s="19">
        <v>45888</v>
      </c>
      <c r="C143" s="21"/>
      <c r="D143" s="21">
        <v>1.5</v>
      </c>
      <c r="E143" s="21"/>
      <c r="F143" s="21">
        <v>0</v>
      </c>
      <c r="G143" s="21"/>
      <c r="H143" s="21"/>
      <c r="I143" s="21"/>
      <c r="J143" s="21"/>
      <c r="K143" s="21"/>
    </row>
    <row r="144" spans="1:11" ht="15.75" customHeight="1">
      <c r="A144" s="18">
        <v>45889</v>
      </c>
      <c r="B144" s="19">
        <v>45889</v>
      </c>
      <c r="C144" s="21"/>
      <c r="D144" s="21"/>
      <c r="E144" s="21"/>
      <c r="F144" s="21"/>
      <c r="G144" s="21"/>
      <c r="H144" s="21"/>
      <c r="I144" s="21"/>
      <c r="J144" s="21"/>
      <c r="K144" s="21"/>
    </row>
    <row r="145" spans="1:11" ht="15.75" customHeight="1">
      <c r="A145" s="18">
        <v>45890</v>
      </c>
      <c r="B145" s="19">
        <v>45890</v>
      </c>
      <c r="C145" s="21"/>
      <c r="D145" s="21"/>
      <c r="E145" s="21"/>
      <c r="F145" s="21"/>
      <c r="G145" s="21"/>
      <c r="H145" s="21"/>
      <c r="I145" s="21"/>
      <c r="J145" s="21"/>
      <c r="K145" s="21"/>
    </row>
    <row r="146" spans="1:11" ht="15.75" customHeight="1">
      <c r="A146" s="18">
        <v>45891</v>
      </c>
      <c r="B146" s="19">
        <v>45891</v>
      </c>
      <c r="C146" s="21"/>
      <c r="D146" s="21"/>
      <c r="E146" s="21"/>
      <c r="F146" s="21"/>
      <c r="G146" s="21"/>
      <c r="H146" s="21"/>
      <c r="I146" s="21"/>
      <c r="J146" s="21"/>
      <c r="K146" s="21"/>
    </row>
    <row r="147" spans="1:11" ht="15.75" customHeight="1">
      <c r="A147" s="18">
        <v>45892</v>
      </c>
      <c r="B147" s="19">
        <v>45892</v>
      </c>
      <c r="C147" s="21"/>
      <c r="D147" s="21"/>
      <c r="E147" s="21"/>
      <c r="F147" s="21"/>
      <c r="G147" s="21"/>
      <c r="H147" s="21"/>
      <c r="I147" s="21"/>
      <c r="J147" s="21"/>
      <c r="K147" s="21"/>
    </row>
    <row r="148" spans="1:11" ht="15.75" customHeight="1">
      <c r="A148" s="18">
        <v>45893</v>
      </c>
      <c r="B148" s="19">
        <v>45893</v>
      </c>
      <c r="C148" s="21"/>
      <c r="D148" s="21"/>
      <c r="E148" s="21"/>
      <c r="F148" s="21"/>
      <c r="G148" s="21"/>
      <c r="H148" s="21"/>
      <c r="I148" s="21"/>
      <c r="J148" s="21"/>
      <c r="K148" s="21"/>
    </row>
    <row r="149" spans="1:11" ht="15.75" customHeight="1">
      <c r="A149" s="18">
        <v>45894</v>
      </c>
      <c r="B149" s="19">
        <v>45894</v>
      </c>
      <c r="C149" s="21"/>
      <c r="D149" s="21"/>
      <c r="E149" s="21"/>
      <c r="F149" s="21"/>
      <c r="G149" s="21"/>
      <c r="H149" s="21"/>
      <c r="I149" s="21"/>
      <c r="J149" s="21"/>
      <c r="K149" s="21"/>
    </row>
    <row r="150" spans="1:11" ht="15.75" customHeight="1">
      <c r="A150" s="18">
        <v>45895</v>
      </c>
      <c r="B150" s="19">
        <v>45895</v>
      </c>
      <c r="C150" s="21"/>
      <c r="D150" s="21"/>
      <c r="E150" s="21"/>
      <c r="F150" s="21"/>
      <c r="G150" s="21"/>
      <c r="H150" s="21"/>
      <c r="I150" s="21"/>
      <c r="J150" s="21"/>
      <c r="K150" s="21"/>
    </row>
    <row r="151" spans="1:11" ht="15.75" customHeight="1">
      <c r="A151" s="18">
        <v>45896</v>
      </c>
      <c r="B151" s="19">
        <v>45896</v>
      </c>
      <c r="C151" s="21"/>
      <c r="D151" s="21"/>
      <c r="E151" s="21"/>
      <c r="F151" s="21"/>
      <c r="G151" s="21"/>
      <c r="H151" s="21"/>
      <c r="I151" s="21"/>
      <c r="J151" s="21"/>
      <c r="K151" s="21"/>
    </row>
    <row r="152" spans="1:11" ht="15.75" customHeight="1">
      <c r="A152" s="18">
        <v>45897</v>
      </c>
      <c r="B152" s="19">
        <v>45897</v>
      </c>
      <c r="C152" s="21"/>
      <c r="D152" s="21"/>
      <c r="E152" s="21"/>
      <c r="F152" s="21"/>
      <c r="G152" s="21"/>
      <c r="H152" s="21"/>
      <c r="I152" s="21"/>
      <c r="J152" s="21"/>
      <c r="K152" s="21"/>
    </row>
    <row r="153" spans="1:11" ht="15.75" customHeight="1">
      <c r="A153" s="18">
        <v>45898</v>
      </c>
      <c r="B153" s="19">
        <v>45898</v>
      </c>
      <c r="C153" s="21"/>
      <c r="D153" s="21"/>
      <c r="E153" s="21"/>
      <c r="F153" s="21"/>
      <c r="G153" s="21"/>
      <c r="H153" s="21"/>
      <c r="I153" s="21"/>
      <c r="J153" s="21"/>
      <c r="K153" s="21"/>
    </row>
    <row r="154" spans="1:11" ht="15.75" customHeight="1">
      <c r="A154" s="18">
        <v>45899</v>
      </c>
      <c r="B154" s="19">
        <v>45899</v>
      </c>
      <c r="C154" s="21"/>
      <c r="D154" s="21"/>
      <c r="E154" s="21"/>
      <c r="F154" s="21"/>
      <c r="G154" s="21"/>
      <c r="H154" s="21"/>
      <c r="I154" s="21"/>
      <c r="J154" s="21"/>
      <c r="K154" s="21"/>
    </row>
    <row r="155" spans="1:11" ht="15.75" customHeight="1">
      <c r="A155" s="18">
        <v>45900</v>
      </c>
      <c r="B155" s="19">
        <v>45900</v>
      </c>
      <c r="C155" s="21"/>
      <c r="D155" s="21"/>
      <c r="E155" s="21"/>
      <c r="F155" s="21"/>
      <c r="G155" s="21"/>
      <c r="H155" s="21"/>
      <c r="I155" s="21"/>
      <c r="J155" s="21"/>
      <c r="K155" s="21"/>
    </row>
    <row r="156" spans="1:11" ht="15.75" customHeight="1">
      <c r="A156" s="18">
        <v>45901</v>
      </c>
      <c r="B156" s="19">
        <v>45901</v>
      </c>
      <c r="C156" s="21"/>
      <c r="D156" s="21"/>
      <c r="E156" s="21"/>
      <c r="F156" s="21"/>
      <c r="G156" s="21"/>
      <c r="H156" s="21"/>
      <c r="I156" s="21"/>
      <c r="J156" s="21"/>
      <c r="K156" s="21"/>
    </row>
    <row r="157" spans="1:11" ht="15.75" customHeight="1">
      <c r="A157" s="18">
        <v>45902</v>
      </c>
      <c r="B157" s="19">
        <v>45902</v>
      </c>
      <c r="C157" s="21"/>
      <c r="D157" s="21"/>
      <c r="E157" s="21"/>
      <c r="F157" s="21"/>
      <c r="G157" s="21"/>
      <c r="H157" s="21"/>
      <c r="I157" s="21"/>
      <c r="J157" s="21"/>
      <c r="K157" s="21"/>
    </row>
    <row r="158" spans="1:11" ht="15.75" customHeight="1">
      <c r="A158" s="18">
        <v>45903</v>
      </c>
      <c r="B158" s="19">
        <v>45903</v>
      </c>
      <c r="C158" s="21"/>
      <c r="D158" s="21"/>
      <c r="E158" s="21"/>
      <c r="F158" s="21"/>
      <c r="G158" s="21"/>
      <c r="H158" s="21"/>
      <c r="I158" s="21"/>
      <c r="J158" s="21"/>
      <c r="K158" s="21"/>
    </row>
    <row r="159" spans="1:11" ht="15.75" customHeight="1">
      <c r="A159" s="18">
        <v>45904</v>
      </c>
      <c r="B159" s="19">
        <v>45904</v>
      </c>
      <c r="C159" s="21"/>
      <c r="D159" s="21"/>
      <c r="E159" s="21"/>
      <c r="F159" s="21"/>
      <c r="G159" s="21"/>
      <c r="H159" s="21"/>
      <c r="I159" s="21"/>
      <c r="J159" s="21"/>
      <c r="K159" s="21"/>
    </row>
    <row r="160" spans="1:11" ht="15.75" customHeight="1">
      <c r="A160" s="18">
        <v>45905</v>
      </c>
      <c r="B160" s="19">
        <v>45905</v>
      </c>
      <c r="C160" s="21"/>
      <c r="D160" s="21"/>
      <c r="E160" s="21"/>
      <c r="F160" s="21"/>
      <c r="G160" s="21"/>
      <c r="H160" s="21"/>
      <c r="I160" s="21"/>
      <c r="J160" s="21"/>
      <c r="K160" s="21"/>
    </row>
    <row r="161" spans="1:11" ht="15.75" customHeight="1">
      <c r="A161" s="18">
        <v>45906</v>
      </c>
      <c r="B161" s="19">
        <v>45906</v>
      </c>
      <c r="C161" s="21"/>
      <c r="D161" s="21"/>
      <c r="E161" s="21"/>
      <c r="F161" s="21"/>
      <c r="G161" s="21"/>
      <c r="H161" s="21"/>
      <c r="I161" s="21"/>
      <c r="J161" s="21"/>
      <c r="K161" s="21"/>
    </row>
    <row r="162" spans="1:11" ht="15.75" customHeight="1">
      <c r="A162" s="18">
        <v>45907</v>
      </c>
      <c r="B162" s="19">
        <v>45907</v>
      </c>
      <c r="C162" s="21"/>
      <c r="D162" s="21"/>
      <c r="E162" s="21"/>
      <c r="F162" s="21"/>
      <c r="G162" s="21"/>
      <c r="H162" s="21"/>
      <c r="I162" s="21"/>
      <c r="J162" s="21"/>
      <c r="K162" s="21"/>
    </row>
    <row r="163" spans="1:11" ht="15.75" customHeight="1">
      <c r="A163" s="18">
        <v>45908</v>
      </c>
      <c r="B163" s="19">
        <v>45908</v>
      </c>
      <c r="C163" s="21"/>
      <c r="D163" s="21"/>
      <c r="E163" s="21"/>
      <c r="F163" s="21"/>
      <c r="G163" s="21"/>
      <c r="H163" s="21"/>
      <c r="I163" s="21"/>
      <c r="J163" s="21"/>
      <c r="K163" s="21"/>
    </row>
    <row r="164" spans="1:11" ht="15.75" customHeight="1">
      <c r="A164" s="18">
        <v>45909</v>
      </c>
      <c r="B164" s="19">
        <v>45909</v>
      </c>
      <c r="C164" s="21"/>
      <c r="D164" s="21"/>
      <c r="E164" s="21"/>
      <c r="F164" s="21"/>
      <c r="G164" s="21"/>
      <c r="H164" s="21"/>
      <c r="I164" s="21"/>
      <c r="J164" s="21"/>
      <c r="K164" s="21"/>
    </row>
    <row r="165" spans="1:11" ht="15.75" customHeight="1">
      <c r="A165" s="18">
        <v>45910</v>
      </c>
      <c r="B165" s="19">
        <v>45910</v>
      </c>
      <c r="C165" s="21"/>
      <c r="D165" s="21"/>
      <c r="E165" s="21"/>
      <c r="F165" s="21"/>
      <c r="G165" s="21"/>
      <c r="H165" s="21"/>
      <c r="I165" s="21"/>
      <c r="J165" s="21"/>
      <c r="K165" s="21"/>
    </row>
    <row r="166" spans="1:11" ht="15.75" customHeight="1">
      <c r="A166" s="18">
        <v>45911</v>
      </c>
      <c r="B166" s="19">
        <v>45911</v>
      </c>
      <c r="C166" s="21"/>
      <c r="D166" s="21"/>
      <c r="E166" s="21"/>
      <c r="F166" s="21"/>
      <c r="G166" s="21"/>
      <c r="H166" s="21"/>
      <c r="I166" s="21"/>
      <c r="J166" s="21"/>
      <c r="K166" s="21"/>
    </row>
    <row r="167" spans="1:11" ht="15.75" customHeight="1">
      <c r="A167" s="18">
        <v>45912</v>
      </c>
      <c r="B167" s="19">
        <v>45912</v>
      </c>
      <c r="C167" s="21"/>
      <c r="D167" s="21"/>
      <c r="E167" s="21"/>
      <c r="F167" s="21"/>
      <c r="G167" s="21"/>
      <c r="H167" s="21"/>
      <c r="I167" s="21"/>
      <c r="J167" s="21"/>
      <c r="K167" s="21"/>
    </row>
    <row r="168" spans="1:11" ht="15.75" customHeight="1">
      <c r="A168" s="18">
        <v>45913</v>
      </c>
      <c r="B168" s="19">
        <v>45913</v>
      </c>
      <c r="C168" s="21"/>
      <c r="D168" s="21"/>
      <c r="E168" s="21"/>
      <c r="F168" s="21"/>
      <c r="G168" s="21"/>
      <c r="H168" s="21"/>
      <c r="I168" s="21"/>
      <c r="J168" s="21"/>
      <c r="K168" s="21"/>
    </row>
    <row r="169" spans="1:11" ht="15.75" customHeight="1">
      <c r="A169" s="18">
        <v>45914</v>
      </c>
      <c r="B169" s="19">
        <v>45914</v>
      </c>
      <c r="C169" s="21"/>
      <c r="D169" s="21"/>
      <c r="E169" s="21"/>
      <c r="F169" s="21"/>
      <c r="G169" s="21"/>
      <c r="H169" s="21"/>
      <c r="I169" s="21"/>
      <c r="J169" s="21"/>
      <c r="K169" s="21"/>
    </row>
    <row r="170" spans="1:11" ht="15.75" customHeight="1">
      <c r="A170" s="18">
        <v>45915</v>
      </c>
      <c r="B170" s="19">
        <v>45915</v>
      </c>
      <c r="C170" s="21"/>
      <c r="D170" s="21"/>
      <c r="E170" s="21"/>
      <c r="F170" s="21"/>
      <c r="G170" s="21"/>
      <c r="H170" s="21"/>
      <c r="I170" s="21"/>
      <c r="J170" s="21"/>
      <c r="K170" s="21"/>
    </row>
    <row r="171" spans="1:11" ht="15.75" customHeight="1">
      <c r="A171" s="18">
        <v>45916</v>
      </c>
      <c r="B171" s="19">
        <v>45916</v>
      </c>
      <c r="C171" s="21"/>
      <c r="D171" s="21"/>
      <c r="E171" s="21"/>
      <c r="F171" s="21"/>
      <c r="G171" s="21"/>
      <c r="H171" s="21"/>
      <c r="I171" s="21"/>
      <c r="J171" s="21"/>
      <c r="K171" s="21"/>
    </row>
    <row r="172" spans="1:11" ht="15.75" customHeight="1">
      <c r="A172" s="18">
        <v>45917</v>
      </c>
      <c r="B172" s="19">
        <v>45917</v>
      </c>
      <c r="C172" s="21"/>
      <c r="D172" s="21"/>
      <c r="E172" s="21"/>
      <c r="F172" s="21"/>
      <c r="G172" s="21"/>
      <c r="H172" s="21"/>
      <c r="I172" s="21"/>
      <c r="J172" s="21"/>
      <c r="K172" s="21"/>
    </row>
    <row r="173" spans="1:11" ht="15.75" customHeight="1">
      <c r="A173" s="18">
        <v>45918</v>
      </c>
      <c r="B173" s="19">
        <v>45918</v>
      </c>
      <c r="C173" s="21"/>
      <c r="D173" s="21"/>
      <c r="E173" s="21"/>
      <c r="F173" s="21"/>
      <c r="G173" s="21"/>
      <c r="H173" s="21"/>
      <c r="I173" s="21"/>
      <c r="J173" s="21"/>
      <c r="K173" s="21"/>
    </row>
    <row r="174" spans="1:11" ht="15.75" customHeight="1">
      <c r="A174" s="18">
        <v>45919</v>
      </c>
      <c r="B174" s="19">
        <v>45919</v>
      </c>
      <c r="C174" s="21"/>
      <c r="D174" s="21"/>
      <c r="E174" s="21"/>
      <c r="F174" s="21"/>
      <c r="G174" s="21"/>
      <c r="H174" s="21"/>
      <c r="I174" s="21"/>
      <c r="J174" s="21"/>
      <c r="K174" s="21"/>
    </row>
    <row r="175" spans="1:11" ht="15.75" customHeight="1">
      <c r="A175" s="18">
        <v>45920</v>
      </c>
      <c r="B175" s="19">
        <v>45920</v>
      </c>
      <c r="C175" s="21"/>
      <c r="D175" s="21"/>
      <c r="E175" s="21"/>
      <c r="F175" s="21"/>
      <c r="G175" s="21"/>
      <c r="H175" s="21"/>
      <c r="I175" s="21"/>
      <c r="J175" s="21"/>
      <c r="K175" s="21"/>
    </row>
    <row r="176" spans="1:11" ht="15.75" customHeight="1">
      <c r="A176" s="18">
        <v>45921</v>
      </c>
      <c r="B176" s="19">
        <v>45921</v>
      </c>
      <c r="C176" s="21"/>
      <c r="D176" s="21"/>
      <c r="E176" s="21"/>
      <c r="F176" s="21"/>
      <c r="G176" s="21"/>
      <c r="H176" s="21"/>
      <c r="I176" s="21"/>
      <c r="J176" s="21"/>
      <c r="K176" s="21"/>
    </row>
    <row r="177" spans="1:11" ht="15.75" customHeight="1">
      <c r="A177" s="18">
        <v>45922</v>
      </c>
      <c r="B177" s="19">
        <v>45922</v>
      </c>
      <c r="C177" s="21"/>
      <c r="D177" s="21"/>
      <c r="E177" s="21"/>
      <c r="F177" s="21"/>
      <c r="G177" s="21"/>
      <c r="H177" s="21"/>
      <c r="I177" s="21"/>
      <c r="J177" s="21"/>
      <c r="K177" s="21"/>
    </row>
    <row r="178" spans="1:11" ht="15.75" customHeight="1">
      <c r="A178" s="18">
        <v>45923</v>
      </c>
      <c r="B178" s="19">
        <v>45923</v>
      </c>
      <c r="C178" s="21"/>
      <c r="D178" s="21">
        <v>3.65</v>
      </c>
      <c r="E178" s="21">
        <v>30.41</v>
      </c>
      <c r="F178" s="21"/>
      <c r="G178" s="21"/>
      <c r="H178" s="21"/>
      <c r="I178" s="21"/>
      <c r="J178" s="21"/>
      <c r="K178" s="21"/>
    </row>
    <row r="179" spans="1:11" ht="15.75" customHeight="1">
      <c r="A179" s="18">
        <v>45924</v>
      </c>
      <c r="B179" s="19">
        <v>45924</v>
      </c>
      <c r="C179" s="21"/>
      <c r="D179" s="21">
        <v>2.06</v>
      </c>
      <c r="E179" s="21">
        <v>0</v>
      </c>
      <c r="F179" s="21"/>
      <c r="G179" s="21"/>
      <c r="H179" s="21"/>
      <c r="I179" s="21"/>
      <c r="J179" s="21"/>
      <c r="K179" s="21"/>
    </row>
    <row r="180" spans="1:11" ht="15.75" customHeight="1">
      <c r="A180" s="18">
        <v>45925</v>
      </c>
      <c r="B180" s="19">
        <v>45925</v>
      </c>
      <c r="C180" s="21"/>
      <c r="D180" s="21">
        <v>4.1100000000000003</v>
      </c>
      <c r="E180" s="21">
        <v>0</v>
      </c>
      <c r="F180" s="21"/>
      <c r="G180" s="21"/>
      <c r="H180" s="21"/>
      <c r="I180" s="21"/>
      <c r="J180" s="21"/>
      <c r="K180" s="21"/>
    </row>
    <row r="181" spans="1:11" ht="15.75" customHeight="1">
      <c r="A181" s="18">
        <v>45926</v>
      </c>
      <c r="B181" s="19">
        <v>45926</v>
      </c>
      <c r="C181" s="21"/>
      <c r="D181" s="21">
        <v>4.82</v>
      </c>
      <c r="E181" s="21">
        <v>0</v>
      </c>
      <c r="F181" s="21"/>
      <c r="G181" s="21"/>
      <c r="H181" s="21"/>
      <c r="I181" s="21"/>
      <c r="J181" s="21"/>
      <c r="K181" s="21"/>
    </row>
    <row r="182" spans="1:11" ht="15.75" customHeight="1">
      <c r="A182" s="18">
        <v>45927</v>
      </c>
      <c r="B182" s="19">
        <v>45927</v>
      </c>
      <c r="C182" s="21"/>
      <c r="D182" s="23">
        <v>3.86</v>
      </c>
      <c r="E182" s="21">
        <v>0</v>
      </c>
      <c r="F182" s="21"/>
      <c r="G182" s="21"/>
      <c r="H182" s="21"/>
      <c r="I182" s="21"/>
      <c r="J182" s="21"/>
      <c r="K182" s="21"/>
    </row>
    <row r="183" spans="1:11" ht="15.75" customHeight="1">
      <c r="A183" s="18">
        <v>45928</v>
      </c>
      <c r="B183" s="19">
        <v>45928</v>
      </c>
      <c r="C183" s="21"/>
      <c r="D183" s="23">
        <v>1.75</v>
      </c>
      <c r="E183" s="21">
        <v>0</v>
      </c>
      <c r="F183" s="21"/>
      <c r="G183" s="21"/>
      <c r="H183" s="21"/>
      <c r="I183" s="21"/>
      <c r="J183" s="21"/>
      <c r="K183" s="21"/>
    </row>
    <row r="184" spans="1:11" ht="15.75" customHeight="1">
      <c r="A184" s="18">
        <v>45929</v>
      </c>
      <c r="B184" s="19">
        <v>45929</v>
      </c>
      <c r="C184" s="21"/>
      <c r="D184" s="21">
        <v>1.5</v>
      </c>
      <c r="E184" s="21"/>
      <c r="F184" s="21"/>
      <c r="G184" s="21"/>
      <c r="H184" s="21"/>
      <c r="I184" s="21"/>
      <c r="J184" s="21"/>
      <c r="K184" s="21"/>
    </row>
    <row r="185" spans="1:11" ht="15.75" customHeight="1">
      <c r="A185" s="18">
        <v>45930</v>
      </c>
      <c r="B185" s="19">
        <v>45930</v>
      </c>
      <c r="C185" s="21"/>
      <c r="D185" s="21">
        <v>1.23</v>
      </c>
      <c r="E185" s="21"/>
      <c r="F185" s="21"/>
      <c r="G185" s="21"/>
      <c r="H185" s="21"/>
      <c r="I185" s="21"/>
      <c r="J185" s="21"/>
      <c r="K185" s="21"/>
    </row>
    <row r="186" spans="1:11" ht="15.75" customHeight="1">
      <c r="A186" s="18">
        <v>45931</v>
      </c>
      <c r="B186" s="19">
        <v>45931</v>
      </c>
      <c r="C186" s="21"/>
      <c r="D186" s="21"/>
      <c r="E186" s="21"/>
      <c r="F186" s="21"/>
      <c r="G186" s="21"/>
      <c r="H186" s="21"/>
      <c r="I186" s="21"/>
      <c r="J186" s="21"/>
      <c r="K186" s="21"/>
    </row>
    <row r="187" spans="1:11" ht="15.75" customHeight="1">
      <c r="A187" s="18">
        <v>45932</v>
      </c>
      <c r="B187" s="19">
        <v>45932</v>
      </c>
      <c r="C187" s="21"/>
      <c r="D187" s="21"/>
      <c r="E187" s="21"/>
      <c r="F187" s="21"/>
      <c r="G187" s="21"/>
      <c r="H187" s="21"/>
      <c r="I187" s="21"/>
      <c r="J187" s="21"/>
      <c r="K187" s="21"/>
    </row>
    <row r="188" spans="1:11" ht="15.75" customHeight="1">
      <c r="A188" s="18">
        <v>45933</v>
      </c>
      <c r="B188" s="19">
        <v>45933</v>
      </c>
      <c r="C188" s="21"/>
      <c r="D188" s="21">
        <v>4.33</v>
      </c>
      <c r="E188" s="21">
        <v>0</v>
      </c>
      <c r="F188" s="21"/>
      <c r="G188" s="21"/>
      <c r="H188" s="21"/>
      <c r="I188" s="21"/>
      <c r="J188" s="21"/>
      <c r="K188" s="21"/>
    </row>
    <row r="189" spans="1:11" ht="15.75" customHeight="1">
      <c r="A189" s="18">
        <v>45934</v>
      </c>
      <c r="B189" s="19">
        <v>45934</v>
      </c>
      <c r="C189" s="21"/>
      <c r="D189" s="21">
        <v>5.15</v>
      </c>
      <c r="E189" s="21">
        <v>0</v>
      </c>
      <c r="F189" s="21"/>
      <c r="G189" s="21"/>
      <c r="H189" s="21"/>
      <c r="I189" s="21"/>
      <c r="J189" s="21"/>
      <c r="K189" s="21"/>
    </row>
    <row r="190" spans="1:11" ht="15.75" customHeight="1">
      <c r="A190" s="18">
        <v>45935</v>
      </c>
      <c r="B190" s="19">
        <v>45935</v>
      </c>
      <c r="C190" s="21"/>
      <c r="D190" s="21">
        <v>4.5999999999999996</v>
      </c>
      <c r="E190" s="21">
        <v>0</v>
      </c>
      <c r="F190" s="21"/>
      <c r="G190" s="21"/>
      <c r="H190" s="21"/>
      <c r="I190" s="21"/>
      <c r="J190" s="21"/>
      <c r="K190" s="21"/>
    </row>
    <row r="191" spans="1:11" ht="15.75" customHeight="1">
      <c r="A191" s="18">
        <v>45936</v>
      </c>
      <c r="B191" s="19">
        <v>45936</v>
      </c>
      <c r="C191" s="21"/>
      <c r="D191" s="21">
        <v>4.83</v>
      </c>
      <c r="E191" s="21">
        <v>0</v>
      </c>
      <c r="F191" s="21"/>
      <c r="G191" s="21"/>
      <c r="H191" s="21"/>
      <c r="I191" s="21"/>
      <c r="J191" s="21"/>
      <c r="K191" s="21"/>
    </row>
    <row r="192" spans="1:11" ht="15.75" customHeight="1">
      <c r="A192" s="18">
        <v>45937</v>
      </c>
      <c r="B192" s="19">
        <v>45937</v>
      </c>
      <c r="C192" s="21"/>
      <c r="D192" s="21">
        <v>5.09</v>
      </c>
      <c r="E192" s="21">
        <v>0</v>
      </c>
      <c r="F192" s="21"/>
      <c r="G192" s="21"/>
      <c r="H192" s="21"/>
      <c r="I192" s="21"/>
      <c r="J192" s="21"/>
      <c r="K192" s="21"/>
    </row>
    <row r="193" spans="1:11" ht="15.75" customHeight="1">
      <c r="A193" s="18">
        <v>45938</v>
      </c>
      <c r="B193" s="19">
        <v>45938</v>
      </c>
      <c r="C193" s="21"/>
      <c r="D193" s="21">
        <v>4.8499999999999996</v>
      </c>
      <c r="E193" s="21">
        <v>0</v>
      </c>
      <c r="F193" s="21"/>
      <c r="G193" s="21"/>
      <c r="H193" s="21"/>
      <c r="I193" s="21"/>
      <c r="J193" s="21"/>
      <c r="K193" s="21"/>
    </row>
    <row r="194" spans="1:11" ht="15.75" customHeight="1">
      <c r="A194" s="18">
        <v>45939</v>
      </c>
      <c r="B194" s="19">
        <v>45939</v>
      </c>
      <c r="C194" s="21"/>
      <c r="D194" s="21">
        <v>4.95</v>
      </c>
      <c r="E194" s="21">
        <v>0</v>
      </c>
      <c r="F194" s="21"/>
      <c r="G194" s="21"/>
      <c r="H194" s="21"/>
      <c r="I194" s="21"/>
      <c r="J194" s="21"/>
      <c r="K194" s="21"/>
    </row>
    <row r="195" spans="1:11" ht="15.75" customHeight="1">
      <c r="A195" s="18">
        <v>45940</v>
      </c>
      <c r="B195" s="19">
        <v>45940</v>
      </c>
      <c r="C195" s="21"/>
      <c r="D195" s="21">
        <v>3.92</v>
      </c>
      <c r="E195" s="21">
        <v>0</v>
      </c>
      <c r="F195" s="21"/>
      <c r="G195" s="21"/>
      <c r="H195" s="21"/>
      <c r="I195" s="21"/>
      <c r="J195" s="21"/>
      <c r="K195" s="21"/>
    </row>
    <row r="196" spans="1:11" ht="15.75" customHeight="1">
      <c r="A196" s="18">
        <v>45941</v>
      </c>
      <c r="B196" s="19">
        <v>45941</v>
      </c>
      <c r="C196" s="21"/>
      <c r="D196" s="21">
        <v>3.47</v>
      </c>
      <c r="E196" s="21">
        <v>0</v>
      </c>
      <c r="F196" s="21"/>
      <c r="G196" s="21"/>
      <c r="H196" s="21"/>
      <c r="I196" s="21"/>
      <c r="J196" s="21"/>
      <c r="K196" s="21"/>
    </row>
    <row r="197" spans="1:11" ht="15.75" customHeight="1">
      <c r="A197" s="18">
        <v>45942</v>
      </c>
      <c r="B197" s="19">
        <v>45942</v>
      </c>
      <c r="C197" s="21"/>
      <c r="D197" s="21">
        <v>3.56</v>
      </c>
      <c r="E197" s="21">
        <v>0</v>
      </c>
      <c r="F197" s="21"/>
      <c r="G197" s="21"/>
      <c r="H197" s="21"/>
      <c r="I197" s="21"/>
      <c r="J197" s="21"/>
      <c r="K197" s="21"/>
    </row>
    <row r="198" spans="1:11" ht="15.75" customHeight="1">
      <c r="A198" s="18">
        <v>45943</v>
      </c>
      <c r="B198" s="19">
        <v>45943</v>
      </c>
      <c r="C198" s="21"/>
      <c r="D198" s="21">
        <v>3.54</v>
      </c>
      <c r="E198" s="21">
        <v>0</v>
      </c>
      <c r="F198" s="21"/>
      <c r="G198" s="21"/>
      <c r="H198" s="21"/>
      <c r="I198" s="21"/>
      <c r="J198" s="21"/>
      <c r="K198" s="21"/>
    </row>
    <row r="199" spans="1:11" ht="15.75" customHeight="1">
      <c r="A199" s="18">
        <v>45944</v>
      </c>
      <c r="B199" s="19">
        <v>45944</v>
      </c>
      <c r="C199" s="21"/>
      <c r="D199" s="21">
        <v>3.55</v>
      </c>
      <c r="E199" s="21">
        <v>0</v>
      </c>
      <c r="F199" s="21"/>
      <c r="G199" s="21"/>
      <c r="H199" s="21"/>
      <c r="I199" s="21"/>
      <c r="J199" s="21"/>
      <c r="K199" s="21"/>
    </row>
    <row r="200" spans="1:11" ht="15.75" customHeight="1">
      <c r="A200" s="18">
        <v>45945</v>
      </c>
      <c r="B200" s="19">
        <v>45945</v>
      </c>
      <c r="C200" s="21"/>
      <c r="D200" s="21">
        <v>3.55</v>
      </c>
      <c r="E200" s="21">
        <v>0</v>
      </c>
      <c r="F200" s="21"/>
      <c r="G200" s="21"/>
      <c r="H200" s="21"/>
      <c r="I200" s="21"/>
      <c r="J200" s="21"/>
      <c r="K200" s="21"/>
    </row>
    <row r="201" spans="1:11" ht="15.75" customHeight="1">
      <c r="A201" s="18">
        <v>45946</v>
      </c>
      <c r="B201" s="19">
        <v>45946</v>
      </c>
      <c r="C201" s="21"/>
      <c r="D201" s="21">
        <v>3.35</v>
      </c>
      <c r="E201" s="21">
        <v>0</v>
      </c>
      <c r="F201" s="21"/>
      <c r="G201" s="21"/>
      <c r="H201" s="21"/>
      <c r="I201" s="21"/>
      <c r="J201" s="21"/>
      <c r="K201" s="21"/>
    </row>
    <row r="202" spans="1:11" ht="15.75" customHeight="1">
      <c r="A202" s="18">
        <v>45947</v>
      </c>
      <c r="B202" s="19">
        <v>45947</v>
      </c>
      <c r="C202" s="21"/>
      <c r="D202" s="21">
        <v>3.25</v>
      </c>
      <c r="E202" s="21">
        <v>0</v>
      </c>
      <c r="F202" s="21"/>
      <c r="G202" s="21"/>
      <c r="H202" s="21"/>
      <c r="I202" s="21"/>
      <c r="J202" s="21"/>
      <c r="K202" s="21"/>
    </row>
    <row r="203" spans="1:11" ht="15.75" customHeight="1">
      <c r="A203" s="18">
        <v>45948</v>
      </c>
      <c r="B203" s="19">
        <v>45948</v>
      </c>
      <c r="C203" s="21"/>
      <c r="D203" s="21">
        <v>3.95</v>
      </c>
      <c r="E203" s="21">
        <v>0</v>
      </c>
      <c r="F203" s="21"/>
      <c r="G203" s="21"/>
      <c r="H203" s="21"/>
      <c r="I203" s="21"/>
      <c r="J203" s="21"/>
      <c r="K203" s="21"/>
    </row>
    <row r="204" spans="1:11" ht="15.75" customHeight="1">
      <c r="A204" s="18">
        <v>45949</v>
      </c>
      <c r="B204" s="19">
        <v>45949</v>
      </c>
      <c r="C204" s="21"/>
      <c r="D204" s="21">
        <v>4.43</v>
      </c>
      <c r="E204" s="21">
        <v>0</v>
      </c>
      <c r="F204" s="21"/>
      <c r="G204" s="21"/>
      <c r="H204" s="21"/>
      <c r="I204" s="21"/>
      <c r="J204" s="21"/>
      <c r="K204" s="21"/>
    </row>
    <row r="205" spans="1:11" ht="15.75" customHeight="1">
      <c r="A205" s="18">
        <v>45950</v>
      </c>
      <c r="B205" s="19">
        <v>45950</v>
      </c>
      <c r="C205" s="21"/>
      <c r="D205" s="23">
        <v>4.1500000000000004</v>
      </c>
      <c r="E205" s="21">
        <v>0</v>
      </c>
      <c r="F205" s="21"/>
      <c r="G205" s="21"/>
      <c r="H205" s="21"/>
      <c r="I205" s="21"/>
      <c r="J205" s="21"/>
      <c r="K205" s="21"/>
    </row>
    <row r="206" spans="1:11" ht="15.75" customHeight="1">
      <c r="A206" s="18">
        <v>45951</v>
      </c>
      <c r="B206" s="19">
        <v>45951</v>
      </c>
      <c r="C206" s="21"/>
      <c r="D206" s="23">
        <v>3.82</v>
      </c>
      <c r="E206" s="21">
        <v>0</v>
      </c>
      <c r="F206" s="21"/>
      <c r="G206" s="21"/>
      <c r="H206" s="21"/>
      <c r="I206" s="21"/>
      <c r="J206" s="21"/>
      <c r="K206" s="21"/>
    </row>
    <row r="207" spans="1:11" ht="15.75" customHeight="1">
      <c r="A207" s="18">
        <v>45952</v>
      </c>
      <c r="B207" s="19">
        <v>45952</v>
      </c>
      <c r="C207" s="21"/>
      <c r="D207" s="23">
        <v>4.22</v>
      </c>
      <c r="E207" s="21">
        <v>0</v>
      </c>
      <c r="F207" s="21"/>
      <c r="G207" s="21"/>
      <c r="H207" s="21"/>
      <c r="I207" s="21"/>
      <c r="J207" s="21"/>
      <c r="K207" s="21"/>
    </row>
    <row r="208" spans="1:11" ht="15.75" customHeight="1">
      <c r="A208" s="18">
        <v>45953</v>
      </c>
      <c r="B208" s="19">
        <v>45953</v>
      </c>
      <c r="C208" s="21"/>
      <c r="D208" s="23">
        <v>3.88</v>
      </c>
      <c r="E208" s="21">
        <v>0</v>
      </c>
      <c r="F208" s="21"/>
      <c r="G208" s="21"/>
      <c r="H208" s="21"/>
      <c r="I208" s="21"/>
      <c r="J208" s="21"/>
      <c r="K208" s="21"/>
    </row>
    <row r="209" spans="1:11" ht="15.75" customHeight="1">
      <c r="A209" s="18">
        <v>45954</v>
      </c>
      <c r="B209" s="19">
        <v>45954</v>
      </c>
      <c r="C209" s="21"/>
      <c r="D209" s="23">
        <v>3.94</v>
      </c>
      <c r="E209" s="21">
        <v>0</v>
      </c>
      <c r="F209" s="21"/>
      <c r="G209" s="21"/>
      <c r="H209" s="21"/>
      <c r="I209" s="21"/>
      <c r="J209" s="21"/>
      <c r="K209" s="21"/>
    </row>
    <row r="210" spans="1:11" ht="15.75" customHeight="1">
      <c r="A210" s="18">
        <v>45955</v>
      </c>
      <c r="B210" s="19">
        <v>45955</v>
      </c>
      <c r="C210" s="21"/>
      <c r="D210" s="21">
        <v>3.46</v>
      </c>
      <c r="E210" s="21">
        <v>32.86</v>
      </c>
      <c r="F210" s="21"/>
      <c r="G210" s="21"/>
      <c r="H210" s="21"/>
      <c r="I210" s="21"/>
      <c r="J210" s="21"/>
      <c r="K210" s="21"/>
    </row>
    <row r="211" spans="1:11" ht="15.75" customHeight="1">
      <c r="A211" s="18">
        <v>45956</v>
      </c>
      <c r="B211" s="19">
        <v>45956</v>
      </c>
      <c r="C211" s="21"/>
      <c r="D211" s="23">
        <v>0.69</v>
      </c>
      <c r="E211" s="23">
        <v>25.81</v>
      </c>
      <c r="F211" s="21"/>
      <c r="G211" s="21"/>
      <c r="H211" s="21"/>
      <c r="I211" s="21"/>
      <c r="J211" s="21"/>
      <c r="K211" s="21"/>
    </row>
    <row r="212" spans="1:11" ht="15.75" customHeight="1">
      <c r="A212" s="18">
        <v>45957</v>
      </c>
      <c r="B212" s="19">
        <v>45957</v>
      </c>
      <c r="C212" s="21"/>
      <c r="D212" s="23">
        <v>1.36</v>
      </c>
      <c r="E212" s="23">
        <v>25.82</v>
      </c>
      <c r="F212" s="21"/>
      <c r="G212" s="21"/>
      <c r="H212" s="21"/>
      <c r="I212" s="21"/>
      <c r="J212" s="21"/>
      <c r="K212" s="21"/>
    </row>
    <row r="213" spans="1:11" ht="15.75" customHeight="1">
      <c r="A213" s="18">
        <v>45958</v>
      </c>
      <c r="B213" s="19">
        <v>45958</v>
      </c>
      <c r="C213" s="21"/>
      <c r="D213" s="23">
        <v>0.56000000000000005</v>
      </c>
      <c r="E213" s="23">
        <v>24.32</v>
      </c>
      <c r="F213" s="21"/>
      <c r="G213" s="21"/>
      <c r="H213" s="21"/>
      <c r="I213" s="21"/>
      <c r="J213" s="21"/>
      <c r="K213" s="21"/>
    </row>
    <row r="214" spans="1:11" ht="15.75" customHeight="1">
      <c r="A214" s="18">
        <v>45959</v>
      </c>
      <c r="B214" s="19">
        <v>45959</v>
      </c>
      <c r="C214" s="21"/>
      <c r="D214" s="23">
        <v>1.34</v>
      </c>
      <c r="E214" s="23">
        <v>25.14</v>
      </c>
      <c r="F214" s="21"/>
      <c r="G214" s="21"/>
      <c r="H214" s="21"/>
      <c r="I214" s="21"/>
      <c r="J214" s="21"/>
      <c r="K214" s="21"/>
    </row>
    <row r="215" spans="1:11" ht="15.75" customHeight="1">
      <c r="A215" s="18">
        <v>45960</v>
      </c>
      <c r="B215" s="19">
        <v>45960</v>
      </c>
      <c r="C215" s="21"/>
      <c r="D215" s="23">
        <v>1.62</v>
      </c>
      <c r="E215" s="23">
        <v>26.17</v>
      </c>
      <c r="F215" s="21"/>
      <c r="G215" s="21"/>
      <c r="H215" s="21"/>
      <c r="I215" s="21"/>
      <c r="J215" s="21"/>
      <c r="K215" s="21"/>
    </row>
    <row r="216" spans="1:11" ht="15.75" customHeight="1">
      <c r="A216" s="18">
        <v>45961</v>
      </c>
      <c r="B216" s="19">
        <v>45961</v>
      </c>
      <c r="C216" s="21"/>
      <c r="D216" s="23">
        <v>1.47</v>
      </c>
      <c r="E216" s="23">
        <v>25.59</v>
      </c>
      <c r="F216" s="21"/>
      <c r="G216" s="21"/>
      <c r="H216" s="21"/>
      <c r="I216" s="21"/>
      <c r="J216" s="21"/>
      <c r="K216" s="21"/>
    </row>
    <row r="217" spans="1:11" ht="15.75" customHeight="1">
      <c r="A217" s="18">
        <v>45962</v>
      </c>
      <c r="B217" s="19">
        <v>45962</v>
      </c>
      <c r="C217" s="21"/>
      <c r="D217" s="23">
        <v>2.54</v>
      </c>
      <c r="E217" s="23">
        <v>28.52</v>
      </c>
      <c r="F217" s="21"/>
      <c r="G217" s="21"/>
      <c r="H217" s="21"/>
      <c r="I217" s="21"/>
      <c r="J217" s="21"/>
      <c r="K217" s="21"/>
    </row>
    <row r="218" spans="1:11" ht="15.75" customHeight="1">
      <c r="A218" s="18">
        <v>45963</v>
      </c>
      <c r="B218" s="19">
        <v>45963</v>
      </c>
      <c r="C218" s="21"/>
      <c r="D218" s="23">
        <v>3.05</v>
      </c>
      <c r="E218" s="23">
        <v>29.54</v>
      </c>
      <c r="F218" s="21"/>
      <c r="G218" s="21"/>
      <c r="H218" s="21"/>
      <c r="I218" s="21"/>
      <c r="J218" s="21"/>
      <c r="K218" s="21"/>
    </row>
    <row r="219" spans="1:11" ht="15.75" customHeight="1">
      <c r="A219" s="18">
        <v>45964</v>
      </c>
      <c r="B219" s="19">
        <v>45964</v>
      </c>
      <c r="C219" s="21"/>
      <c r="D219" s="23">
        <v>4.05</v>
      </c>
      <c r="E219" s="23">
        <v>29.37</v>
      </c>
      <c r="F219" s="21"/>
      <c r="G219" s="21"/>
      <c r="H219" s="21"/>
      <c r="I219" s="21"/>
      <c r="J219" s="21"/>
      <c r="K219" s="21"/>
    </row>
    <row r="220" spans="1:11" ht="15.75" customHeight="1">
      <c r="A220" s="18">
        <v>45965</v>
      </c>
      <c r="B220" s="19">
        <v>45965</v>
      </c>
      <c r="C220" s="21"/>
      <c r="D220" s="23">
        <v>3.87</v>
      </c>
      <c r="E220" s="23">
        <v>28.3</v>
      </c>
      <c r="F220" s="21"/>
      <c r="G220" s="21"/>
      <c r="H220" s="21"/>
      <c r="I220" s="21"/>
      <c r="J220" s="21"/>
      <c r="K220" s="21"/>
    </row>
    <row r="221" spans="1:11" ht="15.75" customHeight="1">
      <c r="A221" s="18">
        <v>45966</v>
      </c>
      <c r="B221" s="19">
        <v>45966</v>
      </c>
      <c r="C221" s="21"/>
      <c r="D221" s="23">
        <v>4.47</v>
      </c>
      <c r="E221" s="23">
        <v>30.34</v>
      </c>
      <c r="F221" s="21"/>
      <c r="G221" s="21"/>
      <c r="H221" s="21"/>
      <c r="I221" s="21"/>
      <c r="J221" s="21"/>
      <c r="K221" s="21"/>
    </row>
    <row r="222" spans="1:11" ht="15.75" customHeight="1">
      <c r="A222" s="18">
        <v>45967</v>
      </c>
      <c r="B222" s="19">
        <v>45967</v>
      </c>
      <c r="C222" s="21"/>
      <c r="D222" s="23">
        <v>4.3899999999999997</v>
      </c>
      <c r="E222" s="23">
        <v>30.55</v>
      </c>
      <c r="F222" s="21"/>
      <c r="G222" s="21"/>
      <c r="H222" s="21"/>
      <c r="I222" s="21"/>
      <c r="J222" s="21"/>
      <c r="K222" s="21"/>
    </row>
    <row r="223" spans="1:11" ht="15.75" customHeight="1">
      <c r="A223" s="18">
        <v>45968</v>
      </c>
      <c r="B223" s="19">
        <v>45968</v>
      </c>
      <c r="C223" s="21"/>
      <c r="D223" s="23">
        <v>4.2699999999999996</v>
      </c>
      <c r="E223" s="23">
        <v>30.83</v>
      </c>
      <c r="F223" s="21"/>
      <c r="G223" s="21"/>
      <c r="H223" s="21"/>
      <c r="I223" s="21"/>
      <c r="J223" s="21"/>
      <c r="K223" s="21"/>
    </row>
    <row r="224" spans="1:11" ht="15.75" customHeight="1">
      <c r="A224" s="18">
        <v>45969</v>
      </c>
      <c r="B224" s="19">
        <v>45969</v>
      </c>
      <c r="C224" s="21"/>
      <c r="D224" s="23">
        <v>4.47</v>
      </c>
      <c r="E224" s="23">
        <v>29.83</v>
      </c>
      <c r="F224" s="21"/>
      <c r="G224" s="21"/>
      <c r="H224" s="21"/>
      <c r="I224" s="21"/>
      <c r="J224" s="21"/>
      <c r="K224" s="21"/>
    </row>
    <row r="225" spans="1:11" ht="15.75" customHeight="1">
      <c r="A225" s="18">
        <v>45970</v>
      </c>
      <c r="B225" s="19">
        <v>45970</v>
      </c>
      <c r="C225" s="21"/>
      <c r="D225" s="23">
        <v>4.46</v>
      </c>
      <c r="E225" s="23">
        <v>29.37</v>
      </c>
      <c r="F225" s="21"/>
      <c r="G225" s="21"/>
      <c r="H225" s="21"/>
      <c r="I225" s="21"/>
      <c r="J225" s="21"/>
      <c r="K225" s="21"/>
    </row>
    <row r="226" spans="1:11" ht="15.75" customHeight="1">
      <c r="A226" s="18">
        <v>45971</v>
      </c>
      <c r="B226" s="19">
        <v>45971</v>
      </c>
      <c r="C226" s="21"/>
      <c r="D226" s="23">
        <v>4.43</v>
      </c>
      <c r="E226" s="23">
        <v>29.04</v>
      </c>
      <c r="F226" s="21"/>
      <c r="G226" s="21"/>
      <c r="H226" s="21"/>
      <c r="I226" s="21"/>
      <c r="J226" s="21"/>
      <c r="K226" s="21"/>
    </row>
    <row r="227" spans="1:11" ht="15.75" customHeight="1">
      <c r="A227" s="18">
        <v>45972</v>
      </c>
      <c r="B227" s="19">
        <v>45972</v>
      </c>
      <c r="C227" s="21"/>
      <c r="D227" s="23">
        <v>4.34</v>
      </c>
      <c r="E227" s="23">
        <v>28.97</v>
      </c>
      <c r="F227" s="21"/>
      <c r="G227" s="21"/>
      <c r="H227" s="21"/>
      <c r="I227" s="21"/>
      <c r="J227" s="21"/>
      <c r="K227" s="21"/>
    </row>
    <row r="228" spans="1:11" ht="15.75" customHeight="1">
      <c r="A228" s="18">
        <v>45973</v>
      </c>
      <c r="B228" s="19">
        <v>45973</v>
      </c>
      <c r="C228" s="21"/>
      <c r="D228" s="23">
        <v>4.29</v>
      </c>
      <c r="E228" s="23">
        <v>29.42</v>
      </c>
      <c r="F228" s="21"/>
      <c r="G228" s="21"/>
      <c r="H228" s="21"/>
      <c r="I228" s="21"/>
      <c r="J228" s="21"/>
      <c r="K228" s="21"/>
    </row>
    <row r="229" spans="1:11" ht="15.75" customHeight="1">
      <c r="A229" s="18">
        <v>45974</v>
      </c>
      <c r="B229" s="19">
        <v>45974</v>
      </c>
      <c r="C229" s="21"/>
      <c r="D229" s="23">
        <v>4.24</v>
      </c>
      <c r="E229" s="23">
        <v>28.88</v>
      </c>
      <c r="F229" s="21"/>
      <c r="G229" s="21"/>
      <c r="H229" s="21"/>
      <c r="I229" s="21"/>
      <c r="J229" s="21"/>
      <c r="K229" s="21"/>
    </row>
    <row r="230" spans="1:11" ht="15.75" customHeight="1">
      <c r="A230" s="18">
        <v>45975</v>
      </c>
      <c r="B230" s="19">
        <v>45975</v>
      </c>
      <c r="C230" s="21"/>
      <c r="D230" s="23">
        <v>4.2699999999999996</v>
      </c>
      <c r="E230" s="23">
        <v>29.49</v>
      </c>
      <c r="F230" s="21"/>
      <c r="G230" s="21"/>
      <c r="H230" s="21"/>
      <c r="I230" s="21"/>
      <c r="J230" s="21"/>
      <c r="K230" s="21"/>
    </row>
    <row r="231" spans="1:11" ht="15.75" customHeight="1">
      <c r="A231" s="18">
        <v>45976</v>
      </c>
      <c r="B231" s="19">
        <v>45976</v>
      </c>
      <c r="C231" s="21"/>
      <c r="D231" s="23">
        <v>4.17</v>
      </c>
      <c r="E231" s="23">
        <v>28.69</v>
      </c>
      <c r="F231" s="21"/>
      <c r="G231" s="21"/>
      <c r="H231" s="21"/>
      <c r="I231" s="21"/>
      <c r="J231" s="21"/>
      <c r="K231" s="21"/>
    </row>
    <row r="232" spans="1:11" ht="15.75" customHeight="1">
      <c r="A232" s="18">
        <v>45977</v>
      </c>
      <c r="B232" s="19">
        <v>45977</v>
      </c>
      <c r="C232" s="21"/>
      <c r="D232" s="23">
        <v>4.0199999999999996</v>
      </c>
      <c r="E232" s="23">
        <v>28.07</v>
      </c>
      <c r="F232" s="21"/>
      <c r="G232" s="21"/>
      <c r="H232" s="21"/>
      <c r="I232" s="21"/>
      <c r="J232" s="21"/>
      <c r="K232" s="21"/>
    </row>
    <row r="233" spans="1:11" ht="15.75" customHeight="1">
      <c r="A233" s="18">
        <v>45978</v>
      </c>
      <c r="B233" s="19">
        <v>45978</v>
      </c>
      <c r="C233" s="21"/>
      <c r="D233" s="23">
        <v>4.21</v>
      </c>
      <c r="E233" s="23">
        <v>27.21</v>
      </c>
      <c r="F233" s="21"/>
      <c r="G233" s="21"/>
      <c r="H233" s="21"/>
      <c r="I233" s="21"/>
      <c r="J233" s="21"/>
      <c r="K233" s="21"/>
    </row>
    <row r="234" spans="1:11" ht="15.75" customHeight="1">
      <c r="A234" s="18">
        <v>45979</v>
      </c>
      <c r="B234" s="19">
        <v>45979</v>
      </c>
      <c r="C234" s="21"/>
      <c r="D234" s="23">
        <v>3.97</v>
      </c>
      <c r="E234" s="23">
        <v>27.31</v>
      </c>
      <c r="F234" s="21"/>
      <c r="G234" s="21"/>
      <c r="H234" s="21"/>
      <c r="I234" s="21"/>
      <c r="J234" s="21"/>
      <c r="K234" s="21"/>
    </row>
    <row r="235" spans="1:11" ht="15.75" customHeight="1">
      <c r="A235" s="18">
        <v>45980</v>
      </c>
      <c r="B235" s="19">
        <v>45980</v>
      </c>
      <c r="C235" s="21"/>
      <c r="D235" s="23">
        <v>3.95</v>
      </c>
      <c r="E235" s="23">
        <v>26.95</v>
      </c>
      <c r="F235" s="21"/>
      <c r="G235" s="21"/>
      <c r="H235" s="21"/>
      <c r="I235" s="21"/>
      <c r="J235" s="21"/>
      <c r="K235" s="21"/>
    </row>
    <row r="236" spans="1:11" ht="15.75" customHeight="1">
      <c r="A236" s="18">
        <v>45981</v>
      </c>
      <c r="B236" s="19">
        <v>45981</v>
      </c>
      <c r="C236" s="21"/>
      <c r="D236" s="23">
        <v>3.78</v>
      </c>
      <c r="E236" s="23">
        <v>27.3</v>
      </c>
      <c r="F236" s="21"/>
      <c r="G236" s="21"/>
      <c r="H236" s="21"/>
      <c r="I236" s="21"/>
      <c r="J236" s="21"/>
      <c r="K236" s="21"/>
    </row>
    <row r="237" spans="1:11" ht="15.75" customHeight="1">
      <c r="A237" s="18">
        <v>45982</v>
      </c>
      <c r="B237" s="19">
        <v>45982</v>
      </c>
      <c r="C237" s="21"/>
      <c r="D237" s="23">
        <v>3.93</v>
      </c>
      <c r="E237" s="23">
        <v>27.83</v>
      </c>
      <c r="F237" s="21"/>
      <c r="G237" s="21"/>
      <c r="H237" s="21"/>
      <c r="I237" s="21"/>
      <c r="J237" s="21"/>
      <c r="K237" s="21"/>
    </row>
    <row r="238" spans="1:11" ht="15.75" customHeight="1">
      <c r="A238" s="18">
        <v>45983</v>
      </c>
      <c r="B238" s="19">
        <v>45983</v>
      </c>
      <c r="C238" s="21"/>
      <c r="D238" s="23">
        <v>4.03</v>
      </c>
      <c r="E238" s="23">
        <v>27.69</v>
      </c>
      <c r="F238" s="21"/>
      <c r="G238" s="21"/>
      <c r="H238" s="21"/>
      <c r="I238" s="21"/>
      <c r="J238" s="21"/>
      <c r="K238" s="21"/>
    </row>
    <row r="239" spans="1:11" ht="15.75" customHeight="1">
      <c r="A239" s="18">
        <v>45984</v>
      </c>
      <c r="B239" s="19">
        <v>45984</v>
      </c>
      <c r="C239" s="21"/>
      <c r="D239" s="23">
        <v>4.16</v>
      </c>
      <c r="E239" s="23">
        <v>27.52</v>
      </c>
      <c r="F239" s="21"/>
      <c r="G239" s="21"/>
      <c r="H239" s="21"/>
      <c r="I239" s="21"/>
      <c r="J239" s="21"/>
      <c r="K239" s="21"/>
    </row>
    <row r="240" spans="1:11" ht="15.75" customHeight="1">
      <c r="A240" s="18">
        <v>45985</v>
      </c>
      <c r="B240" s="19">
        <v>45985</v>
      </c>
      <c r="C240" s="21"/>
      <c r="D240" s="23">
        <v>3.9</v>
      </c>
      <c r="E240" s="23">
        <v>27.02</v>
      </c>
      <c r="F240" s="21"/>
      <c r="G240" s="21"/>
      <c r="H240" s="21"/>
      <c r="I240" s="21"/>
      <c r="J240" s="21"/>
      <c r="K240" s="21"/>
    </row>
    <row r="241" spans="1:11" ht="15.75" customHeight="1">
      <c r="A241" s="18">
        <v>45986</v>
      </c>
      <c r="B241" s="19">
        <v>45986</v>
      </c>
      <c r="C241" s="21"/>
      <c r="D241" s="23">
        <v>3.7</v>
      </c>
      <c r="E241" s="23">
        <v>27.75</v>
      </c>
      <c r="F241" s="21"/>
      <c r="G241" s="21"/>
      <c r="H241" s="21"/>
      <c r="I241" s="21"/>
      <c r="J241" s="21"/>
      <c r="K241" s="21"/>
    </row>
    <row r="242" spans="1:11" ht="15.75" customHeight="1">
      <c r="A242" s="18">
        <v>45987</v>
      </c>
      <c r="B242" s="19">
        <v>45987</v>
      </c>
      <c r="C242" s="21"/>
      <c r="D242" s="23">
        <v>3.43</v>
      </c>
      <c r="E242" s="23">
        <v>28.17</v>
      </c>
      <c r="F242" s="21"/>
      <c r="G242" s="21"/>
      <c r="H242" s="21"/>
      <c r="I242" s="21"/>
      <c r="J242" s="21"/>
      <c r="K242" s="21"/>
    </row>
    <row r="243" spans="1:11" ht="15.75" customHeight="1">
      <c r="A243" s="18">
        <v>45988</v>
      </c>
      <c r="B243" s="19">
        <v>45988</v>
      </c>
      <c r="C243" s="21"/>
      <c r="D243" s="23">
        <v>3.16</v>
      </c>
      <c r="E243" s="23">
        <v>28.4</v>
      </c>
      <c r="F243" s="21"/>
      <c r="G243" s="21"/>
      <c r="H243" s="21"/>
      <c r="I243" s="21"/>
      <c r="J243" s="21"/>
      <c r="K243" s="21"/>
    </row>
    <row r="244" spans="1:11" ht="15.75" customHeight="1">
      <c r="A244" s="18">
        <v>45989</v>
      </c>
      <c r="B244" s="19">
        <v>45989</v>
      </c>
      <c r="C244" s="21"/>
      <c r="D244" s="23">
        <v>3.16</v>
      </c>
      <c r="E244" s="23">
        <v>28.4</v>
      </c>
      <c r="F244" s="21"/>
      <c r="G244" s="21"/>
      <c r="H244" s="21"/>
      <c r="I244" s="21"/>
      <c r="J244" s="21"/>
      <c r="K244" s="21"/>
    </row>
    <row r="245" spans="1:11" ht="15.75" customHeight="1">
      <c r="A245" s="18">
        <v>45990</v>
      </c>
      <c r="B245" s="19">
        <v>45990</v>
      </c>
      <c r="C245" s="21"/>
      <c r="D245" s="23">
        <v>3.34</v>
      </c>
      <c r="E245" s="23">
        <v>28.77</v>
      </c>
      <c r="F245" s="21"/>
      <c r="G245" s="21"/>
      <c r="H245" s="21"/>
      <c r="I245" s="21"/>
      <c r="J245" s="21"/>
      <c r="K245" s="21"/>
    </row>
    <row r="246" spans="1:11" ht="15.75" customHeight="1">
      <c r="A246" s="18">
        <v>45991</v>
      </c>
      <c r="B246" s="19">
        <v>45991</v>
      </c>
      <c r="C246" s="21"/>
      <c r="D246" s="23">
        <v>3.71</v>
      </c>
      <c r="E246" s="23">
        <v>28.42</v>
      </c>
      <c r="F246" s="21"/>
      <c r="G246" s="21"/>
      <c r="H246" s="21"/>
      <c r="I246" s="21"/>
      <c r="J246" s="21"/>
      <c r="K246" s="21"/>
    </row>
    <row r="247" spans="1:11" ht="15.75" customHeight="1">
      <c r="A247" s="18">
        <v>45992</v>
      </c>
      <c r="B247" s="19">
        <v>45992</v>
      </c>
      <c r="C247" s="21"/>
      <c r="D247" s="23">
        <v>3.81</v>
      </c>
      <c r="E247" s="23">
        <v>28.74</v>
      </c>
      <c r="F247" s="21"/>
      <c r="G247" s="21"/>
      <c r="H247" s="21"/>
      <c r="I247" s="21"/>
      <c r="J247" s="21"/>
      <c r="K247" s="21"/>
    </row>
    <row r="248" spans="1:11" ht="15.75" customHeight="1">
      <c r="A248" s="18">
        <v>45993</v>
      </c>
      <c r="B248" s="19">
        <v>45993</v>
      </c>
      <c r="C248" s="21"/>
      <c r="D248" s="23">
        <v>3.48</v>
      </c>
      <c r="E248" s="23">
        <v>26.87</v>
      </c>
      <c r="F248" s="21"/>
      <c r="G248" s="21"/>
      <c r="H248" s="21"/>
      <c r="I248" s="21"/>
      <c r="J248" s="21"/>
      <c r="K248" s="21"/>
    </row>
    <row r="249" spans="1:11" ht="15.75" customHeight="1">
      <c r="A249" s="18">
        <v>45994</v>
      </c>
      <c r="B249" s="19">
        <v>45994</v>
      </c>
      <c r="C249" s="21"/>
      <c r="D249" s="23">
        <v>3.8</v>
      </c>
      <c r="E249" s="23">
        <v>26.14</v>
      </c>
      <c r="F249" s="21"/>
      <c r="G249" s="21"/>
      <c r="H249" s="21"/>
      <c r="I249" s="21"/>
      <c r="J249" s="21"/>
      <c r="K249" s="21"/>
    </row>
    <row r="250" spans="1:11" ht="15.75" customHeight="1">
      <c r="A250" s="18">
        <v>45995</v>
      </c>
      <c r="B250" s="19">
        <v>45995</v>
      </c>
      <c r="C250" s="21"/>
      <c r="D250" s="23">
        <v>3.65</v>
      </c>
      <c r="E250" s="23">
        <v>26.7</v>
      </c>
      <c r="F250" s="21"/>
      <c r="G250" s="21"/>
      <c r="H250" s="21"/>
      <c r="I250" s="21"/>
      <c r="J250" s="21"/>
      <c r="K250" s="21"/>
    </row>
    <row r="251" spans="1:11" ht="15.75" customHeight="1">
      <c r="A251" s="18">
        <v>45996</v>
      </c>
      <c r="B251" s="19">
        <v>45996</v>
      </c>
      <c r="C251" s="21"/>
      <c r="D251" s="23">
        <v>3.71</v>
      </c>
      <c r="E251" s="23">
        <v>26.85</v>
      </c>
      <c r="F251" s="21"/>
      <c r="G251" s="21"/>
      <c r="H251" s="21"/>
      <c r="I251" s="21"/>
      <c r="J251" s="21"/>
      <c r="K251" s="21"/>
    </row>
    <row r="252" spans="1:11" ht="15.75" customHeight="1">
      <c r="A252" s="18">
        <v>45997</v>
      </c>
      <c r="B252" s="19">
        <v>45997</v>
      </c>
      <c r="C252" s="21"/>
      <c r="D252" s="23">
        <v>3.39</v>
      </c>
      <c r="E252" s="23">
        <v>26.19</v>
      </c>
      <c r="F252" s="21"/>
      <c r="G252" s="21"/>
      <c r="H252" s="21"/>
      <c r="I252" s="21"/>
      <c r="J252" s="21"/>
      <c r="K252" s="21"/>
    </row>
    <row r="253" spans="1:11" ht="15.75" customHeight="1">
      <c r="A253" s="18">
        <v>45998</v>
      </c>
      <c r="B253" s="19">
        <v>45998</v>
      </c>
      <c r="C253" s="21"/>
      <c r="D253" s="23">
        <v>3.81</v>
      </c>
      <c r="E253" s="23">
        <v>26.92</v>
      </c>
      <c r="F253" s="21"/>
      <c r="G253" s="21"/>
      <c r="H253" s="21"/>
      <c r="I253" s="21"/>
      <c r="J253" s="21"/>
      <c r="K253" s="21"/>
    </row>
    <row r="254" spans="1:11" ht="15.75" customHeight="1">
      <c r="A254" s="18">
        <v>45999</v>
      </c>
      <c r="B254" s="19">
        <v>45999</v>
      </c>
      <c r="C254" s="21"/>
      <c r="D254" s="23">
        <v>3.82</v>
      </c>
      <c r="E254" s="23">
        <v>26.78</v>
      </c>
      <c r="F254" s="21"/>
      <c r="G254" s="21"/>
      <c r="H254" s="21"/>
      <c r="I254" s="21"/>
      <c r="J254" s="21"/>
      <c r="K254" s="21"/>
    </row>
    <row r="255" spans="1:11" ht="15.75" customHeight="1">
      <c r="A255" s="18">
        <v>46000</v>
      </c>
      <c r="B255" s="19">
        <v>46000</v>
      </c>
      <c r="C255" s="21"/>
      <c r="D255" s="23">
        <v>4.13</v>
      </c>
      <c r="E255" s="23">
        <v>27.06</v>
      </c>
      <c r="F255" s="21"/>
      <c r="G255" s="21"/>
      <c r="H255" s="21"/>
      <c r="I255" s="21"/>
      <c r="J255" s="21"/>
      <c r="K255" s="21"/>
    </row>
    <row r="256" spans="1:11" ht="15.75" customHeight="1">
      <c r="A256" s="18">
        <v>46001</v>
      </c>
      <c r="B256" s="19">
        <v>46001</v>
      </c>
      <c r="C256" s="21"/>
      <c r="D256" s="23">
        <v>3.48</v>
      </c>
      <c r="E256" s="23">
        <v>28.35</v>
      </c>
      <c r="F256" s="21"/>
      <c r="G256" s="21"/>
      <c r="H256" s="21"/>
      <c r="I256" s="21"/>
      <c r="J256" s="21"/>
      <c r="K256" s="21"/>
    </row>
    <row r="257" spans="1:11" ht="15.75" customHeight="1">
      <c r="A257" s="18">
        <v>46002</v>
      </c>
      <c r="B257" s="19">
        <v>46002</v>
      </c>
      <c r="C257" s="21"/>
      <c r="D257" s="23">
        <v>4.1100000000000003</v>
      </c>
      <c r="E257" s="23">
        <v>27.7</v>
      </c>
      <c r="F257" s="21"/>
      <c r="G257" s="21"/>
      <c r="H257" s="21"/>
      <c r="I257" s="21"/>
      <c r="J257" s="21"/>
      <c r="K257" s="21"/>
    </row>
    <row r="258" spans="1:11" ht="15.75" customHeight="1">
      <c r="A258" s="18">
        <v>46003</v>
      </c>
      <c r="B258" s="19">
        <v>46003</v>
      </c>
      <c r="C258" s="21"/>
      <c r="D258" s="23">
        <v>4.1500000000000004</v>
      </c>
      <c r="E258" s="23">
        <v>27.48</v>
      </c>
      <c r="F258" s="21"/>
      <c r="G258" s="21"/>
      <c r="H258" s="21"/>
      <c r="I258" s="21"/>
      <c r="J258" s="21"/>
      <c r="K258" s="21"/>
    </row>
    <row r="259" spans="1:11" ht="15.75" customHeight="1">
      <c r="A259" s="18">
        <v>46004</v>
      </c>
      <c r="B259" s="19">
        <v>46004</v>
      </c>
      <c r="C259" s="21"/>
      <c r="D259" s="23">
        <v>4.0199999999999996</v>
      </c>
      <c r="E259" s="23">
        <v>27.29</v>
      </c>
      <c r="F259" s="21"/>
      <c r="G259" s="21"/>
      <c r="H259" s="21"/>
      <c r="I259" s="21"/>
      <c r="J259" s="21"/>
      <c r="K259" s="21"/>
    </row>
    <row r="260" spans="1:11" ht="15.75" customHeight="1">
      <c r="A260" s="18">
        <v>46005</v>
      </c>
      <c r="B260" s="19">
        <v>46005</v>
      </c>
      <c r="C260" s="21"/>
      <c r="D260" s="23">
        <v>3.91</v>
      </c>
      <c r="E260" s="23">
        <v>31</v>
      </c>
      <c r="F260" s="21"/>
      <c r="G260" s="21"/>
      <c r="H260" s="21"/>
      <c r="I260" s="21"/>
      <c r="J260" s="21"/>
      <c r="K260" s="21"/>
    </row>
    <row r="261" spans="1:11" ht="15.75" customHeight="1">
      <c r="A261" s="18">
        <v>46006</v>
      </c>
      <c r="B261" s="19">
        <v>46006</v>
      </c>
      <c r="C261" s="21"/>
      <c r="D261" s="23">
        <v>4.01</v>
      </c>
      <c r="E261" s="23">
        <v>31</v>
      </c>
      <c r="F261" s="21"/>
      <c r="G261" s="21"/>
      <c r="H261" s="21"/>
      <c r="I261" s="21"/>
      <c r="J261" s="21"/>
      <c r="K261" s="21"/>
    </row>
    <row r="262" spans="1:11" ht="15.75" customHeight="1">
      <c r="A262" s="18">
        <v>46007</v>
      </c>
      <c r="B262" s="19">
        <v>46007</v>
      </c>
      <c r="C262" s="21"/>
      <c r="D262" s="23">
        <v>3.7</v>
      </c>
      <c r="E262" s="21"/>
      <c r="F262" s="21"/>
      <c r="G262" s="21"/>
      <c r="H262" s="21"/>
      <c r="I262" s="21"/>
      <c r="J262" s="21"/>
      <c r="K262" s="21"/>
    </row>
    <row r="263" spans="1:11" ht="15.75" customHeight="1">
      <c r="A263" s="18">
        <v>46008</v>
      </c>
      <c r="B263" s="19">
        <v>46008</v>
      </c>
      <c r="C263" s="21"/>
      <c r="D263" s="21">
        <v>3.62</v>
      </c>
      <c r="E263" s="21"/>
      <c r="F263" s="21"/>
      <c r="G263" s="21"/>
      <c r="H263" s="21"/>
      <c r="I263" s="21"/>
      <c r="J263" s="21"/>
      <c r="K263" s="21"/>
    </row>
    <row r="264" spans="1:11" ht="15.75" customHeight="1">
      <c r="A264" s="18">
        <v>46009</v>
      </c>
      <c r="B264" s="19">
        <v>46009</v>
      </c>
      <c r="C264" s="21"/>
      <c r="D264" s="21">
        <v>3.73</v>
      </c>
      <c r="E264" s="21"/>
      <c r="F264" s="21"/>
      <c r="G264" s="21"/>
      <c r="H264" s="21"/>
      <c r="I264" s="21"/>
      <c r="J264" s="21"/>
      <c r="K264" s="21"/>
    </row>
    <row r="265" spans="1:11" ht="15.75" customHeight="1">
      <c r="A265" s="18">
        <v>46010</v>
      </c>
      <c r="B265" s="19">
        <v>46010</v>
      </c>
      <c r="C265" s="21"/>
      <c r="D265" s="21">
        <v>4.1100000000000003</v>
      </c>
      <c r="E265" s="21"/>
      <c r="F265" s="21"/>
      <c r="G265" s="21"/>
      <c r="H265" s="21"/>
      <c r="I265" s="21"/>
      <c r="J265" s="21"/>
      <c r="K265" s="21"/>
    </row>
    <row r="266" spans="1:11" ht="15.75" customHeight="1">
      <c r="A266" s="18">
        <v>46011</v>
      </c>
      <c r="B266" s="19">
        <v>46011</v>
      </c>
      <c r="C266" s="21"/>
      <c r="D266" s="23">
        <v>4.0999999999999996</v>
      </c>
      <c r="E266" s="21"/>
      <c r="F266" s="21"/>
      <c r="G266" s="21"/>
      <c r="H266" s="21"/>
      <c r="I266" s="21"/>
      <c r="J266" s="21"/>
      <c r="K266" s="21"/>
    </row>
    <row r="267" spans="1:11" ht="15.75" customHeight="1">
      <c r="A267" s="18">
        <v>46012</v>
      </c>
      <c r="B267" s="19">
        <v>46012</v>
      </c>
      <c r="C267" s="21"/>
      <c r="D267" s="23">
        <v>3.4</v>
      </c>
      <c r="E267" s="21"/>
      <c r="F267" s="21"/>
      <c r="G267" s="21"/>
      <c r="H267" s="21"/>
      <c r="I267" s="21"/>
      <c r="J267" s="21"/>
      <c r="K267" s="21"/>
    </row>
    <row r="268" spans="1:11" ht="15.75" customHeight="1">
      <c r="A268" s="18">
        <v>46013</v>
      </c>
      <c r="B268" s="19">
        <v>46013</v>
      </c>
      <c r="C268" s="21"/>
      <c r="D268" s="23">
        <v>3.82</v>
      </c>
      <c r="E268" s="21"/>
      <c r="F268" s="21"/>
      <c r="G268" s="21"/>
      <c r="H268" s="21"/>
      <c r="I268" s="21"/>
      <c r="J268" s="21"/>
      <c r="K268" s="21"/>
    </row>
    <row r="269" spans="1:11" ht="15.75" customHeight="1">
      <c r="A269" s="18">
        <v>46014</v>
      </c>
      <c r="B269" s="19">
        <v>46014</v>
      </c>
      <c r="C269" s="21"/>
      <c r="D269" s="23">
        <v>3.85</v>
      </c>
      <c r="E269" s="23">
        <v>26.75</v>
      </c>
      <c r="F269" s="21"/>
      <c r="G269" s="21"/>
      <c r="H269" s="21"/>
      <c r="I269" s="21"/>
      <c r="J269" s="21"/>
      <c r="K269" s="21"/>
    </row>
    <row r="270" spans="1:11" ht="15.75" customHeight="1">
      <c r="A270" s="18">
        <v>46015</v>
      </c>
      <c r="B270" s="19">
        <v>46015</v>
      </c>
      <c r="C270" s="21"/>
      <c r="D270" s="23">
        <v>3.91</v>
      </c>
      <c r="E270" s="23">
        <v>26.53</v>
      </c>
      <c r="F270" s="21"/>
      <c r="G270" s="21"/>
      <c r="H270" s="21"/>
      <c r="I270" s="21"/>
      <c r="J270" s="21"/>
      <c r="K270" s="21"/>
    </row>
    <row r="271" spans="1:11" ht="15.75" customHeight="1">
      <c r="A271" s="18">
        <v>46016</v>
      </c>
      <c r="B271" s="19">
        <v>46016</v>
      </c>
      <c r="C271" s="21"/>
      <c r="D271" s="23">
        <v>3.88</v>
      </c>
      <c r="E271" s="23">
        <v>26.07</v>
      </c>
      <c r="F271" s="21"/>
      <c r="G271" s="21"/>
      <c r="H271" s="21"/>
      <c r="I271" s="21"/>
      <c r="J271" s="21"/>
      <c r="K271" s="21"/>
    </row>
    <row r="272" spans="1:11" ht="15.75" customHeight="1">
      <c r="A272" s="18">
        <v>46017</v>
      </c>
      <c r="B272" s="19">
        <v>46017</v>
      </c>
      <c r="C272" s="21"/>
      <c r="D272" s="23">
        <v>3.74</v>
      </c>
      <c r="E272" s="23">
        <v>25.41</v>
      </c>
      <c r="F272" s="21"/>
      <c r="G272" s="21"/>
      <c r="H272" s="21"/>
      <c r="I272" s="21"/>
      <c r="J272" s="21"/>
      <c r="K272" s="21"/>
    </row>
    <row r="273" spans="1:11" ht="15.75" customHeight="1">
      <c r="A273" s="18">
        <v>46018</v>
      </c>
      <c r="B273" s="19">
        <v>46018</v>
      </c>
      <c r="C273" s="21"/>
      <c r="D273" s="23">
        <v>3.61</v>
      </c>
      <c r="E273" s="23">
        <v>25.97</v>
      </c>
      <c r="F273" s="21"/>
      <c r="G273" s="21"/>
      <c r="H273" s="21"/>
      <c r="I273" s="21"/>
      <c r="J273" s="21"/>
      <c r="K273" s="21"/>
    </row>
    <row r="274" spans="1:11" ht="15.75" customHeight="1">
      <c r="A274" s="18">
        <v>46019</v>
      </c>
      <c r="B274" s="19">
        <v>46019</v>
      </c>
      <c r="C274" s="21"/>
      <c r="D274" s="23">
        <v>3.63</v>
      </c>
      <c r="E274" s="23">
        <v>27.07</v>
      </c>
      <c r="F274" s="21"/>
      <c r="G274" s="21"/>
      <c r="H274" s="21"/>
      <c r="I274" s="21"/>
      <c r="J274" s="21"/>
      <c r="K274" s="21"/>
    </row>
    <row r="275" spans="1:11" ht="15.75" customHeight="1">
      <c r="A275" s="18">
        <v>46020</v>
      </c>
      <c r="B275" s="19">
        <v>46020</v>
      </c>
      <c r="C275" s="21"/>
      <c r="D275" s="23">
        <v>3.61</v>
      </c>
      <c r="E275" s="23">
        <v>26.9</v>
      </c>
      <c r="F275" s="21"/>
      <c r="G275" s="21"/>
      <c r="H275" s="21"/>
      <c r="I275" s="21"/>
      <c r="J275" s="21"/>
      <c r="K275" s="21"/>
    </row>
    <row r="276" spans="1:11" ht="15.75" customHeight="1">
      <c r="A276" s="18">
        <v>46021</v>
      </c>
      <c r="B276" s="19">
        <v>46021</v>
      </c>
      <c r="C276" s="21"/>
      <c r="D276" s="23">
        <v>3.5</v>
      </c>
      <c r="E276" s="23">
        <v>24.6</v>
      </c>
      <c r="F276" s="21"/>
      <c r="G276" s="21"/>
      <c r="H276" s="21"/>
      <c r="I276" s="21"/>
      <c r="J276" s="21"/>
      <c r="K276" s="21"/>
    </row>
    <row r="277" spans="1:11" ht="15.75" customHeight="1">
      <c r="A277" s="18">
        <v>46022</v>
      </c>
      <c r="B277" s="19">
        <v>46022</v>
      </c>
      <c r="C277" s="21"/>
      <c r="D277" s="23">
        <v>3</v>
      </c>
      <c r="E277" s="23">
        <v>25.17</v>
      </c>
      <c r="F277" s="21"/>
      <c r="G277" s="21"/>
      <c r="H277" s="21"/>
      <c r="I277" s="21"/>
      <c r="J277" s="21"/>
      <c r="K277" s="21"/>
    </row>
    <row r="278" spans="1:11" ht="15.75" customHeight="1">
      <c r="A278" s="18">
        <v>46023</v>
      </c>
      <c r="B278" s="19">
        <v>46023</v>
      </c>
      <c r="C278" s="21"/>
      <c r="D278" s="23">
        <v>3.56</v>
      </c>
      <c r="E278" s="23">
        <v>25.26</v>
      </c>
      <c r="F278" s="21"/>
      <c r="G278" s="21"/>
      <c r="H278" s="21"/>
      <c r="I278" s="21"/>
      <c r="J278" s="21"/>
      <c r="K278" s="21"/>
    </row>
    <row r="279" spans="1:11" ht="15.75" customHeight="1">
      <c r="A279" s="18">
        <v>46024</v>
      </c>
      <c r="B279" s="19">
        <v>46024</v>
      </c>
      <c r="C279" s="21"/>
      <c r="D279" s="23">
        <v>3.9</v>
      </c>
      <c r="E279" s="23">
        <v>24.22</v>
      </c>
      <c r="F279" s="21"/>
      <c r="G279" s="21"/>
      <c r="H279" s="21"/>
      <c r="I279" s="21"/>
      <c r="J279" s="21"/>
      <c r="K279" s="21"/>
    </row>
    <row r="280" spans="1:11" ht="15.75" customHeight="1">
      <c r="A280" s="18">
        <v>46025</v>
      </c>
      <c r="B280" s="19">
        <v>46025</v>
      </c>
      <c r="C280" s="21"/>
      <c r="D280" s="23">
        <v>4.01</v>
      </c>
      <c r="E280" s="23">
        <v>25.22</v>
      </c>
      <c r="F280" s="21"/>
      <c r="G280" s="21"/>
      <c r="H280" s="21"/>
      <c r="I280" s="21"/>
      <c r="J280" s="21"/>
      <c r="K280" s="21"/>
    </row>
    <row r="281" spans="1:11" ht="15.75" customHeight="1">
      <c r="A281" s="18">
        <v>46026</v>
      </c>
      <c r="B281" s="19">
        <v>46026</v>
      </c>
      <c r="C281" s="21"/>
      <c r="D281" s="23">
        <v>4.18</v>
      </c>
      <c r="E281" s="23">
        <v>24.82</v>
      </c>
      <c r="F281" s="21"/>
      <c r="G281" s="21"/>
      <c r="H281" s="21"/>
      <c r="I281" s="21"/>
      <c r="J281" s="21"/>
      <c r="K281" s="21"/>
    </row>
    <row r="282" spans="1:11" ht="15.75" customHeight="1">
      <c r="A282" s="18">
        <v>46027</v>
      </c>
      <c r="B282" s="19">
        <v>46027</v>
      </c>
      <c r="C282" s="21"/>
      <c r="D282" s="23">
        <v>3.98</v>
      </c>
      <c r="E282" s="23">
        <v>25.31</v>
      </c>
      <c r="F282" s="21"/>
      <c r="G282" s="21"/>
      <c r="H282" s="21"/>
      <c r="I282" s="21"/>
      <c r="J282" s="21"/>
      <c r="K282" s="21"/>
    </row>
    <row r="283" spans="1:11" ht="15.75" customHeight="1">
      <c r="A283" s="18">
        <v>46028</v>
      </c>
      <c r="B283" s="19">
        <v>46028</v>
      </c>
      <c r="C283" s="21"/>
      <c r="D283" s="23">
        <v>4.03</v>
      </c>
      <c r="E283" s="23">
        <v>24.68</v>
      </c>
      <c r="F283" s="21"/>
      <c r="G283" s="21"/>
      <c r="H283" s="21"/>
      <c r="I283" s="21"/>
      <c r="J283" s="21"/>
      <c r="K283" s="21"/>
    </row>
    <row r="284" spans="1:11" ht="15.75" customHeight="1">
      <c r="A284" s="18">
        <v>46029</v>
      </c>
      <c r="B284" s="19">
        <v>46029</v>
      </c>
      <c r="C284" s="21"/>
      <c r="D284" s="23">
        <v>3.98</v>
      </c>
      <c r="E284" s="23">
        <v>23.14</v>
      </c>
      <c r="F284" s="21"/>
      <c r="G284" s="21"/>
      <c r="H284" s="21"/>
      <c r="I284" s="21"/>
      <c r="J284" s="21"/>
      <c r="K284" s="21"/>
    </row>
    <row r="285" spans="1:11" ht="15.75" customHeight="1">
      <c r="A285" s="18">
        <v>46030</v>
      </c>
      <c r="B285" s="19">
        <v>46030</v>
      </c>
      <c r="C285" s="21"/>
      <c r="D285" s="23">
        <v>3.77</v>
      </c>
      <c r="E285" s="23">
        <v>23.31</v>
      </c>
      <c r="F285" s="21"/>
      <c r="G285" s="21"/>
      <c r="H285" s="21"/>
      <c r="I285" s="21"/>
      <c r="J285" s="21"/>
      <c r="K285" s="21"/>
    </row>
    <row r="286" spans="1:11" ht="15.75" customHeight="1">
      <c r="A286" s="18">
        <v>46031</v>
      </c>
      <c r="B286" s="19">
        <v>46031</v>
      </c>
      <c r="C286" s="21"/>
      <c r="D286" s="23">
        <v>3.98</v>
      </c>
      <c r="E286" s="23">
        <v>21.87</v>
      </c>
      <c r="F286" s="21"/>
      <c r="G286" s="21"/>
      <c r="H286" s="21"/>
      <c r="I286" s="21"/>
      <c r="J286" s="21"/>
      <c r="K286" s="21"/>
    </row>
    <row r="287" spans="1:11" ht="15.75" customHeight="1">
      <c r="A287" s="18">
        <v>46032</v>
      </c>
      <c r="B287" s="19">
        <v>46032</v>
      </c>
      <c r="C287" s="21"/>
      <c r="D287" s="23">
        <v>4.1100000000000003</v>
      </c>
      <c r="E287" s="23">
        <v>22.19</v>
      </c>
      <c r="F287" s="21"/>
      <c r="G287" s="21"/>
      <c r="H287" s="21"/>
      <c r="I287" s="21"/>
      <c r="J287" s="21"/>
      <c r="K287" s="21"/>
    </row>
    <row r="288" spans="1:11" ht="15.75" customHeight="1">
      <c r="A288" s="18">
        <v>46033</v>
      </c>
      <c r="B288" s="19">
        <v>46033</v>
      </c>
      <c r="C288" s="21"/>
      <c r="D288" s="23">
        <v>4.08</v>
      </c>
      <c r="E288" s="23">
        <v>22.12</v>
      </c>
      <c r="F288" s="21"/>
      <c r="G288" s="21"/>
      <c r="H288" s="21"/>
      <c r="I288" s="21"/>
      <c r="J288" s="21"/>
      <c r="K288" s="21"/>
    </row>
    <row r="289" spans="1:11" ht="15.75" customHeight="1">
      <c r="A289" s="18">
        <v>46034</v>
      </c>
      <c r="B289" s="19">
        <v>46034</v>
      </c>
      <c r="C289" s="21"/>
      <c r="D289" s="23">
        <v>3.95</v>
      </c>
      <c r="E289" s="23">
        <v>24.59</v>
      </c>
      <c r="F289" s="21"/>
      <c r="G289" s="21"/>
      <c r="H289" s="21"/>
      <c r="I289" s="21"/>
      <c r="J289" s="21"/>
      <c r="K289" s="21"/>
    </row>
    <row r="290" spans="1:11" ht="15.75" customHeight="1">
      <c r="A290" s="18">
        <v>46035</v>
      </c>
      <c r="B290" s="19">
        <v>46035</v>
      </c>
      <c r="C290" s="21"/>
      <c r="D290" s="23">
        <v>3.88</v>
      </c>
      <c r="E290" s="23">
        <v>25.09</v>
      </c>
      <c r="F290" s="21"/>
      <c r="G290" s="21"/>
      <c r="H290" s="21"/>
      <c r="I290" s="21"/>
      <c r="J290" s="21"/>
      <c r="K290" s="21"/>
    </row>
    <row r="291" spans="1:11" ht="15.75" customHeight="1">
      <c r="A291" s="18">
        <v>46036</v>
      </c>
      <c r="B291" s="19">
        <v>46036</v>
      </c>
      <c r="C291" s="21"/>
      <c r="D291" s="23">
        <v>4.41</v>
      </c>
      <c r="E291" s="23">
        <v>24.19</v>
      </c>
      <c r="F291" s="21"/>
      <c r="G291" s="21"/>
      <c r="H291" s="21"/>
      <c r="I291" s="21"/>
      <c r="J291" s="21"/>
      <c r="K291" s="21"/>
    </row>
    <row r="292" spans="1:11" ht="15.75" customHeight="1">
      <c r="A292" s="18">
        <v>46037</v>
      </c>
      <c r="B292" s="19">
        <v>46037</v>
      </c>
      <c r="C292" s="21"/>
      <c r="D292" s="23">
        <v>4.42</v>
      </c>
      <c r="E292" s="23">
        <v>24.63</v>
      </c>
      <c r="F292" s="21"/>
      <c r="G292" s="21"/>
      <c r="H292" s="21"/>
      <c r="I292" s="21"/>
      <c r="J292" s="21"/>
      <c r="K292" s="21"/>
    </row>
    <row r="293" spans="1:11" ht="15.75" customHeight="1">
      <c r="A293" s="18">
        <v>46038</v>
      </c>
      <c r="B293" s="19">
        <v>46038</v>
      </c>
      <c r="C293" s="21"/>
      <c r="D293" s="23">
        <v>4.28</v>
      </c>
      <c r="E293" s="23">
        <v>25.63</v>
      </c>
      <c r="F293" s="21"/>
      <c r="G293" s="21"/>
      <c r="H293" s="21"/>
      <c r="I293" s="21"/>
      <c r="J293" s="21"/>
      <c r="K293" s="21"/>
    </row>
    <row r="294" spans="1:11" ht="15.75" customHeight="1">
      <c r="A294" s="18">
        <v>46039</v>
      </c>
      <c r="B294" s="19">
        <v>46039</v>
      </c>
      <c r="C294" s="21"/>
      <c r="D294" s="23">
        <v>4.07</v>
      </c>
      <c r="E294" s="23">
        <v>24.46</v>
      </c>
      <c r="F294" s="21"/>
      <c r="G294" s="21"/>
      <c r="H294" s="21"/>
      <c r="I294" s="21"/>
      <c r="J294" s="21"/>
      <c r="K294" s="21"/>
    </row>
    <row r="295" spans="1:11" ht="15.75" customHeight="1">
      <c r="A295" s="18">
        <v>46040</v>
      </c>
      <c r="B295" s="19">
        <v>46040</v>
      </c>
      <c r="C295" s="21"/>
      <c r="D295" s="23">
        <v>3.62</v>
      </c>
      <c r="E295" s="23">
        <v>24.9</v>
      </c>
      <c r="F295" s="21"/>
      <c r="G295" s="21"/>
      <c r="H295" s="21"/>
      <c r="I295" s="21"/>
      <c r="J295" s="21"/>
      <c r="K295" s="21"/>
    </row>
    <row r="296" spans="1:11" ht="15.75" customHeight="1">
      <c r="A296" s="18">
        <v>46041</v>
      </c>
      <c r="B296" s="19">
        <v>46041</v>
      </c>
      <c r="C296" s="21"/>
      <c r="D296" s="23">
        <v>4.1500000000000004</v>
      </c>
      <c r="E296" s="23">
        <v>24.7</v>
      </c>
      <c r="F296" s="21"/>
      <c r="G296" s="21"/>
      <c r="H296" s="21"/>
      <c r="I296" s="21"/>
      <c r="J296" s="21"/>
      <c r="K296" s="21"/>
    </row>
    <row r="297" spans="1:11" ht="15.75" customHeight="1">
      <c r="A297" s="18">
        <v>46042</v>
      </c>
      <c r="B297" s="19">
        <v>46042</v>
      </c>
      <c r="C297" s="21"/>
      <c r="D297" s="23">
        <v>4.0999999999999996</v>
      </c>
      <c r="E297" s="23">
        <v>24.19</v>
      </c>
      <c r="F297" s="21"/>
      <c r="G297" s="21"/>
      <c r="H297" s="21"/>
      <c r="I297" s="21"/>
      <c r="J297" s="21"/>
      <c r="K297" s="21"/>
    </row>
    <row r="298" spans="1:11" ht="15.75" customHeight="1">
      <c r="A298" s="18">
        <v>46043</v>
      </c>
      <c r="B298" s="19">
        <v>46043</v>
      </c>
      <c r="C298" s="21"/>
      <c r="D298" s="23">
        <v>3.86</v>
      </c>
      <c r="E298" s="23">
        <v>25.63</v>
      </c>
      <c r="F298" s="21"/>
      <c r="G298" s="21"/>
      <c r="H298" s="21"/>
      <c r="I298" s="21"/>
      <c r="J298" s="21"/>
      <c r="K298" s="21"/>
    </row>
    <row r="299" spans="1:11" ht="15.75" customHeight="1">
      <c r="A299" s="18">
        <v>46044</v>
      </c>
      <c r="B299" s="19">
        <v>46044</v>
      </c>
      <c r="C299" s="21"/>
      <c r="D299" s="23">
        <v>3.82</v>
      </c>
      <c r="E299" s="23">
        <v>25.39</v>
      </c>
      <c r="F299" s="21"/>
      <c r="G299" s="21"/>
      <c r="H299" s="21"/>
      <c r="I299" s="21"/>
      <c r="J299" s="21"/>
      <c r="K299" s="21"/>
    </row>
    <row r="300" spans="1:11" ht="15.75" customHeight="1">
      <c r="A300" s="18">
        <v>46045</v>
      </c>
      <c r="B300" s="19">
        <v>46045</v>
      </c>
      <c r="C300" s="21"/>
      <c r="D300" s="23">
        <v>3.57</v>
      </c>
      <c r="E300" s="23">
        <v>23.92</v>
      </c>
      <c r="F300" s="21"/>
      <c r="G300" s="21"/>
      <c r="H300" s="21"/>
      <c r="I300" s="21"/>
      <c r="J300" s="21"/>
      <c r="K300" s="21"/>
    </row>
    <row r="301" spans="1:11" ht="15.75" customHeight="1">
      <c r="A301" s="18">
        <v>46046</v>
      </c>
      <c r="B301" s="19">
        <v>46046</v>
      </c>
      <c r="C301" s="21"/>
      <c r="D301" s="23">
        <v>4.0199999999999996</v>
      </c>
      <c r="E301" s="23">
        <v>21.73</v>
      </c>
      <c r="F301" s="21"/>
      <c r="G301" s="21"/>
      <c r="H301" s="21"/>
      <c r="I301" s="21"/>
      <c r="J301" s="21"/>
      <c r="K301" s="21"/>
    </row>
    <row r="302" spans="1:11" ht="15.75" customHeight="1">
      <c r="A302" s="18">
        <v>46047</v>
      </c>
      <c r="B302" s="19">
        <v>46047</v>
      </c>
      <c r="C302" s="21"/>
      <c r="D302" s="23">
        <v>3.69</v>
      </c>
      <c r="E302" s="23">
        <v>21.4</v>
      </c>
      <c r="F302" s="21"/>
      <c r="G302" s="21"/>
      <c r="H302" s="21"/>
      <c r="I302" s="21"/>
      <c r="J302" s="21"/>
      <c r="K302" s="21"/>
    </row>
    <row r="303" spans="1:11" ht="15.75" customHeight="1">
      <c r="A303" s="18">
        <v>46048</v>
      </c>
      <c r="B303" s="19">
        <v>46048</v>
      </c>
      <c r="C303" s="21"/>
      <c r="D303" s="21"/>
      <c r="E303" s="21"/>
      <c r="F303" s="21"/>
      <c r="G303" s="21"/>
      <c r="H303" s="21"/>
      <c r="I303" s="21"/>
      <c r="J303" s="21"/>
      <c r="K303" s="21"/>
    </row>
    <row r="304" spans="1:11" ht="15.75" customHeight="1">
      <c r="A304" s="18">
        <v>46049</v>
      </c>
      <c r="B304" s="19">
        <v>46049</v>
      </c>
      <c r="C304" s="21"/>
      <c r="D304" s="23">
        <v>1.6</v>
      </c>
      <c r="E304" s="23">
        <v>21</v>
      </c>
      <c r="F304" s="21"/>
      <c r="G304" s="21"/>
      <c r="H304" s="21"/>
      <c r="I304" s="21"/>
      <c r="J304" s="21"/>
      <c r="K304" s="21"/>
    </row>
    <row r="305" spans="1:11" ht="15.75" customHeight="1">
      <c r="A305" s="18">
        <v>46050</v>
      </c>
      <c r="B305" s="19">
        <v>46050</v>
      </c>
      <c r="C305" s="21"/>
      <c r="D305" s="23">
        <v>4.49</v>
      </c>
      <c r="E305" s="23">
        <v>22.79</v>
      </c>
      <c r="F305" s="21"/>
      <c r="G305" s="21"/>
      <c r="H305" s="21"/>
      <c r="I305" s="21"/>
      <c r="J305" s="21"/>
      <c r="K305" s="21"/>
    </row>
    <row r="306" spans="1:11" ht="15.75" customHeight="1">
      <c r="A306" s="18">
        <v>46051</v>
      </c>
      <c r="B306" s="19">
        <v>46051</v>
      </c>
      <c r="C306" s="21"/>
      <c r="D306" s="23">
        <v>4.29</v>
      </c>
      <c r="E306" s="23">
        <v>24.76</v>
      </c>
      <c r="F306" s="21"/>
      <c r="G306" s="21"/>
      <c r="H306" s="21"/>
      <c r="I306" s="21"/>
      <c r="J306" s="21"/>
      <c r="K306" s="21"/>
    </row>
    <row r="307" spans="1:11" ht="15.75" customHeight="1">
      <c r="A307" s="18">
        <v>46052</v>
      </c>
      <c r="B307" s="19">
        <v>46052</v>
      </c>
      <c r="C307" s="21"/>
      <c r="D307" s="23">
        <v>3.58</v>
      </c>
      <c r="E307" s="23">
        <v>26.52</v>
      </c>
      <c r="F307" s="21"/>
      <c r="G307" s="21"/>
      <c r="H307" s="21"/>
      <c r="I307" s="21"/>
      <c r="J307" s="21"/>
      <c r="K307" s="21"/>
    </row>
    <row r="308" spans="1:11" ht="15.75" customHeight="1">
      <c r="A308" s="18">
        <v>46053</v>
      </c>
      <c r="B308" s="19">
        <v>46053</v>
      </c>
      <c r="C308" s="21"/>
      <c r="D308" s="23">
        <v>2.86</v>
      </c>
      <c r="E308" s="23">
        <v>27.63</v>
      </c>
      <c r="F308" s="21"/>
      <c r="G308" s="21"/>
      <c r="H308" s="21"/>
      <c r="I308" s="21"/>
      <c r="J308" s="21"/>
      <c r="K308" s="21"/>
    </row>
    <row r="309" spans="1:11" ht="15.75" customHeight="1">
      <c r="A309" s="18">
        <v>46054</v>
      </c>
      <c r="B309" s="19">
        <v>46054</v>
      </c>
      <c r="C309" s="21"/>
      <c r="D309" s="23">
        <v>3.54</v>
      </c>
      <c r="E309" s="23">
        <v>27.61</v>
      </c>
      <c r="F309" s="21"/>
      <c r="G309" s="21"/>
      <c r="H309" s="21"/>
      <c r="I309" s="21"/>
      <c r="J309" s="21"/>
      <c r="K309" s="21"/>
    </row>
    <row r="310" spans="1:11" ht="15.75" customHeight="1">
      <c r="A310" s="18">
        <v>46055</v>
      </c>
      <c r="B310" s="19">
        <v>46055</v>
      </c>
      <c r="C310" s="21"/>
      <c r="D310" s="23">
        <v>3.5</v>
      </c>
      <c r="E310" s="23">
        <v>27.47</v>
      </c>
      <c r="F310" s="21"/>
      <c r="G310" s="21"/>
      <c r="H310" s="21"/>
      <c r="I310" s="21"/>
      <c r="J310" s="21"/>
      <c r="K310" s="21"/>
    </row>
    <row r="311" spans="1:11" ht="15.75" customHeight="1">
      <c r="A311" s="18">
        <v>46056</v>
      </c>
      <c r="B311" s="19">
        <v>46056</v>
      </c>
      <c r="C311" s="21"/>
      <c r="D311" s="23">
        <v>3.67</v>
      </c>
      <c r="E311" s="23">
        <v>27.5</v>
      </c>
      <c r="F311" s="21"/>
      <c r="G311" s="21"/>
      <c r="H311" s="21"/>
      <c r="I311" s="21"/>
      <c r="J311" s="21"/>
      <c r="K311" s="21"/>
    </row>
    <row r="312" spans="1:11" ht="15.75" customHeight="1">
      <c r="A312" s="18">
        <v>46057</v>
      </c>
      <c r="B312" s="19">
        <v>46057</v>
      </c>
      <c r="C312" s="21"/>
      <c r="D312" s="23">
        <v>3.74</v>
      </c>
      <c r="E312" s="23">
        <v>27.41</v>
      </c>
      <c r="F312" s="21"/>
      <c r="G312" s="21"/>
      <c r="H312" s="21"/>
      <c r="I312" s="21"/>
      <c r="J312" s="21"/>
      <c r="K312" s="21"/>
    </row>
    <row r="313" spans="1:11" ht="15.75" customHeight="1">
      <c r="A313" s="18">
        <v>46058</v>
      </c>
      <c r="B313" s="19">
        <v>46058</v>
      </c>
      <c r="C313" s="21"/>
      <c r="D313" s="23">
        <v>4.0199999999999996</v>
      </c>
      <c r="E313" s="23">
        <v>28.32</v>
      </c>
      <c r="F313" s="21"/>
      <c r="G313" s="21"/>
      <c r="H313" s="21"/>
      <c r="I313" s="21"/>
      <c r="J313" s="21"/>
      <c r="K313" s="21"/>
    </row>
    <row r="314" spans="1:11" ht="15.75" customHeight="1">
      <c r="A314" s="18">
        <v>46059</v>
      </c>
      <c r="B314" s="19">
        <v>46059</v>
      </c>
      <c r="C314" s="21"/>
      <c r="D314" s="23">
        <v>4.2</v>
      </c>
      <c r="E314" s="23">
        <v>29.55</v>
      </c>
      <c r="F314" s="21"/>
      <c r="G314" s="21"/>
      <c r="H314" s="21"/>
      <c r="I314" s="21"/>
      <c r="J314" s="21"/>
      <c r="K314" s="21"/>
    </row>
    <row r="315" spans="1:11" ht="15.75" customHeight="1">
      <c r="A315" s="18">
        <v>46060</v>
      </c>
      <c r="B315" s="19">
        <v>46060</v>
      </c>
      <c r="C315" s="21"/>
      <c r="D315" s="23">
        <v>4.08</v>
      </c>
      <c r="E315" s="23">
        <v>28.97</v>
      </c>
      <c r="F315" s="21"/>
      <c r="G315" s="21"/>
      <c r="H315" s="21"/>
      <c r="I315" s="21"/>
      <c r="J315" s="21"/>
      <c r="K315" s="21"/>
    </row>
    <row r="316" spans="1:11" ht="15.75" customHeight="1">
      <c r="A316" s="18">
        <v>46061</v>
      </c>
      <c r="B316" s="19">
        <v>46061</v>
      </c>
      <c r="C316" s="21"/>
      <c r="D316" s="23">
        <v>4.05</v>
      </c>
      <c r="E316" s="23">
        <v>28.86</v>
      </c>
      <c r="F316" s="21"/>
      <c r="G316" s="21"/>
      <c r="H316" s="21"/>
      <c r="I316" s="21"/>
      <c r="J316" s="21"/>
      <c r="K316" s="21"/>
    </row>
    <row r="317" spans="1:11" ht="15.75" customHeight="1">
      <c r="A317" s="18">
        <v>46062</v>
      </c>
      <c r="B317" s="19">
        <v>46062</v>
      </c>
      <c r="C317" s="21"/>
      <c r="D317" s="23">
        <v>4.26</v>
      </c>
      <c r="E317" s="23">
        <v>27.33</v>
      </c>
      <c r="F317" s="21"/>
      <c r="G317" s="21"/>
      <c r="H317" s="21"/>
      <c r="I317" s="21"/>
      <c r="J317" s="21"/>
      <c r="K317" s="21"/>
    </row>
    <row r="318" spans="1:11" ht="15.75" customHeight="1">
      <c r="A318" s="18">
        <v>46063</v>
      </c>
      <c r="B318" s="19">
        <v>46063</v>
      </c>
      <c r="C318" s="21"/>
      <c r="D318" s="23">
        <v>4.45</v>
      </c>
      <c r="E318" s="23">
        <v>27.27</v>
      </c>
      <c r="F318" s="21"/>
      <c r="G318" s="21"/>
      <c r="H318" s="21"/>
      <c r="I318" s="21"/>
      <c r="J318" s="21"/>
      <c r="K318" s="21"/>
    </row>
    <row r="319" spans="1:11" ht="15.75" customHeight="1">
      <c r="A319" s="18">
        <v>46064</v>
      </c>
      <c r="B319" s="19">
        <v>46064</v>
      </c>
      <c r="C319" s="21"/>
      <c r="D319" s="23">
        <v>4.3899999999999997</v>
      </c>
      <c r="E319" s="23">
        <v>28.02</v>
      </c>
      <c r="F319" s="21"/>
      <c r="G319" s="21"/>
      <c r="H319" s="21"/>
      <c r="I319" s="21"/>
      <c r="J319" s="21"/>
      <c r="K319" s="21"/>
    </row>
    <row r="320" spans="1:11" ht="15.75" customHeight="1">
      <c r="A320" s="18">
        <v>46065</v>
      </c>
      <c r="B320" s="19">
        <v>46065</v>
      </c>
      <c r="C320" s="21"/>
      <c r="D320" s="23">
        <v>4.45</v>
      </c>
      <c r="E320" s="23">
        <v>29.02</v>
      </c>
      <c r="F320" s="21"/>
      <c r="G320" s="21"/>
      <c r="H320" s="21"/>
      <c r="I320" s="21"/>
      <c r="J320" s="21"/>
      <c r="K320" s="21"/>
    </row>
    <row r="321" spans="1:11" ht="15.75" customHeight="1">
      <c r="A321" s="18">
        <v>46066</v>
      </c>
      <c r="B321" s="19">
        <v>46066</v>
      </c>
      <c r="C321" s="21"/>
      <c r="D321" s="21"/>
      <c r="E321" s="21">
        <v>30.13</v>
      </c>
      <c r="F321" s="21"/>
      <c r="G321" s="21"/>
      <c r="H321" s="21"/>
      <c r="I321" s="21"/>
      <c r="J321" s="21"/>
      <c r="K321" s="21"/>
    </row>
    <row r="322" spans="1:11" ht="15.75" customHeight="1">
      <c r="A322" s="18">
        <v>46067</v>
      </c>
      <c r="B322" s="19">
        <v>46067</v>
      </c>
      <c r="C322" s="21"/>
      <c r="D322" s="21"/>
      <c r="E322" s="21"/>
      <c r="F322" s="21"/>
      <c r="G322" s="21"/>
      <c r="H322" s="21"/>
      <c r="I322" s="21"/>
      <c r="J322" s="21"/>
      <c r="K322" s="21"/>
    </row>
    <row r="323" spans="1:11" ht="15.75" customHeight="1">
      <c r="A323" s="18">
        <v>46068</v>
      </c>
      <c r="B323" s="19">
        <v>46068</v>
      </c>
      <c r="C323" s="21"/>
      <c r="D323" s="21">
        <v>4.37</v>
      </c>
      <c r="E323" s="21">
        <v>30.58</v>
      </c>
      <c r="F323" s="21"/>
      <c r="G323" s="21"/>
      <c r="H323" s="21"/>
      <c r="I323" s="21"/>
      <c r="J323" s="21"/>
      <c r="K323" s="21"/>
    </row>
    <row r="324" spans="1:11" ht="15.75" customHeight="1">
      <c r="A324" s="18">
        <v>46069</v>
      </c>
      <c r="B324" s="19">
        <v>46069</v>
      </c>
      <c r="C324" s="21"/>
      <c r="D324" s="21"/>
      <c r="E324" s="21">
        <v>27.9</v>
      </c>
      <c r="F324" s="21"/>
      <c r="G324" s="21"/>
      <c r="H324" s="21"/>
      <c r="I324" s="21"/>
      <c r="J324" s="21"/>
      <c r="K324" s="21"/>
    </row>
    <row r="325" spans="1:11" ht="15.75" customHeight="1">
      <c r="A325" s="18">
        <v>46070</v>
      </c>
      <c r="B325" s="19">
        <v>46070</v>
      </c>
      <c r="C325" s="21"/>
      <c r="D325" s="21">
        <v>4.72</v>
      </c>
      <c r="E325" s="21">
        <v>26.69</v>
      </c>
      <c r="F325" s="21"/>
      <c r="G325" s="21"/>
      <c r="H325" s="21"/>
      <c r="I325" s="21"/>
      <c r="J325" s="21"/>
      <c r="K325" s="21"/>
    </row>
    <row r="326" spans="1:11" ht="15.75" customHeight="1">
      <c r="A326" s="18">
        <v>46071</v>
      </c>
      <c r="B326" s="19">
        <v>46071</v>
      </c>
      <c r="C326" s="21"/>
      <c r="D326" s="21"/>
      <c r="E326" s="21">
        <v>27.75</v>
      </c>
      <c r="F326" s="21"/>
      <c r="G326" s="21"/>
      <c r="H326" s="21"/>
      <c r="I326" s="21"/>
      <c r="J326" s="21"/>
      <c r="K326" s="21"/>
    </row>
    <row r="327" spans="1:11" ht="15.75" customHeight="1">
      <c r="A327" s="18">
        <v>46072</v>
      </c>
      <c r="B327" s="19">
        <v>46072</v>
      </c>
      <c r="C327" s="21"/>
      <c r="D327" s="21">
        <v>4.4000000000000004</v>
      </c>
      <c r="E327" s="21">
        <v>28.95</v>
      </c>
      <c r="F327" s="21"/>
      <c r="G327" s="21"/>
      <c r="H327" s="21"/>
      <c r="I327" s="21"/>
      <c r="J327" s="21"/>
      <c r="K327" s="21"/>
    </row>
    <row r="328" spans="1:11" ht="15.75" customHeight="1">
      <c r="A328" s="18">
        <v>46073</v>
      </c>
      <c r="B328" s="19">
        <v>46073</v>
      </c>
      <c r="C328" s="21"/>
      <c r="D328" s="21">
        <v>4.34</v>
      </c>
      <c r="E328" s="21">
        <v>30.73</v>
      </c>
      <c r="F328" s="21"/>
      <c r="G328" s="21"/>
      <c r="H328" s="21"/>
      <c r="I328" s="21"/>
      <c r="J328" s="21"/>
      <c r="K328" s="21"/>
    </row>
    <row r="329" spans="1:11" ht="15.75" customHeight="1">
      <c r="A329" s="18">
        <v>46074</v>
      </c>
      <c r="B329" s="19">
        <v>46074</v>
      </c>
      <c r="C329" s="21"/>
      <c r="D329" s="21">
        <v>4.5</v>
      </c>
      <c r="E329" s="21">
        <v>31.84</v>
      </c>
      <c r="F329" s="21"/>
      <c r="G329" s="21"/>
      <c r="H329" s="21"/>
      <c r="I329" s="21"/>
      <c r="J329" s="21"/>
      <c r="K329" s="21"/>
    </row>
    <row r="330" spans="1:11" ht="15.75" customHeight="1">
      <c r="A330" s="18">
        <v>46075</v>
      </c>
      <c r="B330" s="19">
        <v>46075</v>
      </c>
      <c r="C330" s="21"/>
      <c r="D330" s="21">
        <v>4.1500000000000004</v>
      </c>
      <c r="E330" s="21">
        <v>31.27</v>
      </c>
      <c r="F330" s="21"/>
      <c r="G330" s="21"/>
      <c r="H330" s="21"/>
      <c r="I330" s="21"/>
      <c r="J330" s="21"/>
      <c r="K330" s="21"/>
    </row>
    <row r="331" spans="1:11" ht="15.75" customHeight="1">
      <c r="A331" s="18">
        <v>46076</v>
      </c>
      <c r="B331" s="19">
        <v>46076</v>
      </c>
      <c r="C331" s="21"/>
      <c r="D331" s="21">
        <v>4.18</v>
      </c>
      <c r="E331" s="21">
        <v>31.06</v>
      </c>
      <c r="F331" s="21"/>
      <c r="G331" s="21"/>
      <c r="H331" s="21"/>
      <c r="I331" s="21"/>
      <c r="J331" s="21"/>
      <c r="K331" s="21"/>
    </row>
    <row r="332" spans="1:11" ht="15.75" customHeight="1">
      <c r="A332" s="18">
        <v>46077</v>
      </c>
      <c r="B332" s="19">
        <v>46077</v>
      </c>
      <c r="C332" s="21"/>
      <c r="D332" s="21">
        <v>4.53</v>
      </c>
      <c r="E332" s="21">
        <v>31.34</v>
      </c>
      <c r="F332" s="21"/>
      <c r="G332" s="21"/>
      <c r="H332" s="21"/>
      <c r="I332" s="21"/>
      <c r="J332" s="21"/>
      <c r="K332" s="21"/>
    </row>
    <row r="333" spans="1:11" ht="15.75" customHeight="1">
      <c r="A333" s="18">
        <v>46078</v>
      </c>
      <c r="B333" s="19">
        <v>46078</v>
      </c>
      <c r="C333" s="21"/>
      <c r="D333" s="21">
        <v>4.76</v>
      </c>
      <c r="E333" s="21">
        <v>29.79</v>
      </c>
      <c r="F333" s="21"/>
      <c r="G333" s="21"/>
      <c r="H333" s="21"/>
      <c r="I333" s="21"/>
      <c r="J333" s="21"/>
      <c r="K333" s="21"/>
    </row>
    <row r="334" spans="1:11" ht="15.75" customHeight="1">
      <c r="A334" s="18">
        <v>46079</v>
      </c>
      <c r="B334" s="19">
        <v>46079</v>
      </c>
      <c r="C334" s="21"/>
      <c r="D334" s="21">
        <v>4.1500000000000004</v>
      </c>
      <c r="E334" s="21">
        <v>27.06</v>
      </c>
      <c r="F334" s="21"/>
      <c r="G334" s="21"/>
      <c r="H334" s="21"/>
      <c r="I334" s="21"/>
      <c r="J334" s="21"/>
      <c r="K334" s="21"/>
    </row>
    <row r="335" spans="1:11" ht="15.75" customHeight="1">
      <c r="A335" s="18">
        <v>46080</v>
      </c>
      <c r="B335" s="19">
        <v>46080</v>
      </c>
      <c r="C335" s="21"/>
      <c r="D335" s="24">
        <v>4.5999999999999996</v>
      </c>
      <c r="E335" s="21">
        <v>28.06</v>
      </c>
      <c r="F335" s="21"/>
      <c r="G335" s="21"/>
      <c r="H335" s="21"/>
      <c r="I335" s="21"/>
      <c r="J335" s="21"/>
      <c r="K335" s="21"/>
    </row>
    <row r="336" spans="1:11" ht="15.75" customHeight="1">
      <c r="A336" s="18">
        <v>46081</v>
      </c>
      <c r="B336" s="19">
        <v>46081</v>
      </c>
      <c r="C336" s="21"/>
      <c r="D336" s="21">
        <v>4.6500000000000004</v>
      </c>
      <c r="E336" s="21">
        <v>28.02</v>
      </c>
      <c r="F336" s="21"/>
      <c r="G336" s="21"/>
      <c r="H336" s="21"/>
      <c r="I336" s="21"/>
      <c r="J336" s="21"/>
      <c r="K336" s="21"/>
    </row>
    <row r="337" spans="1:11" ht="15.75" customHeight="1">
      <c r="A337" s="18">
        <v>46082</v>
      </c>
      <c r="B337" s="19">
        <v>46082</v>
      </c>
      <c r="C337" s="21"/>
      <c r="D337" s="21">
        <v>4.87</v>
      </c>
      <c r="E337" s="21">
        <v>28.91</v>
      </c>
      <c r="F337" s="21"/>
      <c r="G337" s="21"/>
      <c r="H337" s="21"/>
      <c r="I337" s="21"/>
      <c r="J337" s="21"/>
      <c r="K337" s="21"/>
    </row>
    <row r="338" spans="1:11" ht="15.75" customHeight="1">
      <c r="A338" s="18">
        <v>46083</v>
      </c>
      <c r="B338" s="19">
        <v>46083</v>
      </c>
      <c r="C338" s="21"/>
      <c r="D338" s="21">
        <v>4.8499999999999996</v>
      </c>
      <c r="E338" s="21">
        <v>30.77</v>
      </c>
      <c r="F338" s="21"/>
      <c r="G338" s="21"/>
      <c r="H338" s="21"/>
      <c r="I338" s="21"/>
      <c r="J338" s="21"/>
      <c r="K338" s="21"/>
    </row>
    <row r="339" spans="1:11" ht="15.75" customHeight="1">
      <c r="A339" s="18">
        <v>46084</v>
      </c>
      <c r="B339" s="19">
        <v>46084</v>
      </c>
      <c r="C339" s="21"/>
      <c r="D339" s="21">
        <v>4.8899999999999997</v>
      </c>
      <c r="E339" s="21">
        <v>32.28</v>
      </c>
      <c r="F339" s="21"/>
      <c r="G339" s="21"/>
      <c r="H339" s="21"/>
      <c r="I339" s="21"/>
      <c r="J339" s="21"/>
      <c r="K339" s="21"/>
    </row>
    <row r="340" spans="1:11" ht="15.75" customHeight="1">
      <c r="A340" s="18">
        <v>46085</v>
      </c>
      <c r="B340" s="19">
        <v>46085</v>
      </c>
      <c r="C340" s="21"/>
      <c r="D340" s="21">
        <v>4.68</v>
      </c>
      <c r="E340" s="21">
        <v>34.130000000000003</v>
      </c>
      <c r="F340" s="21"/>
      <c r="G340" s="21"/>
      <c r="H340" s="21"/>
      <c r="I340" s="21"/>
      <c r="J340" s="21"/>
      <c r="K340" s="21"/>
    </row>
    <row r="341" spans="1:11" ht="15.75" customHeight="1">
      <c r="A341" s="18">
        <v>46086</v>
      </c>
      <c r="B341" s="19">
        <v>46086</v>
      </c>
      <c r="C341" s="21"/>
      <c r="D341" s="21">
        <v>4.84</v>
      </c>
      <c r="E341" s="21">
        <v>33.46</v>
      </c>
      <c r="F341" s="21"/>
      <c r="G341" s="21"/>
      <c r="H341" s="21"/>
      <c r="I341" s="21"/>
      <c r="J341" s="21"/>
      <c r="K341" s="21"/>
    </row>
    <row r="342" spans="1:11" ht="15.75" customHeight="1">
      <c r="A342" s="18">
        <v>46087</v>
      </c>
      <c r="B342" s="19">
        <v>46087</v>
      </c>
      <c r="C342" s="21"/>
      <c r="D342" s="21">
        <v>4.63</v>
      </c>
      <c r="E342" s="21">
        <v>30.74</v>
      </c>
      <c r="F342" s="21"/>
      <c r="G342" s="21"/>
      <c r="H342" s="21"/>
      <c r="I342" s="21"/>
      <c r="J342" s="21"/>
      <c r="K342" s="21"/>
    </row>
    <row r="343" spans="1:11" ht="15.75" customHeight="1">
      <c r="A343" s="18">
        <v>46088</v>
      </c>
      <c r="B343" s="19">
        <v>46088</v>
      </c>
      <c r="C343" s="21"/>
      <c r="D343" s="21">
        <v>4.99</v>
      </c>
      <c r="E343" s="21">
        <v>31.28</v>
      </c>
      <c r="F343" s="21"/>
      <c r="G343" s="21"/>
      <c r="H343" s="21"/>
      <c r="I343" s="21"/>
      <c r="J343" s="21"/>
      <c r="K343" s="21"/>
    </row>
    <row r="344" spans="1:11" ht="15.75" customHeight="1">
      <c r="A344" s="18">
        <v>46089</v>
      </c>
      <c r="B344" s="19">
        <v>46089</v>
      </c>
      <c r="C344" s="21"/>
      <c r="D344" s="21">
        <v>4.8499999999999996</v>
      </c>
      <c r="E344" s="21">
        <v>33.97</v>
      </c>
      <c r="F344" s="21"/>
      <c r="G344" s="21"/>
      <c r="H344" s="21"/>
      <c r="I344" s="21"/>
      <c r="J344" s="21"/>
      <c r="K344" s="21"/>
    </row>
    <row r="345" spans="1:11" ht="15.75" customHeight="1">
      <c r="A345" s="18">
        <v>46090</v>
      </c>
      <c r="B345" s="19">
        <v>46090</v>
      </c>
      <c r="C345" s="21"/>
      <c r="D345" s="21">
        <v>4.91</v>
      </c>
      <c r="E345" s="21">
        <v>36.42</v>
      </c>
      <c r="F345" s="21"/>
      <c r="G345" s="21"/>
      <c r="H345" s="21"/>
      <c r="I345" s="21"/>
      <c r="J345" s="21"/>
      <c r="K345" s="21"/>
    </row>
    <row r="346" spans="1:11" ht="15.75" customHeight="1">
      <c r="A346" s="18">
        <v>46091</v>
      </c>
      <c r="B346" s="19">
        <v>46091</v>
      </c>
      <c r="C346" s="21"/>
      <c r="D346" s="21">
        <v>4.92</v>
      </c>
      <c r="E346" s="21">
        <v>36.82</v>
      </c>
      <c r="F346" s="21"/>
      <c r="G346" s="21"/>
      <c r="H346" s="21"/>
      <c r="I346" s="21"/>
      <c r="J346" s="21"/>
      <c r="K346" s="21"/>
    </row>
    <row r="347" spans="1:11" ht="15.75" customHeight="1">
      <c r="A347" s="18">
        <v>46092</v>
      </c>
      <c r="B347" s="19">
        <v>46092</v>
      </c>
      <c r="C347" s="21"/>
      <c r="D347" s="21">
        <v>4.8899999999999997</v>
      </c>
      <c r="E347" s="21">
        <v>35.909999999999997</v>
      </c>
      <c r="F347" s="21"/>
      <c r="G347" s="21"/>
      <c r="H347" s="21"/>
      <c r="I347" s="21"/>
      <c r="J347" s="21"/>
      <c r="K347" s="21"/>
    </row>
    <row r="348" spans="1:11" ht="15.75" customHeight="1">
      <c r="A348" s="18">
        <v>46093</v>
      </c>
      <c r="B348" s="19">
        <v>46093</v>
      </c>
      <c r="C348" s="21"/>
      <c r="D348" s="21">
        <v>4.91</v>
      </c>
      <c r="E348" s="21">
        <v>33.82</v>
      </c>
      <c r="F348" s="21"/>
      <c r="G348" s="21"/>
      <c r="H348" s="21"/>
      <c r="I348" s="21"/>
      <c r="J348" s="21"/>
      <c r="K348" s="21"/>
    </row>
    <row r="349" spans="1:11" ht="15.75" customHeight="1">
      <c r="A349" s="18">
        <v>46094</v>
      </c>
      <c r="B349" s="19">
        <v>46094</v>
      </c>
      <c r="C349" s="21"/>
      <c r="D349" s="21">
        <v>4.93</v>
      </c>
      <c r="E349" s="21">
        <v>32.89</v>
      </c>
      <c r="F349" s="21"/>
      <c r="G349" s="21"/>
      <c r="H349" s="21"/>
      <c r="I349" s="21"/>
      <c r="J349" s="21"/>
      <c r="K349" s="21"/>
    </row>
    <row r="350" spans="1:11" ht="15.75" customHeight="1">
      <c r="A350" s="18">
        <v>46095</v>
      </c>
      <c r="B350" s="19">
        <v>46095</v>
      </c>
      <c r="C350" s="21"/>
      <c r="D350" s="24">
        <v>5.3</v>
      </c>
      <c r="E350" s="21">
        <v>30.88</v>
      </c>
      <c r="F350" s="21"/>
      <c r="G350" s="21"/>
      <c r="H350" s="21"/>
      <c r="I350" s="21"/>
      <c r="J350" s="21"/>
      <c r="K350" s="21"/>
    </row>
    <row r="351" spans="1:11" ht="15.75" customHeight="1">
      <c r="A351" s="18">
        <v>46096</v>
      </c>
      <c r="B351" s="19">
        <v>46096</v>
      </c>
      <c r="C351" s="21"/>
      <c r="D351" s="21">
        <v>5.05</v>
      </c>
      <c r="E351" s="21">
        <v>31.33</v>
      </c>
      <c r="F351" s="21"/>
      <c r="G351" s="21"/>
      <c r="H351" s="21"/>
      <c r="I351" s="21"/>
      <c r="J351" s="21"/>
      <c r="K351" s="21"/>
    </row>
    <row r="352" spans="1:11" ht="15.75" customHeight="1">
      <c r="A352" s="18">
        <v>46097</v>
      </c>
      <c r="B352" s="19">
        <v>46097</v>
      </c>
      <c r="C352" s="21"/>
      <c r="D352" s="21">
        <v>5.31</v>
      </c>
      <c r="E352" s="21">
        <v>31.53</v>
      </c>
      <c r="F352" s="21"/>
      <c r="G352" s="21"/>
      <c r="H352" s="21"/>
      <c r="I352" s="21"/>
      <c r="J352" s="21"/>
      <c r="K352" s="21"/>
    </row>
    <row r="353" spans="1:11" ht="15.75" customHeight="1">
      <c r="A353" s="18">
        <v>46098</v>
      </c>
      <c r="B353" s="19">
        <v>46098</v>
      </c>
      <c r="C353" s="21"/>
      <c r="D353" s="21">
        <v>5.27</v>
      </c>
      <c r="E353" s="21">
        <v>30.06</v>
      </c>
      <c r="F353" s="21"/>
      <c r="G353" s="21"/>
      <c r="H353" s="21"/>
      <c r="I353" s="21"/>
      <c r="J353" s="21"/>
      <c r="K353" s="21"/>
    </row>
    <row r="354" spans="1:11" ht="15.75" customHeight="1">
      <c r="A354" s="18">
        <v>46099</v>
      </c>
      <c r="B354" s="19">
        <v>46099</v>
      </c>
      <c r="C354" s="21"/>
      <c r="D354" s="21"/>
      <c r="E354" s="21"/>
      <c r="F354" s="21"/>
      <c r="G354" s="21"/>
      <c r="H354" s="21"/>
      <c r="I354" s="21"/>
      <c r="J354" s="21"/>
      <c r="K354" s="21"/>
    </row>
    <row r="355" spans="1:11" ht="15.75" customHeight="1">
      <c r="A355" s="18">
        <v>46100</v>
      </c>
      <c r="B355" s="19">
        <v>46100</v>
      </c>
      <c r="C355" s="21"/>
      <c r="D355" s="21">
        <v>3.16</v>
      </c>
      <c r="E355" s="21">
        <v>28.72</v>
      </c>
      <c r="F355" s="21"/>
      <c r="G355" s="21"/>
      <c r="H355" s="21"/>
      <c r="I355" s="21"/>
      <c r="J355" s="21"/>
      <c r="K355" s="21"/>
    </row>
    <row r="356" spans="1:11" ht="15.75" customHeight="1">
      <c r="A356" s="18">
        <v>46101</v>
      </c>
      <c r="B356" s="19">
        <v>46101</v>
      </c>
      <c r="C356" s="21"/>
      <c r="D356" s="21">
        <v>3.62</v>
      </c>
      <c r="E356" s="21">
        <v>30.02</v>
      </c>
      <c r="F356" s="21"/>
      <c r="G356" s="21"/>
      <c r="H356" s="21"/>
      <c r="I356" s="21"/>
      <c r="J356" s="21"/>
      <c r="K356" s="21"/>
    </row>
    <row r="357" spans="1:11" ht="15.75" customHeight="1">
      <c r="A357" s="18">
        <v>46102</v>
      </c>
      <c r="B357" s="19">
        <v>46102</v>
      </c>
      <c r="C357" s="21"/>
      <c r="D357" s="21">
        <v>4.71</v>
      </c>
      <c r="E357" s="21">
        <v>31.84</v>
      </c>
      <c r="F357" s="21"/>
      <c r="G357" s="21"/>
      <c r="H357" s="21"/>
      <c r="I357" s="21"/>
      <c r="J357" s="21"/>
      <c r="K357" s="21"/>
    </row>
    <row r="358" spans="1:11" ht="15.75" customHeight="1">
      <c r="A358" s="18">
        <v>46103</v>
      </c>
      <c r="B358" s="19">
        <v>46103</v>
      </c>
      <c r="C358" s="21"/>
      <c r="D358" s="21">
        <v>4.8600000000000003</v>
      </c>
      <c r="E358" s="24">
        <v>32.6</v>
      </c>
      <c r="F358" s="21"/>
      <c r="G358" s="21"/>
      <c r="H358" s="21"/>
      <c r="I358" s="21"/>
      <c r="J358" s="21"/>
      <c r="K358" s="21"/>
    </row>
    <row r="359" spans="1:11" ht="15.75" customHeight="1">
      <c r="A359" s="18">
        <v>46104</v>
      </c>
      <c r="B359" s="19">
        <v>46104</v>
      </c>
      <c r="C359" s="21"/>
      <c r="D359" s="21">
        <v>5.03</v>
      </c>
      <c r="E359" s="24">
        <v>33.799999999999997</v>
      </c>
      <c r="F359" s="21"/>
      <c r="G359" s="21"/>
      <c r="H359" s="21"/>
      <c r="I359" s="21"/>
      <c r="J359" s="21"/>
      <c r="K359" s="21"/>
    </row>
    <row r="360" spans="1:11" ht="15.75" customHeight="1">
      <c r="A360" s="18">
        <v>46105</v>
      </c>
      <c r="B360" s="19">
        <v>46105</v>
      </c>
      <c r="C360" s="21"/>
      <c r="D360" s="21">
        <v>4.4400000000000004</v>
      </c>
      <c r="E360" s="21">
        <v>31.82</v>
      </c>
      <c r="F360" s="21"/>
      <c r="G360" s="21"/>
      <c r="H360" s="21"/>
      <c r="I360" s="21"/>
      <c r="J360" s="21"/>
      <c r="K360" s="21"/>
    </row>
    <row r="361" spans="1:11" ht="15.75" customHeight="1">
      <c r="A361" s="18">
        <v>46106</v>
      </c>
      <c r="B361" s="19">
        <v>46106</v>
      </c>
      <c r="C361" s="21"/>
      <c r="D361" s="21">
        <v>5.27</v>
      </c>
      <c r="E361" s="21">
        <v>32.909999999999997</v>
      </c>
      <c r="F361" s="21"/>
      <c r="G361" s="21"/>
      <c r="H361" s="21"/>
      <c r="I361" s="21"/>
      <c r="J361" s="21"/>
      <c r="K361" s="21"/>
    </row>
    <row r="362" spans="1:11" ht="15.75" customHeight="1">
      <c r="A362" s="18">
        <v>46107</v>
      </c>
      <c r="B362" s="19">
        <v>46107</v>
      </c>
      <c r="C362" s="21"/>
      <c r="D362" s="21">
        <v>5.05</v>
      </c>
      <c r="E362" s="21">
        <v>33.67</v>
      </c>
      <c r="F362" s="21"/>
      <c r="G362" s="21"/>
      <c r="H362" s="21"/>
      <c r="I362" s="21"/>
      <c r="J362" s="21"/>
      <c r="K362" s="21"/>
    </row>
    <row r="363" spans="1:11" ht="15.75" customHeight="1">
      <c r="A363" s="18">
        <v>46108</v>
      </c>
      <c r="B363" s="19">
        <v>46108</v>
      </c>
      <c r="C363" s="21"/>
      <c r="D363" s="21">
        <v>5.35</v>
      </c>
      <c r="E363" s="21">
        <v>33.14</v>
      </c>
      <c r="F363" s="21"/>
      <c r="G363" s="21"/>
      <c r="H363" s="21"/>
      <c r="I363" s="21"/>
      <c r="J363" s="21"/>
      <c r="K363" s="21"/>
    </row>
    <row r="364" spans="1:11" ht="15.75" customHeight="1">
      <c r="A364" s="18">
        <v>46109</v>
      </c>
      <c r="B364" s="19">
        <v>46109</v>
      </c>
      <c r="C364" s="21"/>
      <c r="D364" s="21">
        <v>4.83</v>
      </c>
      <c r="E364" s="21">
        <v>30.52</v>
      </c>
      <c r="F364" s="21"/>
      <c r="G364" s="21"/>
      <c r="H364" s="21"/>
      <c r="I364" s="21"/>
      <c r="J364" s="21"/>
      <c r="K364" s="21"/>
    </row>
    <row r="365" spans="1:11" ht="15.75" customHeight="1">
      <c r="A365" s="18">
        <v>46110</v>
      </c>
      <c r="B365" s="19">
        <v>46110</v>
      </c>
      <c r="C365" s="21"/>
      <c r="D365" s="21">
        <v>5.0599999999999996</v>
      </c>
      <c r="E365" s="21">
        <v>30.91</v>
      </c>
      <c r="F365" s="21"/>
      <c r="G365" s="21"/>
      <c r="H365" s="21"/>
      <c r="I365" s="21"/>
      <c r="J365" s="21"/>
      <c r="K365" s="21"/>
    </row>
    <row r="366" spans="1:11" ht="15.75" customHeight="1">
      <c r="A366" s="18">
        <v>46111</v>
      </c>
      <c r="B366" s="19">
        <v>46111</v>
      </c>
      <c r="C366" s="21"/>
      <c r="D366" s="21">
        <v>4.9800000000000004</v>
      </c>
      <c r="E366" s="21">
        <v>31.52</v>
      </c>
      <c r="F366" s="21"/>
      <c r="G366" s="21"/>
      <c r="H366" s="21"/>
      <c r="I366" s="21"/>
      <c r="J366" s="21"/>
      <c r="K366" s="21"/>
    </row>
    <row r="367" spans="1:11" ht="15.75" customHeight="1">
      <c r="A367" s="18">
        <v>46112</v>
      </c>
      <c r="B367" s="19">
        <v>46112</v>
      </c>
      <c r="C367" s="21"/>
      <c r="D367" s="21">
        <v>5.46</v>
      </c>
      <c r="E367" s="21">
        <v>31.21</v>
      </c>
      <c r="F367" s="21"/>
      <c r="G367" s="21"/>
      <c r="H367" s="21"/>
      <c r="I367" s="21"/>
      <c r="J367" s="21"/>
      <c r="K367" s="21"/>
    </row>
    <row r="368" spans="1:11" ht="15.75" customHeight="1">
      <c r="A368" s="18">
        <v>46113</v>
      </c>
      <c r="B368" s="19">
        <v>46113</v>
      </c>
      <c r="C368" s="21"/>
      <c r="D368" s="21">
        <v>4.96</v>
      </c>
      <c r="E368" s="21">
        <v>29.53</v>
      </c>
      <c r="F368" s="21"/>
      <c r="G368" s="21"/>
      <c r="H368" s="21"/>
      <c r="I368" s="21"/>
      <c r="J368" s="21"/>
      <c r="K368" s="21"/>
    </row>
    <row r="369" spans="1:11" ht="15.75" customHeight="1">
      <c r="A369" s="18">
        <v>46114</v>
      </c>
      <c r="B369" s="19">
        <v>46114</v>
      </c>
      <c r="C369" s="21"/>
      <c r="D369" s="21">
        <v>4.1100000000000003</v>
      </c>
      <c r="E369" s="21">
        <v>29.53</v>
      </c>
      <c r="F369" s="21"/>
      <c r="G369" s="21"/>
      <c r="H369" s="21"/>
      <c r="I369" s="21"/>
      <c r="J369" s="21"/>
      <c r="K369" s="21"/>
    </row>
    <row r="370" spans="1:11" ht="15.75" customHeight="1">
      <c r="A370" s="18">
        <v>46115</v>
      </c>
      <c r="B370" s="19">
        <v>46115</v>
      </c>
      <c r="C370" s="21"/>
      <c r="D370" s="21">
        <v>2.69</v>
      </c>
      <c r="E370" s="21">
        <v>27.42</v>
      </c>
      <c r="F370" s="21"/>
      <c r="G370" s="21"/>
      <c r="H370" s="21"/>
      <c r="I370" s="21"/>
      <c r="J370" s="21"/>
      <c r="K370" s="21"/>
    </row>
    <row r="371" spans="1:11" ht="15.75" customHeight="1">
      <c r="A371" s="18">
        <v>46116</v>
      </c>
      <c r="B371" s="19">
        <v>46116</v>
      </c>
      <c r="C371" s="21"/>
      <c r="D371" s="21">
        <v>5.24</v>
      </c>
      <c r="E371" s="21">
        <v>30.78</v>
      </c>
      <c r="F371" s="21"/>
      <c r="G371" s="21"/>
      <c r="H371" s="21"/>
      <c r="I371" s="21"/>
      <c r="J371" s="21"/>
      <c r="K371" s="21"/>
    </row>
    <row r="372" spans="1:11" ht="15.75" customHeight="1">
      <c r="A372" s="18">
        <v>46117</v>
      </c>
      <c r="B372" s="19">
        <v>46117</v>
      </c>
      <c r="C372" s="21"/>
      <c r="D372" s="21">
        <v>5.37</v>
      </c>
      <c r="E372" s="21">
        <v>30.51</v>
      </c>
      <c r="F372" s="21"/>
      <c r="G372" s="21"/>
      <c r="H372" s="21"/>
      <c r="I372" s="21"/>
      <c r="J372" s="21"/>
      <c r="K372" s="21"/>
    </row>
    <row r="373" spans="1:11" ht="15.75" customHeight="1">
      <c r="A373" s="18">
        <v>46118</v>
      </c>
      <c r="B373" s="19">
        <v>46118</v>
      </c>
      <c r="C373" s="21"/>
      <c r="D373" s="21">
        <v>5.23</v>
      </c>
      <c r="E373" s="21">
        <v>30.18</v>
      </c>
      <c r="F373" s="21"/>
      <c r="G373" s="21"/>
      <c r="H373" s="21"/>
      <c r="I373" s="21"/>
      <c r="J373" s="21"/>
      <c r="K373" s="21"/>
    </row>
    <row r="374" spans="1:11" ht="15.75" customHeight="1">
      <c r="A374" s="18">
        <v>46119</v>
      </c>
      <c r="B374" s="19">
        <v>46119</v>
      </c>
      <c r="C374" s="21"/>
      <c r="D374" s="21">
        <v>4.79</v>
      </c>
      <c r="E374" s="21">
        <v>29.91</v>
      </c>
      <c r="F374" s="21"/>
      <c r="G374" s="21"/>
      <c r="H374" s="21"/>
      <c r="I374" s="21"/>
      <c r="J374" s="21"/>
      <c r="K374" s="21"/>
    </row>
    <row r="375" spans="1:11" ht="15.75" customHeight="1">
      <c r="A375" s="18">
        <v>46120</v>
      </c>
      <c r="B375" s="19">
        <v>46120</v>
      </c>
      <c r="C375" s="21"/>
      <c r="D375" s="24">
        <v>5.3</v>
      </c>
      <c r="E375" s="21">
        <v>30.12</v>
      </c>
      <c r="F375" s="21"/>
      <c r="G375" s="21"/>
      <c r="H375" s="21"/>
      <c r="I375" s="21"/>
      <c r="J375" s="21"/>
      <c r="K375" s="21"/>
    </row>
    <row r="376" spans="1:11" ht="15.75" customHeight="1">
      <c r="A376" s="18">
        <v>46121</v>
      </c>
      <c r="B376" s="19">
        <v>46121</v>
      </c>
      <c r="C376" s="21"/>
      <c r="D376" s="21">
        <v>4.62</v>
      </c>
      <c r="E376" s="21">
        <v>31.77</v>
      </c>
      <c r="F376" s="21"/>
      <c r="G376" s="21"/>
      <c r="H376" s="21"/>
      <c r="I376" s="21"/>
      <c r="J376" s="21"/>
      <c r="K376" s="21"/>
    </row>
    <row r="377" spans="1:11" ht="15.75" customHeight="1">
      <c r="A377" s="18">
        <v>46122</v>
      </c>
      <c r="B377" s="19">
        <v>46122</v>
      </c>
      <c r="C377" s="21"/>
      <c r="D377" s="21">
        <v>5.17</v>
      </c>
      <c r="E377" s="21">
        <v>33.57</v>
      </c>
      <c r="F377" s="21"/>
      <c r="G377" s="21"/>
      <c r="H377" s="21"/>
      <c r="I377" s="21"/>
      <c r="J377" s="21"/>
      <c r="K377" s="21"/>
    </row>
    <row r="378" spans="1:11" ht="15.75" customHeight="1">
      <c r="A378" s="18">
        <v>46123</v>
      </c>
      <c r="B378" s="19">
        <v>46123</v>
      </c>
      <c r="C378" s="21"/>
      <c r="D378" s="21">
        <v>5.24</v>
      </c>
      <c r="E378" s="21">
        <v>34.97</v>
      </c>
      <c r="F378" s="21"/>
      <c r="G378" s="21"/>
      <c r="H378" s="21"/>
      <c r="I378" s="21"/>
      <c r="J378" s="21"/>
      <c r="K378" s="21"/>
    </row>
    <row r="379" spans="1:11" ht="15.75" customHeight="1">
      <c r="A379" s="18">
        <v>46124</v>
      </c>
      <c r="B379" s="19">
        <v>46124</v>
      </c>
      <c r="C379" s="21"/>
      <c r="D379" s="21">
        <v>5.27</v>
      </c>
      <c r="E379" s="21">
        <v>35.18</v>
      </c>
      <c r="F379" s="21"/>
      <c r="G379" s="21"/>
      <c r="H379" s="21"/>
      <c r="I379" s="21"/>
      <c r="J379" s="21"/>
      <c r="K379" s="21"/>
    </row>
    <row r="380" spans="1:11" ht="15.75" customHeight="1">
      <c r="A380" s="18">
        <v>46125</v>
      </c>
      <c r="B380" s="19">
        <v>46125</v>
      </c>
      <c r="C380" s="21"/>
      <c r="D380" s="21">
        <v>5.34</v>
      </c>
      <c r="E380" s="21">
        <v>35.520000000000003</v>
      </c>
      <c r="F380" s="21"/>
      <c r="G380" s="21"/>
      <c r="H380" s="21"/>
      <c r="I380" s="21"/>
      <c r="J380" s="21"/>
      <c r="K380" s="21"/>
    </row>
    <row r="381" spans="1:11" ht="15.75" customHeight="1">
      <c r="A381" s="18">
        <v>46126</v>
      </c>
      <c r="B381" s="19">
        <v>46126</v>
      </c>
      <c r="C381" s="21"/>
      <c r="D381" s="21">
        <v>4.17</v>
      </c>
      <c r="E381" s="24">
        <v>32</v>
      </c>
      <c r="F381" s="21"/>
      <c r="G381" s="21"/>
      <c r="H381" s="21"/>
      <c r="I381" s="21"/>
      <c r="J381" s="21"/>
      <c r="K381" s="21"/>
    </row>
    <row r="382" spans="1:11" ht="15.75" customHeight="1">
      <c r="A382" s="18">
        <v>46127</v>
      </c>
      <c r="B382" s="19">
        <v>46127</v>
      </c>
      <c r="C382" s="21"/>
      <c r="D382" s="21">
        <v>5.57</v>
      </c>
      <c r="E382" s="21">
        <v>31.93</v>
      </c>
      <c r="F382" s="21"/>
      <c r="G382" s="21"/>
      <c r="H382" s="21"/>
      <c r="I382" s="21"/>
      <c r="J382" s="21"/>
      <c r="K382" s="21"/>
    </row>
    <row r="383" spans="1:11" ht="15.75" customHeight="1">
      <c r="A383" s="18">
        <v>46128</v>
      </c>
      <c r="B383" s="19">
        <v>46128</v>
      </c>
      <c r="C383" s="21"/>
      <c r="D383" s="21">
        <v>5.57</v>
      </c>
      <c r="E383" s="21">
        <v>33.51</v>
      </c>
      <c r="F383" s="21"/>
      <c r="G383" s="21"/>
      <c r="H383" s="21"/>
      <c r="I383" s="21"/>
      <c r="J383" s="21"/>
      <c r="K383" s="21"/>
    </row>
    <row r="384" spans="1:11" ht="15.75" customHeight="1">
      <c r="A384" s="18">
        <v>46129</v>
      </c>
      <c r="B384" s="19">
        <v>46129</v>
      </c>
      <c r="C384" s="21"/>
      <c r="D384" s="21">
        <v>5.72</v>
      </c>
      <c r="E384" s="21">
        <v>35.119999999999997</v>
      </c>
      <c r="F384" s="21"/>
      <c r="G384" s="21"/>
      <c r="H384" s="21"/>
      <c r="I384" s="21"/>
      <c r="J384" s="21"/>
      <c r="K384" s="21"/>
    </row>
    <row r="385" spans="1:11" ht="15.75" customHeight="1">
      <c r="A385" s="18">
        <v>46130</v>
      </c>
      <c r="B385" s="19">
        <v>46130</v>
      </c>
      <c r="C385" s="21"/>
      <c r="D385" s="21">
        <v>5.47</v>
      </c>
      <c r="E385" s="21">
        <v>34.47</v>
      </c>
      <c r="F385" s="21"/>
      <c r="G385" s="21"/>
      <c r="H385" s="21"/>
      <c r="I385" s="21"/>
      <c r="J385" s="21"/>
      <c r="K385" s="21"/>
    </row>
    <row r="386" spans="1:11" ht="15.75" customHeight="1">
      <c r="A386" s="18">
        <v>46131</v>
      </c>
      <c r="B386" s="19">
        <v>46131</v>
      </c>
      <c r="C386" s="21"/>
      <c r="D386" s="21">
        <v>5.25</v>
      </c>
      <c r="E386" s="21">
        <v>32.25</v>
      </c>
      <c r="F386" s="21"/>
      <c r="G386" s="21"/>
      <c r="H386" s="21"/>
      <c r="I386" s="21"/>
      <c r="J386" s="21"/>
      <c r="K386" s="21"/>
    </row>
    <row r="387" spans="1:11" ht="15.75" customHeight="1">
      <c r="A387" s="18">
        <v>46132</v>
      </c>
      <c r="B387" s="19">
        <v>46132</v>
      </c>
      <c r="C387" s="21"/>
      <c r="D387" s="21">
        <v>5.55</v>
      </c>
      <c r="E387" s="21">
        <v>33.97</v>
      </c>
      <c r="F387" s="21"/>
      <c r="G387" s="21"/>
      <c r="H387" s="21"/>
      <c r="I387" s="21"/>
      <c r="J387" s="21"/>
      <c r="K387" s="21"/>
    </row>
    <row r="388" spans="1:11" ht="15.75" customHeight="1">
      <c r="A388" s="18">
        <v>46133</v>
      </c>
      <c r="B388" s="19">
        <v>46133</v>
      </c>
      <c r="C388" s="21"/>
      <c r="D388" s="21">
        <v>5.48</v>
      </c>
      <c r="E388" s="21">
        <v>34.08</v>
      </c>
      <c r="F388" s="21"/>
      <c r="G388" s="21"/>
      <c r="H388" s="21"/>
      <c r="I388" s="21"/>
      <c r="J388" s="21"/>
      <c r="K388" s="21"/>
    </row>
    <row r="389" spans="1:11" ht="15.75" customHeight="1">
      <c r="A389" s="18">
        <v>46134</v>
      </c>
      <c r="B389" s="19">
        <v>46134</v>
      </c>
      <c r="C389" s="21"/>
      <c r="D389" s="21">
        <v>5.58</v>
      </c>
      <c r="E389" s="21">
        <v>32.22</v>
      </c>
      <c r="F389" s="21"/>
      <c r="G389" s="21"/>
      <c r="H389" s="21"/>
      <c r="I389" s="21"/>
      <c r="J389" s="21"/>
      <c r="K389" s="21"/>
    </row>
    <row r="390" spans="1:11" ht="15.75" customHeight="1">
      <c r="A390" s="18">
        <v>46135</v>
      </c>
      <c r="B390" s="19">
        <v>46135</v>
      </c>
      <c r="C390" s="21"/>
      <c r="D390" s="21">
        <v>5.38</v>
      </c>
      <c r="E390" s="21">
        <v>34.020000000000003</v>
      </c>
      <c r="F390" s="21"/>
      <c r="G390" s="21"/>
      <c r="H390" s="21"/>
      <c r="I390" s="21"/>
      <c r="J390" s="21"/>
      <c r="K390" s="21"/>
    </row>
    <row r="391" spans="1:11" ht="15.75" customHeight="1">
      <c r="A391" s="18">
        <v>46136</v>
      </c>
      <c r="B391" s="19">
        <v>46136</v>
      </c>
      <c r="C391" s="21"/>
      <c r="D391" s="21">
        <v>5.53</v>
      </c>
      <c r="E391" s="21">
        <v>35.020000000000003</v>
      </c>
      <c r="F391" s="21"/>
      <c r="G391" s="21"/>
      <c r="H391" s="21"/>
      <c r="I391" s="21"/>
      <c r="J391" s="21"/>
      <c r="K391" s="21"/>
    </row>
    <row r="392" spans="1:11" ht="15.75" customHeight="1">
      <c r="A392" s="18">
        <v>46137</v>
      </c>
      <c r="B392" s="19">
        <v>46137</v>
      </c>
      <c r="C392" s="21"/>
      <c r="D392" s="21">
        <v>5.38</v>
      </c>
      <c r="E392" s="21">
        <v>35.28</v>
      </c>
      <c r="F392" s="21"/>
      <c r="G392" s="21"/>
      <c r="H392" s="21"/>
      <c r="I392" s="21"/>
      <c r="J392" s="21"/>
      <c r="K392" s="21"/>
    </row>
    <row r="393" spans="1:11" ht="15.75" customHeight="1">
      <c r="A393" s="18">
        <v>46138</v>
      </c>
      <c r="B393" s="19">
        <v>46138</v>
      </c>
      <c r="C393" s="21"/>
      <c r="D393" s="21">
        <v>5.17</v>
      </c>
      <c r="E393" s="24">
        <v>37.4</v>
      </c>
      <c r="F393" s="21"/>
      <c r="G393" s="21"/>
      <c r="H393" s="21"/>
      <c r="I393" s="21"/>
      <c r="J393" s="21"/>
      <c r="K393" s="21"/>
    </row>
    <row r="394" spans="1:11" ht="15.75" customHeight="1">
      <c r="A394" s="18">
        <v>46139</v>
      </c>
      <c r="B394" s="19">
        <v>46139</v>
      </c>
      <c r="C394" s="21"/>
      <c r="D394" s="21">
        <v>5.38</v>
      </c>
      <c r="E394" s="21">
        <v>35.51</v>
      </c>
      <c r="F394" s="21"/>
      <c r="G394" s="21"/>
      <c r="H394" s="21"/>
      <c r="I394" s="21"/>
      <c r="J394" s="21"/>
      <c r="K394" s="21"/>
    </row>
    <row r="395" spans="1:11" ht="15.75" customHeight="1">
      <c r="A395" s="18">
        <v>46140</v>
      </c>
      <c r="B395" s="19">
        <v>46140</v>
      </c>
      <c r="C395" s="21"/>
      <c r="D395" s="21">
        <v>5.53</v>
      </c>
      <c r="E395" s="21">
        <v>34.39</v>
      </c>
      <c r="F395" s="21"/>
      <c r="G395" s="21"/>
      <c r="H395" s="21"/>
      <c r="I395" s="21"/>
      <c r="J395" s="21"/>
      <c r="K395" s="21"/>
    </row>
    <row r="396" spans="1:11" ht="15.75" customHeight="1">
      <c r="A396" s="18">
        <v>46141</v>
      </c>
      <c r="B396" s="19">
        <v>46141</v>
      </c>
      <c r="C396" s="21"/>
      <c r="D396" s="21">
        <v>5.57</v>
      </c>
      <c r="E396" s="21">
        <v>33.08</v>
      </c>
      <c r="F396" s="21"/>
      <c r="G396" s="21"/>
      <c r="H396" s="21"/>
      <c r="I396" s="21"/>
      <c r="J396" s="21"/>
      <c r="K396" s="21"/>
    </row>
    <row r="397" spans="1:11" ht="15.75" customHeight="1">
      <c r="A397" s="18">
        <v>46142</v>
      </c>
      <c r="B397" s="19">
        <v>46142</v>
      </c>
      <c r="C397" s="21"/>
      <c r="D397" s="21">
        <v>5.52</v>
      </c>
      <c r="E397" s="21">
        <v>32.83</v>
      </c>
      <c r="F397" s="21"/>
      <c r="G397" s="21"/>
      <c r="H397" s="21"/>
      <c r="I397" s="21"/>
      <c r="J397" s="21"/>
      <c r="K397" s="21"/>
    </row>
    <row r="398" spans="1:11" ht="15.75" customHeight="1">
      <c r="A398" s="18">
        <v>46143</v>
      </c>
      <c r="B398" s="19">
        <v>46143</v>
      </c>
      <c r="C398" s="21"/>
      <c r="D398" s="21">
        <v>5.55</v>
      </c>
      <c r="E398" s="21">
        <v>32.549999999999997</v>
      </c>
      <c r="F398" s="21"/>
      <c r="G398" s="21"/>
      <c r="H398" s="21"/>
      <c r="I398" s="21"/>
      <c r="J398" s="21"/>
      <c r="K398" s="21"/>
    </row>
    <row r="399" spans="1:11" ht="15.75" customHeight="1">
      <c r="A399" s="18">
        <v>46144</v>
      </c>
      <c r="B399" s="19">
        <v>46144</v>
      </c>
      <c r="C399" s="21"/>
      <c r="D399" s="21">
        <v>5.46</v>
      </c>
      <c r="E399" s="21">
        <v>33.44</v>
      </c>
      <c r="F399" s="21"/>
      <c r="G399" s="21"/>
      <c r="H399" s="21"/>
      <c r="I399" s="21"/>
      <c r="J399" s="21"/>
      <c r="K399" s="21"/>
    </row>
    <row r="400" spans="1:11" ht="15.75" customHeight="1">
      <c r="A400" s="18">
        <v>46145</v>
      </c>
      <c r="B400" s="19">
        <v>46145</v>
      </c>
      <c r="C400" s="21"/>
      <c r="D400" s="21">
        <v>5.75</v>
      </c>
      <c r="E400" s="21">
        <v>32.729999999999997</v>
      </c>
      <c r="F400" s="21"/>
      <c r="G400" s="21"/>
      <c r="H400" s="21"/>
      <c r="I400" s="21"/>
      <c r="J400" s="21"/>
      <c r="K400" s="21"/>
    </row>
    <row r="401" spans="1:11" ht="15.75" customHeight="1">
      <c r="A401" s="18">
        <v>46146</v>
      </c>
      <c r="B401" s="19">
        <v>46146</v>
      </c>
      <c r="C401" s="21"/>
      <c r="D401" s="21">
        <v>5.28</v>
      </c>
      <c r="E401" s="24">
        <v>32.1</v>
      </c>
      <c r="F401" s="21"/>
      <c r="G401" s="21"/>
      <c r="H401" s="21"/>
      <c r="I401" s="21"/>
      <c r="J401" s="21"/>
      <c r="K401" s="21"/>
    </row>
    <row r="402" spans="1:11" ht="15.75" customHeight="1">
      <c r="A402" s="18">
        <v>46147</v>
      </c>
      <c r="B402" s="19">
        <v>46147</v>
      </c>
      <c r="C402" s="21"/>
      <c r="D402" s="21">
        <v>5.46</v>
      </c>
      <c r="E402" s="21">
        <v>32.950000000000003</v>
      </c>
      <c r="F402" s="21"/>
      <c r="G402" s="21"/>
      <c r="H402" s="21"/>
      <c r="I402" s="21"/>
      <c r="J402" s="21"/>
      <c r="K402" s="21"/>
    </row>
    <row r="403" spans="1:11" ht="15.75" customHeight="1">
      <c r="A403" s="18">
        <v>46148</v>
      </c>
      <c r="B403" s="19">
        <v>46148</v>
      </c>
      <c r="C403" s="21"/>
      <c r="D403" s="24">
        <v>5.7</v>
      </c>
      <c r="E403" s="21">
        <v>33.65</v>
      </c>
      <c r="F403" s="21"/>
      <c r="G403" s="21"/>
      <c r="H403" s="21"/>
      <c r="I403" s="21"/>
      <c r="J403" s="21"/>
      <c r="K403" s="21"/>
    </row>
    <row r="404" spans="1:11" ht="15.75" customHeight="1">
      <c r="A404" s="18">
        <v>46149</v>
      </c>
      <c r="B404" s="19">
        <v>46149</v>
      </c>
      <c r="C404" s="21"/>
      <c r="D404" s="21">
        <v>5.74</v>
      </c>
      <c r="E404" s="21">
        <v>34.729999999999997</v>
      </c>
      <c r="F404" s="21"/>
      <c r="G404" s="21"/>
      <c r="H404" s="21"/>
      <c r="I404" s="21"/>
      <c r="J404" s="21"/>
      <c r="K404" s="21"/>
    </row>
    <row r="405" spans="1:11" ht="15.75" customHeight="1">
      <c r="A405" s="18">
        <v>46150</v>
      </c>
      <c r="B405" s="19">
        <v>46150</v>
      </c>
      <c r="C405" s="21"/>
      <c r="D405" s="21">
        <v>5.87</v>
      </c>
      <c r="E405" s="21">
        <v>34.159999999999997</v>
      </c>
      <c r="F405" s="21"/>
      <c r="G405" s="21"/>
      <c r="H405" s="21"/>
      <c r="I405" s="21"/>
      <c r="J405" s="21"/>
      <c r="K405" s="21"/>
    </row>
    <row r="406" spans="1:11" ht="15.75" customHeight="1">
      <c r="A406" s="18">
        <v>46151</v>
      </c>
      <c r="B406" s="19">
        <v>46151</v>
      </c>
      <c r="C406" s="21"/>
      <c r="D406" s="21">
        <v>5.72</v>
      </c>
      <c r="E406" s="21">
        <v>35.75</v>
      </c>
      <c r="F406" s="21"/>
      <c r="G406" s="21"/>
      <c r="H406" s="21"/>
      <c r="I406" s="21"/>
      <c r="J406" s="21"/>
      <c r="K406" s="21"/>
    </row>
    <row r="407" spans="1:11" ht="15.75" customHeight="1">
      <c r="A407" s="18">
        <v>46152</v>
      </c>
      <c r="B407" s="19">
        <v>46152</v>
      </c>
      <c r="C407" s="21"/>
      <c r="D407" s="21">
        <v>5.88</v>
      </c>
      <c r="E407" s="21">
        <v>37.53</v>
      </c>
      <c r="F407" s="21"/>
      <c r="G407" s="21"/>
      <c r="H407" s="21"/>
      <c r="I407" s="21"/>
      <c r="J407" s="21"/>
      <c r="K407" s="21"/>
    </row>
    <row r="408" spans="1:11" ht="15.75" customHeight="1">
      <c r="A408" s="18">
        <v>46153</v>
      </c>
      <c r="B408" s="19">
        <v>46153</v>
      </c>
      <c r="C408" s="21"/>
      <c r="D408" s="24">
        <v>5.7</v>
      </c>
      <c r="E408" s="21">
        <v>35.61</v>
      </c>
      <c r="F408" s="21"/>
      <c r="G408" s="21"/>
      <c r="H408" s="21"/>
      <c r="I408" s="21"/>
      <c r="J408" s="21"/>
      <c r="K408" s="21"/>
    </row>
    <row r="409" spans="1:11" ht="15.75" customHeight="1">
      <c r="A409" s="18">
        <v>46154</v>
      </c>
      <c r="B409" s="19">
        <v>46154</v>
      </c>
      <c r="C409" s="21"/>
      <c r="D409" s="21">
        <v>5.43</v>
      </c>
      <c r="E409" s="24">
        <v>34</v>
      </c>
      <c r="F409" s="21"/>
      <c r="G409" s="21"/>
      <c r="H409" s="21"/>
      <c r="I409" s="21"/>
      <c r="J409" s="21"/>
      <c r="K409" s="21"/>
    </row>
    <row r="410" spans="1:11" ht="15.75" customHeight="1">
      <c r="A410" s="18">
        <v>46155</v>
      </c>
      <c r="B410" s="19">
        <v>46155</v>
      </c>
      <c r="C410" s="21"/>
      <c r="D410" s="21">
        <v>6.43</v>
      </c>
      <c r="E410" s="24">
        <v>35</v>
      </c>
      <c r="F410" s="21"/>
      <c r="G410" s="21"/>
      <c r="H410" s="21"/>
      <c r="I410" s="21"/>
      <c r="J410" s="21"/>
      <c r="K410" s="21"/>
    </row>
    <row r="411" spans="1:11" ht="15.75" customHeight="1">
      <c r="A411" s="18">
        <v>46156</v>
      </c>
      <c r="B411" s="19">
        <v>46156</v>
      </c>
      <c r="C411" s="21"/>
      <c r="D411" s="24">
        <v>5.7</v>
      </c>
      <c r="E411" s="24">
        <v>33.9</v>
      </c>
      <c r="F411" s="21"/>
      <c r="G411" s="21"/>
      <c r="H411" s="21"/>
      <c r="I411" s="21"/>
      <c r="J411" s="21"/>
      <c r="K411" s="21"/>
    </row>
    <row r="412" spans="1:11" ht="15.75" customHeight="1">
      <c r="A412" s="18">
        <v>46157</v>
      </c>
      <c r="B412" s="19">
        <v>46157</v>
      </c>
      <c r="C412" s="21"/>
      <c r="D412" s="21">
        <v>5.71</v>
      </c>
      <c r="E412" s="24">
        <v>32.61</v>
      </c>
      <c r="F412" s="21"/>
      <c r="G412" s="21"/>
      <c r="H412" s="21"/>
      <c r="I412" s="21"/>
      <c r="J412" s="21"/>
      <c r="K412" s="21"/>
    </row>
    <row r="413" spans="1:11" ht="15.75" customHeight="1">
      <c r="A413" s="18">
        <v>46158</v>
      </c>
      <c r="B413" s="19">
        <v>46158</v>
      </c>
      <c r="C413" s="21"/>
      <c r="D413" s="21">
        <v>5.69</v>
      </c>
      <c r="E413" s="24">
        <v>33.729999999999997</v>
      </c>
      <c r="F413" s="21"/>
      <c r="G413" s="21"/>
      <c r="H413" s="21"/>
      <c r="I413" s="21"/>
      <c r="J413" s="21"/>
      <c r="K413" s="21"/>
    </row>
    <row r="414" spans="1:11" ht="15.75" customHeight="1">
      <c r="A414" s="18">
        <v>46159</v>
      </c>
      <c r="B414" s="19">
        <v>46159</v>
      </c>
      <c r="C414" s="21"/>
      <c r="D414" s="21">
        <v>5.65</v>
      </c>
      <c r="E414" s="24">
        <v>34.51</v>
      </c>
      <c r="F414" s="21"/>
      <c r="G414" s="21"/>
      <c r="H414" s="21"/>
      <c r="I414" s="21"/>
      <c r="J414" s="21"/>
      <c r="K414" s="21"/>
    </row>
    <row r="415" spans="1:11" ht="15.75" customHeight="1">
      <c r="A415" s="18">
        <v>46160</v>
      </c>
      <c r="B415" s="19">
        <v>46160</v>
      </c>
      <c r="C415" s="21"/>
      <c r="D415" s="21">
        <v>5.58</v>
      </c>
      <c r="E415" s="24">
        <v>34.08</v>
      </c>
      <c r="F415" s="21"/>
      <c r="G415" s="21"/>
      <c r="H415" s="21"/>
      <c r="I415" s="21"/>
      <c r="J415" s="21"/>
      <c r="K415" s="21"/>
    </row>
    <row r="416" spans="1:11" ht="15.75" customHeight="1">
      <c r="A416" s="18">
        <v>46161</v>
      </c>
      <c r="B416" s="19">
        <v>46161</v>
      </c>
      <c r="C416" s="21"/>
      <c r="D416" s="21">
        <v>2.92</v>
      </c>
      <c r="E416" s="24">
        <v>33.33</v>
      </c>
      <c r="F416" s="21"/>
      <c r="G416" s="21"/>
      <c r="H416" s="21"/>
      <c r="I416" s="21"/>
      <c r="J416" s="21"/>
      <c r="K416" s="21"/>
    </row>
    <row r="417" spans="1:11" ht="15.75" customHeight="1">
      <c r="A417" s="18">
        <v>46162</v>
      </c>
      <c r="B417" s="19">
        <v>46162</v>
      </c>
      <c r="C417" s="21"/>
      <c r="D417" s="21">
        <v>5.72</v>
      </c>
      <c r="E417" s="24">
        <v>32.72</v>
      </c>
      <c r="F417" s="21"/>
      <c r="G417" s="21"/>
      <c r="H417" s="21"/>
      <c r="I417" s="21"/>
      <c r="J417" s="21"/>
      <c r="K417" s="21"/>
    </row>
    <row r="418" spans="1:11" ht="15.75" customHeight="1">
      <c r="A418" s="18">
        <v>46163</v>
      </c>
      <c r="B418" s="19">
        <v>46163</v>
      </c>
      <c r="C418" s="21"/>
      <c r="D418" s="21">
        <v>5.58</v>
      </c>
      <c r="E418" s="24">
        <v>34.08</v>
      </c>
      <c r="F418" s="21"/>
      <c r="G418" s="21"/>
      <c r="H418" s="21"/>
      <c r="I418" s="21"/>
      <c r="J418" s="21"/>
      <c r="K418" s="21"/>
    </row>
    <row r="419" spans="1:11" ht="15.75" customHeight="1">
      <c r="A419" s="18">
        <v>46164</v>
      </c>
      <c r="B419" s="19">
        <v>46164</v>
      </c>
      <c r="C419" s="21"/>
      <c r="D419" s="21">
        <v>5.66</v>
      </c>
      <c r="E419" s="24">
        <v>34.479999999999997</v>
      </c>
      <c r="F419" s="21"/>
      <c r="G419" s="21"/>
      <c r="H419" s="21"/>
      <c r="I419" s="21"/>
      <c r="J419" s="21"/>
      <c r="K419" s="21"/>
    </row>
    <row r="420" spans="1:11" ht="15.75" customHeight="1">
      <c r="A420" s="18">
        <v>46165</v>
      </c>
      <c r="B420" s="19">
        <v>46165</v>
      </c>
      <c r="C420" s="21"/>
      <c r="D420" s="21">
        <v>5.52</v>
      </c>
      <c r="E420" s="24">
        <v>34.04</v>
      </c>
      <c r="F420" s="21"/>
      <c r="G420" s="21"/>
      <c r="H420" s="21"/>
      <c r="I420" s="21"/>
      <c r="J420" s="21"/>
      <c r="K420" s="21"/>
    </row>
    <row r="421" spans="1:11" ht="15.75" customHeight="1">
      <c r="A421" s="18">
        <v>46166</v>
      </c>
      <c r="B421" s="19">
        <v>46166</v>
      </c>
      <c r="C421" s="21"/>
      <c r="D421" s="21">
        <v>4.8099999999999996</v>
      </c>
      <c r="E421" s="24">
        <v>33.630000000000003</v>
      </c>
      <c r="F421" s="21"/>
      <c r="G421" s="21"/>
      <c r="H421" s="21"/>
      <c r="I421" s="21"/>
      <c r="J421" s="21"/>
      <c r="K421" s="21"/>
    </row>
    <row r="422" spans="1:11" ht="15.75" customHeight="1">
      <c r="A422" s="18">
        <v>46167</v>
      </c>
      <c r="B422" s="19">
        <v>46167</v>
      </c>
      <c r="C422" s="21"/>
      <c r="D422" s="21">
        <v>5.29</v>
      </c>
      <c r="E422" s="24">
        <v>33.24</v>
      </c>
      <c r="F422" s="21"/>
      <c r="G422" s="21"/>
      <c r="H422" s="21"/>
      <c r="I422" s="21"/>
      <c r="J422" s="21"/>
      <c r="K422" s="21"/>
    </row>
    <row r="423" spans="1:11" ht="15.75" customHeight="1">
      <c r="A423" s="18">
        <v>46168</v>
      </c>
      <c r="B423" s="19">
        <v>46168</v>
      </c>
      <c r="C423" s="21"/>
      <c r="D423" s="24">
        <v>5.8</v>
      </c>
      <c r="E423" s="24">
        <v>32.74</v>
      </c>
      <c r="F423" s="21"/>
      <c r="G423" s="21"/>
      <c r="H423" s="21"/>
      <c r="I423" s="21"/>
      <c r="J423" s="21"/>
      <c r="K423" s="21"/>
    </row>
    <row r="424" spans="1:11" ht="15.75" customHeight="1">
      <c r="A424" s="18">
        <v>46169</v>
      </c>
      <c r="B424" s="19">
        <v>46169</v>
      </c>
      <c r="C424" s="21"/>
      <c r="D424" s="21">
        <v>5.67</v>
      </c>
      <c r="E424" s="24">
        <v>33.42</v>
      </c>
      <c r="F424" s="21"/>
      <c r="G424" s="21"/>
      <c r="H424" s="21"/>
      <c r="I424" s="21"/>
      <c r="J424" s="21"/>
      <c r="K424" s="21"/>
    </row>
    <row r="425" spans="1:11" ht="15.75" customHeight="1">
      <c r="A425" s="18">
        <v>46170</v>
      </c>
      <c r="B425" s="19">
        <v>46170</v>
      </c>
      <c r="C425" s="21"/>
      <c r="D425" s="21">
        <v>5.78</v>
      </c>
      <c r="E425" s="24">
        <v>32.92</v>
      </c>
      <c r="F425" s="21"/>
      <c r="G425" s="21"/>
      <c r="H425" s="21"/>
      <c r="I425" s="21"/>
      <c r="J425" s="21"/>
      <c r="K425" s="21"/>
    </row>
    <row r="426" spans="1:11" ht="15.75" customHeight="1">
      <c r="A426" s="18">
        <v>46171</v>
      </c>
      <c r="B426" s="19">
        <v>46171</v>
      </c>
      <c r="C426" s="21"/>
      <c r="D426" s="21">
        <v>5.14</v>
      </c>
      <c r="E426" s="24">
        <v>32.479999999999997</v>
      </c>
      <c r="F426" s="21"/>
      <c r="G426" s="21"/>
      <c r="H426" s="21"/>
      <c r="I426" s="21"/>
      <c r="J426" s="21"/>
      <c r="K426" s="21"/>
    </row>
    <row r="427" spans="1:11" ht="15.75" customHeight="1">
      <c r="A427" s="18">
        <v>46172</v>
      </c>
      <c r="B427" s="19">
        <v>46172</v>
      </c>
      <c r="C427" s="21"/>
      <c r="D427" s="24">
        <v>5.0999999999999996</v>
      </c>
      <c r="E427" s="24">
        <v>32.71</v>
      </c>
      <c r="F427" s="21"/>
      <c r="G427" s="21"/>
      <c r="H427" s="21"/>
      <c r="I427" s="21"/>
      <c r="J427" s="21"/>
      <c r="K427" s="21"/>
    </row>
    <row r="428" spans="1:11" ht="15.75" customHeight="1">
      <c r="A428" s="18">
        <v>46173</v>
      </c>
      <c r="B428" s="19">
        <v>46173</v>
      </c>
      <c r="C428" s="21"/>
      <c r="D428" s="24">
        <v>5.2</v>
      </c>
      <c r="E428" s="24">
        <v>32.86</v>
      </c>
      <c r="F428" s="21"/>
      <c r="G428" s="21"/>
      <c r="H428" s="21"/>
      <c r="I428" s="21"/>
      <c r="J428" s="21"/>
      <c r="K428" s="21"/>
    </row>
    <row r="429" spans="1:11" ht="15.75" customHeight="1">
      <c r="A429" s="18">
        <v>46174</v>
      </c>
      <c r="B429" s="19">
        <v>46174</v>
      </c>
      <c r="C429" s="21"/>
      <c r="D429" s="21">
        <v>4.67</v>
      </c>
      <c r="E429" s="24">
        <v>32.840000000000003</v>
      </c>
      <c r="F429" s="21"/>
      <c r="G429" s="21"/>
      <c r="H429" s="21"/>
      <c r="I429" s="21"/>
      <c r="J429" s="21"/>
      <c r="K429" s="21"/>
    </row>
    <row r="430" spans="1:11" ht="15.75" customHeight="1">
      <c r="A430" s="18">
        <v>46175</v>
      </c>
      <c r="B430" s="19">
        <v>46175</v>
      </c>
      <c r="C430" s="21"/>
      <c r="D430" s="21">
        <v>5.49</v>
      </c>
      <c r="E430" s="24">
        <v>33.56</v>
      </c>
      <c r="F430" s="21"/>
      <c r="G430" s="21"/>
      <c r="H430" s="21"/>
      <c r="I430" s="21"/>
      <c r="J430" s="21"/>
      <c r="K430" s="21"/>
    </row>
    <row r="431" spans="1:11" ht="15.75" customHeight="1">
      <c r="A431" s="25">
        <v>46174</v>
      </c>
      <c r="B431" s="26">
        <v>46176</v>
      </c>
    </row>
    <row r="432" spans="1:11" ht="15.75" customHeight="1">
      <c r="A432" s="25">
        <v>46174</v>
      </c>
      <c r="B432" s="26">
        <v>46177</v>
      </c>
      <c r="D432">
        <v>4.79</v>
      </c>
      <c r="E432">
        <v>33.119999999999997</v>
      </c>
    </row>
    <row r="433" spans="1:5" ht="15.75" customHeight="1">
      <c r="A433" s="25">
        <v>46174</v>
      </c>
      <c r="B433" s="26">
        <v>46178</v>
      </c>
      <c r="D433">
        <v>4.71</v>
      </c>
      <c r="E433">
        <v>33.03</v>
      </c>
    </row>
    <row r="434" spans="1:5" ht="15.75" customHeight="1"/>
    <row r="435" spans="1:5" ht="15.75" customHeight="1"/>
    <row r="436" spans="1:5" ht="15.75" customHeight="1"/>
    <row r="437" spans="1:5" ht="15.75" customHeight="1"/>
    <row r="438" spans="1:5" ht="15.75" customHeight="1"/>
    <row r="439" spans="1:5" ht="15.75" customHeight="1"/>
    <row r="440" spans="1:5" ht="15.75" customHeight="1"/>
    <row r="441" spans="1:5" ht="15.75" customHeight="1"/>
    <row r="442" spans="1:5" ht="15.75" customHeight="1"/>
    <row r="443" spans="1:5" ht="15.75" customHeight="1"/>
    <row r="444" spans="1:5" ht="15.75" customHeight="1"/>
    <row r="445" spans="1:5" ht="15.75" customHeight="1"/>
    <row r="446" spans="1:5" ht="15.75" customHeight="1"/>
    <row r="447" spans="1:5" ht="15.75" customHeight="1"/>
    <row r="448" spans="1:5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fitToWidth="0" fitToHeight="0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1095"/>
  <sheetViews>
    <sheetView tabSelected="1" workbookViewId="0">
      <pane ySplit="2" topLeftCell="A326" activePane="bottomLeft" state="frozen"/>
      <selection pane="bottomLeft" activeCell="G352" sqref="G352"/>
    </sheetView>
  </sheetViews>
  <sheetFormatPr defaultColWidth="9" defaultRowHeight="12.75"/>
  <cols>
    <col min="1" max="1" width="9" style="13"/>
    <col min="2" max="4" width="9" style="14"/>
    <col min="5" max="5" width="9" style="13"/>
    <col min="6" max="6" width="10.875" style="13" customWidth="1"/>
    <col min="7" max="15" width="9" style="13"/>
    <col min="16" max="16" width="12.625" style="13" customWidth="1"/>
    <col min="17" max="16384" width="9" style="13"/>
  </cols>
  <sheetData>
    <row r="1" spans="1:18" ht="36" customHeight="1"/>
    <row r="2" spans="1:18" ht="38.25">
      <c r="A2" s="1" t="s">
        <v>1</v>
      </c>
      <c r="B2" s="1" t="s">
        <v>241</v>
      </c>
      <c r="C2" s="1" t="s">
        <v>242</v>
      </c>
      <c r="D2" s="1" t="s">
        <v>243</v>
      </c>
      <c r="E2" s="1" t="s">
        <v>244</v>
      </c>
      <c r="F2" s="1" t="s">
        <v>245</v>
      </c>
      <c r="G2" s="1" t="s">
        <v>246</v>
      </c>
      <c r="H2" s="1" t="s">
        <v>247</v>
      </c>
      <c r="I2" s="1" t="s">
        <v>248</v>
      </c>
      <c r="J2" s="1" t="s">
        <v>249</v>
      </c>
      <c r="K2" s="1" t="s">
        <v>250</v>
      </c>
      <c r="L2" s="1" t="s">
        <v>251</v>
      </c>
      <c r="M2" s="1" t="s">
        <v>252</v>
      </c>
      <c r="N2" s="1" t="s">
        <v>253</v>
      </c>
      <c r="O2" s="1" t="s">
        <v>254</v>
      </c>
      <c r="P2" s="1" t="s">
        <v>255</v>
      </c>
      <c r="Q2" s="1" t="s">
        <v>256</v>
      </c>
      <c r="R2" s="1" t="s">
        <v>257</v>
      </c>
    </row>
    <row r="3" spans="1:18" ht="14.25">
      <c r="A3" s="15">
        <v>45839</v>
      </c>
      <c r="B3" s="3">
        <f>Data_Entry!T94</f>
        <v>8220</v>
      </c>
      <c r="C3" s="3">
        <v>0</v>
      </c>
      <c r="D3" s="4">
        <f>Data_Entry!V94</f>
        <v>3.07</v>
      </c>
      <c r="E3" s="5">
        <f t="shared" ref="E3:E67" si="0">B3/(24*J3)</f>
        <v>0.14205723766072201</v>
      </c>
      <c r="F3" s="6">
        <v>0</v>
      </c>
      <c r="G3" s="6">
        <v>0</v>
      </c>
      <c r="H3" s="7">
        <f t="shared" ref="H3:H67" si="1">(G3-F3)*24*60</f>
        <v>0</v>
      </c>
      <c r="I3" s="7">
        <f t="shared" ref="I3:I67" si="2">H3/60</f>
        <v>0</v>
      </c>
      <c r="J3" s="8">
        <v>2411</v>
      </c>
      <c r="K3" s="9"/>
      <c r="L3" s="8">
        <f t="shared" ref="L3:L67" si="3">J3*12</f>
        <v>28932</v>
      </c>
      <c r="M3" s="7">
        <f t="shared" ref="M3:M67" si="4">K3*I3</f>
        <v>0</v>
      </c>
      <c r="N3" s="10">
        <f t="shared" ref="N3:N67" si="5">(L3-M3)/L3</f>
        <v>1</v>
      </c>
      <c r="O3" s="11">
        <f t="shared" ref="O3:O67" si="6">E3/N3</f>
        <v>0.14205723766072201</v>
      </c>
      <c r="P3" s="11"/>
      <c r="Q3" s="8">
        <f t="shared" ref="Q3:Q67" si="7">O3*J3*24</f>
        <v>8220</v>
      </c>
      <c r="R3" s="12">
        <f t="shared" ref="R3:R67" si="8">Q3-B3</f>
        <v>0</v>
      </c>
    </row>
    <row r="4" spans="1:18" ht="14.25">
      <c r="A4" s="15">
        <v>45840</v>
      </c>
      <c r="B4" s="3">
        <f>Data_Entry!T95</f>
        <v>6719.99999999997</v>
      </c>
      <c r="C4" s="3">
        <v>0</v>
      </c>
      <c r="D4" s="4">
        <f>Data_Entry!V95</f>
        <v>2.41</v>
      </c>
      <c r="E4" s="5">
        <f t="shared" si="0"/>
        <v>0.116134384072998</v>
      </c>
      <c r="F4" s="6">
        <v>0</v>
      </c>
      <c r="G4" s="6">
        <v>0</v>
      </c>
      <c r="H4" s="7">
        <f t="shared" si="1"/>
        <v>0</v>
      </c>
      <c r="I4" s="7">
        <f t="shared" si="2"/>
        <v>0</v>
      </c>
      <c r="J4" s="8">
        <v>2411</v>
      </c>
      <c r="K4" s="9"/>
      <c r="L4" s="8">
        <f t="shared" si="3"/>
        <v>28932</v>
      </c>
      <c r="M4" s="7">
        <f t="shared" si="4"/>
        <v>0</v>
      </c>
      <c r="N4" s="10">
        <f t="shared" si="5"/>
        <v>1</v>
      </c>
      <c r="O4" s="11">
        <f t="shared" si="6"/>
        <v>0.116134384072998</v>
      </c>
      <c r="P4" s="11"/>
      <c r="Q4" s="8">
        <f t="shared" si="7"/>
        <v>6719.99999999997</v>
      </c>
      <c r="R4" s="12">
        <f t="shared" si="8"/>
        <v>0</v>
      </c>
    </row>
    <row r="5" spans="1:18" ht="14.25">
      <c r="A5" s="15">
        <v>45841</v>
      </c>
      <c r="B5" s="3">
        <f>Data_Entry!T96</f>
        <v>1889.99999999996</v>
      </c>
      <c r="C5" s="3">
        <v>0</v>
      </c>
      <c r="D5" s="4">
        <f>Data_Entry!V96</f>
        <v>0.41</v>
      </c>
      <c r="E5" s="5">
        <f t="shared" si="0"/>
        <v>3.2662795520530197E-2</v>
      </c>
      <c r="F5" s="6">
        <v>0</v>
      </c>
      <c r="G5" s="6">
        <v>0</v>
      </c>
      <c r="H5" s="7">
        <f t="shared" si="1"/>
        <v>0</v>
      </c>
      <c r="I5" s="7">
        <f t="shared" si="2"/>
        <v>0</v>
      </c>
      <c r="J5" s="8">
        <v>2411</v>
      </c>
      <c r="K5" s="9"/>
      <c r="L5" s="8">
        <f t="shared" si="3"/>
        <v>28932</v>
      </c>
      <c r="M5" s="7">
        <f t="shared" si="4"/>
        <v>0</v>
      </c>
      <c r="N5" s="10">
        <f t="shared" si="5"/>
        <v>1</v>
      </c>
      <c r="O5" s="11">
        <f t="shared" si="6"/>
        <v>3.2662795520530197E-2</v>
      </c>
      <c r="P5" s="11"/>
      <c r="Q5" s="8">
        <f t="shared" si="7"/>
        <v>1889.99999999996</v>
      </c>
      <c r="R5" s="12">
        <f t="shared" si="8"/>
        <v>0</v>
      </c>
    </row>
    <row r="6" spans="1:18" ht="14.25">
      <c r="A6" s="15">
        <v>45842</v>
      </c>
      <c r="B6" s="3">
        <f>Data_Entry!T97</f>
        <v>5520.00000000007</v>
      </c>
      <c r="C6" s="3">
        <v>0</v>
      </c>
      <c r="D6" s="4">
        <f>Data_Entry!V97</f>
        <v>0.86</v>
      </c>
      <c r="E6" s="5">
        <f t="shared" si="0"/>
        <v>9.5396101202821604E-2</v>
      </c>
      <c r="F6" s="6">
        <v>0</v>
      </c>
      <c r="G6" s="6">
        <v>0</v>
      </c>
      <c r="H6" s="7">
        <f t="shared" si="1"/>
        <v>0</v>
      </c>
      <c r="I6" s="7">
        <f t="shared" si="2"/>
        <v>0</v>
      </c>
      <c r="J6" s="8">
        <v>2411</v>
      </c>
      <c r="K6" s="9"/>
      <c r="L6" s="8">
        <f t="shared" si="3"/>
        <v>28932</v>
      </c>
      <c r="M6" s="7">
        <f t="shared" si="4"/>
        <v>0</v>
      </c>
      <c r="N6" s="10">
        <f t="shared" si="5"/>
        <v>1</v>
      </c>
      <c r="O6" s="11">
        <f t="shared" si="6"/>
        <v>9.5396101202821604E-2</v>
      </c>
      <c r="P6" s="11"/>
      <c r="Q6" s="8">
        <f t="shared" si="7"/>
        <v>5520.00000000007</v>
      </c>
      <c r="R6" s="12">
        <f t="shared" si="8"/>
        <v>0</v>
      </c>
    </row>
    <row r="7" spans="1:18" ht="14.25">
      <c r="A7" s="15">
        <v>45843</v>
      </c>
      <c r="B7" s="3">
        <f>Data_Entry!T98</f>
        <v>5249.99999999997</v>
      </c>
      <c r="C7" s="3">
        <v>0</v>
      </c>
      <c r="D7" s="4">
        <f>Data_Entry!V98</f>
        <v>1.08</v>
      </c>
      <c r="E7" s="5">
        <f t="shared" si="0"/>
        <v>9.0729987557029795E-2</v>
      </c>
      <c r="F7" s="6">
        <v>0</v>
      </c>
      <c r="G7" s="6">
        <v>0</v>
      </c>
      <c r="H7" s="7">
        <f t="shared" si="1"/>
        <v>0</v>
      </c>
      <c r="I7" s="7">
        <f t="shared" si="2"/>
        <v>0</v>
      </c>
      <c r="J7" s="8">
        <v>2411</v>
      </c>
      <c r="K7" s="9"/>
      <c r="L7" s="8">
        <f t="shared" si="3"/>
        <v>28932</v>
      </c>
      <c r="M7" s="7">
        <f t="shared" si="4"/>
        <v>0</v>
      </c>
      <c r="N7" s="10">
        <f t="shared" si="5"/>
        <v>1</v>
      </c>
      <c r="O7" s="11">
        <f t="shared" si="6"/>
        <v>9.0729987557029795E-2</v>
      </c>
      <c r="P7" s="16"/>
      <c r="Q7" s="8">
        <f t="shared" si="7"/>
        <v>5249.99999999997</v>
      </c>
      <c r="R7" s="12">
        <f t="shared" si="8"/>
        <v>0</v>
      </c>
    </row>
    <row r="8" spans="1:18" ht="14.25">
      <c r="A8" s="15">
        <v>45844</v>
      </c>
      <c r="B8" s="3">
        <f>Data_Entry!T99</f>
        <v>6690.00000000003</v>
      </c>
      <c r="C8" s="3">
        <v>0</v>
      </c>
      <c r="D8" s="4">
        <f>Data_Entry!V99</f>
        <v>0.48</v>
      </c>
      <c r="E8" s="5">
        <f t="shared" si="0"/>
        <v>0.115615927001245</v>
      </c>
      <c r="F8" s="6">
        <v>0</v>
      </c>
      <c r="G8" s="6">
        <v>0</v>
      </c>
      <c r="H8" s="7">
        <f t="shared" si="1"/>
        <v>0</v>
      </c>
      <c r="I8" s="7">
        <f t="shared" si="2"/>
        <v>0</v>
      </c>
      <c r="J8" s="8">
        <v>2411</v>
      </c>
      <c r="K8" s="9"/>
      <c r="L8" s="8">
        <f t="shared" si="3"/>
        <v>28932</v>
      </c>
      <c r="M8" s="7">
        <f t="shared" si="4"/>
        <v>0</v>
      </c>
      <c r="N8" s="10">
        <f t="shared" si="5"/>
        <v>1</v>
      </c>
      <c r="O8" s="11">
        <f t="shared" si="6"/>
        <v>0.115615927001245</v>
      </c>
      <c r="P8" s="11"/>
      <c r="Q8" s="8">
        <f t="shared" si="7"/>
        <v>6690.00000000003</v>
      </c>
      <c r="R8" s="12">
        <f t="shared" si="8"/>
        <v>0</v>
      </c>
    </row>
    <row r="9" spans="1:18" ht="14.25">
      <c r="A9" s="15">
        <v>45845</v>
      </c>
      <c r="B9" s="3">
        <f>Data_Entry!T100</f>
        <v>3720</v>
      </c>
      <c r="C9" s="3">
        <v>0</v>
      </c>
      <c r="D9" s="4">
        <f>Data_Entry!V100</f>
        <v>0.27</v>
      </c>
      <c r="E9" s="5">
        <f t="shared" si="0"/>
        <v>6.4288676897552896E-2</v>
      </c>
      <c r="F9" s="6">
        <v>0</v>
      </c>
      <c r="G9" s="6">
        <v>0</v>
      </c>
      <c r="H9" s="7">
        <f t="shared" si="1"/>
        <v>0</v>
      </c>
      <c r="I9" s="7">
        <f t="shared" si="2"/>
        <v>0</v>
      </c>
      <c r="J9" s="8">
        <v>2411</v>
      </c>
      <c r="K9" s="9"/>
      <c r="L9" s="8">
        <f t="shared" si="3"/>
        <v>28932</v>
      </c>
      <c r="M9" s="7">
        <f t="shared" si="4"/>
        <v>0</v>
      </c>
      <c r="N9" s="10">
        <f t="shared" si="5"/>
        <v>1</v>
      </c>
      <c r="O9" s="11">
        <f t="shared" si="6"/>
        <v>6.4288676897552896E-2</v>
      </c>
      <c r="P9" s="11"/>
      <c r="Q9" s="8">
        <f t="shared" si="7"/>
        <v>3720</v>
      </c>
      <c r="R9" s="12">
        <f t="shared" si="8"/>
        <v>0</v>
      </c>
    </row>
    <row r="10" spans="1:18" ht="14.25">
      <c r="A10" s="15">
        <v>45846</v>
      </c>
      <c r="B10" s="3">
        <f>Data_Entry!T101</f>
        <v>7349.99999999991</v>
      </c>
      <c r="C10" s="3">
        <v>0</v>
      </c>
      <c r="D10" s="4">
        <f>Data_Entry!V101</f>
        <v>0.36</v>
      </c>
      <c r="E10" s="5">
        <f t="shared" si="0"/>
        <v>0.12702198257984099</v>
      </c>
      <c r="F10" s="6">
        <v>0</v>
      </c>
      <c r="G10" s="6">
        <v>0</v>
      </c>
      <c r="H10" s="7">
        <f t="shared" si="1"/>
        <v>0</v>
      </c>
      <c r="I10" s="7">
        <f t="shared" si="2"/>
        <v>0</v>
      </c>
      <c r="J10" s="8">
        <v>2411</v>
      </c>
      <c r="K10" s="9"/>
      <c r="L10" s="8">
        <f t="shared" si="3"/>
        <v>28932</v>
      </c>
      <c r="M10" s="7">
        <f t="shared" si="4"/>
        <v>0</v>
      </c>
      <c r="N10" s="10">
        <f t="shared" si="5"/>
        <v>1</v>
      </c>
      <c r="O10" s="11">
        <f t="shared" si="6"/>
        <v>0.12702198257984099</v>
      </c>
      <c r="P10" s="11"/>
      <c r="Q10" s="8">
        <f t="shared" si="7"/>
        <v>7349.99999999991</v>
      </c>
      <c r="R10" s="12">
        <f t="shared" si="8"/>
        <v>0</v>
      </c>
    </row>
    <row r="11" spans="1:18" ht="14.25">
      <c r="A11" s="15">
        <v>45847</v>
      </c>
      <c r="B11" s="3">
        <f>Data_Entry!T102</f>
        <v>10980</v>
      </c>
      <c r="C11" s="3">
        <v>0</v>
      </c>
      <c r="D11" s="4">
        <f>Data_Entry!V102</f>
        <v>0</v>
      </c>
      <c r="E11" s="5">
        <f t="shared" si="0"/>
        <v>0.189755288262133</v>
      </c>
      <c r="F11" s="6">
        <v>0</v>
      </c>
      <c r="G11" s="6">
        <v>0</v>
      </c>
      <c r="H11" s="7">
        <f t="shared" si="1"/>
        <v>0</v>
      </c>
      <c r="I11" s="7">
        <f t="shared" si="2"/>
        <v>0</v>
      </c>
      <c r="J11" s="8">
        <v>2411</v>
      </c>
      <c r="K11" s="9"/>
      <c r="L11" s="8">
        <f t="shared" si="3"/>
        <v>28932</v>
      </c>
      <c r="M11" s="7">
        <f t="shared" si="4"/>
        <v>0</v>
      </c>
      <c r="N11" s="10">
        <f t="shared" si="5"/>
        <v>1</v>
      </c>
      <c r="O11" s="11">
        <f t="shared" si="6"/>
        <v>0.189755288262133</v>
      </c>
      <c r="P11" s="11"/>
      <c r="Q11" s="8">
        <f t="shared" si="7"/>
        <v>10980</v>
      </c>
      <c r="R11" s="12">
        <f t="shared" si="8"/>
        <v>0</v>
      </c>
    </row>
    <row r="12" spans="1:18" ht="14.25">
      <c r="A12" s="15">
        <v>45848</v>
      </c>
      <c r="B12" s="3">
        <f>Data_Entry!T103</f>
        <v>9870.0000000000291</v>
      </c>
      <c r="C12" s="3">
        <v>0</v>
      </c>
      <c r="D12" s="4">
        <f>Data_Entry!V103</f>
        <v>0</v>
      </c>
      <c r="E12" s="5">
        <f t="shared" si="0"/>
        <v>0.170572376607218</v>
      </c>
      <c r="F12" s="6">
        <v>0</v>
      </c>
      <c r="G12" s="6">
        <v>0</v>
      </c>
      <c r="H12" s="7">
        <f t="shared" si="1"/>
        <v>0</v>
      </c>
      <c r="I12" s="7">
        <f t="shared" si="2"/>
        <v>0</v>
      </c>
      <c r="J12" s="8">
        <v>2411</v>
      </c>
      <c r="K12" s="9"/>
      <c r="L12" s="8">
        <f t="shared" si="3"/>
        <v>28932</v>
      </c>
      <c r="M12" s="7">
        <f t="shared" si="4"/>
        <v>0</v>
      </c>
      <c r="N12" s="10">
        <f t="shared" si="5"/>
        <v>1</v>
      </c>
      <c r="O12" s="11">
        <f t="shared" si="6"/>
        <v>0.170572376607218</v>
      </c>
      <c r="P12" s="11"/>
      <c r="Q12" s="8">
        <f t="shared" si="7"/>
        <v>9870.00000000004</v>
      </c>
      <c r="R12" s="12">
        <f t="shared" si="8"/>
        <v>0</v>
      </c>
    </row>
    <row r="13" spans="1:18" ht="14.25">
      <c r="A13" s="15">
        <v>45849</v>
      </c>
      <c r="B13" s="3">
        <f>Data_Entry!T104</f>
        <v>6809.99999999992</v>
      </c>
      <c r="C13" s="3">
        <v>0</v>
      </c>
      <c r="D13" s="4">
        <f>Data_Entry!V104</f>
        <v>1.61</v>
      </c>
      <c r="E13" s="5">
        <f t="shared" si="0"/>
        <v>0.11768975528826101</v>
      </c>
      <c r="F13" s="6">
        <v>0</v>
      </c>
      <c r="G13" s="6">
        <v>0</v>
      </c>
      <c r="H13" s="7">
        <f t="shared" si="1"/>
        <v>0</v>
      </c>
      <c r="I13" s="7">
        <f t="shared" si="2"/>
        <v>0</v>
      </c>
      <c r="J13" s="8">
        <v>2411</v>
      </c>
      <c r="K13" s="9"/>
      <c r="L13" s="8">
        <f t="shared" si="3"/>
        <v>28932</v>
      </c>
      <c r="M13" s="7">
        <f t="shared" si="4"/>
        <v>0</v>
      </c>
      <c r="N13" s="10">
        <f t="shared" si="5"/>
        <v>1</v>
      </c>
      <c r="O13" s="11">
        <f t="shared" si="6"/>
        <v>0.11768975528826101</v>
      </c>
      <c r="P13" s="11"/>
      <c r="Q13" s="8">
        <f t="shared" si="7"/>
        <v>6809.99999999992</v>
      </c>
      <c r="R13" s="12">
        <f t="shared" si="8"/>
        <v>0</v>
      </c>
    </row>
    <row r="14" spans="1:18" ht="14.25">
      <c r="A14" s="15">
        <v>45850</v>
      </c>
      <c r="B14" s="3">
        <f>Data_Entry!T105</f>
        <v>8340.00000000006</v>
      </c>
      <c r="C14" s="3">
        <v>0</v>
      </c>
      <c r="D14" s="4">
        <f>Data_Entry!V105</f>
        <v>3.27</v>
      </c>
      <c r="E14" s="5">
        <f t="shared" si="0"/>
        <v>0.144131065947741</v>
      </c>
      <c r="F14" s="6">
        <v>0</v>
      </c>
      <c r="G14" s="6">
        <v>0</v>
      </c>
      <c r="H14" s="7">
        <f t="shared" si="1"/>
        <v>0</v>
      </c>
      <c r="I14" s="7">
        <f t="shared" si="2"/>
        <v>0</v>
      </c>
      <c r="J14" s="8">
        <v>2411</v>
      </c>
      <c r="K14" s="9"/>
      <c r="L14" s="8">
        <f t="shared" si="3"/>
        <v>28932</v>
      </c>
      <c r="M14" s="7">
        <f t="shared" si="4"/>
        <v>0</v>
      </c>
      <c r="N14" s="10">
        <f t="shared" si="5"/>
        <v>1</v>
      </c>
      <c r="O14" s="11">
        <f t="shared" si="6"/>
        <v>0.144131065947741</v>
      </c>
      <c r="P14" s="11"/>
      <c r="Q14" s="8">
        <f t="shared" si="7"/>
        <v>8340.00000000006</v>
      </c>
      <c r="R14" s="12">
        <f t="shared" si="8"/>
        <v>0</v>
      </c>
    </row>
    <row r="15" spans="1:18" ht="14.25">
      <c r="A15" s="15">
        <v>45851</v>
      </c>
      <c r="B15" s="3">
        <f>Data_Entry!T106</f>
        <v>11130.0000000001</v>
      </c>
      <c r="C15" s="3">
        <v>0</v>
      </c>
      <c r="D15" s="4">
        <f>Data_Entry!V106</f>
        <v>3.36</v>
      </c>
      <c r="E15" s="5">
        <f t="shared" si="0"/>
        <v>0.19234757362090599</v>
      </c>
      <c r="F15" s="6">
        <v>0</v>
      </c>
      <c r="G15" s="6">
        <v>0</v>
      </c>
      <c r="H15" s="7">
        <f t="shared" si="1"/>
        <v>0</v>
      </c>
      <c r="I15" s="7">
        <f t="shared" si="2"/>
        <v>0</v>
      </c>
      <c r="J15" s="8">
        <v>2411</v>
      </c>
      <c r="K15" s="9"/>
      <c r="L15" s="8">
        <f t="shared" si="3"/>
        <v>28932</v>
      </c>
      <c r="M15" s="7">
        <f t="shared" si="4"/>
        <v>0</v>
      </c>
      <c r="N15" s="10">
        <f t="shared" si="5"/>
        <v>1</v>
      </c>
      <c r="O15" s="11">
        <f t="shared" si="6"/>
        <v>0.19234757362090599</v>
      </c>
      <c r="P15" s="11"/>
      <c r="Q15" s="8">
        <f t="shared" si="7"/>
        <v>11130.0000000001</v>
      </c>
      <c r="R15" s="12">
        <f t="shared" si="8"/>
        <v>0</v>
      </c>
    </row>
    <row r="16" spans="1:18" ht="14.25">
      <c r="A16" s="15">
        <v>45852</v>
      </c>
      <c r="B16" s="3">
        <f>Data_Entry!T107</f>
        <v>10049.9999999999</v>
      </c>
      <c r="C16" s="3">
        <v>0</v>
      </c>
      <c r="D16" s="4">
        <f>Data_Entry!V107</f>
        <v>3.38</v>
      </c>
      <c r="E16" s="5">
        <f t="shared" si="0"/>
        <v>0.173683119037741</v>
      </c>
      <c r="F16" s="6">
        <v>0</v>
      </c>
      <c r="G16" s="6">
        <v>0</v>
      </c>
      <c r="H16" s="7">
        <f t="shared" si="1"/>
        <v>0</v>
      </c>
      <c r="I16" s="7">
        <f t="shared" si="2"/>
        <v>0</v>
      </c>
      <c r="J16" s="8">
        <v>2411</v>
      </c>
      <c r="K16" s="9"/>
      <c r="L16" s="8">
        <f t="shared" si="3"/>
        <v>28932</v>
      </c>
      <c r="M16" s="7">
        <f t="shared" si="4"/>
        <v>0</v>
      </c>
      <c r="N16" s="10">
        <f t="shared" si="5"/>
        <v>1</v>
      </c>
      <c r="O16" s="11">
        <f t="shared" si="6"/>
        <v>0.173683119037741</v>
      </c>
      <c r="P16" s="11"/>
      <c r="Q16" s="8">
        <f t="shared" si="7"/>
        <v>10049.9999999999</v>
      </c>
      <c r="R16" s="12">
        <f t="shared" si="8"/>
        <v>0</v>
      </c>
    </row>
    <row r="17" spans="1:18" ht="14.25">
      <c r="A17" s="15">
        <v>45853</v>
      </c>
      <c r="B17" s="3">
        <f>Data_Entry!T108</f>
        <v>10080</v>
      </c>
      <c r="C17" s="3">
        <v>0</v>
      </c>
      <c r="D17" s="4">
        <f>Data_Entry!V108</f>
        <v>3.31</v>
      </c>
      <c r="E17" s="5">
        <f t="shared" si="0"/>
        <v>0.17420157610949799</v>
      </c>
      <c r="F17" s="6">
        <v>0</v>
      </c>
      <c r="G17" s="6">
        <v>0</v>
      </c>
      <c r="H17" s="7">
        <f t="shared" si="1"/>
        <v>0</v>
      </c>
      <c r="I17" s="7">
        <f t="shared" si="2"/>
        <v>0</v>
      </c>
      <c r="J17" s="8">
        <v>2411</v>
      </c>
      <c r="K17" s="9"/>
      <c r="L17" s="8">
        <f t="shared" si="3"/>
        <v>28932</v>
      </c>
      <c r="M17" s="7">
        <f t="shared" si="4"/>
        <v>0</v>
      </c>
      <c r="N17" s="10">
        <f t="shared" si="5"/>
        <v>1</v>
      </c>
      <c r="O17" s="11">
        <f t="shared" si="6"/>
        <v>0.17420157610949799</v>
      </c>
      <c r="P17" s="11"/>
      <c r="Q17" s="8">
        <f t="shared" si="7"/>
        <v>10080</v>
      </c>
      <c r="R17" s="12">
        <f t="shared" si="8"/>
        <v>0</v>
      </c>
    </row>
    <row r="18" spans="1:18" ht="14.25">
      <c r="A18" s="15">
        <v>45854</v>
      </c>
      <c r="B18" s="3">
        <f>Data_Entry!T109</f>
        <v>10860</v>
      </c>
      <c r="C18" s="3">
        <v>0</v>
      </c>
      <c r="D18" s="4">
        <f>Data_Entry!V109</f>
        <v>3.32</v>
      </c>
      <c r="E18" s="5">
        <f t="shared" si="0"/>
        <v>0.18768145997511401</v>
      </c>
      <c r="F18" s="6">
        <v>0</v>
      </c>
      <c r="G18" s="6">
        <v>0</v>
      </c>
      <c r="H18" s="7">
        <f t="shared" si="1"/>
        <v>0</v>
      </c>
      <c r="I18" s="7">
        <f t="shared" si="2"/>
        <v>0</v>
      </c>
      <c r="J18" s="8">
        <v>2411</v>
      </c>
      <c r="K18" s="9"/>
      <c r="L18" s="8">
        <f t="shared" si="3"/>
        <v>28932</v>
      </c>
      <c r="M18" s="7">
        <f t="shared" si="4"/>
        <v>0</v>
      </c>
      <c r="N18" s="10">
        <f t="shared" si="5"/>
        <v>1</v>
      </c>
      <c r="O18" s="11">
        <f t="shared" si="6"/>
        <v>0.18768145997511401</v>
      </c>
      <c r="P18" s="11"/>
      <c r="Q18" s="8">
        <f t="shared" si="7"/>
        <v>10860</v>
      </c>
      <c r="R18" s="12">
        <f t="shared" si="8"/>
        <v>0</v>
      </c>
    </row>
    <row r="19" spans="1:18" ht="14.25">
      <c r="A19" s="15">
        <v>45855</v>
      </c>
      <c r="B19" s="3">
        <f>Data_Entry!T110</f>
        <v>12300</v>
      </c>
      <c r="C19" s="3">
        <v>0</v>
      </c>
      <c r="D19" s="4">
        <f>Data_Entry!V110</f>
        <v>1.82</v>
      </c>
      <c r="E19" s="5">
        <f t="shared" si="0"/>
        <v>0.21256739941932901</v>
      </c>
      <c r="F19" s="6">
        <v>0</v>
      </c>
      <c r="G19" s="6">
        <v>0</v>
      </c>
      <c r="H19" s="7">
        <f t="shared" si="1"/>
        <v>0</v>
      </c>
      <c r="I19" s="7">
        <f t="shared" si="2"/>
        <v>0</v>
      </c>
      <c r="J19" s="8">
        <v>2411</v>
      </c>
      <c r="K19" s="9"/>
      <c r="L19" s="8">
        <f t="shared" si="3"/>
        <v>28932</v>
      </c>
      <c r="M19" s="7">
        <f t="shared" si="4"/>
        <v>0</v>
      </c>
      <c r="N19" s="10">
        <f t="shared" si="5"/>
        <v>1</v>
      </c>
      <c r="O19" s="11">
        <f t="shared" si="6"/>
        <v>0.21256739941932901</v>
      </c>
      <c r="P19" s="11"/>
      <c r="Q19" s="8">
        <f t="shared" si="7"/>
        <v>12300</v>
      </c>
      <c r="R19" s="12">
        <f t="shared" si="8"/>
        <v>0</v>
      </c>
    </row>
    <row r="20" spans="1:18" ht="14.25">
      <c r="A20" s="15">
        <v>45856</v>
      </c>
      <c r="B20" s="3">
        <f>Data_Entry!T111</f>
        <v>11280.0000000001</v>
      </c>
      <c r="C20" s="3">
        <v>0</v>
      </c>
      <c r="D20" s="4">
        <f>Data_Entry!V111</f>
        <v>0</v>
      </c>
      <c r="E20" s="5">
        <f t="shared" si="0"/>
        <v>0.194939858979678</v>
      </c>
      <c r="F20" s="6">
        <v>0</v>
      </c>
      <c r="G20" s="6">
        <v>0</v>
      </c>
      <c r="H20" s="7">
        <f t="shared" si="1"/>
        <v>0</v>
      </c>
      <c r="I20" s="7">
        <f t="shared" si="2"/>
        <v>0</v>
      </c>
      <c r="J20" s="8">
        <v>2411</v>
      </c>
      <c r="K20" s="9"/>
      <c r="L20" s="8">
        <f t="shared" si="3"/>
        <v>28932</v>
      </c>
      <c r="M20" s="7">
        <f t="shared" si="4"/>
        <v>0</v>
      </c>
      <c r="N20" s="10">
        <f t="shared" si="5"/>
        <v>1</v>
      </c>
      <c r="O20" s="11">
        <f t="shared" si="6"/>
        <v>0.194939858979678</v>
      </c>
      <c r="P20" s="11"/>
      <c r="Q20" s="8">
        <f t="shared" si="7"/>
        <v>11280.0000000001</v>
      </c>
      <c r="R20" s="12">
        <f t="shared" si="8"/>
        <v>0</v>
      </c>
    </row>
    <row r="21" spans="1:18" ht="14.25">
      <c r="A21" s="15">
        <v>45857</v>
      </c>
      <c r="B21" s="3">
        <f>Data_Entry!T112</f>
        <v>6779.99999999995</v>
      </c>
      <c r="C21" s="3">
        <v>0</v>
      </c>
      <c r="D21" s="4">
        <f>Data_Entry!V112</f>
        <v>0</v>
      </c>
      <c r="E21" s="5">
        <f t="shared" si="0"/>
        <v>0.117171298216507</v>
      </c>
      <c r="F21" s="6">
        <v>0</v>
      </c>
      <c r="G21" s="6">
        <v>0</v>
      </c>
      <c r="H21" s="7">
        <f t="shared" si="1"/>
        <v>0</v>
      </c>
      <c r="I21" s="7">
        <f t="shared" si="2"/>
        <v>0</v>
      </c>
      <c r="J21" s="8">
        <v>2411</v>
      </c>
      <c r="K21" s="9"/>
      <c r="L21" s="8">
        <f t="shared" si="3"/>
        <v>28932</v>
      </c>
      <c r="M21" s="7">
        <f t="shared" si="4"/>
        <v>0</v>
      </c>
      <c r="N21" s="10">
        <f t="shared" si="5"/>
        <v>1</v>
      </c>
      <c r="O21" s="11">
        <f t="shared" si="6"/>
        <v>0.117171298216507</v>
      </c>
      <c r="P21" s="11"/>
      <c r="Q21" s="8">
        <f t="shared" si="7"/>
        <v>6779.99999999995</v>
      </c>
      <c r="R21" s="12">
        <f t="shared" si="8"/>
        <v>0</v>
      </c>
    </row>
    <row r="22" spans="1:18" ht="14.25">
      <c r="A22" s="15">
        <v>45858</v>
      </c>
      <c r="B22" s="3">
        <f>Data_Entry!T113</f>
        <v>5730.00000000005</v>
      </c>
      <c r="C22" s="3">
        <v>0</v>
      </c>
      <c r="D22" s="4">
        <f>Data_Entry!V113</f>
        <v>0</v>
      </c>
      <c r="E22" s="5">
        <f t="shared" si="0"/>
        <v>9.9025300705102404E-2</v>
      </c>
      <c r="F22" s="6">
        <v>0</v>
      </c>
      <c r="G22" s="6">
        <v>0</v>
      </c>
      <c r="H22" s="7">
        <f t="shared" si="1"/>
        <v>0</v>
      </c>
      <c r="I22" s="7">
        <f t="shared" si="2"/>
        <v>0</v>
      </c>
      <c r="J22" s="8">
        <v>2411</v>
      </c>
      <c r="K22" s="9"/>
      <c r="L22" s="8">
        <f t="shared" si="3"/>
        <v>28932</v>
      </c>
      <c r="M22" s="7">
        <f t="shared" si="4"/>
        <v>0</v>
      </c>
      <c r="N22" s="10">
        <f t="shared" si="5"/>
        <v>1</v>
      </c>
      <c r="O22" s="11">
        <f t="shared" si="6"/>
        <v>9.9025300705102404E-2</v>
      </c>
      <c r="P22" s="11"/>
      <c r="Q22" s="8">
        <f t="shared" si="7"/>
        <v>5730.00000000005</v>
      </c>
      <c r="R22" s="12">
        <f t="shared" si="8"/>
        <v>0</v>
      </c>
    </row>
    <row r="23" spans="1:18" ht="14.25">
      <c r="A23" s="15">
        <v>45859</v>
      </c>
      <c r="B23" s="3">
        <f>Data_Entry!T114</f>
        <v>6479.9999999998499</v>
      </c>
      <c r="C23" s="3">
        <v>0</v>
      </c>
      <c r="D23" s="4">
        <f>Data_Entry!V114</f>
        <v>0</v>
      </c>
      <c r="E23" s="5">
        <f t="shared" si="0"/>
        <v>0.11198672749896001</v>
      </c>
      <c r="F23" s="6">
        <v>0</v>
      </c>
      <c r="G23" s="6">
        <v>0</v>
      </c>
      <c r="H23" s="7">
        <f t="shared" si="1"/>
        <v>0</v>
      </c>
      <c r="I23" s="7">
        <f t="shared" si="2"/>
        <v>0</v>
      </c>
      <c r="J23" s="8">
        <v>2411</v>
      </c>
      <c r="K23" s="9"/>
      <c r="L23" s="8">
        <f t="shared" si="3"/>
        <v>28932</v>
      </c>
      <c r="M23" s="7">
        <f t="shared" si="4"/>
        <v>0</v>
      </c>
      <c r="N23" s="10">
        <f t="shared" si="5"/>
        <v>1</v>
      </c>
      <c r="O23" s="11">
        <f t="shared" si="6"/>
        <v>0.11198672749896001</v>
      </c>
      <c r="P23" s="11"/>
      <c r="Q23" s="8">
        <f t="shared" si="7"/>
        <v>6479.9999999998499</v>
      </c>
      <c r="R23" s="12">
        <f t="shared" si="8"/>
        <v>0</v>
      </c>
    </row>
    <row r="24" spans="1:18" ht="14.25">
      <c r="A24" s="15">
        <v>45860</v>
      </c>
      <c r="B24" s="3">
        <f>Data_Entry!T115</f>
        <v>7440.00000000003</v>
      </c>
      <c r="C24" s="3">
        <v>0</v>
      </c>
      <c r="D24" s="4">
        <f>Data_Entry!V115</f>
        <v>0</v>
      </c>
      <c r="E24" s="5">
        <f t="shared" si="0"/>
        <v>0.12857735379510599</v>
      </c>
      <c r="F24" s="6">
        <v>0</v>
      </c>
      <c r="G24" s="6">
        <v>0</v>
      </c>
      <c r="H24" s="7">
        <f t="shared" si="1"/>
        <v>0</v>
      </c>
      <c r="I24" s="7">
        <f t="shared" si="2"/>
        <v>0</v>
      </c>
      <c r="J24" s="8">
        <v>2411</v>
      </c>
      <c r="K24" s="9"/>
      <c r="L24" s="8">
        <f t="shared" si="3"/>
        <v>28932</v>
      </c>
      <c r="M24" s="7">
        <f t="shared" si="4"/>
        <v>0</v>
      </c>
      <c r="N24" s="10">
        <f t="shared" si="5"/>
        <v>1</v>
      </c>
      <c r="O24" s="11">
        <f t="shared" si="6"/>
        <v>0.12857735379510599</v>
      </c>
      <c r="P24" s="11"/>
      <c r="Q24" s="8">
        <f t="shared" si="7"/>
        <v>7440.00000000003</v>
      </c>
      <c r="R24" s="12">
        <f t="shared" si="8"/>
        <v>0</v>
      </c>
    </row>
    <row r="25" spans="1:18" ht="14.25">
      <c r="A25" s="15">
        <v>45861</v>
      </c>
      <c r="B25" s="3">
        <f>Data_Entry!T116</f>
        <v>8069.99999999996</v>
      </c>
      <c r="C25" s="3">
        <v>0</v>
      </c>
      <c r="D25" s="4">
        <f>Data_Entry!V116</f>
        <v>0</v>
      </c>
      <c r="E25" s="5">
        <f t="shared" si="0"/>
        <v>0.139464952301949</v>
      </c>
      <c r="F25" s="6">
        <v>0</v>
      </c>
      <c r="G25" s="6">
        <v>0</v>
      </c>
      <c r="H25" s="7">
        <f t="shared" si="1"/>
        <v>0</v>
      </c>
      <c r="I25" s="7">
        <f t="shared" si="2"/>
        <v>0</v>
      </c>
      <c r="J25" s="8">
        <v>2411</v>
      </c>
      <c r="K25" s="9"/>
      <c r="L25" s="8">
        <f t="shared" si="3"/>
        <v>28932</v>
      </c>
      <c r="M25" s="7">
        <f t="shared" si="4"/>
        <v>0</v>
      </c>
      <c r="N25" s="10">
        <f t="shared" si="5"/>
        <v>1</v>
      </c>
      <c r="O25" s="11">
        <f t="shared" si="6"/>
        <v>0.139464952301949</v>
      </c>
      <c r="P25" s="11"/>
      <c r="Q25" s="8">
        <f t="shared" si="7"/>
        <v>8069.99999999996</v>
      </c>
      <c r="R25" s="12">
        <f t="shared" si="8"/>
        <v>0</v>
      </c>
    </row>
    <row r="26" spans="1:18" ht="14.25">
      <c r="A26" s="15">
        <v>45862</v>
      </c>
      <c r="B26" s="3">
        <f>Data_Entry!T117</f>
        <v>7770.00000000007</v>
      </c>
      <c r="C26" s="3">
        <v>0</v>
      </c>
      <c r="D26" s="4">
        <f>Data_Entry!V117</f>
        <v>0</v>
      </c>
      <c r="E26" s="5">
        <f t="shared" si="0"/>
        <v>0.134280381584406</v>
      </c>
      <c r="F26" s="6">
        <v>0</v>
      </c>
      <c r="G26" s="6">
        <v>0</v>
      </c>
      <c r="H26" s="7">
        <f t="shared" si="1"/>
        <v>0</v>
      </c>
      <c r="I26" s="7">
        <f t="shared" si="2"/>
        <v>0</v>
      </c>
      <c r="J26" s="8">
        <v>2411</v>
      </c>
      <c r="K26" s="9"/>
      <c r="L26" s="8">
        <f t="shared" si="3"/>
        <v>28932</v>
      </c>
      <c r="M26" s="7">
        <f t="shared" si="4"/>
        <v>0</v>
      </c>
      <c r="N26" s="10">
        <f t="shared" si="5"/>
        <v>1</v>
      </c>
      <c r="O26" s="11">
        <f t="shared" si="6"/>
        <v>0.134280381584406</v>
      </c>
      <c r="P26" s="11"/>
      <c r="Q26" s="8">
        <f t="shared" si="7"/>
        <v>7770.00000000007</v>
      </c>
      <c r="R26" s="12">
        <f t="shared" si="8"/>
        <v>0</v>
      </c>
    </row>
    <row r="27" spans="1:18" ht="14.25">
      <c r="A27" s="15">
        <v>45863</v>
      </c>
      <c r="B27" s="3">
        <f>Data_Entry!T118</f>
        <v>9089.9999999998909</v>
      </c>
      <c r="C27" s="3">
        <v>0</v>
      </c>
      <c r="D27" s="4">
        <f>Data_Entry!V118</f>
        <v>0</v>
      </c>
      <c r="E27" s="5">
        <f t="shared" si="0"/>
        <v>0.157092492741599</v>
      </c>
      <c r="F27" s="6">
        <v>0</v>
      </c>
      <c r="G27" s="6">
        <v>0</v>
      </c>
      <c r="H27" s="7">
        <f t="shared" si="1"/>
        <v>0</v>
      </c>
      <c r="I27" s="7">
        <f t="shared" si="2"/>
        <v>0</v>
      </c>
      <c r="J27" s="8">
        <v>2411</v>
      </c>
      <c r="K27" s="9"/>
      <c r="L27" s="8">
        <f t="shared" si="3"/>
        <v>28932</v>
      </c>
      <c r="M27" s="7">
        <f t="shared" si="4"/>
        <v>0</v>
      </c>
      <c r="N27" s="10">
        <f t="shared" si="5"/>
        <v>1</v>
      </c>
      <c r="O27" s="11">
        <f t="shared" si="6"/>
        <v>0.157092492741599</v>
      </c>
      <c r="P27" s="11"/>
      <c r="Q27" s="8">
        <f t="shared" si="7"/>
        <v>9089.9999999998909</v>
      </c>
      <c r="R27" s="12">
        <f t="shared" si="8"/>
        <v>0</v>
      </c>
    </row>
    <row r="28" spans="1:18" ht="14.25">
      <c r="A28" s="15">
        <v>45864</v>
      </c>
      <c r="B28" s="3">
        <f>Data_Entry!T119</f>
        <v>6300.00000000004</v>
      </c>
      <c r="C28" s="3">
        <v>0</v>
      </c>
      <c r="D28" s="4">
        <f>Data_Entry!V119</f>
        <v>0</v>
      </c>
      <c r="E28" s="5">
        <f t="shared" si="0"/>
        <v>0.108875985068437</v>
      </c>
      <c r="F28" s="6">
        <v>0</v>
      </c>
      <c r="G28" s="6">
        <v>0</v>
      </c>
      <c r="H28" s="7">
        <f t="shared" si="1"/>
        <v>0</v>
      </c>
      <c r="I28" s="7">
        <f t="shared" si="2"/>
        <v>0</v>
      </c>
      <c r="J28" s="8">
        <v>2411</v>
      </c>
      <c r="K28" s="9"/>
      <c r="L28" s="8">
        <f t="shared" si="3"/>
        <v>28932</v>
      </c>
      <c r="M28" s="7">
        <f t="shared" si="4"/>
        <v>0</v>
      </c>
      <c r="N28" s="10">
        <f t="shared" si="5"/>
        <v>1</v>
      </c>
      <c r="O28" s="11">
        <f t="shared" si="6"/>
        <v>0.108875985068437</v>
      </c>
      <c r="P28" s="11"/>
      <c r="Q28" s="8">
        <f t="shared" si="7"/>
        <v>6300.00000000004</v>
      </c>
      <c r="R28" s="12">
        <f t="shared" si="8"/>
        <v>0</v>
      </c>
    </row>
    <row r="29" spans="1:18" ht="14.25">
      <c r="A29" s="15">
        <v>45865</v>
      </c>
      <c r="B29" s="3">
        <f>Data_Entry!T120</f>
        <v>3840.0000000002001</v>
      </c>
      <c r="C29" s="3">
        <v>0</v>
      </c>
      <c r="D29" s="4">
        <f>Data_Entry!V120</f>
        <v>0</v>
      </c>
      <c r="E29" s="5">
        <f t="shared" si="0"/>
        <v>6.6362505184574302E-2</v>
      </c>
      <c r="F29" s="6">
        <v>0</v>
      </c>
      <c r="G29" s="6">
        <v>0</v>
      </c>
      <c r="H29" s="7">
        <f t="shared" si="1"/>
        <v>0</v>
      </c>
      <c r="I29" s="7">
        <f t="shared" si="2"/>
        <v>0</v>
      </c>
      <c r="J29" s="8">
        <v>2411</v>
      </c>
      <c r="K29" s="9"/>
      <c r="L29" s="8">
        <f t="shared" si="3"/>
        <v>28932</v>
      </c>
      <c r="M29" s="7">
        <f t="shared" si="4"/>
        <v>0</v>
      </c>
      <c r="N29" s="10">
        <f t="shared" si="5"/>
        <v>1</v>
      </c>
      <c r="O29" s="11">
        <f t="shared" si="6"/>
        <v>6.6362505184574302E-2</v>
      </c>
      <c r="P29" s="11"/>
      <c r="Q29" s="8">
        <f t="shared" si="7"/>
        <v>3840.0000000002101</v>
      </c>
      <c r="R29" s="12">
        <f t="shared" si="8"/>
        <v>0</v>
      </c>
    </row>
    <row r="30" spans="1:18" ht="14.25">
      <c r="A30" s="15">
        <v>45866</v>
      </c>
      <c r="B30" s="3">
        <f>Data_Entry!T121</f>
        <v>5279.99999999995</v>
      </c>
      <c r="C30" s="3">
        <v>0</v>
      </c>
      <c r="D30" s="4">
        <f>Data_Entry!V121</f>
        <v>0</v>
      </c>
      <c r="E30" s="5">
        <f t="shared" si="0"/>
        <v>9.1248444628783801E-2</v>
      </c>
      <c r="F30" s="6">
        <v>0</v>
      </c>
      <c r="G30" s="6">
        <v>0</v>
      </c>
      <c r="H30" s="7">
        <f t="shared" si="1"/>
        <v>0</v>
      </c>
      <c r="I30" s="7">
        <f t="shared" si="2"/>
        <v>0</v>
      </c>
      <c r="J30" s="8">
        <v>2411</v>
      </c>
      <c r="K30" s="9"/>
      <c r="L30" s="8">
        <f t="shared" si="3"/>
        <v>28932</v>
      </c>
      <c r="M30" s="7">
        <f t="shared" si="4"/>
        <v>0</v>
      </c>
      <c r="N30" s="10">
        <f t="shared" si="5"/>
        <v>1</v>
      </c>
      <c r="O30" s="11">
        <f t="shared" si="6"/>
        <v>9.1248444628783801E-2</v>
      </c>
      <c r="P30" s="11"/>
      <c r="Q30" s="8">
        <f t="shared" si="7"/>
        <v>5279.99999999995</v>
      </c>
      <c r="R30" s="12">
        <f t="shared" si="8"/>
        <v>0</v>
      </c>
    </row>
    <row r="31" spans="1:18" ht="14.25">
      <c r="A31" s="15">
        <v>45867</v>
      </c>
      <c r="B31" s="3">
        <f>Data_Entry!T122</f>
        <v>4109.99999999999</v>
      </c>
      <c r="C31" s="3">
        <v>0</v>
      </c>
      <c r="D31" s="4">
        <f>Data_Entry!V122</f>
        <v>0</v>
      </c>
      <c r="E31" s="5">
        <f t="shared" si="0"/>
        <v>7.1028618830360601E-2</v>
      </c>
      <c r="F31" s="6">
        <v>0</v>
      </c>
      <c r="G31" s="6">
        <v>0</v>
      </c>
      <c r="H31" s="7">
        <f t="shared" si="1"/>
        <v>0</v>
      </c>
      <c r="I31" s="7">
        <f t="shared" si="2"/>
        <v>0</v>
      </c>
      <c r="J31" s="8">
        <v>2411</v>
      </c>
      <c r="K31" s="9"/>
      <c r="L31" s="8">
        <f t="shared" si="3"/>
        <v>28932</v>
      </c>
      <c r="M31" s="7">
        <f t="shared" si="4"/>
        <v>0</v>
      </c>
      <c r="N31" s="10">
        <f t="shared" si="5"/>
        <v>1</v>
      </c>
      <c r="O31" s="11">
        <f t="shared" si="6"/>
        <v>7.1028618830360601E-2</v>
      </c>
      <c r="P31" s="11"/>
      <c r="Q31" s="8">
        <f t="shared" si="7"/>
        <v>4109.99999999999</v>
      </c>
      <c r="R31" s="12">
        <f t="shared" si="8"/>
        <v>0</v>
      </c>
    </row>
    <row r="32" spans="1:18" ht="14.25">
      <c r="A32" s="15">
        <v>45868</v>
      </c>
      <c r="B32" s="3">
        <f>Data_Entry!T123</f>
        <v>7440.00000000003</v>
      </c>
      <c r="C32" s="3">
        <v>0</v>
      </c>
      <c r="D32" s="4">
        <f>Data_Entry!V123</f>
        <v>0</v>
      </c>
      <c r="E32" s="5">
        <f t="shared" si="0"/>
        <v>0.12857735379510599</v>
      </c>
      <c r="F32" s="6">
        <v>0</v>
      </c>
      <c r="G32" s="6">
        <v>0</v>
      </c>
      <c r="H32" s="7">
        <f t="shared" si="1"/>
        <v>0</v>
      </c>
      <c r="I32" s="7">
        <f t="shared" si="2"/>
        <v>0</v>
      </c>
      <c r="J32" s="8">
        <v>2411</v>
      </c>
      <c r="K32" s="9"/>
      <c r="L32" s="8">
        <f t="shared" si="3"/>
        <v>28932</v>
      </c>
      <c r="M32" s="7">
        <f t="shared" si="4"/>
        <v>0</v>
      </c>
      <c r="N32" s="10">
        <f t="shared" si="5"/>
        <v>1</v>
      </c>
      <c r="O32" s="11">
        <f t="shared" si="6"/>
        <v>0.12857735379510599</v>
      </c>
      <c r="P32" s="11"/>
      <c r="Q32" s="8">
        <f t="shared" si="7"/>
        <v>7440.00000000003</v>
      </c>
      <c r="R32" s="12">
        <f t="shared" si="8"/>
        <v>0</v>
      </c>
    </row>
    <row r="33" spans="1:18" ht="14.25">
      <c r="A33" s="15">
        <v>45869</v>
      </c>
      <c r="B33" s="3">
        <f>Data_Entry!T124</f>
        <v>5999.99999999997</v>
      </c>
      <c r="C33" s="3">
        <v>0</v>
      </c>
      <c r="D33" s="4">
        <f>Data_Entry!V124</f>
        <v>2.2599999999999998</v>
      </c>
      <c r="E33" s="5">
        <f t="shared" si="0"/>
        <v>0.10369141435089101</v>
      </c>
      <c r="F33" s="6">
        <v>0</v>
      </c>
      <c r="G33" s="6">
        <v>0</v>
      </c>
      <c r="H33" s="7">
        <f t="shared" si="1"/>
        <v>0</v>
      </c>
      <c r="I33" s="7">
        <f t="shared" si="2"/>
        <v>0</v>
      </c>
      <c r="J33" s="8">
        <v>2411</v>
      </c>
      <c r="K33" s="9"/>
      <c r="L33" s="8">
        <f t="shared" si="3"/>
        <v>28932</v>
      </c>
      <c r="M33" s="7">
        <f t="shared" si="4"/>
        <v>0</v>
      </c>
      <c r="N33" s="10">
        <f t="shared" si="5"/>
        <v>1</v>
      </c>
      <c r="O33" s="11">
        <f t="shared" si="6"/>
        <v>0.10369141435089101</v>
      </c>
      <c r="P33" s="11"/>
      <c r="Q33" s="8">
        <f t="shared" si="7"/>
        <v>5999.99999999997</v>
      </c>
      <c r="R33" s="12">
        <f t="shared" si="8"/>
        <v>0</v>
      </c>
    </row>
    <row r="34" spans="1:18" ht="14.25">
      <c r="A34" s="15"/>
      <c r="B34" s="3"/>
      <c r="C34" s="3"/>
      <c r="D34" s="4"/>
      <c r="E34" s="5"/>
      <c r="F34" s="6"/>
      <c r="G34" s="6"/>
      <c r="H34" s="7"/>
      <c r="I34" s="7"/>
      <c r="J34" s="8"/>
      <c r="K34" s="9"/>
      <c r="L34" s="8"/>
      <c r="M34" s="7"/>
      <c r="N34" s="10"/>
      <c r="O34" s="11"/>
      <c r="P34" s="11"/>
      <c r="Q34" s="8"/>
      <c r="R34" s="12"/>
    </row>
    <row r="35" spans="1:18" ht="14.25">
      <c r="A35" s="15">
        <v>45870</v>
      </c>
      <c r="B35" s="3">
        <f>Data_Entry!T125</f>
        <v>7169.99999999993</v>
      </c>
      <c r="C35" s="3">
        <v>0</v>
      </c>
      <c r="D35" s="4">
        <f>Data_Entry!V125</f>
        <v>3.01</v>
      </c>
      <c r="E35" s="5">
        <f t="shared" si="0"/>
        <v>0.123911240149314</v>
      </c>
      <c r="F35" s="6">
        <v>0</v>
      </c>
      <c r="G35" s="6">
        <v>0</v>
      </c>
      <c r="H35" s="7">
        <f t="shared" si="1"/>
        <v>0</v>
      </c>
      <c r="I35" s="7">
        <f t="shared" si="2"/>
        <v>0</v>
      </c>
      <c r="J35" s="8">
        <v>2411</v>
      </c>
      <c r="K35" s="9"/>
      <c r="L35" s="8">
        <f t="shared" si="3"/>
        <v>28932</v>
      </c>
      <c r="M35" s="7">
        <f t="shared" si="4"/>
        <v>0</v>
      </c>
      <c r="N35" s="10">
        <f t="shared" si="5"/>
        <v>1</v>
      </c>
      <c r="O35" s="11">
        <f t="shared" si="6"/>
        <v>0.123911240149314</v>
      </c>
      <c r="P35" s="11"/>
      <c r="Q35" s="8">
        <f t="shared" si="7"/>
        <v>7169.99999999993</v>
      </c>
      <c r="R35" s="12">
        <f t="shared" si="8"/>
        <v>0</v>
      </c>
    </row>
    <row r="36" spans="1:18" ht="14.25">
      <c r="A36" s="15">
        <v>45871</v>
      </c>
      <c r="B36" s="3">
        <f>Data_Entry!T126</f>
        <v>7620.0000000001801</v>
      </c>
      <c r="C36" s="3">
        <v>0</v>
      </c>
      <c r="D36" s="4">
        <f>Data_Entry!V126</f>
        <v>3.38</v>
      </c>
      <c r="E36" s="5">
        <f t="shared" si="0"/>
        <v>0.13168809622563599</v>
      </c>
      <c r="F36" s="6">
        <v>0</v>
      </c>
      <c r="G36" s="6">
        <v>0</v>
      </c>
      <c r="H36" s="7">
        <f t="shared" si="1"/>
        <v>0</v>
      </c>
      <c r="I36" s="7">
        <f t="shared" si="2"/>
        <v>0</v>
      </c>
      <c r="J36" s="8">
        <v>2411</v>
      </c>
      <c r="K36" s="9"/>
      <c r="L36" s="8">
        <f t="shared" si="3"/>
        <v>28932</v>
      </c>
      <c r="M36" s="7">
        <f t="shared" si="4"/>
        <v>0</v>
      </c>
      <c r="N36" s="10">
        <f t="shared" si="5"/>
        <v>1</v>
      </c>
      <c r="O36" s="11">
        <f t="shared" si="6"/>
        <v>0.13168809622563599</v>
      </c>
      <c r="P36" s="11"/>
      <c r="Q36" s="8">
        <f t="shared" si="7"/>
        <v>7620.0000000001801</v>
      </c>
      <c r="R36" s="12">
        <f t="shared" si="8"/>
        <v>0</v>
      </c>
    </row>
    <row r="37" spans="1:18" ht="14.25">
      <c r="A37" s="15">
        <v>45872</v>
      </c>
      <c r="B37" s="3">
        <f>Data_Entry!T127</f>
        <v>7499.99999999997</v>
      </c>
      <c r="C37" s="3">
        <v>0</v>
      </c>
      <c r="D37" s="4">
        <f>Data_Entry!V127</f>
        <v>3.8</v>
      </c>
      <c r="E37" s="5">
        <f t="shared" si="0"/>
        <v>0.129614267938614</v>
      </c>
      <c r="F37" s="6">
        <v>0</v>
      </c>
      <c r="G37" s="6">
        <v>0</v>
      </c>
      <c r="H37" s="7">
        <f t="shared" si="1"/>
        <v>0</v>
      </c>
      <c r="I37" s="7">
        <f t="shared" si="2"/>
        <v>0</v>
      </c>
      <c r="J37" s="8">
        <v>2411</v>
      </c>
      <c r="K37" s="9"/>
      <c r="L37" s="8">
        <f t="shared" si="3"/>
        <v>28932</v>
      </c>
      <c r="M37" s="7">
        <f t="shared" si="4"/>
        <v>0</v>
      </c>
      <c r="N37" s="10">
        <f t="shared" si="5"/>
        <v>1</v>
      </c>
      <c r="O37" s="11">
        <f t="shared" si="6"/>
        <v>0.129614267938614</v>
      </c>
      <c r="P37" s="11"/>
      <c r="Q37" s="8">
        <f t="shared" si="7"/>
        <v>7499.99999999997</v>
      </c>
      <c r="R37" s="12">
        <f t="shared" si="8"/>
        <v>0</v>
      </c>
    </row>
    <row r="38" spans="1:18" ht="14.25">
      <c r="A38" s="15">
        <v>45873</v>
      </c>
      <c r="B38" s="3">
        <f>Data_Entry!T128</f>
        <v>8729.9999999998799</v>
      </c>
      <c r="C38" s="3">
        <v>0</v>
      </c>
      <c r="D38" s="4">
        <f>Data_Entry!V128</f>
        <v>3.85</v>
      </c>
      <c r="E38" s="5">
        <f t="shared" si="0"/>
        <v>0.150871007880545</v>
      </c>
      <c r="F38" s="6">
        <v>0</v>
      </c>
      <c r="G38" s="6">
        <v>0</v>
      </c>
      <c r="H38" s="7">
        <f t="shared" si="1"/>
        <v>0</v>
      </c>
      <c r="I38" s="7">
        <f t="shared" si="2"/>
        <v>0</v>
      </c>
      <c r="J38" s="8">
        <v>2411</v>
      </c>
      <c r="K38" s="9"/>
      <c r="L38" s="8">
        <f t="shared" si="3"/>
        <v>28932</v>
      </c>
      <c r="M38" s="7">
        <f t="shared" si="4"/>
        <v>0</v>
      </c>
      <c r="N38" s="10">
        <f t="shared" si="5"/>
        <v>1</v>
      </c>
      <c r="O38" s="11">
        <f t="shared" si="6"/>
        <v>0.150871007880545</v>
      </c>
      <c r="P38" s="11"/>
      <c r="Q38" s="8">
        <f t="shared" si="7"/>
        <v>8729.9999999998799</v>
      </c>
      <c r="R38" s="12">
        <f t="shared" si="8"/>
        <v>0</v>
      </c>
    </row>
    <row r="39" spans="1:18" ht="14.25">
      <c r="A39" s="15">
        <v>45874</v>
      </c>
      <c r="B39" s="3">
        <f>Data_Entry!T129</f>
        <v>9660.0000000000491</v>
      </c>
      <c r="C39" s="3">
        <v>0</v>
      </c>
      <c r="D39" s="4">
        <f>Data_Entry!V129</f>
        <v>3.78</v>
      </c>
      <c r="E39" s="5">
        <f t="shared" si="0"/>
        <v>0.166943177104937</v>
      </c>
      <c r="F39" s="6">
        <v>0</v>
      </c>
      <c r="G39" s="6">
        <v>0</v>
      </c>
      <c r="H39" s="7">
        <f t="shared" si="1"/>
        <v>0</v>
      </c>
      <c r="I39" s="7">
        <f t="shared" si="2"/>
        <v>0</v>
      </c>
      <c r="J39" s="8">
        <v>2411</v>
      </c>
      <c r="K39" s="9"/>
      <c r="L39" s="8">
        <f t="shared" si="3"/>
        <v>28932</v>
      </c>
      <c r="M39" s="7">
        <f t="shared" si="4"/>
        <v>0</v>
      </c>
      <c r="N39" s="10">
        <f t="shared" si="5"/>
        <v>1</v>
      </c>
      <c r="O39" s="11">
        <f t="shared" si="6"/>
        <v>0.166943177104937</v>
      </c>
      <c r="P39" s="11"/>
      <c r="Q39" s="8">
        <f t="shared" si="7"/>
        <v>9660.0000000000491</v>
      </c>
      <c r="R39" s="12">
        <f t="shared" si="8"/>
        <v>0</v>
      </c>
    </row>
    <row r="40" spans="1:18" ht="14.25">
      <c r="A40" s="15">
        <v>45875</v>
      </c>
      <c r="B40" s="3">
        <f>Data_Entry!T130</f>
        <v>7979.9999999998799</v>
      </c>
      <c r="C40" s="3">
        <v>7</v>
      </c>
      <c r="D40" s="4">
        <f>Data_Entry!V130</f>
        <v>3.68</v>
      </c>
      <c r="E40" s="5">
        <f t="shared" si="0"/>
        <v>0.137909581086684</v>
      </c>
      <c r="F40" s="6">
        <v>0.46527777777777801</v>
      </c>
      <c r="G40" s="6">
        <v>0.49236111111111103</v>
      </c>
      <c r="H40" s="7">
        <f t="shared" si="1"/>
        <v>38.999999999999503</v>
      </c>
      <c r="I40" s="7">
        <f t="shared" si="2"/>
        <v>0.64999999999999203</v>
      </c>
      <c r="J40" s="8">
        <v>2411</v>
      </c>
      <c r="K40" s="9">
        <v>2411</v>
      </c>
      <c r="L40" s="8">
        <f t="shared" si="3"/>
        <v>28932</v>
      </c>
      <c r="M40" s="7">
        <f t="shared" si="4"/>
        <v>1567.1499999999801</v>
      </c>
      <c r="N40" s="10">
        <f t="shared" si="5"/>
        <v>0.94583333333333397</v>
      </c>
      <c r="O40" s="11">
        <f t="shared" si="6"/>
        <v>0.145807486611472</v>
      </c>
      <c r="P40" s="11"/>
      <c r="Q40" s="8">
        <f t="shared" si="7"/>
        <v>8437.0044052862104</v>
      </c>
      <c r="R40" s="12">
        <f t="shared" si="8"/>
        <v>457.00440528632998</v>
      </c>
    </row>
    <row r="41" spans="1:18" ht="14.25">
      <c r="A41" s="15">
        <v>45876</v>
      </c>
      <c r="B41" s="3">
        <f>Data_Entry!T131</f>
        <v>8850.0000000001091</v>
      </c>
      <c r="C41" s="3">
        <v>7</v>
      </c>
      <c r="D41" s="4">
        <f>Data_Entry!V131</f>
        <v>3.3</v>
      </c>
      <c r="E41" s="5">
        <f t="shared" si="0"/>
        <v>0.15294483616756699</v>
      </c>
      <c r="F41" s="6">
        <v>0.59027777777777801</v>
      </c>
      <c r="G41" s="6">
        <v>0.63749999999999996</v>
      </c>
      <c r="H41" s="7">
        <f t="shared" si="1"/>
        <v>67.999999999999602</v>
      </c>
      <c r="I41" s="7">
        <f t="shared" si="2"/>
        <v>1.13333333333333</v>
      </c>
      <c r="J41" s="8">
        <v>2411</v>
      </c>
      <c r="K41" s="9">
        <v>2411</v>
      </c>
      <c r="L41" s="8">
        <f t="shared" si="3"/>
        <v>28932</v>
      </c>
      <c r="M41" s="7">
        <f t="shared" si="4"/>
        <v>2732.4666666666499</v>
      </c>
      <c r="N41" s="10">
        <f t="shared" si="5"/>
        <v>0.905555555555556</v>
      </c>
      <c r="O41" s="11">
        <f t="shared" si="6"/>
        <v>0.16889613809915399</v>
      </c>
      <c r="P41" s="11"/>
      <c r="Q41" s="8">
        <f t="shared" si="7"/>
        <v>9773.0061349694406</v>
      </c>
      <c r="R41" s="12">
        <f t="shared" si="8"/>
        <v>923.00613496933101</v>
      </c>
    </row>
    <row r="42" spans="1:18" ht="14.25">
      <c r="A42" s="15">
        <v>45877</v>
      </c>
      <c r="B42" s="3">
        <f>Data_Entry!T132</f>
        <v>11069.9999999998</v>
      </c>
      <c r="C42" s="3">
        <v>0</v>
      </c>
      <c r="D42" s="4">
        <f>Data_Entry!V132</f>
        <v>4.26</v>
      </c>
      <c r="E42" s="5">
        <f t="shared" si="0"/>
        <v>0.19131065947739201</v>
      </c>
      <c r="F42" s="6">
        <v>0</v>
      </c>
      <c r="G42" s="6">
        <v>0</v>
      </c>
      <c r="H42" s="7">
        <f t="shared" si="1"/>
        <v>0</v>
      </c>
      <c r="I42" s="7">
        <f t="shared" si="2"/>
        <v>0</v>
      </c>
      <c r="J42" s="8">
        <v>2411</v>
      </c>
      <c r="K42" s="9"/>
      <c r="L42" s="8">
        <f t="shared" si="3"/>
        <v>28932</v>
      </c>
      <c r="M42" s="7">
        <f t="shared" si="4"/>
        <v>0</v>
      </c>
      <c r="N42" s="10">
        <f t="shared" si="5"/>
        <v>1</v>
      </c>
      <c r="O42" s="11">
        <f t="shared" si="6"/>
        <v>0.19131065947739201</v>
      </c>
      <c r="P42" s="11"/>
      <c r="Q42" s="8">
        <f t="shared" si="7"/>
        <v>11069.9999999998</v>
      </c>
      <c r="R42" s="12">
        <f t="shared" si="8"/>
        <v>0</v>
      </c>
    </row>
    <row r="43" spans="1:18" ht="14.25">
      <c r="A43" s="15">
        <v>45878</v>
      </c>
      <c r="B43" s="3">
        <f>Data_Entry!T133</f>
        <v>8130.00000000008</v>
      </c>
      <c r="C43" s="3">
        <v>0</v>
      </c>
      <c r="D43" s="4">
        <f>Data_Entry!V133</f>
        <v>3.37</v>
      </c>
      <c r="E43" s="5">
        <f t="shared" si="0"/>
        <v>0.14050186644546001</v>
      </c>
      <c r="F43" s="6">
        <v>0</v>
      </c>
      <c r="G43" s="6">
        <v>0</v>
      </c>
      <c r="H43" s="7">
        <f t="shared" si="1"/>
        <v>0</v>
      </c>
      <c r="I43" s="7">
        <f t="shared" si="2"/>
        <v>0</v>
      </c>
      <c r="J43" s="8">
        <v>2411</v>
      </c>
      <c r="K43" s="9"/>
      <c r="L43" s="8">
        <f t="shared" si="3"/>
        <v>28932</v>
      </c>
      <c r="M43" s="7">
        <f t="shared" si="4"/>
        <v>0</v>
      </c>
      <c r="N43" s="10">
        <f t="shared" si="5"/>
        <v>1</v>
      </c>
      <c r="O43" s="11">
        <f t="shared" si="6"/>
        <v>0.14050186644546001</v>
      </c>
      <c r="P43" s="11"/>
      <c r="Q43" s="8">
        <f t="shared" si="7"/>
        <v>8130.00000000008</v>
      </c>
      <c r="R43" s="12">
        <f t="shared" si="8"/>
        <v>0</v>
      </c>
    </row>
    <row r="44" spans="1:18" ht="14.25">
      <c r="A44" s="15">
        <v>45879</v>
      </c>
      <c r="B44" s="3">
        <f>Data_Entry!T134</f>
        <v>7829.99999999999</v>
      </c>
      <c r="C44" s="3">
        <v>0</v>
      </c>
      <c r="D44" s="4">
        <f>Data_Entry!V134</f>
        <v>3.26</v>
      </c>
      <c r="E44" s="5">
        <f t="shared" si="0"/>
        <v>0.13531729572791301</v>
      </c>
      <c r="F44" s="6">
        <v>0</v>
      </c>
      <c r="G44" s="6">
        <v>0</v>
      </c>
      <c r="H44" s="7">
        <f t="shared" si="1"/>
        <v>0</v>
      </c>
      <c r="I44" s="7">
        <f t="shared" si="2"/>
        <v>0</v>
      </c>
      <c r="J44" s="8">
        <v>2411</v>
      </c>
      <c r="K44" s="9"/>
      <c r="L44" s="8">
        <f t="shared" si="3"/>
        <v>28932</v>
      </c>
      <c r="M44" s="7">
        <f t="shared" si="4"/>
        <v>0</v>
      </c>
      <c r="N44" s="10">
        <f t="shared" si="5"/>
        <v>1</v>
      </c>
      <c r="O44" s="11">
        <f t="shared" si="6"/>
        <v>0.13531729572791301</v>
      </c>
      <c r="P44" s="11"/>
      <c r="Q44" s="8">
        <f t="shared" si="7"/>
        <v>7829.99999999999</v>
      </c>
      <c r="R44" s="12">
        <f t="shared" si="8"/>
        <v>0</v>
      </c>
    </row>
    <row r="45" spans="1:18" ht="14.25">
      <c r="A45" s="15">
        <v>45880</v>
      </c>
      <c r="B45" s="3">
        <f>Data_Entry!T135</f>
        <v>9870.0000000002001</v>
      </c>
      <c r="C45" s="3">
        <v>0</v>
      </c>
      <c r="D45" s="4">
        <f>Data_Entry!V135</f>
        <v>3.95</v>
      </c>
      <c r="E45" s="5">
        <f t="shared" si="0"/>
        <v>0.17057237660721999</v>
      </c>
      <c r="F45" s="6">
        <v>0</v>
      </c>
      <c r="G45" s="6">
        <v>0</v>
      </c>
      <c r="H45" s="7">
        <f t="shared" si="1"/>
        <v>0</v>
      </c>
      <c r="I45" s="7">
        <f t="shared" si="2"/>
        <v>0</v>
      </c>
      <c r="J45" s="8">
        <v>2411</v>
      </c>
      <c r="K45" s="9"/>
      <c r="L45" s="8">
        <f t="shared" si="3"/>
        <v>28932</v>
      </c>
      <c r="M45" s="7">
        <f t="shared" si="4"/>
        <v>0</v>
      </c>
      <c r="N45" s="10">
        <f t="shared" si="5"/>
        <v>1</v>
      </c>
      <c r="O45" s="11">
        <f t="shared" si="6"/>
        <v>0.17057237660721999</v>
      </c>
      <c r="P45" s="11"/>
      <c r="Q45" s="8">
        <f t="shared" si="7"/>
        <v>9870.0000000002001</v>
      </c>
      <c r="R45" s="12">
        <f t="shared" si="8"/>
        <v>0</v>
      </c>
    </row>
    <row r="46" spans="1:18" ht="14.25">
      <c r="A46" s="15">
        <v>45881</v>
      </c>
      <c r="B46" s="3">
        <f>Data_Entry!T136</f>
        <v>9959.9999999997799</v>
      </c>
      <c r="C46" s="3">
        <v>0</v>
      </c>
      <c r="D46" s="4">
        <f>Data_Entry!V136</f>
        <v>4.13</v>
      </c>
      <c r="E46" s="5">
        <f t="shared" si="0"/>
        <v>0.172127747822477</v>
      </c>
      <c r="F46" s="6">
        <v>0</v>
      </c>
      <c r="G46" s="6">
        <v>0</v>
      </c>
      <c r="H46" s="7">
        <f t="shared" si="1"/>
        <v>0</v>
      </c>
      <c r="I46" s="7">
        <f t="shared" si="2"/>
        <v>0</v>
      </c>
      <c r="J46" s="8">
        <v>2411</v>
      </c>
      <c r="K46" s="9"/>
      <c r="L46" s="8">
        <f t="shared" si="3"/>
        <v>28932</v>
      </c>
      <c r="M46" s="7">
        <f t="shared" si="4"/>
        <v>0</v>
      </c>
      <c r="N46" s="10">
        <f t="shared" si="5"/>
        <v>1</v>
      </c>
      <c r="O46" s="11">
        <f t="shared" si="6"/>
        <v>0.172127747822477</v>
      </c>
      <c r="P46" s="11"/>
      <c r="Q46" s="8">
        <f t="shared" si="7"/>
        <v>9959.9999999997799</v>
      </c>
      <c r="R46" s="12">
        <f t="shared" si="8"/>
        <v>0</v>
      </c>
    </row>
    <row r="47" spans="1:18" ht="14.25">
      <c r="A47" s="15">
        <v>45882</v>
      </c>
      <c r="B47" s="3">
        <f>Data_Entry!T137</f>
        <v>8669.9999999999309</v>
      </c>
      <c r="C47" s="3">
        <v>0</v>
      </c>
      <c r="D47" s="4">
        <f>Data_Entry!V137</f>
        <v>3.79</v>
      </c>
      <c r="E47" s="5">
        <f t="shared" si="0"/>
        <v>0.14983409373703699</v>
      </c>
      <c r="F47" s="6">
        <v>0</v>
      </c>
      <c r="G47" s="6">
        <v>0</v>
      </c>
      <c r="H47" s="7">
        <f t="shared" si="1"/>
        <v>0</v>
      </c>
      <c r="I47" s="7">
        <f t="shared" si="2"/>
        <v>0</v>
      </c>
      <c r="J47" s="8">
        <v>2411</v>
      </c>
      <c r="K47" s="9"/>
      <c r="L47" s="8">
        <f t="shared" si="3"/>
        <v>28932</v>
      </c>
      <c r="M47" s="7">
        <f t="shared" si="4"/>
        <v>0</v>
      </c>
      <c r="N47" s="10">
        <f t="shared" si="5"/>
        <v>1</v>
      </c>
      <c r="O47" s="11">
        <f t="shared" si="6"/>
        <v>0.14983409373703699</v>
      </c>
      <c r="P47" s="11"/>
      <c r="Q47" s="8">
        <f t="shared" si="7"/>
        <v>8669.9999999999309</v>
      </c>
      <c r="R47" s="12">
        <f t="shared" si="8"/>
        <v>0</v>
      </c>
    </row>
    <row r="48" spans="1:18" ht="14.25">
      <c r="A48" s="15">
        <v>45883</v>
      </c>
      <c r="B48" s="3">
        <f>Data_Entry!T138</f>
        <v>4050.00000000004</v>
      </c>
      <c r="C48" s="3">
        <v>0</v>
      </c>
      <c r="D48" s="4">
        <f>Data_Entry!V138</f>
        <v>1.54</v>
      </c>
      <c r="E48" s="5">
        <f t="shared" si="0"/>
        <v>6.9991704686852604E-2</v>
      </c>
      <c r="F48" s="6">
        <v>0</v>
      </c>
      <c r="G48" s="6">
        <v>0</v>
      </c>
      <c r="H48" s="7">
        <f t="shared" si="1"/>
        <v>0</v>
      </c>
      <c r="I48" s="7">
        <f t="shared" si="2"/>
        <v>0</v>
      </c>
      <c r="J48" s="8">
        <v>2411</v>
      </c>
      <c r="K48" s="9"/>
      <c r="L48" s="8">
        <f t="shared" si="3"/>
        <v>28932</v>
      </c>
      <c r="M48" s="7">
        <f t="shared" si="4"/>
        <v>0</v>
      </c>
      <c r="N48" s="10">
        <f t="shared" si="5"/>
        <v>1</v>
      </c>
      <c r="O48" s="11">
        <f t="shared" si="6"/>
        <v>6.9991704686852604E-2</v>
      </c>
      <c r="P48" s="11"/>
      <c r="Q48" s="8">
        <f t="shared" si="7"/>
        <v>4050.00000000004</v>
      </c>
      <c r="R48" s="12">
        <f t="shared" si="8"/>
        <v>0</v>
      </c>
    </row>
    <row r="49" spans="1:18" ht="14.25">
      <c r="A49" s="15">
        <v>45884</v>
      </c>
      <c r="B49" s="3">
        <f>Data_Entry!T139</f>
        <v>8370.0000000002001</v>
      </c>
      <c r="C49" s="3">
        <v>0</v>
      </c>
      <c r="D49" s="4">
        <f>Data_Entry!V139</f>
        <v>3.34</v>
      </c>
      <c r="E49" s="5">
        <f t="shared" si="0"/>
        <v>0.14464952301949799</v>
      </c>
      <c r="F49" s="6">
        <v>0</v>
      </c>
      <c r="G49" s="6">
        <v>0</v>
      </c>
      <c r="H49" s="7">
        <f t="shared" si="1"/>
        <v>0</v>
      </c>
      <c r="I49" s="7">
        <f t="shared" si="2"/>
        <v>0</v>
      </c>
      <c r="J49" s="8">
        <v>2411</v>
      </c>
      <c r="K49" s="9"/>
      <c r="L49" s="8">
        <f t="shared" si="3"/>
        <v>28932</v>
      </c>
      <c r="M49" s="7">
        <f t="shared" si="4"/>
        <v>0</v>
      </c>
      <c r="N49" s="10">
        <f t="shared" si="5"/>
        <v>1</v>
      </c>
      <c r="O49" s="11">
        <f t="shared" si="6"/>
        <v>0.14464952301949799</v>
      </c>
      <c r="P49" s="11"/>
      <c r="Q49" s="8">
        <f t="shared" si="7"/>
        <v>8370.0000000002001</v>
      </c>
      <c r="R49" s="12">
        <f t="shared" si="8"/>
        <v>0</v>
      </c>
    </row>
    <row r="50" spans="1:18" ht="14.25">
      <c r="A50" s="15">
        <v>45885</v>
      </c>
      <c r="B50" s="3">
        <f>Data_Entry!T140</f>
        <v>7440.00000000003</v>
      </c>
      <c r="C50" s="3">
        <v>0</v>
      </c>
      <c r="D50" s="4">
        <f>Data_Entry!V140</f>
        <v>3.05</v>
      </c>
      <c r="E50" s="5">
        <f t="shared" si="0"/>
        <v>0.12857735379510599</v>
      </c>
      <c r="F50" s="6">
        <v>0</v>
      </c>
      <c r="G50" s="6">
        <v>0</v>
      </c>
      <c r="H50" s="7">
        <f t="shared" si="1"/>
        <v>0</v>
      </c>
      <c r="I50" s="7">
        <f t="shared" si="2"/>
        <v>0</v>
      </c>
      <c r="J50" s="8">
        <v>2411</v>
      </c>
      <c r="K50" s="9"/>
      <c r="L50" s="8">
        <f t="shared" si="3"/>
        <v>28932</v>
      </c>
      <c r="M50" s="7">
        <f t="shared" si="4"/>
        <v>0</v>
      </c>
      <c r="N50" s="10">
        <f t="shared" si="5"/>
        <v>1</v>
      </c>
      <c r="O50" s="11">
        <f t="shared" si="6"/>
        <v>0.12857735379510599</v>
      </c>
      <c r="P50" s="11"/>
      <c r="Q50" s="8">
        <f t="shared" si="7"/>
        <v>7440.00000000003</v>
      </c>
      <c r="R50" s="12">
        <f t="shared" si="8"/>
        <v>0</v>
      </c>
    </row>
    <row r="51" spans="1:18" ht="14.25">
      <c r="A51" s="15">
        <v>45886</v>
      </c>
      <c r="B51" s="3">
        <f>Data_Entry!T141</f>
        <v>7739.9999999997599</v>
      </c>
      <c r="C51" s="3">
        <v>0</v>
      </c>
      <c r="D51" s="4">
        <f>Data_Entry!V141</f>
        <v>3.32</v>
      </c>
      <c r="E51" s="5">
        <f t="shared" si="0"/>
        <v>0.13376192451264601</v>
      </c>
      <c r="F51" s="6">
        <v>0</v>
      </c>
      <c r="G51" s="6">
        <v>0</v>
      </c>
      <c r="H51" s="7">
        <f t="shared" si="1"/>
        <v>0</v>
      </c>
      <c r="I51" s="7">
        <f t="shared" si="2"/>
        <v>0</v>
      </c>
      <c r="J51" s="8">
        <v>2411</v>
      </c>
      <c r="K51" s="9"/>
      <c r="L51" s="8">
        <f t="shared" si="3"/>
        <v>28932</v>
      </c>
      <c r="M51" s="7">
        <f t="shared" si="4"/>
        <v>0</v>
      </c>
      <c r="N51" s="10">
        <f t="shared" si="5"/>
        <v>1</v>
      </c>
      <c r="O51" s="11">
        <f t="shared" si="6"/>
        <v>0.13376192451264601</v>
      </c>
      <c r="P51" s="11"/>
      <c r="Q51" s="8">
        <f t="shared" si="7"/>
        <v>7739.9999999997599</v>
      </c>
      <c r="R51" s="12">
        <f t="shared" si="8"/>
        <v>0</v>
      </c>
    </row>
    <row r="52" spans="1:18" ht="14.25">
      <c r="A52" s="15">
        <v>45887</v>
      </c>
      <c r="B52" s="3">
        <f>Data_Entry!T142</f>
        <v>8370.0000000001801</v>
      </c>
      <c r="C52" s="3">
        <v>0</v>
      </c>
      <c r="D52" s="4">
        <f>Data_Entry!V142</f>
        <v>4</v>
      </c>
      <c r="E52" s="5">
        <f t="shared" si="0"/>
        <v>0.14464952301949699</v>
      </c>
      <c r="F52" s="6">
        <v>0</v>
      </c>
      <c r="G52" s="6">
        <v>0</v>
      </c>
      <c r="H52" s="7">
        <f t="shared" si="1"/>
        <v>0</v>
      </c>
      <c r="I52" s="7">
        <f t="shared" si="2"/>
        <v>0</v>
      </c>
      <c r="J52" s="8">
        <v>2411</v>
      </c>
      <c r="K52" s="9"/>
      <c r="L52" s="8">
        <f t="shared" si="3"/>
        <v>28932</v>
      </c>
      <c r="M52" s="7">
        <f t="shared" si="4"/>
        <v>0</v>
      </c>
      <c r="N52" s="10">
        <f t="shared" si="5"/>
        <v>1</v>
      </c>
      <c r="O52" s="11">
        <f t="shared" si="6"/>
        <v>0.14464952301949699</v>
      </c>
      <c r="P52" s="11"/>
      <c r="Q52" s="8">
        <f t="shared" si="7"/>
        <v>8370.0000000001801</v>
      </c>
      <c r="R52" s="12">
        <f t="shared" si="8"/>
        <v>0</v>
      </c>
    </row>
    <row r="53" spans="1:18" ht="14.25">
      <c r="A53" s="15">
        <v>45888</v>
      </c>
      <c r="B53" s="3">
        <f>Data_Entry!T143</f>
        <v>7679.9999999998099</v>
      </c>
      <c r="C53" s="3">
        <v>0</v>
      </c>
      <c r="D53" s="4">
        <f>Data_Entry!V143</f>
        <v>0</v>
      </c>
      <c r="E53" s="5">
        <f t="shared" si="0"/>
        <v>0.132725010369138</v>
      </c>
      <c r="F53" s="6">
        <v>0</v>
      </c>
      <c r="G53" s="6">
        <v>0</v>
      </c>
      <c r="H53" s="7">
        <f t="shared" si="1"/>
        <v>0</v>
      </c>
      <c r="I53" s="7">
        <f t="shared" si="2"/>
        <v>0</v>
      </c>
      <c r="J53" s="8">
        <v>2411</v>
      </c>
      <c r="K53" s="9"/>
      <c r="L53" s="8">
        <f t="shared" si="3"/>
        <v>28932</v>
      </c>
      <c r="M53" s="7">
        <f t="shared" si="4"/>
        <v>0</v>
      </c>
      <c r="N53" s="10">
        <f t="shared" si="5"/>
        <v>1</v>
      </c>
      <c r="O53" s="11">
        <f t="shared" si="6"/>
        <v>0.132725010369138</v>
      </c>
      <c r="P53" s="11"/>
      <c r="Q53" s="8">
        <f t="shared" si="7"/>
        <v>7679.9999999998099</v>
      </c>
      <c r="R53" s="12">
        <f t="shared" si="8"/>
        <v>0</v>
      </c>
    </row>
    <row r="54" spans="1:18" ht="14.25">
      <c r="A54" s="15">
        <v>45889</v>
      </c>
      <c r="B54" s="3">
        <f>Data_Entry!T144</f>
        <v>1050.00000000001</v>
      </c>
      <c r="C54" s="3">
        <v>0</v>
      </c>
      <c r="D54" s="4">
        <f>Data_Entry!V144</f>
        <v>0</v>
      </c>
      <c r="E54" s="5">
        <f t="shared" si="0"/>
        <v>1.81459975114063E-2</v>
      </c>
      <c r="F54" s="6">
        <v>0</v>
      </c>
      <c r="G54" s="6">
        <v>0</v>
      </c>
      <c r="H54" s="7">
        <f t="shared" si="1"/>
        <v>0</v>
      </c>
      <c r="I54" s="7">
        <f t="shared" si="2"/>
        <v>0</v>
      </c>
      <c r="J54" s="8">
        <v>2411</v>
      </c>
      <c r="K54" s="9"/>
      <c r="L54" s="8">
        <f t="shared" si="3"/>
        <v>28932</v>
      </c>
      <c r="M54" s="7">
        <f t="shared" si="4"/>
        <v>0</v>
      </c>
      <c r="N54" s="10">
        <f t="shared" si="5"/>
        <v>1</v>
      </c>
      <c r="O54" s="11">
        <f t="shared" si="6"/>
        <v>1.81459975114063E-2</v>
      </c>
      <c r="P54" s="11"/>
      <c r="Q54" s="8">
        <f t="shared" si="7"/>
        <v>1050.00000000001</v>
      </c>
      <c r="R54" s="12">
        <f t="shared" si="8"/>
        <v>0</v>
      </c>
    </row>
    <row r="55" spans="1:18" ht="14.25">
      <c r="A55" s="15">
        <v>45890</v>
      </c>
      <c r="B55" s="3">
        <f>Data_Entry!T145</f>
        <v>11040.0000000002</v>
      </c>
      <c r="C55" s="3">
        <v>0</v>
      </c>
      <c r="D55" s="4">
        <f>Data_Entry!V145</f>
        <v>0</v>
      </c>
      <c r="E55" s="5">
        <f t="shared" si="0"/>
        <v>0.19079220240564401</v>
      </c>
      <c r="F55" s="6">
        <v>0</v>
      </c>
      <c r="G55" s="6">
        <v>0</v>
      </c>
      <c r="H55" s="7">
        <f t="shared" si="1"/>
        <v>0</v>
      </c>
      <c r="I55" s="7">
        <f t="shared" si="2"/>
        <v>0</v>
      </c>
      <c r="J55" s="8">
        <v>2411</v>
      </c>
      <c r="K55" s="9"/>
      <c r="L55" s="8">
        <f t="shared" si="3"/>
        <v>28932</v>
      </c>
      <c r="M55" s="7">
        <f t="shared" si="4"/>
        <v>0</v>
      </c>
      <c r="N55" s="10">
        <f t="shared" si="5"/>
        <v>1</v>
      </c>
      <c r="O55" s="11">
        <f t="shared" si="6"/>
        <v>0.19079220240564401</v>
      </c>
      <c r="P55" s="11"/>
      <c r="Q55" s="8">
        <f t="shared" si="7"/>
        <v>11040.0000000002</v>
      </c>
      <c r="R55" s="12">
        <f t="shared" si="8"/>
        <v>0</v>
      </c>
    </row>
    <row r="56" spans="1:18" ht="14.25">
      <c r="A56" s="15">
        <v>45891</v>
      </c>
      <c r="B56" s="3">
        <f>Data_Entry!T146</f>
        <v>10110</v>
      </c>
      <c r="C56" s="3">
        <v>0</v>
      </c>
      <c r="D56" s="4">
        <f>Data_Entry!V146</f>
        <v>0</v>
      </c>
      <c r="E56" s="5">
        <f t="shared" si="0"/>
        <v>0.17472003318125201</v>
      </c>
      <c r="F56" s="6">
        <v>0</v>
      </c>
      <c r="G56" s="6">
        <v>0</v>
      </c>
      <c r="H56" s="7">
        <f t="shared" si="1"/>
        <v>0</v>
      </c>
      <c r="I56" s="7">
        <f t="shared" si="2"/>
        <v>0</v>
      </c>
      <c r="J56" s="8">
        <v>2411</v>
      </c>
      <c r="K56" s="9"/>
      <c r="L56" s="8">
        <f t="shared" si="3"/>
        <v>28932</v>
      </c>
      <c r="M56" s="7">
        <f t="shared" si="4"/>
        <v>0</v>
      </c>
      <c r="N56" s="10">
        <f t="shared" si="5"/>
        <v>1</v>
      </c>
      <c r="O56" s="11">
        <f t="shared" si="6"/>
        <v>0.17472003318125201</v>
      </c>
      <c r="P56" s="11"/>
      <c r="Q56" s="8">
        <f t="shared" si="7"/>
        <v>10110</v>
      </c>
      <c r="R56" s="12">
        <f t="shared" si="8"/>
        <v>0</v>
      </c>
    </row>
    <row r="57" spans="1:18" ht="14.25">
      <c r="A57" s="15">
        <v>45892</v>
      </c>
      <c r="B57" s="3">
        <f>Data_Entry!T147</f>
        <v>6539.9999999998199</v>
      </c>
      <c r="C57" s="3">
        <v>0</v>
      </c>
      <c r="D57" s="4">
        <f>Data_Entry!V147</f>
        <v>0</v>
      </c>
      <c r="E57" s="5">
        <f t="shared" si="0"/>
        <v>0.113023641642469</v>
      </c>
      <c r="F57" s="6">
        <v>0</v>
      </c>
      <c r="G57" s="6">
        <v>0</v>
      </c>
      <c r="H57" s="7">
        <f t="shared" si="1"/>
        <v>0</v>
      </c>
      <c r="I57" s="7">
        <f t="shared" si="2"/>
        <v>0</v>
      </c>
      <c r="J57" s="8">
        <v>2411</v>
      </c>
      <c r="K57" s="9"/>
      <c r="L57" s="8">
        <f t="shared" si="3"/>
        <v>28932</v>
      </c>
      <c r="M57" s="7">
        <f t="shared" si="4"/>
        <v>0</v>
      </c>
      <c r="N57" s="10">
        <f t="shared" si="5"/>
        <v>1</v>
      </c>
      <c r="O57" s="11">
        <f t="shared" si="6"/>
        <v>0.113023641642469</v>
      </c>
      <c r="P57" s="11"/>
      <c r="Q57" s="8">
        <f t="shared" si="7"/>
        <v>6539.9999999998199</v>
      </c>
      <c r="R57" s="12">
        <f t="shared" si="8"/>
        <v>0</v>
      </c>
    </row>
    <row r="58" spans="1:18" ht="14.25">
      <c r="A58" s="15">
        <v>45893</v>
      </c>
      <c r="B58" s="3">
        <f>Data_Entry!T148</f>
        <v>3060.0000000002601</v>
      </c>
      <c r="C58" s="3">
        <v>0</v>
      </c>
      <c r="D58" s="4">
        <f>Data_Entry!V148</f>
        <v>0</v>
      </c>
      <c r="E58" s="5">
        <f t="shared" si="0"/>
        <v>5.2882621318959301E-2</v>
      </c>
      <c r="F58" s="6">
        <v>0</v>
      </c>
      <c r="G58" s="6">
        <v>0</v>
      </c>
      <c r="H58" s="7">
        <f t="shared" si="1"/>
        <v>0</v>
      </c>
      <c r="I58" s="7">
        <f t="shared" si="2"/>
        <v>0</v>
      </c>
      <c r="J58" s="8">
        <v>2411</v>
      </c>
      <c r="K58" s="9"/>
      <c r="L58" s="8">
        <f t="shared" si="3"/>
        <v>28932</v>
      </c>
      <c r="M58" s="7">
        <f t="shared" si="4"/>
        <v>0</v>
      </c>
      <c r="N58" s="10">
        <f t="shared" si="5"/>
        <v>1</v>
      </c>
      <c r="O58" s="11">
        <f t="shared" si="6"/>
        <v>5.2882621318959301E-2</v>
      </c>
      <c r="P58" s="11"/>
      <c r="Q58" s="8">
        <f t="shared" si="7"/>
        <v>3060.0000000002601</v>
      </c>
      <c r="R58" s="12">
        <f t="shared" si="8"/>
        <v>0</v>
      </c>
    </row>
    <row r="59" spans="1:18" ht="14.25">
      <c r="A59" s="15">
        <v>45894</v>
      </c>
      <c r="B59" s="3">
        <f>Data_Entry!T149</f>
        <v>7169.99999999993</v>
      </c>
      <c r="C59" s="3">
        <v>0</v>
      </c>
      <c r="D59" s="4">
        <f>Data_Entry!V149</f>
        <v>0</v>
      </c>
      <c r="E59" s="5">
        <f t="shared" si="0"/>
        <v>0.123911240149314</v>
      </c>
      <c r="F59" s="6">
        <v>0</v>
      </c>
      <c r="G59" s="6">
        <v>0</v>
      </c>
      <c r="H59" s="7">
        <f t="shared" si="1"/>
        <v>0</v>
      </c>
      <c r="I59" s="7">
        <f t="shared" si="2"/>
        <v>0</v>
      </c>
      <c r="J59" s="8">
        <v>2411</v>
      </c>
      <c r="K59" s="9"/>
      <c r="L59" s="8">
        <f t="shared" si="3"/>
        <v>28932</v>
      </c>
      <c r="M59" s="7">
        <f t="shared" si="4"/>
        <v>0</v>
      </c>
      <c r="N59" s="10">
        <f t="shared" si="5"/>
        <v>1</v>
      </c>
      <c r="O59" s="11">
        <f t="shared" si="6"/>
        <v>0.123911240149314</v>
      </c>
      <c r="P59" s="11"/>
      <c r="Q59" s="8">
        <f t="shared" si="7"/>
        <v>7169.99999999993</v>
      </c>
      <c r="R59" s="12">
        <f t="shared" si="8"/>
        <v>0</v>
      </c>
    </row>
    <row r="60" spans="1:18" ht="14.25">
      <c r="A60" s="15">
        <v>45895</v>
      </c>
      <c r="B60" s="3">
        <f>Data_Entry!T150</f>
        <v>5910.00000000003</v>
      </c>
      <c r="C60" s="3">
        <v>0</v>
      </c>
      <c r="D60" s="4">
        <f>Data_Entry!V150</f>
        <v>0</v>
      </c>
      <c r="E60" s="5">
        <f t="shared" si="0"/>
        <v>0.102136043135629</v>
      </c>
      <c r="F60" s="6">
        <v>0</v>
      </c>
      <c r="G60" s="6">
        <v>0</v>
      </c>
      <c r="H60" s="7">
        <f t="shared" si="1"/>
        <v>0</v>
      </c>
      <c r="I60" s="7">
        <f t="shared" si="2"/>
        <v>0</v>
      </c>
      <c r="J60" s="8">
        <v>2411</v>
      </c>
      <c r="K60" s="9"/>
      <c r="L60" s="8">
        <f t="shared" si="3"/>
        <v>28932</v>
      </c>
      <c r="M60" s="7">
        <f t="shared" si="4"/>
        <v>0</v>
      </c>
      <c r="N60" s="10">
        <f t="shared" si="5"/>
        <v>1</v>
      </c>
      <c r="O60" s="11">
        <f t="shared" si="6"/>
        <v>0.102136043135629</v>
      </c>
      <c r="P60" s="11"/>
      <c r="Q60" s="8">
        <f t="shared" si="7"/>
        <v>5910.00000000003</v>
      </c>
      <c r="R60" s="12">
        <f t="shared" si="8"/>
        <v>0</v>
      </c>
    </row>
    <row r="61" spans="1:18" ht="14.25">
      <c r="A61" s="15">
        <v>45896</v>
      </c>
      <c r="B61" s="3">
        <f>Data_Entry!T151</f>
        <v>8580.0000000000091</v>
      </c>
      <c r="C61" s="3">
        <v>0</v>
      </c>
      <c r="D61" s="4">
        <f>Data_Entry!V151</f>
        <v>0</v>
      </c>
      <c r="E61" s="5">
        <f t="shared" si="0"/>
        <v>0.14827872252177501</v>
      </c>
      <c r="F61" s="6">
        <v>0</v>
      </c>
      <c r="G61" s="6">
        <v>0</v>
      </c>
      <c r="H61" s="7">
        <f t="shared" si="1"/>
        <v>0</v>
      </c>
      <c r="I61" s="7">
        <f t="shared" si="2"/>
        <v>0</v>
      </c>
      <c r="J61" s="8">
        <v>2411</v>
      </c>
      <c r="K61" s="9"/>
      <c r="L61" s="8">
        <f t="shared" si="3"/>
        <v>28932</v>
      </c>
      <c r="M61" s="7">
        <f t="shared" si="4"/>
        <v>0</v>
      </c>
      <c r="N61" s="10">
        <f t="shared" si="5"/>
        <v>1</v>
      </c>
      <c r="O61" s="11">
        <f t="shared" si="6"/>
        <v>0.14827872252177501</v>
      </c>
      <c r="P61" s="11"/>
      <c r="Q61" s="8">
        <f t="shared" si="7"/>
        <v>8580.0000000000091</v>
      </c>
      <c r="R61" s="12">
        <f t="shared" si="8"/>
        <v>0</v>
      </c>
    </row>
    <row r="62" spans="1:18" ht="14.25">
      <c r="A62" s="15">
        <v>45897</v>
      </c>
      <c r="B62" s="3">
        <f>Data_Entry!T152</f>
        <v>8550.00000000004</v>
      </c>
      <c r="C62" s="3">
        <v>0</v>
      </c>
      <c r="D62" s="4">
        <f>Data_Entry!V152</f>
        <v>0</v>
      </c>
      <c r="E62" s="5">
        <f t="shared" si="0"/>
        <v>0.14776026545002099</v>
      </c>
      <c r="F62" s="6">
        <v>0</v>
      </c>
      <c r="G62" s="6">
        <v>0</v>
      </c>
      <c r="H62" s="7">
        <f t="shared" si="1"/>
        <v>0</v>
      </c>
      <c r="I62" s="7">
        <f t="shared" si="2"/>
        <v>0</v>
      </c>
      <c r="J62" s="8">
        <v>2411</v>
      </c>
      <c r="K62" s="9"/>
      <c r="L62" s="8">
        <f t="shared" si="3"/>
        <v>28932</v>
      </c>
      <c r="M62" s="7">
        <f t="shared" si="4"/>
        <v>0</v>
      </c>
      <c r="N62" s="10">
        <f t="shared" si="5"/>
        <v>1</v>
      </c>
      <c r="O62" s="11">
        <f t="shared" si="6"/>
        <v>0.14776026545002099</v>
      </c>
      <c r="P62" s="11"/>
      <c r="Q62" s="8">
        <f t="shared" si="7"/>
        <v>8550.00000000004</v>
      </c>
      <c r="R62" s="12">
        <f t="shared" si="8"/>
        <v>0</v>
      </c>
    </row>
    <row r="63" spans="1:18" ht="14.25">
      <c r="A63" s="15">
        <v>45898</v>
      </c>
      <c r="B63" s="3">
        <f>Data_Entry!T153</f>
        <v>6869.9999999998399</v>
      </c>
      <c r="C63" s="3">
        <v>0</v>
      </c>
      <c r="D63" s="4">
        <f>Data_Entry!V153</f>
        <v>0</v>
      </c>
      <c r="E63" s="5">
        <f t="shared" si="0"/>
        <v>0.118726669431768</v>
      </c>
      <c r="F63" s="6">
        <v>0</v>
      </c>
      <c r="G63" s="6">
        <v>0</v>
      </c>
      <c r="H63" s="7">
        <f t="shared" si="1"/>
        <v>0</v>
      </c>
      <c r="I63" s="7">
        <f t="shared" si="2"/>
        <v>0</v>
      </c>
      <c r="J63" s="8">
        <v>2411</v>
      </c>
      <c r="K63" s="9"/>
      <c r="L63" s="8">
        <f t="shared" si="3"/>
        <v>28932</v>
      </c>
      <c r="M63" s="7">
        <f t="shared" si="4"/>
        <v>0</v>
      </c>
      <c r="N63" s="10">
        <f t="shared" si="5"/>
        <v>1</v>
      </c>
      <c r="O63" s="11">
        <f t="shared" si="6"/>
        <v>0.118726669431768</v>
      </c>
      <c r="P63" s="11"/>
      <c r="Q63" s="8">
        <f t="shared" si="7"/>
        <v>6869.9999999998399</v>
      </c>
      <c r="R63" s="12">
        <f t="shared" si="8"/>
        <v>0</v>
      </c>
    </row>
    <row r="64" spans="1:18" ht="14.25">
      <c r="A64" s="15">
        <v>45899</v>
      </c>
      <c r="B64" s="3">
        <f>Data_Entry!T154</f>
        <v>7080.00000000001</v>
      </c>
      <c r="C64" s="3">
        <v>0</v>
      </c>
      <c r="D64" s="4">
        <f>Data_Entry!V154</f>
        <v>0</v>
      </c>
      <c r="E64" s="5">
        <f t="shared" si="0"/>
        <v>0.12235586893405299</v>
      </c>
      <c r="F64" s="6">
        <v>0</v>
      </c>
      <c r="G64" s="6">
        <v>0</v>
      </c>
      <c r="H64" s="7">
        <f t="shared" si="1"/>
        <v>0</v>
      </c>
      <c r="I64" s="7">
        <f t="shared" si="2"/>
        <v>0</v>
      </c>
      <c r="J64" s="8">
        <v>2411</v>
      </c>
      <c r="K64" s="9"/>
      <c r="L64" s="8">
        <f t="shared" si="3"/>
        <v>28932</v>
      </c>
      <c r="M64" s="7">
        <f t="shared" si="4"/>
        <v>0</v>
      </c>
      <c r="N64" s="10">
        <f t="shared" si="5"/>
        <v>1</v>
      </c>
      <c r="O64" s="11">
        <f t="shared" si="6"/>
        <v>0.12235586893405299</v>
      </c>
      <c r="P64" s="11"/>
      <c r="Q64" s="8">
        <f t="shared" si="7"/>
        <v>7080.00000000001</v>
      </c>
      <c r="R64" s="12">
        <f t="shared" si="8"/>
        <v>0</v>
      </c>
    </row>
    <row r="65" spans="1:18" ht="14.25">
      <c r="A65" s="15">
        <v>45900</v>
      </c>
      <c r="B65" s="3">
        <f>Data_Entry!T155</f>
        <v>8279.9999999999509</v>
      </c>
      <c r="C65" s="3">
        <v>0</v>
      </c>
      <c r="D65" s="4">
        <f>Data_Entry!V155</f>
        <v>0</v>
      </c>
      <c r="E65" s="5">
        <f t="shared" si="0"/>
        <v>0.14309415180422999</v>
      </c>
      <c r="F65" s="6">
        <v>0</v>
      </c>
      <c r="G65" s="6">
        <v>0</v>
      </c>
      <c r="H65" s="7">
        <f t="shared" si="1"/>
        <v>0</v>
      </c>
      <c r="I65" s="7">
        <f t="shared" si="2"/>
        <v>0</v>
      </c>
      <c r="J65" s="8">
        <v>2411</v>
      </c>
      <c r="K65" s="9"/>
      <c r="L65" s="8">
        <f t="shared" si="3"/>
        <v>28932</v>
      </c>
      <c r="M65" s="7">
        <f t="shared" si="4"/>
        <v>0</v>
      </c>
      <c r="N65" s="10">
        <f t="shared" si="5"/>
        <v>1</v>
      </c>
      <c r="O65" s="11">
        <f t="shared" si="6"/>
        <v>0.14309415180422999</v>
      </c>
      <c r="P65" s="11"/>
      <c r="Q65" s="8">
        <f t="shared" si="7"/>
        <v>8279.9999999999509</v>
      </c>
      <c r="R65" s="12">
        <f t="shared" si="8"/>
        <v>0</v>
      </c>
    </row>
    <row r="66" spans="1:18" ht="14.25">
      <c r="A66" s="15">
        <v>45901</v>
      </c>
      <c r="B66" s="3">
        <f>Data_Entry!T156</f>
        <v>6060.0000000002601</v>
      </c>
      <c r="C66" s="3">
        <v>0</v>
      </c>
      <c r="D66" s="4">
        <f>Data_Entry!V156</f>
        <v>0</v>
      </c>
      <c r="E66" s="5">
        <f t="shared" si="0"/>
        <v>0.104728328494405</v>
      </c>
      <c r="F66" s="6">
        <v>0</v>
      </c>
      <c r="G66" s="6">
        <v>0</v>
      </c>
      <c r="H66" s="7">
        <f t="shared" si="1"/>
        <v>0</v>
      </c>
      <c r="I66" s="7">
        <f t="shared" si="2"/>
        <v>0</v>
      </c>
      <c r="J66" s="8">
        <v>2411</v>
      </c>
      <c r="K66" s="9"/>
      <c r="L66" s="8">
        <f t="shared" si="3"/>
        <v>28932</v>
      </c>
      <c r="M66" s="7">
        <f t="shared" si="4"/>
        <v>0</v>
      </c>
      <c r="N66" s="10">
        <f t="shared" si="5"/>
        <v>1</v>
      </c>
      <c r="O66" s="11">
        <f t="shared" si="6"/>
        <v>0.104728328494405</v>
      </c>
      <c r="P66" s="11"/>
      <c r="Q66" s="8">
        <f t="shared" si="7"/>
        <v>6060.0000000002601</v>
      </c>
      <c r="R66" s="12">
        <f t="shared" si="8"/>
        <v>0</v>
      </c>
    </row>
    <row r="67" spans="1:18" ht="14.25">
      <c r="A67" s="15">
        <v>45902</v>
      </c>
      <c r="B67" s="3">
        <f>Data_Entry!T157</f>
        <v>9539.9999999998199</v>
      </c>
      <c r="C67" s="3">
        <v>0</v>
      </c>
      <c r="D67" s="4">
        <f>Data_Entry!V157</f>
        <v>0</v>
      </c>
      <c r="E67" s="5">
        <f t="shared" si="0"/>
        <v>0.16486934881791501</v>
      </c>
      <c r="F67" s="6">
        <v>0</v>
      </c>
      <c r="G67" s="6">
        <v>0</v>
      </c>
      <c r="H67" s="7">
        <f t="shared" si="1"/>
        <v>0</v>
      </c>
      <c r="I67" s="7">
        <f t="shared" si="2"/>
        <v>0</v>
      </c>
      <c r="J67" s="8">
        <v>2411</v>
      </c>
      <c r="K67" s="9"/>
      <c r="L67" s="8">
        <f t="shared" si="3"/>
        <v>28932</v>
      </c>
      <c r="M67" s="7">
        <f t="shared" si="4"/>
        <v>0</v>
      </c>
      <c r="N67" s="10">
        <f t="shared" si="5"/>
        <v>1</v>
      </c>
      <c r="O67" s="11">
        <f t="shared" si="6"/>
        <v>0.16486934881791501</v>
      </c>
      <c r="P67" s="11"/>
      <c r="Q67" s="8">
        <f t="shared" si="7"/>
        <v>9539.9999999998199</v>
      </c>
      <c r="R67" s="12">
        <f t="shared" si="8"/>
        <v>0</v>
      </c>
    </row>
    <row r="68" spans="1:18" ht="14.25">
      <c r="A68" s="15">
        <v>45903</v>
      </c>
      <c r="B68" s="3">
        <f>Data_Entry!T158</f>
        <v>10529.9999999999</v>
      </c>
      <c r="C68" s="3">
        <v>0</v>
      </c>
      <c r="D68" s="4">
        <f>Data_Entry!V158</f>
        <v>0</v>
      </c>
      <c r="E68" s="5">
        <f t="shared" ref="E68:E131" si="9">B68/(24*J68)</f>
        <v>0.181978432185814</v>
      </c>
      <c r="F68" s="6">
        <v>0</v>
      </c>
      <c r="G68" s="6">
        <v>0</v>
      </c>
      <c r="H68" s="7">
        <f t="shared" ref="H68:H131" si="10">(G68-F68)*24*60</f>
        <v>0</v>
      </c>
      <c r="I68" s="7">
        <f t="shared" ref="I68:I131" si="11">H68/60</f>
        <v>0</v>
      </c>
      <c r="J68" s="8">
        <v>2411</v>
      </c>
      <c r="K68" s="9"/>
      <c r="L68" s="8">
        <f t="shared" ref="L68:L131" si="12">J68*12</f>
        <v>28932</v>
      </c>
      <c r="M68" s="7">
        <f t="shared" ref="M68:M131" si="13">K68*I68</f>
        <v>0</v>
      </c>
      <c r="N68" s="10">
        <f t="shared" ref="N68:N131" si="14">(L68-M68)/L68</f>
        <v>1</v>
      </c>
      <c r="O68" s="11">
        <f t="shared" ref="O68:O131" si="15">E68/N68</f>
        <v>0.181978432185814</v>
      </c>
      <c r="P68" s="11"/>
      <c r="Q68" s="8">
        <f t="shared" ref="Q68:Q131" si="16">O68*J68*24</f>
        <v>10529.9999999999</v>
      </c>
      <c r="R68" s="12">
        <f t="shared" ref="R68:R131" si="17">Q68-B68</f>
        <v>0</v>
      </c>
    </row>
    <row r="69" spans="1:18" ht="14.25">
      <c r="A69" s="15">
        <v>45904</v>
      </c>
      <c r="B69" s="3">
        <f>Data_Entry!T159</f>
        <v>7499.99999999997</v>
      </c>
      <c r="C69" s="3">
        <v>0</v>
      </c>
      <c r="D69" s="4">
        <f>Data_Entry!V159</f>
        <v>0</v>
      </c>
      <c r="E69" s="5">
        <f t="shared" si="9"/>
        <v>0.129614267938614</v>
      </c>
      <c r="F69" s="6">
        <v>0</v>
      </c>
      <c r="G69" s="6">
        <v>0</v>
      </c>
      <c r="H69" s="7">
        <f t="shared" si="10"/>
        <v>0</v>
      </c>
      <c r="I69" s="7">
        <f t="shared" si="11"/>
        <v>0</v>
      </c>
      <c r="J69" s="8">
        <v>2411</v>
      </c>
      <c r="K69" s="9"/>
      <c r="L69" s="8">
        <f t="shared" si="12"/>
        <v>28932</v>
      </c>
      <c r="M69" s="7">
        <f t="shared" si="13"/>
        <v>0</v>
      </c>
      <c r="N69" s="10">
        <f t="shared" si="14"/>
        <v>1</v>
      </c>
      <c r="O69" s="11">
        <f t="shared" si="15"/>
        <v>0.129614267938614</v>
      </c>
      <c r="P69" s="11"/>
      <c r="Q69" s="8">
        <f t="shared" si="16"/>
        <v>7499.99999999997</v>
      </c>
      <c r="R69" s="12">
        <f t="shared" si="17"/>
        <v>0</v>
      </c>
    </row>
    <row r="70" spans="1:18" ht="14.25">
      <c r="A70" s="15">
        <v>45905</v>
      </c>
      <c r="B70" s="3">
        <f>Data_Entry!T160</f>
        <v>4919.99999999993</v>
      </c>
      <c r="C70" s="3">
        <v>0</v>
      </c>
      <c r="D70" s="4">
        <f>Data_Entry!V160</f>
        <v>0</v>
      </c>
      <c r="E70" s="5">
        <f t="shared" si="9"/>
        <v>8.5026959767730101E-2</v>
      </c>
      <c r="F70" s="6">
        <v>0</v>
      </c>
      <c r="G70" s="6">
        <v>0</v>
      </c>
      <c r="H70" s="7">
        <f t="shared" si="10"/>
        <v>0</v>
      </c>
      <c r="I70" s="7">
        <f t="shared" si="11"/>
        <v>0</v>
      </c>
      <c r="J70" s="8">
        <v>2411</v>
      </c>
      <c r="K70" s="9"/>
      <c r="L70" s="8">
        <f t="shared" si="12"/>
        <v>28932</v>
      </c>
      <c r="M70" s="7">
        <f t="shared" si="13"/>
        <v>0</v>
      </c>
      <c r="N70" s="10">
        <f t="shared" si="14"/>
        <v>1</v>
      </c>
      <c r="O70" s="11">
        <f t="shared" si="15"/>
        <v>8.5026959767730101E-2</v>
      </c>
      <c r="P70" s="11"/>
      <c r="Q70" s="8">
        <f t="shared" si="16"/>
        <v>4919.99999999993</v>
      </c>
      <c r="R70" s="12">
        <f t="shared" si="17"/>
        <v>0</v>
      </c>
    </row>
    <row r="71" spans="1:18" ht="14.25">
      <c r="A71" s="15">
        <v>45906</v>
      </c>
      <c r="B71" s="3">
        <f>Data_Entry!T161</f>
        <v>2910.00000000003</v>
      </c>
      <c r="C71" s="3">
        <v>0</v>
      </c>
      <c r="D71" s="4">
        <f>Data_Entry!V161</f>
        <v>0</v>
      </c>
      <c r="E71" s="5">
        <f t="shared" si="9"/>
        <v>5.0290335960183001E-2</v>
      </c>
      <c r="F71" s="6">
        <v>0</v>
      </c>
      <c r="G71" s="6">
        <v>0</v>
      </c>
      <c r="H71" s="7">
        <f t="shared" si="10"/>
        <v>0</v>
      </c>
      <c r="I71" s="7">
        <f t="shared" si="11"/>
        <v>0</v>
      </c>
      <c r="J71" s="8">
        <v>2411</v>
      </c>
      <c r="K71" s="9"/>
      <c r="L71" s="8">
        <f t="shared" si="12"/>
        <v>28932</v>
      </c>
      <c r="M71" s="7">
        <f t="shared" si="13"/>
        <v>0</v>
      </c>
      <c r="N71" s="10">
        <f t="shared" si="14"/>
        <v>1</v>
      </c>
      <c r="O71" s="11">
        <f t="shared" si="15"/>
        <v>5.0290335960183001E-2</v>
      </c>
      <c r="P71" s="11"/>
      <c r="Q71" s="8">
        <f t="shared" si="16"/>
        <v>2910.00000000003</v>
      </c>
      <c r="R71" s="12">
        <f t="shared" si="17"/>
        <v>0</v>
      </c>
    </row>
    <row r="72" spans="1:18" ht="14.25">
      <c r="A72" s="15">
        <v>45907</v>
      </c>
      <c r="B72" s="3">
        <f>Data_Entry!T162</f>
        <v>3749.99999999997</v>
      </c>
      <c r="C72" s="3">
        <v>1</v>
      </c>
      <c r="D72" s="4">
        <f>Data_Entry!V162</f>
        <v>0</v>
      </c>
      <c r="E72" s="5">
        <f t="shared" si="9"/>
        <v>6.4807133969306902E-2</v>
      </c>
      <c r="F72" s="6">
        <v>0.29166666666666702</v>
      </c>
      <c r="G72" s="6">
        <v>0.66666666666666696</v>
      </c>
      <c r="H72" s="7">
        <f t="shared" si="10"/>
        <v>540</v>
      </c>
      <c r="I72" s="7">
        <f t="shared" si="11"/>
        <v>9</v>
      </c>
      <c r="J72" s="8">
        <v>2411</v>
      </c>
      <c r="K72" s="9">
        <v>330</v>
      </c>
      <c r="L72" s="8">
        <f t="shared" si="12"/>
        <v>28932</v>
      </c>
      <c r="M72" s="7">
        <f t="shared" si="13"/>
        <v>2970</v>
      </c>
      <c r="N72" s="10">
        <f t="shared" si="14"/>
        <v>0.89734549979261702</v>
      </c>
      <c r="O72" s="11">
        <f t="shared" si="15"/>
        <v>7.2220938294429798E-2</v>
      </c>
      <c r="P72" s="11"/>
      <c r="Q72" s="8">
        <f t="shared" si="16"/>
        <v>4178.99237346889</v>
      </c>
      <c r="R72" s="12">
        <f t="shared" si="17"/>
        <v>428.99237346891402</v>
      </c>
    </row>
    <row r="73" spans="1:18" ht="14.25">
      <c r="A73" s="15">
        <v>45908</v>
      </c>
      <c r="B73" s="3">
        <f>Data_Entry!T163</f>
        <v>4500.0000000003101</v>
      </c>
      <c r="C73" s="3">
        <v>0</v>
      </c>
      <c r="D73" s="4">
        <f>Data_Entry!V163</f>
        <v>0</v>
      </c>
      <c r="E73" s="5">
        <f t="shared" si="9"/>
        <v>7.7768560763174205E-2</v>
      </c>
      <c r="F73" s="6">
        <v>0</v>
      </c>
      <c r="G73" s="6">
        <v>0</v>
      </c>
      <c r="H73" s="7">
        <f t="shared" si="10"/>
        <v>0</v>
      </c>
      <c r="I73" s="7">
        <f t="shared" si="11"/>
        <v>0</v>
      </c>
      <c r="J73" s="8">
        <v>2411</v>
      </c>
      <c r="K73" s="9"/>
      <c r="L73" s="8">
        <f t="shared" si="12"/>
        <v>28932</v>
      </c>
      <c r="M73" s="7">
        <f t="shared" si="13"/>
        <v>0</v>
      </c>
      <c r="N73" s="10">
        <f t="shared" si="14"/>
        <v>1</v>
      </c>
      <c r="O73" s="11">
        <f t="shared" si="15"/>
        <v>7.7768560763174205E-2</v>
      </c>
      <c r="P73" s="11"/>
      <c r="Q73" s="8">
        <f t="shared" si="16"/>
        <v>4500.0000000003101</v>
      </c>
      <c r="R73" s="12">
        <f t="shared" si="17"/>
        <v>0</v>
      </c>
    </row>
    <row r="74" spans="1:18" ht="14.25">
      <c r="A74" s="15">
        <v>45909</v>
      </c>
      <c r="B74" s="3">
        <f>Data_Entry!T164</f>
        <v>11970</v>
      </c>
      <c r="C74" s="3">
        <v>0</v>
      </c>
      <c r="D74" s="4">
        <f>Data_Entry!V164</f>
        <v>0</v>
      </c>
      <c r="E74" s="5">
        <f t="shared" si="9"/>
        <v>0.20686437163002899</v>
      </c>
      <c r="F74" s="6">
        <v>0</v>
      </c>
      <c r="G74" s="6">
        <v>0</v>
      </c>
      <c r="H74" s="7">
        <f t="shared" si="10"/>
        <v>0</v>
      </c>
      <c r="I74" s="7">
        <f t="shared" si="11"/>
        <v>0</v>
      </c>
      <c r="J74" s="8">
        <v>2411</v>
      </c>
      <c r="K74" s="9"/>
      <c r="L74" s="8">
        <f t="shared" si="12"/>
        <v>28932</v>
      </c>
      <c r="M74" s="7">
        <f t="shared" si="13"/>
        <v>0</v>
      </c>
      <c r="N74" s="10">
        <f t="shared" si="14"/>
        <v>1</v>
      </c>
      <c r="O74" s="11">
        <f t="shared" si="15"/>
        <v>0.20686437163002899</v>
      </c>
      <c r="P74" s="11"/>
      <c r="Q74" s="8">
        <f t="shared" si="16"/>
        <v>11970</v>
      </c>
      <c r="R74" s="12">
        <f t="shared" si="17"/>
        <v>0</v>
      </c>
    </row>
    <row r="75" spans="1:18" ht="14.25">
      <c r="A75" s="15">
        <v>45910</v>
      </c>
      <c r="B75" s="3">
        <f>Data_Entry!T165</f>
        <v>12119.9999999999</v>
      </c>
      <c r="C75" s="3">
        <v>0</v>
      </c>
      <c r="D75" s="4">
        <f>Data_Entry!V165</f>
        <v>0</v>
      </c>
      <c r="E75" s="5">
        <f t="shared" si="9"/>
        <v>0.20945665698879901</v>
      </c>
      <c r="F75" s="6">
        <v>0</v>
      </c>
      <c r="G75" s="6">
        <v>0</v>
      </c>
      <c r="H75" s="7">
        <f t="shared" si="10"/>
        <v>0</v>
      </c>
      <c r="I75" s="7">
        <f t="shared" si="11"/>
        <v>0</v>
      </c>
      <c r="J75" s="8">
        <v>2411</v>
      </c>
      <c r="K75" s="9"/>
      <c r="L75" s="8">
        <f t="shared" si="12"/>
        <v>28932</v>
      </c>
      <c r="M75" s="7">
        <f t="shared" si="13"/>
        <v>0</v>
      </c>
      <c r="N75" s="10">
        <f t="shared" si="14"/>
        <v>1</v>
      </c>
      <c r="O75" s="11">
        <f t="shared" si="15"/>
        <v>0.20945665698879901</v>
      </c>
      <c r="P75" s="11"/>
      <c r="Q75" s="8">
        <f t="shared" si="16"/>
        <v>12119.9999999999</v>
      </c>
      <c r="R75" s="12">
        <f t="shared" si="17"/>
        <v>0</v>
      </c>
    </row>
    <row r="76" spans="1:18" ht="14.25">
      <c r="A76" s="15">
        <v>45911</v>
      </c>
      <c r="B76" s="3">
        <f>Data_Entry!T166</f>
        <v>13199.9999999999</v>
      </c>
      <c r="C76" s="3">
        <v>0</v>
      </c>
      <c r="D76" s="4">
        <f>Data_Entry!V166</f>
        <v>0</v>
      </c>
      <c r="E76" s="5">
        <f t="shared" si="9"/>
        <v>0.22812111157195999</v>
      </c>
      <c r="F76" s="6">
        <v>0</v>
      </c>
      <c r="G76" s="6">
        <v>0</v>
      </c>
      <c r="H76" s="7">
        <f t="shared" si="10"/>
        <v>0</v>
      </c>
      <c r="I76" s="7">
        <f t="shared" si="11"/>
        <v>0</v>
      </c>
      <c r="J76" s="8">
        <v>2411</v>
      </c>
      <c r="K76" s="9"/>
      <c r="L76" s="8">
        <f t="shared" si="12"/>
        <v>28932</v>
      </c>
      <c r="M76" s="7">
        <f t="shared" si="13"/>
        <v>0</v>
      </c>
      <c r="N76" s="10">
        <f t="shared" si="14"/>
        <v>1</v>
      </c>
      <c r="O76" s="11">
        <f t="shared" si="15"/>
        <v>0.22812111157195999</v>
      </c>
      <c r="P76" s="11"/>
      <c r="Q76" s="8">
        <f t="shared" si="16"/>
        <v>13199.9999999999</v>
      </c>
      <c r="R76" s="12">
        <f t="shared" si="17"/>
        <v>0</v>
      </c>
    </row>
    <row r="77" spans="1:18" ht="14.25">
      <c r="A77" s="15">
        <v>45912</v>
      </c>
      <c r="B77" s="3">
        <f>Data_Entry!T167</f>
        <v>10020.0000000001</v>
      </c>
      <c r="C77" s="3">
        <v>0</v>
      </c>
      <c r="D77" s="4">
        <f>Data_Entry!V167</f>
        <v>0</v>
      </c>
      <c r="E77" s="5">
        <f t="shared" si="9"/>
        <v>0.17316466196599001</v>
      </c>
      <c r="F77" s="6">
        <v>0</v>
      </c>
      <c r="G77" s="6">
        <v>0</v>
      </c>
      <c r="H77" s="7">
        <f t="shared" si="10"/>
        <v>0</v>
      </c>
      <c r="I77" s="7">
        <f t="shared" si="11"/>
        <v>0</v>
      </c>
      <c r="J77" s="8">
        <v>2411</v>
      </c>
      <c r="K77" s="9"/>
      <c r="L77" s="8">
        <f t="shared" si="12"/>
        <v>28932</v>
      </c>
      <c r="M77" s="7">
        <f t="shared" si="13"/>
        <v>0</v>
      </c>
      <c r="N77" s="10">
        <f t="shared" si="14"/>
        <v>1</v>
      </c>
      <c r="O77" s="11">
        <f t="shared" si="15"/>
        <v>0.17316466196599001</v>
      </c>
      <c r="P77" s="11"/>
      <c r="Q77" s="8">
        <f t="shared" si="16"/>
        <v>10020.0000000001</v>
      </c>
      <c r="R77" s="12">
        <f t="shared" si="17"/>
        <v>0</v>
      </c>
    </row>
    <row r="78" spans="1:18" ht="14.25">
      <c r="A78" s="15">
        <v>45913</v>
      </c>
      <c r="B78" s="3">
        <f>Data_Entry!T168</f>
        <v>11160.0000000001</v>
      </c>
      <c r="C78" s="3">
        <v>0</v>
      </c>
      <c r="D78" s="4">
        <f>Data_Entry!V168</f>
        <v>0</v>
      </c>
      <c r="E78" s="5">
        <f t="shared" si="9"/>
        <v>0.19286603069266001</v>
      </c>
      <c r="F78" s="6">
        <v>0</v>
      </c>
      <c r="G78" s="6">
        <v>0</v>
      </c>
      <c r="H78" s="7">
        <f t="shared" si="10"/>
        <v>0</v>
      </c>
      <c r="I78" s="7">
        <f t="shared" si="11"/>
        <v>0</v>
      </c>
      <c r="J78" s="8">
        <v>2411</v>
      </c>
      <c r="K78" s="9"/>
      <c r="L78" s="8">
        <f t="shared" si="12"/>
        <v>28932</v>
      </c>
      <c r="M78" s="7">
        <f t="shared" si="13"/>
        <v>0</v>
      </c>
      <c r="N78" s="10">
        <f t="shared" si="14"/>
        <v>1</v>
      </c>
      <c r="O78" s="11">
        <f t="shared" si="15"/>
        <v>0.19286603069266001</v>
      </c>
      <c r="P78" s="11"/>
      <c r="Q78" s="8">
        <f t="shared" si="16"/>
        <v>11160.0000000001</v>
      </c>
      <c r="R78" s="12">
        <f t="shared" si="17"/>
        <v>0</v>
      </c>
    </row>
    <row r="79" spans="1:18" ht="14.25">
      <c r="A79" s="15">
        <v>45914</v>
      </c>
      <c r="B79" s="3">
        <f>Data_Entry!T169</f>
        <v>7050.00000000004</v>
      </c>
      <c r="C79" s="3">
        <v>0</v>
      </c>
      <c r="D79" s="4">
        <f>Data_Entry!V169</f>
        <v>0</v>
      </c>
      <c r="E79" s="5">
        <f t="shared" si="9"/>
        <v>0.121837411862298</v>
      </c>
      <c r="F79" s="6">
        <v>0</v>
      </c>
      <c r="G79" s="6">
        <v>0</v>
      </c>
      <c r="H79" s="7">
        <f t="shared" si="10"/>
        <v>0</v>
      </c>
      <c r="I79" s="7">
        <f t="shared" si="11"/>
        <v>0</v>
      </c>
      <c r="J79" s="8">
        <v>2411</v>
      </c>
      <c r="K79" s="9"/>
      <c r="L79" s="8">
        <f t="shared" si="12"/>
        <v>28932</v>
      </c>
      <c r="M79" s="7">
        <f t="shared" si="13"/>
        <v>0</v>
      </c>
      <c r="N79" s="10">
        <f t="shared" si="14"/>
        <v>1</v>
      </c>
      <c r="O79" s="11">
        <f t="shared" si="15"/>
        <v>0.121837411862298</v>
      </c>
      <c r="P79" s="11"/>
      <c r="Q79" s="8">
        <f t="shared" si="16"/>
        <v>7050.00000000004</v>
      </c>
      <c r="R79" s="12">
        <f t="shared" si="17"/>
        <v>0</v>
      </c>
    </row>
    <row r="80" spans="1:18" ht="14.25">
      <c r="A80" s="15">
        <v>45915</v>
      </c>
      <c r="B80" s="3">
        <f>Data_Entry!T170</f>
        <v>11039.9999999998</v>
      </c>
      <c r="C80" s="3">
        <v>0</v>
      </c>
      <c r="D80" s="4">
        <f>Data_Entry!V170</f>
        <v>0</v>
      </c>
      <c r="E80" s="5">
        <f t="shared" si="9"/>
        <v>0.19079220240563799</v>
      </c>
      <c r="F80" s="6">
        <v>0</v>
      </c>
      <c r="G80" s="6">
        <v>0</v>
      </c>
      <c r="H80" s="7">
        <f t="shared" si="10"/>
        <v>0</v>
      </c>
      <c r="I80" s="7">
        <f t="shared" si="11"/>
        <v>0</v>
      </c>
      <c r="J80" s="8">
        <v>2411</v>
      </c>
      <c r="K80" s="9"/>
      <c r="L80" s="8">
        <f t="shared" si="12"/>
        <v>28932</v>
      </c>
      <c r="M80" s="7">
        <f t="shared" si="13"/>
        <v>0</v>
      </c>
      <c r="N80" s="10">
        <f t="shared" si="14"/>
        <v>1</v>
      </c>
      <c r="O80" s="11">
        <f t="shared" si="15"/>
        <v>0.19079220240563799</v>
      </c>
      <c r="P80" s="11"/>
      <c r="Q80" s="8">
        <f t="shared" si="16"/>
        <v>11039.9999999998</v>
      </c>
      <c r="R80" s="12">
        <f t="shared" si="17"/>
        <v>0</v>
      </c>
    </row>
    <row r="81" spans="1:18" ht="14.25">
      <c r="A81" s="15">
        <v>45916</v>
      </c>
      <c r="B81" s="3">
        <f>Data_Entry!T171</f>
        <v>11610</v>
      </c>
      <c r="C81" s="3">
        <v>0</v>
      </c>
      <c r="D81" s="4">
        <f>Data_Entry!V171</f>
        <v>0</v>
      </c>
      <c r="E81" s="5">
        <f t="shared" si="9"/>
        <v>0.20064288676897499</v>
      </c>
      <c r="F81" s="6">
        <v>0</v>
      </c>
      <c r="G81" s="6">
        <v>0</v>
      </c>
      <c r="H81" s="7">
        <f t="shared" si="10"/>
        <v>0</v>
      </c>
      <c r="I81" s="7">
        <f t="shared" si="11"/>
        <v>0</v>
      </c>
      <c r="J81" s="8">
        <v>2411</v>
      </c>
      <c r="K81" s="9"/>
      <c r="L81" s="8">
        <f t="shared" si="12"/>
        <v>28932</v>
      </c>
      <c r="M81" s="7">
        <f t="shared" si="13"/>
        <v>0</v>
      </c>
      <c r="N81" s="10">
        <f t="shared" si="14"/>
        <v>1</v>
      </c>
      <c r="O81" s="11">
        <f t="shared" si="15"/>
        <v>0.20064288676897499</v>
      </c>
      <c r="P81" s="11"/>
      <c r="Q81" s="8">
        <f t="shared" si="16"/>
        <v>11610</v>
      </c>
      <c r="R81" s="12">
        <f t="shared" si="17"/>
        <v>0</v>
      </c>
    </row>
    <row r="82" spans="1:18" ht="14.25">
      <c r="A82" s="15">
        <v>45917</v>
      </c>
      <c r="B82" s="3">
        <f>Data_Entry!T172</f>
        <v>11850.0000000001</v>
      </c>
      <c r="C82" s="3">
        <v>0</v>
      </c>
      <c r="D82" s="4">
        <f>Data_Entry!V172</f>
        <v>0</v>
      </c>
      <c r="E82" s="5">
        <f t="shared" si="9"/>
        <v>0.204790543343013</v>
      </c>
      <c r="F82" s="6">
        <v>0</v>
      </c>
      <c r="G82" s="6">
        <v>0</v>
      </c>
      <c r="H82" s="7">
        <f t="shared" si="10"/>
        <v>0</v>
      </c>
      <c r="I82" s="7">
        <f t="shared" si="11"/>
        <v>0</v>
      </c>
      <c r="J82" s="8">
        <v>2411</v>
      </c>
      <c r="K82" s="9"/>
      <c r="L82" s="8">
        <f t="shared" si="12"/>
        <v>28932</v>
      </c>
      <c r="M82" s="7">
        <f t="shared" si="13"/>
        <v>0</v>
      </c>
      <c r="N82" s="10">
        <f t="shared" si="14"/>
        <v>1</v>
      </c>
      <c r="O82" s="11">
        <f t="shared" si="15"/>
        <v>0.204790543343013</v>
      </c>
      <c r="P82" s="11"/>
      <c r="Q82" s="8">
        <f t="shared" si="16"/>
        <v>11850.0000000001</v>
      </c>
      <c r="R82" s="12">
        <f t="shared" si="17"/>
        <v>0</v>
      </c>
    </row>
    <row r="83" spans="1:18" ht="14.25">
      <c r="A83" s="15">
        <v>45918</v>
      </c>
      <c r="B83" s="3">
        <f>Data_Entry!T173</f>
        <v>10800</v>
      </c>
      <c r="C83" s="3">
        <v>0</v>
      </c>
      <c r="D83" s="4">
        <f>Data_Entry!V173</f>
        <v>0</v>
      </c>
      <c r="E83" s="5">
        <f t="shared" si="9"/>
        <v>0.186644545831605</v>
      </c>
      <c r="F83" s="6">
        <v>0</v>
      </c>
      <c r="G83" s="6">
        <v>0</v>
      </c>
      <c r="H83" s="7">
        <f t="shared" si="10"/>
        <v>0</v>
      </c>
      <c r="I83" s="7">
        <f t="shared" si="11"/>
        <v>0</v>
      </c>
      <c r="J83" s="8">
        <v>2411</v>
      </c>
      <c r="K83" s="9"/>
      <c r="L83" s="8">
        <f t="shared" si="12"/>
        <v>28932</v>
      </c>
      <c r="M83" s="7">
        <f t="shared" si="13"/>
        <v>0</v>
      </c>
      <c r="N83" s="10">
        <f t="shared" si="14"/>
        <v>1</v>
      </c>
      <c r="O83" s="11">
        <f t="shared" si="15"/>
        <v>0.186644545831605</v>
      </c>
      <c r="P83" s="11"/>
      <c r="Q83" s="8">
        <f t="shared" si="16"/>
        <v>10800</v>
      </c>
      <c r="R83" s="12">
        <f t="shared" si="17"/>
        <v>0</v>
      </c>
    </row>
    <row r="84" spans="1:18" ht="14.25">
      <c r="A84" s="15">
        <v>45919</v>
      </c>
      <c r="B84" s="3">
        <f>Data_Entry!T174</f>
        <v>11550</v>
      </c>
      <c r="C84" s="3">
        <v>0</v>
      </c>
      <c r="D84" s="4">
        <f>Data_Entry!V174</f>
        <v>0</v>
      </c>
      <c r="E84" s="5">
        <f t="shared" si="9"/>
        <v>0.199605972625467</v>
      </c>
      <c r="F84" s="6">
        <v>0</v>
      </c>
      <c r="G84" s="6">
        <v>0</v>
      </c>
      <c r="H84" s="7">
        <f t="shared" si="10"/>
        <v>0</v>
      </c>
      <c r="I84" s="7">
        <f t="shared" si="11"/>
        <v>0</v>
      </c>
      <c r="J84" s="8">
        <v>2411</v>
      </c>
      <c r="K84" s="9"/>
      <c r="L84" s="8">
        <f t="shared" si="12"/>
        <v>28932</v>
      </c>
      <c r="M84" s="7">
        <f t="shared" si="13"/>
        <v>0</v>
      </c>
      <c r="N84" s="10">
        <f t="shared" si="14"/>
        <v>1</v>
      </c>
      <c r="O84" s="11">
        <f t="shared" si="15"/>
        <v>0.199605972625467</v>
      </c>
      <c r="P84" s="11"/>
      <c r="Q84" s="8">
        <f t="shared" si="16"/>
        <v>11550</v>
      </c>
      <c r="R84" s="12">
        <f t="shared" si="17"/>
        <v>0</v>
      </c>
    </row>
    <row r="85" spans="1:18" ht="14.25">
      <c r="A85" s="15">
        <v>45920</v>
      </c>
      <c r="B85" s="3">
        <f>Data_Entry!T175</f>
        <v>10229.9999999999</v>
      </c>
      <c r="C85" s="3">
        <v>0</v>
      </c>
      <c r="D85" s="4">
        <f>Data_Entry!V175</f>
        <v>0</v>
      </c>
      <c r="E85" s="5">
        <f t="shared" si="9"/>
        <v>0.176793861468268</v>
      </c>
      <c r="F85" s="6">
        <v>0</v>
      </c>
      <c r="G85" s="6">
        <v>0</v>
      </c>
      <c r="H85" s="7">
        <f t="shared" si="10"/>
        <v>0</v>
      </c>
      <c r="I85" s="7">
        <f t="shared" si="11"/>
        <v>0</v>
      </c>
      <c r="J85" s="8">
        <v>2411</v>
      </c>
      <c r="K85" s="9"/>
      <c r="L85" s="8">
        <f t="shared" si="12"/>
        <v>28932</v>
      </c>
      <c r="M85" s="7">
        <f t="shared" si="13"/>
        <v>0</v>
      </c>
      <c r="N85" s="10">
        <f t="shared" si="14"/>
        <v>1</v>
      </c>
      <c r="O85" s="11">
        <f t="shared" si="15"/>
        <v>0.176793861468268</v>
      </c>
      <c r="P85" s="11"/>
      <c r="Q85" s="8">
        <f t="shared" si="16"/>
        <v>10229.9999999999</v>
      </c>
      <c r="R85" s="12">
        <f t="shared" si="17"/>
        <v>0</v>
      </c>
    </row>
    <row r="86" spans="1:18" ht="14.25">
      <c r="A86" s="15">
        <v>45921</v>
      </c>
      <c r="B86" s="3">
        <f>Data_Entry!T176</f>
        <v>9630.00000000008</v>
      </c>
      <c r="C86" s="3">
        <v>0</v>
      </c>
      <c r="D86" s="4">
        <f>Data_Entry!V176</f>
        <v>0</v>
      </c>
      <c r="E86" s="5">
        <f t="shared" si="9"/>
        <v>0.16642472003318301</v>
      </c>
      <c r="F86" s="6">
        <v>0</v>
      </c>
      <c r="G86" s="6">
        <v>0</v>
      </c>
      <c r="H86" s="7">
        <f t="shared" si="10"/>
        <v>0</v>
      </c>
      <c r="I86" s="7">
        <f t="shared" si="11"/>
        <v>0</v>
      </c>
      <c r="J86" s="8">
        <v>2411</v>
      </c>
      <c r="K86" s="9"/>
      <c r="L86" s="8">
        <f t="shared" si="12"/>
        <v>28932</v>
      </c>
      <c r="M86" s="7">
        <f t="shared" si="13"/>
        <v>0</v>
      </c>
      <c r="N86" s="10">
        <f t="shared" si="14"/>
        <v>1</v>
      </c>
      <c r="O86" s="11">
        <f t="shared" si="15"/>
        <v>0.16642472003318301</v>
      </c>
      <c r="P86" s="11"/>
      <c r="Q86" s="8">
        <f t="shared" si="16"/>
        <v>9630.00000000008</v>
      </c>
      <c r="R86" s="12">
        <f t="shared" si="17"/>
        <v>0</v>
      </c>
    </row>
    <row r="87" spans="1:18" ht="14.25">
      <c r="A87" s="15">
        <v>45922</v>
      </c>
      <c r="B87" s="3">
        <f>Data_Entry!T177</f>
        <v>7529.99999999995</v>
      </c>
      <c r="C87" s="3">
        <v>0</v>
      </c>
      <c r="D87" s="4">
        <f>Data_Entry!V177</f>
        <v>0</v>
      </c>
      <c r="E87" s="5">
        <f t="shared" si="9"/>
        <v>0.13013272501036799</v>
      </c>
      <c r="F87" s="6">
        <v>0</v>
      </c>
      <c r="G87" s="6">
        <v>0</v>
      </c>
      <c r="H87" s="7">
        <f t="shared" si="10"/>
        <v>0</v>
      </c>
      <c r="I87" s="7">
        <f t="shared" si="11"/>
        <v>0</v>
      </c>
      <c r="J87" s="8">
        <v>2411</v>
      </c>
      <c r="K87" s="9"/>
      <c r="L87" s="8">
        <f t="shared" si="12"/>
        <v>28932</v>
      </c>
      <c r="M87" s="7">
        <f t="shared" si="13"/>
        <v>0</v>
      </c>
      <c r="N87" s="10">
        <f t="shared" si="14"/>
        <v>1</v>
      </c>
      <c r="O87" s="11">
        <f t="shared" si="15"/>
        <v>0.13013272501036799</v>
      </c>
      <c r="P87" s="11"/>
      <c r="Q87" s="8">
        <f t="shared" si="16"/>
        <v>7529.99999999995</v>
      </c>
      <c r="R87" s="12">
        <f t="shared" si="17"/>
        <v>0</v>
      </c>
    </row>
    <row r="88" spans="1:18" ht="14.25">
      <c r="A88" s="15">
        <v>45923</v>
      </c>
      <c r="B88" s="3">
        <f>Data_Entry!T178</f>
        <v>9120.0000000002001</v>
      </c>
      <c r="C88" s="3">
        <v>0</v>
      </c>
      <c r="D88" s="4">
        <f>Data_Entry!V178</f>
        <v>3.65</v>
      </c>
      <c r="E88" s="5">
        <f t="shared" si="9"/>
        <v>0.15761094981335899</v>
      </c>
      <c r="F88" s="6">
        <v>0</v>
      </c>
      <c r="G88" s="6">
        <v>0</v>
      </c>
      <c r="H88" s="7">
        <f t="shared" si="10"/>
        <v>0</v>
      </c>
      <c r="I88" s="7">
        <f t="shared" si="11"/>
        <v>0</v>
      </c>
      <c r="J88" s="8">
        <v>2411</v>
      </c>
      <c r="K88" s="9"/>
      <c r="L88" s="8">
        <f t="shared" si="12"/>
        <v>28932</v>
      </c>
      <c r="M88" s="7">
        <f t="shared" si="13"/>
        <v>0</v>
      </c>
      <c r="N88" s="10">
        <f t="shared" si="14"/>
        <v>1</v>
      </c>
      <c r="O88" s="11">
        <f t="shared" si="15"/>
        <v>0.15761094981335899</v>
      </c>
      <c r="P88" s="11"/>
      <c r="Q88" s="8">
        <f t="shared" si="16"/>
        <v>9120.0000000002001</v>
      </c>
      <c r="R88" s="12">
        <f t="shared" si="17"/>
        <v>0</v>
      </c>
    </row>
    <row r="89" spans="1:18" ht="14.25">
      <c r="A89" s="15">
        <v>45924</v>
      </c>
      <c r="B89" s="3">
        <f>Data_Entry!T179</f>
        <v>5099.9999999997699</v>
      </c>
      <c r="C89" s="3">
        <v>0</v>
      </c>
      <c r="D89" s="4">
        <f>Data_Entry!V179</f>
        <v>2.06</v>
      </c>
      <c r="E89" s="5">
        <f t="shared" si="9"/>
        <v>8.8137702198253995E-2</v>
      </c>
      <c r="F89" s="6">
        <v>0</v>
      </c>
      <c r="G89" s="6">
        <v>0</v>
      </c>
      <c r="H89" s="7">
        <f t="shared" si="10"/>
        <v>0</v>
      </c>
      <c r="I89" s="7">
        <f t="shared" si="11"/>
        <v>0</v>
      </c>
      <c r="J89" s="8">
        <v>2411</v>
      </c>
      <c r="K89" s="9"/>
      <c r="L89" s="8">
        <f t="shared" si="12"/>
        <v>28932</v>
      </c>
      <c r="M89" s="7">
        <f t="shared" si="13"/>
        <v>0</v>
      </c>
      <c r="N89" s="10">
        <f t="shared" si="14"/>
        <v>1</v>
      </c>
      <c r="O89" s="11">
        <f t="shared" si="15"/>
        <v>8.8137702198253995E-2</v>
      </c>
      <c r="P89" s="11"/>
      <c r="Q89" s="8">
        <f t="shared" si="16"/>
        <v>5099.9999999997699</v>
      </c>
      <c r="R89" s="12">
        <f t="shared" si="17"/>
        <v>0</v>
      </c>
    </row>
    <row r="90" spans="1:18" ht="14.25">
      <c r="A90" s="15">
        <v>45925</v>
      </c>
      <c r="B90" s="3">
        <f>Data_Entry!T180</f>
        <v>11010.0000000002</v>
      </c>
      <c r="C90" s="3">
        <v>0</v>
      </c>
      <c r="D90" s="4">
        <f>Data_Entry!V180</f>
        <v>4.1100000000000003</v>
      </c>
      <c r="E90" s="5">
        <f t="shared" si="9"/>
        <v>0.19027374533388899</v>
      </c>
      <c r="F90" s="6">
        <v>0</v>
      </c>
      <c r="G90" s="6">
        <v>0</v>
      </c>
      <c r="H90" s="7">
        <f t="shared" si="10"/>
        <v>0</v>
      </c>
      <c r="I90" s="7">
        <f t="shared" si="11"/>
        <v>0</v>
      </c>
      <c r="J90" s="8">
        <v>2411</v>
      </c>
      <c r="K90" s="9"/>
      <c r="L90" s="8">
        <f t="shared" si="12"/>
        <v>28932</v>
      </c>
      <c r="M90" s="7">
        <f t="shared" si="13"/>
        <v>0</v>
      </c>
      <c r="N90" s="10">
        <f t="shared" si="14"/>
        <v>1</v>
      </c>
      <c r="O90" s="11">
        <f t="shared" si="15"/>
        <v>0.19027374533388899</v>
      </c>
      <c r="P90" s="11"/>
      <c r="Q90" s="8">
        <f t="shared" si="16"/>
        <v>11010.0000000002</v>
      </c>
      <c r="R90" s="12">
        <f t="shared" si="17"/>
        <v>0</v>
      </c>
    </row>
    <row r="91" spans="1:18" ht="14.25">
      <c r="A91" s="15">
        <v>45926</v>
      </c>
      <c r="B91" s="3">
        <f>Data_Entry!T181</f>
        <v>11819.9999999998</v>
      </c>
      <c r="C91" s="3">
        <v>0</v>
      </c>
      <c r="D91" s="4">
        <f>Data_Entry!V181</f>
        <v>4.82</v>
      </c>
      <c r="E91" s="5">
        <f t="shared" si="9"/>
        <v>0.20427208627125301</v>
      </c>
      <c r="F91" s="6">
        <v>0</v>
      </c>
      <c r="G91" s="6">
        <v>0</v>
      </c>
      <c r="H91" s="7">
        <f t="shared" si="10"/>
        <v>0</v>
      </c>
      <c r="I91" s="7">
        <f t="shared" si="11"/>
        <v>0</v>
      </c>
      <c r="J91" s="8">
        <v>2411</v>
      </c>
      <c r="K91" s="9"/>
      <c r="L91" s="8">
        <f t="shared" si="12"/>
        <v>28932</v>
      </c>
      <c r="M91" s="7">
        <f t="shared" si="13"/>
        <v>0</v>
      </c>
      <c r="N91" s="10">
        <f t="shared" si="14"/>
        <v>1</v>
      </c>
      <c r="O91" s="11">
        <f t="shared" si="15"/>
        <v>0.20427208627125301</v>
      </c>
      <c r="P91" s="11"/>
      <c r="Q91" s="8">
        <f t="shared" si="16"/>
        <v>11819.9999999998</v>
      </c>
      <c r="R91" s="12">
        <f t="shared" si="17"/>
        <v>0</v>
      </c>
    </row>
    <row r="92" spans="1:18" ht="14.25">
      <c r="A92" s="15">
        <v>45927</v>
      </c>
      <c r="B92" s="3">
        <f>Data_Entry!T182</f>
        <v>10440</v>
      </c>
      <c r="C92" s="3">
        <v>0</v>
      </c>
      <c r="D92" s="4">
        <f>Data_Entry!V182</f>
        <v>3.86</v>
      </c>
      <c r="E92" s="5">
        <f t="shared" si="9"/>
        <v>0.180423060970552</v>
      </c>
      <c r="F92" s="6">
        <v>0</v>
      </c>
      <c r="G92" s="6">
        <v>0</v>
      </c>
      <c r="H92" s="7">
        <f t="shared" si="10"/>
        <v>0</v>
      </c>
      <c r="I92" s="7">
        <f t="shared" si="11"/>
        <v>0</v>
      </c>
      <c r="J92" s="8">
        <v>2411</v>
      </c>
      <c r="K92" s="9"/>
      <c r="L92" s="8">
        <f t="shared" si="12"/>
        <v>28932</v>
      </c>
      <c r="M92" s="7">
        <f t="shared" si="13"/>
        <v>0</v>
      </c>
      <c r="N92" s="10">
        <f t="shared" si="14"/>
        <v>1</v>
      </c>
      <c r="O92" s="11">
        <f t="shared" si="15"/>
        <v>0.180423060970552</v>
      </c>
      <c r="P92" s="11"/>
      <c r="Q92" s="8">
        <f t="shared" si="16"/>
        <v>10440</v>
      </c>
      <c r="R92" s="12">
        <f t="shared" si="17"/>
        <v>0</v>
      </c>
    </row>
    <row r="93" spans="1:18" ht="14.25">
      <c r="A93" s="15">
        <v>45928</v>
      </c>
      <c r="B93" s="3">
        <f>Data_Entry!T183</f>
        <v>4200.0000000002201</v>
      </c>
      <c r="C93" s="3">
        <v>0</v>
      </c>
      <c r="D93" s="4">
        <f>Data_Entry!V183</f>
        <v>1.75</v>
      </c>
      <c r="E93" s="5">
        <f t="shared" si="9"/>
        <v>7.2583990045628002E-2</v>
      </c>
      <c r="F93" s="6">
        <v>0</v>
      </c>
      <c r="G93" s="6">
        <v>0</v>
      </c>
      <c r="H93" s="7">
        <f t="shared" si="10"/>
        <v>0</v>
      </c>
      <c r="I93" s="7">
        <f t="shared" si="11"/>
        <v>0</v>
      </c>
      <c r="J93" s="8">
        <v>2411</v>
      </c>
      <c r="K93" s="9"/>
      <c r="L93" s="8">
        <f t="shared" si="12"/>
        <v>28932</v>
      </c>
      <c r="M93" s="7">
        <f t="shared" si="13"/>
        <v>0</v>
      </c>
      <c r="N93" s="10">
        <f t="shared" si="14"/>
        <v>1</v>
      </c>
      <c r="O93" s="11">
        <f t="shared" si="15"/>
        <v>7.2583990045628002E-2</v>
      </c>
      <c r="P93" s="11"/>
      <c r="Q93" s="8">
        <f t="shared" si="16"/>
        <v>4200.0000000002201</v>
      </c>
      <c r="R93" s="12">
        <f t="shared" si="17"/>
        <v>0</v>
      </c>
    </row>
    <row r="94" spans="1:18" ht="14.25">
      <c r="A94" s="15">
        <v>45929</v>
      </c>
      <c r="B94" s="3">
        <f>Data_Entry!T184</f>
        <v>3929.9999999998099</v>
      </c>
      <c r="C94" s="3">
        <v>0</v>
      </c>
      <c r="D94" s="4">
        <f>Data_Entry!V184</f>
        <v>1.5</v>
      </c>
      <c r="E94" s="5">
        <f t="shared" si="9"/>
        <v>6.7917876399830795E-2</v>
      </c>
      <c r="F94" s="6">
        <v>0</v>
      </c>
      <c r="G94" s="6">
        <v>0</v>
      </c>
      <c r="H94" s="7">
        <f t="shared" si="10"/>
        <v>0</v>
      </c>
      <c r="I94" s="7">
        <f t="shared" si="11"/>
        <v>0</v>
      </c>
      <c r="J94" s="8">
        <v>2411</v>
      </c>
      <c r="K94" s="9"/>
      <c r="L94" s="8">
        <f t="shared" si="12"/>
        <v>28932</v>
      </c>
      <c r="M94" s="7">
        <f t="shared" si="13"/>
        <v>0</v>
      </c>
      <c r="N94" s="10">
        <f t="shared" si="14"/>
        <v>1</v>
      </c>
      <c r="O94" s="11">
        <f t="shared" si="15"/>
        <v>6.7917876399830795E-2</v>
      </c>
      <c r="P94" s="11"/>
      <c r="Q94" s="8">
        <f t="shared" si="16"/>
        <v>3929.9999999998099</v>
      </c>
      <c r="R94" s="12">
        <f t="shared" si="17"/>
        <v>0</v>
      </c>
    </row>
    <row r="95" spans="1:18" ht="14.25">
      <c r="A95" s="15">
        <v>45930</v>
      </c>
      <c r="B95" s="3">
        <f>Data_Entry!T185</f>
        <v>3480.0000000002201</v>
      </c>
      <c r="C95" s="3">
        <v>0</v>
      </c>
      <c r="D95" s="4">
        <f>Data_Entry!V185</f>
        <v>1.23</v>
      </c>
      <c r="E95" s="5">
        <f t="shared" si="9"/>
        <v>6.0141020323520998E-2</v>
      </c>
      <c r="F95" s="6">
        <v>0</v>
      </c>
      <c r="G95" s="6">
        <v>0</v>
      </c>
      <c r="H95" s="7">
        <f t="shared" si="10"/>
        <v>0</v>
      </c>
      <c r="I95" s="7">
        <f t="shared" si="11"/>
        <v>0</v>
      </c>
      <c r="J95" s="8">
        <v>2411</v>
      </c>
      <c r="K95" s="9"/>
      <c r="L95" s="8">
        <f t="shared" si="12"/>
        <v>28932</v>
      </c>
      <c r="M95" s="7">
        <f t="shared" si="13"/>
        <v>0</v>
      </c>
      <c r="N95" s="10">
        <f t="shared" si="14"/>
        <v>1</v>
      </c>
      <c r="O95" s="11">
        <f t="shared" si="15"/>
        <v>6.0141020323520998E-2</v>
      </c>
      <c r="P95" s="11"/>
      <c r="Q95" s="8">
        <f t="shared" si="16"/>
        <v>3480.0000000002201</v>
      </c>
      <c r="R95" s="12">
        <f t="shared" si="17"/>
        <v>0</v>
      </c>
    </row>
    <row r="96" spans="1:18" ht="14.25">
      <c r="A96" s="15">
        <v>45931</v>
      </c>
      <c r="B96" s="3">
        <f>Data_Entry!T186</f>
        <v>4139.99999999996</v>
      </c>
      <c r="C96" s="3">
        <v>0</v>
      </c>
      <c r="D96" s="4" t="str">
        <f>Data_Entry!V186</f>
        <v/>
      </c>
      <c r="E96" s="5">
        <f t="shared" si="9"/>
        <v>7.1547075902114607E-2</v>
      </c>
      <c r="F96" s="6">
        <v>0</v>
      </c>
      <c r="G96" s="6">
        <v>0</v>
      </c>
      <c r="H96" s="7">
        <f t="shared" si="10"/>
        <v>0</v>
      </c>
      <c r="I96" s="7">
        <f t="shared" si="11"/>
        <v>0</v>
      </c>
      <c r="J96" s="8">
        <v>2411</v>
      </c>
      <c r="K96" s="9"/>
      <c r="L96" s="8">
        <f t="shared" si="12"/>
        <v>28932</v>
      </c>
      <c r="M96" s="7">
        <f t="shared" si="13"/>
        <v>0</v>
      </c>
      <c r="N96" s="10">
        <f t="shared" si="14"/>
        <v>1</v>
      </c>
      <c r="O96" s="11">
        <f t="shared" si="15"/>
        <v>7.1547075902114607E-2</v>
      </c>
      <c r="P96" s="11"/>
      <c r="Q96" s="8">
        <f t="shared" si="16"/>
        <v>4139.99999999996</v>
      </c>
      <c r="R96" s="12">
        <f t="shared" si="17"/>
        <v>0</v>
      </c>
    </row>
    <row r="97" spans="1:18" ht="14.25">
      <c r="A97" s="15">
        <v>45932</v>
      </c>
      <c r="B97" s="3">
        <f>Data_Entry!T187</f>
        <v>4889.99999999996</v>
      </c>
      <c r="C97" s="3">
        <v>0</v>
      </c>
      <c r="D97" s="4">
        <f>Data_Entry!V187</f>
        <v>0</v>
      </c>
      <c r="E97" s="5">
        <f t="shared" si="9"/>
        <v>8.4508502695975998E-2</v>
      </c>
      <c r="F97" s="6">
        <v>0</v>
      </c>
      <c r="G97" s="6">
        <v>0</v>
      </c>
      <c r="H97" s="7">
        <f t="shared" si="10"/>
        <v>0</v>
      </c>
      <c r="I97" s="7">
        <f t="shared" si="11"/>
        <v>0</v>
      </c>
      <c r="J97" s="8">
        <v>2411</v>
      </c>
      <c r="K97" s="9"/>
      <c r="L97" s="8">
        <f t="shared" si="12"/>
        <v>28932</v>
      </c>
      <c r="M97" s="7">
        <f t="shared" si="13"/>
        <v>0</v>
      </c>
      <c r="N97" s="10">
        <f t="shared" si="14"/>
        <v>1</v>
      </c>
      <c r="O97" s="11">
        <f t="shared" si="15"/>
        <v>8.4508502695975998E-2</v>
      </c>
      <c r="P97" s="11"/>
      <c r="Q97" s="8">
        <f t="shared" si="16"/>
        <v>4889.99999999996</v>
      </c>
      <c r="R97" s="12">
        <f t="shared" si="17"/>
        <v>0</v>
      </c>
    </row>
    <row r="98" spans="1:18" ht="14.25">
      <c r="A98" s="15">
        <v>45933</v>
      </c>
      <c r="B98" s="3">
        <f>Data_Entry!T188</f>
        <v>10830</v>
      </c>
      <c r="C98" s="3">
        <v>0</v>
      </c>
      <c r="D98" s="4">
        <f>Data_Entry!V188</f>
        <v>4.33</v>
      </c>
      <c r="E98" s="5">
        <f t="shared" si="9"/>
        <v>0.18716300290335899</v>
      </c>
      <c r="F98" s="6">
        <v>0</v>
      </c>
      <c r="G98" s="6">
        <v>0</v>
      </c>
      <c r="H98" s="7">
        <f t="shared" si="10"/>
        <v>0</v>
      </c>
      <c r="I98" s="7">
        <f t="shared" si="11"/>
        <v>0</v>
      </c>
      <c r="J98" s="8">
        <v>2411</v>
      </c>
      <c r="K98" s="9"/>
      <c r="L98" s="8">
        <f t="shared" si="12"/>
        <v>28932</v>
      </c>
      <c r="M98" s="7">
        <f t="shared" si="13"/>
        <v>0</v>
      </c>
      <c r="N98" s="10">
        <f t="shared" si="14"/>
        <v>1</v>
      </c>
      <c r="O98" s="11">
        <f t="shared" si="15"/>
        <v>0.18716300290335899</v>
      </c>
      <c r="P98" s="11"/>
      <c r="Q98" s="8">
        <f t="shared" si="16"/>
        <v>10830</v>
      </c>
      <c r="R98" s="12">
        <f t="shared" si="17"/>
        <v>0</v>
      </c>
    </row>
    <row r="99" spans="1:18" ht="14.25">
      <c r="A99" s="15">
        <v>45934</v>
      </c>
      <c r="B99" s="3">
        <f>Data_Entry!T189</f>
        <v>11910.0000000001</v>
      </c>
      <c r="C99" s="3">
        <v>0</v>
      </c>
      <c r="D99" s="4">
        <f>Data_Entry!V189</f>
        <v>5.15</v>
      </c>
      <c r="E99" s="5">
        <f t="shared" si="9"/>
        <v>0.20582745748652101</v>
      </c>
      <c r="F99" s="6">
        <v>0</v>
      </c>
      <c r="G99" s="6">
        <v>0</v>
      </c>
      <c r="H99" s="7">
        <f t="shared" si="10"/>
        <v>0</v>
      </c>
      <c r="I99" s="7">
        <f t="shared" si="11"/>
        <v>0</v>
      </c>
      <c r="J99" s="8">
        <v>2411</v>
      </c>
      <c r="K99" s="9"/>
      <c r="L99" s="8">
        <f t="shared" si="12"/>
        <v>28932</v>
      </c>
      <c r="M99" s="7">
        <f t="shared" si="13"/>
        <v>0</v>
      </c>
      <c r="N99" s="10">
        <f t="shared" si="14"/>
        <v>1</v>
      </c>
      <c r="O99" s="11">
        <f t="shared" si="15"/>
        <v>0.20582745748652101</v>
      </c>
      <c r="P99" s="11"/>
      <c r="Q99" s="8">
        <f t="shared" si="16"/>
        <v>11910.0000000001</v>
      </c>
      <c r="R99" s="12">
        <f t="shared" si="17"/>
        <v>0</v>
      </c>
    </row>
    <row r="100" spans="1:18" ht="14.25">
      <c r="A100" s="15">
        <v>45935</v>
      </c>
      <c r="B100" s="3">
        <f>Data_Entry!T190</f>
        <v>12029.9999999999</v>
      </c>
      <c r="C100" s="3">
        <v>0</v>
      </c>
      <c r="D100" s="4">
        <f>Data_Entry!V190</f>
        <v>4.5999999999999996</v>
      </c>
      <c r="E100" s="5">
        <f t="shared" si="9"/>
        <v>0.207901285773537</v>
      </c>
      <c r="F100" s="6">
        <v>0</v>
      </c>
      <c r="G100" s="6">
        <v>0</v>
      </c>
      <c r="H100" s="7">
        <f t="shared" si="10"/>
        <v>0</v>
      </c>
      <c r="I100" s="7">
        <f t="shared" si="11"/>
        <v>0</v>
      </c>
      <c r="J100" s="8">
        <v>2411</v>
      </c>
      <c r="K100" s="9"/>
      <c r="L100" s="8">
        <f t="shared" si="12"/>
        <v>28932</v>
      </c>
      <c r="M100" s="7">
        <f t="shared" si="13"/>
        <v>0</v>
      </c>
      <c r="N100" s="10">
        <f t="shared" si="14"/>
        <v>1</v>
      </c>
      <c r="O100" s="11">
        <f t="shared" si="15"/>
        <v>0.207901285773537</v>
      </c>
      <c r="P100" s="11"/>
      <c r="Q100" s="8">
        <f t="shared" si="16"/>
        <v>12029.9999999999</v>
      </c>
      <c r="R100" s="12">
        <f t="shared" si="17"/>
        <v>0</v>
      </c>
    </row>
    <row r="101" spans="1:18" ht="14.25">
      <c r="A101" s="15">
        <v>45936</v>
      </c>
      <c r="B101" s="3">
        <f>Data_Entry!T191</f>
        <v>11970</v>
      </c>
      <c r="C101" s="3">
        <v>0</v>
      </c>
      <c r="D101" s="4">
        <f>Data_Entry!V191</f>
        <v>4.83</v>
      </c>
      <c r="E101" s="5">
        <f t="shared" si="9"/>
        <v>0.20686437163002899</v>
      </c>
      <c r="F101" s="6">
        <v>0</v>
      </c>
      <c r="G101" s="6">
        <v>0</v>
      </c>
      <c r="H101" s="7">
        <f t="shared" si="10"/>
        <v>0</v>
      </c>
      <c r="I101" s="7">
        <f t="shared" si="11"/>
        <v>0</v>
      </c>
      <c r="J101" s="8">
        <v>2411</v>
      </c>
      <c r="K101" s="9"/>
      <c r="L101" s="8">
        <f t="shared" si="12"/>
        <v>28932</v>
      </c>
      <c r="M101" s="7">
        <f t="shared" si="13"/>
        <v>0</v>
      </c>
      <c r="N101" s="10">
        <f t="shared" si="14"/>
        <v>1</v>
      </c>
      <c r="O101" s="11">
        <f t="shared" si="15"/>
        <v>0.20686437163002899</v>
      </c>
      <c r="P101" s="11"/>
      <c r="Q101" s="8">
        <f t="shared" si="16"/>
        <v>11970</v>
      </c>
      <c r="R101" s="12">
        <f t="shared" si="17"/>
        <v>0</v>
      </c>
    </row>
    <row r="102" spans="1:18" ht="14.25">
      <c r="A102" s="15">
        <v>45937</v>
      </c>
      <c r="B102" s="3">
        <f>Data_Entry!T192</f>
        <v>12720</v>
      </c>
      <c r="C102" s="3">
        <v>0</v>
      </c>
      <c r="D102" s="4">
        <f>Data_Entry!V192</f>
        <v>5.09</v>
      </c>
      <c r="E102" s="5">
        <f t="shared" si="9"/>
        <v>0.21982579842389</v>
      </c>
      <c r="F102" s="6">
        <v>0</v>
      </c>
      <c r="G102" s="6">
        <v>0</v>
      </c>
      <c r="H102" s="7">
        <f t="shared" si="10"/>
        <v>0</v>
      </c>
      <c r="I102" s="7">
        <f t="shared" si="11"/>
        <v>0</v>
      </c>
      <c r="J102" s="8">
        <v>2411</v>
      </c>
      <c r="K102" s="9"/>
      <c r="L102" s="8">
        <f t="shared" si="12"/>
        <v>28932</v>
      </c>
      <c r="M102" s="7">
        <f t="shared" si="13"/>
        <v>0</v>
      </c>
      <c r="N102" s="10">
        <f t="shared" si="14"/>
        <v>1</v>
      </c>
      <c r="O102" s="11">
        <f t="shared" si="15"/>
        <v>0.21982579842389</v>
      </c>
      <c r="P102" s="11"/>
      <c r="Q102" s="8">
        <f t="shared" si="16"/>
        <v>12720</v>
      </c>
      <c r="R102" s="12">
        <f t="shared" si="17"/>
        <v>0</v>
      </c>
    </row>
    <row r="103" spans="1:18" ht="14.25">
      <c r="A103" s="15">
        <v>45938</v>
      </c>
      <c r="B103" s="3">
        <f>Data_Entry!T193</f>
        <v>12779.9999999999</v>
      </c>
      <c r="C103" s="3">
        <v>0</v>
      </c>
      <c r="D103" s="4">
        <f>Data_Entry!V193</f>
        <v>4.8499999999999996</v>
      </c>
      <c r="E103" s="5">
        <f t="shared" si="9"/>
        <v>0.22086271256739801</v>
      </c>
      <c r="F103" s="6">
        <v>0</v>
      </c>
      <c r="G103" s="6">
        <v>0</v>
      </c>
      <c r="H103" s="7">
        <f t="shared" si="10"/>
        <v>0</v>
      </c>
      <c r="I103" s="7">
        <f t="shared" si="11"/>
        <v>0</v>
      </c>
      <c r="J103" s="8">
        <v>2411</v>
      </c>
      <c r="K103" s="9"/>
      <c r="L103" s="8">
        <f t="shared" si="12"/>
        <v>28932</v>
      </c>
      <c r="M103" s="7">
        <f t="shared" si="13"/>
        <v>0</v>
      </c>
      <c r="N103" s="10">
        <f t="shared" si="14"/>
        <v>1</v>
      </c>
      <c r="O103" s="11">
        <f t="shared" si="15"/>
        <v>0.22086271256739801</v>
      </c>
      <c r="P103" s="11"/>
      <c r="Q103" s="8">
        <f t="shared" si="16"/>
        <v>12779.9999999999</v>
      </c>
      <c r="R103" s="12">
        <f t="shared" si="17"/>
        <v>0</v>
      </c>
    </row>
    <row r="104" spans="1:18" ht="14.25">
      <c r="A104" s="15">
        <v>45939</v>
      </c>
      <c r="B104" s="3">
        <f>Data_Entry!T194</f>
        <v>12690</v>
      </c>
      <c r="C104" s="3">
        <v>0</v>
      </c>
      <c r="D104" s="4">
        <f>Data_Entry!V194</f>
        <v>4.95</v>
      </c>
      <c r="E104" s="5">
        <f t="shared" si="9"/>
        <v>0.219307341352137</v>
      </c>
      <c r="F104" s="6">
        <v>0</v>
      </c>
      <c r="G104" s="6">
        <v>0</v>
      </c>
      <c r="H104" s="7">
        <f t="shared" si="10"/>
        <v>0</v>
      </c>
      <c r="I104" s="7">
        <f t="shared" si="11"/>
        <v>0</v>
      </c>
      <c r="J104" s="8">
        <v>2411</v>
      </c>
      <c r="K104" s="9"/>
      <c r="L104" s="8">
        <f t="shared" si="12"/>
        <v>28932</v>
      </c>
      <c r="M104" s="7">
        <f t="shared" si="13"/>
        <v>0</v>
      </c>
      <c r="N104" s="10">
        <f t="shared" si="14"/>
        <v>1</v>
      </c>
      <c r="O104" s="11">
        <f t="shared" si="15"/>
        <v>0.219307341352137</v>
      </c>
      <c r="P104" s="11"/>
      <c r="Q104" s="8">
        <f t="shared" si="16"/>
        <v>12690</v>
      </c>
      <c r="R104" s="12">
        <f t="shared" si="17"/>
        <v>0</v>
      </c>
    </row>
    <row r="105" spans="1:18" ht="14.25">
      <c r="A105" s="15">
        <v>45940</v>
      </c>
      <c r="B105" s="3">
        <f>Data_Entry!T195</f>
        <v>12720</v>
      </c>
      <c r="C105" s="3">
        <v>0</v>
      </c>
      <c r="D105" s="4">
        <f>Data_Entry!V195</f>
        <v>3.92</v>
      </c>
      <c r="E105" s="5">
        <f t="shared" si="9"/>
        <v>0.21982579842389</v>
      </c>
      <c r="F105" s="6">
        <v>0</v>
      </c>
      <c r="G105" s="6">
        <v>0</v>
      </c>
      <c r="H105" s="7">
        <f t="shared" si="10"/>
        <v>0</v>
      </c>
      <c r="I105" s="7">
        <f t="shared" si="11"/>
        <v>0</v>
      </c>
      <c r="J105" s="8">
        <v>2411</v>
      </c>
      <c r="K105" s="9"/>
      <c r="L105" s="8">
        <f t="shared" si="12"/>
        <v>28932</v>
      </c>
      <c r="M105" s="7">
        <f t="shared" si="13"/>
        <v>0</v>
      </c>
      <c r="N105" s="10">
        <f t="shared" si="14"/>
        <v>1</v>
      </c>
      <c r="O105" s="11">
        <f t="shared" si="15"/>
        <v>0.21982579842389</v>
      </c>
      <c r="P105" s="11"/>
      <c r="Q105" s="8">
        <f t="shared" si="16"/>
        <v>12720</v>
      </c>
      <c r="R105" s="12">
        <f t="shared" si="17"/>
        <v>0</v>
      </c>
    </row>
    <row r="106" spans="1:18" ht="14.25">
      <c r="A106" s="15">
        <v>45941</v>
      </c>
      <c r="B106" s="3">
        <f>Data_Entry!T196</f>
        <v>12540.0000000002</v>
      </c>
      <c r="C106" s="3">
        <v>0</v>
      </c>
      <c r="D106" s="4">
        <f>Data_Entry!V196</f>
        <v>3.47</v>
      </c>
      <c r="E106" s="5">
        <f t="shared" si="9"/>
        <v>0.21671505599336699</v>
      </c>
      <c r="F106" s="6">
        <v>0</v>
      </c>
      <c r="G106" s="6">
        <v>0</v>
      </c>
      <c r="H106" s="7">
        <f t="shared" si="10"/>
        <v>0</v>
      </c>
      <c r="I106" s="7">
        <f t="shared" si="11"/>
        <v>0</v>
      </c>
      <c r="J106" s="8">
        <v>2411</v>
      </c>
      <c r="K106" s="9"/>
      <c r="L106" s="8">
        <f t="shared" si="12"/>
        <v>28932</v>
      </c>
      <c r="M106" s="7">
        <f t="shared" si="13"/>
        <v>0</v>
      </c>
      <c r="N106" s="10">
        <f t="shared" si="14"/>
        <v>1</v>
      </c>
      <c r="O106" s="11">
        <f t="shared" si="15"/>
        <v>0.21671505599336699</v>
      </c>
      <c r="P106" s="11"/>
      <c r="Q106" s="8">
        <f t="shared" si="16"/>
        <v>12540.0000000002</v>
      </c>
      <c r="R106" s="12">
        <f t="shared" si="17"/>
        <v>0</v>
      </c>
    </row>
    <row r="107" spans="1:18" ht="14.25">
      <c r="A107" s="15">
        <v>45942</v>
      </c>
      <c r="B107" s="3">
        <f>Data_Entry!T197</f>
        <v>13110</v>
      </c>
      <c r="C107" s="3">
        <v>0</v>
      </c>
      <c r="D107" s="4">
        <f>Data_Entry!V197</f>
        <v>3.56</v>
      </c>
      <c r="E107" s="5">
        <f t="shared" si="9"/>
        <v>0.22656574035669799</v>
      </c>
      <c r="F107" s="6">
        <v>0</v>
      </c>
      <c r="G107" s="6">
        <v>0</v>
      </c>
      <c r="H107" s="7">
        <f t="shared" si="10"/>
        <v>0</v>
      </c>
      <c r="I107" s="7">
        <f t="shared" si="11"/>
        <v>0</v>
      </c>
      <c r="J107" s="8">
        <v>2411</v>
      </c>
      <c r="K107" s="9"/>
      <c r="L107" s="8">
        <f t="shared" si="12"/>
        <v>28932</v>
      </c>
      <c r="M107" s="7">
        <f t="shared" si="13"/>
        <v>0</v>
      </c>
      <c r="N107" s="10">
        <f t="shared" si="14"/>
        <v>1</v>
      </c>
      <c r="O107" s="11">
        <f t="shared" si="15"/>
        <v>0.22656574035669799</v>
      </c>
      <c r="P107" s="11"/>
      <c r="Q107" s="8">
        <f t="shared" si="16"/>
        <v>13110</v>
      </c>
      <c r="R107" s="12">
        <f t="shared" si="17"/>
        <v>0</v>
      </c>
    </row>
    <row r="108" spans="1:18" ht="14.25">
      <c r="A108" s="15">
        <v>45943</v>
      </c>
      <c r="B108" s="3">
        <f>Data_Entry!T198</f>
        <v>13080</v>
      </c>
      <c r="C108" s="3">
        <v>0</v>
      </c>
      <c r="D108" s="4">
        <f>Data_Entry!V198</f>
        <v>3.54</v>
      </c>
      <c r="E108" s="5">
        <f t="shared" si="9"/>
        <v>0.226047283284944</v>
      </c>
      <c r="F108" s="6">
        <v>0</v>
      </c>
      <c r="G108" s="6">
        <v>0</v>
      </c>
      <c r="H108" s="7">
        <f t="shared" si="10"/>
        <v>0</v>
      </c>
      <c r="I108" s="7">
        <f t="shared" si="11"/>
        <v>0</v>
      </c>
      <c r="J108" s="8">
        <v>2411</v>
      </c>
      <c r="K108" s="9"/>
      <c r="L108" s="8">
        <f t="shared" si="12"/>
        <v>28932</v>
      </c>
      <c r="M108" s="7">
        <f t="shared" si="13"/>
        <v>0</v>
      </c>
      <c r="N108" s="10">
        <f t="shared" si="14"/>
        <v>1</v>
      </c>
      <c r="O108" s="11">
        <f t="shared" si="15"/>
        <v>0.226047283284944</v>
      </c>
      <c r="P108" s="11"/>
      <c r="Q108" s="8">
        <f t="shared" si="16"/>
        <v>13080</v>
      </c>
      <c r="R108" s="12">
        <f t="shared" si="17"/>
        <v>0</v>
      </c>
    </row>
    <row r="109" spans="1:18" ht="14.25">
      <c r="A109" s="15">
        <v>45944</v>
      </c>
      <c r="B109" s="3">
        <f>Data_Entry!T199</f>
        <v>12390</v>
      </c>
      <c r="C109" s="3">
        <v>0</v>
      </c>
      <c r="D109" s="4">
        <f>Data_Entry!V199</f>
        <v>3.55</v>
      </c>
      <c r="E109" s="5">
        <f t="shared" si="9"/>
        <v>0.21412277063459101</v>
      </c>
      <c r="F109" s="6">
        <v>0</v>
      </c>
      <c r="G109" s="6">
        <v>0</v>
      </c>
      <c r="H109" s="7">
        <f t="shared" si="10"/>
        <v>0</v>
      </c>
      <c r="I109" s="7">
        <f t="shared" si="11"/>
        <v>0</v>
      </c>
      <c r="J109" s="8">
        <v>2411</v>
      </c>
      <c r="K109" s="9"/>
      <c r="L109" s="8">
        <f t="shared" si="12"/>
        <v>28932</v>
      </c>
      <c r="M109" s="7">
        <f t="shared" si="13"/>
        <v>0</v>
      </c>
      <c r="N109" s="10">
        <f t="shared" si="14"/>
        <v>1</v>
      </c>
      <c r="O109" s="11">
        <f t="shared" si="15"/>
        <v>0.21412277063459101</v>
      </c>
      <c r="P109" s="11"/>
      <c r="Q109" s="8">
        <f t="shared" si="16"/>
        <v>12390</v>
      </c>
      <c r="R109" s="12">
        <f t="shared" si="17"/>
        <v>0</v>
      </c>
    </row>
    <row r="110" spans="1:18" ht="14.25">
      <c r="A110" s="15">
        <v>45945</v>
      </c>
      <c r="B110" s="3">
        <f>Data_Entry!T200</f>
        <v>13110</v>
      </c>
      <c r="C110" s="3">
        <v>0</v>
      </c>
      <c r="D110" s="4">
        <f>Data_Entry!V200</f>
        <v>3.55</v>
      </c>
      <c r="E110" s="5">
        <f t="shared" si="9"/>
        <v>0.22656574035669799</v>
      </c>
      <c r="F110" s="6">
        <v>0</v>
      </c>
      <c r="G110" s="6">
        <v>0</v>
      </c>
      <c r="H110" s="7">
        <f t="shared" si="10"/>
        <v>0</v>
      </c>
      <c r="I110" s="7">
        <f t="shared" si="11"/>
        <v>0</v>
      </c>
      <c r="J110" s="8">
        <v>2411</v>
      </c>
      <c r="K110" s="9"/>
      <c r="L110" s="8">
        <f t="shared" si="12"/>
        <v>28932</v>
      </c>
      <c r="M110" s="7">
        <f t="shared" si="13"/>
        <v>0</v>
      </c>
      <c r="N110" s="10">
        <f t="shared" si="14"/>
        <v>1</v>
      </c>
      <c r="O110" s="11">
        <f t="shared" si="15"/>
        <v>0.22656574035669799</v>
      </c>
      <c r="P110" s="11"/>
      <c r="Q110" s="8">
        <f t="shared" si="16"/>
        <v>13110</v>
      </c>
      <c r="R110" s="12">
        <f t="shared" si="17"/>
        <v>0</v>
      </c>
    </row>
    <row r="111" spans="1:18" ht="14.25">
      <c r="A111" s="15">
        <v>45946</v>
      </c>
      <c r="B111" s="3">
        <f>Data_Entry!T201</f>
        <v>11069.9999999998</v>
      </c>
      <c r="C111" s="3">
        <v>0</v>
      </c>
      <c r="D111" s="4">
        <f>Data_Entry!V201</f>
        <v>3.35</v>
      </c>
      <c r="E111" s="5">
        <f t="shared" si="9"/>
        <v>0.19131065947739101</v>
      </c>
      <c r="F111" s="6">
        <v>0</v>
      </c>
      <c r="G111" s="6">
        <v>0</v>
      </c>
      <c r="H111" s="7">
        <f t="shared" si="10"/>
        <v>0</v>
      </c>
      <c r="I111" s="7">
        <f t="shared" si="11"/>
        <v>0</v>
      </c>
      <c r="J111" s="8">
        <v>2411</v>
      </c>
      <c r="K111" s="9"/>
      <c r="L111" s="8">
        <f t="shared" si="12"/>
        <v>28932</v>
      </c>
      <c r="M111" s="7">
        <f t="shared" si="13"/>
        <v>0</v>
      </c>
      <c r="N111" s="10">
        <f t="shared" si="14"/>
        <v>1</v>
      </c>
      <c r="O111" s="11">
        <f t="shared" si="15"/>
        <v>0.19131065947739101</v>
      </c>
      <c r="P111" s="11"/>
      <c r="Q111" s="8">
        <f t="shared" si="16"/>
        <v>11069.9999999998</v>
      </c>
      <c r="R111" s="12">
        <f t="shared" si="17"/>
        <v>0</v>
      </c>
    </row>
    <row r="112" spans="1:18" ht="14.25">
      <c r="A112" s="15">
        <v>45947</v>
      </c>
      <c r="B112" s="3">
        <f>Data_Entry!T202</f>
        <v>10380.0000000001</v>
      </c>
      <c r="C112" s="3">
        <v>0</v>
      </c>
      <c r="D112" s="4">
        <f>Data_Entry!V202</f>
        <v>3.25</v>
      </c>
      <c r="E112" s="5">
        <f t="shared" si="9"/>
        <v>0.17938614682704401</v>
      </c>
      <c r="F112" s="6">
        <v>0</v>
      </c>
      <c r="G112" s="6">
        <v>0</v>
      </c>
      <c r="H112" s="7">
        <f t="shared" si="10"/>
        <v>0</v>
      </c>
      <c r="I112" s="7">
        <f t="shared" si="11"/>
        <v>0</v>
      </c>
      <c r="J112" s="8">
        <v>2411</v>
      </c>
      <c r="K112" s="9"/>
      <c r="L112" s="8">
        <f t="shared" si="12"/>
        <v>28932</v>
      </c>
      <c r="M112" s="7">
        <f t="shared" si="13"/>
        <v>0</v>
      </c>
      <c r="N112" s="10">
        <f t="shared" si="14"/>
        <v>1</v>
      </c>
      <c r="O112" s="11">
        <f t="shared" si="15"/>
        <v>0.17938614682704401</v>
      </c>
      <c r="P112" s="11"/>
      <c r="Q112" s="8">
        <f t="shared" si="16"/>
        <v>10380.0000000001</v>
      </c>
      <c r="R112" s="12">
        <f t="shared" si="17"/>
        <v>0</v>
      </c>
    </row>
    <row r="113" spans="1:18" ht="14.25">
      <c r="A113" s="15">
        <v>45948</v>
      </c>
      <c r="B113" s="3">
        <f>Data_Entry!T203</f>
        <v>13080</v>
      </c>
      <c r="C113" s="3">
        <v>0</v>
      </c>
      <c r="D113" s="4">
        <f>Data_Entry!V203</f>
        <v>3.95</v>
      </c>
      <c r="E113" s="5">
        <f t="shared" si="9"/>
        <v>0.226047283284944</v>
      </c>
      <c r="F113" s="6">
        <v>0</v>
      </c>
      <c r="G113" s="6">
        <v>0</v>
      </c>
      <c r="H113" s="7">
        <f t="shared" si="10"/>
        <v>0</v>
      </c>
      <c r="I113" s="7">
        <f t="shared" si="11"/>
        <v>0</v>
      </c>
      <c r="J113" s="8">
        <v>2411</v>
      </c>
      <c r="K113" s="9"/>
      <c r="L113" s="8">
        <f t="shared" si="12"/>
        <v>28932</v>
      </c>
      <c r="M113" s="7">
        <f t="shared" si="13"/>
        <v>0</v>
      </c>
      <c r="N113" s="10">
        <f t="shared" si="14"/>
        <v>1</v>
      </c>
      <c r="O113" s="11">
        <f t="shared" si="15"/>
        <v>0.226047283284944</v>
      </c>
      <c r="P113" s="11"/>
      <c r="Q113" s="8">
        <f t="shared" si="16"/>
        <v>13080</v>
      </c>
      <c r="R113" s="12">
        <f t="shared" si="17"/>
        <v>0</v>
      </c>
    </row>
    <row r="114" spans="1:18" ht="14.25">
      <c r="A114" s="15">
        <v>45949</v>
      </c>
      <c r="B114" s="3">
        <f>Data_Entry!T204</f>
        <v>12600.0000000001</v>
      </c>
      <c r="C114" s="3">
        <v>0</v>
      </c>
      <c r="D114" s="4">
        <f>Data_Entry!V204</f>
        <v>4.43</v>
      </c>
      <c r="E114" s="5">
        <f t="shared" si="9"/>
        <v>0.217751970136875</v>
      </c>
      <c r="F114" s="6">
        <v>0</v>
      </c>
      <c r="G114" s="6">
        <v>0</v>
      </c>
      <c r="H114" s="7">
        <f t="shared" si="10"/>
        <v>0</v>
      </c>
      <c r="I114" s="7">
        <f t="shared" si="11"/>
        <v>0</v>
      </c>
      <c r="J114" s="8">
        <v>2411</v>
      </c>
      <c r="K114" s="9"/>
      <c r="L114" s="8">
        <f t="shared" si="12"/>
        <v>28932</v>
      </c>
      <c r="M114" s="7">
        <f t="shared" si="13"/>
        <v>0</v>
      </c>
      <c r="N114" s="10">
        <f t="shared" si="14"/>
        <v>1</v>
      </c>
      <c r="O114" s="11">
        <f t="shared" si="15"/>
        <v>0.217751970136875</v>
      </c>
      <c r="P114" s="11"/>
      <c r="Q114" s="8">
        <f t="shared" si="16"/>
        <v>12600.0000000001</v>
      </c>
      <c r="R114" s="12">
        <f t="shared" si="17"/>
        <v>0</v>
      </c>
    </row>
    <row r="115" spans="1:18" ht="14.25">
      <c r="A115" s="15">
        <v>45950</v>
      </c>
      <c r="B115" s="3">
        <f>Data_Entry!T205</f>
        <v>11550</v>
      </c>
      <c r="C115" s="3">
        <v>0</v>
      </c>
      <c r="D115" s="4">
        <f>Data_Entry!V205</f>
        <v>4.1500000000000004</v>
      </c>
      <c r="E115" s="5">
        <f t="shared" si="9"/>
        <v>0.199605972625467</v>
      </c>
      <c r="F115" s="6">
        <v>0</v>
      </c>
      <c r="G115" s="6">
        <v>0</v>
      </c>
      <c r="H115" s="7">
        <f t="shared" si="10"/>
        <v>0</v>
      </c>
      <c r="I115" s="7">
        <f t="shared" si="11"/>
        <v>0</v>
      </c>
      <c r="J115" s="8">
        <v>2411</v>
      </c>
      <c r="K115" s="9"/>
      <c r="L115" s="8">
        <f t="shared" si="12"/>
        <v>28932</v>
      </c>
      <c r="M115" s="7">
        <f t="shared" si="13"/>
        <v>0</v>
      </c>
      <c r="N115" s="10">
        <f t="shared" si="14"/>
        <v>1</v>
      </c>
      <c r="O115" s="11">
        <f t="shared" si="15"/>
        <v>0.199605972625467</v>
      </c>
      <c r="P115" s="11"/>
      <c r="Q115" s="8">
        <f t="shared" si="16"/>
        <v>11550</v>
      </c>
      <c r="R115" s="12">
        <f t="shared" si="17"/>
        <v>0</v>
      </c>
    </row>
    <row r="116" spans="1:18" ht="14.25">
      <c r="A116" s="15">
        <v>45951</v>
      </c>
      <c r="B116" s="3">
        <f>Data_Entry!T206</f>
        <v>10080</v>
      </c>
      <c r="C116" s="3">
        <v>0</v>
      </c>
      <c r="D116" s="4">
        <f>Data_Entry!V206</f>
        <v>3.82</v>
      </c>
      <c r="E116" s="5">
        <f t="shared" si="9"/>
        <v>0.17420157610949799</v>
      </c>
      <c r="F116" s="6">
        <v>0</v>
      </c>
      <c r="G116" s="6">
        <v>0</v>
      </c>
      <c r="H116" s="7">
        <f t="shared" si="10"/>
        <v>0</v>
      </c>
      <c r="I116" s="7">
        <f t="shared" si="11"/>
        <v>0</v>
      </c>
      <c r="J116" s="8">
        <v>2411</v>
      </c>
      <c r="K116" s="9"/>
      <c r="L116" s="8">
        <f t="shared" si="12"/>
        <v>28932</v>
      </c>
      <c r="M116" s="7">
        <f t="shared" si="13"/>
        <v>0</v>
      </c>
      <c r="N116" s="10">
        <f t="shared" si="14"/>
        <v>1</v>
      </c>
      <c r="O116" s="11">
        <f t="shared" si="15"/>
        <v>0.17420157610949799</v>
      </c>
      <c r="P116" s="11"/>
      <c r="Q116" s="8">
        <f t="shared" si="16"/>
        <v>10080</v>
      </c>
      <c r="R116" s="12">
        <f t="shared" si="17"/>
        <v>0</v>
      </c>
    </row>
    <row r="117" spans="1:18" ht="14.25">
      <c r="A117" s="15">
        <v>45952</v>
      </c>
      <c r="B117" s="3">
        <f>Data_Entry!T207</f>
        <v>10919.9999999999</v>
      </c>
      <c r="C117" s="3">
        <v>0</v>
      </c>
      <c r="D117" s="4">
        <f>Data_Entry!V207</f>
        <v>4.22</v>
      </c>
      <c r="E117" s="5">
        <f t="shared" si="9"/>
        <v>0.188718374118622</v>
      </c>
      <c r="F117" s="6">
        <v>0</v>
      </c>
      <c r="G117" s="6">
        <v>0</v>
      </c>
      <c r="H117" s="7">
        <f t="shared" si="10"/>
        <v>0</v>
      </c>
      <c r="I117" s="7">
        <f t="shared" si="11"/>
        <v>0</v>
      </c>
      <c r="J117" s="8">
        <v>2411</v>
      </c>
      <c r="K117" s="9"/>
      <c r="L117" s="8">
        <f t="shared" si="12"/>
        <v>28932</v>
      </c>
      <c r="M117" s="7">
        <f t="shared" si="13"/>
        <v>0</v>
      </c>
      <c r="N117" s="10">
        <f t="shared" si="14"/>
        <v>1</v>
      </c>
      <c r="O117" s="11">
        <f t="shared" si="15"/>
        <v>0.188718374118622</v>
      </c>
      <c r="P117" s="11"/>
      <c r="Q117" s="8">
        <f t="shared" si="16"/>
        <v>10919.9999999999</v>
      </c>
      <c r="R117" s="12">
        <f t="shared" si="17"/>
        <v>0</v>
      </c>
    </row>
    <row r="118" spans="1:18" ht="14.25">
      <c r="A118" s="15">
        <v>45953</v>
      </c>
      <c r="B118" s="3">
        <f>Data_Entry!T208</f>
        <v>9779.99999999992</v>
      </c>
      <c r="C118" s="3">
        <v>0</v>
      </c>
      <c r="D118" s="4">
        <f>Data_Entry!V208</f>
        <v>3.88</v>
      </c>
      <c r="E118" s="5">
        <f t="shared" si="9"/>
        <v>0.169017005391952</v>
      </c>
      <c r="F118" s="6">
        <v>0</v>
      </c>
      <c r="G118" s="6">
        <v>0</v>
      </c>
      <c r="H118" s="7">
        <f t="shared" si="10"/>
        <v>0</v>
      </c>
      <c r="I118" s="7">
        <f t="shared" si="11"/>
        <v>0</v>
      </c>
      <c r="J118" s="8">
        <v>2411</v>
      </c>
      <c r="K118" s="9"/>
      <c r="L118" s="8">
        <f t="shared" si="12"/>
        <v>28932</v>
      </c>
      <c r="M118" s="7">
        <f t="shared" si="13"/>
        <v>0</v>
      </c>
      <c r="N118" s="10">
        <f t="shared" si="14"/>
        <v>1</v>
      </c>
      <c r="O118" s="11">
        <f t="shared" si="15"/>
        <v>0.169017005391952</v>
      </c>
      <c r="P118" s="11"/>
      <c r="Q118" s="8">
        <f t="shared" si="16"/>
        <v>9779.99999999992</v>
      </c>
      <c r="R118" s="12">
        <f t="shared" si="17"/>
        <v>0</v>
      </c>
    </row>
    <row r="119" spans="1:18" ht="14.25">
      <c r="A119" s="15">
        <v>45954</v>
      </c>
      <c r="B119" s="3">
        <f>Data_Entry!T209</f>
        <v>9210.0000000001201</v>
      </c>
      <c r="C119" s="3">
        <v>7</v>
      </c>
      <c r="D119" s="4">
        <f>Data_Entry!V209</f>
        <v>3.94</v>
      </c>
      <c r="E119" s="5">
        <f t="shared" si="9"/>
        <v>0.15916632102862099</v>
      </c>
      <c r="F119" s="6">
        <v>0.35763888888888901</v>
      </c>
      <c r="G119" s="6">
        <v>0.39930555555555602</v>
      </c>
      <c r="H119" s="7">
        <f t="shared" si="10"/>
        <v>60.000000000000497</v>
      </c>
      <c r="I119" s="7">
        <f t="shared" si="11"/>
        <v>1.00000000000001</v>
      </c>
      <c r="J119" s="8">
        <v>2411</v>
      </c>
      <c r="K119" s="9">
        <v>2411</v>
      </c>
      <c r="L119" s="8">
        <f t="shared" si="12"/>
        <v>28932</v>
      </c>
      <c r="M119" s="7">
        <f t="shared" si="13"/>
        <v>2411.00000000002</v>
      </c>
      <c r="N119" s="10">
        <f t="shared" si="14"/>
        <v>0.91666666666666596</v>
      </c>
      <c r="O119" s="11">
        <f t="shared" si="15"/>
        <v>0.173635986576678</v>
      </c>
      <c r="P119" s="11"/>
      <c r="Q119" s="8">
        <f t="shared" si="16"/>
        <v>10047.272727272901</v>
      </c>
      <c r="R119" s="12">
        <f t="shared" si="17"/>
        <v>837.27272727274601</v>
      </c>
    </row>
    <row r="120" spans="1:18" ht="14.25">
      <c r="A120" s="15">
        <v>45955</v>
      </c>
      <c r="B120" s="3">
        <f>Data_Entry!T210</f>
        <v>8999.9999999999709</v>
      </c>
      <c r="C120" s="3">
        <v>0</v>
      </c>
      <c r="D120" s="4">
        <f>Data_Entry!V210</f>
        <v>3.46</v>
      </c>
      <c r="E120" s="5">
        <f t="shared" si="9"/>
        <v>0.155537121526337</v>
      </c>
      <c r="F120" s="6">
        <v>0</v>
      </c>
      <c r="G120" s="6">
        <v>0</v>
      </c>
      <c r="H120" s="7">
        <f t="shared" si="10"/>
        <v>0</v>
      </c>
      <c r="I120" s="7">
        <f t="shared" si="11"/>
        <v>0</v>
      </c>
      <c r="J120" s="8">
        <v>2411</v>
      </c>
      <c r="K120" s="9"/>
      <c r="L120" s="8">
        <f t="shared" si="12"/>
        <v>28932</v>
      </c>
      <c r="M120" s="7">
        <f t="shared" si="13"/>
        <v>0</v>
      </c>
      <c r="N120" s="10">
        <f t="shared" si="14"/>
        <v>1</v>
      </c>
      <c r="O120" s="11">
        <f t="shared" si="15"/>
        <v>0.155537121526337</v>
      </c>
      <c r="P120" s="11"/>
      <c r="Q120" s="8">
        <f t="shared" si="16"/>
        <v>8999.9999999999709</v>
      </c>
      <c r="R120" s="12">
        <f t="shared" si="17"/>
        <v>0</v>
      </c>
    </row>
    <row r="121" spans="1:18" ht="14.25">
      <c r="A121" s="15">
        <v>45956</v>
      </c>
      <c r="B121" s="3">
        <f>Data_Entry!T211</f>
        <v>1619.9999999998399</v>
      </c>
      <c r="C121" s="3">
        <v>0</v>
      </c>
      <c r="D121" s="4">
        <f>Data_Entry!V211</f>
        <v>0.69</v>
      </c>
      <c r="E121" s="5">
        <f t="shared" si="9"/>
        <v>2.7996681874738E-2</v>
      </c>
      <c r="F121" s="6">
        <v>0</v>
      </c>
      <c r="G121" s="6">
        <v>0</v>
      </c>
      <c r="H121" s="7">
        <f t="shared" si="10"/>
        <v>0</v>
      </c>
      <c r="I121" s="7">
        <f t="shared" si="11"/>
        <v>0</v>
      </c>
      <c r="J121" s="8">
        <v>2411</v>
      </c>
      <c r="K121" s="9"/>
      <c r="L121" s="8">
        <f t="shared" si="12"/>
        <v>28932</v>
      </c>
      <c r="M121" s="7">
        <f t="shared" si="13"/>
        <v>0</v>
      </c>
      <c r="N121" s="10">
        <f t="shared" si="14"/>
        <v>1</v>
      </c>
      <c r="O121" s="11">
        <f t="shared" si="15"/>
        <v>2.7996681874738E-2</v>
      </c>
      <c r="P121" s="11"/>
      <c r="Q121" s="8">
        <f t="shared" si="16"/>
        <v>1619.9999999998399</v>
      </c>
      <c r="R121" s="12">
        <f t="shared" si="17"/>
        <v>0</v>
      </c>
    </row>
    <row r="122" spans="1:18" ht="14.25">
      <c r="A122" s="15">
        <v>45957</v>
      </c>
      <c r="B122" s="3">
        <f>Data_Entry!T212</f>
        <v>3570.0000000001401</v>
      </c>
      <c r="C122" s="3">
        <v>0</v>
      </c>
      <c r="D122" s="4">
        <f>Data_Entry!V212</f>
        <v>1.36</v>
      </c>
      <c r="E122" s="5">
        <f t="shared" si="9"/>
        <v>6.1696391538783001E-2</v>
      </c>
      <c r="F122" s="6">
        <v>0</v>
      </c>
      <c r="G122" s="6">
        <v>0</v>
      </c>
      <c r="H122" s="7">
        <f t="shared" si="10"/>
        <v>0</v>
      </c>
      <c r="I122" s="7">
        <f t="shared" si="11"/>
        <v>0</v>
      </c>
      <c r="J122" s="8">
        <v>2411</v>
      </c>
      <c r="K122" s="9"/>
      <c r="L122" s="8">
        <f t="shared" si="12"/>
        <v>28932</v>
      </c>
      <c r="M122" s="7">
        <f t="shared" si="13"/>
        <v>0</v>
      </c>
      <c r="N122" s="10">
        <f t="shared" si="14"/>
        <v>1</v>
      </c>
      <c r="O122" s="11">
        <f t="shared" si="15"/>
        <v>6.1696391538783001E-2</v>
      </c>
      <c r="P122" s="11"/>
      <c r="Q122" s="8">
        <f t="shared" si="16"/>
        <v>3570.0000000001401</v>
      </c>
      <c r="R122" s="12">
        <f t="shared" si="17"/>
        <v>0</v>
      </c>
    </row>
    <row r="123" spans="1:18" ht="14.25">
      <c r="A123" s="15">
        <v>45958</v>
      </c>
      <c r="B123" s="3">
        <f>Data_Entry!T213</f>
        <v>1529.99999999994</v>
      </c>
      <c r="C123" s="3">
        <v>0</v>
      </c>
      <c r="D123" s="4">
        <f>Data_Entry!V213</f>
        <v>0.56000000000000005</v>
      </c>
      <c r="E123" s="5">
        <f t="shared" si="9"/>
        <v>2.64413106594764E-2</v>
      </c>
      <c r="F123" s="6">
        <v>0</v>
      </c>
      <c r="G123" s="6">
        <v>0</v>
      </c>
      <c r="H123" s="7">
        <f t="shared" si="10"/>
        <v>0</v>
      </c>
      <c r="I123" s="7">
        <f t="shared" si="11"/>
        <v>0</v>
      </c>
      <c r="J123" s="8">
        <v>2411</v>
      </c>
      <c r="K123" s="9"/>
      <c r="L123" s="8">
        <f t="shared" si="12"/>
        <v>28932</v>
      </c>
      <c r="M123" s="7">
        <f t="shared" si="13"/>
        <v>0</v>
      </c>
      <c r="N123" s="10">
        <f t="shared" si="14"/>
        <v>1</v>
      </c>
      <c r="O123" s="11">
        <f t="shared" si="15"/>
        <v>2.64413106594764E-2</v>
      </c>
      <c r="P123" s="11"/>
      <c r="Q123" s="8">
        <f t="shared" si="16"/>
        <v>1529.99999999994</v>
      </c>
      <c r="R123" s="12">
        <f t="shared" si="17"/>
        <v>0</v>
      </c>
    </row>
    <row r="124" spans="1:18" ht="14.25">
      <c r="A124" s="15">
        <v>45959</v>
      </c>
      <c r="B124" s="3">
        <f>Data_Entry!T214</f>
        <v>3240.0000000001</v>
      </c>
      <c r="C124" s="3">
        <v>0</v>
      </c>
      <c r="D124" s="4">
        <f>Data_Entry!V214</f>
        <v>1.34</v>
      </c>
      <c r="E124" s="5">
        <f t="shared" si="9"/>
        <v>5.5993363749483202E-2</v>
      </c>
      <c r="F124" s="6">
        <v>0</v>
      </c>
      <c r="G124" s="6">
        <v>0</v>
      </c>
      <c r="H124" s="7">
        <f t="shared" si="10"/>
        <v>0</v>
      </c>
      <c r="I124" s="7">
        <f t="shared" si="11"/>
        <v>0</v>
      </c>
      <c r="J124" s="8">
        <v>2411</v>
      </c>
      <c r="K124" s="9"/>
      <c r="L124" s="8">
        <f t="shared" si="12"/>
        <v>28932</v>
      </c>
      <c r="M124" s="7">
        <f t="shared" si="13"/>
        <v>0</v>
      </c>
      <c r="N124" s="10">
        <f t="shared" si="14"/>
        <v>1</v>
      </c>
      <c r="O124" s="11">
        <f t="shared" si="15"/>
        <v>5.5993363749483202E-2</v>
      </c>
      <c r="P124" s="11"/>
      <c r="Q124" s="8">
        <f t="shared" si="16"/>
        <v>3240.0000000001</v>
      </c>
      <c r="R124" s="12">
        <f t="shared" si="17"/>
        <v>0</v>
      </c>
    </row>
    <row r="125" spans="1:18" ht="14.25">
      <c r="A125" s="15">
        <v>45960</v>
      </c>
      <c r="B125" s="3">
        <f>Data_Entry!T215</f>
        <v>4080.00000000001</v>
      </c>
      <c r="C125" s="3">
        <v>0</v>
      </c>
      <c r="D125" s="4">
        <f>Data_Entry!V215</f>
        <v>1.62</v>
      </c>
      <c r="E125" s="5">
        <f t="shared" si="9"/>
        <v>7.0510161758606596E-2</v>
      </c>
      <c r="F125" s="6">
        <v>0</v>
      </c>
      <c r="G125" s="6">
        <v>0</v>
      </c>
      <c r="H125" s="7">
        <f t="shared" si="10"/>
        <v>0</v>
      </c>
      <c r="I125" s="7">
        <f t="shared" si="11"/>
        <v>0</v>
      </c>
      <c r="J125" s="8">
        <v>2411</v>
      </c>
      <c r="K125" s="9"/>
      <c r="L125" s="8">
        <f t="shared" si="12"/>
        <v>28932</v>
      </c>
      <c r="M125" s="7">
        <f t="shared" si="13"/>
        <v>0</v>
      </c>
      <c r="N125" s="10">
        <f t="shared" si="14"/>
        <v>1</v>
      </c>
      <c r="O125" s="11">
        <f t="shared" si="15"/>
        <v>7.0510161758606596E-2</v>
      </c>
      <c r="P125" s="11"/>
      <c r="Q125" s="8">
        <f t="shared" si="16"/>
        <v>4080.00000000001</v>
      </c>
      <c r="R125" s="12">
        <f t="shared" si="17"/>
        <v>0</v>
      </c>
    </row>
    <row r="126" spans="1:18" ht="14.25">
      <c r="A126" s="15">
        <v>45961</v>
      </c>
      <c r="B126" s="3">
        <f>Data_Entry!T216</f>
        <v>3899.9999999998399</v>
      </c>
      <c r="C126" s="3">
        <v>0</v>
      </c>
      <c r="D126" s="4">
        <f>Data_Entry!V216</f>
        <v>1.47</v>
      </c>
      <c r="E126" s="5">
        <f t="shared" si="9"/>
        <v>6.7399419328076804E-2</v>
      </c>
      <c r="F126" s="6">
        <v>0</v>
      </c>
      <c r="G126" s="6">
        <v>0</v>
      </c>
      <c r="H126" s="7">
        <f t="shared" si="10"/>
        <v>0</v>
      </c>
      <c r="I126" s="7">
        <f t="shared" si="11"/>
        <v>0</v>
      </c>
      <c r="J126" s="8">
        <v>2411</v>
      </c>
      <c r="K126" s="9"/>
      <c r="L126" s="8">
        <f t="shared" si="12"/>
        <v>28932</v>
      </c>
      <c r="M126" s="7">
        <f t="shared" si="13"/>
        <v>0</v>
      </c>
      <c r="N126" s="10">
        <f t="shared" si="14"/>
        <v>1</v>
      </c>
      <c r="O126" s="11">
        <f t="shared" si="15"/>
        <v>6.7399419328076804E-2</v>
      </c>
      <c r="P126" s="11"/>
      <c r="Q126" s="8">
        <f t="shared" si="16"/>
        <v>3899.9999999998399</v>
      </c>
      <c r="R126" s="12">
        <f t="shared" si="17"/>
        <v>0</v>
      </c>
    </row>
    <row r="127" spans="1:18" ht="14.25">
      <c r="A127" s="15">
        <v>45962</v>
      </c>
      <c r="B127" s="3">
        <f>Data_Entry!T217</f>
        <v>6504.0000000002801</v>
      </c>
      <c r="C127" s="3">
        <v>0</v>
      </c>
      <c r="D127" s="4">
        <f>Data_Entry!V217</f>
        <v>2.54</v>
      </c>
      <c r="E127" s="5">
        <f t="shared" si="9"/>
        <v>0.112401493156371</v>
      </c>
      <c r="F127" s="6">
        <v>0</v>
      </c>
      <c r="G127" s="6">
        <v>0</v>
      </c>
      <c r="H127" s="7">
        <f t="shared" si="10"/>
        <v>0</v>
      </c>
      <c r="I127" s="7">
        <f t="shared" si="11"/>
        <v>0</v>
      </c>
      <c r="J127" s="8">
        <v>2411</v>
      </c>
      <c r="K127" s="9"/>
      <c r="L127" s="8">
        <f t="shared" si="12"/>
        <v>28932</v>
      </c>
      <c r="M127" s="7">
        <f t="shared" si="13"/>
        <v>0</v>
      </c>
      <c r="N127" s="10">
        <f t="shared" si="14"/>
        <v>1</v>
      </c>
      <c r="O127" s="11">
        <f t="shared" si="15"/>
        <v>0.112401493156371</v>
      </c>
      <c r="P127" s="11"/>
      <c r="Q127" s="8">
        <f t="shared" si="16"/>
        <v>6504.0000000002801</v>
      </c>
      <c r="R127" s="12">
        <f t="shared" si="17"/>
        <v>0</v>
      </c>
    </row>
    <row r="128" spans="1:18" ht="14.25">
      <c r="A128" s="15">
        <v>45963</v>
      </c>
      <c r="B128" s="3">
        <f>Data_Entry!T218</f>
        <v>7715.99999999998</v>
      </c>
      <c r="C128" s="3">
        <v>0</v>
      </c>
      <c r="D128" s="4">
        <f>Data_Entry!V218</f>
        <v>3.05</v>
      </c>
      <c r="E128" s="5">
        <f t="shared" si="9"/>
        <v>0.13334715885524601</v>
      </c>
      <c r="F128" s="6">
        <v>0</v>
      </c>
      <c r="G128" s="6">
        <v>0</v>
      </c>
      <c r="H128" s="7">
        <f t="shared" si="10"/>
        <v>0</v>
      </c>
      <c r="I128" s="7">
        <f t="shared" si="11"/>
        <v>0</v>
      </c>
      <c r="J128" s="8">
        <v>2411</v>
      </c>
      <c r="K128" s="9"/>
      <c r="L128" s="8">
        <f t="shared" si="12"/>
        <v>28932</v>
      </c>
      <c r="M128" s="7">
        <f t="shared" si="13"/>
        <v>0</v>
      </c>
      <c r="N128" s="10">
        <f t="shared" si="14"/>
        <v>1</v>
      </c>
      <c r="O128" s="11">
        <f t="shared" si="15"/>
        <v>0.13334715885524601</v>
      </c>
      <c r="P128" s="11"/>
      <c r="Q128" s="8">
        <f t="shared" si="16"/>
        <v>7715.99999999998</v>
      </c>
      <c r="R128" s="12">
        <f t="shared" si="17"/>
        <v>0</v>
      </c>
    </row>
    <row r="129" spans="1:18" ht="14.25">
      <c r="A129" s="15">
        <v>45964</v>
      </c>
      <c r="B129" s="3">
        <f>Data_Entry!T219</f>
        <v>11099.9999999998</v>
      </c>
      <c r="C129" s="3">
        <v>0</v>
      </c>
      <c r="D129" s="4">
        <f>Data_Entry!V219</f>
        <v>4.05</v>
      </c>
      <c r="E129" s="5">
        <f t="shared" si="9"/>
        <v>0.191829116549146</v>
      </c>
      <c r="F129" s="6">
        <v>0</v>
      </c>
      <c r="G129" s="6">
        <v>0</v>
      </c>
      <c r="H129" s="7">
        <f t="shared" si="10"/>
        <v>0</v>
      </c>
      <c r="I129" s="7">
        <f t="shared" si="11"/>
        <v>0</v>
      </c>
      <c r="J129" s="8">
        <v>2411</v>
      </c>
      <c r="K129" s="9"/>
      <c r="L129" s="8">
        <f t="shared" si="12"/>
        <v>28932</v>
      </c>
      <c r="M129" s="7">
        <f t="shared" si="13"/>
        <v>0</v>
      </c>
      <c r="N129" s="10">
        <f t="shared" si="14"/>
        <v>1</v>
      </c>
      <c r="O129" s="11">
        <f t="shared" si="15"/>
        <v>0.191829116549146</v>
      </c>
      <c r="P129" s="11"/>
      <c r="Q129" s="8">
        <f t="shared" si="16"/>
        <v>11099.9999999998</v>
      </c>
      <c r="R129" s="12">
        <f t="shared" si="17"/>
        <v>0</v>
      </c>
    </row>
    <row r="130" spans="1:18" ht="14.25">
      <c r="A130" s="15">
        <v>45965</v>
      </c>
      <c r="B130" s="3">
        <f>Data_Entry!T220</f>
        <v>11490.0000000001</v>
      </c>
      <c r="C130" s="3">
        <v>0</v>
      </c>
      <c r="D130" s="4">
        <f>Data_Entry!V220</f>
        <v>3.87</v>
      </c>
      <c r="E130" s="5">
        <f t="shared" si="9"/>
        <v>0.19856905848195899</v>
      </c>
      <c r="F130" s="6">
        <v>0</v>
      </c>
      <c r="G130" s="6">
        <v>0</v>
      </c>
      <c r="H130" s="7">
        <f t="shared" si="10"/>
        <v>0</v>
      </c>
      <c r="I130" s="7">
        <f t="shared" si="11"/>
        <v>0</v>
      </c>
      <c r="J130" s="8">
        <v>2411</v>
      </c>
      <c r="K130" s="9"/>
      <c r="L130" s="8">
        <f t="shared" si="12"/>
        <v>28932</v>
      </c>
      <c r="M130" s="7">
        <f t="shared" si="13"/>
        <v>0</v>
      </c>
      <c r="N130" s="10">
        <f t="shared" si="14"/>
        <v>1</v>
      </c>
      <c r="O130" s="11">
        <f t="shared" si="15"/>
        <v>0.19856905848195899</v>
      </c>
      <c r="P130" s="11"/>
      <c r="Q130" s="8">
        <f t="shared" si="16"/>
        <v>11490.0000000001</v>
      </c>
      <c r="R130" s="12">
        <f t="shared" si="17"/>
        <v>0</v>
      </c>
    </row>
    <row r="131" spans="1:18" ht="14.25">
      <c r="A131" s="15">
        <v>45966</v>
      </c>
      <c r="B131" s="3">
        <f>Data_Entry!T221</f>
        <v>12449.9999999999</v>
      </c>
      <c r="C131" s="3">
        <v>0</v>
      </c>
      <c r="D131" s="4">
        <f>Data_Entry!V221</f>
        <v>4.47</v>
      </c>
      <c r="E131" s="5">
        <f t="shared" si="9"/>
        <v>0.21515968477809899</v>
      </c>
      <c r="F131" s="6">
        <v>0</v>
      </c>
      <c r="G131" s="6">
        <v>0</v>
      </c>
      <c r="H131" s="7">
        <f t="shared" si="10"/>
        <v>0</v>
      </c>
      <c r="I131" s="7">
        <f t="shared" si="11"/>
        <v>0</v>
      </c>
      <c r="J131" s="8">
        <v>2411</v>
      </c>
      <c r="K131" s="9"/>
      <c r="L131" s="8">
        <f t="shared" si="12"/>
        <v>28932</v>
      </c>
      <c r="M131" s="7">
        <f t="shared" si="13"/>
        <v>0</v>
      </c>
      <c r="N131" s="10">
        <f t="shared" si="14"/>
        <v>1</v>
      </c>
      <c r="O131" s="11">
        <f t="shared" si="15"/>
        <v>0.21515968477809899</v>
      </c>
      <c r="P131" s="11"/>
      <c r="Q131" s="8">
        <f t="shared" si="16"/>
        <v>12449.9999999999</v>
      </c>
      <c r="R131" s="12">
        <f t="shared" si="17"/>
        <v>0</v>
      </c>
    </row>
    <row r="132" spans="1:18" ht="14.25">
      <c r="A132" s="15">
        <v>45967</v>
      </c>
      <c r="B132" s="3">
        <f>Data_Entry!T222</f>
        <v>12360</v>
      </c>
      <c r="C132" s="3">
        <v>0</v>
      </c>
      <c r="D132" s="4">
        <f>Data_Entry!V222</f>
        <v>4.3899999999999997</v>
      </c>
      <c r="E132" s="5">
        <f t="shared" ref="E132:E195" si="18">B132/(24*J132)</f>
        <v>0.21360431356283699</v>
      </c>
      <c r="F132" s="6">
        <v>0</v>
      </c>
      <c r="G132" s="6">
        <v>0</v>
      </c>
      <c r="H132" s="7">
        <f t="shared" ref="H132:H195" si="19">(G132-F132)*24*60</f>
        <v>0</v>
      </c>
      <c r="I132" s="7">
        <f t="shared" ref="I132:I195" si="20">H132/60</f>
        <v>0</v>
      </c>
      <c r="J132" s="8">
        <v>2411</v>
      </c>
      <c r="K132" s="9"/>
      <c r="L132" s="8">
        <f t="shared" ref="L132:L195" si="21">J132*12</f>
        <v>28932</v>
      </c>
      <c r="M132" s="7">
        <f t="shared" ref="M132:M195" si="22">K132*I132</f>
        <v>0</v>
      </c>
      <c r="N132" s="10">
        <f t="shared" ref="N132:N195" si="23">(L132-M132)/L132</f>
        <v>1</v>
      </c>
      <c r="O132" s="11">
        <f t="shared" ref="O132:O195" si="24">E132/N132</f>
        <v>0.21360431356283699</v>
      </c>
      <c r="P132" s="11"/>
      <c r="Q132" s="8">
        <f t="shared" ref="Q132:Q195" si="25">O132*J132*24</f>
        <v>12360</v>
      </c>
      <c r="R132" s="12">
        <f t="shared" ref="R132:R195" si="26">Q132-B132</f>
        <v>0</v>
      </c>
    </row>
    <row r="133" spans="1:18" ht="14.25">
      <c r="A133" s="15">
        <v>45968</v>
      </c>
      <c r="B133" s="3">
        <f>Data_Entry!T223</f>
        <v>11880.0000000001</v>
      </c>
      <c r="C133" s="3">
        <v>0</v>
      </c>
      <c r="D133" s="4">
        <f>Data_Entry!V223</f>
        <v>4.2699999999999996</v>
      </c>
      <c r="E133" s="5">
        <f t="shared" si="18"/>
        <v>0.20530900041476699</v>
      </c>
      <c r="F133" s="6">
        <v>0</v>
      </c>
      <c r="G133" s="6">
        <v>0</v>
      </c>
      <c r="H133" s="7">
        <f t="shared" si="19"/>
        <v>0</v>
      </c>
      <c r="I133" s="7">
        <f t="shared" si="20"/>
        <v>0</v>
      </c>
      <c r="J133" s="8">
        <v>2411</v>
      </c>
      <c r="K133" s="9"/>
      <c r="L133" s="8">
        <f t="shared" si="21"/>
        <v>28932</v>
      </c>
      <c r="M133" s="7">
        <f t="shared" si="22"/>
        <v>0</v>
      </c>
      <c r="N133" s="10">
        <f t="shared" si="23"/>
        <v>1</v>
      </c>
      <c r="O133" s="11">
        <f t="shared" si="24"/>
        <v>0.20530900041476699</v>
      </c>
      <c r="P133" s="11"/>
      <c r="Q133" s="8">
        <f t="shared" si="25"/>
        <v>11880.0000000001</v>
      </c>
      <c r="R133" s="12">
        <f t="shared" si="26"/>
        <v>0</v>
      </c>
    </row>
    <row r="134" spans="1:18" ht="14.25">
      <c r="A134" s="15">
        <v>45969</v>
      </c>
      <c r="B134" s="3">
        <f>Data_Entry!T224</f>
        <v>12419.9999999999</v>
      </c>
      <c r="C134" s="3">
        <v>0</v>
      </c>
      <c r="D134" s="4">
        <f>Data_Entry!V224</f>
        <v>4.47</v>
      </c>
      <c r="E134" s="5">
        <f t="shared" si="18"/>
        <v>0.214641227706345</v>
      </c>
      <c r="F134" s="6">
        <v>0</v>
      </c>
      <c r="G134" s="6">
        <v>0</v>
      </c>
      <c r="H134" s="7">
        <f t="shared" si="19"/>
        <v>0</v>
      </c>
      <c r="I134" s="7">
        <f t="shared" si="20"/>
        <v>0</v>
      </c>
      <c r="J134" s="8">
        <v>2411</v>
      </c>
      <c r="K134" s="9"/>
      <c r="L134" s="8">
        <f t="shared" si="21"/>
        <v>28932</v>
      </c>
      <c r="M134" s="7">
        <f t="shared" si="22"/>
        <v>0</v>
      </c>
      <c r="N134" s="10">
        <f t="shared" si="23"/>
        <v>1</v>
      </c>
      <c r="O134" s="11">
        <f t="shared" si="24"/>
        <v>0.214641227706345</v>
      </c>
      <c r="P134" s="11"/>
      <c r="Q134" s="8">
        <f t="shared" si="25"/>
        <v>12419.9999999999</v>
      </c>
      <c r="R134" s="12">
        <f t="shared" si="26"/>
        <v>0</v>
      </c>
    </row>
    <row r="135" spans="1:18" ht="14.25">
      <c r="A135" s="15">
        <v>45970</v>
      </c>
      <c r="B135" s="3">
        <f>Data_Entry!T225</f>
        <v>12180.0000000001</v>
      </c>
      <c r="C135" s="3">
        <v>0</v>
      </c>
      <c r="D135" s="4">
        <f>Data_Entry!V225</f>
        <v>4.46</v>
      </c>
      <c r="E135" s="5">
        <f t="shared" si="18"/>
        <v>0.21049357113231201</v>
      </c>
      <c r="F135" s="6">
        <v>0</v>
      </c>
      <c r="G135" s="6">
        <v>0</v>
      </c>
      <c r="H135" s="7">
        <f t="shared" si="19"/>
        <v>0</v>
      </c>
      <c r="I135" s="7">
        <f t="shared" si="20"/>
        <v>0</v>
      </c>
      <c r="J135" s="8">
        <v>2411</v>
      </c>
      <c r="K135" s="9"/>
      <c r="L135" s="8">
        <f t="shared" si="21"/>
        <v>28932</v>
      </c>
      <c r="M135" s="7">
        <f t="shared" si="22"/>
        <v>0</v>
      </c>
      <c r="N135" s="10">
        <f t="shared" si="23"/>
        <v>1</v>
      </c>
      <c r="O135" s="11">
        <f t="shared" si="24"/>
        <v>0.21049357113231201</v>
      </c>
      <c r="P135" s="11"/>
      <c r="Q135" s="8">
        <f t="shared" si="25"/>
        <v>12180.0000000001</v>
      </c>
      <c r="R135" s="12">
        <f t="shared" si="26"/>
        <v>0</v>
      </c>
    </row>
    <row r="136" spans="1:18" ht="14.25">
      <c r="A136" s="15">
        <v>45971</v>
      </c>
      <c r="B136" s="3">
        <f>Data_Entry!T226</f>
        <v>12180.0000000001</v>
      </c>
      <c r="C136" s="3">
        <v>0</v>
      </c>
      <c r="D136" s="4">
        <f>Data_Entry!V226</f>
        <v>4.43</v>
      </c>
      <c r="E136" s="5">
        <f t="shared" si="18"/>
        <v>0.21049357113231301</v>
      </c>
      <c r="F136" s="6">
        <v>0</v>
      </c>
      <c r="G136" s="6">
        <v>0</v>
      </c>
      <c r="H136" s="7">
        <f t="shared" si="19"/>
        <v>0</v>
      </c>
      <c r="I136" s="7">
        <f t="shared" si="20"/>
        <v>0</v>
      </c>
      <c r="J136" s="8">
        <v>2411</v>
      </c>
      <c r="K136" s="9"/>
      <c r="L136" s="8">
        <f t="shared" si="21"/>
        <v>28932</v>
      </c>
      <c r="M136" s="7">
        <f t="shared" si="22"/>
        <v>0</v>
      </c>
      <c r="N136" s="10">
        <f t="shared" si="23"/>
        <v>1</v>
      </c>
      <c r="O136" s="11">
        <f t="shared" si="24"/>
        <v>0.21049357113231301</v>
      </c>
      <c r="P136" s="11"/>
      <c r="Q136" s="8">
        <f t="shared" si="25"/>
        <v>12180.0000000001</v>
      </c>
      <c r="R136" s="12">
        <f t="shared" si="26"/>
        <v>0</v>
      </c>
    </row>
    <row r="137" spans="1:18" ht="14.25">
      <c r="A137" s="15">
        <v>45972</v>
      </c>
      <c r="B137" s="3">
        <f>Data_Entry!T227</f>
        <v>11819.9999999998</v>
      </c>
      <c r="C137" s="3">
        <v>0</v>
      </c>
      <c r="D137" s="4">
        <f>Data_Entry!V227</f>
        <v>4.34</v>
      </c>
      <c r="E137" s="5">
        <f t="shared" si="18"/>
        <v>0.20427208627125301</v>
      </c>
      <c r="F137" s="6">
        <v>0</v>
      </c>
      <c r="G137" s="6">
        <v>0</v>
      </c>
      <c r="H137" s="7">
        <f t="shared" si="19"/>
        <v>0</v>
      </c>
      <c r="I137" s="7">
        <f t="shared" si="20"/>
        <v>0</v>
      </c>
      <c r="J137" s="8">
        <v>2411</v>
      </c>
      <c r="K137" s="9"/>
      <c r="L137" s="8">
        <f t="shared" si="21"/>
        <v>28932</v>
      </c>
      <c r="M137" s="7">
        <f t="shared" si="22"/>
        <v>0</v>
      </c>
      <c r="N137" s="10">
        <f t="shared" si="23"/>
        <v>1</v>
      </c>
      <c r="O137" s="11">
        <f t="shared" si="24"/>
        <v>0.20427208627125301</v>
      </c>
      <c r="P137" s="11"/>
      <c r="Q137" s="8">
        <f t="shared" si="25"/>
        <v>11819.9999999998</v>
      </c>
      <c r="R137" s="12">
        <f t="shared" si="26"/>
        <v>0</v>
      </c>
    </row>
    <row r="138" spans="1:18" ht="14.25">
      <c r="A138" s="15">
        <v>45973</v>
      </c>
      <c r="B138" s="3">
        <f>Data_Entry!T228</f>
        <v>11610</v>
      </c>
      <c r="C138" s="3">
        <v>0</v>
      </c>
      <c r="D138" s="4">
        <f>Data_Entry!V228</f>
        <v>4.29</v>
      </c>
      <c r="E138" s="5">
        <f t="shared" si="18"/>
        <v>0.20064288676897499</v>
      </c>
      <c r="F138" s="6">
        <v>0</v>
      </c>
      <c r="G138" s="6">
        <v>0</v>
      </c>
      <c r="H138" s="7">
        <f t="shared" si="19"/>
        <v>0</v>
      </c>
      <c r="I138" s="7">
        <f t="shared" si="20"/>
        <v>0</v>
      </c>
      <c r="J138" s="8">
        <v>2411</v>
      </c>
      <c r="K138" s="9"/>
      <c r="L138" s="8">
        <f t="shared" si="21"/>
        <v>28932</v>
      </c>
      <c r="M138" s="7">
        <f t="shared" si="22"/>
        <v>0</v>
      </c>
      <c r="N138" s="10">
        <f t="shared" si="23"/>
        <v>1</v>
      </c>
      <c r="O138" s="11">
        <f t="shared" si="24"/>
        <v>0.20064288676897499</v>
      </c>
      <c r="P138" s="11"/>
      <c r="Q138" s="8">
        <f t="shared" si="25"/>
        <v>11610</v>
      </c>
      <c r="R138" s="12">
        <f t="shared" si="26"/>
        <v>0</v>
      </c>
    </row>
    <row r="139" spans="1:18" ht="14.25">
      <c r="A139" s="15">
        <v>45974</v>
      </c>
      <c r="B139" s="3">
        <f>Data_Entry!T229</f>
        <v>11310.0000000002</v>
      </c>
      <c r="C139" s="3">
        <v>0</v>
      </c>
      <c r="D139" s="4">
        <f>Data_Entry!V229</f>
        <v>4.24</v>
      </c>
      <c r="E139" s="5">
        <f t="shared" si="18"/>
        <v>0.19545831605143499</v>
      </c>
      <c r="F139" s="6">
        <v>0</v>
      </c>
      <c r="G139" s="6">
        <v>0</v>
      </c>
      <c r="H139" s="7">
        <f t="shared" si="19"/>
        <v>0</v>
      </c>
      <c r="I139" s="7">
        <f t="shared" si="20"/>
        <v>0</v>
      </c>
      <c r="J139" s="8">
        <v>2411</v>
      </c>
      <c r="K139" s="9"/>
      <c r="L139" s="8">
        <f t="shared" si="21"/>
        <v>28932</v>
      </c>
      <c r="M139" s="7">
        <f t="shared" si="22"/>
        <v>0</v>
      </c>
      <c r="N139" s="10">
        <f t="shared" si="23"/>
        <v>1</v>
      </c>
      <c r="O139" s="11">
        <f t="shared" si="24"/>
        <v>0.19545831605143499</v>
      </c>
      <c r="P139" s="11"/>
      <c r="Q139" s="8">
        <f t="shared" si="25"/>
        <v>11310.0000000002</v>
      </c>
      <c r="R139" s="12">
        <f t="shared" si="26"/>
        <v>0</v>
      </c>
    </row>
    <row r="140" spans="1:18" ht="14.25">
      <c r="A140" s="15">
        <v>45975</v>
      </c>
      <c r="B140" s="3">
        <f>Data_Entry!T230</f>
        <v>11339.9999999999</v>
      </c>
      <c r="C140" s="3">
        <v>0</v>
      </c>
      <c r="D140" s="4">
        <f>Data_Entry!V230</f>
        <v>4.2699999999999996</v>
      </c>
      <c r="E140" s="5">
        <f t="shared" si="18"/>
        <v>0.19597677312318401</v>
      </c>
      <c r="F140" s="6">
        <v>0</v>
      </c>
      <c r="G140" s="6">
        <v>0</v>
      </c>
      <c r="H140" s="7">
        <f t="shared" si="19"/>
        <v>0</v>
      </c>
      <c r="I140" s="7">
        <f t="shared" si="20"/>
        <v>0</v>
      </c>
      <c r="J140" s="8">
        <v>2411</v>
      </c>
      <c r="K140" s="9"/>
      <c r="L140" s="8">
        <f t="shared" si="21"/>
        <v>28932</v>
      </c>
      <c r="M140" s="7">
        <f t="shared" si="22"/>
        <v>0</v>
      </c>
      <c r="N140" s="10">
        <f t="shared" si="23"/>
        <v>1</v>
      </c>
      <c r="O140" s="11">
        <f t="shared" si="24"/>
        <v>0.19597677312318401</v>
      </c>
      <c r="P140" s="11"/>
      <c r="Q140" s="8">
        <f t="shared" si="25"/>
        <v>11339.9999999999</v>
      </c>
      <c r="R140" s="12">
        <f t="shared" si="26"/>
        <v>0</v>
      </c>
    </row>
    <row r="141" spans="1:18" ht="14.25">
      <c r="A141" s="15">
        <v>45976</v>
      </c>
      <c r="B141" s="3">
        <f>Data_Entry!T231</f>
        <v>11069.9999999998</v>
      </c>
      <c r="C141" s="3">
        <v>0</v>
      </c>
      <c r="D141" s="4">
        <f>Data_Entry!V231</f>
        <v>4.17</v>
      </c>
      <c r="E141" s="5">
        <f t="shared" si="18"/>
        <v>0.19131065947739201</v>
      </c>
      <c r="F141" s="6">
        <v>0</v>
      </c>
      <c r="G141" s="6">
        <v>0</v>
      </c>
      <c r="H141" s="7">
        <f t="shared" si="19"/>
        <v>0</v>
      </c>
      <c r="I141" s="7">
        <f t="shared" si="20"/>
        <v>0</v>
      </c>
      <c r="J141" s="8">
        <v>2411</v>
      </c>
      <c r="K141" s="9"/>
      <c r="L141" s="8">
        <f t="shared" si="21"/>
        <v>28932</v>
      </c>
      <c r="M141" s="7">
        <f t="shared" si="22"/>
        <v>0</v>
      </c>
      <c r="N141" s="10">
        <f t="shared" si="23"/>
        <v>1</v>
      </c>
      <c r="O141" s="11">
        <f t="shared" si="24"/>
        <v>0.19131065947739201</v>
      </c>
      <c r="P141" s="11"/>
      <c r="Q141" s="8">
        <f t="shared" si="25"/>
        <v>11069.9999999998</v>
      </c>
      <c r="R141" s="12">
        <f t="shared" si="26"/>
        <v>0</v>
      </c>
    </row>
    <row r="142" spans="1:18" ht="14.25">
      <c r="A142" s="15">
        <v>45977</v>
      </c>
      <c r="B142" s="3">
        <f>Data_Entry!T232</f>
        <v>10500.0000000003</v>
      </c>
      <c r="C142" s="3">
        <v>0</v>
      </c>
      <c r="D142" s="4">
        <f>Data_Entry!V232</f>
        <v>4.0199999999999996</v>
      </c>
      <c r="E142" s="5">
        <f t="shared" si="18"/>
        <v>0.181459975114066</v>
      </c>
      <c r="F142" s="6">
        <v>0</v>
      </c>
      <c r="G142" s="6">
        <v>0</v>
      </c>
      <c r="H142" s="7">
        <f t="shared" si="19"/>
        <v>0</v>
      </c>
      <c r="I142" s="7">
        <f t="shared" si="20"/>
        <v>0</v>
      </c>
      <c r="J142" s="8">
        <v>2411</v>
      </c>
      <c r="K142" s="9"/>
      <c r="L142" s="8">
        <f t="shared" si="21"/>
        <v>28932</v>
      </c>
      <c r="M142" s="7">
        <f t="shared" si="22"/>
        <v>0</v>
      </c>
      <c r="N142" s="10">
        <f t="shared" si="23"/>
        <v>1</v>
      </c>
      <c r="O142" s="11">
        <f t="shared" si="24"/>
        <v>0.181459975114066</v>
      </c>
      <c r="P142" s="11"/>
      <c r="Q142" s="8">
        <f t="shared" si="25"/>
        <v>10500.0000000003</v>
      </c>
      <c r="R142" s="12">
        <f t="shared" si="26"/>
        <v>0</v>
      </c>
    </row>
    <row r="143" spans="1:18" ht="14.25">
      <c r="A143" s="15">
        <v>45978</v>
      </c>
      <c r="B143" s="3">
        <f>Data_Entry!T233</f>
        <v>10979.9999999998</v>
      </c>
      <c r="C143" s="3">
        <v>0</v>
      </c>
      <c r="D143" s="4">
        <f>Data_Entry!V233</f>
        <v>4.21</v>
      </c>
      <c r="E143" s="5">
        <f t="shared" si="18"/>
        <v>0.18975528826212901</v>
      </c>
      <c r="F143" s="6">
        <v>0</v>
      </c>
      <c r="G143" s="6">
        <v>0</v>
      </c>
      <c r="H143" s="7">
        <f t="shared" si="19"/>
        <v>0</v>
      </c>
      <c r="I143" s="7">
        <f t="shared" si="20"/>
        <v>0</v>
      </c>
      <c r="J143" s="8">
        <v>2411</v>
      </c>
      <c r="K143" s="9"/>
      <c r="L143" s="8">
        <f t="shared" si="21"/>
        <v>28932</v>
      </c>
      <c r="M143" s="7">
        <f t="shared" si="22"/>
        <v>0</v>
      </c>
      <c r="N143" s="10">
        <f t="shared" si="23"/>
        <v>1</v>
      </c>
      <c r="O143" s="11">
        <f t="shared" si="24"/>
        <v>0.18975528826212901</v>
      </c>
      <c r="P143" s="11"/>
      <c r="Q143" s="8">
        <f t="shared" si="25"/>
        <v>10979.9999999998</v>
      </c>
      <c r="R143" s="12">
        <f t="shared" si="26"/>
        <v>0</v>
      </c>
    </row>
    <row r="144" spans="1:18" ht="14.25">
      <c r="A144" s="15">
        <v>45979</v>
      </c>
      <c r="B144" s="3">
        <f>Data_Entry!T234</f>
        <v>10979.9999999999</v>
      </c>
      <c r="C144" s="3">
        <v>0</v>
      </c>
      <c r="D144" s="4">
        <f>Data_Entry!V234</f>
        <v>4.22</v>
      </c>
      <c r="E144" s="5">
        <f t="shared" si="18"/>
        <v>0.18975528826213001</v>
      </c>
      <c r="F144" s="6">
        <v>0</v>
      </c>
      <c r="G144" s="6">
        <v>0</v>
      </c>
      <c r="H144" s="7">
        <f t="shared" si="19"/>
        <v>0</v>
      </c>
      <c r="I144" s="7">
        <f t="shared" si="20"/>
        <v>0</v>
      </c>
      <c r="J144" s="8">
        <v>2411</v>
      </c>
      <c r="K144" s="9"/>
      <c r="L144" s="8">
        <f t="shared" si="21"/>
        <v>28932</v>
      </c>
      <c r="M144" s="7">
        <f t="shared" si="22"/>
        <v>0</v>
      </c>
      <c r="N144" s="10">
        <f t="shared" si="23"/>
        <v>1</v>
      </c>
      <c r="O144" s="11">
        <f t="shared" si="24"/>
        <v>0.18975528826213001</v>
      </c>
      <c r="P144" s="11"/>
      <c r="Q144" s="8">
        <f t="shared" si="25"/>
        <v>10979.9999999999</v>
      </c>
      <c r="R144" s="12">
        <f t="shared" si="26"/>
        <v>0</v>
      </c>
    </row>
    <row r="145" spans="1:18" ht="14.25">
      <c r="A145" s="15">
        <v>45980</v>
      </c>
      <c r="B145" s="3">
        <f>Data_Entry!T235</f>
        <v>10290.0000000002</v>
      </c>
      <c r="C145" s="3">
        <v>0</v>
      </c>
      <c r="D145" s="4">
        <f>Data_Entry!V235</f>
        <v>3.97</v>
      </c>
      <c r="E145" s="5">
        <f t="shared" si="18"/>
        <v>0.17783077561178201</v>
      </c>
      <c r="F145" s="6">
        <v>0</v>
      </c>
      <c r="G145" s="6">
        <v>0</v>
      </c>
      <c r="H145" s="7">
        <f t="shared" si="19"/>
        <v>0</v>
      </c>
      <c r="I145" s="7">
        <f t="shared" si="20"/>
        <v>0</v>
      </c>
      <c r="J145" s="8">
        <v>2411</v>
      </c>
      <c r="K145" s="9"/>
      <c r="L145" s="8">
        <f t="shared" si="21"/>
        <v>28932</v>
      </c>
      <c r="M145" s="7">
        <f t="shared" si="22"/>
        <v>0</v>
      </c>
      <c r="N145" s="10">
        <f t="shared" si="23"/>
        <v>1</v>
      </c>
      <c r="O145" s="11">
        <f t="shared" si="24"/>
        <v>0.17783077561178201</v>
      </c>
      <c r="P145" s="11"/>
      <c r="Q145" s="8">
        <f t="shared" si="25"/>
        <v>10290.0000000002</v>
      </c>
      <c r="R145" s="12">
        <f t="shared" si="26"/>
        <v>0</v>
      </c>
    </row>
    <row r="146" spans="1:18" ht="14.25">
      <c r="A146" s="15">
        <v>45981</v>
      </c>
      <c r="B146" s="3">
        <f>Data_Entry!T236</f>
        <v>10319.9999999998</v>
      </c>
      <c r="C146" s="3">
        <v>0</v>
      </c>
      <c r="D146" s="4">
        <f>Data_Entry!V236</f>
        <v>3.95</v>
      </c>
      <c r="E146" s="5">
        <f t="shared" si="18"/>
        <v>0.17834923268353001</v>
      </c>
      <c r="F146" s="6">
        <v>0</v>
      </c>
      <c r="G146" s="6">
        <v>0</v>
      </c>
      <c r="H146" s="7">
        <f t="shared" si="19"/>
        <v>0</v>
      </c>
      <c r="I146" s="7">
        <f t="shared" si="20"/>
        <v>0</v>
      </c>
      <c r="J146" s="8">
        <v>2411</v>
      </c>
      <c r="K146" s="9"/>
      <c r="L146" s="8">
        <f t="shared" si="21"/>
        <v>28932</v>
      </c>
      <c r="M146" s="7">
        <f t="shared" si="22"/>
        <v>0</v>
      </c>
      <c r="N146" s="10">
        <f t="shared" si="23"/>
        <v>1</v>
      </c>
      <c r="O146" s="11">
        <f t="shared" si="24"/>
        <v>0.17834923268353001</v>
      </c>
      <c r="P146" s="11"/>
      <c r="Q146" s="8">
        <f t="shared" si="25"/>
        <v>10319.9999999998</v>
      </c>
      <c r="R146" s="12">
        <f t="shared" si="26"/>
        <v>0</v>
      </c>
    </row>
    <row r="147" spans="1:18" ht="14.25">
      <c r="A147" s="15">
        <v>45982</v>
      </c>
      <c r="B147" s="3">
        <f>Data_Entry!T237</f>
        <v>9870.0000000001801</v>
      </c>
      <c r="C147" s="3">
        <v>0</v>
      </c>
      <c r="D147" s="4">
        <f>Data_Entry!V237</f>
        <v>3.78</v>
      </c>
      <c r="E147" s="5">
        <f t="shared" si="18"/>
        <v>0.17057237660721999</v>
      </c>
      <c r="F147" s="6">
        <v>0</v>
      </c>
      <c r="G147" s="6">
        <v>0</v>
      </c>
      <c r="H147" s="7">
        <f t="shared" si="19"/>
        <v>0</v>
      </c>
      <c r="I147" s="7">
        <f t="shared" si="20"/>
        <v>0</v>
      </c>
      <c r="J147" s="8">
        <v>2411</v>
      </c>
      <c r="K147" s="9"/>
      <c r="L147" s="8">
        <f t="shared" si="21"/>
        <v>28932</v>
      </c>
      <c r="M147" s="7">
        <f t="shared" si="22"/>
        <v>0</v>
      </c>
      <c r="N147" s="10">
        <f t="shared" si="23"/>
        <v>1</v>
      </c>
      <c r="O147" s="11">
        <f t="shared" si="24"/>
        <v>0.17057237660721999</v>
      </c>
      <c r="P147" s="11"/>
      <c r="Q147" s="8">
        <f t="shared" si="25"/>
        <v>9870.0000000001801</v>
      </c>
      <c r="R147" s="12">
        <f t="shared" si="26"/>
        <v>0</v>
      </c>
    </row>
    <row r="148" spans="1:18" ht="14.25">
      <c r="A148" s="15">
        <v>45983</v>
      </c>
      <c r="B148" s="3">
        <f>Data_Entry!T238</f>
        <v>10320.0000000001</v>
      </c>
      <c r="C148" s="3">
        <v>0</v>
      </c>
      <c r="D148" s="4">
        <f>Data_Entry!V238</f>
        <v>3.93</v>
      </c>
      <c r="E148" s="5">
        <f t="shared" si="18"/>
        <v>0.178349232683536</v>
      </c>
      <c r="F148" s="6">
        <v>0</v>
      </c>
      <c r="G148" s="6">
        <v>0</v>
      </c>
      <c r="H148" s="7">
        <f t="shared" si="19"/>
        <v>0</v>
      </c>
      <c r="I148" s="7">
        <f t="shared" si="20"/>
        <v>0</v>
      </c>
      <c r="J148" s="8">
        <v>2411</v>
      </c>
      <c r="K148" s="9"/>
      <c r="L148" s="8">
        <f t="shared" si="21"/>
        <v>28932</v>
      </c>
      <c r="M148" s="7">
        <f t="shared" si="22"/>
        <v>0</v>
      </c>
      <c r="N148" s="10">
        <f t="shared" si="23"/>
        <v>1</v>
      </c>
      <c r="O148" s="11">
        <f t="shared" si="24"/>
        <v>0.178349232683536</v>
      </c>
      <c r="P148" s="11"/>
      <c r="Q148" s="8">
        <f t="shared" si="25"/>
        <v>10320.0000000001</v>
      </c>
      <c r="R148" s="12">
        <f t="shared" si="26"/>
        <v>0</v>
      </c>
    </row>
    <row r="149" spans="1:18" ht="14.25">
      <c r="A149" s="15">
        <v>45984</v>
      </c>
      <c r="B149" s="3">
        <f>Data_Entry!T239</f>
        <v>10619.9999999999</v>
      </c>
      <c r="C149" s="3">
        <v>0</v>
      </c>
      <c r="D149" s="4">
        <f>Data_Entry!V239</f>
        <v>4.03</v>
      </c>
      <c r="E149" s="5">
        <f t="shared" si="18"/>
        <v>0.183533803401076</v>
      </c>
      <c r="F149" s="6">
        <v>0</v>
      </c>
      <c r="G149" s="6">
        <v>0</v>
      </c>
      <c r="H149" s="7">
        <f t="shared" si="19"/>
        <v>0</v>
      </c>
      <c r="I149" s="7">
        <f t="shared" si="20"/>
        <v>0</v>
      </c>
      <c r="J149" s="8">
        <v>2411</v>
      </c>
      <c r="K149" s="9"/>
      <c r="L149" s="8">
        <f t="shared" si="21"/>
        <v>28932</v>
      </c>
      <c r="M149" s="7">
        <f t="shared" si="22"/>
        <v>0</v>
      </c>
      <c r="N149" s="10">
        <f t="shared" si="23"/>
        <v>1</v>
      </c>
      <c r="O149" s="11">
        <f t="shared" si="24"/>
        <v>0.183533803401076</v>
      </c>
      <c r="P149" s="11"/>
      <c r="Q149" s="8">
        <f t="shared" si="25"/>
        <v>10619.9999999999</v>
      </c>
      <c r="R149" s="12">
        <f t="shared" si="26"/>
        <v>0</v>
      </c>
    </row>
    <row r="150" spans="1:18" ht="14.25">
      <c r="A150" s="15">
        <v>45985</v>
      </c>
      <c r="B150" s="3">
        <f>Data_Entry!T240</f>
        <v>11100.0000000001</v>
      </c>
      <c r="C150" s="3">
        <v>0</v>
      </c>
      <c r="D150" s="4">
        <f>Data_Entry!V240</f>
        <v>4.16</v>
      </c>
      <c r="E150" s="5">
        <f t="shared" si="18"/>
        <v>0.191829116549152</v>
      </c>
      <c r="F150" s="6">
        <v>0</v>
      </c>
      <c r="G150" s="6">
        <v>0</v>
      </c>
      <c r="H150" s="7">
        <f t="shared" si="19"/>
        <v>0</v>
      </c>
      <c r="I150" s="7">
        <f t="shared" si="20"/>
        <v>0</v>
      </c>
      <c r="J150" s="8">
        <v>2411</v>
      </c>
      <c r="K150" s="9"/>
      <c r="L150" s="8">
        <f t="shared" si="21"/>
        <v>28932</v>
      </c>
      <c r="M150" s="7">
        <f t="shared" si="22"/>
        <v>0</v>
      </c>
      <c r="N150" s="10">
        <f t="shared" si="23"/>
        <v>1</v>
      </c>
      <c r="O150" s="11">
        <f t="shared" si="24"/>
        <v>0.191829116549152</v>
      </c>
      <c r="P150" s="11"/>
      <c r="Q150" s="8">
        <f t="shared" si="25"/>
        <v>11100.0000000001</v>
      </c>
      <c r="R150" s="12">
        <f t="shared" si="26"/>
        <v>0</v>
      </c>
    </row>
    <row r="151" spans="1:18" ht="14.25">
      <c r="A151" s="15">
        <v>45986</v>
      </c>
      <c r="B151" s="3">
        <f>Data_Entry!T241</f>
        <v>10470</v>
      </c>
      <c r="C151" s="3">
        <v>0</v>
      </c>
      <c r="D151" s="4">
        <f>Data_Entry!V241</f>
        <v>3.9</v>
      </c>
      <c r="E151" s="5">
        <f t="shared" si="18"/>
        <v>0.18094151804230599</v>
      </c>
      <c r="F151" s="6">
        <v>0</v>
      </c>
      <c r="G151" s="6">
        <v>0</v>
      </c>
      <c r="H151" s="7">
        <f t="shared" si="19"/>
        <v>0</v>
      </c>
      <c r="I151" s="7">
        <f t="shared" si="20"/>
        <v>0</v>
      </c>
      <c r="J151" s="8">
        <v>2411</v>
      </c>
      <c r="K151" s="9"/>
      <c r="L151" s="8">
        <f t="shared" si="21"/>
        <v>28932</v>
      </c>
      <c r="M151" s="7">
        <f t="shared" si="22"/>
        <v>0</v>
      </c>
      <c r="N151" s="10">
        <f t="shared" si="23"/>
        <v>1</v>
      </c>
      <c r="O151" s="11">
        <f t="shared" si="24"/>
        <v>0.18094151804230599</v>
      </c>
      <c r="P151" s="11"/>
      <c r="Q151" s="8">
        <f t="shared" si="25"/>
        <v>10470</v>
      </c>
      <c r="R151" s="12">
        <f t="shared" si="26"/>
        <v>0</v>
      </c>
    </row>
    <row r="152" spans="1:18" ht="14.25">
      <c r="A152" s="15">
        <v>45987</v>
      </c>
      <c r="B152" s="3">
        <f>Data_Entry!T242</f>
        <v>9749.9999999999709</v>
      </c>
      <c r="C152" s="3">
        <v>0</v>
      </c>
      <c r="D152" s="4">
        <f>Data_Entry!V242</f>
        <v>3.7</v>
      </c>
      <c r="E152" s="5">
        <f t="shared" si="18"/>
        <v>0.168498548320199</v>
      </c>
      <c r="F152" s="6">
        <v>0</v>
      </c>
      <c r="G152" s="6">
        <v>0</v>
      </c>
      <c r="H152" s="7">
        <f t="shared" si="19"/>
        <v>0</v>
      </c>
      <c r="I152" s="7">
        <f t="shared" si="20"/>
        <v>0</v>
      </c>
      <c r="J152" s="8">
        <v>2411</v>
      </c>
      <c r="K152" s="9"/>
      <c r="L152" s="8">
        <f t="shared" si="21"/>
        <v>28932</v>
      </c>
      <c r="M152" s="7">
        <f t="shared" si="22"/>
        <v>0</v>
      </c>
      <c r="N152" s="10">
        <f t="shared" si="23"/>
        <v>1</v>
      </c>
      <c r="O152" s="11">
        <f t="shared" si="24"/>
        <v>0.168498548320199</v>
      </c>
      <c r="P152" s="11"/>
      <c r="Q152" s="8">
        <f t="shared" si="25"/>
        <v>9749.9999999999709</v>
      </c>
      <c r="R152" s="12">
        <f t="shared" si="26"/>
        <v>0</v>
      </c>
    </row>
    <row r="153" spans="1:18" ht="14.25">
      <c r="A153" s="15">
        <v>45988</v>
      </c>
      <c r="B153" s="3">
        <f>Data_Entry!T243</f>
        <v>9089.9999999998909</v>
      </c>
      <c r="C153" s="3">
        <v>0</v>
      </c>
      <c r="D153" s="4">
        <f>Data_Entry!V243</f>
        <v>3.43</v>
      </c>
      <c r="E153" s="5">
        <f t="shared" si="18"/>
        <v>0.157092492741599</v>
      </c>
      <c r="F153" s="6">
        <v>0</v>
      </c>
      <c r="G153" s="6">
        <v>0</v>
      </c>
      <c r="H153" s="7">
        <f t="shared" si="19"/>
        <v>0</v>
      </c>
      <c r="I153" s="7">
        <f t="shared" si="20"/>
        <v>0</v>
      </c>
      <c r="J153" s="8">
        <v>2411</v>
      </c>
      <c r="K153" s="9"/>
      <c r="L153" s="8">
        <f t="shared" si="21"/>
        <v>28932</v>
      </c>
      <c r="M153" s="7">
        <f t="shared" si="22"/>
        <v>0</v>
      </c>
      <c r="N153" s="10">
        <f t="shared" si="23"/>
        <v>1</v>
      </c>
      <c r="O153" s="11">
        <f t="shared" si="24"/>
        <v>0.157092492741599</v>
      </c>
      <c r="P153" s="11"/>
      <c r="Q153" s="8">
        <f t="shared" si="25"/>
        <v>9089.9999999998909</v>
      </c>
      <c r="R153" s="12">
        <f t="shared" si="26"/>
        <v>0</v>
      </c>
    </row>
    <row r="154" spans="1:18" ht="14.25">
      <c r="A154" s="15">
        <v>45989</v>
      </c>
      <c r="B154" s="3">
        <f>Data_Entry!T244</f>
        <v>7949.99999999991</v>
      </c>
      <c r="C154" s="3">
        <v>0</v>
      </c>
      <c r="D154" s="4">
        <f>Data_Entry!V244</f>
        <v>3.16</v>
      </c>
      <c r="E154" s="5">
        <f t="shared" si="18"/>
        <v>0.13739112401493001</v>
      </c>
      <c r="F154" s="6">
        <v>0</v>
      </c>
      <c r="G154" s="6">
        <v>0</v>
      </c>
      <c r="H154" s="7">
        <f t="shared" si="19"/>
        <v>0</v>
      </c>
      <c r="I154" s="7">
        <f t="shared" si="20"/>
        <v>0</v>
      </c>
      <c r="J154" s="8">
        <v>2411</v>
      </c>
      <c r="K154" s="9"/>
      <c r="L154" s="8">
        <f t="shared" si="21"/>
        <v>28932</v>
      </c>
      <c r="M154" s="7">
        <f t="shared" si="22"/>
        <v>0</v>
      </c>
      <c r="N154" s="10">
        <f t="shared" si="23"/>
        <v>1</v>
      </c>
      <c r="O154" s="11">
        <f t="shared" si="24"/>
        <v>0.13739112401493001</v>
      </c>
      <c r="P154" s="11"/>
      <c r="Q154" s="8">
        <f t="shared" si="25"/>
        <v>7949.9999999999</v>
      </c>
      <c r="R154" s="12">
        <f t="shared" si="26"/>
        <v>0</v>
      </c>
    </row>
    <row r="155" spans="1:18" ht="14.25">
      <c r="A155" s="15">
        <v>45990</v>
      </c>
      <c r="B155" s="3">
        <f>Data_Entry!T245</f>
        <v>8460.0000000001</v>
      </c>
      <c r="C155" s="3">
        <v>0</v>
      </c>
      <c r="D155" s="4">
        <f>Data_Entry!V245</f>
        <v>3.34</v>
      </c>
      <c r="E155" s="5">
        <f t="shared" si="18"/>
        <v>0.14620489423475899</v>
      </c>
      <c r="F155" s="6">
        <v>0</v>
      </c>
      <c r="G155" s="6">
        <v>0</v>
      </c>
      <c r="H155" s="7">
        <f t="shared" si="19"/>
        <v>0</v>
      </c>
      <c r="I155" s="7">
        <f t="shared" si="20"/>
        <v>0</v>
      </c>
      <c r="J155" s="8">
        <v>2411</v>
      </c>
      <c r="K155" s="9"/>
      <c r="L155" s="8">
        <f t="shared" si="21"/>
        <v>28932</v>
      </c>
      <c r="M155" s="7">
        <f t="shared" si="22"/>
        <v>0</v>
      </c>
      <c r="N155" s="10">
        <f t="shared" si="23"/>
        <v>1</v>
      </c>
      <c r="O155" s="11">
        <f t="shared" si="24"/>
        <v>0.14620489423475899</v>
      </c>
      <c r="P155" s="11"/>
      <c r="Q155" s="8">
        <f t="shared" si="25"/>
        <v>8460.0000000000891</v>
      </c>
      <c r="R155" s="12">
        <f t="shared" si="26"/>
        <v>0</v>
      </c>
    </row>
    <row r="156" spans="1:18" ht="14.25">
      <c r="A156" s="15">
        <v>45991</v>
      </c>
      <c r="B156" s="3">
        <f>Data_Entry!T246</f>
        <v>9809.99999999992</v>
      </c>
      <c r="C156" s="3">
        <v>0</v>
      </c>
      <c r="D156" s="4">
        <f>Data_Entry!V246</f>
        <v>3.71</v>
      </c>
      <c r="E156" s="5">
        <f t="shared" si="18"/>
        <v>0.16953546246370699</v>
      </c>
      <c r="F156" s="6">
        <v>0</v>
      </c>
      <c r="G156" s="6">
        <v>0</v>
      </c>
      <c r="H156" s="7">
        <f t="shared" si="19"/>
        <v>0</v>
      </c>
      <c r="I156" s="7">
        <f t="shared" si="20"/>
        <v>0</v>
      </c>
      <c r="J156" s="8">
        <v>2411</v>
      </c>
      <c r="K156" s="9"/>
      <c r="L156" s="8">
        <f t="shared" si="21"/>
        <v>28932</v>
      </c>
      <c r="M156" s="7">
        <f t="shared" si="22"/>
        <v>0</v>
      </c>
      <c r="N156" s="10">
        <f t="shared" si="23"/>
        <v>1</v>
      </c>
      <c r="O156" s="11">
        <f t="shared" si="24"/>
        <v>0.16953546246370699</v>
      </c>
      <c r="P156" s="11"/>
      <c r="Q156" s="8">
        <f t="shared" si="25"/>
        <v>9809.99999999992</v>
      </c>
      <c r="R156" s="12">
        <f t="shared" si="26"/>
        <v>0</v>
      </c>
    </row>
    <row r="157" spans="1:18" ht="14.25">
      <c r="A157" s="15">
        <v>45992</v>
      </c>
      <c r="B157" s="3">
        <f>Data_Entry!T247</f>
        <v>10170.0000000002</v>
      </c>
      <c r="C157" s="3">
        <v>0</v>
      </c>
      <c r="D157" s="4">
        <f>Data_Entry!V247</f>
        <v>3.81</v>
      </c>
      <c r="E157" s="5">
        <f t="shared" si="18"/>
        <v>0.17575694732476599</v>
      </c>
      <c r="F157" s="6">
        <v>0</v>
      </c>
      <c r="G157" s="6">
        <v>0</v>
      </c>
      <c r="H157" s="7">
        <f t="shared" si="19"/>
        <v>0</v>
      </c>
      <c r="I157" s="7">
        <f t="shared" si="20"/>
        <v>0</v>
      </c>
      <c r="J157" s="8">
        <v>2411</v>
      </c>
      <c r="K157" s="9"/>
      <c r="L157" s="8">
        <f t="shared" si="21"/>
        <v>28932</v>
      </c>
      <c r="M157" s="7">
        <f t="shared" si="22"/>
        <v>0</v>
      </c>
      <c r="N157" s="10">
        <f t="shared" si="23"/>
        <v>1</v>
      </c>
      <c r="O157" s="11">
        <f t="shared" si="24"/>
        <v>0.17575694732476599</v>
      </c>
      <c r="P157" s="11"/>
      <c r="Q157" s="8">
        <f t="shared" si="25"/>
        <v>10170.0000000002</v>
      </c>
      <c r="R157" s="12">
        <f t="shared" si="26"/>
        <v>0</v>
      </c>
    </row>
    <row r="158" spans="1:18" ht="14.25">
      <c r="A158" s="15">
        <v>45993</v>
      </c>
      <c r="B158" s="3">
        <f>Data_Entry!T248</f>
        <v>9179.9999999998108</v>
      </c>
      <c r="C158" s="3">
        <v>0</v>
      </c>
      <c r="D158" s="4">
        <f>Data_Entry!V248</f>
        <v>3.48</v>
      </c>
      <c r="E158" s="5">
        <f t="shared" si="18"/>
        <v>0.15864786395686101</v>
      </c>
      <c r="F158" s="6">
        <v>0</v>
      </c>
      <c r="G158" s="6">
        <v>0</v>
      </c>
      <c r="H158" s="7">
        <f t="shared" si="19"/>
        <v>0</v>
      </c>
      <c r="I158" s="7">
        <f t="shared" si="20"/>
        <v>0</v>
      </c>
      <c r="J158" s="8">
        <v>2411</v>
      </c>
      <c r="K158" s="9"/>
      <c r="L158" s="8">
        <f t="shared" si="21"/>
        <v>28932</v>
      </c>
      <c r="M158" s="7">
        <f t="shared" si="22"/>
        <v>0</v>
      </c>
      <c r="N158" s="10">
        <f t="shared" si="23"/>
        <v>1</v>
      </c>
      <c r="O158" s="11">
        <f t="shared" si="24"/>
        <v>0.15864786395686101</v>
      </c>
      <c r="P158" s="11"/>
      <c r="Q158" s="8">
        <f t="shared" si="25"/>
        <v>9179.9999999998108</v>
      </c>
      <c r="R158" s="12">
        <f t="shared" si="26"/>
        <v>0</v>
      </c>
    </row>
    <row r="159" spans="1:18" ht="14.25">
      <c r="A159" s="15">
        <v>45994</v>
      </c>
      <c r="B159" s="3">
        <f>Data_Entry!T249</f>
        <v>10199.9999999999</v>
      </c>
      <c r="C159" s="3">
        <v>0</v>
      </c>
      <c r="D159" s="4">
        <f>Data_Entry!V249</f>
        <v>3.8</v>
      </c>
      <c r="E159" s="5">
        <f t="shared" si="18"/>
        <v>0.17627540439651401</v>
      </c>
      <c r="F159" s="6">
        <v>0</v>
      </c>
      <c r="G159" s="6">
        <v>0</v>
      </c>
      <c r="H159" s="7">
        <f t="shared" si="19"/>
        <v>0</v>
      </c>
      <c r="I159" s="7">
        <f t="shared" si="20"/>
        <v>0</v>
      </c>
      <c r="J159" s="8">
        <v>2411</v>
      </c>
      <c r="K159" s="9"/>
      <c r="L159" s="8">
        <f t="shared" si="21"/>
        <v>28932</v>
      </c>
      <c r="M159" s="7">
        <f t="shared" si="22"/>
        <v>0</v>
      </c>
      <c r="N159" s="10">
        <f t="shared" si="23"/>
        <v>1</v>
      </c>
      <c r="O159" s="11">
        <f t="shared" si="24"/>
        <v>0.17627540439651401</v>
      </c>
      <c r="P159" s="11"/>
      <c r="Q159" s="8">
        <f t="shared" si="25"/>
        <v>10199.9999999999</v>
      </c>
      <c r="R159" s="12">
        <f t="shared" si="26"/>
        <v>0</v>
      </c>
    </row>
    <row r="160" spans="1:18" ht="14.25">
      <c r="A160" s="15">
        <v>45995</v>
      </c>
      <c r="B160" s="3">
        <f>Data_Entry!T250</f>
        <v>9630.00000000008</v>
      </c>
      <c r="C160" s="3">
        <v>0</v>
      </c>
      <c r="D160" s="4">
        <f>Data_Entry!V250</f>
        <v>3.65</v>
      </c>
      <c r="E160" s="5">
        <f t="shared" si="18"/>
        <v>0.16642472003318301</v>
      </c>
      <c r="F160" s="6">
        <v>0</v>
      </c>
      <c r="G160" s="6">
        <v>0</v>
      </c>
      <c r="H160" s="7">
        <f t="shared" si="19"/>
        <v>0</v>
      </c>
      <c r="I160" s="7">
        <f t="shared" si="20"/>
        <v>0</v>
      </c>
      <c r="J160" s="8">
        <v>2411</v>
      </c>
      <c r="K160" s="9"/>
      <c r="L160" s="8">
        <f t="shared" si="21"/>
        <v>28932</v>
      </c>
      <c r="M160" s="7">
        <f t="shared" si="22"/>
        <v>0</v>
      </c>
      <c r="N160" s="10">
        <f t="shared" si="23"/>
        <v>1</v>
      </c>
      <c r="O160" s="11">
        <f t="shared" si="24"/>
        <v>0.16642472003318301</v>
      </c>
      <c r="P160" s="11"/>
      <c r="Q160" s="8">
        <f t="shared" si="25"/>
        <v>9630.00000000008</v>
      </c>
      <c r="R160" s="12">
        <f t="shared" si="26"/>
        <v>0</v>
      </c>
    </row>
    <row r="161" spans="1:18" ht="14.25">
      <c r="A161" s="15">
        <v>45996</v>
      </c>
      <c r="B161" s="3">
        <f>Data_Entry!T251</f>
        <v>9840.0000000002092</v>
      </c>
      <c r="C161" s="3">
        <v>0</v>
      </c>
      <c r="D161" s="4">
        <f>Data_Entry!W251</f>
        <v>26.85</v>
      </c>
      <c r="E161" s="5">
        <f t="shared" si="18"/>
        <v>0.170053919535466</v>
      </c>
      <c r="F161" s="6">
        <v>0</v>
      </c>
      <c r="G161" s="6">
        <v>0</v>
      </c>
      <c r="H161" s="7">
        <f t="shared" si="19"/>
        <v>0</v>
      </c>
      <c r="I161" s="7">
        <f t="shared" si="20"/>
        <v>0</v>
      </c>
      <c r="J161" s="8">
        <v>2411</v>
      </c>
      <c r="K161" s="9"/>
      <c r="L161" s="8">
        <f t="shared" si="21"/>
        <v>28932</v>
      </c>
      <c r="M161" s="7">
        <f t="shared" si="22"/>
        <v>0</v>
      </c>
      <c r="N161" s="10">
        <f t="shared" si="23"/>
        <v>1</v>
      </c>
      <c r="O161" s="11">
        <f t="shared" si="24"/>
        <v>0.170053919535466</v>
      </c>
      <c r="P161" s="11"/>
      <c r="Q161" s="8">
        <f t="shared" si="25"/>
        <v>9840.0000000002001</v>
      </c>
      <c r="R161" s="12">
        <f t="shared" si="26"/>
        <v>0</v>
      </c>
    </row>
    <row r="162" spans="1:18" ht="14.25">
      <c r="A162" s="15">
        <v>45997</v>
      </c>
      <c r="B162" s="3">
        <f>Data_Entry!T252</f>
        <v>8999.9999999999709</v>
      </c>
      <c r="C162" s="3">
        <v>0</v>
      </c>
      <c r="D162" s="4">
        <f>Data_Entry!W252</f>
        <v>26.19</v>
      </c>
      <c r="E162" s="5">
        <f t="shared" si="18"/>
        <v>0.155537121526337</v>
      </c>
      <c r="F162" s="6">
        <v>0</v>
      </c>
      <c r="G162" s="6">
        <v>0</v>
      </c>
      <c r="H162" s="7">
        <f t="shared" si="19"/>
        <v>0</v>
      </c>
      <c r="I162" s="7">
        <f t="shared" si="20"/>
        <v>0</v>
      </c>
      <c r="J162" s="8">
        <v>2411</v>
      </c>
      <c r="K162" s="9"/>
      <c r="L162" s="8">
        <f t="shared" si="21"/>
        <v>28932</v>
      </c>
      <c r="M162" s="7">
        <f t="shared" si="22"/>
        <v>0</v>
      </c>
      <c r="N162" s="10">
        <f t="shared" si="23"/>
        <v>1</v>
      </c>
      <c r="O162" s="11">
        <f t="shared" si="24"/>
        <v>0.155537121526337</v>
      </c>
      <c r="P162" s="11"/>
      <c r="Q162" s="8">
        <f t="shared" si="25"/>
        <v>8999.9999999999709</v>
      </c>
      <c r="R162" s="12">
        <f t="shared" si="26"/>
        <v>0</v>
      </c>
    </row>
    <row r="163" spans="1:18" ht="14.25">
      <c r="A163" s="15">
        <v>45998</v>
      </c>
      <c r="B163" s="3">
        <f>Data_Entry!T253</f>
        <v>10259.9999999999</v>
      </c>
      <c r="C163" s="3">
        <v>0</v>
      </c>
      <c r="D163" s="4">
        <f>Data_Entry!V253</f>
        <v>3.81</v>
      </c>
      <c r="E163" s="5">
        <f t="shared" si="18"/>
        <v>0.177312318540022</v>
      </c>
      <c r="F163" s="6">
        <v>0</v>
      </c>
      <c r="G163" s="6">
        <v>0</v>
      </c>
      <c r="H163" s="7">
        <f t="shared" si="19"/>
        <v>0</v>
      </c>
      <c r="I163" s="7">
        <f t="shared" si="20"/>
        <v>0</v>
      </c>
      <c r="J163" s="8">
        <v>2411</v>
      </c>
      <c r="K163" s="9"/>
      <c r="L163" s="8">
        <f t="shared" si="21"/>
        <v>28932</v>
      </c>
      <c r="M163" s="7">
        <f t="shared" si="22"/>
        <v>0</v>
      </c>
      <c r="N163" s="10">
        <f t="shared" si="23"/>
        <v>1</v>
      </c>
      <c r="O163" s="11">
        <f t="shared" si="24"/>
        <v>0.177312318540022</v>
      </c>
      <c r="P163" s="11"/>
      <c r="Q163" s="8">
        <f t="shared" si="25"/>
        <v>10259.9999999999</v>
      </c>
      <c r="R163" s="12">
        <f t="shared" si="26"/>
        <v>0</v>
      </c>
    </row>
    <row r="164" spans="1:18" ht="14.25">
      <c r="A164" s="15">
        <v>45999</v>
      </c>
      <c r="B164" s="3">
        <f>Data_Entry!T254</f>
        <v>10260.0000000002</v>
      </c>
      <c r="C164" s="3">
        <v>0</v>
      </c>
      <c r="D164" s="4">
        <f>Data_Entry!V254</f>
        <v>3.82</v>
      </c>
      <c r="E164" s="5">
        <f t="shared" si="18"/>
        <v>0.17731231854002799</v>
      </c>
      <c r="F164" s="6">
        <v>0</v>
      </c>
      <c r="G164" s="6">
        <v>0</v>
      </c>
      <c r="H164" s="7">
        <f t="shared" si="19"/>
        <v>0</v>
      </c>
      <c r="I164" s="7">
        <f t="shared" si="20"/>
        <v>0</v>
      </c>
      <c r="J164" s="8">
        <v>2411</v>
      </c>
      <c r="K164" s="9"/>
      <c r="L164" s="8">
        <f t="shared" si="21"/>
        <v>28932</v>
      </c>
      <c r="M164" s="7">
        <f t="shared" si="22"/>
        <v>0</v>
      </c>
      <c r="N164" s="10">
        <f t="shared" si="23"/>
        <v>1</v>
      </c>
      <c r="O164" s="11">
        <f t="shared" si="24"/>
        <v>0.17731231854002799</v>
      </c>
      <c r="P164" s="11"/>
      <c r="Q164" s="8">
        <f t="shared" si="25"/>
        <v>10260.0000000002</v>
      </c>
      <c r="R164" s="12">
        <f t="shared" si="26"/>
        <v>0</v>
      </c>
    </row>
    <row r="165" spans="1:18" ht="14.25">
      <c r="A165" s="15">
        <v>46000</v>
      </c>
      <c r="B165" s="3">
        <f>Data_Entry!T255</f>
        <v>11339.9999999999</v>
      </c>
      <c r="C165" s="3">
        <v>0</v>
      </c>
      <c r="D165" s="4">
        <f>Data_Entry!V255</f>
        <v>4.13</v>
      </c>
      <c r="E165" s="5">
        <f t="shared" si="18"/>
        <v>0.19597677312318301</v>
      </c>
      <c r="F165" s="6">
        <v>0</v>
      </c>
      <c r="G165" s="6">
        <v>0</v>
      </c>
      <c r="H165" s="7">
        <f t="shared" si="19"/>
        <v>0</v>
      </c>
      <c r="I165" s="7">
        <f t="shared" si="20"/>
        <v>0</v>
      </c>
      <c r="J165" s="8">
        <v>2411</v>
      </c>
      <c r="K165" s="9"/>
      <c r="L165" s="8">
        <f t="shared" si="21"/>
        <v>28932</v>
      </c>
      <c r="M165" s="7">
        <f t="shared" si="22"/>
        <v>0</v>
      </c>
      <c r="N165" s="10">
        <f t="shared" si="23"/>
        <v>1</v>
      </c>
      <c r="O165" s="11">
        <f t="shared" si="24"/>
        <v>0.19597677312318301</v>
      </c>
      <c r="P165" s="11"/>
      <c r="Q165" s="8">
        <f t="shared" si="25"/>
        <v>11339.9999999999</v>
      </c>
      <c r="R165" s="12">
        <f t="shared" si="26"/>
        <v>0</v>
      </c>
    </row>
    <row r="166" spans="1:18" ht="14.25">
      <c r="A166" s="15">
        <v>46001</v>
      </c>
      <c r="B166" s="3">
        <f>Data_Entry!T256</f>
        <v>9149.9999999998399</v>
      </c>
      <c r="C166" s="3">
        <v>0</v>
      </c>
      <c r="D166" s="4">
        <f>Data_Entry!V256</f>
        <v>3.48</v>
      </c>
      <c r="E166" s="5">
        <f t="shared" si="18"/>
        <v>0.15812940688510699</v>
      </c>
      <c r="F166" s="6">
        <v>0</v>
      </c>
      <c r="G166" s="6">
        <v>0</v>
      </c>
      <c r="H166" s="7">
        <f t="shared" si="19"/>
        <v>0</v>
      </c>
      <c r="I166" s="7">
        <f t="shared" si="20"/>
        <v>0</v>
      </c>
      <c r="J166" s="8">
        <v>2411</v>
      </c>
      <c r="K166" s="9"/>
      <c r="L166" s="8">
        <f t="shared" si="21"/>
        <v>28932</v>
      </c>
      <c r="M166" s="7">
        <f t="shared" si="22"/>
        <v>0</v>
      </c>
      <c r="N166" s="10">
        <f t="shared" si="23"/>
        <v>1</v>
      </c>
      <c r="O166" s="11">
        <f t="shared" si="24"/>
        <v>0.15812940688510699</v>
      </c>
      <c r="P166" s="11"/>
      <c r="Q166" s="8">
        <f t="shared" si="25"/>
        <v>9149.9999999998308</v>
      </c>
      <c r="R166" s="12">
        <f t="shared" si="26"/>
        <v>0</v>
      </c>
    </row>
    <row r="167" spans="1:18" ht="14.25">
      <c r="A167" s="15">
        <v>46002</v>
      </c>
      <c r="B167" s="3">
        <f>Data_Entry!T257</f>
        <v>11790.0000000002</v>
      </c>
      <c r="C167" s="3">
        <v>0</v>
      </c>
      <c r="D167" s="4">
        <f>Data_Entry!V257</f>
        <v>4.1100000000000003</v>
      </c>
      <c r="E167" s="5">
        <f t="shared" si="18"/>
        <v>0.20375362919950499</v>
      </c>
      <c r="F167" s="6">
        <v>0</v>
      </c>
      <c r="G167" s="6">
        <v>0</v>
      </c>
      <c r="H167" s="7">
        <f t="shared" si="19"/>
        <v>0</v>
      </c>
      <c r="I167" s="7">
        <f t="shared" si="20"/>
        <v>0</v>
      </c>
      <c r="J167" s="8">
        <v>2411</v>
      </c>
      <c r="K167" s="9"/>
      <c r="L167" s="8">
        <f t="shared" si="21"/>
        <v>28932</v>
      </c>
      <c r="M167" s="7">
        <f t="shared" si="22"/>
        <v>0</v>
      </c>
      <c r="N167" s="10">
        <f t="shared" si="23"/>
        <v>1</v>
      </c>
      <c r="O167" s="11">
        <f t="shared" si="24"/>
        <v>0.20375362919950499</v>
      </c>
      <c r="P167" s="11"/>
      <c r="Q167" s="8">
        <f t="shared" si="25"/>
        <v>11790.0000000002</v>
      </c>
      <c r="R167" s="12">
        <f t="shared" si="26"/>
        <v>0</v>
      </c>
    </row>
    <row r="168" spans="1:18" ht="14.25">
      <c r="A168" s="15">
        <v>46003</v>
      </c>
      <c r="B168" s="3">
        <f>Data_Entry!T258</f>
        <v>11910.0000000001</v>
      </c>
      <c r="C168" s="3">
        <v>0</v>
      </c>
      <c r="D168" s="4">
        <f>Data_Entry!V258</f>
        <v>4.1500000000000004</v>
      </c>
      <c r="E168" s="5">
        <f t="shared" si="18"/>
        <v>0.20582745748652101</v>
      </c>
      <c r="F168" s="6">
        <v>0</v>
      </c>
      <c r="G168" s="6">
        <v>0</v>
      </c>
      <c r="H168" s="7">
        <f t="shared" si="19"/>
        <v>0</v>
      </c>
      <c r="I168" s="7">
        <f t="shared" si="20"/>
        <v>0</v>
      </c>
      <c r="J168" s="8">
        <v>2411</v>
      </c>
      <c r="K168" s="9"/>
      <c r="L168" s="8">
        <f t="shared" si="21"/>
        <v>28932</v>
      </c>
      <c r="M168" s="7">
        <f t="shared" si="22"/>
        <v>0</v>
      </c>
      <c r="N168" s="10">
        <f t="shared" si="23"/>
        <v>1</v>
      </c>
      <c r="O168" s="11">
        <f t="shared" si="24"/>
        <v>0.20582745748652101</v>
      </c>
      <c r="P168" s="11"/>
      <c r="Q168" s="8">
        <f t="shared" si="25"/>
        <v>11910.0000000001</v>
      </c>
      <c r="R168" s="12">
        <f t="shared" si="26"/>
        <v>0</v>
      </c>
    </row>
    <row r="169" spans="1:18" ht="14.25">
      <c r="A169" s="15">
        <v>46004</v>
      </c>
      <c r="B169" s="3">
        <f>Data_Entry!T259</f>
        <v>11580</v>
      </c>
      <c r="C169" s="3">
        <v>0</v>
      </c>
      <c r="D169" s="4">
        <f>Data_Entry!V259</f>
        <v>4.0199999999999996</v>
      </c>
      <c r="E169" s="5">
        <f t="shared" si="18"/>
        <v>0.200124429697221</v>
      </c>
      <c r="F169" s="6">
        <v>0</v>
      </c>
      <c r="G169" s="6">
        <v>0</v>
      </c>
      <c r="H169" s="7">
        <f t="shared" si="19"/>
        <v>0</v>
      </c>
      <c r="I169" s="7">
        <f t="shared" si="20"/>
        <v>0</v>
      </c>
      <c r="J169" s="8">
        <v>2411</v>
      </c>
      <c r="K169" s="9"/>
      <c r="L169" s="8">
        <f t="shared" si="21"/>
        <v>28932</v>
      </c>
      <c r="M169" s="7">
        <f t="shared" si="22"/>
        <v>0</v>
      </c>
      <c r="N169" s="10">
        <f t="shared" si="23"/>
        <v>1</v>
      </c>
      <c r="O169" s="11">
        <f t="shared" si="24"/>
        <v>0.200124429697221</v>
      </c>
      <c r="P169" s="11"/>
      <c r="Q169" s="8">
        <f t="shared" si="25"/>
        <v>11580</v>
      </c>
      <c r="R169" s="12">
        <f t="shared" si="26"/>
        <v>0</v>
      </c>
    </row>
    <row r="170" spans="1:18" ht="14.25">
      <c r="A170" s="15">
        <v>46005</v>
      </c>
      <c r="B170" s="3">
        <f>Data_Entry!T260</f>
        <v>11250</v>
      </c>
      <c r="C170" s="3">
        <v>0</v>
      </c>
      <c r="D170" s="4">
        <f>Data_Entry!V260</f>
        <v>3.91</v>
      </c>
      <c r="E170" s="5">
        <f t="shared" si="18"/>
        <v>0.19442140190792201</v>
      </c>
      <c r="F170" s="6">
        <v>0</v>
      </c>
      <c r="G170" s="6">
        <v>0</v>
      </c>
      <c r="H170" s="7">
        <f t="shared" si="19"/>
        <v>0</v>
      </c>
      <c r="I170" s="7">
        <f t="shared" si="20"/>
        <v>0</v>
      </c>
      <c r="J170" s="8">
        <v>2411</v>
      </c>
      <c r="K170" s="9"/>
      <c r="L170" s="8">
        <f t="shared" si="21"/>
        <v>28932</v>
      </c>
      <c r="M170" s="7">
        <f t="shared" si="22"/>
        <v>0</v>
      </c>
      <c r="N170" s="10">
        <f t="shared" si="23"/>
        <v>1</v>
      </c>
      <c r="O170" s="11">
        <f t="shared" si="24"/>
        <v>0.19442140190792201</v>
      </c>
      <c r="P170" s="11"/>
      <c r="Q170" s="8">
        <f t="shared" si="25"/>
        <v>11250</v>
      </c>
      <c r="R170" s="12">
        <f t="shared" si="26"/>
        <v>0</v>
      </c>
    </row>
    <row r="171" spans="1:18" ht="14.25">
      <c r="A171" s="15">
        <v>46006</v>
      </c>
      <c r="B171" s="3">
        <f>Data_Entry!T261</f>
        <v>11460.0000000001</v>
      </c>
      <c r="C171" s="3">
        <v>0</v>
      </c>
      <c r="D171" s="4">
        <f>Data_Entry!V261</f>
        <v>4.01</v>
      </c>
      <c r="E171" s="5">
        <f t="shared" si="18"/>
        <v>0.198050601410205</v>
      </c>
      <c r="F171" s="6">
        <v>0</v>
      </c>
      <c r="G171" s="6">
        <v>0</v>
      </c>
      <c r="H171" s="7">
        <f t="shared" si="19"/>
        <v>0</v>
      </c>
      <c r="I171" s="7">
        <f t="shared" si="20"/>
        <v>0</v>
      </c>
      <c r="J171" s="8">
        <v>2411</v>
      </c>
      <c r="K171" s="9"/>
      <c r="L171" s="8">
        <f t="shared" si="21"/>
        <v>28932</v>
      </c>
      <c r="M171" s="7">
        <f t="shared" si="22"/>
        <v>0</v>
      </c>
      <c r="N171" s="10">
        <f t="shared" si="23"/>
        <v>1</v>
      </c>
      <c r="O171" s="11">
        <f t="shared" si="24"/>
        <v>0.198050601410205</v>
      </c>
      <c r="P171" s="11"/>
      <c r="Q171" s="8">
        <f t="shared" si="25"/>
        <v>11460.0000000001</v>
      </c>
      <c r="R171" s="12">
        <f t="shared" si="26"/>
        <v>0</v>
      </c>
    </row>
    <row r="172" spans="1:18" ht="14.25">
      <c r="A172" s="15">
        <v>46007</v>
      </c>
      <c r="B172" s="3">
        <f>Data_Entry!T262</f>
        <v>11160</v>
      </c>
      <c r="C172" s="3">
        <v>0</v>
      </c>
      <c r="D172" s="4">
        <f>Data_Entry!V262</f>
        <v>3.7</v>
      </c>
      <c r="E172" s="5">
        <f t="shared" si="18"/>
        <v>0.19286603069265901</v>
      </c>
      <c r="F172" s="6">
        <v>0</v>
      </c>
      <c r="G172" s="6">
        <v>0</v>
      </c>
      <c r="H172" s="7">
        <f t="shared" si="19"/>
        <v>0</v>
      </c>
      <c r="I172" s="7">
        <f t="shared" si="20"/>
        <v>0</v>
      </c>
      <c r="J172" s="8">
        <v>2411</v>
      </c>
      <c r="K172" s="9"/>
      <c r="L172" s="8">
        <f t="shared" si="21"/>
        <v>28932</v>
      </c>
      <c r="M172" s="7">
        <f t="shared" si="22"/>
        <v>0</v>
      </c>
      <c r="N172" s="10">
        <f t="shared" si="23"/>
        <v>1</v>
      </c>
      <c r="O172" s="11">
        <f t="shared" si="24"/>
        <v>0.19286603069265901</v>
      </c>
      <c r="P172" s="11"/>
      <c r="Q172" s="8">
        <f t="shared" si="25"/>
        <v>11160</v>
      </c>
      <c r="R172" s="12">
        <f t="shared" si="26"/>
        <v>0</v>
      </c>
    </row>
    <row r="173" spans="1:18" ht="14.25">
      <c r="A173" s="15">
        <v>46008</v>
      </c>
      <c r="B173" s="3">
        <f>Data_Entry!T263</f>
        <v>10379.9999999998</v>
      </c>
      <c r="C173" s="3">
        <v>0</v>
      </c>
      <c r="D173" s="4">
        <f>Data_Entry!V263</f>
        <v>3.62</v>
      </c>
      <c r="E173" s="5">
        <f t="shared" si="18"/>
        <v>0.17938614682703899</v>
      </c>
      <c r="F173" s="6">
        <v>0</v>
      </c>
      <c r="G173" s="6">
        <v>0</v>
      </c>
      <c r="H173" s="7">
        <f t="shared" si="19"/>
        <v>0</v>
      </c>
      <c r="I173" s="7">
        <f t="shared" si="20"/>
        <v>0</v>
      </c>
      <c r="J173" s="8">
        <v>2411</v>
      </c>
      <c r="K173" s="9"/>
      <c r="L173" s="8">
        <f t="shared" si="21"/>
        <v>28932</v>
      </c>
      <c r="M173" s="7">
        <f t="shared" si="22"/>
        <v>0</v>
      </c>
      <c r="N173" s="10">
        <f t="shared" si="23"/>
        <v>1</v>
      </c>
      <c r="O173" s="11">
        <f t="shared" si="24"/>
        <v>0.17938614682703899</v>
      </c>
      <c r="P173" s="11"/>
      <c r="Q173" s="8">
        <f t="shared" si="25"/>
        <v>10379.9999999998</v>
      </c>
      <c r="R173" s="12">
        <f t="shared" si="26"/>
        <v>0</v>
      </c>
    </row>
    <row r="174" spans="1:18" ht="14.25">
      <c r="A174" s="15">
        <v>46009</v>
      </c>
      <c r="B174" s="3">
        <f>Data_Entry!T264</f>
        <v>10650.0000000002</v>
      </c>
      <c r="C174" s="3">
        <v>0</v>
      </c>
      <c r="D174" s="4">
        <f>Data_Entry!V264</f>
        <v>3.73</v>
      </c>
      <c r="E174" s="5">
        <f t="shared" si="18"/>
        <v>0.18405226047283599</v>
      </c>
      <c r="F174" s="6">
        <v>0</v>
      </c>
      <c r="G174" s="6">
        <v>0</v>
      </c>
      <c r="H174" s="7">
        <f t="shared" si="19"/>
        <v>0</v>
      </c>
      <c r="I174" s="7">
        <f t="shared" si="20"/>
        <v>0</v>
      </c>
      <c r="J174" s="8">
        <v>2411</v>
      </c>
      <c r="K174" s="9"/>
      <c r="L174" s="8">
        <f t="shared" si="21"/>
        <v>28932</v>
      </c>
      <c r="M174" s="7">
        <f t="shared" si="22"/>
        <v>0</v>
      </c>
      <c r="N174" s="10">
        <f t="shared" si="23"/>
        <v>1</v>
      </c>
      <c r="O174" s="11">
        <f t="shared" si="24"/>
        <v>0.18405226047283599</v>
      </c>
      <c r="P174" s="11"/>
      <c r="Q174" s="8">
        <f t="shared" si="25"/>
        <v>10650.0000000002</v>
      </c>
      <c r="R174" s="12">
        <f t="shared" si="26"/>
        <v>0</v>
      </c>
    </row>
    <row r="175" spans="1:18" ht="14.25">
      <c r="A175" s="15">
        <v>46010</v>
      </c>
      <c r="B175" s="3">
        <f>Data_Entry!T265</f>
        <v>11669.9999999999</v>
      </c>
      <c r="C175" s="3">
        <v>0</v>
      </c>
      <c r="D175" s="4">
        <f>Data_Entry!V265</f>
        <v>4.1100000000000003</v>
      </c>
      <c r="E175" s="5">
        <f t="shared" si="18"/>
        <v>0.201679800912483</v>
      </c>
      <c r="F175" s="6">
        <v>0</v>
      </c>
      <c r="G175" s="6">
        <v>0</v>
      </c>
      <c r="H175" s="7">
        <f t="shared" si="19"/>
        <v>0</v>
      </c>
      <c r="I175" s="7">
        <f t="shared" si="20"/>
        <v>0</v>
      </c>
      <c r="J175" s="8">
        <v>2411</v>
      </c>
      <c r="K175" s="9"/>
      <c r="L175" s="8">
        <f t="shared" si="21"/>
        <v>28932</v>
      </c>
      <c r="M175" s="7">
        <f t="shared" si="22"/>
        <v>0</v>
      </c>
      <c r="N175" s="10">
        <f t="shared" si="23"/>
        <v>1</v>
      </c>
      <c r="O175" s="11">
        <f t="shared" si="24"/>
        <v>0.201679800912483</v>
      </c>
      <c r="P175" s="11"/>
      <c r="Q175" s="8">
        <f t="shared" si="25"/>
        <v>11669.9999999999</v>
      </c>
      <c r="R175" s="12">
        <f t="shared" si="26"/>
        <v>0</v>
      </c>
    </row>
    <row r="176" spans="1:18" ht="14.25">
      <c r="A176" s="15">
        <v>46011</v>
      </c>
      <c r="B176" s="3">
        <f>Data_Entry!T266</f>
        <v>11729.9999999999</v>
      </c>
      <c r="C176" s="3">
        <v>0</v>
      </c>
      <c r="D176" s="4">
        <f>Data_Entry!V266</f>
        <v>4.0999999999999996</v>
      </c>
      <c r="E176" s="5">
        <f t="shared" si="18"/>
        <v>0.20271671505599101</v>
      </c>
      <c r="F176" s="6">
        <v>0</v>
      </c>
      <c r="G176" s="6">
        <v>0</v>
      </c>
      <c r="H176" s="7">
        <f t="shared" si="19"/>
        <v>0</v>
      </c>
      <c r="I176" s="7">
        <f t="shared" si="20"/>
        <v>0</v>
      </c>
      <c r="J176" s="8">
        <v>2411</v>
      </c>
      <c r="K176" s="9"/>
      <c r="L176" s="8">
        <f t="shared" si="21"/>
        <v>28932</v>
      </c>
      <c r="M176" s="7">
        <f t="shared" si="22"/>
        <v>0</v>
      </c>
      <c r="N176" s="10">
        <f t="shared" si="23"/>
        <v>1</v>
      </c>
      <c r="O176" s="11">
        <f t="shared" si="24"/>
        <v>0.20271671505599101</v>
      </c>
      <c r="P176" s="11"/>
      <c r="Q176" s="8">
        <f t="shared" si="25"/>
        <v>11729.9999999999</v>
      </c>
      <c r="R176" s="12">
        <f t="shared" si="26"/>
        <v>0</v>
      </c>
    </row>
    <row r="177" spans="1:18" ht="14.25">
      <c r="A177" s="15">
        <v>46012</v>
      </c>
      <c r="B177" s="3">
        <f>Data_Entry!T267</f>
        <v>9840.0000000002601</v>
      </c>
      <c r="C177" s="3">
        <v>0</v>
      </c>
      <c r="D177" s="4">
        <f>Data_Entry!V267</f>
        <v>3.4</v>
      </c>
      <c r="E177" s="5">
        <f t="shared" si="18"/>
        <v>0.170053919535467</v>
      </c>
      <c r="F177" s="6">
        <v>0</v>
      </c>
      <c r="G177" s="6">
        <v>0</v>
      </c>
      <c r="H177" s="7">
        <f t="shared" si="19"/>
        <v>0</v>
      </c>
      <c r="I177" s="7">
        <f t="shared" si="20"/>
        <v>0</v>
      </c>
      <c r="J177" s="8">
        <v>2411</v>
      </c>
      <c r="K177" s="9"/>
      <c r="L177" s="8">
        <f t="shared" si="21"/>
        <v>28932</v>
      </c>
      <c r="M177" s="7">
        <f t="shared" si="22"/>
        <v>0</v>
      </c>
      <c r="N177" s="10">
        <f t="shared" si="23"/>
        <v>1</v>
      </c>
      <c r="O177" s="11">
        <f t="shared" si="24"/>
        <v>0.170053919535467</v>
      </c>
      <c r="P177" s="11"/>
      <c r="Q177" s="8">
        <f t="shared" si="25"/>
        <v>9840.0000000002601</v>
      </c>
      <c r="R177" s="12">
        <f t="shared" si="26"/>
        <v>0</v>
      </c>
    </row>
    <row r="178" spans="1:18" ht="14.25">
      <c r="A178" s="15">
        <v>46013</v>
      </c>
      <c r="B178" s="3">
        <f>Data_Entry!T268</f>
        <v>11039.9999999998</v>
      </c>
      <c r="C178" s="3">
        <v>0</v>
      </c>
      <c r="D178" s="4">
        <f>Data_Entry!V268</f>
        <v>3.82</v>
      </c>
      <c r="E178" s="5">
        <f t="shared" si="18"/>
        <v>0.19079220240563799</v>
      </c>
      <c r="F178" s="6">
        <v>0</v>
      </c>
      <c r="G178" s="6">
        <v>0</v>
      </c>
      <c r="H178" s="7">
        <f t="shared" si="19"/>
        <v>0</v>
      </c>
      <c r="I178" s="7">
        <f t="shared" si="20"/>
        <v>0</v>
      </c>
      <c r="J178" s="8">
        <v>2411</v>
      </c>
      <c r="K178" s="9"/>
      <c r="L178" s="8">
        <f t="shared" si="21"/>
        <v>28932</v>
      </c>
      <c r="M178" s="7">
        <f t="shared" si="22"/>
        <v>0</v>
      </c>
      <c r="N178" s="10">
        <f t="shared" si="23"/>
        <v>1</v>
      </c>
      <c r="O178" s="11">
        <f t="shared" si="24"/>
        <v>0.19079220240563799</v>
      </c>
      <c r="P178" s="11"/>
      <c r="Q178" s="8">
        <f t="shared" si="25"/>
        <v>11039.9999999998</v>
      </c>
      <c r="R178" s="12">
        <f t="shared" si="26"/>
        <v>0</v>
      </c>
    </row>
    <row r="179" spans="1:18" ht="14.25">
      <c r="A179" s="15">
        <v>46014</v>
      </c>
      <c r="B179" s="3">
        <f>Data_Entry!T269</f>
        <v>11100.0000000001</v>
      </c>
      <c r="C179" s="3">
        <v>0</v>
      </c>
      <c r="D179" s="4">
        <f>Data_Entry!V269</f>
        <v>3.85</v>
      </c>
      <c r="E179" s="5">
        <f t="shared" si="18"/>
        <v>0.191829116549152</v>
      </c>
      <c r="F179" s="6">
        <v>0</v>
      </c>
      <c r="G179" s="6">
        <v>0</v>
      </c>
      <c r="H179" s="7">
        <f t="shared" si="19"/>
        <v>0</v>
      </c>
      <c r="I179" s="7">
        <f t="shared" si="20"/>
        <v>0</v>
      </c>
      <c r="J179" s="8">
        <v>2411</v>
      </c>
      <c r="K179" s="9"/>
      <c r="L179" s="8">
        <f t="shared" si="21"/>
        <v>28932</v>
      </c>
      <c r="M179" s="7">
        <f t="shared" si="22"/>
        <v>0</v>
      </c>
      <c r="N179" s="10">
        <f t="shared" si="23"/>
        <v>1</v>
      </c>
      <c r="O179" s="11">
        <f t="shared" si="24"/>
        <v>0.191829116549152</v>
      </c>
      <c r="P179" s="11"/>
      <c r="Q179" s="8">
        <f t="shared" si="25"/>
        <v>11100.0000000001</v>
      </c>
      <c r="R179" s="12">
        <f t="shared" si="26"/>
        <v>0</v>
      </c>
    </row>
    <row r="180" spans="1:18" ht="14.25">
      <c r="A180" s="15">
        <v>46015</v>
      </c>
      <c r="B180" s="3">
        <f>Data_Entry!T270</f>
        <v>11250</v>
      </c>
      <c r="C180" s="3">
        <v>0</v>
      </c>
      <c r="D180" s="4">
        <f>Data_Entry!V270</f>
        <v>3.91</v>
      </c>
      <c r="E180" s="5">
        <f t="shared" si="18"/>
        <v>0.19442140190792201</v>
      </c>
      <c r="F180" s="6">
        <v>0</v>
      </c>
      <c r="G180" s="6">
        <v>0</v>
      </c>
      <c r="H180" s="7">
        <f t="shared" si="19"/>
        <v>0</v>
      </c>
      <c r="I180" s="7">
        <f t="shared" si="20"/>
        <v>0</v>
      </c>
      <c r="J180" s="8">
        <v>2411</v>
      </c>
      <c r="K180" s="9"/>
      <c r="L180" s="8">
        <f t="shared" si="21"/>
        <v>28932</v>
      </c>
      <c r="M180" s="7">
        <f t="shared" si="22"/>
        <v>0</v>
      </c>
      <c r="N180" s="10">
        <f t="shared" si="23"/>
        <v>1</v>
      </c>
      <c r="O180" s="11">
        <f t="shared" si="24"/>
        <v>0.19442140190792201</v>
      </c>
      <c r="P180" s="11"/>
      <c r="Q180" s="8">
        <f t="shared" si="25"/>
        <v>11250</v>
      </c>
      <c r="R180" s="12">
        <f t="shared" si="26"/>
        <v>0</v>
      </c>
    </row>
    <row r="181" spans="1:18" ht="14.25">
      <c r="A181" s="15">
        <v>46016</v>
      </c>
      <c r="B181" s="3">
        <f>Data_Entry!T271</f>
        <v>11070.0000000001</v>
      </c>
      <c r="C181" s="3">
        <v>0</v>
      </c>
      <c r="D181" s="4">
        <f>Data_Entry!V271</f>
        <v>3.88</v>
      </c>
      <c r="E181" s="5">
        <f t="shared" si="18"/>
        <v>0.191310659477397</v>
      </c>
      <c r="F181" s="6">
        <v>0</v>
      </c>
      <c r="G181" s="6">
        <v>0</v>
      </c>
      <c r="H181" s="7">
        <f t="shared" si="19"/>
        <v>0</v>
      </c>
      <c r="I181" s="7">
        <f t="shared" si="20"/>
        <v>0</v>
      </c>
      <c r="J181" s="8">
        <v>2411</v>
      </c>
      <c r="K181" s="9"/>
      <c r="L181" s="8">
        <f t="shared" si="21"/>
        <v>28932</v>
      </c>
      <c r="M181" s="7">
        <f t="shared" si="22"/>
        <v>0</v>
      </c>
      <c r="N181" s="10">
        <f t="shared" si="23"/>
        <v>1</v>
      </c>
      <c r="O181" s="11">
        <f t="shared" si="24"/>
        <v>0.191310659477397</v>
      </c>
      <c r="P181" s="11"/>
      <c r="Q181" s="8">
        <f t="shared" si="25"/>
        <v>11070.0000000001</v>
      </c>
      <c r="R181" s="12">
        <f t="shared" si="26"/>
        <v>0</v>
      </c>
    </row>
    <row r="182" spans="1:18" ht="14.25">
      <c r="A182" s="15">
        <v>46017</v>
      </c>
      <c r="B182" s="3">
        <f>Data_Entry!T272</f>
        <v>10589.9999999999</v>
      </c>
      <c r="C182" s="3">
        <v>0</v>
      </c>
      <c r="D182" s="4">
        <f>Data_Entry!V272</f>
        <v>3.74</v>
      </c>
      <c r="E182" s="5">
        <f t="shared" si="18"/>
        <v>0.18301534632932201</v>
      </c>
      <c r="F182" s="6">
        <v>0</v>
      </c>
      <c r="G182" s="6">
        <v>0</v>
      </c>
      <c r="H182" s="7">
        <f t="shared" si="19"/>
        <v>0</v>
      </c>
      <c r="I182" s="7">
        <f t="shared" si="20"/>
        <v>0</v>
      </c>
      <c r="J182" s="8">
        <v>2411</v>
      </c>
      <c r="K182" s="9"/>
      <c r="L182" s="8">
        <f t="shared" si="21"/>
        <v>28932</v>
      </c>
      <c r="M182" s="7">
        <f t="shared" si="22"/>
        <v>0</v>
      </c>
      <c r="N182" s="10">
        <f t="shared" si="23"/>
        <v>1</v>
      </c>
      <c r="O182" s="11">
        <f t="shared" si="24"/>
        <v>0.18301534632932201</v>
      </c>
      <c r="P182" s="11"/>
      <c r="Q182" s="8">
        <f t="shared" si="25"/>
        <v>10589.9999999999</v>
      </c>
      <c r="R182" s="12">
        <f t="shared" si="26"/>
        <v>0</v>
      </c>
    </row>
    <row r="183" spans="1:18" ht="14.25">
      <c r="A183" s="15">
        <v>46018</v>
      </c>
      <c r="B183" s="3">
        <f>Data_Entry!T273</f>
        <v>9899.9999999998108</v>
      </c>
      <c r="C183" s="3">
        <v>0</v>
      </c>
      <c r="D183" s="4">
        <f>Data_Entry!V273</f>
        <v>3.61</v>
      </c>
      <c r="E183" s="5">
        <f t="shared" si="18"/>
        <v>0.17109083367896799</v>
      </c>
      <c r="F183" s="6">
        <v>0</v>
      </c>
      <c r="G183" s="6">
        <v>0</v>
      </c>
      <c r="H183" s="7">
        <f t="shared" si="19"/>
        <v>0</v>
      </c>
      <c r="I183" s="7">
        <f t="shared" si="20"/>
        <v>0</v>
      </c>
      <c r="J183" s="8">
        <v>2411</v>
      </c>
      <c r="K183" s="9"/>
      <c r="L183" s="8">
        <f t="shared" si="21"/>
        <v>28932</v>
      </c>
      <c r="M183" s="7">
        <f t="shared" si="22"/>
        <v>0</v>
      </c>
      <c r="N183" s="10">
        <f t="shared" si="23"/>
        <v>1</v>
      </c>
      <c r="O183" s="11">
        <f t="shared" si="24"/>
        <v>0.17109083367896799</v>
      </c>
      <c r="P183" s="11"/>
      <c r="Q183" s="8">
        <f t="shared" si="25"/>
        <v>9899.9999999998108</v>
      </c>
      <c r="R183" s="12">
        <f t="shared" si="26"/>
        <v>0</v>
      </c>
    </row>
    <row r="184" spans="1:18" ht="14.25">
      <c r="A184" s="15">
        <v>46019</v>
      </c>
      <c r="B184" s="3">
        <f>Data_Entry!T274</f>
        <v>10230.0000000002</v>
      </c>
      <c r="C184" s="3">
        <v>0</v>
      </c>
      <c r="D184" s="4">
        <f>Data_Entry!V274</f>
        <v>3.63</v>
      </c>
      <c r="E184" s="5">
        <f t="shared" si="18"/>
        <v>0.176793861468274</v>
      </c>
      <c r="F184" s="6">
        <v>0</v>
      </c>
      <c r="G184" s="6">
        <v>0</v>
      </c>
      <c r="H184" s="7">
        <f t="shared" si="19"/>
        <v>0</v>
      </c>
      <c r="I184" s="7">
        <f t="shared" si="20"/>
        <v>0</v>
      </c>
      <c r="J184" s="8">
        <v>2411</v>
      </c>
      <c r="K184" s="9"/>
      <c r="L184" s="8">
        <f t="shared" si="21"/>
        <v>28932</v>
      </c>
      <c r="M184" s="7">
        <f t="shared" si="22"/>
        <v>0</v>
      </c>
      <c r="N184" s="10">
        <f t="shared" si="23"/>
        <v>1</v>
      </c>
      <c r="O184" s="11">
        <f t="shared" si="24"/>
        <v>0.176793861468274</v>
      </c>
      <c r="P184" s="11"/>
      <c r="Q184" s="8">
        <f t="shared" si="25"/>
        <v>10230.0000000002</v>
      </c>
      <c r="R184" s="12">
        <f t="shared" si="26"/>
        <v>0</v>
      </c>
    </row>
    <row r="185" spans="1:18" ht="14.25">
      <c r="A185" s="15">
        <v>46020</v>
      </c>
      <c r="B185" s="3">
        <f>Data_Entry!T275</f>
        <v>10110</v>
      </c>
      <c r="C185" s="3">
        <v>0</v>
      </c>
      <c r="D185" s="4">
        <f>Data_Entry!V275</f>
        <v>3.61</v>
      </c>
      <c r="E185" s="5">
        <f t="shared" si="18"/>
        <v>0.17472003318125201</v>
      </c>
      <c r="F185" s="6">
        <v>0</v>
      </c>
      <c r="G185" s="6">
        <v>0</v>
      </c>
      <c r="H185" s="7">
        <f t="shared" si="19"/>
        <v>0</v>
      </c>
      <c r="I185" s="7">
        <f t="shared" si="20"/>
        <v>0</v>
      </c>
      <c r="J185" s="8">
        <v>2411</v>
      </c>
      <c r="K185" s="9"/>
      <c r="L185" s="8">
        <f t="shared" si="21"/>
        <v>28932</v>
      </c>
      <c r="M185" s="7">
        <f t="shared" si="22"/>
        <v>0</v>
      </c>
      <c r="N185" s="10">
        <f t="shared" si="23"/>
        <v>1</v>
      </c>
      <c r="O185" s="11">
        <f t="shared" si="24"/>
        <v>0.17472003318125201</v>
      </c>
      <c r="P185" s="11"/>
      <c r="Q185" s="8">
        <f t="shared" si="25"/>
        <v>10110</v>
      </c>
      <c r="R185" s="12">
        <f t="shared" si="26"/>
        <v>0</v>
      </c>
    </row>
    <row r="186" spans="1:18" ht="14.25">
      <c r="A186" s="15">
        <v>46021</v>
      </c>
      <c r="B186" s="3">
        <f>Data_Entry!T276</f>
        <v>9869.9999999998599</v>
      </c>
      <c r="C186" s="3">
        <v>0</v>
      </c>
      <c r="D186" s="4">
        <f>Data_Entry!V276</f>
        <v>3.5</v>
      </c>
      <c r="E186" s="5">
        <f t="shared" si="18"/>
        <v>0.170572376607215</v>
      </c>
      <c r="F186" s="6">
        <v>0</v>
      </c>
      <c r="G186" s="6">
        <v>0</v>
      </c>
      <c r="H186" s="7">
        <f t="shared" si="19"/>
        <v>0</v>
      </c>
      <c r="I186" s="7">
        <f t="shared" si="20"/>
        <v>0</v>
      </c>
      <c r="J186" s="8">
        <v>2411</v>
      </c>
      <c r="K186" s="9"/>
      <c r="L186" s="8">
        <f t="shared" si="21"/>
        <v>28932</v>
      </c>
      <c r="M186" s="7">
        <f t="shared" si="22"/>
        <v>0</v>
      </c>
      <c r="N186" s="10">
        <f t="shared" si="23"/>
        <v>1</v>
      </c>
      <c r="O186" s="11">
        <f t="shared" si="24"/>
        <v>0.170572376607215</v>
      </c>
      <c r="P186" s="11"/>
      <c r="Q186" s="8">
        <f t="shared" si="25"/>
        <v>9869.9999999998599</v>
      </c>
      <c r="R186" s="12">
        <f t="shared" si="26"/>
        <v>0</v>
      </c>
    </row>
    <row r="187" spans="1:18" ht="14.25">
      <c r="A187" s="15">
        <v>46022</v>
      </c>
      <c r="B187" s="3">
        <f>Data_Entry!T277</f>
        <v>8160.00000000003</v>
      </c>
      <c r="C187" s="3">
        <v>0</v>
      </c>
      <c r="D187" s="4">
        <f>Data_Entry!V277</f>
        <v>3</v>
      </c>
      <c r="E187" s="5">
        <f t="shared" si="18"/>
        <v>0.141020323517213</v>
      </c>
      <c r="F187" s="6">
        <v>0</v>
      </c>
      <c r="G187" s="6">
        <v>0</v>
      </c>
      <c r="H187" s="7">
        <f t="shared" si="19"/>
        <v>0</v>
      </c>
      <c r="I187" s="7">
        <f t="shared" si="20"/>
        <v>0</v>
      </c>
      <c r="J187" s="8">
        <v>2411</v>
      </c>
      <c r="K187" s="9"/>
      <c r="L187" s="8">
        <f t="shared" si="21"/>
        <v>28932</v>
      </c>
      <c r="M187" s="7">
        <f t="shared" si="22"/>
        <v>0</v>
      </c>
      <c r="N187" s="10">
        <f t="shared" si="23"/>
        <v>1</v>
      </c>
      <c r="O187" s="11">
        <f t="shared" si="24"/>
        <v>0.141020323517213</v>
      </c>
      <c r="P187" s="11"/>
      <c r="Q187" s="8">
        <f t="shared" si="25"/>
        <v>8160.00000000003</v>
      </c>
      <c r="R187" s="12">
        <f t="shared" si="26"/>
        <v>0</v>
      </c>
    </row>
    <row r="188" spans="1:18" ht="14.25">
      <c r="A188" s="15">
        <v>46023</v>
      </c>
      <c r="B188" s="3">
        <f>Data_Entry!T278</f>
        <v>10529.9999999999</v>
      </c>
      <c r="C188" s="3">
        <v>0</v>
      </c>
      <c r="D188" s="4">
        <f>Data_Entry!V278</f>
        <v>3.56</v>
      </c>
      <c r="E188" s="5">
        <f t="shared" si="18"/>
        <v>0.181978432185814</v>
      </c>
      <c r="F188" s="6">
        <v>0</v>
      </c>
      <c r="G188" s="6">
        <v>0</v>
      </c>
      <c r="H188" s="7">
        <f t="shared" si="19"/>
        <v>0</v>
      </c>
      <c r="I188" s="7">
        <f t="shared" si="20"/>
        <v>0</v>
      </c>
      <c r="J188" s="8">
        <v>2411</v>
      </c>
      <c r="K188" s="9"/>
      <c r="L188" s="8">
        <f t="shared" si="21"/>
        <v>28932</v>
      </c>
      <c r="M188" s="7">
        <f t="shared" si="22"/>
        <v>0</v>
      </c>
      <c r="N188" s="10">
        <f t="shared" si="23"/>
        <v>1</v>
      </c>
      <c r="O188" s="11">
        <f t="shared" si="24"/>
        <v>0.181978432185814</v>
      </c>
      <c r="P188" s="11"/>
      <c r="Q188" s="8">
        <f t="shared" si="25"/>
        <v>10529.9999999999</v>
      </c>
      <c r="R188" s="12">
        <f t="shared" si="26"/>
        <v>0</v>
      </c>
    </row>
    <row r="189" spans="1:18" ht="14.25">
      <c r="A189" s="15">
        <v>46024</v>
      </c>
      <c r="B189" s="3">
        <f>Data_Entry!T279</f>
        <v>11310.0000000003</v>
      </c>
      <c r="C189" s="3">
        <v>0</v>
      </c>
      <c r="D189" s="4">
        <f>Data_Entry!V279</f>
        <v>3.9</v>
      </c>
      <c r="E189" s="5">
        <f t="shared" si="18"/>
        <v>0.19545831605143499</v>
      </c>
      <c r="F189" s="6">
        <v>0</v>
      </c>
      <c r="G189" s="6">
        <v>0</v>
      </c>
      <c r="H189" s="7">
        <f t="shared" si="19"/>
        <v>0</v>
      </c>
      <c r="I189" s="7">
        <f t="shared" si="20"/>
        <v>0</v>
      </c>
      <c r="J189" s="8">
        <v>2411</v>
      </c>
      <c r="K189" s="9"/>
      <c r="L189" s="8">
        <f t="shared" si="21"/>
        <v>28932</v>
      </c>
      <c r="M189" s="7">
        <f t="shared" si="22"/>
        <v>0</v>
      </c>
      <c r="N189" s="10">
        <f t="shared" si="23"/>
        <v>1</v>
      </c>
      <c r="O189" s="11">
        <f t="shared" si="24"/>
        <v>0.19545831605143499</v>
      </c>
      <c r="P189" s="11"/>
      <c r="Q189" s="8">
        <f t="shared" si="25"/>
        <v>11310.0000000003</v>
      </c>
      <c r="R189" s="12">
        <f t="shared" si="26"/>
        <v>0</v>
      </c>
    </row>
    <row r="190" spans="1:18" ht="14.25">
      <c r="A190" s="15">
        <v>46025</v>
      </c>
      <c r="B190" s="3">
        <f>Data_Entry!T280</f>
        <v>10769.9999999997</v>
      </c>
      <c r="C190" s="3">
        <v>0</v>
      </c>
      <c r="D190" s="4">
        <f>Data_Entry!V280</f>
        <v>4.01</v>
      </c>
      <c r="E190" s="5">
        <f t="shared" si="18"/>
        <v>0.18612608875984599</v>
      </c>
      <c r="F190" s="6">
        <v>0</v>
      </c>
      <c r="G190" s="6">
        <v>0</v>
      </c>
      <c r="H190" s="7">
        <f t="shared" si="19"/>
        <v>0</v>
      </c>
      <c r="I190" s="7">
        <f t="shared" si="20"/>
        <v>0</v>
      </c>
      <c r="J190" s="8">
        <v>2411</v>
      </c>
      <c r="K190" s="9"/>
      <c r="L190" s="8">
        <f t="shared" si="21"/>
        <v>28932</v>
      </c>
      <c r="M190" s="7">
        <f t="shared" si="22"/>
        <v>0</v>
      </c>
      <c r="N190" s="10">
        <f t="shared" si="23"/>
        <v>1</v>
      </c>
      <c r="O190" s="11">
        <f t="shared" si="24"/>
        <v>0.18612608875984599</v>
      </c>
      <c r="P190" s="11"/>
      <c r="Q190" s="8">
        <f t="shared" si="25"/>
        <v>10769.9999999997</v>
      </c>
      <c r="R190" s="12">
        <f t="shared" si="26"/>
        <v>0</v>
      </c>
    </row>
    <row r="191" spans="1:18" ht="14.25">
      <c r="A191" s="15">
        <v>46026</v>
      </c>
      <c r="B191" s="3">
        <f>Data_Entry!T281</f>
        <v>11880.0000000004</v>
      </c>
      <c r="C191" s="3">
        <v>0</v>
      </c>
      <c r="D191" s="4">
        <f>Data_Entry!V281</f>
        <v>4.18</v>
      </c>
      <c r="E191" s="5">
        <f t="shared" si="18"/>
        <v>0.20530900041477301</v>
      </c>
      <c r="F191" s="6">
        <v>0</v>
      </c>
      <c r="G191" s="6">
        <v>0</v>
      </c>
      <c r="H191" s="7">
        <f t="shared" si="19"/>
        <v>0</v>
      </c>
      <c r="I191" s="7">
        <f t="shared" si="20"/>
        <v>0</v>
      </c>
      <c r="J191" s="8">
        <v>2411</v>
      </c>
      <c r="K191" s="9"/>
      <c r="L191" s="8">
        <f t="shared" si="21"/>
        <v>28932</v>
      </c>
      <c r="M191" s="7">
        <f t="shared" si="22"/>
        <v>0</v>
      </c>
      <c r="N191" s="10">
        <f t="shared" si="23"/>
        <v>1</v>
      </c>
      <c r="O191" s="11">
        <f t="shared" si="24"/>
        <v>0.20530900041477301</v>
      </c>
      <c r="P191" s="11"/>
      <c r="Q191" s="8">
        <f t="shared" si="25"/>
        <v>11880.0000000004</v>
      </c>
      <c r="R191" s="12">
        <f t="shared" si="26"/>
        <v>0</v>
      </c>
    </row>
    <row r="192" spans="1:18" ht="14.25">
      <c r="A192" s="15">
        <v>46027</v>
      </c>
      <c r="B192" s="3">
        <f>Data_Entry!T282</f>
        <v>11160.0000000001</v>
      </c>
      <c r="C192" s="3">
        <v>0</v>
      </c>
      <c r="D192" s="4">
        <f>Data_Entry!V282</f>
        <v>3.98</v>
      </c>
      <c r="E192" s="5">
        <f t="shared" si="18"/>
        <v>0.19286603069266001</v>
      </c>
      <c r="F192" s="6">
        <v>0</v>
      </c>
      <c r="G192" s="6">
        <v>0</v>
      </c>
      <c r="H192" s="7">
        <f t="shared" si="19"/>
        <v>0</v>
      </c>
      <c r="I192" s="7">
        <f t="shared" si="20"/>
        <v>0</v>
      </c>
      <c r="J192" s="8">
        <v>2411</v>
      </c>
      <c r="K192" s="9"/>
      <c r="L192" s="8">
        <f t="shared" si="21"/>
        <v>28932</v>
      </c>
      <c r="M192" s="7">
        <f t="shared" si="22"/>
        <v>0</v>
      </c>
      <c r="N192" s="10">
        <f t="shared" si="23"/>
        <v>1</v>
      </c>
      <c r="O192" s="11">
        <f t="shared" si="24"/>
        <v>0.19286603069266001</v>
      </c>
      <c r="P192" s="11"/>
      <c r="Q192" s="8">
        <f t="shared" si="25"/>
        <v>11160.0000000001</v>
      </c>
      <c r="R192" s="12">
        <f t="shared" si="26"/>
        <v>0</v>
      </c>
    </row>
    <row r="193" spans="1:18" ht="14.25">
      <c r="A193" s="15">
        <v>46028</v>
      </c>
      <c r="B193" s="3">
        <f>Data_Entry!T283</f>
        <v>11339.9999999999</v>
      </c>
      <c r="C193" s="3">
        <v>0</v>
      </c>
      <c r="D193" s="4">
        <f>Data_Entry!V283</f>
        <v>4.03</v>
      </c>
      <c r="E193" s="5">
        <f t="shared" si="18"/>
        <v>0.19597677312318401</v>
      </c>
      <c r="F193" s="6">
        <v>0</v>
      </c>
      <c r="G193" s="6">
        <v>0</v>
      </c>
      <c r="H193" s="7">
        <f t="shared" si="19"/>
        <v>0</v>
      </c>
      <c r="I193" s="7">
        <f t="shared" si="20"/>
        <v>0</v>
      </c>
      <c r="J193" s="8">
        <v>2411</v>
      </c>
      <c r="K193" s="9"/>
      <c r="L193" s="8">
        <f t="shared" si="21"/>
        <v>28932</v>
      </c>
      <c r="M193" s="7">
        <f t="shared" si="22"/>
        <v>0</v>
      </c>
      <c r="N193" s="10">
        <f t="shared" si="23"/>
        <v>1</v>
      </c>
      <c r="O193" s="11">
        <f t="shared" si="24"/>
        <v>0.19597677312318401</v>
      </c>
      <c r="P193" s="11"/>
      <c r="Q193" s="8">
        <f t="shared" si="25"/>
        <v>11339.9999999999</v>
      </c>
      <c r="R193" s="12">
        <f t="shared" si="26"/>
        <v>0</v>
      </c>
    </row>
    <row r="194" spans="1:18" ht="14.25">
      <c r="A194" s="15">
        <v>46029</v>
      </c>
      <c r="B194" s="3">
        <f>Data_Entry!T284</f>
        <v>11369.9999999999</v>
      </c>
      <c r="C194" s="3">
        <v>0</v>
      </c>
      <c r="D194" s="4">
        <f>Data_Entry!V284</f>
        <v>3.98</v>
      </c>
      <c r="E194" s="5">
        <f t="shared" si="18"/>
        <v>0.196495230194938</v>
      </c>
      <c r="F194" s="6">
        <v>0</v>
      </c>
      <c r="G194" s="6">
        <v>0</v>
      </c>
      <c r="H194" s="7">
        <f t="shared" si="19"/>
        <v>0</v>
      </c>
      <c r="I194" s="7">
        <f t="shared" si="20"/>
        <v>0</v>
      </c>
      <c r="J194" s="8">
        <v>2411</v>
      </c>
      <c r="K194" s="9"/>
      <c r="L194" s="8">
        <f t="shared" si="21"/>
        <v>28932</v>
      </c>
      <c r="M194" s="7">
        <f t="shared" si="22"/>
        <v>0</v>
      </c>
      <c r="N194" s="10">
        <f t="shared" si="23"/>
        <v>1</v>
      </c>
      <c r="O194" s="11">
        <f t="shared" si="24"/>
        <v>0.196495230194938</v>
      </c>
      <c r="P194" s="11"/>
      <c r="Q194" s="8">
        <f t="shared" si="25"/>
        <v>11369.9999999999</v>
      </c>
      <c r="R194" s="12">
        <f t="shared" si="26"/>
        <v>0</v>
      </c>
    </row>
    <row r="195" spans="1:18" ht="14.25">
      <c r="A195" s="15">
        <v>46030</v>
      </c>
      <c r="B195" s="3">
        <f>Data_Entry!T285</f>
        <v>10589.9999999999</v>
      </c>
      <c r="C195" s="3">
        <v>0</v>
      </c>
      <c r="D195" s="4">
        <f>Data_Entry!V285</f>
        <v>3.77</v>
      </c>
      <c r="E195" s="5">
        <f t="shared" si="18"/>
        <v>0.18301534632932201</v>
      </c>
      <c r="F195" s="6">
        <v>0</v>
      </c>
      <c r="G195" s="6">
        <v>0</v>
      </c>
      <c r="H195" s="7">
        <f t="shared" si="19"/>
        <v>0</v>
      </c>
      <c r="I195" s="7">
        <f t="shared" si="20"/>
        <v>0</v>
      </c>
      <c r="J195" s="8">
        <v>2411</v>
      </c>
      <c r="K195" s="9"/>
      <c r="L195" s="8">
        <f t="shared" si="21"/>
        <v>28932</v>
      </c>
      <c r="M195" s="7">
        <f t="shared" si="22"/>
        <v>0</v>
      </c>
      <c r="N195" s="10">
        <f t="shared" si="23"/>
        <v>1</v>
      </c>
      <c r="O195" s="11">
        <f t="shared" si="24"/>
        <v>0.18301534632932201</v>
      </c>
      <c r="P195" s="11"/>
      <c r="Q195" s="8">
        <f t="shared" si="25"/>
        <v>10589.9999999999</v>
      </c>
      <c r="R195" s="12">
        <f t="shared" si="26"/>
        <v>0</v>
      </c>
    </row>
    <row r="196" spans="1:18" ht="14.25">
      <c r="A196" s="15">
        <v>46031</v>
      </c>
      <c r="B196" s="3">
        <f>Data_Entry!T286</f>
        <v>11459.9999999998</v>
      </c>
      <c r="C196" s="3">
        <v>0</v>
      </c>
      <c r="D196" s="4">
        <f>Data_Entry!V286</f>
        <v>3.98</v>
      </c>
      <c r="E196" s="5">
        <f t="shared" ref="E196:E259" si="27">B196/(24*J196)</f>
        <v>0.19805060141019901</v>
      </c>
      <c r="F196" s="6">
        <v>0</v>
      </c>
      <c r="G196" s="6">
        <v>0</v>
      </c>
      <c r="H196" s="7">
        <f t="shared" ref="H196:H259" si="28">(G196-F196)*24*60</f>
        <v>0</v>
      </c>
      <c r="I196" s="7">
        <f t="shared" ref="I196:I259" si="29">H196/60</f>
        <v>0</v>
      </c>
      <c r="J196" s="8">
        <v>2411</v>
      </c>
      <c r="K196" s="9"/>
      <c r="L196" s="8">
        <f t="shared" ref="L196:L259" si="30">J196*12</f>
        <v>28932</v>
      </c>
      <c r="M196" s="7">
        <f t="shared" ref="M196:M259" si="31">K196*I196</f>
        <v>0</v>
      </c>
      <c r="N196" s="10">
        <f t="shared" ref="N196:N259" si="32">(L196-M196)/L196</f>
        <v>1</v>
      </c>
      <c r="O196" s="11">
        <f t="shared" ref="O196:O259" si="33">E196/N196</f>
        <v>0.19805060141019901</v>
      </c>
      <c r="P196" s="11"/>
      <c r="Q196" s="8">
        <f t="shared" ref="Q196:Q259" si="34">O196*J196*24</f>
        <v>11459.9999999998</v>
      </c>
      <c r="R196" s="12">
        <f t="shared" ref="R196:R259" si="35">Q196-B196</f>
        <v>0</v>
      </c>
    </row>
    <row r="197" spans="1:18" ht="14.25">
      <c r="A197" s="15">
        <v>46032</v>
      </c>
      <c r="B197" s="3">
        <f>Data_Entry!T287</f>
        <v>12180.0000000005</v>
      </c>
      <c r="C197" s="3">
        <v>0</v>
      </c>
      <c r="D197" s="4">
        <f>Data_Entry!V287</f>
        <v>4.1100000000000003</v>
      </c>
      <c r="E197" s="5">
        <f t="shared" si="27"/>
        <v>0.21049357113231901</v>
      </c>
      <c r="F197" s="6">
        <v>0</v>
      </c>
      <c r="G197" s="6">
        <v>0</v>
      </c>
      <c r="H197" s="7">
        <f t="shared" si="28"/>
        <v>0</v>
      </c>
      <c r="I197" s="7">
        <f t="shared" si="29"/>
        <v>0</v>
      </c>
      <c r="J197" s="8">
        <v>2411</v>
      </c>
      <c r="K197" s="9"/>
      <c r="L197" s="8">
        <f t="shared" si="30"/>
        <v>28932</v>
      </c>
      <c r="M197" s="7">
        <f t="shared" si="31"/>
        <v>0</v>
      </c>
      <c r="N197" s="10">
        <f t="shared" si="32"/>
        <v>1</v>
      </c>
      <c r="O197" s="11">
        <f t="shared" si="33"/>
        <v>0.21049357113231901</v>
      </c>
      <c r="P197" s="11"/>
      <c r="Q197" s="8">
        <f t="shared" si="34"/>
        <v>12180.0000000005</v>
      </c>
      <c r="R197" s="12">
        <f t="shared" si="35"/>
        <v>0</v>
      </c>
    </row>
    <row r="198" spans="1:18" ht="14.25">
      <c r="A198" s="15">
        <v>46033</v>
      </c>
      <c r="B198" s="3">
        <f>Data_Entry!T288</f>
        <v>12209.9999999998</v>
      </c>
      <c r="C198" s="3">
        <v>0</v>
      </c>
      <c r="D198" s="4">
        <f>Data_Entry!V288</f>
        <v>4.08</v>
      </c>
      <c r="E198" s="5">
        <f t="shared" si="27"/>
        <v>0.21101202820406101</v>
      </c>
      <c r="F198" s="6">
        <v>0</v>
      </c>
      <c r="G198" s="6">
        <v>0</v>
      </c>
      <c r="H198" s="7">
        <f t="shared" si="28"/>
        <v>0</v>
      </c>
      <c r="I198" s="7">
        <f t="shared" si="29"/>
        <v>0</v>
      </c>
      <c r="J198" s="8">
        <v>2411</v>
      </c>
      <c r="K198" s="9"/>
      <c r="L198" s="8">
        <f t="shared" si="30"/>
        <v>28932</v>
      </c>
      <c r="M198" s="7">
        <f t="shared" si="31"/>
        <v>0</v>
      </c>
      <c r="N198" s="10">
        <f t="shared" si="32"/>
        <v>1</v>
      </c>
      <c r="O198" s="11">
        <f t="shared" si="33"/>
        <v>0.21101202820406101</v>
      </c>
      <c r="P198" s="11"/>
      <c r="Q198" s="8">
        <f t="shared" si="34"/>
        <v>12209.9999999998</v>
      </c>
      <c r="R198" s="12">
        <f t="shared" si="35"/>
        <v>0</v>
      </c>
    </row>
    <row r="199" spans="1:18" ht="14.25">
      <c r="A199" s="15">
        <v>46034</v>
      </c>
      <c r="B199" s="3">
        <f>Data_Entry!T289</f>
        <v>11700.0000000002</v>
      </c>
      <c r="C199" s="3">
        <v>0</v>
      </c>
      <c r="D199" s="4">
        <f>Data_Entry!V289</f>
        <v>3.95</v>
      </c>
      <c r="E199" s="5">
        <f t="shared" si="27"/>
        <v>0.20219825798424301</v>
      </c>
      <c r="F199" s="6">
        <v>0</v>
      </c>
      <c r="G199" s="6">
        <v>0</v>
      </c>
      <c r="H199" s="7">
        <f t="shared" si="28"/>
        <v>0</v>
      </c>
      <c r="I199" s="7">
        <f t="shared" si="29"/>
        <v>0</v>
      </c>
      <c r="J199" s="8">
        <v>2411</v>
      </c>
      <c r="K199" s="9"/>
      <c r="L199" s="8">
        <f t="shared" si="30"/>
        <v>28932</v>
      </c>
      <c r="M199" s="7">
        <f t="shared" si="31"/>
        <v>0</v>
      </c>
      <c r="N199" s="10">
        <f t="shared" si="32"/>
        <v>1</v>
      </c>
      <c r="O199" s="11">
        <f t="shared" si="33"/>
        <v>0.20219825798424301</v>
      </c>
      <c r="P199" s="11"/>
      <c r="Q199" s="8">
        <f t="shared" si="34"/>
        <v>11700.0000000002</v>
      </c>
      <c r="R199" s="12">
        <f t="shared" si="35"/>
        <v>0</v>
      </c>
    </row>
    <row r="200" spans="1:18" ht="14.25">
      <c r="A200" s="15">
        <v>46035</v>
      </c>
      <c r="B200" s="3">
        <f>Data_Entry!T290</f>
        <v>11279.9999999999</v>
      </c>
      <c r="C200" s="3">
        <v>0</v>
      </c>
      <c r="D200" s="4">
        <f>Data_Entry!V290</f>
        <v>3.88</v>
      </c>
      <c r="E200" s="5">
        <f t="shared" si="27"/>
        <v>0.194939858979676</v>
      </c>
      <c r="F200" s="6">
        <v>0</v>
      </c>
      <c r="G200" s="6">
        <v>0</v>
      </c>
      <c r="H200" s="7">
        <f t="shared" si="28"/>
        <v>0</v>
      </c>
      <c r="I200" s="7">
        <f t="shared" si="29"/>
        <v>0</v>
      </c>
      <c r="J200" s="8">
        <v>2411</v>
      </c>
      <c r="K200" s="9"/>
      <c r="L200" s="8">
        <f t="shared" si="30"/>
        <v>28932</v>
      </c>
      <c r="M200" s="7">
        <f t="shared" si="31"/>
        <v>0</v>
      </c>
      <c r="N200" s="10">
        <f t="shared" si="32"/>
        <v>1</v>
      </c>
      <c r="O200" s="11">
        <f t="shared" si="33"/>
        <v>0.194939858979676</v>
      </c>
      <c r="P200" s="11"/>
      <c r="Q200" s="8">
        <f t="shared" si="34"/>
        <v>11279.9999999999</v>
      </c>
      <c r="R200" s="12">
        <f t="shared" si="35"/>
        <v>0</v>
      </c>
    </row>
    <row r="201" spans="1:18" ht="14.25">
      <c r="A201" s="15">
        <v>46036</v>
      </c>
      <c r="B201" s="3">
        <f>Data_Entry!T291</f>
        <v>13019.9999999997</v>
      </c>
      <c r="C201" s="3">
        <v>0</v>
      </c>
      <c r="D201" s="4">
        <f>Data_Entry!V291</f>
        <v>4.41</v>
      </c>
      <c r="E201" s="5">
        <f t="shared" si="27"/>
        <v>0.22501036914142999</v>
      </c>
      <c r="F201" s="6">
        <v>0</v>
      </c>
      <c r="G201" s="6">
        <v>0</v>
      </c>
      <c r="H201" s="7">
        <f t="shared" si="28"/>
        <v>0</v>
      </c>
      <c r="I201" s="7">
        <f t="shared" si="29"/>
        <v>0</v>
      </c>
      <c r="J201" s="8">
        <v>2411</v>
      </c>
      <c r="K201" s="9"/>
      <c r="L201" s="8">
        <f t="shared" si="30"/>
        <v>28932</v>
      </c>
      <c r="M201" s="7">
        <f t="shared" si="31"/>
        <v>0</v>
      </c>
      <c r="N201" s="10">
        <f t="shared" si="32"/>
        <v>1</v>
      </c>
      <c r="O201" s="11">
        <f t="shared" si="33"/>
        <v>0.22501036914142999</v>
      </c>
      <c r="P201" s="11"/>
      <c r="Q201" s="8">
        <f t="shared" si="34"/>
        <v>13019.9999999997</v>
      </c>
      <c r="R201" s="12">
        <f t="shared" si="35"/>
        <v>0</v>
      </c>
    </row>
    <row r="202" spans="1:18" ht="14.25">
      <c r="A202" s="15">
        <v>46037</v>
      </c>
      <c r="B202" s="3">
        <f>Data_Entry!T292</f>
        <v>12959.9999999998</v>
      </c>
      <c r="C202" s="3">
        <v>0</v>
      </c>
      <c r="D202" s="4">
        <f>Data_Entry!V292</f>
        <v>4.42</v>
      </c>
      <c r="E202" s="5">
        <f t="shared" si="27"/>
        <v>0.22397345499792201</v>
      </c>
      <c r="F202" s="6">
        <v>0</v>
      </c>
      <c r="G202" s="6">
        <v>0</v>
      </c>
      <c r="H202" s="7">
        <f t="shared" si="28"/>
        <v>0</v>
      </c>
      <c r="I202" s="7">
        <f t="shared" si="29"/>
        <v>0</v>
      </c>
      <c r="J202" s="8">
        <v>2411</v>
      </c>
      <c r="K202" s="9"/>
      <c r="L202" s="8">
        <f t="shared" si="30"/>
        <v>28932</v>
      </c>
      <c r="M202" s="7">
        <f t="shared" si="31"/>
        <v>0</v>
      </c>
      <c r="N202" s="10">
        <f t="shared" si="32"/>
        <v>1</v>
      </c>
      <c r="O202" s="11">
        <f t="shared" si="33"/>
        <v>0.22397345499792201</v>
      </c>
      <c r="P202" s="11"/>
      <c r="Q202" s="8">
        <f t="shared" si="34"/>
        <v>12959.9999999998</v>
      </c>
      <c r="R202" s="12">
        <f t="shared" si="35"/>
        <v>0</v>
      </c>
    </row>
    <row r="203" spans="1:18" ht="14.25">
      <c r="A203" s="15">
        <v>46038</v>
      </c>
      <c r="B203" s="3">
        <f>Data_Entry!T293</f>
        <v>12420.0000000003</v>
      </c>
      <c r="C203" s="3">
        <v>0</v>
      </c>
      <c r="D203" s="4">
        <f>Data_Entry!V293</f>
        <v>4.28</v>
      </c>
      <c r="E203" s="5">
        <f t="shared" si="27"/>
        <v>0.214641227706351</v>
      </c>
      <c r="F203" s="6">
        <v>0</v>
      </c>
      <c r="G203" s="6">
        <v>0</v>
      </c>
      <c r="H203" s="7">
        <f t="shared" si="28"/>
        <v>0</v>
      </c>
      <c r="I203" s="7">
        <f t="shared" si="29"/>
        <v>0</v>
      </c>
      <c r="J203" s="8">
        <v>2411</v>
      </c>
      <c r="K203" s="9"/>
      <c r="L203" s="8">
        <f t="shared" si="30"/>
        <v>28932</v>
      </c>
      <c r="M203" s="7">
        <f t="shared" si="31"/>
        <v>0</v>
      </c>
      <c r="N203" s="10">
        <f t="shared" si="32"/>
        <v>1</v>
      </c>
      <c r="O203" s="11">
        <f t="shared" si="33"/>
        <v>0.214641227706351</v>
      </c>
      <c r="P203" s="11"/>
      <c r="Q203" s="8">
        <f t="shared" si="34"/>
        <v>12420.0000000003</v>
      </c>
      <c r="R203" s="12">
        <f t="shared" si="35"/>
        <v>0</v>
      </c>
    </row>
    <row r="204" spans="1:18" ht="14.25">
      <c r="A204" s="15">
        <v>46039</v>
      </c>
      <c r="B204" s="3">
        <f>Data_Entry!T294</f>
        <v>12059.9999999999</v>
      </c>
      <c r="C204" s="3">
        <v>0</v>
      </c>
      <c r="D204" s="4">
        <f>Data_Entry!V294</f>
        <v>4.07</v>
      </c>
      <c r="E204" s="5">
        <f t="shared" si="27"/>
        <v>0.208419742845291</v>
      </c>
      <c r="F204" s="6">
        <v>0</v>
      </c>
      <c r="G204" s="6">
        <v>0</v>
      </c>
      <c r="H204" s="7">
        <f t="shared" si="28"/>
        <v>0</v>
      </c>
      <c r="I204" s="7">
        <f t="shared" si="29"/>
        <v>0</v>
      </c>
      <c r="J204" s="8">
        <v>2411</v>
      </c>
      <c r="K204" s="9"/>
      <c r="L204" s="8">
        <f t="shared" si="30"/>
        <v>28932</v>
      </c>
      <c r="M204" s="7">
        <f t="shared" si="31"/>
        <v>0</v>
      </c>
      <c r="N204" s="10">
        <f t="shared" si="32"/>
        <v>1</v>
      </c>
      <c r="O204" s="11">
        <f t="shared" si="33"/>
        <v>0.208419742845291</v>
      </c>
      <c r="P204" s="11"/>
      <c r="Q204" s="8">
        <f t="shared" si="34"/>
        <v>12059.9999999999</v>
      </c>
      <c r="R204" s="12">
        <f t="shared" si="35"/>
        <v>0</v>
      </c>
    </row>
    <row r="205" spans="1:18" ht="14.25">
      <c r="A205" s="15">
        <v>46040</v>
      </c>
      <c r="B205" s="3">
        <f>Data_Entry!T295</f>
        <v>11760.0000000002</v>
      </c>
      <c r="C205" s="3">
        <v>0</v>
      </c>
      <c r="D205" s="4">
        <f>Data_Entry!V295</f>
        <v>3.62</v>
      </c>
      <c r="E205" s="5">
        <f t="shared" si="27"/>
        <v>0.203235172127751</v>
      </c>
      <c r="F205" s="6">
        <v>0</v>
      </c>
      <c r="G205" s="6">
        <v>0</v>
      </c>
      <c r="H205" s="7">
        <f t="shared" si="28"/>
        <v>0</v>
      </c>
      <c r="I205" s="7">
        <f t="shared" si="29"/>
        <v>0</v>
      </c>
      <c r="J205" s="8">
        <v>2411</v>
      </c>
      <c r="K205" s="9"/>
      <c r="L205" s="8">
        <f t="shared" si="30"/>
        <v>28932</v>
      </c>
      <c r="M205" s="7">
        <f t="shared" si="31"/>
        <v>0</v>
      </c>
      <c r="N205" s="10">
        <f t="shared" si="32"/>
        <v>1</v>
      </c>
      <c r="O205" s="11">
        <f t="shared" si="33"/>
        <v>0.203235172127751</v>
      </c>
      <c r="P205" s="11"/>
      <c r="Q205" s="8">
        <f t="shared" si="34"/>
        <v>11760.0000000002</v>
      </c>
      <c r="R205" s="12">
        <f t="shared" si="35"/>
        <v>0</v>
      </c>
    </row>
    <row r="206" spans="1:18" ht="14.25">
      <c r="A206" s="15">
        <v>46041</v>
      </c>
      <c r="B206" s="3">
        <f>Data_Entry!T296</f>
        <v>12239.9999999998</v>
      </c>
      <c r="C206" s="3">
        <v>0</v>
      </c>
      <c r="D206" s="4">
        <f>Data_Entry!V296</f>
        <v>4.1500000000000004</v>
      </c>
      <c r="E206" s="5">
        <f t="shared" si="27"/>
        <v>0.211530485275815</v>
      </c>
      <c r="F206" s="6">
        <v>0</v>
      </c>
      <c r="G206" s="6">
        <v>0</v>
      </c>
      <c r="H206" s="7">
        <f t="shared" si="28"/>
        <v>0</v>
      </c>
      <c r="I206" s="7">
        <f t="shared" si="29"/>
        <v>0</v>
      </c>
      <c r="J206" s="8">
        <v>2411</v>
      </c>
      <c r="K206" s="9"/>
      <c r="L206" s="8">
        <f t="shared" si="30"/>
        <v>28932</v>
      </c>
      <c r="M206" s="7">
        <f t="shared" si="31"/>
        <v>0</v>
      </c>
      <c r="N206" s="10">
        <f t="shared" si="32"/>
        <v>1</v>
      </c>
      <c r="O206" s="11">
        <f t="shared" si="33"/>
        <v>0.211530485275815</v>
      </c>
      <c r="P206" s="11"/>
      <c r="Q206" s="8">
        <f t="shared" si="34"/>
        <v>12239.9999999998</v>
      </c>
      <c r="R206" s="12">
        <f t="shared" si="35"/>
        <v>0</v>
      </c>
    </row>
    <row r="207" spans="1:18" ht="14.25">
      <c r="A207" s="15">
        <v>46042</v>
      </c>
      <c r="B207" s="3">
        <f>Data_Entry!T297</f>
        <v>12089.9999999999</v>
      </c>
      <c r="C207" s="3">
        <v>0</v>
      </c>
      <c r="D207" s="4">
        <f>Data_Entry!V297</f>
        <v>4.0999999999999996</v>
      </c>
      <c r="E207" s="5">
        <f t="shared" si="27"/>
        <v>0.20893819991704499</v>
      </c>
      <c r="F207" s="6">
        <v>0</v>
      </c>
      <c r="G207" s="6">
        <v>0</v>
      </c>
      <c r="H207" s="7">
        <f t="shared" si="28"/>
        <v>0</v>
      </c>
      <c r="I207" s="7">
        <f t="shared" si="29"/>
        <v>0</v>
      </c>
      <c r="J207" s="8">
        <v>2411</v>
      </c>
      <c r="K207" s="9"/>
      <c r="L207" s="8">
        <f t="shared" si="30"/>
        <v>28932</v>
      </c>
      <c r="M207" s="7">
        <f t="shared" si="31"/>
        <v>0</v>
      </c>
      <c r="N207" s="10">
        <f t="shared" si="32"/>
        <v>1</v>
      </c>
      <c r="O207" s="11">
        <f t="shared" si="33"/>
        <v>0.20893819991704499</v>
      </c>
      <c r="P207" s="11"/>
      <c r="Q207" s="8">
        <f t="shared" si="34"/>
        <v>12089.9999999999</v>
      </c>
      <c r="R207" s="12">
        <f t="shared" si="35"/>
        <v>0</v>
      </c>
    </row>
    <row r="208" spans="1:18" ht="14.25">
      <c r="A208" s="15">
        <v>46043</v>
      </c>
      <c r="B208" s="3">
        <f>Data_Entry!T298</f>
        <v>11340.0000000006</v>
      </c>
      <c r="C208" s="3">
        <v>0</v>
      </c>
      <c r="D208" s="4">
        <f>Data_Entry!V298</f>
        <v>3.86</v>
      </c>
      <c r="E208" s="5">
        <f t="shared" si="27"/>
        <v>0.195976773123195</v>
      </c>
      <c r="F208" s="6">
        <v>0</v>
      </c>
      <c r="G208" s="6">
        <v>0</v>
      </c>
      <c r="H208" s="7">
        <f t="shared" si="28"/>
        <v>0</v>
      </c>
      <c r="I208" s="7">
        <f t="shared" si="29"/>
        <v>0</v>
      </c>
      <c r="J208" s="8">
        <v>2411</v>
      </c>
      <c r="K208" s="9"/>
      <c r="L208" s="8">
        <f t="shared" si="30"/>
        <v>28932</v>
      </c>
      <c r="M208" s="7">
        <f t="shared" si="31"/>
        <v>0</v>
      </c>
      <c r="N208" s="10">
        <f t="shared" si="32"/>
        <v>1</v>
      </c>
      <c r="O208" s="11">
        <f t="shared" si="33"/>
        <v>0.195976773123195</v>
      </c>
      <c r="P208" s="11"/>
      <c r="Q208" s="8">
        <f t="shared" si="34"/>
        <v>11340.0000000006</v>
      </c>
      <c r="R208" s="12">
        <f t="shared" si="35"/>
        <v>0</v>
      </c>
    </row>
    <row r="209" spans="1:18" ht="14.25">
      <c r="A209" s="15">
        <v>46044</v>
      </c>
      <c r="B209" s="3">
        <f>Data_Entry!T299</f>
        <v>10769.9999999997</v>
      </c>
      <c r="C209" s="3">
        <v>0</v>
      </c>
      <c r="D209" s="4">
        <f>Data_Entry!V299</f>
        <v>3.82</v>
      </c>
      <c r="E209" s="5">
        <f t="shared" si="27"/>
        <v>0.18612608875984499</v>
      </c>
      <c r="F209" s="6">
        <v>0</v>
      </c>
      <c r="G209" s="6">
        <v>0</v>
      </c>
      <c r="H209" s="7">
        <f t="shared" si="28"/>
        <v>0</v>
      </c>
      <c r="I209" s="7">
        <f t="shared" si="29"/>
        <v>0</v>
      </c>
      <c r="J209" s="8">
        <v>2411</v>
      </c>
      <c r="K209" s="9"/>
      <c r="L209" s="8">
        <f t="shared" si="30"/>
        <v>28932</v>
      </c>
      <c r="M209" s="7">
        <f t="shared" si="31"/>
        <v>0</v>
      </c>
      <c r="N209" s="10">
        <f t="shared" si="32"/>
        <v>1</v>
      </c>
      <c r="O209" s="11">
        <f t="shared" si="33"/>
        <v>0.18612608875984499</v>
      </c>
      <c r="P209" s="11"/>
      <c r="Q209" s="8">
        <f t="shared" si="34"/>
        <v>10769.9999999997</v>
      </c>
      <c r="R209" s="12">
        <f t="shared" si="35"/>
        <v>0</v>
      </c>
    </row>
    <row r="210" spans="1:18" ht="14.25">
      <c r="A210" s="15">
        <v>46045</v>
      </c>
      <c r="B210" s="3">
        <f>Data_Entry!T300</f>
        <v>11010.0000000002</v>
      </c>
      <c r="C210" s="3">
        <v>0</v>
      </c>
      <c r="D210" s="4">
        <f>Data_Entry!V300</f>
        <v>3.57</v>
      </c>
      <c r="E210" s="5">
        <f t="shared" si="27"/>
        <v>0.19027374533388999</v>
      </c>
      <c r="F210" s="6">
        <v>0</v>
      </c>
      <c r="G210" s="6">
        <v>0</v>
      </c>
      <c r="H210" s="7">
        <f t="shared" si="28"/>
        <v>0</v>
      </c>
      <c r="I210" s="7">
        <f t="shared" si="29"/>
        <v>0</v>
      </c>
      <c r="J210" s="8">
        <v>2411</v>
      </c>
      <c r="K210" s="9"/>
      <c r="L210" s="8">
        <f t="shared" si="30"/>
        <v>28932</v>
      </c>
      <c r="M210" s="7">
        <f t="shared" si="31"/>
        <v>0</v>
      </c>
      <c r="N210" s="10">
        <f t="shared" si="32"/>
        <v>1</v>
      </c>
      <c r="O210" s="11">
        <f t="shared" si="33"/>
        <v>0.19027374533388999</v>
      </c>
      <c r="P210" s="11"/>
      <c r="Q210" s="8">
        <f t="shared" si="34"/>
        <v>11010.0000000002</v>
      </c>
      <c r="R210" s="12">
        <f t="shared" si="35"/>
        <v>0</v>
      </c>
    </row>
    <row r="211" spans="1:18" ht="14.25">
      <c r="A211" s="15">
        <v>46046</v>
      </c>
      <c r="B211" s="3">
        <f>Data_Entry!T301</f>
        <v>12540.0000000002</v>
      </c>
      <c r="C211" s="3">
        <v>0</v>
      </c>
      <c r="D211" s="4">
        <f>Data_Entry!V301</f>
        <v>4.0199999999999996</v>
      </c>
      <c r="E211" s="5">
        <f t="shared" si="27"/>
        <v>0.21671505599336699</v>
      </c>
      <c r="F211" s="6">
        <v>0</v>
      </c>
      <c r="G211" s="6">
        <v>0</v>
      </c>
      <c r="H211" s="7">
        <f t="shared" si="28"/>
        <v>0</v>
      </c>
      <c r="I211" s="7">
        <f t="shared" si="29"/>
        <v>0</v>
      </c>
      <c r="J211" s="8">
        <v>2411</v>
      </c>
      <c r="K211" s="9"/>
      <c r="L211" s="8">
        <f t="shared" si="30"/>
        <v>28932</v>
      </c>
      <c r="M211" s="7">
        <f t="shared" si="31"/>
        <v>0</v>
      </c>
      <c r="N211" s="10">
        <f t="shared" si="32"/>
        <v>1</v>
      </c>
      <c r="O211" s="11">
        <f t="shared" si="33"/>
        <v>0.21671505599336699</v>
      </c>
      <c r="P211" s="11"/>
      <c r="Q211" s="8">
        <f t="shared" si="34"/>
        <v>12540.0000000002</v>
      </c>
      <c r="R211" s="12">
        <f t="shared" si="35"/>
        <v>0</v>
      </c>
    </row>
    <row r="212" spans="1:18" ht="14.25">
      <c r="A212" s="15">
        <v>46047</v>
      </c>
      <c r="B212" s="3">
        <f>Data_Entry!T302</f>
        <v>11609.9999999996</v>
      </c>
      <c r="C212" s="3">
        <v>0</v>
      </c>
      <c r="D212" s="4">
        <f>Data_Entry!V302</f>
        <v>3.69</v>
      </c>
      <c r="E212" s="5">
        <f t="shared" si="27"/>
        <v>0.20064288676896899</v>
      </c>
      <c r="F212" s="6">
        <v>0</v>
      </c>
      <c r="G212" s="6">
        <v>0</v>
      </c>
      <c r="H212" s="7">
        <f t="shared" si="28"/>
        <v>0</v>
      </c>
      <c r="I212" s="7">
        <f t="shared" si="29"/>
        <v>0</v>
      </c>
      <c r="J212" s="8">
        <v>2411</v>
      </c>
      <c r="K212" s="9"/>
      <c r="L212" s="8">
        <f t="shared" si="30"/>
        <v>28932</v>
      </c>
      <c r="M212" s="7">
        <f t="shared" si="31"/>
        <v>0</v>
      </c>
      <c r="N212" s="10">
        <f t="shared" si="32"/>
        <v>1</v>
      </c>
      <c r="O212" s="11">
        <f t="shared" si="33"/>
        <v>0.20064288676896899</v>
      </c>
      <c r="P212" s="11"/>
      <c r="Q212" s="8">
        <f t="shared" si="34"/>
        <v>11609.9999999996</v>
      </c>
      <c r="R212" s="12">
        <f t="shared" si="35"/>
        <v>0</v>
      </c>
    </row>
    <row r="213" spans="1:18" ht="14.25">
      <c r="A213" s="15">
        <v>46048</v>
      </c>
      <c r="B213" s="3">
        <f>Data_Entry!T303</f>
        <v>11550.0000000004</v>
      </c>
      <c r="C213" s="3">
        <v>0</v>
      </c>
      <c r="D213" s="4">
        <f>Data_Entry!V303</f>
        <v>3.88</v>
      </c>
      <c r="E213" s="5">
        <f t="shared" si="27"/>
        <v>0.199605972625473</v>
      </c>
      <c r="F213" s="6">
        <v>0</v>
      </c>
      <c r="G213" s="6">
        <v>0</v>
      </c>
      <c r="H213" s="7">
        <f t="shared" si="28"/>
        <v>0</v>
      </c>
      <c r="I213" s="7">
        <f t="shared" si="29"/>
        <v>0</v>
      </c>
      <c r="J213" s="8">
        <v>2411</v>
      </c>
      <c r="K213" s="9"/>
      <c r="L213" s="8">
        <f t="shared" si="30"/>
        <v>28932</v>
      </c>
      <c r="M213" s="7">
        <f t="shared" si="31"/>
        <v>0</v>
      </c>
      <c r="N213" s="10">
        <f t="shared" si="32"/>
        <v>1</v>
      </c>
      <c r="O213" s="11">
        <f t="shared" si="33"/>
        <v>0.199605972625473</v>
      </c>
      <c r="P213" s="11"/>
      <c r="Q213" s="8">
        <f t="shared" si="34"/>
        <v>11550.0000000004</v>
      </c>
      <c r="R213" s="12">
        <f t="shared" si="35"/>
        <v>0</v>
      </c>
    </row>
    <row r="214" spans="1:18" ht="14.25">
      <c r="A214" s="15">
        <v>46049</v>
      </c>
      <c r="B214" s="3">
        <f>Data_Entry!T304</f>
        <v>5909.9999999993697</v>
      </c>
      <c r="C214" s="3">
        <v>0</v>
      </c>
      <c r="D214" s="4">
        <f>Data_Entry!V304</f>
        <v>1.6</v>
      </c>
      <c r="E214" s="5">
        <f t="shared" si="27"/>
        <v>0.102136043135618</v>
      </c>
      <c r="F214" s="6">
        <v>0.52986111111111101</v>
      </c>
      <c r="G214" s="6">
        <v>0.78819444444444497</v>
      </c>
      <c r="H214" s="7">
        <f t="shared" si="28"/>
        <v>372.00000000000102</v>
      </c>
      <c r="I214" s="7">
        <f t="shared" si="29"/>
        <v>6.2000000000000197</v>
      </c>
      <c r="J214" s="8">
        <v>2411</v>
      </c>
      <c r="K214" s="9">
        <v>2411</v>
      </c>
      <c r="L214" s="8">
        <f t="shared" si="30"/>
        <v>28932</v>
      </c>
      <c r="M214" s="7">
        <f t="shared" si="31"/>
        <v>14948.2</v>
      </c>
      <c r="N214" s="10">
        <f t="shared" si="32"/>
        <v>0.483333333333332</v>
      </c>
      <c r="O214" s="11">
        <f t="shared" si="33"/>
        <v>0.211315951315071</v>
      </c>
      <c r="P214" s="11"/>
      <c r="Q214" s="8">
        <f t="shared" si="34"/>
        <v>12227.586206895299</v>
      </c>
      <c r="R214" s="12">
        <f t="shared" si="35"/>
        <v>6317.5862068959104</v>
      </c>
    </row>
    <row r="215" spans="1:18" ht="14.25">
      <c r="A215" s="15">
        <v>46050</v>
      </c>
      <c r="B215" s="3">
        <f>Data_Entry!T305</f>
        <v>13560.0000000006</v>
      </c>
      <c r="C215" s="3">
        <v>0</v>
      </c>
      <c r="D215" s="4">
        <f>Data_Entry!V305</f>
        <v>4.49</v>
      </c>
      <c r="E215" s="5">
        <f t="shared" si="27"/>
        <v>0.23434259643302499</v>
      </c>
      <c r="F215" s="6">
        <v>0.56944444444444398</v>
      </c>
      <c r="G215" s="6">
        <v>0.59375</v>
      </c>
      <c r="H215" s="7">
        <f t="shared" si="28"/>
        <v>35.000000000000703</v>
      </c>
      <c r="I215" s="7">
        <f t="shared" si="29"/>
        <v>0.58333333333334503</v>
      </c>
      <c r="J215" s="8">
        <v>2411</v>
      </c>
      <c r="K215" s="9">
        <v>152.6</v>
      </c>
      <c r="L215" s="8">
        <f t="shared" si="30"/>
        <v>28932</v>
      </c>
      <c r="M215" s="7">
        <f t="shared" si="31"/>
        <v>89.016666666668399</v>
      </c>
      <c r="N215" s="10">
        <f t="shared" si="32"/>
        <v>0.99692324531084398</v>
      </c>
      <c r="O215" s="11">
        <f t="shared" si="33"/>
        <v>0.23506583634726699</v>
      </c>
      <c r="P215" s="11" t="s">
        <v>258</v>
      </c>
      <c r="Q215" s="8">
        <f t="shared" si="34"/>
        <v>13601.849554398301</v>
      </c>
      <c r="R215" s="12">
        <f t="shared" si="35"/>
        <v>41.849554397693304</v>
      </c>
    </row>
    <row r="216" spans="1:18" ht="14.25">
      <c r="A216" s="15">
        <v>46051</v>
      </c>
      <c r="B216" s="3">
        <f>Data_Entry!T306</f>
        <v>12690</v>
      </c>
      <c r="C216" s="3">
        <v>0</v>
      </c>
      <c r="D216" s="4">
        <f>Data_Entry!V306</f>
        <v>4.29</v>
      </c>
      <c r="E216" s="5">
        <f t="shared" si="27"/>
        <v>0.219307341352136</v>
      </c>
      <c r="F216" s="6">
        <v>0</v>
      </c>
      <c r="G216" s="6">
        <v>0</v>
      </c>
      <c r="H216" s="7">
        <f t="shared" si="28"/>
        <v>0</v>
      </c>
      <c r="I216" s="7">
        <f t="shared" si="29"/>
        <v>0</v>
      </c>
      <c r="J216" s="8">
        <v>2411</v>
      </c>
      <c r="K216" s="9"/>
      <c r="L216" s="8">
        <f t="shared" si="30"/>
        <v>28932</v>
      </c>
      <c r="M216" s="7">
        <f t="shared" si="31"/>
        <v>0</v>
      </c>
      <c r="N216" s="10">
        <f t="shared" si="32"/>
        <v>1</v>
      </c>
      <c r="O216" s="11">
        <f t="shared" si="33"/>
        <v>0.219307341352136</v>
      </c>
      <c r="P216" s="11"/>
      <c r="Q216" s="8">
        <f t="shared" si="34"/>
        <v>12690</v>
      </c>
      <c r="R216" s="12">
        <f t="shared" si="35"/>
        <v>0</v>
      </c>
    </row>
    <row r="217" spans="1:18" ht="14.25">
      <c r="A217" s="15">
        <v>46052</v>
      </c>
      <c r="B217" s="3">
        <f>Data_Entry!T307</f>
        <v>10500</v>
      </c>
      <c r="C217" s="3">
        <v>0</v>
      </c>
      <c r="D217" s="4">
        <f>Data_Entry!V307</f>
        <v>3.58</v>
      </c>
      <c r="E217" s="5">
        <f t="shared" si="27"/>
        <v>0.18145997511406001</v>
      </c>
      <c r="F217" s="6">
        <v>0</v>
      </c>
      <c r="G217" s="6">
        <v>0</v>
      </c>
      <c r="H217" s="7">
        <f t="shared" si="28"/>
        <v>0</v>
      </c>
      <c r="I217" s="7">
        <f t="shared" si="29"/>
        <v>0</v>
      </c>
      <c r="J217" s="8">
        <v>2411</v>
      </c>
      <c r="K217" s="9"/>
      <c r="L217" s="8">
        <f t="shared" si="30"/>
        <v>28932</v>
      </c>
      <c r="M217" s="7">
        <f t="shared" si="31"/>
        <v>0</v>
      </c>
      <c r="N217" s="10">
        <f t="shared" si="32"/>
        <v>1</v>
      </c>
      <c r="O217" s="11">
        <f t="shared" si="33"/>
        <v>0.18145997511406001</v>
      </c>
      <c r="P217" s="11"/>
      <c r="Q217" s="8">
        <f t="shared" si="34"/>
        <v>10500</v>
      </c>
      <c r="R217" s="12">
        <f t="shared" si="35"/>
        <v>0</v>
      </c>
    </row>
    <row r="218" spans="1:18" ht="14.25">
      <c r="A218" s="15">
        <v>46053</v>
      </c>
      <c r="B218" s="3">
        <f>Data_Entry!T308</f>
        <v>6809.99999999992</v>
      </c>
      <c r="C218" s="3">
        <v>0</v>
      </c>
      <c r="D218" s="4">
        <f>Data_Entry!V308</f>
        <v>2.86</v>
      </c>
      <c r="E218" s="5">
        <f t="shared" si="27"/>
        <v>0.11768975528826101</v>
      </c>
      <c r="F218" s="6">
        <v>0</v>
      </c>
      <c r="G218" s="6">
        <v>0</v>
      </c>
      <c r="H218" s="7">
        <f t="shared" si="28"/>
        <v>0</v>
      </c>
      <c r="I218" s="7">
        <f t="shared" si="29"/>
        <v>0</v>
      </c>
      <c r="J218" s="8">
        <v>2411</v>
      </c>
      <c r="K218" s="9"/>
      <c r="L218" s="8">
        <f t="shared" si="30"/>
        <v>28932</v>
      </c>
      <c r="M218" s="7">
        <f t="shared" si="31"/>
        <v>0</v>
      </c>
      <c r="N218" s="10">
        <f t="shared" si="32"/>
        <v>1</v>
      </c>
      <c r="O218" s="11">
        <f t="shared" si="33"/>
        <v>0.11768975528826101</v>
      </c>
      <c r="P218" s="11"/>
      <c r="Q218" s="8">
        <f t="shared" si="34"/>
        <v>6809.99999999992</v>
      </c>
      <c r="R218" s="12">
        <f t="shared" si="35"/>
        <v>0</v>
      </c>
    </row>
    <row r="219" spans="1:18" ht="14.25">
      <c r="A219" s="15">
        <v>46054</v>
      </c>
      <c r="B219" s="3">
        <f>Data_Entry!T309</f>
        <v>10049.9999999997</v>
      </c>
      <c r="C219" s="3">
        <v>0</v>
      </c>
      <c r="D219" s="4">
        <f>Data_Entry!V309</f>
        <v>3.54</v>
      </c>
      <c r="E219" s="5">
        <f t="shared" si="27"/>
        <v>0.173683119037738</v>
      </c>
      <c r="F219" s="6">
        <v>0</v>
      </c>
      <c r="G219" s="6">
        <v>0</v>
      </c>
      <c r="H219" s="7">
        <f t="shared" si="28"/>
        <v>0</v>
      </c>
      <c r="I219" s="7">
        <f t="shared" si="29"/>
        <v>0</v>
      </c>
      <c r="J219" s="8">
        <v>2411</v>
      </c>
      <c r="K219" s="9"/>
      <c r="L219" s="8">
        <f t="shared" si="30"/>
        <v>28932</v>
      </c>
      <c r="M219" s="7">
        <f t="shared" si="31"/>
        <v>0</v>
      </c>
      <c r="N219" s="10">
        <f t="shared" si="32"/>
        <v>1</v>
      </c>
      <c r="O219" s="11">
        <f t="shared" si="33"/>
        <v>0.173683119037738</v>
      </c>
      <c r="P219" s="11"/>
      <c r="Q219" s="8">
        <f t="shared" si="34"/>
        <v>10049.9999999997</v>
      </c>
      <c r="R219" s="12">
        <f t="shared" si="35"/>
        <v>0</v>
      </c>
    </row>
    <row r="220" spans="1:18" ht="14.25">
      <c r="A220" s="15">
        <v>46055</v>
      </c>
      <c r="B220" s="3">
        <f>Data_Entry!T310</f>
        <v>9600.0000000001091</v>
      </c>
      <c r="C220" s="3">
        <v>0</v>
      </c>
      <c r="D220" s="4">
        <f>Data_Entry!V310</f>
        <v>3.5</v>
      </c>
      <c r="E220" s="5">
        <f t="shared" si="27"/>
        <v>0.16590626296142899</v>
      </c>
      <c r="F220" s="6">
        <v>0</v>
      </c>
      <c r="G220" s="6">
        <v>0</v>
      </c>
      <c r="H220" s="7">
        <f t="shared" si="28"/>
        <v>0</v>
      </c>
      <c r="I220" s="7">
        <f t="shared" si="29"/>
        <v>0</v>
      </c>
      <c r="J220" s="8">
        <v>2411</v>
      </c>
      <c r="K220" s="9"/>
      <c r="L220" s="8">
        <f t="shared" si="30"/>
        <v>28932</v>
      </c>
      <c r="M220" s="7">
        <f t="shared" si="31"/>
        <v>0</v>
      </c>
      <c r="N220" s="10">
        <f t="shared" si="32"/>
        <v>1</v>
      </c>
      <c r="O220" s="11">
        <f t="shared" si="33"/>
        <v>0.16590626296142899</v>
      </c>
      <c r="P220" s="11"/>
      <c r="Q220" s="8">
        <f t="shared" si="34"/>
        <v>9600.0000000001091</v>
      </c>
      <c r="R220" s="12">
        <f t="shared" si="35"/>
        <v>0</v>
      </c>
    </row>
    <row r="221" spans="1:18" ht="14.25">
      <c r="A221" s="15">
        <v>46056</v>
      </c>
      <c r="B221" s="3">
        <f>Data_Entry!T311</f>
        <v>10380.0000000001</v>
      </c>
      <c r="C221" s="3">
        <v>0</v>
      </c>
      <c r="D221" s="4">
        <f>Data_Entry!V311</f>
        <v>3.67</v>
      </c>
      <c r="E221" s="5">
        <f t="shared" si="27"/>
        <v>0.17938614682704401</v>
      </c>
      <c r="F221" s="6">
        <v>0</v>
      </c>
      <c r="G221" s="6">
        <v>0</v>
      </c>
      <c r="H221" s="7">
        <f t="shared" si="28"/>
        <v>0</v>
      </c>
      <c r="I221" s="7">
        <f t="shared" si="29"/>
        <v>0</v>
      </c>
      <c r="J221" s="8">
        <v>2411</v>
      </c>
      <c r="K221" s="9"/>
      <c r="L221" s="8">
        <f t="shared" si="30"/>
        <v>28932</v>
      </c>
      <c r="M221" s="7">
        <f t="shared" si="31"/>
        <v>0</v>
      </c>
      <c r="N221" s="10">
        <f t="shared" si="32"/>
        <v>1</v>
      </c>
      <c r="O221" s="11">
        <f t="shared" si="33"/>
        <v>0.17938614682704401</v>
      </c>
      <c r="P221" s="11"/>
      <c r="Q221" s="8">
        <f t="shared" si="34"/>
        <v>10380.0000000001</v>
      </c>
      <c r="R221" s="12">
        <f t="shared" si="35"/>
        <v>0</v>
      </c>
    </row>
    <row r="222" spans="1:18" ht="14.25">
      <c r="A222" s="15">
        <v>46057</v>
      </c>
      <c r="B222" s="3">
        <f>Data_Entry!T312</f>
        <v>10559.9999999999</v>
      </c>
      <c r="C222" s="3">
        <v>0</v>
      </c>
      <c r="D222" s="4">
        <f>Data_Entry!V312</f>
        <v>3.74</v>
      </c>
      <c r="E222" s="5">
        <f t="shared" si="27"/>
        <v>0.18249688925756799</v>
      </c>
      <c r="F222" s="6">
        <v>0</v>
      </c>
      <c r="G222" s="6">
        <v>0</v>
      </c>
      <c r="H222" s="7">
        <f t="shared" si="28"/>
        <v>0</v>
      </c>
      <c r="I222" s="7">
        <f t="shared" si="29"/>
        <v>0</v>
      </c>
      <c r="J222" s="8">
        <v>2411</v>
      </c>
      <c r="K222" s="9"/>
      <c r="L222" s="8">
        <f t="shared" si="30"/>
        <v>28932</v>
      </c>
      <c r="M222" s="7">
        <f t="shared" si="31"/>
        <v>0</v>
      </c>
      <c r="N222" s="10">
        <f t="shared" si="32"/>
        <v>1</v>
      </c>
      <c r="O222" s="11">
        <f t="shared" si="33"/>
        <v>0.18249688925756799</v>
      </c>
      <c r="P222" s="11"/>
      <c r="Q222" s="8">
        <f t="shared" si="34"/>
        <v>10559.9999999999</v>
      </c>
      <c r="R222" s="12">
        <f t="shared" si="35"/>
        <v>0</v>
      </c>
    </row>
    <row r="223" spans="1:18" ht="14.25">
      <c r="A223" s="15">
        <v>46058</v>
      </c>
      <c r="B223" s="3">
        <f>Data_Entry!T313</f>
        <v>11429.9999999998</v>
      </c>
      <c r="C223" s="3">
        <v>0</v>
      </c>
      <c r="D223" s="4">
        <f>Data_Entry!V313</f>
        <v>4.0199999999999996</v>
      </c>
      <c r="E223" s="5">
        <f t="shared" si="27"/>
        <v>0.19753214433844499</v>
      </c>
      <c r="F223" s="6">
        <v>0</v>
      </c>
      <c r="G223" s="6">
        <v>0</v>
      </c>
      <c r="H223" s="7">
        <f t="shared" si="28"/>
        <v>0</v>
      </c>
      <c r="I223" s="7">
        <f t="shared" si="29"/>
        <v>0</v>
      </c>
      <c r="J223" s="8">
        <v>2411</v>
      </c>
      <c r="K223" s="9"/>
      <c r="L223" s="8">
        <f t="shared" si="30"/>
        <v>28932</v>
      </c>
      <c r="M223" s="7">
        <f t="shared" si="31"/>
        <v>0</v>
      </c>
      <c r="N223" s="10">
        <f t="shared" si="32"/>
        <v>1</v>
      </c>
      <c r="O223" s="11">
        <f t="shared" si="33"/>
        <v>0.19753214433844499</v>
      </c>
      <c r="P223" s="11"/>
      <c r="Q223" s="8">
        <f t="shared" si="34"/>
        <v>11429.9999999998</v>
      </c>
      <c r="R223" s="12">
        <f t="shared" si="35"/>
        <v>0</v>
      </c>
    </row>
    <row r="224" spans="1:18" ht="14.25">
      <c r="A224" s="15">
        <v>46059</v>
      </c>
      <c r="B224" s="3">
        <f>Data_Entry!T314</f>
        <v>12180.0000000005</v>
      </c>
      <c r="C224" s="3">
        <v>0</v>
      </c>
      <c r="D224" s="4">
        <f>Data_Entry!V314</f>
        <v>4.2</v>
      </c>
      <c r="E224" s="5">
        <f t="shared" si="27"/>
        <v>0.21049357113231901</v>
      </c>
      <c r="F224" s="6">
        <v>0</v>
      </c>
      <c r="G224" s="6">
        <v>0</v>
      </c>
      <c r="H224" s="7">
        <f t="shared" si="28"/>
        <v>0</v>
      </c>
      <c r="I224" s="7">
        <f t="shared" si="29"/>
        <v>0</v>
      </c>
      <c r="J224" s="8">
        <v>2411</v>
      </c>
      <c r="K224" s="9"/>
      <c r="L224" s="8">
        <f t="shared" si="30"/>
        <v>28932</v>
      </c>
      <c r="M224" s="7">
        <f t="shared" si="31"/>
        <v>0</v>
      </c>
      <c r="N224" s="10">
        <f t="shared" si="32"/>
        <v>1</v>
      </c>
      <c r="O224" s="11">
        <f t="shared" si="33"/>
        <v>0.21049357113231901</v>
      </c>
      <c r="P224" s="11"/>
      <c r="Q224" s="8">
        <f t="shared" si="34"/>
        <v>12180.0000000005</v>
      </c>
      <c r="R224" s="12">
        <f t="shared" si="35"/>
        <v>0</v>
      </c>
    </row>
    <row r="225" spans="1:18" ht="14.25">
      <c r="A225" s="15">
        <v>46060</v>
      </c>
      <c r="B225" s="3">
        <f>Data_Entry!T315</f>
        <v>12179.9999999998</v>
      </c>
      <c r="C225" s="3">
        <v>0</v>
      </c>
      <c r="D225" s="4">
        <f>Data_Entry!V315</f>
        <v>4.08</v>
      </c>
      <c r="E225" s="5">
        <f t="shared" si="27"/>
        <v>0.21049357113230699</v>
      </c>
      <c r="F225" s="6">
        <v>0</v>
      </c>
      <c r="G225" s="6">
        <v>0</v>
      </c>
      <c r="H225" s="7">
        <f t="shared" si="28"/>
        <v>0</v>
      </c>
      <c r="I225" s="7">
        <f t="shared" si="29"/>
        <v>0</v>
      </c>
      <c r="J225" s="8">
        <v>2411</v>
      </c>
      <c r="K225" s="9"/>
      <c r="L225" s="8">
        <f t="shared" si="30"/>
        <v>28932</v>
      </c>
      <c r="M225" s="7">
        <f t="shared" si="31"/>
        <v>0</v>
      </c>
      <c r="N225" s="10">
        <f t="shared" si="32"/>
        <v>1</v>
      </c>
      <c r="O225" s="11">
        <f t="shared" si="33"/>
        <v>0.21049357113230699</v>
      </c>
      <c r="P225" s="11"/>
      <c r="Q225" s="8">
        <f t="shared" si="34"/>
        <v>12179.9999999998</v>
      </c>
      <c r="R225" s="12">
        <f t="shared" si="35"/>
        <v>0</v>
      </c>
    </row>
    <row r="226" spans="1:18" ht="14.25">
      <c r="A226" s="15">
        <v>46061</v>
      </c>
      <c r="B226" s="3">
        <f>Data_Entry!T316</f>
        <v>11700.0000000002</v>
      </c>
      <c r="C226" s="3">
        <v>0</v>
      </c>
      <c r="D226" s="4">
        <f>Data_Entry!V316</f>
        <v>4.05</v>
      </c>
      <c r="E226" s="5">
        <f t="shared" si="27"/>
        <v>0.20219825798424301</v>
      </c>
      <c r="F226" s="6">
        <v>0</v>
      </c>
      <c r="G226" s="6">
        <v>0</v>
      </c>
      <c r="H226" s="7">
        <f t="shared" si="28"/>
        <v>0</v>
      </c>
      <c r="I226" s="7">
        <f t="shared" si="29"/>
        <v>0</v>
      </c>
      <c r="J226" s="8">
        <v>2411</v>
      </c>
      <c r="K226" s="9"/>
      <c r="L226" s="8">
        <f t="shared" si="30"/>
        <v>28932</v>
      </c>
      <c r="M226" s="7">
        <f t="shared" si="31"/>
        <v>0</v>
      </c>
      <c r="N226" s="10">
        <f t="shared" si="32"/>
        <v>1</v>
      </c>
      <c r="O226" s="11">
        <f t="shared" si="33"/>
        <v>0.20219825798424301</v>
      </c>
      <c r="P226" s="11"/>
      <c r="Q226" s="8">
        <f t="shared" si="34"/>
        <v>11700.0000000002</v>
      </c>
      <c r="R226" s="12">
        <f t="shared" si="35"/>
        <v>0</v>
      </c>
    </row>
    <row r="227" spans="1:18" ht="14.25">
      <c r="A227" s="15">
        <v>46062</v>
      </c>
      <c r="B227" s="3">
        <f>Data_Entry!T317</f>
        <v>12720</v>
      </c>
      <c r="C227" s="3">
        <v>0</v>
      </c>
      <c r="D227" s="4">
        <f>Data_Entry!V317</f>
        <v>4.26</v>
      </c>
      <c r="E227" s="5">
        <f t="shared" si="27"/>
        <v>0.21982579842389</v>
      </c>
      <c r="F227" s="6">
        <v>0</v>
      </c>
      <c r="G227" s="6">
        <v>0</v>
      </c>
      <c r="H227" s="7">
        <f t="shared" si="28"/>
        <v>0</v>
      </c>
      <c r="I227" s="7">
        <f t="shared" si="29"/>
        <v>0</v>
      </c>
      <c r="J227" s="8">
        <v>2411</v>
      </c>
      <c r="K227" s="9"/>
      <c r="L227" s="8">
        <f t="shared" si="30"/>
        <v>28932</v>
      </c>
      <c r="M227" s="7">
        <f t="shared" si="31"/>
        <v>0</v>
      </c>
      <c r="N227" s="10">
        <f t="shared" si="32"/>
        <v>1</v>
      </c>
      <c r="O227" s="11">
        <f t="shared" si="33"/>
        <v>0.21982579842389</v>
      </c>
      <c r="P227" s="11"/>
      <c r="Q227" s="8">
        <f t="shared" si="34"/>
        <v>12720</v>
      </c>
      <c r="R227" s="12">
        <f t="shared" si="35"/>
        <v>0</v>
      </c>
    </row>
    <row r="228" spans="1:18" ht="14.25">
      <c r="A228" s="15">
        <v>46063</v>
      </c>
      <c r="B228" s="3">
        <f>Data_Entry!T318</f>
        <v>13709.9999999998</v>
      </c>
      <c r="C228" s="3">
        <v>0</v>
      </c>
      <c r="D228" s="4">
        <f>Data_Entry!V318</f>
        <v>4.45</v>
      </c>
      <c r="E228" s="5">
        <f t="shared" si="27"/>
        <v>0.23693488179178401</v>
      </c>
      <c r="F228" s="6">
        <v>0</v>
      </c>
      <c r="G228" s="6">
        <v>0</v>
      </c>
      <c r="H228" s="7">
        <f t="shared" si="28"/>
        <v>0</v>
      </c>
      <c r="I228" s="7">
        <f t="shared" si="29"/>
        <v>0</v>
      </c>
      <c r="J228" s="8">
        <v>2411</v>
      </c>
      <c r="K228" s="9"/>
      <c r="L228" s="8">
        <f t="shared" si="30"/>
        <v>28932</v>
      </c>
      <c r="M228" s="7">
        <f t="shared" si="31"/>
        <v>0</v>
      </c>
      <c r="N228" s="10">
        <f t="shared" si="32"/>
        <v>1</v>
      </c>
      <c r="O228" s="11">
        <f t="shared" si="33"/>
        <v>0.23693488179178401</v>
      </c>
      <c r="P228" s="11"/>
      <c r="Q228" s="8">
        <f t="shared" si="34"/>
        <v>13709.9999999998</v>
      </c>
      <c r="R228" s="12">
        <f t="shared" si="35"/>
        <v>0</v>
      </c>
    </row>
    <row r="229" spans="1:18" ht="14.25">
      <c r="A229" s="15">
        <v>46064</v>
      </c>
      <c r="B229" s="3">
        <f>Data_Entry!T319</f>
        <v>13440</v>
      </c>
      <c r="C229" s="3">
        <v>0</v>
      </c>
      <c r="D229" s="4">
        <f>Data_Entry!V319</f>
        <v>4.3899999999999997</v>
      </c>
      <c r="E229" s="5">
        <f t="shared" si="27"/>
        <v>0.23226876814599801</v>
      </c>
      <c r="F229" s="6">
        <v>0</v>
      </c>
      <c r="G229" s="6">
        <v>0</v>
      </c>
      <c r="H229" s="7">
        <f t="shared" si="28"/>
        <v>0</v>
      </c>
      <c r="I229" s="7">
        <f t="shared" si="29"/>
        <v>0</v>
      </c>
      <c r="J229" s="8">
        <v>2411</v>
      </c>
      <c r="K229" s="9"/>
      <c r="L229" s="8">
        <f t="shared" si="30"/>
        <v>28932</v>
      </c>
      <c r="M229" s="7">
        <f t="shared" si="31"/>
        <v>0</v>
      </c>
      <c r="N229" s="10">
        <f t="shared" si="32"/>
        <v>1</v>
      </c>
      <c r="O229" s="11">
        <f t="shared" si="33"/>
        <v>0.23226876814599801</v>
      </c>
      <c r="P229" s="11"/>
      <c r="Q229" s="8">
        <f t="shared" si="34"/>
        <v>13440</v>
      </c>
      <c r="R229" s="12">
        <f t="shared" si="35"/>
        <v>0</v>
      </c>
    </row>
    <row r="230" spans="1:18" ht="14.25">
      <c r="A230" s="15">
        <v>46065</v>
      </c>
      <c r="B230" s="3">
        <f>Data_Entry!T320</f>
        <v>13440</v>
      </c>
      <c r="C230" s="3">
        <v>0</v>
      </c>
      <c r="D230" s="4">
        <f>Data_Entry!V320</f>
        <v>4.45</v>
      </c>
      <c r="E230" s="5">
        <f t="shared" si="27"/>
        <v>0.23226876814599801</v>
      </c>
      <c r="F230" s="6">
        <v>0</v>
      </c>
      <c r="G230" s="6">
        <v>0</v>
      </c>
      <c r="H230" s="7">
        <f t="shared" si="28"/>
        <v>0</v>
      </c>
      <c r="I230" s="7">
        <f t="shared" si="29"/>
        <v>0</v>
      </c>
      <c r="J230" s="8">
        <v>2411</v>
      </c>
      <c r="K230" s="9"/>
      <c r="L230" s="8">
        <f t="shared" si="30"/>
        <v>28932</v>
      </c>
      <c r="M230" s="7">
        <f t="shared" si="31"/>
        <v>0</v>
      </c>
      <c r="N230" s="10">
        <f t="shared" si="32"/>
        <v>1</v>
      </c>
      <c r="O230" s="11">
        <f t="shared" si="33"/>
        <v>0.23226876814599801</v>
      </c>
      <c r="P230" s="11"/>
      <c r="Q230" s="8">
        <f t="shared" si="34"/>
        <v>13440</v>
      </c>
      <c r="R230" s="12">
        <f t="shared" si="35"/>
        <v>0</v>
      </c>
    </row>
    <row r="231" spans="1:18" ht="14.25">
      <c r="A231" s="15">
        <v>46066</v>
      </c>
      <c r="B231" s="3">
        <f>Data_Entry!T321</f>
        <v>11970</v>
      </c>
      <c r="C231" s="3">
        <v>0</v>
      </c>
      <c r="D231" s="4">
        <f>Data_Entry!V321</f>
        <v>4.09</v>
      </c>
      <c r="E231" s="5">
        <f t="shared" si="27"/>
        <v>0.20686437163002899</v>
      </c>
      <c r="F231" s="6">
        <v>0</v>
      </c>
      <c r="G231" s="6">
        <v>0</v>
      </c>
      <c r="H231" s="7">
        <f t="shared" si="28"/>
        <v>0</v>
      </c>
      <c r="I231" s="7">
        <f t="shared" si="29"/>
        <v>0</v>
      </c>
      <c r="J231" s="8">
        <v>2411</v>
      </c>
      <c r="K231" s="9"/>
      <c r="L231" s="8">
        <f t="shared" si="30"/>
        <v>28932</v>
      </c>
      <c r="M231" s="7">
        <f t="shared" si="31"/>
        <v>0</v>
      </c>
      <c r="N231" s="10">
        <f t="shared" si="32"/>
        <v>1</v>
      </c>
      <c r="O231" s="11">
        <f t="shared" si="33"/>
        <v>0.20686437163002899</v>
      </c>
      <c r="P231" s="11"/>
      <c r="Q231" s="8">
        <f t="shared" si="34"/>
        <v>11970</v>
      </c>
      <c r="R231" s="12">
        <f t="shared" si="35"/>
        <v>0</v>
      </c>
    </row>
    <row r="232" spans="1:18" ht="14.25">
      <c r="A232" s="15">
        <v>46067</v>
      </c>
      <c r="B232" s="3">
        <f>Data_Entry!T322</f>
        <v>11940</v>
      </c>
      <c r="C232" s="3">
        <v>0</v>
      </c>
      <c r="D232" s="4">
        <f>Data_Entry!V322</f>
        <v>0</v>
      </c>
      <c r="E232" s="5">
        <f t="shared" si="27"/>
        <v>0.206345914558275</v>
      </c>
      <c r="F232" s="6">
        <v>0</v>
      </c>
      <c r="G232" s="6">
        <v>0</v>
      </c>
      <c r="H232" s="7">
        <f t="shared" si="28"/>
        <v>0</v>
      </c>
      <c r="I232" s="7">
        <f t="shared" si="29"/>
        <v>0</v>
      </c>
      <c r="J232" s="8">
        <v>2411</v>
      </c>
      <c r="K232" s="9"/>
      <c r="L232" s="8">
        <f t="shared" si="30"/>
        <v>28932</v>
      </c>
      <c r="M232" s="7">
        <f t="shared" si="31"/>
        <v>0</v>
      </c>
      <c r="N232" s="10">
        <f t="shared" si="32"/>
        <v>1</v>
      </c>
      <c r="O232" s="11">
        <f t="shared" si="33"/>
        <v>0.206345914558275</v>
      </c>
      <c r="P232" s="11"/>
      <c r="Q232" s="8">
        <f t="shared" si="34"/>
        <v>11940</v>
      </c>
      <c r="R232" s="12">
        <f t="shared" si="35"/>
        <v>0</v>
      </c>
    </row>
    <row r="233" spans="1:18" ht="14.25">
      <c r="A233" s="15">
        <v>46068</v>
      </c>
      <c r="B233" s="3">
        <f>Data_Entry!T323</f>
        <v>12839.9999999999</v>
      </c>
      <c r="C233" s="3">
        <v>0</v>
      </c>
      <c r="D233" s="4">
        <f>Data_Entry!V323</f>
        <v>4.37</v>
      </c>
      <c r="E233" s="5">
        <f t="shared" si="27"/>
        <v>0.22189962671090599</v>
      </c>
      <c r="F233" s="6">
        <v>0</v>
      </c>
      <c r="G233" s="6">
        <v>0</v>
      </c>
      <c r="H233" s="7">
        <f t="shared" si="28"/>
        <v>0</v>
      </c>
      <c r="I233" s="7">
        <f t="shared" si="29"/>
        <v>0</v>
      </c>
      <c r="J233" s="8">
        <v>2411</v>
      </c>
      <c r="K233" s="9"/>
      <c r="L233" s="8">
        <f t="shared" si="30"/>
        <v>28932</v>
      </c>
      <c r="M233" s="7">
        <f t="shared" si="31"/>
        <v>0</v>
      </c>
      <c r="N233" s="10">
        <f t="shared" si="32"/>
        <v>1</v>
      </c>
      <c r="O233" s="11">
        <f t="shared" si="33"/>
        <v>0.22189962671090599</v>
      </c>
      <c r="P233" s="11"/>
      <c r="Q233" s="8">
        <f t="shared" si="34"/>
        <v>12839.9999999999</v>
      </c>
      <c r="R233" s="12">
        <f t="shared" si="35"/>
        <v>0</v>
      </c>
    </row>
    <row r="234" spans="1:18" ht="14.25">
      <c r="A234" s="15">
        <v>46069</v>
      </c>
      <c r="B234" s="3">
        <f>Data_Entry!T324</f>
        <v>13290.0000000001</v>
      </c>
      <c r="C234" s="3">
        <v>0</v>
      </c>
      <c r="D234" s="4">
        <f>Data_Entry!V324</f>
        <v>0</v>
      </c>
      <c r="E234" s="5">
        <f t="shared" si="27"/>
        <v>0.22967648278722799</v>
      </c>
      <c r="F234" s="6">
        <v>0</v>
      </c>
      <c r="G234" s="6">
        <v>0</v>
      </c>
      <c r="H234" s="7">
        <f t="shared" si="28"/>
        <v>0</v>
      </c>
      <c r="I234" s="7">
        <f t="shared" si="29"/>
        <v>0</v>
      </c>
      <c r="J234" s="8">
        <v>2411</v>
      </c>
      <c r="K234" s="9"/>
      <c r="L234" s="8">
        <f t="shared" si="30"/>
        <v>28932</v>
      </c>
      <c r="M234" s="7">
        <f t="shared" si="31"/>
        <v>0</v>
      </c>
      <c r="N234" s="10">
        <f t="shared" si="32"/>
        <v>1</v>
      </c>
      <c r="O234" s="11">
        <f t="shared" si="33"/>
        <v>0.22967648278722799</v>
      </c>
      <c r="P234" s="11"/>
      <c r="Q234" s="8">
        <f t="shared" si="34"/>
        <v>13290.0000000001</v>
      </c>
      <c r="R234" s="12">
        <f t="shared" si="35"/>
        <v>0</v>
      </c>
    </row>
    <row r="235" spans="1:18" ht="14.25">
      <c r="A235" s="15">
        <v>46070</v>
      </c>
      <c r="B235" s="3">
        <f>Data_Entry!T325</f>
        <v>13620.0000000001</v>
      </c>
      <c r="C235" s="3">
        <v>0</v>
      </c>
      <c r="D235" s="4">
        <f>Data_Entry!V325</f>
        <v>4.72</v>
      </c>
      <c r="E235" s="5">
        <f t="shared" si="27"/>
        <v>0.23537951057652501</v>
      </c>
      <c r="F235" s="6">
        <v>0</v>
      </c>
      <c r="G235" s="6">
        <v>0</v>
      </c>
      <c r="H235" s="7">
        <f t="shared" si="28"/>
        <v>0</v>
      </c>
      <c r="I235" s="7">
        <f t="shared" si="29"/>
        <v>0</v>
      </c>
      <c r="J235" s="8">
        <v>2411</v>
      </c>
      <c r="K235" s="9"/>
      <c r="L235" s="8">
        <f t="shared" si="30"/>
        <v>28932</v>
      </c>
      <c r="M235" s="7">
        <f t="shared" si="31"/>
        <v>0</v>
      </c>
      <c r="N235" s="10">
        <f t="shared" si="32"/>
        <v>1</v>
      </c>
      <c r="O235" s="11">
        <f t="shared" si="33"/>
        <v>0.23537951057652501</v>
      </c>
      <c r="P235" s="11"/>
      <c r="Q235" s="8">
        <f t="shared" si="34"/>
        <v>13620.0000000001</v>
      </c>
      <c r="R235" s="12">
        <f t="shared" si="35"/>
        <v>0</v>
      </c>
    </row>
    <row r="236" spans="1:18" ht="14.25">
      <c r="A236" s="15">
        <v>46071</v>
      </c>
      <c r="B236" s="3">
        <f>Data_Entry!T326</f>
        <v>14039.9999999995</v>
      </c>
      <c r="C236" s="3">
        <v>0</v>
      </c>
      <c r="D236" s="4">
        <f>Data_Entry!V326</f>
        <v>4.62</v>
      </c>
      <c r="E236" s="5">
        <f t="shared" si="27"/>
        <v>0.242637909581078</v>
      </c>
      <c r="F236" s="6">
        <v>0</v>
      </c>
      <c r="G236" s="6">
        <v>0</v>
      </c>
      <c r="H236" s="7">
        <f t="shared" si="28"/>
        <v>0</v>
      </c>
      <c r="I236" s="7">
        <f t="shared" si="29"/>
        <v>0</v>
      </c>
      <c r="J236" s="8">
        <v>2411</v>
      </c>
      <c r="K236" s="9"/>
      <c r="L236" s="8">
        <f t="shared" si="30"/>
        <v>28932</v>
      </c>
      <c r="M236" s="7">
        <f t="shared" si="31"/>
        <v>0</v>
      </c>
      <c r="N236" s="10">
        <f t="shared" si="32"/>
        <v>1</v>
      </c>
      <c r="O236" s="11">
        <f t="shared" si="33"/>
        <v>0.242637909581078</v>
      </c>
      <c r="P236" s="11"/>
      <c r="Q236" s="8">
        <f t="shared" si="34"/>
        <v>14039.9999999995</v>
      </c>
      <c r="R236" s="12">
        <f t="shared" si="35"/>
        <v>0</v>
      </c>
    </row>
    <row r="237" spans="1:18" ht="14.25">
      <c r="A237" s="15">
        <v>46072</v>
      </c>
      <c r="B237" s="3">
        <f>Data_Entry!T327</f>
        <v>13290.0000000002</v>
      </c>
      <c r="C237" s="3">
        <v>0</v>
      </c>
      <c r="D237" s="4">
        <f>Data_Entry!V327</f>
        <v>4.4000000000000004</v>
      </c>
      <c r="E237" s="5">
        <f t="shared" si="27"/>
        <v>0.22967648278722799</v>
      </c>
      <c r="F237" s="6">
        <v>0</v>
      </c>
      <c r="G237" s="6">
        <v>0</v>
      </c>
      <c r="H237" s="7">
        <f t="shared" si="28"/>
        <v>0</v>
      </c>
      <c r="I237" s="7">
        <f t="shared" si="29"/>
        <v>0</v>
      </c>
      <c r="J237" s="8">
        <v>2411</v>
      </c>
      <c r="K237" s="9"/>
      <c r="L237" s="8">
        <f t="shared" si="30"/>
        <v>28932</v>
      </c>
      <c r="M237" s="7">
        <f t="shared" si="31"/>
        <v>0</v>
      </c>
      <c r="N237" s="10">
        <f t="shared" si="32"/>
        <v>1</v>
      </c>
      <c r="O237" s="11">
        <f t="shared" si="33"/>
        <v>0.22967648278722799</v>
      </c>
      <c r="P237" s="11"/>
      <c r="Q237" s="8">
        <f t="shared" si="34"/>
        <v>13290.0000000002</v>
      </c>
      <c r="R237" s="12">
        <f t="shared" si="35"/>
        <v>0</v>
      </c>
    </row>
    <row r="238" spans="1:18" ht="14.25">
      <c r="A238" s="15">
        <v>46073</v>
      </c>
      <c r="B238" s="3">
        <f>Data_Entry!T328</f>
        <v>12779.9999999999</v>
      </c>
      <c r="C238" s="3">
        <v>0</v>
      </c>
      <c r="D238" s="4">
        <f>Data_Entry!V328</f>
        <v>0</v>
      </c>
      <c r="E238" s="5">
        <f t="shared" si="27"/>
        <v>0.22086271256739801</v>
      </c>
      <c r="F238" s="6">
        <v>0</v>
      </c>
      <c r="G238" s="6">
        <v>0</v>
      </c>
      <c r="H238" s="7">
        <f t="shared" si="28"/>
        <v>0</v>
      </c>
      <c r="I238" s="7">
        <f t="shared" si="29"/>
        <v>0</v>
      </c>
      <c r="J238" s="8">
        <v>2411</v>
      </c>
      <c r="K238" s="9"/>
      <c r="L238" s="8">
        <f t="shared" si="30"/>
        <v>28932</v>
      </c>
      <c r="M238" s="7">
        <f t="shared" si="31"/>
        <v>0</v>
      </c>
      <c r="N238" s="10">
        <f t="shared" si="32"/>
        <v>1</v>
      </c>
      <c r="O238" s="11">
        <f t="shared" si="33"/>
        <v>0.22086271256739801</v>
      </c>
      <c r="P238" s="11"/>
      <c r="Q238" s="8">
        <f t="shared" si="34"/>
        <v>12779.9999999999</v>
      </c>
      <c r="R238" s="12">
        <f t="shared" si="35"/>
        <v>0</v>
      </c>
    </row>
    <row r="239" spans="1:18" ht="14.25">
      <c r="A239" s="15">
        <v>46074</v>
      </c>
      <c r="B239" s="3">
        <f>Data_Entry!T329</f>
        <v>13050.0000000004</v>
      </c>
      <c r="C239" s="3">
        <v>0</v>
      </c>
      <c r="D239" s="4">
        <f>Data_Entry!V329</f>
        <v>4.5</v>
      </c>
      <c r="E239" s="5">
        <f t="shared" si="27"/>
        <v>0.225528826213196</v>
      </c>
      <c r="F239" s="6">
        <v>0</v>
      </c>
      <c r="G239" s="6">
        <v>0</v>
      </c>
      <c r="H239" s="7">
        <f t="shared" si="28"/>
        <v>0</v>
      </c>
      <c r="I239" s="7">
        <f t="shared" si="29"/>
        <v>0</v>
      </c>
      <c r="J239" s="8">
        <v>2411</v>
      </c>
      <c r="K239" s="9"/>
      <c r="L239" s="8">
        <f t="shared" si="30"/>
        <v>28932</v>
      </c>
      <c r="M239" s="7">
        <f t="shared" si="31"/>
        <v>0</v>
      </c>
      <c r="N239" s="10">
        <f t="shared" si="32"/>
        <v>1</v>
      </c>
      <c r="O239" s="11">
        <f t="shared" si="33"/>
        <v>0.225528826213196</v>
      </c>
      <c r="P239" s="11"/>
      <c r="Q239" s="8">
        <f t="shared" si="34"/>
        <v>13050.0000000004</v>
      </c>
      <c r="R239" s="12">
        <f t="shared" si="35"/>
        <v>0</v>
      </c>
    </row>
    <row r="240" spans="1:18" ht="14.25">
      <c r="A240" s="15">
        <v>46075</v>
      </c>
      <c r="B240" s="3">
        <f>Data_Entry!T330</f>
        <v>11130.0000000001</v>
      </c>
      <c r="C240" s="3">
        <v>0</v>
      </c>
      <c r="D240" s="4">
        <f>Data_Entry!V330</f>
        <v>4.1500000000000004</v>
      </c>
      <c r="E240" s="5">
        <f t="shared" si="27"/>
        <v>0.19234757362090599</v>
      </c>
      <c r="F240" s="6">
        <v>0</v>
      </c>
      <c r="G240" s="6">
        <v>0</v>
      </c>
      <c r="H240" s="7">
        <f t="shared" si="28"/>
        <v>0</v>
      </c>
      <c r="I240" s="7">
        <f t="shared" si="29"/>
        <v>0</v>
      </c>
      <c r="J240" s="8">
        <v>2411</v>
      </c>
      <c r="K240" s="9"/>
      <c r="L240" s="8">
        <f t="shared" si="30"/>
        <v>28932</v>
      </c>
      <c r="M240" s="7">
        <f t="shared" si="31"/>
        <v>0</v>
      </c>
      <c r="N240" s="10">
        <f t="shared" si="32"/>
        <v>1</v>
      </c>
      <c r="O240" s="11">
        <f t="shared" si="33"/>
        <v>0.19234757362090599</v>
      </c>
      <c r="P240" s="11"/>
      <c r="Q240" s="8">
        <f t="shared" si="34"/>
        <v>11130.0000000001</v>
      </c>
      <c r="R240" s="12">
        <f t="shared" si="35"/>
        <v>0</v>
      </c>
    </row>
    <row r="241" spans="1:18" ht="14.25">
      <c r="A241" s="15">
        <v>46076</v>
      </c>
      <c r="B241" s="3">
        <f>Data_Entry!T331</f>
        <v>11880.0000000001</v>
      </c>
      <c r="C241" s="3">
        <v>0</v>
      </c>
      <c r="D241" s="4">
        <f>Data_Entry!V331</f>
        <v>4.18</v>
      </c>
      <c r="E241" s="5">
        <f t="shared" si="27"/>
        <v>0.20530900041476699</v>
      </c>
      <c r="F241" s="6">
        <v>0</v>
      </c>
      <c r="G241" s="6">
        <v>0</v>
      </c>
      <c r="H241" s="7">
        <f t="shared" si="28"/>
        <v>0</v>
      </c>
      <c r="I241" s="7">
        <f t="shared" si="29"/>
        <v>0</v>
      </c>
      <c r="J241" s="8">
        <v>2411</v>
      </c>
      <c r="K241" s="9"/>
      <c r="L241" s="8">
        <f t="shared" si="30"/>
        <v>28932</v>
      </c>
      <c r="M241" s="7">
        <f t="shared" si="31"/>
        <v>0</v>
      </c>
      <c r="N241" s="10">
        <f t="shared" si="32"/>
        <v>1</v>
      </c>
      <c r="O241" s="11">
        <f t="shared" si="33"/>
        <v>0.20530900041476699</v>
      </c>
      <c r="P241" s="11"/>
      <c r="Q241" s="8">
        <f t="shared" si="34"/>
        <v>11880.0000000001</v>
      </c>
      <c r="R241" s="12">
        <f t="shared" si="35"/>
        <v>0</v>
      </c>
    </row>
    <row r="242" spans="1:18" ht="14.25">
      <c r="A242" s="15">
        <v>46077</v>
      </c>
      <c r="B242" s="3">
        <f>Data_Entry!T332</f>
        <v>13222.9999999996</v>
      </c>
      <c r="C242" s="3">
        <v>0</v>
      </c>
      <c r="D242" s="4">
        <f>Data_Entry!V332</f>
        <v>4.53</v>
      </c>
      <c r="E242" s="5">
        <f t="shared" si="27"/>
        <v>0.228518595326966</v>
      </c>
      <c r="F242" s="6">
        <v>0</v>
      </c>
      <c r="G242" s="6">
        <v>0</v>
      </c>
      <c r="H242" s="7">
        <f t="shared" si="28"/>
        <v>0</v>
      </c>
      <c r="I242" s="7">
        <f t="shared" si="29"/>
        <v>0</v>
      </c>
      <c r="J242" s="8">
        <v>2411</v>
      </c>
      <c r="K242" s="9"/>
      <c r="L242" s="8">
        <f t="shared" si="30"/>
        <v>28932</v>
      </c>
      <c r="M242" s="7">
        <f t="shared" si="31"/>
        <v>0</v>
      </c>
      <c r="N242" s="10">
        <f t="shared" si="32"/>
        <v>1</v>
      </c>
      <c r="O242" s="11">
        <f t="shared" si="33"/>
        <v>0.228518595326966</v>
      </c>
      <c r="P242" s="11"/>
      <c r="Q242" s="8">
        <f t="shared" si="34"/>
        <v>13222.9999999996</v>
      </c>
      <c r="R242" s="12">
        <f t="shared" si="35"/>
        <v>0</v>
      </c>
    </row>
    <row r="243" spans="1:18" ht="14.25">
      <c r="A243" s="15">
        <v>46078</v>
      </c>
      <c r="B243" s="3">
        <f>Data_Entry!T333</f>
        <v>13980.0000000002</v>
      </c>
      <c r="C243" s="3">
        <v>0</v>
      </c>
      <c r="D243" s="4">
        <f>Data_Entry!V333</f>
        <v>4.76</v>
      </c>
      <c r="E243" s="5">
        <f t="shared" si="27"/>
        <v>0.24160099543758201</v>
      </c>
      <c r="F243" s="6">
        <v>0</v>
      </c>
      <c r="G243" s="6">
        <v>0</v>
      </c>
      <c r="H243" s="7">
        <f t="shared" si="28"/>
        <v>0</v>
      </c>
      <c r="I243" s="7">
        <f t="shared" si="29"/>
        <v>0</v>
      </c>
      <c r="J243" s="8">
        <v>2411</v>
      </c>
      <c r="K243" s="9"/>
      <c r="L243" s="8">
        <f t="shared" si="30"/>
        <v>28932</v>
      </c>
      <c r="M243" s="7">
        <f t="shared" si="31"/>
        <v>0</v>
      </c>
      <c r="N243" s="10">
        <f t="shared" si="32"/>
        <v>1</v>
      </c>
      <c r="O243" s="11">
        <f t="shared" si="33"/>
        <v>0.24160099543758201</v>
      </c>
      <c r="P243" s="11"/>
      <c r="Q243" s="8">
        <f t="shared" si="34"/>
        <v>13980.0000000002</v>
      </c>
      <c r="R243" s="12">
        <f t="shared" si="35"/>
        <v>0</v>
      </c>
    </row>
    <row r="244" spans="1:18" ht="14.25">
      <c r="A244" s="15">
        <v>46079</v>
      </c>
      <c r="B244" s="3">
        <f>Data_Entry!T334</f>
        <v>11910.0000000001</v>
      </c>
      <c r="C244" s="3">
        <v>0</v>
      </c>
      <c r="D244" s="4">
        <f>Data_Entry!V334</f>
        <v>4.1500000000000004</v>
      </c>
      <c r="E244" s="5">
        <f t="shared" si="27"/>
        <v>0.20582745748652101</v>
      </c>
      <c r="F244" s="6">
        <v>0</v>
      </c>
      <c r="G244" s="6">
        <v>0</v>
      </c>
      <c r="H244" s="7">
        <f t="shared" si="28"/>
        <v>0</v>
      </c>
      <c r="I244" s="7">
        <f t="shared" si="29"/>
        <v>0</v>
      </c>
      <c r="J244" s="8">
        <v>2411</v>
      </c>
      <c r="K244" s="9"/>
      <c r="L244" s="8">
        <f t="shared" si="30"/>
        <v>28932</v>
      </c>
      <c r="M244" s="7">
        <f t="shared" si="31"/>
        <v>0</v>
      </c>
      <c r="N244" s="10">
        <f t="shared" si="32"/>
        <v>1</v>
      </c>
      <c r="O244" s="11">
        <f t="shared" si="33"/>
        <v>0.20582745748652101</v>
      </c>
      <c r="P244" s="11"/>
      <c r="Q244" s="8">
        <f t="shared" si="34"/>
        <v>11910.0000000001</v>
      </c>
      <c r="R244" s="12">
        <f t="shared" si="35"/>
        <v>0</v>
      </c>
    </row>
    <row r="245" spans="1:18" ht="14.25">
      <c r="A245" s="15">
        <v>46080</v>
      </c>
      <c r="B245" s="3">
        <f>Data_Entry!T335</f>
        <v>12269.9999999997</v>
      </c>
      <c r="C245" s="3">
        <v>0</v>
      </c>
      <c r="D245" s="4">
        <f>Data_Entry!V335</f>
        <v>4.5999999999999996</v>
      </c>
      <c r="E245" s="5">
        <f t="shared" si="27"/>
        <v>0.21204894234756799</v>
      </c>
      <c r="F245" s="6">
        <v>0</v>
      </c>
      <c r="G245" s="6">
        <v>0</v>
      </c>
      <c r="H245" s="7">
        <f t="shared" si="28"/>
        <v>0</v>
      </c>
      <c r="I245" s="7">
        <f t="shared" si="29"/>
        <v>0</v>
      </c>
      <c r="J245" s="8">
        <v>2411</v>
      </c>
      <c r="K245" s="9"/>
      <c r="L245" s="8">
        <f t="shared" si="30"/>
        <v>28932</v>
      </c>
      <c r="M245" s="7">
        <f t="shared" si="31"/>
        <v>0</v>
      </c>
      <c r="N245" s="10">
        <f t="shared" si="32"/>
        <v>1</v>
      </c>
      <c r="O245" s="11">
        <f t="shared" si="33"/>
        <v>0.21204894234756799</v>
      </c>
      <c r="P245" s="11"/>
      <c r="Q245" s="8">
        <f t="shared" si="34"/>
        <v>12269.9999999997</v>
      </c>
      <c r="R245" s="12">
        <f t="shared" si="35"/>
        <v>0</v>
      </c>
    </row>
    <row r="246" spans="1:18" ht="14.25">
      <c r="A246" s="15">
        <v>46081</v>
      </c>
      <c r="B246" s="3">
        <f>Data_Entry!T336</f>
        <v>13050.0000000004</v>
      </c>
      <c r="C246" s="3">
        <v>0</v>
      </c>
      <c r="D246" s="4">
        <f>Data_Entry!V336</f>
        <v>4.6500000000000004</v>
      </c>
      <c r="E246" s="5">
        <f t="shared" si="27"/>
        <v>0.225528826213196</v>
      </c>
      <c r="F246" s="6">
        <v>0</v>
      </c>
      <c r="G246" s="6">
        <v>0</v>
      </c>
      <c r="H246" s="7">
        <f t="shared" si="28"/>
        <v>0</v>
      </c>
      <c r="I246" s="7">
        <f t="shared" si="29"/>
        <v>0</v>
      </c>
      <c r="J246" s="8">
        <v>2411</v>
      </c>
      <c r="K246" s="9"/>
      <c r="L246" s="8">
        <f t="shared" si="30"/>
        <v>28932</v>
      </c>
      <c r="M246" s="7">
        <f t="shared" si="31"/>
        <v>0</v>
      </c>
      <c r="N246" s="10">
        <f t="shared" si="32"/>
        <v>1</v>
      </c>
      <c r="O246" s="11">
        <f t="shared" si="33"/>
        <v>0.225528826213196</v>
      </c>
      <c r="P246" s="11"/>
      <c r="Q246" s="8">
        <f t="shared" si="34"/>
        <v>13050.0000000004</v>
      </c>
      <c r="R246" s="12">
        <f t="shared" si="35"/>
        <v>0</v>
      </c>
    </row>
    <row r="247" spans="1:18" ht="14.25">
      <c r="A247" s="15">
        <v>46082</v>
      </c>
      <c r="B247" s="3">
        <f>Data_Entry!T337</f>
        <v>13859.9999999996</v>
      </c>
      <c r="C247" s="3">
        <v>0</v>
      </c>
      <c r="D247" s="4">
        <f>Data_Entry!V337</f>
        <v>4.87</v>
      </c>
      <c r="E247" s="5">
        <f t="shared" si="27"/>
        <v>0.239527167150554</v>
      </c>
      <c r="F247" s="6">
        <v>0</v>
      </c>
      <c r="G247" s="6">
        <v>0</v>
      </c>
      <c r="H247" s="7">
        <f t="shared" si="28"/>
        <v>0</v>
      </c>
      <c r="I247" s="7">
        <f t="shared" si="29"/>
        <v>0</v>
      </c>
      <c r="J247" s="8">
        <v>2411</v>
      </c>
      <c r="K247" s="9"/>
      <c r="L247" s="8">
        <f t="shared" si="30"/>
        <v>28932</v>
      </c>
      <c r="M247" s="7">
        <f t="shared" si="31"/>
        <v>0</v>
      </c>
      <c r="N247" s="10">
        <f t="shared" si="32"/>
        <v>1</v>
      </c>
      <c r="O247" s="11">
        <f t="shared" si="33"/>
        <v>0.239527167150554</v>
      </c>
      <c r="P247" s="11"/>
      <c r="Q247" s="8">
        <f t="shared" si="34"/>
        <v>13859.9999999996</v>
      </c>
      <c r="R247" s="12">
        <f t="shared" si="35"/>
        <v>0</v>
      </c>
    </row>
    <row r="248" spans="1:18" ht="14.25">
      <c r="A248" s="15">
        <v>46083</v>
      </c>
      <c r="B248" s="3">
        <f>Data_Entry!T338</f>
        <v>13679.9999999998</v>
      </c>
      <c r="C248" s="3">
        <v>0</v>
      </c>
      <c r="D248" s="4">
        <f>Data_Entry!V338</f>
        <v>4.8499999999999996</v>
      </c>
      <c r="E248" s="5">
        <f t="shared" si="27"/>
        <v>0.23641642472002899</v>
      </c>
      <c r="F248" s="6">
        <v>0</v>
      </c>
      <c r="G248" s="6">
        <v>0</v>
      </c>
      <c r="H248" s="7">
        <f t="shared" si="28"/>
        <v>0</v>
      </c>
      <c r="I248" s="7">
        <f t="shared" si="29"/>
        <v>0</v>
      </c>
      <c r="J248" s="8">
        <v>2411</v>
      </c>
      <c r="K248" s="9"/>
      <c r="L248" s="8">
        <f t="shared" si="30"/>
        <v>28932</v>
      </c>
      <c r="M248" s="7">
        <f t="shared" si="31"/>
        <v>0</v>
      </c>
      <c r="N248" s="10">
        <f t="shared" si="32"/>
        <v>1</v>
      </c>
      <c r="O248" s="11">
        <f t="shared" si="33"/>
        <v>0.23641642472002899</v>
      </c>
      <c r="P248" s="11"/>
      <c r="Q248" s="8">
        <f t="shared" si="34"/>
        <v>13679.9999999998</v>
      </c>
      <c r="R248" s="12">
        <f t="shared" si="35"/>
        <v>0</v>
      </c>
    </row>
    <row r="249" spans="1:18" ht="14.25">
      <c r="A249" s="15">
        <v>46084</v>
      </c>
      <c r="B249" s="3">
        <f>Data_Entry!T339</f>
        <v>13020.0000000004</v>
      </c>
      <c r="C249" s="3">
        <v>0</v>
      </c>
      <c r="D249" s="4">
        <f>Data_Entry!V339</f>
        <v>4.8899999999999997</v>
      </c>
      <c r="E249" s="5">
        <f t="shared" si="27"/>
        <v>0.22501036914144201</v>
      </c>
      <c r="F249" s="6">
        <v>0</v>
      </c>
      <c r="G249" s="6">
        <v>0</v>
      </c>
      <c r="H249" s="7">
        <f t="shared" si="28"/>
        <v>0</v>
      </c>
      <c r="I249" s="7">
        <f t="shared" si="29"/>
        <v>0</v>
      </c>
      <c r="J249" s="8">
        <v>2411</v>
      </c>
      <c r="K249" s="9"/>
      <c r="L249" s="8">
        <f t="shared" si="30"/>
        <v>28932</v>
      </c>
      <c r="M249" s="7">
        <f t="shared" si="31"/>
        <v>0</v>
      </c>
      <c r="N249" s="10">
        <f t="shared" si="32"/>
        <v>1</v>
      </c>
      <c r="O249" s="11">
        <f t="shared" si="33"/>
        <v>0.22501036914144201</v>
      </c>
      <c r="P249" s="11"/>
      <c r="Q249" s="8">
        <f t="shared" si="34"/>
        <v>13020.0000000004</v>
      </c>
      <c r="R249" s="12">
        <f t="shared" si="35"/>
        <v>0</v>
      </c>
    </row>
    <row r="250" spans="1:18" ht="14.25">
      <c r="A250" s="15">
        <v>46085</v>
      </c>
      <c r="B250" s="3">
        <f>Data_Entry!T340</f>
        <v>12000</v>
      </c>
      <c r="C250" s="3">
        <v>0</v>
      </c>
      <c r="D250" s="4">
        <f>Data_Entry!V340</f>
        <v>4.68</v>
      </c>
      <c r="E250" s="5">
        <f t="shared" si="27"/>
        <v>0.20738282870178301</v>
      </c>
      <c r="F250" s="6">
        <v>0.5</v>
      </c>
      <c r="G250" s="6">
        <v>0.15277777777777801</v>
      </c>
      <c r="H250" s="7">
        <f t="shared" si="28"/>
        <v>-500</v>
      </c>
      <c r="I250" s="7">
        <f t="shared" si="29"/>
        <v>-8.3333333333333304</v>
      </c>
      <c r="J250" s="8">
        <v>2411</v>
      </c>
      <c r="K250" s="9">
        <v>167.86</v>
      </c>
      <c r="L250" s="8">
        <f t="shared" si="30"/>
        <v>28932</v>
      </c>
      <c r="M250" s="7">
        <f t="shared" si="31"/>
        <v>-1398.8333333333301</v>
      </c>
      <c r="N250" s="10">
        <f t="shared" si="32"/>
        <v>1.0483490022581701</v>
      </c>
      <c r="O250" s="11">
        <f t="shared" si="33"/>
        <v>0.197818501524851</v>
      </c>
      <c r="P250" s="11" t="s">
        <v>258</v>
      </c>
      <c r="Q250" s="8">
        <f t="shared" si="34"/>
        <v>11446.569772233999</v>
      </c>
      <c r="R250" s="12">
        <f t="shared" si="35"/>
        <v>-553.43022776602299</v>
      </c>
    </row>
    <row r="251" spans="1:18" ht="14.25">
      <c r="A251" s="15">
        <v>46086</v>
      </c>
      <c r="B251" s="3">
        <f>Data_Entry!T341</f>
        <v>13079.9999999997</v>
      </c>
      <c r="C251" s="3">
        <v>0</v>
      </c>
      <c r="D251" s="4">
        <f>Data_Entry!V341</f>
        <v>4.84</v>
      </c>
      <c r="E251" s="5">
        <f t="shared" si="27"/>
        <v>0.22604728328493801</v>
      </c>
      <c r="F251" s="6">
        <v>0.45833333333333298</v>
      </c>
      <c r="G251" s="6">
        <v>0.125</v>
      </c>
      <c r="H251" s="7">
        <f t="shared" si="28"/>
        <v>-479.99999999999898</v>
      </c>
      <c r="I251" s="7">
        <f t="shared" si="29"/>
        <v>-7.9999999999999902</v>
      </c>
      <c r="J251" s="8">
        <v>2411</v>
      </c>
      <c r="K251" s="9">
        <v>167.86</v>
      </c>
      <c r="L251" s="8">
        <f t="shared" si="30"/>
        <v>28932</v>
      </c>
      <c r="M251" s="7">
        <f t="shared" si="31"/>
        <v>-1342.88</v>
      </c>
      <c r="N251" s="10">
        <f t="shared" si="32"/>
        <v>1.04641504216784</v>
      </c>
      <c r="O251" s="11">
        <f t="shared" si="33"/>
        <v>0.21602067456583901</v>
      </c>
      <c r="P251" s="11" t="s">
        <v>258</v>
      </c>
      <c r="Q251" s="8">
        <f t="shared" si="34"/>
        <v>12499.8203130777</v>
      </c>
      <c r="R251" s="12">
        <f t="shared" si="35"/>
        <v>-580.179686921947</v>
      </c>
    </row>
    <row r="252" spans="1:18" ht="14.25">
      <c r="A252" s="15">
        <v>46087</v>
      </c>
      <c r="B252" s="3">
        <f>Data_Entry!T342</f>
        <v>11820.0000000001</v>
      </c>
      <c r="C252" s="3">
        <v>0</v>
      </c>
      <c r="D252" s="4">
        <f>Data_Entry!V342</f>
        <v>4.63</v>
      </c>
      <c r="E252" s="5">
        <f t="shared" si="27"/>
        <v>0.20427208627125901</v>
      </c>
      <c r="F252" s="6">
        <v>0</v>
      </c>
      <c r="G252" s="6">
        <v>0</v>
      </c>
      <c r="H252" s="7">
        <f t="shared" si="28"/>
        <v>0</v>
      </c>
      <c r="I252" s="7">
        <f t="shared" si="29"/>
        <v>0</v>
      </c>
      <c r="J252" s="8">
        <v>2411</v>
      </c>
      <c r="K252" s="9"/>
      <c r="L252" s="8">
        <f t="shared" si="30"/>
        <v>28932</v>
      </c>
      <c r="M252" s="7">
        <f t="shared" si="31"/>
        <v>0</v>
      </c>
      <c r="N252" s="10">
        <f t="shared" si="32"/>
        <v>1</v>
      </c>
      <c r="O252" s="11">
        <f t="shared" si="33"/>
        <v>0.20427208627125901</v>
      </c>
      <c r="P252" s="11"/>
      <c r="Q252" s="8">
        <f t="shared" si="34"/>
        <v>11820.0000000001</v>
      </c>
      <c r="R252" s="12">
        <f t="shared" si="35"/>
        <v>0</v>
      </c>
    </row>
    <row r="253" spans="1:18" ht="14.25">
      <c r="A253" s="15">
        <v>46088</v>
      </c>
      <c r="B253" s="3">
        <f>Data_Entry!T343</f>
        <v>13740.0000000004</v>
      </c>
      <c r="C253" s="3">
        <v>0</v>
      </c>
      <c r="D253" s="4">
        <f>Data_Entry!V343</f>
        <v>4.99</v>
      </c>
      <c r="E253" s="5">
        <f t="shared" si="27"/>
        <v>0.237453338863549</v>
      </c>
      <c r="F253" s="6">
        <v>0</v>
      </c>
      <c r="G253" s="6">
        <v>0</v>
      </c>
      <c r="H253" s="7">
        <f t="shared" si="28"/>
        <v>0</v>
      </c>
      <c r="I253" s="7">
        <f t="shared" si="29"/>
        <v>0</v>
      </c>
      <c r="J253" s="8">
        <v>2411</v>
      </c>
      <c r="K253" s="9"/>
      <c r="L253" s="8">
        <f t="shared" si="30"/>
        <v>28932</v>
      </c>
      <c r="M253" s="7">
        <f t="shared" si="31"/>
        <v>0</v>
      </c>
      <c r="N253" s="10">
        <f t="shared" si="32"/>
        <v>1</v>
      </c>
      <c r="O253" s="11">
        <f t="shared" si="33"/>
        <v>0.237453338863549</v>
      </c>
      <c r="P253" s="11"/>
      <c r="Q253" s="8">
        <f t="shared" si="34"/>
        <v>13740.0000000004</v>
      </c>
      <c r="R253" s="12">
        <f t="shared" si="35"/>
        <v>0</v>
      </c>
    </row>
    <row r="254" spans="1:18" ht="14.25">
      <c r="A254" s="15">
        <v>46089</v>
      </c>
      <c r="B254" s="3">
        <f>Data_Entry!T344</f>
        <v>13470</v>
      </c>
      <c r="C254" s="3">
        <v>0</v>
      </c>
      <c r="D254" s="4">
        <f>Data_Entry!V344</f>
        <v>4.8499999999999996</v>
      </c>
      <c r="E254" s="5">
        <f t="shared" si="27"/>
        <v>0.232787225217752</v>
      </c>
      <c r="F254" s="6">
        <v>0</v>
      </c>
      <c r="G254" s="6">
        <v>0</v>
      </c>
      <c r="H254" s="7">
        <f t="shared" si="28"/>
        <v>0</v>
      </c>
      <c r="I254" s="7">
        <f t="shared" si="29"/>
        <v>0</v>
      </c>
      <c r="J254" s="8">
        <v>2411</v>
      </c>
      <c r="K254" s="9"/>
      <c r="L254" s="8">
        <f t="shared" si="30"/>
        <v>28932</v>
      </c>
      <c r="M254" s="7">
        <f t="shared" si="31"/>
        <v>0</v>
      </c>
      <c r="N254" s="10">
        <f t="shared" si="32"/>
        <v>1</v>
      </c>
      <c r="O254" s="11">
        <f t="shared" si="33"/>
        <v>0.232787225217752</v>
      </c>
      <c r="P254" s="11"/>
      <c r="Q254" s="8">
        <f t="shared" si="34"/>
        <v>13470</v>
      </c>
      <c r="R254" s="12">
        <f t="shared" si="35"/>
        <v>0</v>
      </c>
    </row>
    <row r="255" spans="1:18" ht="14.25">
      <c r="A255" s="15">
        <v>46090</v>
      </c>
      <c r="B255" s="3">
        <f>Data_Entry!T345</f>
        <v>13349.9999999994</v>
      </c>
      <c r="C255" s="3">
        <v>0</v>
      </c>
      <c r="D255" s="4">
        <f>Data_Entry!V345</f>
        <v>4.91</v>
      </c>
      <c r="E255" s="5">
        <f t="shared" si="27"/>
        <v>0.23071339693072401</v>
      </c>
      <c r="F255" s="6">
        <v>0</v>
      </c>
      <c r="G255" s="6">
        <v>0</v>
      </c>
      <c r="H255" s="7">
        <f t="shared" si="28"/>
        <v>0</v>
      </c>
      <c r="I255" s="7">
        <f t="shared" si="29"/>
        <v>0</v>
      </c>
      <c r="J255" s="8">
        <v>2411</v>
      </c>
      <c r="K255" s="9"/>
      <c r="L255" s="8">
        <f t="shared" si="30"/>
        <v>28932</v>
      </c>
      <c r="M255" s="7">
        <f t="shared" si="31"/>
        <v>0</v>
      </c>
      <c r="N255" s="10">
        <f t="shared" si="32"/>
        <v>1</v>
      </c>
      <c r="O255" s="11">
        <f t="shared" si="33"/>
        <v>0.23071339693072401</v>
      </c>
      <c r="P255" s="11"/>
      <c r="Q255" s="8">
        <f t="shared" si="34"/>
        <v>13349.9999999994</v>
      </c>
      <c r="R255" s="12">
        <f t="shared" si="35"/>
        <v>0</v>
      </c>
    </row>
    <row r="256" spans="1:18" ht="14.25">
      <c r="A256" s="15">
        <v>46091</v>
      </c>
      <c r="B256" s="3">
        <f>Data_Entry!T346</f>
        <v>13260.0000000002</v>
      </c>
      <c r="C256" s="3">
        <v>0</v>
      </c>
      <c r="D256" s="4">
        <f>Data_Entry!V346</f>
        <v>4.92</v>
      </c>
      <c r="E256" s="5">
        <f t="shared" si="27"/>
        <v>0.229158025715474</v>
      </c>
      <c r="F256" s="6">
        <v>0</v>
      </c>
      <c r="G256" s="6">
        <v>0</v>
      </c>
      <c r="H256" s="7">
        <f t="shared" si="28"/>
        <v>0</v>
      </c>
      <c r="I256" s="7">
        <f t="shared" si="29"/>
        <v>0</v>
      </c>
      <c r="J256" s="8">
        <v>2411</v>
      </c>
      <c r="K256" s="9"/>
      <c r="L256" s="8">
        <f t="shared" si="30"/>
        <v>28932</v>
      </c>
      <c r="M256" s="7">
        <f t="shared" si="31"/>
        <v>0</v>
      </c>
      <c r="N256" s="10">
        <f t="shared" si="32"/>
        <v>1</v>
      </c>
      <c r="O256" s="11">
        <f t="shared" si="33"/>
        <v>0.229158025715474</v>
      </c>
      <c r="P256" s="11"/>
      <c r="Q256" s="8">
        <f t="shared" si="34"/>
        <v>13260.0000000002</v>
      </c>
      <c r="R256" s="12">
        <f t="shared" si="35"/>
        <v>0</v>
      </c>
    </row>
    <row r="257" spans="1:18" ht="14.25">
      <c r="A257" s="15">
        <v>46092</v>
      </c>
      <c r="B257" s="3">
        <f>Data_Entry!T347</f>
        <v>13170.0000000002</v>
      </c>
      <c r="C257" s="3">
        <v>0</v>
      </c>
      <c r="D257" s="4">
        <f>Data_Entry!V347</f>
        <v>4.8899999999999997</v>
      </c>
      <c r="E257" s="5">
        <f t="shared" si="27"/>
        <v>0.227602654500212</v>
      </c>
      <c r="F257" s="6">
        <v>0</v>
      </c>
      <c r="G257" s="6">
        <v>0</v>
      </c>
      <c r="H257" s="7">
        <f t="shared" si="28"/>
        <v>0</v>
      </c>
      <c r="I257" s="7">
        <f t="shared" si="29"/>
        <v>0</v>
      </c>
      <c r="J257" s="8">
        <v>2411</v>
      </c>
      <c r="K257" s="9"/>
      <c r="L257" s="8">
        <f t="shared" si="30"/>
        <v>28932</v>
      </c>
      <c r="M257" s="7">
        <f t="shared" si="31"/>
        <v>0</v>
      </c>
      <c r="N257" s="10">
        <f t="shared" si="32"/>
        <v>1</v>
      </c>
      <c r="O257" s="11">
        <f t="shared" si="33"/>
        <v>0.227602654500212</v>
      </c>
      <c r="P257" s="11"/>
      <c r="Q257" s="8">
        <f t="shared" si="34"/>
        <v>13170.0000000002</v>
      </c>
      <c r="R257" s="12">
        <f t="shared" si="35"/>
        <v>0</v>
      </c>
    </row>
    <row r="258" spans="1:18" ht="14.25">
      <c r="A258" s="15">
        <v>46093</v>
      </c>
      <c r="B258" s="3">
        <f>Data_Entry!T348</f>
        <v>13049.9999999997</v>
      </c>
      <c r="C258" s="3">
        <v>0</v>
      </c>
      <c r="D258" s="4">
        <f>Data_Entry!V348</f>
        <v>4.91</v>
      </c>
      <c r="E258" s="5">
        <f t="shared" si="27"/>
        <v>0.22552882621318401</v>
      </c>
      <c r="F258" s="6">
        <v>0</v>
      </c>
      <c r="G258" s="6">
        <v>0</v>
      </c>
      <c r="H258" s="7">
        <f t="shared" si="28"/>
        <v>0</v>
      </c>
      <c r="I258" s="7">
        <f t="shared" si="29"/>
        <v>0</v>
      </c>
      <c r="J258" s="8">
        <v>2411</v>
      </c>
      <c r="K258" s="9"/>
      <c r="L258" s="8">
        <f t="shared" si="30"/>
        <v>28932</v>
      </c>
      <c r="M258" s="7">
        <f t="shared" si="31"/>
        <v>0</v>
      </c>
      <c r="N258" s="10">
        <f t="shared" si="32"/>
        <v>1</v>
      </c>
      <c r="O258" s="11">
        <f t="shared" si="33"/>
        <v>0.22552882621318401</v>
      </c>
      <c r="P258" s="11"/>
      <c r="Q258" s="8">
        <f t="shared" si="34"/>
        <v>13049.9999999997</v>
      </c>
      <c r="R258" s="12">
        <f t="shared" si="35"/>
        <v>0</v>
      </c>
    </row>
    <row r="259" spans="1:18" ht="14.25">
      <c r="A259" s="15">
        <v>46094</v>
      </c>
      <c r="B259" s="3">
        <f>Data_Entry!T349</f>
        <v>13260.0000000002</v>
      </c>
      <c r="C259" s="3">
        <v>0</v>
      </c>
      <c r="D259" s="4">
        <f>Data_Entry!V349</f>
        <v>4.93</v>
      </c>
      <c r="E259" s="5">
        <f t="shared" si="27"/>
        <v>0.229158025715474</v>
      </c>
      <c r="F259" s="6">
        <v>0</v>
      </c>
      <c r="G259" s="6">
        <v>0</v>
      </c>
      <c r="H259" s="7">
        <f t="shared" si="28"/>
        <v>0</v>
      </c>
      <c r="I259" s="7">
        <f t="shared" si="29"/>
        <v>0</v>
      </c>
      <c r="J259" s="8">
        <v>2411</v>
      </c>
      <c r="K259" s="9"/>
      <c r="L259" s="8">
        <f t="shared" si="30"/>
        <v>28932</v>
      </c>
      <c r="M259" s="7">
        <f t="shared" si="31"/>
        <v>0</v>
      </c>
      <c r="N259" s="10">
        <f t="shared" si="32"/>
        <v>1</v>
      </c>
      <c r="O259" s="11">
        <f t="shared" si="33"/>
        <v>0.229158025715474</v>
      </c>
      <c r="P259" s="11"/>
      <c r="Q259" s="8">
        <f t="shared" si="34"/>
        <v>13260.0000000002</v>
      </c>
      <c r="R259" s="12">
        <f t="shared" si="35"/>
        <v>0</v>
      </c>
    </row>
    <row r="260" spans="1:18" ht="14.25">
      <c r="A260" s="15">
        <v>46095</v>
      </c>
      <c r="B260" s="3">
        <f>Data_Entry!T350</f>
        <v>13559.9999999999</v>
      </c>
      <c r="C260" s="3">
        <v>0</v>
      </c>
      <c r="D260" s="4">
        <f>Data_Entry!V350</f>
        <v>5.3</v>
      </c>
      <c r="E260" s="5">
        <f t="shared" ref="E260:E285" si="36">B260/(24*J260)</f>
        <v>0.234342596433014</v>
      </c>
      <c r="F260" s="6">
        <v>7.6388888888888895E-2</v>
      </c>
      <c r="G260" s="6">
        <v>9.0277777777777804E-2</v>
      </c>
      <c r="H260" s="7">
        <f t="shared" ref="H260:H285" si="37">(G260-F260)*24*60</f>
        <v>20</v>
      </c>
      <c r="I260" s="7">
        <f t="shared" ref="I260:I285" si="38">H260/60</f>
        <v>0.33333333333333398</v>
      </c>
      <c r="J260" s="8">
        <v>2411</v>
      </c>
      <c r="K260" s="9">
        <v>167.86</v>
      </c>
      <c r="L260" s="8">
        <f t="shared" ref="L260:L285" si="39">J260*12</f>
        <v>28932</v>
      </c>
      <c r="M260" s="7">
        <f t="shared" ref="M260:M285" si="40">K260*I260</f>
        <v>55.953333333333397</v>
      </c>
      <c r="N260" s="10">
        <f t="shared" ref="N260:N285" si="41">(L260-M260)/L260</f>
        <v>0.99806603990967302</v>
      </c>
      <c r="O260" s="11">
        <f t="shared" ref="O260:O285" si="42">E260/N260</f>
        <v>0.234796683848919</v>
      </c>
      <c r="P260" s="11" t="s">
        <v>258</v>
      </c>
      <c r="Q260" s="8">
        <f t="shared" ref="Q260:Q285" si="43">O260*J260*24</f>
        <v>13586.275314233801</v>
      </c>
      <c r="R260" s="12">
        <f t="shared" ref="R260:R285" si="44">Q260-B260</f>
        <v>26.2753142339207</v>
      </c>
    </row>
    <row r="261" spans="1:18" ht="14.25">
      <c r="A261" s="15">
        <v>46096</v>
      </c>
      <c r="B261" s="3">
        <f>Data_Entry!T351</f>
        <v>13500</v>
      </c>
      <c r="C261" s="3">
        <v>0</v>
      </c>
      <c r="D261" s="4">
        <f>Data_Entry!V351</f>
        <v>5.05</v>
      </c>
      <c r="E261" s="5">
        <f t="shared" si="36"/>
        <v>0.23330568228950599</v>
      </c>
      <c r="F261" s="6">
        <v>0</v>
      </c>
      <c r="G261" s="6">
        <v>0</v>
      </c>
      <c r="H261" s="7">
        <f t="shared" si="37"/>
        <v>0</v>
      </c>
      <c r="I261" s="7">
        <f t="shared" si="38"/>
        <v>0</v>
      </c>
      <c r="J261" s="8">
        <v>2411</v>
      </c>
      <c r="K261" s="9"/>
      <c r="L261" s="8">
        <f t="shared" si="39"/>
        <v>28932</v>
      </c>
      <c r="M261" s="7">
        <f t="shared" si="40"/>
        <v>0</v>
      </c>
      <c r="N261" s="10">
        <f t="shared" si="41"/>
        <v>1</v>
      </c>
      <c r="O261" s="11">
        <f t="shared" si="42"/>
        <v>0.23330568228950599</v>
      </c>
      <c r="P261" s="11"/>
      <c r="Q261" s="8">
        <f t="shared" si="43"/>
        <v>13500</v>
      </c>
      <c r="R261" s="12">
        <f t="shared" si="44"/>
        <v>0</v>
      </c>
    </row>
    <row r="262" spans="1:18" ht="14.25">
      <c r="A262" s="15">
        <v>46097</v>
      </c>
      <c r="B262" s="3">
        <f>Data_Entry!T352</f>
        <v>13410</v>
      </c>
      <c r="C262" s="3">
        <v>0</v>
      </c>
      <c r="D262" s="4">
        <f>Data_Entry!V352</f>
        <v>5.31</v>
      </c>
      <c r="E262" s="5">
        <f t="shared" si="36"/>
        <v>0.23175031107424399</v>
      </c>
      <c r="F262" s="6">
        <v>0.55208333333333304</v>
      </c>
      <c r="G262" s="6">
        <v>0.60138888888888897</v>
      </c>
      <c r="H262" s="7">
        <f t="shared" si="37"/>
        <v>71.000000000000497</v>
      </c>
      <c r="I262" s="7">
        <f t="shared" si="38"/>
        <v>1.18333333333334</v>
      </c>
      <c r="J262" s="8">
        <v>2411</v>
      </c>
      <c r="K262" s="9">
        <v>167.86</v>
      </c>
      <c r="L262" s="8">
        <f t="shared" si="39"/>
        <v>28932</v>
      </c>
      <c r="M262" s="7">
        <f t="shared" si="40"/>
        <v>198.63433333333501</v>
      </c>
      <c r="N262" s="10">
        <f t="shared" si="41"/>
        <v>0.99313444167933995</v>
      </c>
      <c r="O262" s="11">
        <f t="shared" si="42"/>
        <v>0.23335240562432399</v>
      </c>
      <c r="P262" s="11" t="s">
        <v>258</v>
      </c>
      <c r="Q262" s="8">
        <f t="shared" si="43"/>
        <v>13502.703599045901</v>
      </c>
      <c r="R262" s="12">
        <f t="shared" si="44"/>
        <v>92.703599045835304</v>
      </c>
    </row>
    <row r="263" spans="1:18" ht="14.25">
      <c r="A263" s="15">
        <v>46098</v>
      </c>
      <c r="B263" s="3">
        <f>Data_Entry!T353</f>
        <v>13529.9999999999</v>
      </c>
      <c r="C263" s="3">
        <v>0</v>
      </c>
      <c r="D263" s="4">
        <f>Data_Entry!V353</f>
        <v>5.27</v>
      </c>
      <c r="E263" s="5">
        <f t="shared" si="36"/>
        <v>0.23382413936126001</v>
      </c>
      <c r="F263" s="6">
        <v>0.53125</v>
      </c>
      <c r="G263" s="6">
        <v>0.54583333333333295</v>
      </c>
      <c r="H263" s="7">
        <f t="shared" si="37"/>
        <v>20.9999999999994</v>
      </c>
      <c r="I263" s="7">
        <f t="shared" si="38"/>
        <v>0.34999999999999098</v>
      </c>
      <c r="J263" s="8">
        <v>2411</v>
      </c>
      <c r="K263" s="9">
        <v>167.86</v>
      </c>
      <c r="L263" s="8">
        <f t="shared" si="39"/>
        <v>28932</v>
      </c>
      <c r="M263" s="7">
        <f t="shared" si="40"/>
        <v>58.750999999998498</v>
      </c>
      <c r="N263" s="10">
        <f t="shared" si="41"/>
        <v>0.99796934190515696</v>
      </c>
      <c r="O263" s="11">
        <f t="shared" si="42"/>
        <v>0.23429992239529299</v>
      </c>
      <c r="P263" s="11" t="s">
        <v>258</v>
      </c>
      <c r="Q263" s="8">
        <f t="shared" si="43"/>
        <v>13557.5307094812</v>
      </c>
      <c r="R263" s="12">
        <f t="shared" si="44"/>
        <v>27.5307094812906</v>
      </c>
    </row>
    <row r="264" spans="1:18" ht="14.25">
      <c r="A264" s="15">
        <v>46099</v>
      </c>
      <c r="B264" s="3">
        <f>Data_Entry!T354</f>
        <v>12990.0000000004</v>
      </c>
      <c r="C264" s="3">
        <v>0</v>
      </c>
      <c r="D264" s="4">
        <f>Data_Entry!V354</f>
        <v>3</v>
      </c>
      <c r="E264" s="5">
        <f t="shared" si="36"/>
        <v>0.22449191206968799</v>
      </c>
      <c r="F264" s="6">
        <v>0</v>
      </c>
      <c r="G264" s="6">
        <v>0</v>
      </c>
      <c r="H264" s="7">
        <f t="shared" si="37"/>
        <v>0</v>
      </c>
      <c r="I264" s="7">
        <f t="shared" si="38"/>
        <v>0</v>
      </c>
      <c r="J264" s="8">
        <v>2411</v>
      </c>
      <c r="K264" s="9"/>
      <c r="L264" s="8">
        <f t="shared" si="39"/>
        <v>28932</v>
      </c>
      <c r="M264" s="7">
        <f t="shared" si="40"/>
        <v>0</v>
      </c>
      <c r="N264" s="10">
        <f t="shared" si="41"/>
        <v>1</v>
      </c>
      <c r="O264" s="11">
        <f t="shared" si="42"/>
        <v>0.22449191206968799</v>
      </c>
      <c r="P264" s="11"/>
      <c r="Q264" s="8">
        <f t="shared" si="43"/>
        <v>12990.0000000004</v>
      </c>
      <c r="R264" s="12">
        <f t="shared" si="44"/>
        <v>0</v>
      </c>
    </row>
    <row r="265" spans="1:18" ht="14.25">
      <c r="A265" s="15">
        <v>46100</v>
      </c>
      <c r="B265" s="3">
        <f>Data_Entry!T355</f>
        <v>8970</v>
      </c>
      <c r="C265" s="3">
        <v>0</v>
      </c>
      <c r="D265" s="4">
        <f>Data_Entry!V355</f>
        <v>3.16</v>
      </c>
      <c r="E265" s="5">
        <f t="shared" si="36"/>
        <v>0.15501866445458301</v>
      </c>
      <c r="F265" s="6">
        <v>0</v>
      </c>
      <c r="G265" s="6">
        <v>0</v>
      </c>
      <c r="H265" s="7">
        <f t="shared" si="37"/>
        <v>0</v>
      </c>
      <c r="I265" s="7">
        <f t="shared" si="38"/>
        <v>0</v>
      </c>
      <c r="J265" s="8">
        <v>2411</v>
      </c>
      <c r="K265" s="9"/>
      <c r="L265" s="8">
        <f t="shared" si="39"/>
        <v>28932</v>
      </c>
      <c r="M265" s="7">
        <f t="shared" si="40"/>
        <v>0</v>
      </c>
      <c r="N265" s="10">
        <f t="shared" si="41"/>
        <v>1</v>
      </c>
      <c r="O265" s="11">
        <f t="shared" si="42"/>
        <v>0.15501866445458301</v>
      </c>
      <c r="P265" s="11"/>
      <c r="Q265" s="8">
        <f t="shared" si="43"/>
        <v>8970</v>
      </c>
      <c r="R265" s="12">
        <f t="shared" si="44"/>
        <v>0</v>
      </c>
    </row>
    <row r="266" spans="1:18" ht="14.25">
      <c r="A266" s="15">
        <v>46101</v>
      </c>
      <c r="B266" s="3">
        <f>Data_Entry!T356</f>
        <v>8849.9999999994307</v>
      </c>
      <c r="C266" s="3">
        <v>0</v>
      </c>
      <c r="D266" s="4">
        <f>Data_Entry!V356</f>
        <v>3.62</v>
      </c>
      <c r="E266" s="5">
        <f t="shared" si="36"/>
        <v>0.152944836167555</v>
      </c>
      <c r="F266" s="6">
        <v>0.38333333333333303</v>
      </c>
      <c r="G266" s="6">
        <v>0.44097222222222199</v>
      </c>
      <c r="H266" s="7">
        <f t="shared" si="37"/>
        <v>83.000000000000099</v>
      </c>
      <c r="I266" s="7">
        <f t="shared" si="38"/>
        <v>1.38333333333334</v>
      </c>
      <c r="J266" s="8">
        <v>2411</v>
      </c>
      <c r="K266" s="9">
        <v>167.86</v>
      </c>
      <c r="L266" s="8">
        <f t="shared" si="39"/>
        <v>28932</v>
      </c>
      <c r="M266" s="7">
        <f t="shared" si="40"/>
        <v>232.20633333333399</v>
      </c>
      <c r="N266" s="10">
        <f t="shared" si="41"/>
        <v>0.99197406562514401</v>
      </c>
      <c r="O266" s="11">
        <f t="shared" si="42"/>
        <v>0.15418229313401399</v>
      </c>
      <c r="P266" s="11" t="s">
        <v>258</v>
      </c>
      <c r="Q266" s="8">
        <f t="shared" si="43"/>
        <v>8921.6042099065799</v>
      </c>
      <c r="R266" s="12">
        <f t="shared" si="44"/>
        <v>71.604209907149198</v>
      </c>
    </row>
    <row r="267" spans="1:18" ht="14.25">
      <c r="A267" s="15">
        <v>46102</v>
      </c>
      <c r="B267" s="3">
        <f>Data_Entry!T357</f>
        <v>12330.0000000004</v>
      </c>
      <c r="C267" s="3">
        <v>0</v>
      </c>
      <c r="D267" s="4">
        <f>Data_Entry!V357</f>
        <v>4.71</v>
      </c>
      <c r="E267" s="5">
        <f t="shared" si="36"/>
        <v>0.21308585649108899</v>
      </c>
      <c r="F267" s="6">
        <v>0.51527777777777795</v>
      </c>
      <c r="G267" s="6">
        <v>0.56597222222222199</v>
      </c>
      <c r="H267" s="7">
        <f t="shared" si="37"/>
        <v>72.999999999999403</v>
      </c>
      <c r="I267" s="7">
        <f t="shared" si="38"/>
        <v>1.2166666666666599</v>
      </c>
      <c r="J267" s="8">
        <v>2411</v>
      </c>
      <c r="K267" s="9">
        <v>167.86</v>
      </c>
      <c r="L267" s="8">
        <f t="shared" si="39"/>
        <v>28932</v>
      </c>
      <c r="M267" s="7">
        <f t="shared" si="40"/>
        <v>204.229666666665</v>
      </c>
      <c r="N267" s="10">
        <f t="shared" si="41"/>
        <v>0.99294104567030705</v>
      </c>
      <c r="O267" s="11">
        <f t="shared" si="42"/>
        <v>0.21460071312415099</v>
      </c>
      <c r="P267" s="11" t="s">
        <v>258</v>
      </c>
      <c r="Q267" s="8">
        <f t="shared" si="43"/>
        <v>12417.655664215899</v>
      </c>
      <c r="R267" s="12">
        <f t="shared" si="44"/>
        <v>87.655664215550104</v>
      </c>
    </row>
    <row r="268" spans="1:18" ht="14.25">
      <c r="A268" s="15">
        <v>46103</v>
      </c>
      <c r="B268" s="3">
        <f>Data_Entry!T358</f>
        <v>12149.9999999998</v>
      </c>
      <c r="C268" s="3">
        <v>0</v>
      </c>
      <c r="D268" s="4">
        <f>Data_Entry!V358</f>
        <v>4.8600000000000003</v>
      </c>
      <c r="E268" s="5">
        <f t="shared" si="36"/>
        <v>0.209975114060553</v>
      </c>
      <c r="F268" s="6">
        <v>0.51597222222222205</v>
      </c>
      <c r="G268" s="6">
        <v>0.57986111111111105</v>
      </c>
      <c r="H268" s="7">
        <f t="shared" si="37"/>
        <v>92.000000000000199</v>
      </c>
      <c r="I268" s="7">
        <f t="shared" si="38"/>
        <v>1.5333333333333401</v>
      </c>
      <c r="J268" s="8">
        <v>2411</v>
      </c>
      <c r="K268" s="9">
        <v>167.86</v>
      </c>
      <c r="L268" s="8">
        <f t="shared" si="39"/>
        <v>28932</v>
      </c>
      <c r="M268" s="7">
        <f t="shared" si="40"/>
        <v>257.38533333333402</v>
      </c>
      <c r="N268" s="10">
        <f t="shared" si="41"/>
        <v>0.99110378358449702</v>
      </c>
      <c r="O268" s="11">
        <f t="shared" si="42"/>
        <v>0.21185986527177</v>
      </c>
      <c r="P268" s="11" t="s">
        <v>258</v>
      </c>
      <c r="Q268" s="8">
        <f t="shared" si="43"/>
        <v>12259.0592440857</v>
      </c>
      <c r="R268" s="12">
        <f t="shared" si="44"/>
        <v>109.05924408586201</v>
      </c>
    </row>
    <row r="269" spans="1:18" ht="14.25">
      <c r="A269" s="15">
        <v>46104</v>
      </c>
      <c r="B269" s="3">
        <f>Data_Entry!T359</f>
        <v>13499.9999999999</v>
      </c>
      <c r="C269" s="3">
        <v>0</v>
      </c>
      <c r="D269" s="4">
        <f>Data_Entry!V359</f>
        <v>5.03</v>
      </c>
      <c r="E269" s="5">
        <f t="shared" si="36"/>
        <v>0.23330568228950599</v>
      </c>
      <c r="F269" s="6">
        <v>0</v>
      </c>
      <c r="G269" s="6">
        <v>0</v>
      </c>
      <c r="H269" s="7">
        <f t="shared" si="37"/>
        <v>0</v>
      </c>
      <c r="I269" s="7">
        <f t="shared" si="38"/>
        <v>0</v>
      </c>
      <c r="J269" s="8">
        <v>2411</v>
      </c>
      <c r="K269" s="9"/>
      <c r="L269" s="8">
        <f t="shared" si="39"/>
        <v>28932</v>
      </c>
      <c r="M269" s="7">
        <f t="shared" si="40"/>
        <v>0</v>
      </c>
      <c r="N269" s="10">
        <f t="shared" si="41"/>
        <v>1</v>
      </c>
      <c r="O269" s="11">
        <f t="shared" si="42"/>
        <v>0.23330568228950599</v>
      </c>
      <c r="P269" s="11"/>
      <c r="Q269" s="8">
        <f t="shared" si="43"/>
        <v>13499.9999999999</v>
      </c>
      <c r="R269" s="12">
        <f t="shared" si="44"/>
        <v>0</v>
      </c>
    </row>
    <row r="270" spans="1:18" ht="14.25">
      <c r="A270" s="15">
        <v>46105</v>
      </c>
      <c r="B270" s="3">
        <f>Data_Entry!T360</f>
        <v>11369.9999999999</v>
      </c>
      <c r="C270" s="3">
        <v>0</v>
      </c>
      <c r="D270" s="4">
        <f>Data_Entry!V360</f>
        <v>4.4400000000000004</v>
      </c>
      <c r="E270" s="5">
        <f t="shared" si="36"/>
        <v>0.196495230194937</v>
      </c>
      <c r="F270" s="6">
        <v>0</v>
      </c>
      <c r="G270" s="6">
        <v>0</v>
      </c>
      <c r="H270" s="7">
        <f t="shared" si="37"/>
        <v>0</v>
      </c>
      <c r="I270" s="7">
        <f t="shared" si="38"/>
        <v>0</v>
      </c>
      <c r="J270" s="8">
        <v>2411</v>
      </c>
      <c r="K270" s="9"/>
      <c r="L270" s="8">
        <f t="shared" si="39"/>
        <v>28932</v>
      </c>
      <c r="M270" s="7">
        <f t="shared" si="40"/>
        <v>0</v>
      </c>
      <c r="N270" s="10">
        <f t="shared" si="41"/>
        <v>1</v>
      </c>
      <c r="O270" s="11">
        <f t="shared" si="42"/>
        <v>0.196495230194937</v>
      </c>
      <c r="P270" s="11"/>
      <c r="Q270" s="8">
        <f t="shared" si="43"/>
        <v>11369.9999999999</v>
      </c>
      <c r="R270" s="12">
        <f t="shared" si="44"/>
        <v>0</v>
      </c>
    </row>
    <row r="271" spans="1:18" ht="14.25">
      <c r="A271" s="15">
        <v>46106</v>
      </c>
      <c r="B271" s="3">
        <f>Data_Entry!T361</f>
        <v>13380.0000000001</v>
      </c>
      <c r="C271" s="3">
        <v>0</v>
      </c>
      <c r="D271" s="4">
        <f>Data_Entry!V361</f>
        <v>5.27</v>
      </c>
      <c r="E271" s="5">
        <f t="shared" si="36"/>
        <v>0.23123185400248999</v>
      </c>
      <c r="F271" s="6">
        <v>0</v>
      </c>
      <c r="G271" s="6">
        <v>0</v>
      </c>
      <c r="H271" s="7">
        <f t="shared" si="37"/>
        <v>0</v>
      </c>
      <c r="I271" s="7">
        <f t="shared" si="38"/>
        <v>0</v>
      </c>
      <c r="J271" s="8">
        <v>2411</v>
      </c>
      <c r="K271" s="9"/>
      <c r="L271" s="8">
        <f t="shared" si="39"/>
        <v>28932</v>
      </c>
      <c r="M271" s="7">
        <f t="shared" si="40"/>
        <v>0</v>
      </c>
      <c r="N271" s="10">
        <f t="shared" si="41"/>
        <v>1</v>
      </c>
      <c r="O271" s="11">
        <f t="shared" si="42"/>
        <v>0.23123185400248999</v>
      </c>
      <c r="P271" s="11"/>
      <c r="Q271" s="8">
        <f t="shared" si="43"/>
        <v>13380.0000000001</v>
      </c>
      <c r="R271" s="12">
        <f t="shared" si="44"/>
        <v>0</v>
      </c>
    </row>
    <row r="272" spans="1:18" ht="14.25">
      <c r="A272" s="15">
        <v>46107</v>
      </c>
      <c r="B272" s="3">
        <f>Data_Entry!T362</f>
        <v>13470</v>
      </c>
      <c r="C272" s="3">
        <v>0</v>
      </c>
      <c r="D272" s="4">
        <f>Data_Entry!V362</f>
        <v>5.05</v>
      </c>
      <c r="E272" s="5">
        <f t="shared" si="36"/>
        <v>0.232787225217752</v>
      </c>
      <c r="F272" s="6">
        <v>0</v>
      </c>
      <c r="G272" s="6">
        <v>0</v>
      </c>
      <c r="H272" s="7">
        <f t="shared" si="37"/>
        <v>0</v>
      </c>
      <c r="I272" s="7">
        <f t="shared" si="38"/>
        <v>0</v>
      </c>
      <c r="J272" s="8">
        <v>2411</v>
      </c>
      <c r="K272" s="9"/>
      <c r="L272" s="8">
        <f t="shared" si="39"/>
        <v>28932</v>
      </c>
      <c r="M272" s="7">
        <f t="shared" si="40"/>
        <v>0</v>
      </c>
      <c r="N272" s="10">
        <f t="shared" si="41"/>
        <v>1</v>
      </c>
      <c r="O272" s="11">
        <f t="shared" si="42"/>
        <v>0.232787225217752</v>
      </c>
      <c r="P272" s="11"/>
      <c r="Q272" s="8">
        <f t="shared" si="43"/>
        <v>13470</v>
      </c>
      <c r="R272" s="12">
        <f t="shared" si="44"/>
        <v>0</v>
      </c>
    </row>
    <row r="273" spans="1:18" ht="14.25">
      <c r="A273" s="15">
        <v>46108</v>
      </c>
      <c r="B273" s="3">
        <f>Data_Entry!T363</f>
        <v>14279.9999999999</v>
      </c>
      <c r="C273" s="3">
        <v>0</v>
      </c>
      <c r="D273" s="4">
        <f>Data_Entry!V363</f>
        <v>5.35</v>
      </c>
      <c r="E273" s="5">
        <f t="shared" si="36"/>
        <v>0.24678556615512101</v>
      </c>
      <c r="F273" s="6">
        <v>0</v>
      </c>
      <c r="G273" s="6">
        <v>0</v>
      </c>
      <c r="H273" s="7">
        <f t="shared" si="37"/>
        <v>0</v>
      </c>
      <c r="I273" s="7">
        <f t="shared" si="38"/>
        <v>0</v>
      </c>
      <c r="J273" s="8">
        <v>2411</v>
      </c>
      <c r="K273" s="9"/>
      <c r="L273" s="8">
        <f t="shared" si="39"/>
        <v>28932</v>
      </c>
      <c r="M273" s="7">
        <f t="shared" si="40"/>
        <v>0</v>
      </c>
      <c r="N273" s="10">
        <f t="shared" si="41"/>
        <v>1</v>
      </c>
      <c r="O273" s="11">
        <f t="shared" si="42"/>
        <v>0.24678556615512101</v>
      </c>
      <c r="P273" s="11"/>
      <c r="Q273" s="8">
        <f t="shared" si="43"/>
        <v>14279.9999999999</v>
      </c>
      <c r="R273" s="12">
        <f t="shared" si="44"/>
        <v>0</v>
      </c>
    </row>
    <row r="274" spans="1:18" ht="14.25">
      <c r="A274" s="15">
        <v>46109</v>
      </c>
      <c r="B274" s="3">
        <f>Data_Entry!T364</f>
        <v>13530</v>
      </c>
      <c r="C274" s="3">
        <v>0</v>
      </c>
      <c r="D274" s="4">
        <f>Data_Entry!V364</f>
        <v>4.83</v>
      </c>
      <c r="E274" s="5">
        <f t="shared" si="36"/>
        <v>0.23382413936126001</v>
      </c>
      <c r="F274" s="6">
        <v>0</v>
      </c>
      <c r="G274" s="6">
        <v>0</v>
      </c>
      <c r="H274" s="7">
        <f t="shared" si="37"/>
        <v>0</v>
      </c>
      <c r="I274" s="7">
        <f t="shared" si="38"/>
        <v>0</v>
      </c>
      <c r="J274" s="8">
        <v>2411</v>
      </c>
      <c r="K274" s="9"/>
      <c r="L274" s="8">
        <f t="shared" si="39"/>
        <v>28932</v>
      </c>
      <c r="M274" s="7">
        <f t="shared" si="40"/>
        <v>0</v>
      </c>
      <c r="N274" s="10">
        <f t="shared" si="41"/>
        <v>1</v>
      </c>
      <c r="O274" s="11">
        <f t="shared" si="42"/>
        <v>0.23382413936126001</v>
      </c>
      <c r="P274" s="11"/>
      <c r="Q274" s="8">
        <f t="shared" si="43"/>
        <v>13530</v>
      </c>
      <c r="R274" s="12">
        <f t="shared" si="44"/>
        <v>0</v>
      </c>
    </row>
    <row r="275" spans="1:18" ht="14.25">
      <c r="A275" s="15">
        <v>46110</v>
      </c>
      <c r="B275" s="3">
        <f>Data_Entry!T365</f>
        <v>12059.9999999999</v>
      </c>
      <c r="C275" s="3">
        <v>0</v>
      </c>
      <c r="D275" s="4">
        <f>Data_Entry!V365</f>
        <v>5.0599999999999996</v>
      </c>
      <c r="E275" s="5">
        <f t="shared" si="36"/>
        <v>0.208419742845291</v>
      </c>
      <c r="F275" s="6">
        <v>0</v>
      </c>
      <c r="G275" s="6">
        <v>0</v>
      </c>
      <c r="H275" s="7">
        <f t="shared" si="37"/>
        <v>0</v>
      </c>
      <c r="I275" s="7">
        <f t="shared" si="38"/>
        <v>0</v>
      </c>
      <c r="J275" s="8">
        <v>2411</v>
      </c>
      <c r="K275" s="9"/>
      <c r="L275" s="8">
        <f t="shared" si="39"/>
        <v>28932</v>
      </c>
      <c r="M275" s="7">
        <f t="shared" si="40"/>
        <v>0</v>
      </c>
      <c r="N275" s="10">
        <f t="shared" si="41"/>
        <v>1</v>
      </c>
      <c r="O275" s="11">
        <f t="shared" si="42"/>
        <v>0.208419742845291</v>
      </c>
      <c r="P275" s="11"/>
      <c r="Q275" s="8">
        <f t="shared" si="43"/>
        <v>12059.9999999999</v>
      </c>
      <c r="R275" s="12">
        <f t="shared" si="44"/>
        <v>0</v>
      </c>
    </row>
    <row r="276" spans="1:18" ht="14.25">
      <c r="A276" s="15">
        <v>46111</v>
      </c>
      <c r="B276" s="3">
        <f>Data_Entry!T366</f>
        <v>13650.0000000005</v>
      </c>
      <c r="C276" s="3">
        <v>0</v>
      </c>
      <c r="D276" s="4">
        <f>Data_Entry!V366</f>
        <v>4.9800000000000004</v>
      </c>
      <c r="E276" s="5">
        <f t="shared" si="36"/>
        <v>0.23589796764828799</v>
      </c>
      <c r="F276" s="6">
        <v>0</v>
      </c>
      <c r="G276" s="6">
        <v>0</v>
      </c>
      <c r="H276" s="7">
        <f t="shared" si="37"/>
        <v>0</v>
      </c>
      <c r="I276" s="7">
        <f t="shared" si="38"/>
        <v>0</v>
      </c>
      <c r="J276" s="8">
        <v>2411</v>
      </c>
      <c r="K276" s="9"/>
      <c r="L276" s="8">
        <f t="shared" si="39"/>
        <v>28932</v>
      </c>
      <c r="M276" s="7">
        <f t="shared" si="40"/>
        <v>0</v>
      </c>
      <c r="N276" s="10">
        <f t="shared" si="41"/>
        <v>1</v>
      </c>
      <c r="O276" s="11">
        <f t="shared" si="42"/>
        <v>0.23589796764828799</v>
      </c>
      <c r="P276" s="11"/>
      <c r="Q276" s="8">
        <f t="shared" si="43"/>
        <v>13650.0000000005</v>
      </c>
      <c r="R276" s="12">
        <f t="shared" si="44"/>
        <v>0</v>
      </c>
    </row>
    <row r="277" spans="1:18" ht="14.25">
      <c r="A277" s="15">
        <v>46112</v>
      </c>
      <c r="B277" s="3">
        <f>Data_Entry!T367</f>
        <v>13410.0000000001</v>
      </c>
      <c r="C277" s="3">
        <v>0</v>
      </c>
      <c r="D277" s="4">
        <f>Data_Entry!V367</f>
        <v>5.46</v>
      </c>
      <c r="E277" s="5">
        <f t="shared" si="36"/>
        <v>0.23175031107424399</v>
      </c>
      <c r="F277" s="6">
        <v>0</v>
      </c>
      <c r="G277" s="6">
        <v>0</v>
      </c>
      <c r="H277" s="7">
        <f t="shared" si="37"/>
        <v>0</v>
      </c>
      <c r="I277" s="7">
        <f t="shared" si="38"/>
        <v>0</v>
      </c>
      <c r="J277" s="8">
        <v>2411</v>
      </c>
      <c r="K277" s="9"/>
      <c r="L277" s="8">
        <f t="shared" si="39"/>
        <v>28932</v>
      </c>
      <c r="M277" s="7">
        <f t="shared" si="40"/>
        <v>0</v>
      </c>
      <c r="N277" s="10">
        <f t="shared" si="41"/>
        <v>1</v>
      </c>
      <c r="O277" s="11">
        <f t="shared" si="42"/>
        <v>0.23175031107424399</v>
      </c>
      <c r="P277" s="11"/>
      <c r="Q277" s="8">
        <f t="shared" si="43"/>
        <v>13410.0000000001</v>
      </c>
      <c r="R277" s="12">
        <f t="shared" si="44"/>
        <v>0</v>
      </c>
    </row>
    <row r="278" spans="1:18" ht="14.25">
      <c r="A278" s="15">
        <v>46113</v>
      </c>
      <c r="B278" s="3">
        <f>Data_Entry!T368</f>
        <v>13319.9999999995</v>
      </c>
      <c r="C278" s="3">
        <v>0</v>
      </c>
      <c r="D278" s="4">
        <f>Data_Entry!V368</f>
        <v>4.96</v>
      </c>
      <c r="E278" s="5">
        <f t="shared" si="36"/>
        <v>0.23019493985897099</v>
      </c>
      <c r="F278" s="6">
        <v>0</v>
      </c>
      <c r="G278" s="6">
        <v>0</v>
      </c>
      <c r="H278" s="7">
        <f t="shared" si="37"/>
        <v>0</v>
      </c>
      <c r="I278" s="7">
        <f t="shared" si="38"/>
        <v>0</v>
      </c>
      <c r="J278" s="8">
        <v>2411</v>
      </c>
      <c r="K278" s="9"/>
      <c r="L278" s="8">
        <f t="shared" si="39"/>
        <v>28932</v>
      </c>
      <c r="M278" s="7">
        <f t="shared" si="40"/>
        <v>0</v>
      </c>
      <c r="N278" s="10">
        <f t="shared" si="41"/>
        <v>1</v>
      </c>
      <c r="O278" s="11">
        <f t="shared" si="42"/>
        <v>0.23019493985897099</v>
      </c>
      <c r="P278" s="11"/>
      <c r="Q278" s="8">
        <f t="shared" si="43"/>
        <v>13319.9999999995</v>
      </c>
      <c r="R278" s="12">
        <f t="shared" si="44"/>
        <v>0</v>
      </c>
    </row>
    <row r="279" spans="1:18" ht="14.25">
      <c r="A279" s="15">
        <v>46114</v>
      </c>
      <c r="B279" s="3">
        <f>Data_Entry!T369</f>
        <v>11010.0000000002</v>
      </c>
      <c r="C279" s="3">
        <v>0</v>
      </c>
      <c r="D279" s="4">
        <f>Data_Entry!V369</f>
        <v>4.1100000000000003</v>
      </c>
      <c r="E279" s="5">
        <f t="shared" si="36"/>
        <v>0.19027374533388999</v>
      </c>
      <c r="F279" s="6">
        <v>0</v>
      </c>
      <c r="G279" s="6">
        <v>0</v>
      </c>
      <c r="H279" s="7">
        <f t="shared" si="37"/>
        <v>0</v>
      </c>
      <c r="I279" s="7">
        <f t="shared" si="38"/>
        <v>0</v>
      </c>
      <c r="J279" s="8">
        <v>2411</v>
      </c>
      <c r="K279" s="9"/>
      <c r="L279" s="8">
        <f t="shared" si="39"/>
        <v>28932</v>
      </c>
      <c r="M279" s="7">
        <f t="shared" si="40"/>
        <v>0</v>
      </c>
      <c r="N279" s="10">
        <f t="shared" si="41"/>
        <v>1</v>
      </c>
      <c r="O279" s="11">
        <f t="shared" si="42"/>
        <v>0.19027374533388999</v>
      </c>
      <c r="P279" s="11"/>
      <c r="Q279" s="8">
        <f t="shared" si="43"/>
        <v>11010.0000000002</v>
      </c>
      <c r="R279" s="12">
        <f t="shared" si="44"/>
        <v>0</v>
      </c>
    </row>
    <row r="280" spans="1:18" ht="14.25">
      <c r="A280" s="15">
        <v>46115</v>
      </c>
      <c r="B280" s="3">
        <f>Data_Entry!T370</f>
        <v>7050.0000000003502</v>
      </c>
      <c r="C280" s="3">
        <v>0</v>
      </c>
      <c r="D280" s="4">
        <f>Data_Entry!V370</f>
        <v>2.69</v>
      </c>
      <c r="E280" s="5">
        <f t="shared" si="36"/>
        <v>0.121837411862304</v>
      </c>
      <c r="F280" s="6">
        <v>0</v>
      </c>
      <c r="G280" s="6">
        <v>0</v>
      </c>
      <c r="H280" s="7">
        <f t="shared" si="37"/>
        <v>0</v>
      </c>
      <c r="I280" s="7">
        <f t="shared" si="38"/>
        <v>0</v>
      </c>
      <c r="J280" s="8">
        <v>2411</v>
      </c>
      <c r="K280" s="9"/>
      <c r="L280" s="8">
        <f t="shared" si="39"/>
        <v>28932</v>
      </c>
      <c r="M280" s="7">
        <f t="shared" si="40"/>
        <v>0</v>
      </c>
      <c r="N280" s="10">
        <f t="shared" si="41"/>
        <v>1</v>
      </c>
      <c r="O280" s="11">
        <f t="shared" si="42"/>
        <v>0.121837411862304</v>
      </c>
      <c r="P280" s="11"/>
      <c r="Q280" s="8">
        <f t="shared" si="43"/>
        <v>7050.0000000003502</v>
      </c>
      <c r="R280" s="12">
        <f t="shared" si="44"/>
        <v>0</v>
      </c>
    </row>
    <row r="281" spans="1:18" ht="14.25">
      <c r="A281" s="15">
        <v>46116</v>
      </c>
      <c r="B281" s="3">
        <f>Data_Entry!T371</f>
        <v>13410.0000000001</v>
      </c>
      <c r="C281" s="3">
        <v>0</v>
      </c>
      <c r="D281" s="4">
        <f>Data_Entry!V371</f>
        <v>5.24</v>
      </c>
      <c r="E281" s="5">
        <f t="shared" si="36"/>
        <v>0.23175031107424501</v>
      </c>
      <c r="F281" s="6">
        <v>0</v>
      </c>
      <c r="G281" s="6">
        <v>0</v>
      </c>
      <c r="H281" s="7">
        <f t="shared" si="37"/>
        <v>0</v>
      </c>
      <c r="I281" s="7">
        <f t="shared" si="38"/>
        <v>0</v>
      </c>
      <c r="J281" s="8">
        <v>2411</v>
      </c>
      <c r="K281" s="9"/>
      <c r="L281" s="8">
        <f t="shared" si="39"/>
        <v>28932</v>
      </c>
      <c r="M281" s="7">
        <f t="shared" si="40"/>
        <v>0</v>
      </c>
      <c r="N281" s="10">
        <f t="shared" si="41"/>
        <v>1</v>
      </c>
      <c r="O281" s="11">
        <f t="shared" si="42"/>
        <v>0.23175031107424501</v>
      </c>
      <c r="P281" s="11"/>
      <c r="Q281" s="8">
        <f t="shared" si="43"/>
        <v>13410.0000000001</v>
      </c>
      <c r="R281" s="12">
        <f t="shared" si="44"/>
        <v>0</v>
      </c>
    </row>
    <row r="282" spans="1:18" ht="14.25">
      <c r="A282" s="15">
        <v>46117</v>
      </c>
      <c r="B282" s="3">
        <f>Data_Entry!T372</f>
        <v>13649.9999999998</v>
      </c>
      <c r="C282" s="3">
        <v>0</v>
      </c>
      <c r="D282" s="4">
        <f>Data_Entry!V372</f>
        <v>5.37</v>
      </c>
      <c r="E282" s="5">
        <f t="shared" si="36"/>
        <v>0.235897967648275</v>
      </c>
      <c r="F282" s="6">
        <v>0</v>
      </c>
      <c r="G282" s="6">
        <v>0</v>
      </c>
      <c r="H282" s="7">
        <f t="shared" si="37"/>
        <v>0</v>
      </c>
      <c r="I282" s="7">
        <f t="shared" si="38"/>
        <v>0</v>
      </c>
      <c r="J282" s="8">
        <v>2411</v>
      </c>
      <c r="K282" s="9"/>
      <c r="L282" s="8">
        <f t="shared" si="39"/>
        <v>28932</v>
      </c>
      <c r="M282" s="7">
        <f t="shared" si="40"/>
        <v>0</v>
      </c>
      <c r="N282" s="10">
        <f t="shared" si="41"/>
        <v>1</v>
      </c>
      <c r="O282" s="11">
        <f t="shared" si="42"/>
        <v>0.235897967648275</v>
      </c>
      <c r="P282" s="11"/>
      <c r="Q282" s="8">
        <f t="shared" si="43"/>
        <v>13649.9999999998</v>
      </c>
      <c r="R282" s="12">
        <f t="shared" si="44"/>
        <v>0</v>
      </c>
    </row>
    <row r="283" spans="1:18" ht="14.25">
      <c r="A283" s="15">
        <v>46118</v>
      </c>
      <c r="B283" s="3">
        <f>Data_Entry!T373</f>
        <v>13769.9999999997</v>
      </c>
      <c r="C283" s="3">
        <v>0</v>
      </c>
      <c r="D283" s="4">
        <f>Data_Entry!V373</f>
        <v>5.23</v>
      </c>
      <c r="E283" s="5">
        <f t="shared" si="36"/>
        <v>0.237971795935291</v>
      </c>
      <c r="F283" s="6">
        <v>0</v>
      </c>
      <c r="G283" s="6">
        <v>0</v>
      </c>
      <c r="H283" s="7">
        <f t="shared" si="37"/>
        <v>0</v>
      </c>
      <c r="I283" s="7">
        <f t="shared" si="38"/>
        <v>0</v>
      </c>
      <c r="J283" s="8">
        <v>2411</v>
      </c>
      <c r="K283" s="9"/>
      <c r="L283" s="8">
        <f t="shared" si="39"/>
        <v>28932</v>
      </c>
      <c r="M283" s="7">
        <f t="shared" si="40"/>
        <v>0</v>
      </c>
      <c r="N283" s="10">
        <f t="shared" si="41"/>
        <v>1</v>
      </c>
      <c r="O283" s="11">
        <f t="shared" si="42"/>
        <v>0.237971795935291</v>
      </c>
      <c r="P283" s="11"/>
      <c r="Q283" s="8">
        <f t="shared" si="43"/>
        <v>13769.9999999997</v>
      </c>
      <c r="R283" s="12">
        <f t="shared" si="44"/>
        <v>0</v>
      </c>
    </row>
    <row r="284" spans="1:18" ht="14.25">
      <c r="A284" s="15">
        <v>46119</v>
      </c>
      <c r="B284" s="3">
        <f>Data_Entry!T374</f>
        <v>12450.0000000002</v>
      </c>
      <c r="C284" s="3">
        <v>0</v>
      </c>
      <c r="D284" s="4">
        <f>Data_Entry!V374</f>
        <v>4.79</v>
      </c>
      <c r="E284" s="5">
        <f t="shared" si="36"/>
        <v>0.21515968477810399</v>
      </c>
      <c r="F284" s="6">
        <v>0</v>
      </c>
      <c r="G284" s="6">
        <v>0</v>
      </c>
      <c r="H284" s="7">
        <f t="shared" si="37"/>
        <v>0</v>
      </c>
      <c r="I284" s="7">
        <f t="shared" si="38"/>
        <v>0</v>
      </c>
      <c r="J284" s="8">
        <v>2411</v>
      </c>
      <c r="K284" s="9"/>
      <c r="L284" s="8">
        <f t="shared" si="39"/>
        <v>28932</v>
      </c>
      <c r="M284" s="7">
        <f t="shared" si="40"/>
        <v>0</v>
      </c>
      <c r="N284" s="10">
        <f t="shared" si="41"/>
        <v>1</v>
      </c>
      <c r="O284" s="11">
        <f t="shared" si="42"/>
        <v>0.21515968477810399</v>
      </c>
      <c r="P284" s="11"/>
      <c r="Q284" s="8">
        <f t="shared" si="43"/>
        <v>12450.0000000002</v>
      </c>
      <c r="R284" s="12">
        <f t="shared" si="44"/>
        <v>0</v>
      </c>
    </row>
    <row r="285" spans="1:18" ht="14.25">
      <c r="A285" s="15">
        <v>46120</v>
      </c>
      <c r="B285" s="3">
        <f>Data_Entry!T375</f>
        <v>13199.9999999996</v>
      </c>
      <c r="C285" s="3">
        <v>0</v>
      </c>
      <c r="D285" s="4">
        <f>Data_Entry!V375</f>
        <v>5.3</v>
      </c>
      <c r="E285" s="5">
        <f t="shared" si="36"/>
        <v>0.228121111571955</v>
      </c>
      <c r="F285" s="6">
        <v>0</v>
      </c>
      <c r="G285" s="6">
        <v>0</v>
      </c>
      <c r="H285" s="7">
        <f t="shared" si="37"/>
        <v>0</v>
      </c>
      <c r="I285" s="7">
        <f t="shared" si="38"/>
        <v>0</v>
      </c>
      <c r="J285" s="8">
        <v>2411</v>
      </c>
      <c r="K285" s="9"/>
      <c r="L285" s="8">
        <f t="shared" si="39"/>
        <v>28932</v>
      </c>
      <c r="M285" s="7">
        <f t="shared" si="40"/>
        <v>0</v>
      </c>
      <c r="N285" s="10">
        <f t="shared" si="41"/>
        <v>1</v>
      </c>
      <c r="O285" s="11">
        <f t="shared" si="42"/>
        <v>0.228121111571955</v>
      </c>
      <c r="P285" s="11"/>
      <c r="Q285" s="8">
        <f t="shared" si="43"/>
        <v>13199.9999999996</v>
      </c>
      <c r="R285" s="12">
        <f t="shared" si="44"/>
        <v>0</v>
      </c>
    </row>
    <row r="286" spans="1:18" ht="14.25">
      <c r="A286" s="15">
        <v>46121</v>
      </c>
      <c r="B286" s="3">
        <f>Data_Entry!T376</f>
        <v>12780.0000000006</v>
      </c>
      <c r="C286" s="3">
        <v>0</v>
      </c>
      <c r="D286" s="4">
        <f>Data_Entry!V376</f>
        <v>4.62</v>
      </c>
      <c r="E286" s="5">
        <f t="shared" ref="E286:E329" si="45">B286/(24*J286)</f>
        <v>0.2208627125674098</v>
      </c>
      <c r="F286" s="6">
        <v>0</v>
      </c>
      <c r="G286" s="6">
        <v>0</v>
      </c>
      <c r="H286" s="7">
        <f t="shared" ref="H286:H329" si="46">(G286-F286)*24*60</f>
        <v>0</v>
      </c>
      <c r="I286" s="7">
        <f t="shared" ref="I286:I329" si="47">H286/60</f>
        <v>0</v>
      </c>
      <c r="J286" s="8">
        <v>2411</v>
      </c>
      <c r="K286" s="9"/>
      <c r="L286" s="8">
        <f t="shared" ref="L286:L329" si="48">J286*12</f>
        <v>28932</v>
      </c>
      <c r="M286" s="7">
        <f t="shared" ref="M286:M329" si="49">K286*I286</f>
        <v>0</v>
      </c>
      <c r="N286" s="10">
        <f t="shared" ref="N286:N329" si="50">(L286-M286)/L286</f>
        <v>1</v>
      </c>
      <c r="O286" s="11">
        <f t="shared" ref="O286:O329" si="51">E286/N286</f>
        <v>0.2208627125674098</v>
      </c>
      <c r="P286" s="11"/>
      <c r="Q286" s="8">
        <f t="shared" ref="Q286:Q329" si="52">O286*J286*24</f>
        <v>12780.0000000006</v>
      </c>
      <c r="R286" s="12">
        <f t="shared" ref="R286:R329" si="53">Q286-B286</f>
        <v>0</v>
      </c>
    </row>
    <row r="287" spans="1:18" ht="14.25">
      <c r="A287" s="15">
        <v>46122</v>
      </c>
      <c r="B287" s="3">
        <f>Data_Entry!T377</f>
        <v>13470</v>
      </c>
      <c r="C287" s="3">
        <v>0</v>
      </c>
      <c r="D287" s="4">
        <f>Data_Entry!V377</f>
        <v>5.17</v>
      </c>
      <c r="E287" s="5">
        <f t="shared" si="45"/>
        <v>0.23278722521775197</v>
      </c>
      <c r="F287" s="6">
        <v>0</v>
      </c>
      <c r="G287" s="6">
        <v>0</v>
      </c>
      <c r="H287" s="7">
        <f t="shared" si="46"/>
        <v>0</v>
      </c>
      <c r="I287" s="7">
        <f t="shared" si="47"/>
        <v>0</v>
      </c>
      <c r="J287" s="8">
        <v>2411</v>
      </c>
      <c r="K287" s="9"/>
      <c r="L287" s="8">
        <f t="shared" si="48"/>
        <v>28932</v>
      </c>
      <c r="M287" s="7">
        <f t="shared" si="49"/>
        <v>0</v>
      </c>
      <c r="N287" s="10">
        <f t="shared" si="50"/>
        <v>1</v>
      </c>
      <c r="O287" s="11">
        <f t="shared" si="51"/>
        <v>0.23278722521775197</v>
      </c>
      <c r="P287" s="11"/>
      <c r="Q287" s="8">
        <f t="shared" si="52"/>
        <v>13470</v>
      </c>
      <c r="R287" s="12">
        <f t="shared" si="53"/>
        <v>0</v>
      </c>
    </row>
    <row r="288" spans="1:18" ht="14.25">
      <c r="A288" s="15">
        <v>46123</v>
      </c>
      <c r="B288" s="3">
        <f>Data_Entry!T378</f>
        <v>13619.9999999999</v>
      </c>
      <c r="C288" s="3">
        <v>0</v>
      </c>
      <c r="D288" s="4">
        <f>Data_Entry!V378</f>
        <v>5.24</v>
      </c>
      <c r="E288" s="5">
        <f t="shared" si="45"/>
        <v>0.23537951057652254</v>
      </c>
      <c r="F288" s="6">
        <v>0</v>
      </c>
      <c r="G288" s="6">
        <v>0</v>
      </c>
      <c r="H288" s="7">
        <f t="shared" si="46"/>
        <v>0</v>
      </c>
      <c r="I288" s="7">
        <f t="shared" si="47"/>
        <v>0</v>
      </c>
      <c r="J288" s="8">
        <v>2411</v>
      </c>
      <c r="K288" s="9"/>
      <c r="L288" s="8">
        <f t="shared" si="48"/>
        <v>28932</v>
      </c>
      <c r="M288" s="7">
        <f t="shared" si="49"/>
        <v>0</v>
      </c>
      <c r="N288" s="10">
        <f t="shared" si="50"/>
        <v>1</v>
      </c>
      <c r="O288" s="11">
        <f t="shared" si="51"/>
        <v>0.23537951057652254</v>
      </c>
      <c r="P288" s="11"/>
      <c r="Q288" s="8">
        <f t="shared" si="52"/>
        <v>13619.999999999898</v>
      </c>
      <c r="R288" s="12">
        <f t="shared" si="53"/>
        <v>0</v>
      </c>
    </row>
    <row r="289" spans="1:18" ht="14.25">
      <c r="A289" s="15">
        <v>46124</v>
      </c>
      <c r="B289" s="3">
        <f>Data_Entry!T379</f>
        <v>13919.9999999996</v>
      </c>
      <c r="C289" s="3">
        <v>0</v>
      </c>
      <c r="D289" s="4">
        <f>Data_Entry!V379</f>
        <v>5.27</v>
      </c>
      <c r="E289" s="5">
        <f t="shared" si="45"/>
        <v>0.24056408129406193</v>
      </c>
      <c r="F289" s="6">
        <v>0</v>
      </c>
      <c r="G289" s="6">
        <v>0</v>
      </c>
      <c r="H289" s="7">
        <f t="shared" si="46"/>
        <v>0</v>
      </c>
      <c r="I289" s="7">
        <f t="shared" si="47"/>
        <v>0</v>
      </c>
      <c r="J289" s="8">
        <v>2411</v>
      </c>
      <c r="K289" s="9"/>
      <c r="L289" s="8">
        <f t="shared" si="48"/>
        <v>28932</v>
      </c>
      <c r="M289" s="7">
        <f t="shared" si="49"/>
        <v>0</v>
      </c>
      <c r="N289" s="10">
        <f t="shared" si="50"/>
        <v>1</v>
      </c>
      <c r="O289" s="11">
        <f t="shared" si="51"/>
        <v>0.24056408129406193</v>
      </c>
      <c r="P289" s="11"/>
      <c r="Q289" s="8">
        <f t="shared" si="52"/>
        <v>13919.9999999996</v>
      </c>
      <c r="R289" s="12">
        <f t="shared" si="53"/>
        <v>0</v>
      </c>
    </row>
    <row r="290" spans="1:18" ht="14.25">
      <c r="A290" s="15">
        <v>46125</v>
      </c>
      <c r="B290" s="3">
        <f>Data_Entry!T380</f>
        <v>14130.0000000001</v>
      </c>
      <c r="C290" s="3">
        <v>0</v>
      </c>
      <c r="D290" s="4">
        <f>Data_Entry!V380</f>
        <v>5.34</v>
      </c>
      <c r="E290" s="5">
        <f t="shared" si="45"/>
        <v>0.2441932807963518</v>
      </c>
      <c r="F290" s="6">
        <v>0</v>
      </c>
      <c r="G290" s="6">
        <v>0</v>
      </c>
      <c r="H290" s="7">
        <f t="shared" si="46"/>
        <v>0</v>
      </c>
      <c r="I290" s="7">
        <f t="shared" si="47"/>
        <v>0</v>
      </c>
      <c r="J290" s="8">
        <v>2411</v>
      </c>
      <c r="K290" s="9"/>
      <c r="L290" s="8">
        <f t="shared" si="48"/>
        <v>28932</v>
      </c>
      <c r="M290" s="7">
        <f t="shared" si="49"/>
        <v>0</v>
      </c>
      <c r="N290" s="10">
        <f t="shared" si="50"/>
        <v>1</v>
      </c>
      <c r="O290" s="11">
        <f t="shared" si="51"/>
        <v>0.2441932807963518</v>
      </c>
      <c r="P290" s="11"/>
      <c r="Q290" s="8">
        <f t="shared" si="52"/>
        <v>14130.000000000102</v>
      </c>
      <c r="R290" s="12">
        <f t="shared" si="53"/>
        <v>0</v>
      </c>
    </row>
    <row r="291" spans="1:18" ht="14.25">
      <c r="A291" s="15">
        <v>46126</v>
      </c>
      <c r="B291" s="3">
        <f>Data_Entry!T381</f>
        <v>10500</v>
      </c>
      <c r="C291" s="3">
        <v>0</v>
      </c>
      <c r="D291" s="4">
        <f>Data_Entry!V381</f>
        <v>4.17</v>
      </c>
      <c r="E291" s="5">
        <f t="shared" si="45"/>
        <v>0.18145997511406056</v>
      </c>
      <c r="F291" s="6">
        <v>0</v>
      </c>
      <c r="G291" s="6">
        <v>0</v>
      </c>
      <c r="H291" s="7">
        <f t="shared" si="46"/>
        <v>0</v>
      </c>
      <c r="I291" s="7">
        <f t="shared" si="47"/>
        <v>0</v>
      </c>
      <c r="J291" s="8">
        <v>2411</v>
      </c>
      <c r="K291" s="9"/>
      <c r="L291" s="8">
        <f t="shared" si="48"/>
        <v>28932</v>
      </c>
      <c r="M291" s="7">
        <f t="shared" si="49"/>
        <v>0</v>
      </c>
      <c r="N291" s="10">
        <f t="shared" si="50"/>
        <v>1</v>
      </c>
      <c r="O291" s="11">
        <f t="shared" si="51"/>
        <v>0.18145997511406056</v>
      </c>
      <c r="P291" s="11"/>
      <c r="Q291" s="8">
        <f t="shared" si="52"/>
        <v>10500</v>
      </c>
      <c r="R291" s="12">
        <f t="shared" si="53"/>
        <v>0</v>
      </c>
    </row>
    <row r="292" spans="1:18" ht="14.25">
      <c r="A292" s="15">
        <v>46127</v>
      </c>
      <c r="B292" s="3">
        <f>Data_Entry!T382</f>
        <v>14910.0000000001</v>
      </c>
      <c r="C292" s="3">
        <v>0</v>
      </c>
      <c r="D292" s="4">
        <f>Data_Entry!V382</f>
        <v>5.57</v>
      </c>
      <c r="E292" s="5">
        <f t="shared" si="45"/>
        <v>0.25767316466196771</v>
      </c>
      <c r="F292" s="6">
        <v>0</v>
      </c>
      <c r="G292" s="6">
        <v>0</v>
      </c>
      <c r="H292" s="7">
        <f t="shared" si="46"/>
        <v>0</v>
      </c>
      <c r="I292" s="7">
        <f t="shared" si="47"/>
        <v>0</v>
      </c>
      <c r="J292" s="8">
        <v>2411</v>
      </c>
      <c r="K292" s="9"/>
      <c r="L292" s="8">
        <f t="shared" si="48"/>
        <v>28932</v>
      </c>
      <c r="M292" s="7">
        <f t="shared" si="49"/>
        <v>0</v>
      </c>
      <c r="N292" s="10">
        <f t="shared" si="50"/>
        <v>1</v>
      </c>
      <c r="O292" s="11">
        <f t="shared" si="51"/>
        <v>0.25767316466196771</v>
      </c>
      <c r="P292" s="11"/>
      <c r="Q292" s="8">
        <f t="shared" si="52"/>
        <v>14910.000000000102</v>
      </c>
      <c r="R292" s="12">
        <f t="shared" si="53"/>
        <v>0</v>
      </c>
    </row>
    <row r="293" spans="1:18" ht="14.25">
      <c r="A293" s="15">
        <v>46128</v>
      </c>
      <c r="B293" s="3">
        <f>Data_Entry!T383</f>
        <v>14400.0000000005</v>
      </c>
      <c r="C293" s="3">
        <v>0</v>
      </c>
      <c r="D293" s="4">
        <f>Data_Entry!V383</f>
        <v>5.57</v>
      </c>
      <c r="E293" s="5">
        <f t="shared" si="45"/>
        <v>0.24885939444214883</v>
      </c>
      <c r="F293" s="6">
        <v>0</v>
      </c>
      <c r="G293" s="6">
        <v>0</v>
      </c>
      <c r="H293" s="7">
        <f t="shared" si="46"/>
        <v>0</v>
      </c>
      <c r="I293" s="7">
        <f t="shared" si="47"/>
        <v>0</v>
      </c>
      <c r="J293" s="8">
        <v>2411</v>
      </c>
      <c r="K293" s="9"/>
      <c r="L293" s="8">
        <f t="shared" si="48"/>
        <v>28932</v>
      </c>
      <c r="M293" s="7">
        <f t="shared" si="49"/>
        <v>0</v>
      </c>
      <c r="N293" s="10">
        <f t="shared" si="50"/>
        <v>1</v>
      </c>
      <c r="O293" s="11">
        <f t="shared" si="51"/>
        <v>0.24885939444214883</v>
      </c>
      <c r="P293" s="11"/>
      <c r="Q293" s="8">
        <f t="shared" si="52"/>
        <v>14400.000000000498</v>
      </c>
      <c r="R293" s="12">
        <f t="shared" si="53"/>
        <v>0</v>
      </c>
    </row>
    <row r="294" spans="1:18" ht="14.25">
      <c r="A294" s="15">
        <v>46129</v>
      </c>
      <c r="B294" s="3">
        <f>Data_Entry!T384</f>
        <v>14069.9999999995</v>
      </c>
      <c r="C294" s="3">
        <v>0</v>
      </c>
      <c r="D294" s="4">
        <f>Data_Entry!V384</f>
        <v>5.72</v>
      </c>
      <c r="E294" s="5">
        <f t="shared" si="45"/>
        <v>0.2431563666528325</v>
      </c>
      <c r="F294" s="6">
        <v>0</v>
      </c>
      <c r="G294" s="6">
        <v>0</v>
      </c>
      <c r="H294" s="7">
        <f t="shared" si="46"/>
        <v>0</v>
      </c>
      <c r="I294" s="7">
        <f t="shared" si="47"/>
        <v>0</v>
      </c>
      <c r="J294" s="8">
        <v>2411</v>
      </c>
      <c r="K294" s="9"/>
      <c r="L294" s="8">
        <f t="shared" si="48"/>
        <v>28932</v>
      </c>
      <c r="M294" s="7">
        <f t="shared" si="49"/>
        <v>0</v>
      </c>
      <c r="N294" s="10">
        <f t="shared" si="50"/>
        <v>1</v>
      </c>
      <c r="O294" s="11">
        <f t="shared" si="51"/>
        <v>0.2431563666528325</v>
      </c>
      <c r="P294" s="11"/>
      <c r="Q294" s="8">
        <f t="shared" si="52"/>
        <v>14069.999999999502</v>
      </c>
      <c r="R294" s="12">
        <f t="shared" si="53"/>
        <v>0</v>
      </c>
    </row>
    <row r="295" spans="1:18" ht="14.25">
      <c r="A295" s="15">
        <v>46130</v>
      </c>
      <c r="B295" s="3">
        <f>Data_Entry!T385</f>
        <v>14010.0000000002</v>
      </c>
      <c r="C295" s="3">
        <v>0</v>
      </c>
      <c r="D295" s="4">
        <f>Data_Entry!V385</f>
        <v>5.47</v>
      </c>
      <c r="E295" s="5">
        <f t="shared" si="45"/>
        <v>0.2421194525093357</v>
      </c>
      <c r="F295" s="6">
        <v>0</v>
      </c>
      <c r="G295" s="6">
        <v>0</v>
      </c>
      <c r="H295" s="7">
        <f t="shared" si="46"/>
        <v>0</v>
      </c>
      <c r="I295" s="7">
        <f t="shared" si="47"/>
        <v>0</v>
      </c>
      <c r="J295" s="8">
        <v>2411</v>
      </c>
      <c r="K295" s="9"/>
      <c r="L295" s="8">
        <f t="shared" si="48"/>
        <v>28932</v>
      </c>
      <c r="M295" s="7">
        <f t="shared" si="49"/>
        <v>0</v>
      </c>
      <c r="N295" s="10">
        <f t="shared" si="50"/>
        <v>1</v>
      </c>
      <c r="O295" s="11">
        <f t="shared" si="51"/>
        <v>0.2421194525093357</v>
      </c>
      <c r="P295" s="11"/>
      <c r="Q295" s="8">
        <f t="shared" si="52"/>
        <v>14010.000000000202</v>
      </c>
      <c r="R295" s="12">
        <f t="shared" si="53"/>
        <v>0</v>
      </c>
    </row>
    <row r="296" spans="1:18" ht="14.25">
      <c r="A296" s="15">
        <v>46131</v>
      </c>
      <c r="B296" s="3">
        <f>Data_Entry!T386</f>
        <v>13799.9999999997</v>
      </c>
      <c r="C296" s="3">
        <v>0</v>
      </c>
      <c r="D296" s="4">
        <f>Data_Entry!V386</f>
        <v>5.25</v>
      </c>
      <c r="E296" s="5">
        <f t="shared" si="45"/>
        <v>0.23849025300704582</v>
      </c>
      <c r="F296" s="6">
        <v>0</v>
      </c>
      <c r="G296" s="6">
        <v>0</v>
      </c>
      <c r="H296" s="7">
        <f t="shared" si="46"/>
        <v>0</v>
      </c>
      <c r="I296" s="7">
        <f t="shared" si="47"/>
        <v>0</v>
      </c>
      <c r="J296" s="8">
        <v>2411</v>
      </c>
      <c r="K296" s="9"/>
      <c r="L296" s="8">
        <f t="shared" si="48"/>
        <v>28932</v>
      </c>
      <c r="M296" s="7">
        <f t="shared" si="49"/>
        <v>0</v>
      </c>
      <c r="N296" s="10">
        <f t="shared" si="50"/>
        <v>1</v>
      </c>
      <c r="O296" s="11">
        <f t="shared" si="51"/>
        <v>0.23849025300704582</v>
      </c>
      <c r="P296" s="11"/>
      <c r="Q296" s="8">
        <f t="shared" si="52"/>
        <v>13799.9999999997</v>
      </c>
      <c r="R296" s="12">
        <f t="shared" si="53"/>
        <v>0</v>
      </c>
    </row>
    <row r="297" spans="1:18" ht="14.25">
      <c r="A297" s="15">
        <v>46132</v>
      </c>
      <c r="B297" s="3">
        <f>Data_Entry!T387</f>
        <v>14310.0000000006</v>
      </c>
      <c r="C297" s="3">
        <v>0</v>
      </c>
      <c r="D297" s="4">
        <f>Data_Entry!V387</f>
        <v>5.55</v>
      </c>
      <c r="E297" s="5">
        <f t="shared" si="45"/>
        <v>0.24730402322688719</v>
      </c>
      <c r="F297" s="6">
        <v>0</v>
      </c>
      <c r="G297" s="6">
        <v>0</v>
      </c>
      <c r="H297" s="7">
        <f t="shared" si="46"/>
        <v>0</v>
      </c>
      <c r="I297" s="7">
        <f t="shared" si="47"/>
        <v>0</v>
      </c>
      <c r="J297" s="8">
        <v>2411</v>
      </c>
      <c r="K297" s="9"/>
      <c r="L297" s="8">
        <f t="shared" si="48"/>
        <v>28932</v>
      </c>
      <c r="M297" s="7">
        <f t="shared" si="49"/>
        <v>0</v>
      </c>
      <c r="N297" s="10">
        <f t="shared" si="50"/>
        <v>1</v>
      </c>
      <c r="O297" s="11">
        <f t="shared" si="51"/>
        <v>0.24730402322688719</v>
      </c>
      <c r="P297" s="11"/>
      <c r="Q297" s="8">
        <f t="shared" si="52"/>
        <v>14310.0000000006</v>
      </c>
      <c r="R297" s="12">
        <f t="shared" si="53"/>
        <v>0</v>
      </c>
    </row>
    <row r="298" spans="1:18" ht="14.25">
      <c r="A298" s="15">
        <v>46133</v>
      </c>
      <c r="B298" s="3">
        <f>Data_Entry!T388</f>
        <v>14250</v>
      </c>
      <c r="C298" s="3">
        <v>0</v>
      </c>
      <c r="D298" s="4">
        <f>Data_Entry!V388</f>
        <v>5.48</v>
      </c>
      <c r="E298" s="5">
        <f t="shared" si="45"/>
        <v>0.24626710908336791</v>
      </c>
      <c r="F298" s="6">
        <v>0</v>
      </c>
      <c r="G298" s="6">
        <v>0</v>
      </c>
      <c r="H298" s="7">
        <f t="shared" si="46"/>
        <v>0</v>
      </c>
      <c r="I298" s="7">
        <f t="shared" si="47"/>
        <v>0</v>
      </c>
      <c r="J298" s="8">
        <v>2411</v>
      </c>
      <c r="K298" s="9"/>
      <c r="L298" s="8">
        <f t="shared" si="48"/>
        <v>28932</v>
      </c>
      <c r="M298" s="7">
        <f t="shared" si="49"/>
        <v>0</v>
      </c>
      <c r="N298" s="10">
        <f t="shared" si="50"/>
        <v>1</v>
      </c>
      <c r="O298" s="11">
        <f t="shared" si="51"/>
        <v>0.24626710908336791</v>
      </c>
      <c r="P298" s="11"/>
      <c r="Q298" s="8">
        <f t="shared" si="52"/>
        <v>14250</v>
      </c>
      <c r="R298" s="12">
        <f t="shared" si="53"/>
        <v>0</v>
      </c>
    </row>
    <row r="299" spans="1:18" ht="14.25">
      <c r="A299" s="15">
        <v>46134</v>
      </c>
      <c r="B299" s="3">
        <f>Data_Entry!T389</f>
        <v>14279.9999999999</v>
      </c>
      <c r="C299" s="3">
        <v>0</v>
      </c>
      <c r="D299" s="4">
        <f>Data_Entry!V389</f>
        <v>5.58</v>
      </c>
      <c r="E299" s="5">
        <f t="shared" si="45"/>
        <v>0.24678556615512062</v>
      </c>
      <c r="F299" s="6">
        <v>0</v>
      </c>
      <c r="G299" s="6">
        <v>0</v>
      </c>
      <c r="H299" s="7">
        <f t="shared" si="46"/>
        <v>0</v>
      </c>
      <c r="I299" s="7">
        <f t="shared" si="47"/>
        <v>0</v>
      </c>
      <c r="J299" s="8">
        <v>2411</v>
      </c>
      <c r="K299" s="9"/>
      <c r="L299" s="8">
        <f t="shared" si="48"/>
        <v>28932</v>
      </c>
      <c r="M299" s="7">
        <f t="shared" si="49"/>
        <v>0</v>
      </c>
      <c r="N299" s="10">
        <f t="shared" si="50"/>
        <v>1</v>
      </c>
      <c r="O299" s="11">
        <f t="shared" si="51"/>
        <v>0.24678556615512062</v>
      </c>
      <c r="P299" s="11"/>
      <c r="Q299" s="8">
        <f t="shared" si="52"/>
        <v>14279.999999999898</v>
      </c>
      <c r="R299" s="12">
        <f t="shared" si="53"/>
        <v>0</v>
      </c>
    </row>
    <row r="300" spans="1:18" ht="14.25">
      <c r="A300" s="15">
        <v>46135</v>
      </c>
      <c r="B300" s="3">
        <f>Data_Entry!T390</f>
        <v>13889.9999999996</v>
      </c>
      <c r="C300" s="3">
        <v>0</v>
      </c>
      <c r="D300" s="4">
        <f>Data_Entry!V390</f>
        <v>5.38</v>
      </c>
      <c r="E300" s="5">
        <f t="shared" si="45"/>
        <v>0.24004562422230746</v>
      </c>
      <c r="F300" s="6">
        <v>0</v>
      </c>
      <c r="G300" s="6">
        <v>0</v>
      </c>
      <c r="H300" s="7">
        <f t="shared" si="46"/>
        <v>0</v>
      </c>
      <c r="I300" s="7">
        <f t="shared" si="47"/>
        <v>0</v>
      </c>
      <c r="J300" s="8">
        <v>2411</v>
      </c>
      <c r="K300" s="9"/>
      <c r="L300" s="8">
        <f t="shared" si="48"/>
        <v>28932</v>
      </c>
      <c r="M300" s="7">
        <f t="shared" si="49"/>
        <v>0</v>
      </c>
      <c r="N300" s="10">
        <f t="shared" si="50"/>
        <v>1</v>
      </c>
      <c r="O300" s="11">
        <f t="shared" si="51"/>
        <v>0.24004562422230746</v>
      </c>
      <c r="P300" s="11"/>
      <c r="Q300" s="8">
        <f t="shared" si="52"/>
        <v>13889.9999999996</v>
      </c>
      <c r="R300" s="12">
        <f t="shared" si="53"/>
        <v>0</v>
      </c>
    </row>
    <row r="301" spans="1:18" ht="14.25">
      <c r="A301" s="15">
        <v>46136</v>
      </c>
      <c r="B301" s="3">
        <f>Data_Entry!T391</f>
        <v>14520.0000000004</v>
      </c>
      <c r="C301" s="3">
        <v>0</v>
      </c>
      <c r="D301" s="4">
        <f>Data_Entry!V391</f>
        <v>5.53</v>
      </c>
      <c r="E301" s="5">
        <f t="shared" si="45"/>
        <v>0.25093322272916496</v>
      </c>
      <c r="F301" s="6">
        <v>0</v>
      </c>
      <c r="G301" s="6">
        <v>0</v>
      </c>
      <c r="H301" s="7">
        <f t="shared" si="46"/>
        <v>0</v>
      </c>
      <c r="I301" s="7">
        <f t="shared" si="47"/>
        <v>0</v>
      </c>
      <c r="J301" s="8">
        <v>2411</v>
      </c>
      <c r="K301" s="9"/>
      <c r="L301" s="8">
        <f t="shared" si="48"/>
        <v>28932</v>
      </c>
      <c r="M301" s="7">
        <f t="shared" si="49"/>
        <v>0</v>
      </c>
      <c r="N301" s="10">
        <f t="shared" si="50"/>
        <v>1</v>
      </c>
      <c r="O301" s="11">
        <f t="shared" si="51"/>
        <v>0.25093322272916496</v>
      </c>
      <c r="P301" s="11"/>
      <c r="Q301" s="8">
        <f t="shared" si="52"/>
        <v>14520.0000000004</v>
      </c>
      <c r="R301" s="12">
        <f t="shared" si="53"/>
        <v>0</v>
      </c>
    </row>
    <row r="302" spans="1:18" ht="14.25">
      <c r="A302" s="15">
        <v>46137</v>
      </c>
      <c r="B302" s="3">
        <f>Data_Entry!T392</f>
        <v>13919.9999999996</v>
      </c>
      <c r="C302" s="3">
        <v>0</v>
      </c>
      <c r="D302" s="4">
        <f>Data_Entry!V392</f>
        <v>5.38</v>
      </c>
      <c r="E302" s="5">
        <f t="shared" si="45"/>
        <v>0.24056408129406193</v>
      </c>
      <c r="F302" s="6">
        <v>0</v>
      </c>
      <c r="G302" s="6">
        <v>0</v>
      </c>
      <c r="H302" s="7">
        <f t="shared" si="46"/>
        <v>0</v>
      </c>
      <c r="I302" s="7">
        <f t="shared" si="47"/>
        <v>0</v>
      </c>
      <c r="J302" s="8">
        <v>2411</v>
      </c>
      <c r="K302" s="9"/>
      <c r="L302" s="8">
        <f t="shared" si="48"/>
        <v>28932</v>
      </c>
      <c r="M302" s="7">
        <f t="shared" si="49"/>
        <v>0</v>
      </c>
      <c r="N302" s="10">
        <f t="shared" si="50"/>
        <v>1</v>
      </c>
      <c r="O302" s="11">
        <f t="shared" si="51"/>
        <v>0.24056408129406193</v>
      </c>
      <c r="P302" s="11"/>
      <c r="Q302" s="8">
        <f t="shared" si="52"/>
        <v>13919.9999999996</v>
      </c>
      <c r="R302" s="12">
        <f t="shared" si="53"/>
        <v>0</v>
      </c>
    </row>
    <row r="303" spans="1:18" ht="14.25">
      <c r="A303" s="15">
        <v>46138</v>
      </c>
      <c r="B303" s="3">
        <f>Data_Entry!T393</f>
        <v>12960.0000000005</v>
      </c>
      <c r="C303" s="3">
        <v>0</v>
      </c>
      <c r="D303" s="4">
        <f>Data_Entry!V393</f>
        <v>5.17</v>
      </c>
      <c r="E303" s="5">
        <f t="shared" si="45"/>
        <v>0.22397345499793481</v>
      </c>
      <c r="F303" s="6">
        <v>0</v>
      </c>
      <c r="G303" s="6">
        <v>0</v>
      </c>
      <c r="H303" s="7">
        <f t="shared" si="46"/>
        <v>0</v>
      </c>
      <c r="I303" s="7">
        <f t="shared" si="47"/>
        <v>0</v>
      </c>
      <c r="J303" s="8">
        <v>2411</v>
      </c>
      <c r="K303" s="9"/>
      <c r="L303" s="8">
        <f t="shared" si="48"/>
        <v>28932</v>
      </c>
      <c r="M303" s="7">
        <f t="shared" si="49"/>
        <v>0</v>
      </c>
      <c r="N303" s="10">
        <f t="shared" si="50"/>
        <v>1</v>
      </c>
      <c r="O303" s="11">
        <f t="shared" si="51"/>
        <v>0.22397345499793481</v>
      </c>
      <c r="P303" s="11"/>
      <c r="Q303" s="8">
        <f t="shared" si="52"/>
        <v>12960.000000000498</v>
      </c>
      <c r="R303" s="12">
        <f t="shared" si="53"/>
        <v>0</v>
      </c>
    </row>
    <row r="304" spans="1:18" ht="14.25">
      <c r="A304" s="15">
        <v>46139</v>
      </c>
      <c r="B304" s="3">
        <f>Data_Entry!T394</f>
        <v>13259.9999999995</v>
      </c>
      <c r="C304" s="3">
        <v>0</v>
      </c>
      <c r="D304" s="4">
        <f>Data_Entry!V394</f>
        <v>5.38</v>
      </c>
      <c r="E304" s="5">
        <f t="shared" si="45"/>
        <v>0.22915802571546212</v>
      </c>
      <c r="F304" s="6">
        <v>0</v>
      </c>
      <c r="G304" s="6">
        <v>0</v>
      </c>
      <c r="H304" s="7">
        <f t="shared" si="46"/>
        <v>0</v>
      </c>
      <c r="I304" s="7">
        <f t="shared" si="47"/>
        <v>0</v>
      </c>
      <c r="J304" s="8">
        <v>2411</v>
      </c>
      <c r="K304" s="9"/>
      <c r="L304" s="8">
        <f t="shared" si="48"/>
        <v>28932</v>
      </c>
      <c r="M304" s="7">
        <f t="shared" si="49"/>
        <v>0</v>
      </c>
      <c r="N304" s="10">
        <f t="shared" si="50"/>
        <v>1</v>
      </c>
      <c r="O304" s="11">
        <f t="shared" si="51"/>
        <v>0.22915802571546212</v>
      </c>
      <c r="P304" s="11"/>
      <c r="Q304" s="8">
        <f t="shared" si="52"/>
        <v>13259.999999999502</v>
      </c>
      <c r="R304" s="12">
        <f t="shared" si="53"/>
        <v>0</v>
      </c>
    </row>
    <row r="305" spans="1:19" ht="14.25">
      <c r="A305" s="15">
        <v>46140</v>
      </c>
      <c r="B305" s="3">
        <f>Data_Entry!T395</f>
        <v>14220</v>
      </c>
      <c r="C305" s="3">
        <v>0</v>
      </c>
      <c r="D305" s="4">
        <f>Data_Entry!V395</f>
        <v>5.53</v>
      </c>
      <c r="E305" s="5">
        <f t="shared" si="45"/>
        <v>0.24574865201161344</v>
      </c>
      <c r="F305" s="6">
        <v>0</v>
      </c>
      <c r="G305" s="6">
        <v>0</v>
      </c>
      <c r="H305" s="7">
        <f t="shared" si="46"/>
        <v>0</v>
      </c>
      <c r="I305" s="7">
        <f t="shared" si="47"/>
        <v>0</v>
      </c>
      <c r="J305" s="8">
        <v>2411</v>
      </c>
      <c r="K305" s="9"/>
      <c r="L305" s="8">
        <f t="shared" si="48"/>
        <v>28932</v>
      </c>
      <c r="M305" s="7">
        <f t="shared" si="49"/>
        <v>0</v>
      </c>
      <c r="N305" s="10">
        <f t="shared" si="50"/>
        <v>1</v>
      </c>
      <c r="O305" s="11">
        <f t="shared" si="51"/>
        <v>0.24574865201161344</v>
      </c>
      <c r="P305" s="11"/>
      <c r="Q305" s="8">
        <f t="shared" si="52"/>
        <v>14220</v>
      </c>
      <c r="R305" s="12">
        <f t="shared" si="53"/>
        <v>0</v>
      </c>
    </row>
    <row r="306" spans="1:19" ht="14.25">
      <c r="A306" s="15">
        <v>46141</v>
      </c>
      <c r="B306" s="3">
        <f>Data_Entry!T396</f>
        <v>14010.0000000002</v>
      </c>
      <c r="C306" s="3">
        <v>0</v>
      </c>
      <c r="D306" s="4">
        <f>Data_Entry!V396</f>
        <v>5.57</v>
      </c>
      <c r="E306" s="5">
        <f t="shared" si="45"/>
        <v>0.2421194525093357</v>
      </c>
      <c r="F306" s="6">
        <v>0</v>
      </c>
      <c r="G306" s="6">
        <v>0</v>
      </c>
      <c r="H306" s="7">
        <f t="shared" si="46"/>
        <v>0</v>
      </c>
      <c r="I306" s="7">
        <f t="shared" si="47"/>
        <v>0</v>
      </c>
      <c r="J306" s="8">
        <v>2411</v>
      </c>
      <c r="K306" s="9"/>
      <c r="L306" s="8">
        <f t="shared" si="48"/>
        <v>28932</v>
      </c>
      <c r="M306" s="7">
        <f t="shared" si="49"/>
        <v>0</v>
      </c>
      <c r="N306" s="10">
        <f t="shared" si="50"/>
        <v>1</v>
      </c>
      <c r="O306" s="11">
        <f t="shared" si="51"/>
        <v>0.2421194525093357</v>
      </c>
      <c r="P306" s="11"/>
      <c r="Q306" s="8">
        <f t="shared" si="52"/>
        <v>14010.000000000202</v>
      </c>
      <c r="R306" s="12">
        <f t="shared" si="53"/>
        <v>0</v>
      </c>
    </row>
    <row r="307" spans="1:19" ht="14.25">
      <c r="A307" s="15">
        <v>46142</v>
      </c>
      <c r="B307" s="3">
        <f>Data_Entry!T397</f>
        <v>14220</v>
      </c>
      <c r="C307" s="3">
        <v>0</v>
      </c>
      <c r="D307" s="4">
        <f>Data_Entry!V397</f>
        <v>5.52</v>
      </c>
      <c r="E307" s="5">
        <f t="shared" si="45"/>
        <v>0.24574865201161344</v>
      </c>
      <c r="F307" s="6">
        <v>0</v>
      </c>
      <c r="G307" s="6">
        <v>0</v>
      </c>
      <c r="H307" s="7">
        <f t="shared" si="46"/>
        <v>0</v>
      </c>
      <c r="I307" s="7">
        <f t="shared" si="47"/>
        <v>0</v>
      </c>
      <c r="J307" s="8">
        <v>2411</v>
      </c>
      <c r="K307" s="9"/>
      <c r="L307" s="8">
        <f t="shared" si="48"/>
        <v>28932</v>
      </c>
      <c r="M307" s="7">
        <f t="shared" si="49"/>
        <v>0</v>
      </c>
      <c r="N307" s="10">
        <f t="shared" si="50"/>
        <v>1</v>
      </c>
      <c r="O307" s="11">
        <f t="shared" si="51"/>
        <v>0.24574865201161344</v>
      </c>
      <c r="P307" s="11"/>
      <c r="Q307" s="8">
        <f t="shared" si="52"/>
        <v>14220</v>
      </c>
      <c r="R307" s="12">
        <f t="shared" si="53"/>
        <v>0</v>
      </c>
    </row>
    <row r="308" spans="1:19" ht="14.25">
      <c r="A308" s="15">
        <v>46143</v>
      </c>
      <c r="B308" s="3">
        <f>Data_Entry!T398</f>
        <v>13890.0000000003</v>
      </c>
      <c r="C308" s="3">
        <v>0</v>
      </c>
      <c r="D308" s="4">
        <f>Data_Entry!V398</f>
        <v>5.55</v>
      </c>
      <c r="E308" s="5">
        <f t="shared" si="45"/>
        <v>0.24004562422231959</v>
      </c>
      <c r="F308" s="6">
        <v>0</v>
      </c>
      <c r="G308" s="6">
        <v>0</v>
      </c>
      <c r="H308" s="7">
        <f t="shared" si="46"/>
        <v>0</v>
      </c>
      <c r="I308" s="7">
        <f t="shared" si="47"/>
        <v>0</v>
      </c>
      <c r="J308" s="8">
        <v>2411</v>
      </c>
      <c r="K308" s="9"/>
      <c r="L308" s="8">
        <f t="shared" si="48"/>
        <v>28932</v>
      </c>
      <c r="M308" s="7">
        <f t="shared" si="49"/>
        <v>0</v>
      </c>
      <c r="N308" s="10">
        <f t="shared" si="50"/>
        <v>1</v>
      </c>
      <c r="O308" s="11">
        <f t="shared" si="51"/>
        <v>0.24004562422231959</v>
      </c>
      <c r="P308" s="11"/>
      <c r="Q308" s="8">
        <f t="shared" si="52"/>
        <v>13890.0000000003</v>
      </c>
      <c r="R308" s="12">
        <f t="shared" si="53"/>
        <v>0</v>
      </c>
    </row>
    <row r="309" spans="1:19" ht="14.25">
      <c r="A309" s="15">
        <v>46144</v>
      </c>
      <c r="B309" s="3">
        <f>Data_Entry!T399</f>
        <v>14250</v>
      </c>
      <c r="C309" s="3">
        <v>0</v>
      </c>
      <c r="D309" s="4">
        <f>Data_Entry!V399</f>
        <v>5.46</v>
      </c>
      <c r="E309" s="5">
        <f t="shared" si="45"/>
        <v>0.24626710908336791</v>
      </c>
      <c r="F309" s="6">
        <v>0</v>
      </c>
      <c r="G309" s="6">
        <v>0</v>
      </c>
      <c r="H309" s="7">
        <f t="shared" si="46"/>
        <v>0</v>
      </c>
      <c r="I309" s="7">
        <f t="shared" si="47"/>
        <v>0</v>
      </c>
      <c r="J309" s="8">
        <v>2411</v>
      </c>
      <c r="K309" s="9"/>
      <c r="L309" s="8">
        <f t="shared" si="48"/>
        <v>28932</v>
      </c>
      <c r="M309" s="7">
        <f t="shared" si="49"/>
        <v>0</v>
      </c>
      <c r="N309" s="10">
        <f t="shared" si="50"/>
        <v>1</v>
      </c>
      <c r="O309" s="11">
        <f t="shared" si="51"/>
        <v>0.24626710908336791</v>
      </c>
      <c r="P309" s="11"/>
      <c r="Q309" s="8">
        <f t="shared" si="52"/>
        <v>14250</v>
      </c>
      <c r="R309" s="12">
        <f t="shared" si="53"/>
        <v>0</v>
      </c>
    </row>
    <row r="310" spans="1:19" ht="14.25">
      <c r="A310" s="15">
        <v>46145</v>
      </c>
      <c r="B310" s="3">
        <f>Data_Entry!T400</f>
        <v>14489.9999999997</v>
      </c>
      <c r="C310" s="3">
        <v>0</v>
      </c>
      <c r="D310" s="4">
        <f>Data_Entry!V400</f>
        <v>5.75</v>
      </c>
      <c r="E310" s="5">
        <f t="shared" si="45"/>
        <v>0.2504147656573984</v>
      </c>
      <c r="F310" s="6">
        <v>0</v>
      </c>
      <c r="G310" s="6">
        <v>0</v>
      </c>
      <c r="H310" s="7">
        <f t="shared" si="46"/>
        <v>0</v>
      </c>
      <c r="I310" s="7">
        <f t="shared" si="47"/>
        <v>0</v>
      </c>
      <c r="J310" s="8">
        <v>2411</v>
      </c>
      <c r="K310" s="9"/>
      <c r="L310" s="8">
        <f t="shared" si="48"/>
        <v>28932</v>
      </c>
      <c r="M310" s="7">
        <f t="shared" si="49"/>
        <v>0</v>
      </c>
      <c r="N310" s="10">
        <f t="shared" si="50"/>
        <v>1</v>
      </c>
      <c r="O310" s="11">
        <f t="shared" si="51"/>
        <v>0.2504147656573984</v>
      </c>
      <c r="P310" s="11"/>
      <c r="Q310" s="8">
        <f t="shared" si="52"/>
        <v>14489.9999999997</v>
      </c>
      <c r="R310" s="12">
        <f t="shared" si="53"/>
        <v>0</v>
      </c>
    </row>
    <row r="311" spans="1:19" ht="14.25">
      <c r="A311" s="15">
        <v>46146</v>
      </c>
      <c r="B311" s="3">
        <f>Data_Entry!T401</f>
        <v>13890.0000000003</v>
      </c>
      <c r="C311" s="3">
        <v>0</v>
      </c>
      <c r="D311" s="4">
        <f>Data_Entry!V401</f>
        <v>5.28</v>
      </c>
      <c r="E311" s="5">
        <f t="shared" si="45"/>
        <v>0.24004562422231959</v>
      </c>
      <c r="F311" s="6">
        <v>0</v>
      </c>
      <c r="G311" s="6">
        <v>0</v>
      </c>
      <c r="H311" s="7">
        <f t="shared" si="46"/>
        <v>0</v>
      </c>
      <c r="I311" s="7">
        <f t="shared" si="47"/>
        <v>0</v>
      </c>
      <c r="J311" s="8">
        <v>2411</v>
      </c>
      <c r="K311" s="9"/>
      <c r="L311" s="8">
        <f t="shared" si="48"/>
        <v>28932</v>
      </c>
      <c r="M311" s="7">
        <f t="shared" si="49"/>
        <v>0</v>
      </c>
      <c r="N311" s="10">
        <f t="shared" si="50"/>
        <v>1</v>
      </c>
      <c r="O311" s="11">
        <f t="shared" si="51"/>
        <v>0.24004562422231959</v>
      </c>
      <c r="P311" s="11"/>
      <c r="Q311" s="8">
        <f t="shared" si="52"/>
        <v>13890.0000000003</v>
      </c>
      <c r="R311" s="12">
        <f t="shared" si="53"/>
        <v>0</v>
      </c>
      <c r="S311" s="13">
        <v>40</v>
      </c>
    </row>
    <row r="312" spans="1:19" ht="14.25">
      <c r="A312" s="15">
        <v>46147</v>
      </c>
      <c r="B312" s="3">
        <f>Data_Entry!T402</f>
        <v>13289.9999999995</v>
      </c>
      <c r="C312" s="3">
        <v>0</v>
      </c>
      <c r="D312" s="4">
        <f>Data_Entry!V402</f>
        <v>5.46</v>
      </c>
      <c r="E312" s="5">
        <f t="shared" si="45"/>
        <v>0.22967648278721658</v>
      </c>
      <c r="F312" s="6">
        <v>0</v>
      </c>
      <c r="G312" s="6">
        <v>0</v>
      </c>
      <c r="H312" s="7">
        <f t="shared" si="46"/>
        <v>0</v>
      </c>
      <c r="I312" s="7">
        <f t="shared" si="47"/>
        <v>0</v>
      </c>
      <c r="J312" s="8">
        <v>2411</v>
      </c>
      <c r="K312" s="9"/>
      <c r="L312" s="8">
        <f t="shared" si="48"/>
        <v>28932</v>
      </c>
      <c r="M312" s="7">
        <f t="shared" si="49"/>
        <v>0</v>
      </c>
      <c r="N312" s="10">
        <f t="shared" si="50"/>
        <v>1</v>
      </c>
      <c r="O312" s="11">
        <f t="shared" si="51"/>
        <v>0.22967648278721658</v>
      </c>
      <c r="P312" s="11"/>
      <c r="Q312" s="8">
        <f t="shared" si="52"/>
        <v>13289.999999999502</v>
      </c>
      <c r="R312" s="12">
        <f t="shared" si="53"/>
        <v>0</v>
      </c>
    </row>
    <row r="313" spans="1:19" ht="14.25">
      <c r="A313" s="15">
        <v>46148</v>
      </c>
      <c r="B313" s="3">
        <f>Data_Entry!T403</f>
        <v>14220</v>
      </c>
      <c r="C313" s="3">
        <v>0</v>
      </c>
      <c r="D313" s="4">
        <f>Data_Entry!V403</f>
        <v>5.7</v>
      </c>
      <c r="E313" s="5">
        <f t="shared" si="45"/>
        <v>0.24574865201161344</v>
      </c>
      <c r="F313" s="6">
        <v>0</v>
      </c>
      <c r="G313" s="6">
        <v>0</v>
      </c>
      <c r="H313" s="7">
        <f t="shared" si="46"/>
        <v>0</v>
      </c>
      <c r="I313" s="7">
        <f t="shared" si="47"/>
        <v>0</v>
      </c>
      <c r="J313" s="8">
        <v>2411</v>
      </c>
      <c r="K313" s="9"/>
      <c r="L313" s="8">
        <f t="shared" si="48"/>
        <v>28932</v>
      </c>
      <c r="M313" s="7">
        <f t="shared" si="49"/>
        <v>0</v>
      </c>
      <c r="N313" s="10">
        <f t="shared" si="50"/>
        <v>1</v>
      </c>
      <c r="O313" s="11">
        <f t="shared" si="51"/>
        <v>0.24574865201161344</v>
      </c>
      <c r="P313" s="11"/>
      <c r="Q313" s="8">
        <f t="shared" si="52"/>
        <v>14220</v>
      </c>
      <c r="R313" s="12">
        <f t="shared" si="53"/>
        <v>0</v>
      </c>
    </row>
    <row r="314" spans="1:19" ht="14.25">
      <c r="A314" s="15">
        <v>46149</v>
      </c>
      <c r="B314" s="3">
        <f>Data_Entry!T404</f>
        <v>14100.0000000001</v>
      </c>
      <c r="C314" s="3">
        <v>0</v>
      </c>
      <c r="D314" s="4">
        <f>Data_Entry!V404</f>
        <v>5.74</v>
      </c>
      <c r="E314" s="5">
        <f t="shared" si="45"/>
        <v>0.24367482372459734</v>
      </c>
      <c r="F314" s="6">
        <v>0</v>
      </c>
      <c r="G314" s="6">
        <v>0</v>
      </c>
      <c r="H314" s="7">
        <f t="shared" si="46"/>
        <v>0</v>
      </c>
      <c r="I314" s="7">
        <f t="shared" si="47"/>
        <v>0</v>
      </c>
      <c r="J314" s="8">
        <v>2411</v>
      </c>
      <c r="K314" s="9"/>
      <c r="L314" s="8">
        <f t="shared" si="48"/>
        <v>28932</v>
      </c>
      <c r="M314" s="7">
        <f t="shared" si="49"/>
        <v>0</v>
      </c>
      <c r="N314" s="10">
        <f t="shared" si="50"/>
        <v>1</v>
      </c>
      <c r="O314" s="11">
        <f t="shared" si="51"/>
        <v>0.24367482372459734</v>
      </c>
      <c r="P314" s="11"/>
      <c r="Q314" s="8">
        <f t="shared" si="52"/>
        <v>14100.000000000102</v>
      </c>
      <c r="R314" s="12">
        <f t="shared" si="53"/>
        <v>0</v>
      </c>
    </row>
    <row r="315" spans="1:19" ht="14.25">
      <c r="A315" s="15">
        <v>46150</v>
      </c>
      <c r="B315" s="3">
        <f>Data_Entry!T405</f>
        <v>14040.0000000002</v>
      </c>
      <c r="C315" s="3">
        <v>0</v>
      </c>
      <c r="D315" s="4">
        <f>Data_Entry!V405</f>
        <v>5.87</v>
      </c>
      <c r="E315" s="5">
        <f t="shared" si="45"/>
        <v>0.24263790958109013</v>
      </c>
      <c r="F315" s="6">
        <v>0</v>
      </c>
      <c r="G315" s="6">
        <v>0</v>
      </c>
      <c r="H315" s="7">
        <f t="shared" si="46"/>
        <v>0</v>
      </c>
      <c r="I315" s="7">
        <f t="shared" si="47"/>
        <v>0</v>
      </c>
      <c r="J315" s="8">
        <v>2411</v>
      </c>
      <c r="K315" s="9"/>
      <c r="L315" s="8">
        <f t="shared" si="48"/>
        <v>28932</v>
      </c>
      <c r="M315" s="7">
        <f t="shared" si="49"/>
        <v>0</v>
      </c>
      <c r="N315" s="10">
        <f t="shared" si="50"/>
        <v>1</v>
      </c>
      <c r="O315" s="11">
        <f t="shared" si="51"/>
        <v>0.24263790958109013</v>
      </c>
      <c r="P315" s="11"/>
      <c r="Q315" s="8">
        <f t="shared" si="52"/>
        <v>14040.0000000002</v>
      </c>
      <c r="R315" s="12">
        <f t="shared" si="53"/>
        <v>0</v>
      </c>
    </row>
    <row r="316" spans="1:19" ht="14.25">
      <c r="A316" s="15">
        <v>46151</v>
      </c>
      <c r="B316" s="3">
        <f>Data_Entry!T406</f>
        <v>13799.9999999997</v>
      </c>
      <c r="C316" s="3">
        <v>0</v>
      </c>
      <c r="D316" s="4">
        <f>Data_Entry!V406</f>
        <v>5.72</v>
      </c>
      <c r="E316" s="5">
        <f t="shared" si="45"/>
        <v>0.23849025300704582</v>
      </c>
      <c r="F316" s="6">
        <v>0</v>
      </c>
      <c r="G316" s="6">
        <v>0</v>
      </c>
      <c r="H316" s="7">
        <f t="shared" si="46"/>
        <v>0</v>
      </c>
      <c r="I316" s="7">
        <f t="shared" si="47"/>
        <v>0</v>
      </c>
      <c r="J316" s="8">
        <v>2411</v>
      </c>
      <c r="K316" s="9"/>
      <c r="L316" s="8">
        <f t="shared" si="48"/>
        <v>28932</v>
      </c>
      <c r="M316" s="7">
        <f t="shared" si="49"/>
        <v>0</v>
      </c>
      <c r="N316" s="10">
        <f t="shared" si="50"/>
        <v>1</v>
      </c>
      <c r="O316" s="11">
        <f t="shared" si="51"/>
        <v>0.23849025300704582</v>
      </c>
      <c r="P316" s="11"/>
      <c r="Q316" s="8">
        <f t="shared" si="52"/>
        <v>13799.9999999997</v>
      </c>
      <c r="R316" s="12">
        <f t="shared" si="53"/>
        <v>0</v>
      </c>
    </row>
    <row r="317" spans="1:19" ht="14.25">
      <c r="A317" s="15">
        <v>46152</v>
      </c>
      <c r="B317" s="3">
        <f>Data_Entry!T407</f>
        <v>14280.0000000006</v>
      </c>
      <c r="C317" s="3">
        <v>0</v>
      </c>
      <c r="D317" s="4">
        <f>Data_Entry!V407</f>
        <v>5.88</v>
      </c>
      <c r="E317" s="5">
        <f t="shared" si="45"/>
        <v>0.24678556615513272</v>
      </c>
      <c r="F317" s="6">
        <v>0</v>
      </c>
      <c r="G317" s="6">
        <v>0</v>
      </c>
      <c r="H317" s="7">
        <f t="shared" si="46"/>
        <v>0</v>
      </c>
      <c r="I317" s="7">
        <f t="shared" si="47"/>
        <v>0</v>
      </c>
      <c r="J317" s="8">
        <v>2411</v>
      </c>
      <c r="K317" s="9"/>
      <c r="L317" s="8">
        <f t="shared" si="48"/>
        <v>28932</v>
      </c>
      <c r="M317" s="7">
        <f t="shared" si="49"/>
        <v>0</v>
      </c>
      <c r="N317" s="10">
        <f t="shared" si="50"/>
        <v>1</v>
      </c>
      <c r="O317" s="11">
        <f t="shared" si="51"/>
        <v>0.24678556615513272</v>
      </c>
      <c r="P317" s="11"/>
      <c r="Q317" s="8">
        <f t="shared" si="52"/>
        <v>14280.0000000006</v>
      </c>
      <c r="R317" s="12">
        <f t="shared" si="53"/>
        <v>0</v>
      </c>
    </row>
    <row r="318" spans="1:19" ht="14.25">
      <c r="A318" s="15">
        <v>46153</v>
      </c>
      <c r="B318" s="3">
        <f>Data_Entry!T408</f>
        <v>14250</v>
      </c>
      <c r="C318" s="3">
        <v>0</v>
      </c>
      <c r="D318" s="4">
        <f>Data_Entry!V408</f>
        <v>5.7</v>
      </c>
      <c r="E318" s="5">
        <f t="shared" si="45"/>
        <v>0.24626710908336791</v>
      </c>
      <c r="F318" s="6">
        <v>0</v>
      </c>
      <c r="G318" s="6">
        <v>0</v>
      </c>
      <c r="H318" s="7">
        <f t="shared" si="46"/>
        <v>0</v>
      </c>
      <c r="I318" s="7">
        <f t="shared" si="47"/>
        <v>0</v>
      </c>
      <c r="J318" s="8">
        <v>2411</v>
      </c>
      <c r="K318" s="9"/>
      <c r="L318" s="8">
        <f t="shared" si="48"/>
        <v>28932</v>
      </c>
      <c r="M318" s="7">
        <f t="shared" si="49"/>
        <v>0</v>
      </c>
      <c r="N318" s="10">
        <f t="shared" si="50"/>
        <v>1</v>
      </c>
      <c r="O318" s="11">
        <f t="shared" si="51"/>
        <v>0.24626710908336791</v>
      </c>
      <c r="P318" s="11"/>
      <c r="Q318" s="8">
        <f t="shared" si="52"/>
        <v>14250</v>
      </c>
      <c r="R318" s="12">
        <f t="shared" si="53"/>
        <v>0</v>
      </c>
    </row>
    <row r="319" spans="1:19" ht="14.25">
      <c r="A319" s="15">
        <v>46154</v>
      </c>
      <c r="B319" s="3">
        <f>Data_Entry!T409</f>
        <v>13859.9999999996</v>
      </c>
      <c r="C319" s="3">
        <v>0</v>
      </c>
      <c r="D319" s="4">
        <f>Data_Entry!V409</f>
        <v>5.43</v>
      </c>
      <c r="E319" s="5">
        <f t="shared" si="45"/>
        <v>0.23952716715055303</v>
      </c>
      <c r="F319" s="6">
        <v>0</v>
      </c>
      <c r="G319" s="6">
        <v>0</v>
      </c>
      <c r="H319" s="7">
        <f t="shared" si="46"/>
        <v>0</v>
      </c>
      <c r="I319" s="7">
        <f t="shared" si="47"/>
        <v>0</v>
      </c>
      <c r="J319" s="8">
        <v>2411</v>
      </c>
      <c r="K319" s="9"/>
      <c r="L319" s="8">
        <f t="shared" si="48"/>
        <v>28932</v>
      </c>
      <c r="M319" s="7">
        <f t="shared" si="49"/>
        <v>0</v>
      </c>
      <c r="N319" s="10">
        <f t="shared" si="50"/>
        <v>1</v>
      </c>
      <c r="O319" s="11">
        <f t="shared" si="51"/>
        <v>0.23952716715055303</v>
      </c>
      <c r="P319" s="11"/>
      <c r="Q319" s="8">
        <f t="shared" si="52"/>
        <v>13859.999999999602</v>
      </c>
      <c r="R319" s="12">
        <f t="shared" si="53"/>
        <v>0</v>
      </c>
    </row>
    <row r="320" spans="1:19" ht="14.25">
      <c r="A320" s="15">
        <v>46155</v>
      </c>
      <c r="B320" s="3">
        <f>Data_Entry!T410</f>
        <v>13830.0000000003</v>
      </c>
      <c r="C320" s="3">
        <v>0</v>
      </c>
      <c r="D320" s="4">
        <f>Data_Entry!V410</f>
        <v>5.54</v>
      </c>
      <c r="E320" s="5">
        <f t="shared" si="45"/>
        <v>0.23900871007881067</v>
      </c>
      <c r="F320" s="6">
        <v>0</v>
      </c>
      <c r="G320" s="6">
        <v>0</v>
      </c>
      <c r="H320" s="7">
        <f t="shared" si="46"/>
        <v>0</v>
      </c>
      <c r="I320" s="7">
        <f t="shared" si="47"/>
        <v>0</v>
      </c>
      <c r="J320" s="8">
        <v>2411</v>
      </c>
      <c r="K320" s="9"/>
      <c r="L320" s="8">
        <f t="shared" si="48"/>
        <v>28932</v>
      </c>
      <c r="M320" s="7">
        <f t="shared" si="49"/>
        <v>0</v>
      </c>
      <c r="N320" s="10">
        <f t="shared" si="50"/>
        <v>1</v>
      </c>
      <c r="O320" s="11">
        <f t="shared" si="51"/>
        <v>0.23900871007881067</v>
      </c>
      <c r="P320" s="11"/>
      <c r="Q320" s="8">
        <f t="shared" si="52"/>
        <v>13830.0000000003</v>
      </c>
      <c r="R320" s="12">
        <f t="shared" si="53"/>
        <v>0</v>
      </c>
    </row>
    <row r="321" spans="1:19" ht="14.25">
      <c r="A321" s="15">
        <v>46156</v>
      </c>
      <c r="B321" s="3">
        <f>Data_Entry!T411</f>
        <v>13979.9999999995</v>
      </c>
      <c r="C321" s="3">
        <v>0</v>
      </c>
      <c r="D321" s="4">
        <f>Data_Entry!V411</f>
        <v>5.7</v>
      </c>
      <c r="E321" s="5">
        <f t="shared" si="45"/>
        <v>0.24160099543756913</v>
      </c>
      <c r="F321" s="6">
        <v>0</v>
      </c>
      <c r="G321" s="6">
        <v>0</v>
      </c>
      <c r="H321" s="7">
        <f t="shared" si="46"/>
        <v>0</v>
      </c>
      <c r="I321" s="7">
        <f t="shared" si="47"/>
        <v>0</v>
      </c>
      <c r="J321" s="8">
        <v>2411</v>
      </c>
      <c r="K321" s="9"/>
      <c r="L321" s="8">
        <f t="shared" si="48"/>
        <v>28932</v>
      </c>
      <c r="M321" s="7">
        <f t="shared" si="49"/>
        <v>0</v>
      </c>
      <c r="N321" s="10">
        <f t="shared" si="50"/>
        <v>1</v>
      </c>
      <c r="O321" s="11">
        <f t="shared" si="51"/>
        <v>0.24160099543756913</v>
      </c>
      <c r="P321" s="11"/>
      <c r="Q321" s="8">
        <f t="shared" si="52"/>
        <v>13979.999999999502</v>
      </c>
      <c r="R321" s="12">
        <f t="shared" si="53"/>
        <v>0</v>
      </c>
    </row>
    <row r="322" spans="1:19" ht="14.25">
      <c r="A322" s="15">
        <v>46157</v>
      </c>
      <c r="B322" s="3">
        <f>Data_Entry!T412</f>
        <v>13950.0000000002</v>
      </c>
      <c r="C322" s="3">
        <v>0</v>
      </c>
      <c r="D322" s="4">
        <f>Data_Entry!V412</f>
        <v>5.71</v>
      </c>
      <c r="E322" s="5">
        <f t="shared" si="45"/>
        <v>0.24108253836582677</v>
      </c>
      <c r="F322" s="6">
        <v>0</v>
      </c>
      <c r="G322" s="6">
        <v>0</v>
      </c>
      <c r="H322" s="7">
        <f t="shared" si="46"/>
        <v>0</v>
      </c>
      <c r="I322" s="7">
        <f t="shared" si="47"/>
        <v>0</v>
      </c>
      <c r="J322" s="8">
        <v>2411</v>
      </c>
      <c r="K322" s="9"/>
      <c r="L322" s="8">
        <f t="shared" si="48"/>
        <v>28932</v>
      </c>
      <c r="M322" s="7">
        <f t="shared" si="49"/>
        <v>0</v>
      </c>
      <c r="N322" s="10">
        <f t="shared" si="50"/>
        <v>1</v>
      </c>
      <c r="O322" s="11">
        <f t="shared" si="51"/>
        <v>0.24108253836582677</v>
      </c>
      <c r="P322" s="11"/>
      <c r="Q322" s="8">
        <f t="shared" si="52"/>
        <v>13950.0000000002</v>
      </c>
      <c r="R322" s="12">
        <f t="shared" si="53"/>
        <v>0</v>
      </c>
    </row>
    <row r="323" spans="1:19" ht="14.25">
      <c r="A323" s="15">
        <v>46158</v>
      </c>
      <c r="B323" s="3">
        <f>Data_Entry!T413</f>
        <v>14190</v>
      </c>
      <c r="C323" s="3">
        <v>0</v>
      </c>
      <c r="D323" s="4">
        <f>Data_Entry!V413</f>
        <v>5.69</v>
      </c>
      <c r="E323" s="5">
        <f t="shared" si="45"/>
        <v>0.24523019493985898</v>
      </c>
      <c r="F323" s="6">
        <v>0</v>
      </c>
      <c r="G323" s="6">
        <v>0</v>
      </c>
      <c r="H323" s="7">
        <f t="shared" si="46"/>
        <v>0</v>
      </c>
      <c r="I323" s="7">
        <f t="shared" si="47"/>
        <v>0</v>
      </c>
      <c r="J323" s="8">
        <v>2411</v>
      </c>
      <c r="K323" s="9"/>
      <c r="L323" s="8">
        <f t="shared" si="48"/>
        <v>28932</v>
      </c>
      <c r="M323" s="7">
        <f t="shared" si="49"/>
        <v>0</v>
      </c>
      <c r="N323" s="10">
        <f t="shared" si="50"/>
        <v>1</v>
      </c>
      <c r="O323" s="11">
        <f t="shared" si="51"/>
        <v>0.24523019493985898</v>
      </c>
      <c r="P323" s="11"/>
      <c r="Q323" s="8">
        <f t="shared" si="52"/>
        <v>14190</v>
      </c>
      <c r="R323" s="12">
        <f t="shared" si="53"/>
        <v>0</v>
      </c>
    </row>
    <row r="324" spans="1:19" ht="14.25">
      <c r="A324" s="15">
        <v>46159</v>
      </c>
      <c r="B324" s="3">
        <f>[1]Data_Entry!T414</f>
        <v>13679.9999999998</v>
      </c>
      <c r="C324" s="3">
        <v>0</v>
      </c>
      <c r="D324" s="4">
        <f>[1]Data_Entry!V414</f>
        <v>5.65</v>
      </c>
      <c r="E324" s="5">
        <f t="shared" si="45"/>
        <v>0.23641642472002972</v>
      </c>
      <c r="F324" s="6">
        <v>0.48263888888888901</v>
      </c>
      <c r="G324" s="6">
        <v>0.50277777777777799</v>
      </c>
      <c r="H324" s="7">
        <f t="shared" si="46"/>
        <v>29</v>
      </c>
      <c r="I324" s="7">
        <f t="shared" si="47"/>
        <v>0.483333333333333</v>
      </c>
      <c r="J324" s="8">
        <v>2411</v>
      </c>
      <c r="K324" s="9">
        <v>167.86</v>
      </c>
      <c r="L324" s="8">
        <f t="shared" si="48"/>
        <v>28932</v>
      </c>
      <c r="M324" s="7">
        <f t="shared" si="49"/>
        <v>81.132333333333307</v>
      </c>
      <c r="N324" s="10">
        <f t="shared" si="50"/>
        <v>0.99719575786902614</v>
      </c>
      <c r="O324" s="11">
        <f t="shared" si="51"/>
        <v>0.23708125797209936</v>
      </c>
      <c r="P324" s="11" t="s">
        <v>258</v>
      </c>
      <c r="Q324" s="8">
        <f t="shared" si="52"/>
        <v>13718.469911297558</v>
      </c>
      <c r="R324" s="12">
        <f t="shared" si="53"/>
        <v>38.46991129775779</v>
      </c>
    </row>
    <row r="325" spans="1:19" ht="14.25">
      <c r="A325" s="15">
        <v>46160</v>
      </c>
      <c r="B325" s="3">
        <f>Data_Entry!T415</f>
        <v>13619.9999999999</v>
      </c>
      <c r="C325" s="3">
        <v>0</v>
      </c>
      <c r="D325" s="4">
        <f>Data_Entry!V415</f>
        <v>5.58</v>
      </c>
      <c r="E325" s="5">
        <f t="shared" si="45"/>
        <v>0.23537951057652254</v>
      </c>
      <c r="F325" s="6">
        <v>0</v>
      </c>
      <c r="G325" s="6">
        <v>0</v>
      </c>
      <c r="H325" s="7">
        <f t="shared" si="46"/>
        <v>0</v>
      </c>
      <c r="I325" s="7">
        <f t="shared" si="47"/>
        <v>0</v>
      </c>
      <c r="J325" s="8">
        <v>2411</v>
      </c>
      <c r="K325" s="9"/>
      <c r="L325" s="8">
        <f t="shared" si="48"/>
        <v>28932</v>
      </c>
      <c r="M325" s="7">
        <f t="shared" si="49"/>
        <v>0</v>
      </c>
      <c r="N325" s="10">
        <f t="shared" si="50"/>
        <v>1</v>
      </c>
      <c r="O325" s="11">
        <f t="shared" si="51"/>
        <v>0.23537951057652254</v>
      </c>
      <c r="P325" s="11"/>
      <c r="Q325" s="8">
        <f t="shared" si="52"/>
        <v>13619.999999999898</v>
      </c>
      <c r="R325" s="12">
        <f t="shared" si="53"/>
        <v>0</v>
      </c>
    </row>
    <row r="326" spans="1:19" ht="14.25">
      <c r="A326" s="15">
        <v>46161</v>
      </c>
      <c r="B326" s="3">
        <f>Data_Entry!T416</f>
        <v>6420.0000000002701</v>
      </c>
      <c r="C326" s="3">
        <v>0</v>
      </c>
      <c r="D326" s="4">
        <f>Data_Entry!V416</f>
        <v>2.92</v>
      </c>
      <c r="E326" s="5">
        <f t="shared" si="45"/>
        <v>0.11094981335545884</v>
      </c>
      <c r="F326" s="6">
        <v>0</v>
      </c>
      <c r="G326" s="6">
        <v>0</v>
      </c>
      <c r="H326" s="7">
        <f t="shared" si="46"/>
        <v>0</v>
      </c>
      <c r="I326" s="7">
        <f t="shared" si="47"/>
        <v>0</v>
      </c>
      <c r="J326" s="8">
        <v>2411</v>
      </c>
      <c r="K326" s="9"/>
      <c r="L326" s="8">
        <f t="shared" si="48"/>
        <v>28932</v>
      </c>
      <c r="M326" s="7">
        <f t="shared" si="49"/>
        <v>0</v>
      </c>
      <c r="N326" s="10">
        <f t="shared" si="50"/>
        <v>1</v>
      </c>
      <c r="O326" s="11">
        <f t="shared" si="51"/>
        <v>0.11094981335545884</v>
      </c>
      <c r="P326" s="11"/>
      <c r="Q326" s="8">
        <f t="shared" si="52"/>
        <v>6420.0000000002701</v>
      </c>
      <c r="R326" s="12">
        <f t="shared" si="53"/>
        <v>0</v>
      </c>
    </row>
    <row r="327" spans="1:19" ht="14.25">
      <c r="A327" s="15">
        <v>46162</v>
      </c>
      <c r="B327" s="3">
        <f>Data_Entry!T417</f>
        <v>13559.9999999999</v>
      </c>
      <c r="C327" s="3">
        <v>0</v>
      </c>
      <c r="D327" s="4">
        <f>Data_Entry!V417</f>
        <v>5.72</v>
      </c>
      <c r="E327" s="5">
        <f t="shared" si="45"/>
        <v>0.23434259643301361</v>
      </c>
      <c r="F327" s="6">
        <v>0.56805555555555598</v>
      </c>
      <c r="G327" s="6">
        <v>0.58125000000000004</v>
      </c>
      <c r="H327" s="7">
        <f t="shared" si="46"/>
        <v>18.999999999999901</v>
      </c>
      <c r="I327" s="7">
        <f t="shared" si="47"/>
        <v>0.31666666666666599</v>
      </c>
      <c r="J327" s="8">
        <v>2411</v>
      </c>
      <c r="K327" s="9">
        <v>167.86</v>
      </c>
      <c r="L327" s="8">
        <f t="shared" si="48"/>
        <v>28932</v>
      </c>
      <c r="M327" s="7">
        <f t="shared" si="49"/>
        <v>53.155666666666498</v>
      </c>
      <c r="N327" s="10">
        <f t="shared" si="50"/>
        <v>0.99816273791418964</v>
      </c>
      <c r="O327" s="11">
        <f t="shared" si="51"/>
        <v>0.23477393768746319</v>
      </c>
      <c r="P327" s="11" t="s">
        <v>258</v>
      </c>
      <c r="Q327" s="8">
        <f t="shared" si="52"/>
        <v>13584.959130347372</v>
      </c>
      <c r="R327" s="12">
        <f t="shared" si="53"/>
        <v>24.959130347471728</v>
      </c>
    </row>
    <row r="328" spans="1:19" ht="14.25">
      <c r="A328" s="15">
        <v>46163</v>
      </c>
      <c r="B328" s="3">
        <f>Data_Entry!T418</f>
        <v>13170.0000000003</v>
      </c>
      <c r="C328" s="3">
        <v>0</v>
      </c>
      <c r="D328" s="4">
        <f>Data_Entry!V418</f>
        <v>5.58</v>
      </c>
      <c r="E328" s="5">
        <f t="shared" si="45"/>
        <v>0.22760265450021258</v>
      </c>
      <c r="F328" s="6">
        <v>0</v>
      </c>
      <c r="G328" s="6">
        <v>0</v>
      </c>
      <c r="H328" s="7">
        <f t="shared" si="46"/>
        <v>0</v>
      </c>
      <c r="I328" s="7">
        <f t="shared" si="47"/>
        <v>0</v>
      </c>
      <c r="J328" s="8">
        <v>2411</v>
      </c>
      <c r="K328" s="9"/>
      <c r="L328" s="8">
        <f t="shared" si="48"/>
        <v>28932</v>
      </c>
      <c r="M328" s="7">
        <f t="shared" si="49"/>
        <v>0</v>
      </c>
      <c r="N328" s="10">
        <f t="shared" si="50"/>
        <v>1</v>
      </c>
      <c r="O328" s="11">
        <f t="shared" si="51"/>
        <v>0.22760265450021258</v>
      </c>
      <c r="P328" s="11"/>
      <c r="Q328" s="8">
        <f t="shared" si="52"/>
        <v>13170.0000000003</v>
      </c>
      <c r="R328" s="12">
        <f t="shared" si="53"/>
        <v>0</v>
      </c>
    </row>
    <row r="329" spans="1:19" ht="14.25">
      <c r="A329" s="15">
        <v>46164</v>
      </c>
      <c r="B329" s="3">
        <f>Data_Entry!T419</f>
        <v>13229.9999999995</v>
      </c>
      <c r="C329" s="3">
        <v>0</v>
      </c>
      <c r="D329" s="4">
        <f>Data_Entry!V419</f>
        <v>5.66</v>
      </c>
      <c r="E329" s="5">
        <f t="shared" si="45"/>
        <v>0.22863956864370766</v>
      </c>
      <c r="F329" s="6">
        <v>0</v>
      </c>
      <c r="G329" s="6">
        <v>0</v>
      </c>
      <c r="H329" s="7">
        <f t="shared" si="46"/>
        <v>0</v>
      </c>
      <c r="I329" s="7">
        <f t="shared" si="47"/>
        <v>0</v>
      </c>
      <c r="J329" s="8">
        <v>2411</v>
      </c>
      <c r="K329" s="9"/>
      <c r="L329" s="8">
        <f t="shared" si="48"/>
        <v>28932</v>
      </c>
      <c r="M329" s="7">
        <f t="shared" si="49"/>
        <v>0</v>
      </c>
      <c r="N329" s="10">
        <f t="shared" si="50"/>
        <v>1</v>
      </c>
      <c r="O329" s="11">
        <f t="shared" si="51"/>
        <v>0.22863956864370766</v>
      </c>
      <c r="P329" s="11"/>
      <c r="Q329" s="8">
        <f t="shared" si="52"/>
        <v>13229.999999999502</v>
      </c>
      <c r="R329" s="12">
        <f t="shared" si="53"/>
        <v>0</v>
      </c>
    </row>
    <row r="330" spans="1:19" ht="14.25">
      <c r="A330" s="15">
        <v>46165</v>
      </c>
      <c r="B330" s="3">
        <f>Data_Entry!T420</f>
        <v>12480.0000000002</v>
      </c>
      <c r="C330" s="3">
        <v>0</v>
      </c>
      <c r="D330" s="4">
        <f>Data_Entry!V420</f>
        <v>5.52</v>
      </c>
      <c r="E330" s="5">
        <f t="shared" ref="E330:E348" si="54">B330/(24*J330)</f>
        <v>0.21567814184985828</v>
      </c>
      <c r="F330" s="6">
        <v>0</v>
      </c>
      <c r="G330" s="6">
        <v>0</v>
      </c>
      <c r="H330" s="7">
        <f t="shared" ref="H330:H348" si="55">(G330-F330)*24*60</f>
        <v>0</v>
      </c>
      <c r="I330" s="7">
        <f t="shared" ref="I330:I348" si="56">H330/60</f>
        <v>0</v>
      </c>
      <c r="J330" s="8">
        <v>2411</v>
      </c>
      <c r="K330" s="9"/>
      <c r="L330" s="8">
        <f t="shared" ref="L330:L348" si="57">J330*12</f>
        <v>28932</v>
      </c>
      <c r="M330" s="7">
        <f t="shared" ref="M330:M348" si="58">K330*I330</f>
        <v>0</v>
      </c>
      <c r="N330" s="10">
        <f t="shared" ref="N330:N348" si="59">(L330-M330)/L330</f>
        <v>1</v>
      </c>
      <c r="O330" s="11">
        <f t="shared" ref="O330:O348" si="60">E330/N330</f>
        <v>0.21567814184985828</v>
      </c>
      <c r="P330" s="11"/>
      <c r="Q330" s="8">
        <f t="shared" ref="Q330:Q348" si="61">O330*J330*24</f>
        <v>12480.0000000002</v>
      </c>
      <c r="R330" s="12">
        <f t="shared" ref="R330:R348" si="62">Q330-B330</f>
        <v>0</v>
      </c>
    </row>
    <row r="331" spans="1:19" ht="14.25">
      <c r="A331" s="15">
        <v>46166</v>
      </c>
      <c r="B331" s="3">
        <f>Data_Entry!T421</f>
        <v>11100.0000000001</v>
      </c>
      <c r="C331" s="3">
        <v>0</v>
      </c>
      <c r="D331" s="4">
        <f>Data_Entry!V421</f>
        <v>4.8099999999999996</v>
      </c>
      <c r="E331" s="5">
        <f t="shared" si="54"/>
        <v>0.19182911654915147</v>
      </c>
      <c r="F331" s="6">
        <v>0</v>
      </c>
      <c r="G331" s="6">
        <v>0</v>
      </c>
      <c r="H331" s="7">
        <f t="shared" si="55"/>
        <v>0</v>
      </c>
      <c r="I331" s="7">
        <f t="shared" si="56"/>
        <v>0</v>
      </c>
      <c r="J331" s="8">
        <v>2411</v>
      </c>
      <c r="K331" s="9"/>
      <c r="L331" s="8">
        <f t="shared" si="57"/>
        <v>28932</v>
      </c>
      <c r="M331" s="7">
        <f t="shared" si="58"/>
        <v>0</v>
      </c>
      <c r="N331" s="10">
        <f t="shared" si="59"/>
        <v>1</v>
      </c>
      <c r="O331" s="11">
        <f t="shared" si="60"/>
        <v>0.19182911654915147</v>
      </c>
      <c r="P331" s="11"/>
      <c r="Q331" s="8">
        <f t="shared" si="61"/>
        <v>11100.000000000102</v>
      </c>
      <c r="R331" s="12">
        <f t="shared" si="62"/>
        <v>0</v>
      </c>
    </row>
    <row r="332" spans="1:19" ht="14.25">
      <c r="A332" s="15">
        <v>46167</v>
      </c>
      <c r="B332" s="3">
        <f>Data_Entry!T422</f>
        <v>12450.0000000002</v>
      </c>
      <c r="C332" s="3">
        <v>0</v>
      </c>
      <c r="D332" s="4">
        <f>Data_Entry!V422</f>
        <v>5.29</v>
      </c>
      <c r="E332" s="5">
        <f t="shared" si="54"/>
        <v>0.21515968477810382</v>
      </c>
      <c r="F332" s="6">
        <v>0</v>
      </c>
      <c r="G332" s="6">
        <v>0</v>
      </c>
      <c r="H332" s="7">
        <f t="shared" si="55"/>
        <v>0</v>
      </c>
      <c r="I332" s="7">
        <f t="shared" si="56"/>
        <v>0</v>
      </c>
      <c r="J332" s="8">
        <v>2411</v>
      </c>
      <c r="K332" s="9"/>
      <c r="L332" s="8">
        <f t="shared" si="57"/>
        <v>28932</v>
      </c>
      <c r="M332" s="7">
        <f t="shared" si="58"/>
        <v>0</v>
      </c>
      <c r="N332" s="10">
        <f t="shared" si="59"/>
        <v>1</v>
      </c>
      <c r="O332" s="11">
        <f t="shared" si="60"/>
        <v>0.21515968477810382</v>
      </c>
      <c r="P332" s="11"/>
      <c r="Q332" s="8">
        <f t="shared" si="61"/>
        <v>12450.0000000002</v>
      </c>
      <c r="R332" s="12">
        <f t="shared" si="62"/>
        <v>0</v>
      </c>
    </row>
    <row r="333" spans="1:19" ht="14.25">
      <c r="A333" s="15">
        <v>46168</v>
      </c>
      <c r="B333" s="3">
        <f>Data_Entry!T423</f>
        <v>12989.9999999997</v>
      </c>
      <c r="C333" s="3">
        <v>0</v>
      </c>
      <c r="D333" s="4">
        <f>Data_Entry!V423</f>
        <v>5.8</v>
      </c>
      <c r="E333" s="5">
        <f t="shared" si="54"/>
        <v>0.22449191206967545</v>
      </c>
      <c r="F333" s="6">
        <v>0</v>
      </c>
      <c r="G333" s="6">
        <v>0</v>
      </c>
      <c r="H333" s="7">
        <f t="shared" si="55"/>
        <v>0</v>
      </c>
      <c r="I333" s="7">
        <f t="shared" si="56"/>
        <v>0</v>
      </c>
      <c r="J333" s="8">
        <v>2411</v>
      </c>
      <c r="K333" s="9"/>
      <c r="L333" s="8">
        <f t="shared" si="57"/>
        <v>28932</v>
      </c>
      <c r="M333" s="7">
        <f t="shared" si="58"/>
        <v>0</v>
      </c>
      <c r="N333" s="10">
        <f t="shared" si="59"/>
        <v>1</v>
      </c>
      <c r="O333" s="11">
        <f t="shared" si="60"/>
        <v>0.22449191206967545</v>
      </c>
      <c r="P333" s="11"/>
      <c r="Q333" s="8">
        <f t="shared" si="61"/>
        <v>12989.9999999997</v>
      </c>
      <c r="R333" s="12">
        <f t="shared" si="62"/>
        <v>0</v>
      </c>
    </row>
    <row r="334" spans="1:19" ht="14.25">
      <c r="A334" s="15">
        <v>46169</v>
      </c>
      <c r="B334" s="3">
        <f>Data_Entry!T424</f>
        <v>12929.9999999998</v>
      </c>
      <c r="C334" s="3">
        <v>0</v>
      </c>
      <c r="D334" s="4">
        <f>Data_Entry!V424</f>
        <v>5.67</v>
      </c>
      <c r="E334" s="5">
        <f t="shared" si="54"/>
        <v>0.22345499792616824</v>
      </c>
      <c r="F334" s="6">
        <v>0.50624999999999998</v>
      </c>
      <c r="G334" s="6">
        <v>0.51458333333333295</v>
      </c>
      <c r="H334" s="7">
        <f t="shared" si="55"/>
        <v>11.999999999999501</v>
      </c>
      <c r="I334" s="7">
        <f t="shared" si="56"/>
        <v>0.19999999999999099</v>
      </c>
      <c r="J334" s="8">
        <v>2411</v>
      </c>
      <c r="K334" s="9">
        <v>167.86</v>
      </c>
      <c r="L334" s="8">
        <f t="shared" si="57"/>
        <v>28932</v>
      </c>
      <c r="M334" s="7">
        <f t="shared" si="58"/>
        <v>33.571999999998489</v>
      </c>
      <c r="N334" s="10">
        <f t="shared" si="59"/>
        <v>0.99883962394580394</v>
      </c>
      <c r="O334" s="11">
        <f t="shared" si="60"/>
        <v>0.2237145909805163</v>
      </c>
      <c r="P334" s="11" t="s">
        <v>258</v>
      </c>
      <c r="Q334" s="8">
        <f t="shared" si="61"/>
        <v>12945.021092496594</v>
      </c>
      <c r="R334" s="12">
        <f t="shared" si="62"/>
        <v>15.021092496794154</v>
      </c>
    </row>
    <row r="335" spans="1:19" ht="14.25">
      <c r="A335" s="15">
        <v>46170</v>
      </c>
      <c r="B335" s="3">
        <f>Data_Entry!T425</f>
        <v>12660.0000000001</v>
      </c>
      <c r="C335" s="3">
        <v>0</v>
      </c>
      <c r="D335" s="4">
        <f>Data_Entry!V425</f>
        <v>5.78</v>
      </c>
      <c r="E335" s="5">
        <f t="shared" si="54"/>
        <v>0.21878888428038332</v>
      </c>
      <c r="F335" s="6">
        <v>0.51041666666666696</v>
      </c>
      <c r="G335" s="6">
        <v>0.58750000000000002</v>
      </c>
      <c r="H335" s="7">
        <f t="shared" si="55"/>
        <v>110.9999999999996</v>
      </c>
      <c r="I335" s="7">
        <f t="shared" si="56"/>
        <v>1.8499999999999934</v>
      </c>
      <c r="J335" s="8">
        <v>2411</v>
      </c>
      <c r="K335" s="9">
        <v>330</v>
      </c>
      <c r="L335" s="8">
        <f t="shared" si="57"/>
        <v>28932</v>
      </c>
      <c r="M335" s="7">
        <f t="shared" si="58"/>
        <v>610.49999999999784</v>
      </c>
      <c r="N335" s="10">
        <f t="shared" si="59"/>
        <v>0.9788987971795936</v>
      </c>
      <c r="O335" s="11">
        <f t="shared" si="60"/>
        <v>0.22350511095810779</v>
      </c>
      <c r="P335" s="11" t="s">
        <v>258</v>
      </c>
      <c r="Q335" s="8">
        <f t="shared" si="61"/>
        <v>12932.899740479948</v>
      </c>
      <c r="R335" s="12">
        <f t="shared" si="62"/>
        <v>272.89974047984833</v>
      </c>
      <c r="S335" s="13">
        <v>30</v>
      </c>
    </row>
    <row r="336" spans="1:19" ht="14.25">
      <c r="A336" s="15">
        <v>46171</v>
      </c>
      <c r="B336" s="3">
        <f>Data_Entry!T426</f>
        <v>11459.9999999998</v>
      </c>
      <c r="C336" s="3">
        <v>0</v>
      </c>
      <c r="D336" s="4">
        <f>Data_Entry!V426</f>
        <v>5.14</v>
      </c>
      <c r="E336" s="5">
        <f t="shared" si="54"/>
        <v>0.19805060141019978</v>
      </c>
      <c r="F336" s="6">
        <v>0.45</v>
      </c>
      <c r="G336" s="6">
        <v>0.49791666666666701</v>
      </c>
      <c r="H336" s="7">
        <f t="shared" si="55"/>
        <v>69.000000000000497</v>
      </c>
      <c r="I336" s="7">
        <f t="shared" si="56"/>
        <v>1.1500000000000099</v>
      </c>
      <c r="J336" s="8">
        <v>2411</v>
      </c>
      <c r="K336" s="9">
        <v>330</v>
      </c>
      <c r="L336" s="8">
        <f t="shared" si="57"/>
        <v>28932</v>
      </c>
      <c r="M336" s="7">
        <f t="shared" si="58"/>
        <v>379.50000000000324</v>
      </c>
      <c r="N336" s="10">
        <f t="shared" si="59"/>
        <v>0.98688303608461203</v>
      </c>
      <c r="O336" s="11">
        <f t="shared" si="60"/>
        <v>0.20068295245599863</v>
      </c>
      <c r="P336" s="11" t="s">
        <v>258</v>
      </c>
      <c r="Q336" s="8">
        <f t="shared" si="61"/>
        <v>11612.318360913905</v>
      </c>
      <c r="R336" s="12">
        <f t="shared" si="62"/>
        <v>152.31836091410514</v>
      </c>
      <c r="S336" s="13">
        <v>30</v>
      </c>
    </row>
    <row r="337" spans="1:19" ht="14.25">
      <c r="A337" s="15">
        <v>46172</v>
      </c>
      <c r="B337" s="3">
        <f>Data_Entry!T427</f>
        <v>11880.0000000001</v>
      </c>
      <c r="C337" s="3">
        <v>0</v>
      </c>
      <c r="D337" s="4">
        <f>Data_Entry!V427</f>
        <v>5.0999999999999996</v>
      </c>
      <c r="E337" s="5">
        <f t="shared" si="54"/>
        <v>0.20530900041476738</v>
      </c>
      <c r="F337" s="6">
        <v>0.53472222222222199</v>
      </c>
      <c r="G337" s="6">
        <v>0.55000000000000004</v>
      </c>
      <c r="H337" s="7">
        <f t="shared" si="55"/>
        <v>22.000000000000401</v>
      </c>
      <c r="I337" s="7">
        <f t="shared" si="56"/>
        <v>0.36666666666667302</v>
      </c>
      <c r="J337" s="8">
        <v>2411</v>
      </c>
      <c r="K337" s="9">
        <v>330</v>
      </c>
      <c r="L337" s="8">
        <f t="shared" si="57"/>
        <v>28932</v>
      </c>
      <c r="M337" s="7">
        <f t="shared" si="58"/>
        <v>121.0000000000021</v>
      </c>
      <c r="N337" s="10">
        <f t="shared" si="59"/>
        <v>0.99581777962118057</v>
      </c>
      <c r="O337" s="11">
        <f t="shared" si="60"/>
        <v>0.20617125403491898</v>
      </c>
      <c r="P337" s="11" t="s">
        <v>258</v>
      </c>
      <c r="Q337" s="8">
        <f t="shared" si="61"/>
        <v>11929.893443476552</v>
      </c>
      <c r="R337" s="12">
        <f t="shared" si="62"/>
        <v>49.893443476452376</v>
      </c>
      <c r="S337" s="13">
        <v>50</v>
      </c>
    </row>
    <row r="338" spans="1:19" ht="14.25">
      <c r="A338" s="15">
        <v>46173</v>
      </c>
      <c r="B338" s="3">
        <f>Data_Entry!T428</f>
        <v>10559.9999999999</v>
      </c>
      <c r="C338" s="3">
        <v>1</v>
      </c>
      <c r="D338" s="4">
        <f>Data_Entry!V428</f>
        <v>5.2</v>
      </c>
      <c r="E338" s="5">
        <f t="shared" si="54"/>
        <v>0.18249688925756774</v>
      </c>
      <c r="F338" s="6">
        <v>0.37291666666666701</v>
      </c>
      <c r="G338" s="6">
        <v>0.38472222222222202</v>
      </c>
      <c r="H338" s="7">
        <f t="shared" si="55"/>
        <v>16.999999999999201</v>
      </c>
      <c r="I338" s="7">
        <f t="shared" si="56"/>
        <v>0.28333333333332</v>
      </c>
      <c r="J338" s="8">
        <v>2411</v>
      </c>
      <c r="K338" s="9">
        <v>330</v>
      </c>
      <c r="L338" s="8">
        <f t="shared" si="57"/>
        <v>28932</v>
      </c>
      <c r="M338" s="7">
        <f t="shared" si="58"/>
        <v>93.499999999995595</v>
      </c>
      <c r="N338" s="10">
        <f t="shared" si="59"/>
        <v>0.99676828425273067</v>
      </c>
      <c r="O338" s="11">
        <f t="shared" si="60"/>
        <v>0.18308857950309307</v>
      </c>
      <c r="P338" s="11" t="s">
        <v>258</v>
      </c>
      <c r="Q338" s="8">
        <f t="shared" si="61"/>
        <v>10594.237564366978</v>
      </c>
      <c r="R338" s="12">
        <f t="shared" si="62"/>
        <v>34.237564367078448</v>
      </c>
      <c r="S338" s="13">
        <v>20</v>
      </c>
    </row>
    <row r="339" spans="1:19" ht="14.25">
      <c r="A339" s="15">
        <v>46174</v>
      </c>
      <c r="B339" s="3">
        <f>Data_Entry!T429</f>
        <v>12510.0000000002</v>
      </c>
      <c r="C339" s="3">
        <v>0</v>
      </c>
      <c r="D339" s="4">
        <f>Data_Entry!V429</f>
        <v>4.99</v>
      </c>
      <c r="E339" s="5">
        <f t="shared" si="54"/>
        <v>0.21619659892161275</v>
      </c>
      <c r="F339" s="6">
        <v>0</v>
      </c>
      <c r="G339" s="6">
        <v>0</v>
      </c>
      <c r="H339" s="7">
        <f t="shared" si="55"/>
        <v>0</v>
      </c>
      <c r="I339" s="7">
        <f t="shared" si="56"/>
        <v>0</v>
      </c>
      <c r="J339" s="8">
        <v>2411</v>
      </c>
      <c r="K339" s="9"/>
      <c r="L339" s="8">
        <f t="shared" si="57"/>
        <v>28932</v>
      </c>
      <c r="M339" s="7">
        <f t="shared" si="58"/>
        <v>0</v>
      </c>
      <c r="N339" s="10">
        <f t="shared" si="59"/>
        <v>1</v>
      </c>
      <c r="O339" s="11">
        <f t="shared" si="60"/>
        <v>0.21619659892161275</v>
      </c>
      <c r="P339" s="11"/>
      <c r="Q339" s="8">
        <f t="shared" si="61"/>
        <v>12510.0000000002</v>
      </c>
      <c r="R339" s="12">
        <f t="shared" si="62"/>
        <v>0</v>
      </c>
    </row>
    <row r="340" spans="1:19" ht="14.25">
      <c r="A340" s="15">
        <v>46175</v>
      </c>
      <c r="B340" s="3">
        <f>Data_Entry!T430</f>
        <v>9959.9999999997799</v>
      </c>
      <c r="C340" s="3">
        <v>0</v>
      </c>
      <c r="D340" s="4">
        <f>Data_Entry!V430</f>
        <v>4.67</v>
      </c>
      <c r="E340" s="5">
        <f t="shared" si="54"/>
        <v>0.1721277478224765</v>
      </c>
      <c r="F340" s="6">
        <v>0.38194444444444398</v>
      </c>
      <c r="G340" s="6">
        <v>0.57013888888888897</v>
      </c>
      <c r="H340" s="7">
        <f t="shared" si="55"/>
        <v>271.00000000000102</v>
      </c>
      <c r="I340" s="7">
        <f t="shared" si="56"/>
        <v>4.5166666666666799</v>
      </c>
      <c r="J340" s="8">
        <v>2411</v>
      </c>
      <c r="K340" s="9">
        <v>330</v>
      </c>
      <c r="L340" s="8">
        <f t="shared" si="57"/>
        <v>28932</v>
      </c>
      <c r="M340" s="7">
        <f t="shared" si="58"/>
        <v>1490.5000000000043</v>
      </c>
      <c r="N340" s="10">
        <f t="shared" si="59"/>
        <v>0.94848264896999845</v>
      </c>
      <c r="O340" s="11">
        <f t="shared" si="60"/>
        <v>0.18147696007870892</v>
      </c>
      <c r="P340" s="11" t="s">
        <v>258</v>
      </c>
      <c r="Q340" s="8">
        <f t="shared" si="61"/>
        <v>10500.982817994412</v>
      </c>
      <c r="R340" s="12">
        <f t="shared" si="62"/>
        <v>540.98281799463257</v>
      </c>
    </row>
    <row r="341" spans="1:19" ht="14.25">
      <c r="A341" s="15">
        <v>46176</v>
      </c>
      <c r="B341" s="3">
        <f>Data_Entry!T431</f>
        <v>12390.0000000003</v>
      </c>
      <c r="C341" s="3">
        <v>0</v>
      </c>
      <c r="D341" s="4">
        <f>Data_Entry!V431</f>
        <v>5.49</v>
      </c>
      <c r="E341" s="5">
        <f t="shared" si="54"/>
        <v>0.21412277063459664</v>
      </c>
      <c r="F341" s="6">
        <v>0.50624999999999998</v>
      </c>
      <c r="G341" s="6">
        <v>0.54791666666666705</v>
      </c>
      <c r="H341" s="7">
        <f t="shared" si="55"/>
        <v>60.000000000000099</v>
      </c>
      <c r="I341" s="7">
        <f t="shared" si="56"/>
        <v>1</v>
      </c>
      <c r="J341" s="8">
        <v>2411</v>
      </c>
      <c r="K341" s="9">
        <v>330</v>
      </c>
      <c r="L341" s="8">
        <f t="shared" si="57"/>
        <v>28932</v>
      </c>
      <c r="M341" s="7">
        <f t="shared" si="58"/>
        <v>330</v>
      </c>
      <c r="N341" s="10">
        <f t="shared" si="59"/>
        <v>0.98859394442140192</v>
      </c>
      <c r="O341" s="11">
        <f t="shared" si="60"/>
        <v>0.2165932452276117</v>
      </c>
      <c r="P341" s="11" t="s">
        <v>258</v>
      </c>
      <c r="Q341" s="8">
        <f t="shared" si="61"/>
        <v>12532.951541850522</v>
      </c>
      <c r="R341" s="12">
        <f t="shared" si="62"/>
        <v>142.95154185022147</v>
      </c>
    </row>
    <row r="342" spans="1:19" ht="14.25">
      <c r="A342" s="15">
        <v>46177</v>
      </c>
      <c r="B342" s="3">
        <f>Data_Entry!T432</f>
        <v>11160.0000000001</v>
      </c>
      <c r="C342" s="3">
        <v>0</v>
      </c>
      <c r="D342" s="4">
        <f>Data_Entry!V432</f>
        <v>4.79</v>
      </c>
      <c r="E342" s="5">
        <f t="shared" si="54"/>
        <v>0.19286603069266037</v>
      </c>
      <c r="F342" s="6">
        <v>0.47569444444444398</v>
      </c>
      <c r="G342" s="6">
        <v>0.48611111111111099</v>
      </c>
      <c r="H342" s="7">
        <f t="shared" si="55"/>
        <v>15</v>
      </c>
      <c r="I342" s="7">
        <f t="shared" si="56"/>
        <v>0.25</v>
      </c>
      <c r="J342" s="8">
        <v>2411</v>
      </c>
      <c r="K342" s="9">
        <v>330</v>
      </c>
      <c r="L342" s="8">
        <f t="shared" si="57"/>
        <v>28932</v>
      </c>
      <c r="M342" s="7">
        <f t="shared" si="58"/>
        <v>82.5</v>
      </c>
      <c r="N342" s="10">
        <f t="shared" si="59"/>
        <v>0.99714848610535045</v>
      </c>
      <c r="O342" s="11">
        <f t="shared" si="60"/>
        <v>0.19341756356262846</v>
      </c>
      <c r="P342" s="11" t="s">
        <v>258</v>
      </c>
      <c r="Q342" s="8">
        <f t="shared" si="61"/>
        <v>11191.913897987932</v>
      </c>
      <c r="R342" s="12">
        <f t="shared" si="62"/>
        <v>31.91389798783166</v>
      </c>
    </row>
    <row r="343" spans="1:19" ht="14.25">
      <c r="A343" s="15">
        <v>46178</v>
      </c>
      <c r="B343" s="3">
        <f>Data_Entry!T433</f>
        <v>11279.9999999999</v>
      </c>
      <c r="C343" s="3">
        <v>0</v>
      </c>
      <c r="D343" s="4">
        <f>Data_Entry!V433</f>
        <v>4.71</v>
      </c>
      <c r="E343" s="5">
        <f t="shared" si="54"/>
        <v>0.19493985897967475</v>
      </c>
      <c r="F343" s="6">
        <v>0</v>
      </c>
      <c r="G343" s="6">
        <v>0</v>
      </c>
      <c r="H343" s="7">
        <f t="shared" si="55"/>
        <v>0</v>
      </c>
      <c r="I343" s="7">
        <f t="shared" si="56"/>
        <v>0</v>
      </c>
      <c r="J343" s="8">
        <v>2411</v>
      </c>
      <c r="K343" s="9"/>
      <c r="L343" s="8">
        <f t="shared" si="57"/>
        <v>28932</v>
      </c>
      <c r="M343" s="7">
        <f t="shared" si="58"/>
        <v>0</v>
      </c>
      <c r="N343" s="10">
        <f t="shared" si="59"/>
        <v>1</v>
      </c>
      <c r="O343" s="11">
        <f t="shared" si="60"/>
        <v>0.19493985897967475</v>
      </c>
      <c r="P343" s="11"/>
      <c r="Q343" s="8">
        <f t="shared" si="61"/>
        <v>11279.9999999999</v>
      </c>
      <c r="R343" s="12">
        <f t="shared" si="62"/>
        <v>0</v>
      </c>
    </row>
    <row r="344" spans="1:19" ht="14.25">
      <c r="A344" s="15">
        <v>46179</v>
      </c>
      <c r="B344" s="3">
        <f>Data_Entry!T434</f>
        <v>0</v>
      </c>
      <c r="C344" s="3">
        <v>0</v>
      </c>
      <c r="D344" s="4">
        <f>Data_Entry!V434</f>
        <v>0</v>
      </c>
      <c r="E344" s="5">
        <f t="shared" si="54"/>
        <v>0</v>
      </c>
      <c r="F344" s="6">
        <v>0</v>
      </c>
      <c r="G344" s="6">
        <v>0</v>
      </c>
      <c r="H344" s="7">
        <f t="shared" si="55"/>
        <v>0</v>
      </c>
      <c r="I344" s="7">
        <f t="shared" si="56"/>
        <v>0</v>
      </c>
      <c r="J344" s="8">
        <v>2411</v>
      </c>
      <c r="K344" s="9"/>
      <c r="L344" s="8">
        <f t="shared" si="57"/>
        <v>28932</v>
      </c>
      <c r="M344" s="7">
        <f t="shared" si="58"/>
        <v>0</v>
      </c>
      <c r="N344" s="10">
        <f t="shared" si="59"/>
        <v>1</v>
      </c>
      <c r="O344" s="11">
        <f t="shared" si="60"/>
        <v>0</v>
      </c>
      <c r="P344" s="11"/>
      <c r="Q344" s="8">
        <f t="shared" si="61"/>
        <v>0</v>
      </c>
      <c r="R344" s="12">
        <f t="shared" si="62"/>
        <v>0</v>
      </c>
    </row>
    <row r="345" spans="1:19" ht="14.25">
      <c r="A345" s="15">
        <v>46180</v>
      </c>
      <c r="B345" s="3">
        <f>Data_Entry!T435</f>
        <v>0</v>
      </c>
      <c r="C345" s="3">
        <v>0</v>
      </c>
      <c r="D345" s="4">
        <f>Data_Entry!V435</f>
        <v>0</v>
      </c>
      <c r="E345" s="5">
        <f t="shared" si="54"/>
        <v>0</v>
      </c>
      <c r="F345" s="6">
        <v>0</v>
      </c>
      <c r="G345" s="6">
        <v>0</v>
      </c>
      <c r="H345" s="7">
        <f t="shared" si="55"/>
        <v>0</v>
      </c>
      <c r="I345" s="7">
        <f t="shared" si="56"/>
        <v>0</v>
      </c>
      <c r="J345" s="8">
        <v>2411</v>
      </c>
      <c r="K345" s="9"/>
      <c r="L345" s="8">
        <f t="shared" si="57"/>
        <v>28932</v>
      </c>
      <c r="M345" s="7">
        <f t="shared" si="58"/>
        <v>0</v>
      </c>
      <c r="N345" s="10">
        <f t="shared" si="59"/>
        <v>1</v>
      </c>
      <c r="O345" s="11">
        <f t="shared" si="60"/>
        <v>0</v>
      </c>
      <c r="P345" s="11"/>
      <c r="Q345" s="8">
        <f t="shared" si="61"/>
        <v>0</v>
      </c>
      <c r="R345" s="12">
        <f t="shared" si="62"/>
        <v>0</v>
      </c>
    </row>
    <row r="346" spans="1:19" ht="14.25">
      <c r="A346" s="15">
        <v>46181</v>
      </c>
      <c r="B346" s="3">
        <f>Data_Entry!T436</f>
        <v>0</v>
      </c>
      <c r="C346" s="3">
        <v>0</v>
      </c>
      <c r="D346" s="4">
        <f>Data_Entry!V436</f>
        <v>0</v>
      </c>
      <c r="E346" s="5">
        <f t="shared" si="54"/>
        <v>0</v>
      </c>
      <c r="F346" s="6">
        <v>0</v>
      </c>
      <c r="G346" s="6">
        <v>0</v>
      </c>
      <c r="H346" s="7">
        <f t="shared" si="55"/>
        <v>0</v>
      </c>
      <c r="I346" s="7">
        <f t="shared" si="56"/>
        <v>0</v>
      </c>
      <c r="J346" s="8">
        <v>2411</v>
      </c>
      <c r="K346" s="9"/>
      <c r="L346" s="8">
        <f t="shared" si="57"/>
        <v>28932</v>
      </c>
      <c r="M346" s="7">
        <f t="shared" si="58"/>
        <v>0</v>
      </c>
      <c r="N346" s="10">
        <f t="shared" si="59"/>
        <v>1</v>
      </c>
      <c r="O346" s="11">
        <f t="shared" si="60"/>
        <v>0</v>
      </c>
      <c r="P346" s="11"/>
      <c r="Q346" s="8">
        <f t="shared" si="61"/>
        <v>0</v>
      </c>
      <c r="R346" s="12">
        <f t="shared" si="62"/>
        <v>0</v>
      </c>
    </row>
    <row r="347" spans="1:19" ht="14.25">
      <c r="A347" s="15">
        <v>46182</v>
      </c>
      <c r="B347" s="3">
        <f>Data_Entry!T437</f>
        <v>0</v>
      </c>
      <c r="C347" s="3">
        <v>0</v>
      </c>
      <c r="D347" s="4">
        <f>Data_Entry!V437</f>
        <v>0</v>
      </c>
      <c r="E347" s="5">
        <f t="shared" si="54"/>
        <v>0</v>
      </c>
      <c r="F347" s="6">
        <v>0</v>
      </c>
      <c r="G347" s="6">
        <v>0</v>
      </c>
      <c r="H347" s="7">
        <f t="shared" si="55"/>
        <v>0</v>
      </c>
      <c r="I347" s="7">
        <f t="shared" si="56"/>
        <v>0</v>
      </c>
      <c r="J347" s="8">
        <v>2411</v>
      </c>
      <c r="K347" s="9"/>
      <c r="L347" s="8">
        <f t="shared" si="57"/>
        <v>28932</v>
      </c>
      <c r="M347" s="7">
        <f t="shared" si="58"/>
        <v>0</v>
      </c>
      <c r="N347" s="10">
        <f t="shared" si="59"/>
        <v>1</v>
      </c>
      <c r="O347" s="11">
        <f t="shared" si="60"/>
        <v>0</v>
      </c>
      <c r="P347" s="11"/>
      <c r="Q347" s="8">
        <f t="shared" si="61"/>
        <v>0</v>
      </c>
      <c r="R347" s="12">
        <f t="shared" si="62"/>
        <v>0</v>
      </c>
    </row>
    <row r="348" spans="1:19" ht="14.25">
      <c r="A348" s="15">
        <v>46183</v>
      </c>
      <c r="B348" s="3">
        <f>Data_Entry!T438</f>
        <v>0</v>
      </c>
      <c r="C348" s="3">
        <v>0</v>
      </c>
      <c r="D348" s="4">
        <f>Data_Entry!V438</f>
        <v>0</v>
      </c>
      <c r="E348" s="5">
        <f t="shared" si="54"/>
        <v>0</v>
      </c>
      <c r="F348" s="6">
        <v>0</v>
      </c>
      <c r="G348" s="6">
        <v>0</v>
      </c>
      <c r="H348" s="7">
        <f t="shared" si="55"/>
        <v>0</v>
      </c>
      <c r="I348" s="7">
        <f t="shared" si="56"/>
        <v>0</v>
      </c>
      <c r="J348" s="8">
        <v>2411</v>
      </c>
      <c r="K348" s="9"/>
      <c r="L348" s="8">
        <f t="shared" si="57"/>
        <v>28932</v>
      </c>
      <c r="M348" s="7">
        <f t="shared" si="58"/>
        <v>0</v>
      </c>
      <c r="N348" s="10">
        <f t="shared" si="59"/>
        <v>1</v>
      </c>
      <c r="O348" s="11">
        <f t="shared" si="60"/>
        <v>0</v>
      </c>
      <c r="P348" s="11"/>
      <c r="Q348" s="8">
        <f t="shared" si="61"/>
        <v>0</v>
      </c>
      <c r="R348" s="12">
        <f t="shared" si="62"/>
        <v>0</v>
      </c>
    </row>
    <row r="349" spans="1:19">
      <c r="B349" s="13"/>
      <c r="C349" s="13"/>
      <c r="D349" s="13"/>
    </row>
    <row r="350" spans="1:19">
      <c r="B350" s="13"/>
      <c r="C350" s="13"/>
      <c r="D350" s="13"/>
    </row>
    <row r="351" spans="1:19">
      <c r="B351" s="13"/>
      <c r="C351" s="13"/>
      <c r="D351" s="13"/>
    </row>
    <row r="352" spans="1:19">
      <c r="B352" s="13"/>
      <c r="C352" s="13"/>
      <c r="D352" s="13"/>
    </row>
    <row r="353" spans="2:4">
      <c r="B353" s="13"/>
      <c r="C353" s="13"/>
      <c r="D353" s="13"/>
    </row>
    <row r="354" spans="2:4">
      <c r="B354" s="13"/>
      <c r="C354" s="13"/>
      <c r="D354" s="13"/>
    </row>
    <row r="355" spans="2:4">
      <c r="B355" s="13"/>
      <c r="C355" s="13"/>
      <c r="D355" s="13"/>
    </row>
    <row r="356" spans="2:4">
      <c r="B356" s="13"/>
      <c r="C356" s="13"/>
      <c r="D356" s="13"/>
    </row>
    <row r="357" spans="2:4">
      <c r="B357" s="13"/>
      <c r="C357" s="13"/>
      <c r="D357" s="13"/>
    </row>
    <row r="358" spans="2:4">
      <c r="B358" s="13"/>
      <c r="C358" s="13"/>
      <c r="D358" s="13"/>
    </row>
    <row r="359" spans="2:4">
      <c r="B359" s="13"/>
      <c r="C359" s="13"/>
      <c r="D359" s="13"/>
    </row>
    <row r="360" spans="2:4">
      <c r="B360" s="13"/>
      <c r="C360" s="13"/>
      <c r="D360" s="13"/>
    </row>
    <row r="361" spans="2:4">
      <c r="B361" s="13"/>
      <c r="C361" s="13"/>
      <c r="D361" s="13"/>
    </row>
    <row r="362" spans="2:4">
      <c r="B362" s="13"/>
      <c r="C362" s="13"/>
      <c r="D362" s="13"/>
    </row>
    <row r="363" spans="2:4">
      <c r="B363" s="13"/>
      <c r="C363" s="13"/>
      <c r="D363" s="13"/>
    </row>
    <row r="364" spans="2:4">
      <c r="B364" s="13"/>
      <c r="C364" s="13"/>
      <c r="D364" s="13"/>
    </row>
    <row r="365" spans="2:4">
      <c r="B365" s="13"/>
      <c r="C365" s="13"/>
      <c r="D365" s="13"/>
    </row>
    <row r="366" spans="2:4">
      <c r="B366" s="13"/>
      <c r="C366" s="13"/>
      <c r="D366" s="13"/>
    </row>
    <row r="367" spans="2:4">
      <c r="B367" s="13"/>
      <c r="C367" s="13"/>
      <c r="D367" s="13"/>
    </row>
    <row r="368" spans="2:4">
      <c r="B368" s="13"/>
      <c r="C368" s="13"/>
      <c r="D368" s="13"/>
    </row>
    <row r="369" spans="2:4">
      <c r="B369" s="13"/>
      <c r="C369" s="13"/>
      <c r="D369" s="13"/>
    </row>
    <row r="370" spans="2:4">
      <c r="B370" s="13"/>
      <c r="C370" s="13"/>
      <c r="D370" s="13"/>
    </row>
    <row r="371" spans="2:4">
      <c r="B371" s="13"/>
      <c r="C371" s="13"/>
      <c r="D371" s="13"/>
    </row>
    <row r="372" spans="2:4">
      <c r="B372" s="13"/>
      <c r="C372" s="13"/>
      <c r="D372" s="13"/>
    </row>
    <row r="373" spans="2:4">
      <c r="B373" s="13"/>
      <c r="C373" s="13"/>
      <c r="D373" s="13"/>
    </row>
    <row r="374" spans="2:4">
      <c r="B374" s="13"/>
      <c r="C374" s="13"/>
      <c r="D374" s="13"/>
    </row>
    <row r="375" spans="2:4">
      <c r="B375" s="13"/>
      <c r="C375" s="13"/>
      <c r="D375" s="13"/>
    </row>
    <row r="376" spans="2:4">
      <c r="B376" s="13"/>
      <c r="C376" s="13"/>
      <c r="D376" s="13"/>
    </row>
    <row r="377" spans="2:4">
      <c r="B377" s="13"/>
      <c r="C377" s="13"/>
      <c r="D377" s="13"/>
    </row>
    <row r="378" spans="2:4">
      <c r="B378" s="13"/>
      <c r="C378" s="13"/>
      <c r="D378" s="13"/>
    </row>
    <row r="379" spans="2:4">
      <c r="B379" s="13"/>
      <c r="C379" s="13"/>
      <c r="D379" s="13"/>
    </row>
    <row r="380" spans="2:4">
      <c r="B380" s="13"/>
      <c r="C380" s="13"/>
      <c r="D380" s="13"/>
    </row>
    <row r="381" spans="2:4">
      <c r="B381" s="13"/>
      <c r="C381" s="13"/>
      <c r="D381" s="13"/>
    </row>
    <row r="382" spans="2:4">
      <c r="B382" s="13"/>
      <c r="C382" s="13"/>
      <c r="D382" s="13"/>
    </row>
    <row r="383" spans="2:4">
      <c r="B383" s="13"/>
      <c r="C383" s="13"/>
      <c r="D383" s="13"/>
    </row>
    <row r="384" spans="2:4">
      <c r="B384" s="13"/>
      <c r="C384" s="13"/>
      <c r="D384" s="13"/>
    </row>
    <row r="385" spans="2:4">
      <c r="B385" s="13"/>
      <c r="C385" s="13"/>
      <c r="D385" s="13"/>
    </row>
    <row r="386" spans="2:4">
      <c r="B386" s="13"/>
      <c r="C386" s="13"/>
      <c r="D386" s="13"/>
    </row>
    <row r="387" spans="2:4">
      <c r="B387" s="13"/>
      <c r="C387" s="13"/>
      <c r="D387" s="13"/>
    </row>
    <row r="388" spans="2:4">
      <c r="B388" s="13"/>
      <c r="C388" s="13"/>
      <c r="D388" s="13"/>
    </row>
    <row r="389" spans="2:4">
      <c r="B389" s="13"/>
      <c r="C389" s="13"/>
      <c r="D389" s="13"/>
    </row>
    <row r="390" spans="2:4">
      <c r="B390" s="13"/>
      <c r="C390" s="13"/>
      <c r="D390" s="13"/>
    </row>
    <row r="391" spans="2:4">
      <c r="B391" s="13"/>
      <c r="C391" s="13"/>
      <c r="D391" s="13"/>
    </row>
    <row r="392" spans="2:4">
      <c r="B392" s="13"/>
      <c r="C392" s="13"/>
      <c r="D392" s="13"/>
    </row>
    <row r="393" spans="2:4">
      <c r="B393" s="13"/>
      <c r="C393" s="13"/>
      <c r="D393" s="13"/>
    </row>
    <row r="394" spans="2:4">
      <c r="B394" s="13"/>
      <c r="C394" s="13"/>
      <c r="D394" s="13"/>
    </row>
    <row r="395" spans="2:4">
      <c r="B395" s="13"/>
      <c r="C395" s="13"/>
      <c r="D395" s="13"/>
    </row>
    <row r="396" spans="2:4">
      <c r="B396" s="13"/>
      <c r="C396" s="13"/>
      <c r="D396" s="13"/>
    </row>
    <row r="397" spans="2:4">
      <c r="B397" s="13"/>
      <c r="C397" s="13"/>
      <c r="D397" s="13"/>
    </row>
    <row r="398" spans="2:4">
      <c r="B398" s="13"/>
      <c r="C398" s="13"/>
      <c r="D398" s="13"/>
    </row>
    <row r="399" spans="2:4">
      <c r="B399" s="13"/>
      <c r="C399" s="13"/>
      <c r="D399" s="13"/>
    </row>
    <row r="400" spans="2:4">
      <c r="B400" s="13"/>
      <c r="C400" s="13"/>
      <c r="D400" s="13"/>
    </row>
    <row r="401" spans="2:4">
      <c r="B401" s="13"/>
      <c r="C401" s="13"/>
      <c r="D401" s="13"/>
    </row>
    <row r="402" spans="2:4">
      <c r="B402" s="13"/>
      <c r="C402" s="13"/>
      <c r="D402" s="13"/>
    </row>
    <row r="403" spans="2:4">
      <c r="B403" s="13"/>
      <c r="C403" s="13"/>
      <c r="D403" s="13"/>
    </row>
    <row r="404" spans="2:4">
      <c r="B404" s="13"/>
      <c r="C404" s="13"/>
      <c r="D404" s="13"/>
    </row>
    <row r="405" spans="2:4">
      <c r="B405" s="13"/>
      <c r="C405" s="13"/>
      <c r="D405" s="13"/>
    </row>
    <row r="406" spans="2:4">
      <c r="B406" s="13"/>
      <c r="C406" s="13"/>
      <c r="D406" s="13"/>
    </row>
    <row r="407" spans="2:4">
      <c r="B407" s="13"/>
      <c r="C407" s="13"/>
      <c r="D407" s="13"/>
    </row>
    <row r="408" spans="2:4">
      <c r="B408" s="13"/>
      <c r="C408" s="13"/>
      <c r="D408" s="13"/>
    </row>
    <row r="409" spans="2:4">
      <c r="B409" s="13"/>
      <c r="C409" s="13"/>
      <c r="D409" s="13"/>
    </row>
    <row r="410" spans="2:4">
      <c r="B410" s="13"/>
      <c r="C410" s="13"/>
      <c r="D410" s="13"/>
    </row>
    <row r="411" spans="2:4">
      <c r="B411" s="13"/>
      <c r="C411" s="13"/>
      <c r="D411" s="13"/>
    </row>
    <row r="412" spans="2:4">
      <c r="B412" s="13"/>
      <c r="C412" s="13"/>
      <c r="D412" s="13"/>
    </row>
    <row r="413" spans="2:4">
      <c r="B413" s="13"/>
      <c r="C413" s="13"/>
      <c r="D413" s="13"/>
    </row>
    <row r="414" spans="2:4">
      <c r="B414" s="13"/>
      <c r="C414" s="13"/>
      <c r="D414" s="13"/>
    </row>
    <row r="415" spans="2:4">
      <c r="B415" s="13"/>
      <c r="C415" s="13"/>
      <c r="D415" s="13"/>
    </row>
    <row r="416" spans="2:4">
      <c r="B416" s="13"/>
      <c r="C416" s="13"/>
      <c r="D416" s="13"/>
    </row>
    <row r="417" spans="2:4">
      <c r="B417" s="13"/>
      <c r="C417" s="13"/>
      <c r="D417" s="13"/>
    </row>
    <row r="418" spans="2:4">
      <c r="B418" s="13"/>
      <c r="C418" s="13"/>
      <c r="D418" s="13"/>
    </row>
    <row r="419" spans="2:4">
      <c r="B419" s="13"/>
      <c r="C419" s="13"/>
      <c r="D419" s="13"/>
    </row>
    <row r="420" spans="2:4">
      <c r="B420" s="13"/>
      <c r="C420" s="13"/>
      <c r="D420" s="13"/>
    </row>
    <row r="421" spans="2:4">
      <c r="B421" s="13"/>
      <c r="C421" s="13"/>
      <c r="D421" s="13"/>
    </row>
    <row r="422" spans="2:4">
      <c r="B422" s="13"/>
      <c r="C422" s="13"/>
      <c r="D422" s="13"/>
    </row>
    <row r="423" spans="2:4">
      <c r="B423" s="13"/>
      <c r="C423" s="13"/>
      <c r="D423" s="13"/>
    </row>
    <row r="424" spans="2:4">
      <c r="B424" s="13"/>
      <c r="C424" s="13"/>
      <c r="D424" s="13"/>
    </row>
    <row r="425" spans="2:4">
      <c r="B425" s="13"/>
      <c r="C425" s="13"/>
      <c r="D425" s="13"/>
    </row>
    <row r="426" spans="2:4">
      <c r="B426" s="13"/>
      <c r="C426" s="13"/>
      <c r="D426" s="13"/>
    </row>
    <row r="427" spans="2:4">
      <c r="B427" s="13"/>
      <c r="C427" s="13"/>
      <c r="D427" s="13"/>
    </row>
    <row r="428" spans="2:4">
      <c r="B428" s="13"/>
      <c r="C428" s="13"/>
      <c r="D428" s="13"/>
    </row>
    <row r="429" spans="2:4">
      <c r="B429" s="13"/>
      <c r="C429" s="13"/>
      <c r="D429" s="13"/>
    </row>
    <row r="430" spans="2:4">
      <c r="B430" s="13"/>
      <c r="C430" s="13"/>
      <c r="D430" s="13"/>
    </row>
    <row r="431" spans="2:4">
      <c r="B431" s="13"/>
      <c r="C431" s="13"/>
      <c r="D431" s="13"/>
    </row>
    <row r="432" spans="2:4">
      <c r="B432" s="13"/>
      <c r="C432" s="13"/>
      <c r="D432" s="13"/>
    </row>
    <row r="433" spans="2:4">
      <c r="B433" s="13"/>
      <c r="C433" s="13"/>
      <c r="D433" s="13"/>
    </row>
    <row r="434" spans="2:4">
      <c r="B434" s="13"/>
      <c r="C434" s="13"/>
      <c r="D434" s="13"/>
    </row>
    <row r="435" spans="2:4">
      <c r="B435" s="13"/>
      <c r="C435" s="13"/>
      <c r="D435" s="13"/>
    </row>
    <row r="436" spans="2:4">
      <c r="B436" s="13"/>
      <c r="C436" s="13"/>
      <c r="D436" s="13"/>
    </row>
    <row r="437" spans="2:4">
      <c r="B437" s="13"/>
      <c r="C437" s="13"/>
      <c r="D437" s="13"/>
    </row>
    <row r="438" spans="2:4">
      <c r="B438" s="13"/>
      <c r="C438" s="13"/>
      <c r="D438" s="13"/>
    </row>
    <row r="439" spans="2:4">
      <c r="B439" s="13"/>
      <c r="C439" s="13"/>
      <c r="D439" s="13"/>
    </row>
    <row r="440" spans="2:4">
      <c r="B440" s="13"/>
      <c r="C440" s="13"/>
      <c r="D440" s="13"/>
    </row>
    <row r="441" spans="2:4">
      <c r="B441" s="13"/>
      <c r="C441" s="13"/>
      <c r="D441" s="13"/>
    </row>
    <row r="442" spans="2:4">
      <c r="B442" s="13"/>
      <c r="C442" s="13"/>
      <c r="D442" s="13"/>
    </row>
    <row r="443" spans="2:4">
      <c r="B443" s="13"/>
      <c r="C443" s="13"/>
      <c r="D443" s="13"/>
    </row>
    <row r="444" spans="2:4">
      <c r="B444" s="13"/>
      <c r="C444" s="13"/>
      <c r="D444" s="13"/>
    </row>
    <row r="445" spans="2:4">
      <c r="B445" s="13"/>
      <c r="C445" s="13"/>
      <c r="D445" s="13"/>
    </row>
    <row r="446" spans="2:4">
      <c r="B446" s="13"/>
      <c r="C446" s="13"/>
      <c r="D446" s="13"/>
    </row>
    <row r="447" spans="2:4">
      <c r="B447" s="13"/>
      <c r="C447" s="13"/>
      <c r="D447" s="13"/>
    </row>
    <row r="448" spans="2:4">
      <c r="B448" s="13"/>
      <c r="C448" s="13"/>
      <c r="D448" s="13"/>
    </row>
    <row r="449" spans="2:4">
      <c r="B449" s="13"/>
      <c r="C449" s="13"/>
      <c r="D449" s="13"/>
    </row>
    <row r="450" spans="2:4">
      <c r="B450" s="13"/>
      <c r="C450" s="13"/>
      <c r="D450" s="13"/>
    </row>
    <row r="451" spans="2:4">
      <c r="B451" s="13"/>
      <c r="C451" s="13"/>
      <c r="D451" s="13"/>
    </row>
    <row r="452" spans="2:4">
      <c r="B452" s="13"/>
      <c r="C452" s="13"/>
      <c r="D452" s="13"/>
    </row>
    <row r="453" spans="2:4">
      <c r="B453" s="13"/>
      <c r="C453" s="13"/>
      <c r="D453" s="13"/>
    </row>
    <row r="454" spans="2:4">
      <c r="B454" s="13"/>
      <c r="C454" s="13"/>
      <c r="D454" s="13"/>
    </row>
    <row r="455" spans="2:4">
      <c r="B455" s="13"/>
      <c r="C455" s="13"/>
      <c r="D455" s="13"/>
    </row>
    <row r="456" spans="2:4">
      <c r="B456" s="13"/>
      <c r="C456" s="13"/>
      <c r="D456" s="13"/>
    </row>
    <row r="457" spans="2:4">
      <c r="B457" s="13"/>
      <c r="C457" s="13"/>
      <c r="D457" s="13"/>
    </row>
    <row r="458" spans="2:4">
      <c r="B458" s="13"/>
      <c r="C458" s="13"/>
      <c r="D458" s="13"/>
    </row>
    <row r="459" spans="2:4">
      <c r="B459" s="13"/>
      <c r="C459" s="13"/>
      <c r="D459" s="13"/>
    </row>
    <row r="460" spans="2:4">
      <c r="B460" s="13"/>
      <c r="C460" s="13"/>
      <c r="D460" s="13"/>
    </row>
    <row r="461" spans="2:4">
      <c r="B461" s="13"/>
      <c r="C461" s="13"/>
      <c r="D461" s="13"/>
    </row>
    <row r="462" spans="2:4">
      <c r="B462" s="13"/>
      <c r="C462" s="13"/>
      <c r="D462" s="13"/>
    </row>
    <row r="463" spans="2:4">
      <c r="B463" s="13"/>
      <c r="C463" s="13"/>
      <c r="D463" s="13"/>
    </row>
    <row r="464" spans="2:4">
      <c r="B464" s="13"/>
      <c r="C464" s="13"/>
      <c r="D464" s="13"/>
    </row>
    <row r="465" spans="2:4">
      <c r="B465" s="13"/>
      <c r="C465" s="13"/>
      <c r="D465" s="13"/>
    </row>
    <row r="466" spans="2:4">
      <c r="B466" s="13"/>
      <c r="C466" s="13"/>
      <c r="D466" s="13"/>
    </row>
    <row r="467" spans="2:4">
      <c r="B467" s="13"/>
      <c r="C467" s="13"/>
      <c r="D467" s="13"/>
    </row>
    <row r="468" spans="2:4">
      <c r="B468" s="13"/>
      <c r="C468" s="13"/>
      <c r="D468" s="13"/>
    </row>
    <row r="469" spans="2:4">
      <c r="B469" s="13"/>
      <c r="C469" s="13"/>
      <c r="D469" s="13"/>
    </row>
    <row r="470" spans="2:4">
      <c r="B470" s="13"/>
      <c r="C470" s="13"/>
      <c r="D470" s="13"/>
    </row>
    <row r="471" spans="2:4">
      <c r="B471" s="13"/>
      <c r="C471" s="13"/>
      <c r="D471" s="13"/>
    </row>
    <row r="472" spans="2:4">
      <c r="B472" s="13"/>
      <c r="C472" s="13"/>
      <c r="D472" s="13"/>
    </row>
    <row r="473" spans="2:4">
      <c r="B473" s="13"/>
      <c r="C473" s="13"/>
      <c r="D473" s="13"/>
    </row>
    <row r="474" spans="2:4">
      <c r="B474" s="13"/>
      <c r="C474" s="13"/>
      <c r="D474" s="13"/>
    </row>
    <row r="475" spans="2:4">
      <c r="B475" s="13"/>
      <c r="C475" s="13"/>
      <c r="D475" s="13"/>
    </row>
    <row r="476" spans="2:4">
      <c r="B476" s="13"/>
      <c r="C476" s="13"/>
      <c r="D476" s="13"/>
    </row>
    <row r="477" spans="2:4">
      <c r="B477" s="13"/>
      <c r="C477" s="13"/>
      <c r="D477" s="13"/>
    </row>
    <row r="478" spans="2:4">
      <c r="B478" s="13"/>
      <c r="C478" s="13"/>
      <c r="D478" s="13"/>
    </row>
    <row r="479" spans="2:4">
      <c r="B479" s="13"/>
      <c r="C479" s="13"/>
      <c r="D479" s="13"/>
    </row>
    <row r="480" spans="2:4">
      <c r="B480" s="13"/>
      <c r="C480" s="13"/>
      <c r="D480" s="13"/>
    </row>
    <row r="481" spans="2:4">
      <c r="B481" s="13"/>
      <c r="C481" s="13"/>
      <c r="D481" s="13"/>
    </row>
    <row r="482" spans="2:4">
      <c r="B482" s="13"/>
      <c r="C482" s="13"/>
      <c r="D482" s="13"/>
    </row>
    <row r="483" spans="2:4">
      <c r="B483" s="13"/>
      <c r="C483" s="13"/>
      <c r="D483" s="13"/>
    </row>
    <row r="484" spans="2:4">
      <c r="B484" s="13"/>
      <c r="C484" s="13"/>
      <c r="D484" s="13"/>
    </row>
    <row r="485" spans="2:4">
      <c r="B485" s="13"/>
      <c r="C485" s="13"/>
      <c r="D485" s="13"/>
    </row>
    <row r="486" spans="2:4">
      <c r="B486" s="13"/>
      <c r="C486" s="13"/>
      <c r="D486" s="13"/>
    </row>
    <row r="487" spans="2:4">
      <c r="B487" s="13"/>
      <c r="C487" s="13"/>
      <c r="D487" s="13"/>
    </row>
    <row r="488" spans="2:4">
      <c r="B488" s="13"/>
      <c r="C488" s="13"/>
      <c r="D488" s="13"/>
    </row>
    <row r="489" spans="2:4">
      <c r="B489" s="13"/>
      <c r="C489" s="13"/>
      <c r="D489" s="13"/>
    </row>
    <row r="490" spans="2:4">
      <c r="B490" s="13"/>
      <c r="C490" s="13"/>
      <c r="D490" s="13"/>
    </row>
    <row r="491" spans="2:4">
      <c r="B491" s="13"/>
      <c r="C491" s="13"/>
      <c r="D491" s="13"/>
    </row>
    <row r="492" spans="2:4">
      <c r="B492" s="13"/>
      <c r="C492" s="13"/>
      <c r="D492" s="13"/>
    </row>
    <row r="493" spans="2:4">
      <c r="B493" s="13"/>
      <c r="C493" s="13"/>
      <c r="D493" s="13"/>
    </row>
    <row r="494" spans="2:4">
      <c r="B494" s="13"/>
      <c r="C494" s="13"/>
      <c r="D494" s="13"/>
    </row>
    <row r="495" spans="2:4">
      <c r="B495" s="13"/>
      <c r="C495" s="13"/>
      <c r="D495" s="13"/>
    </row>
    <row r="496" spans="2:4">
      <c r="B496" s="13"/>
      <c r="C496" s="13"/>
      <c r="D496" s="13"/>
    </row>
    <row r="497" spans="2:4">
      <c r="B497" s="13"/>
      <c r="C497" s="13"/>
      <c r="D497" s="13"/>
    </row>
    <row r="498" spans="2:4">
      <c r="B498" s="13"/>
      <c r="C498" s="13"/>
      <c r="D498" s="13"/>
    </row>
    <row r="499" spans="2:4">
      <c r="B499" s="13"/>
      <c r="C499" s="13"/>
      <c r="D499" s="13"/>
    </row>
    <row r="500" spans="2:4">
      <c r="B500" s="13"/>
      <c r="C500" s="13"/>
      <c r="D500" s="13"/>
    </row>
    <row r="501" spans="2:4">
      <c r="B501" s="13"/>
      <c r="C501" s="13"/>
      <c r="D501" s="13"/>
    </row>
    <row r="502" spans="2:4">
      <c r="B502" s="13"/>
      <c r="C502" s="13"/>
      <c r="D502" s="13"/>
    </row>
    <row r="503" spans="2:4">
      <c r="B503" s="13"/>
      <c r="C503" s="13"/>
      <c r="D503" s="13"/>
    </row>
    <row r="504" spans="2:4">
      <c r="B504" s="13"/>
      <c r="C504" s="13"/>
      <c r="D504" s="13"/>
    </row>
    <row r="505" spans="2:4">
      <c r="B505" s="13"/>
      <c r="C505" s="13"/>
      <c r="D505" s="13"/>
    </row>
    <row r="506" spans="2:4">
      <c r="B506" s="13"/>
      <c r="C506" s="13"/>
      <c r="D506" s="13"/>
    </row>
    <row r="507" spans="2:4">
      <c r="B507" s="13"/>
      <c r="C507" s="13"/>
      <c r="D507" s="13"/>
    </row>
    <row r="508" spans="2:4">
      <c r="B508" s="13"/>
      <c r="C508" s="13"/>
      <c r="D508" s="13"/>
    </row>
    <row r="509" spans="2:4">
      <c r="B509" s="13"/>
      <c r="C509" s="13"/>
      <c r="D509" s="13"/>
    </row>
    <row r="510" spans="2:4">
      <c r="B510" s="13"/>
      <c r="C510" s="13"/>
      <c r="D510" s="13"/>
    </row>
    <row r="511" spans="2:4">
      <c r="B511" s="13"/>
      <c r="C511" s="13"/>
      <c r="D511" s="13"/>
    </row>
    <row r="512" spans="2:4">
      <c r="B512" s="13"/>
      <c r="C512" s="13"/>
      <c r="D512" s="13"/>
    </row>
    <row r="513" spans="2:4">
      <c r="B513" s="13"/>
      <c r="C513" s="13"/>
      <c r="D513" s="13"/>
    </row>
    <row r="514" spans="2:4">
      <c r="B514" s="13"/>
      <c r="C514" s="13"/>
      <c r="D514" s="13"/>
    </row>
    <row r="515" spans="2:4">
      <c r="B515" s="13"/>
      <c r="C515" s="13"/>
      <c r="D515" s="13"/>
    </row>
    <row r="516" spans="2:4">
      <c r="B516" s="13"/>
      <c r="C516" s="13"/>
      <c r="D516" s="13"/>
    </row>
    <row r="517" spans="2:4">
      <c r="B517" s="13"/>
      <c r="C517" s="13"/>
      <c r="D517" s="13"/>
    </row>
    <row r="518" spans="2:4">
      <c r="B518" s="13"/>
      <c r="C518" s="13"/>
      <c r="D518" s="13"/>
    </row>
    <row r="519" spans="2:4">
      <c r="B519" s="13"/>
      <c r="C519" s="13"/>
      <c r="D519" s="13"/>
    </row>
    <row r="520" spans="2:4">
      <c r="B520" s="13"/>
      <c r="C520" s="13"/>
      <c r="D520" s="13"/>
    </row>
    <row r="521" spans="2:4">
      <c r="B521" s="13"/>
      <c r="C521" s="13"/>
      <c r="D521" s="13"/>
    </row>
    <row r="522" spans="2:4">
      <c r="B522" s="13"/>
      <c r="C522" s="13"/>
      <c r="D522" s="13"/>
    </row>
    <row r="523" spans="2:4">
      <c r="B523" s="13"/>
      <c r="C523" s="13"/>
      <c r="D523" s="13"/>
    </row>
    <row r="524" spans="2:4">
      <c r="B524" s="13"/>
      <c r="C524" s="13"/>
      <c r="D524" s="13"/>
    </row>
    <row r="525" spans="2:4">
      <c r="B525" s="13"/>
      <c r="C525" s="13"/>
      <c r="D525" s="13"/>
    </row>
    <row r="526" spans="2:4">
      <c r="B526" s="13"/>
      <c r="C526" s="13"/>
      <c r="D526" s="13"/>
    </row>
    <row r="527" spans="2:4">
      <c r="B527" s="13"/>
      <c r="C527" s="13"/>
      <c r="D527" s="13"/>
    </row>
    <row r="528" spans="2:4">
      <c r="B528" s="13"/>
      <c r="C528" s="13"/>
      <c r="D528" s="13"/>
    </row>
    <row r="529" spans="2:4">
      <c r="B529" s="13"/>
      <c r="C529" s="13"/>
      <c r="D529" s="13"/>
    </row>
    <row r="530" spans="2:4">
      <c r="B530" s="13"/>
      <c r="C530" s="13"/>
      <c r="D530" s="13"/>
    </row>
    <row r="531" spans="2:4">
      <c r="B531" s="13"/>
      <c r="C531" s="13"/>
      <c r="D531" s="13"/>
    </row>
    <row r="532" spans="2:4">
      <c r="B532" s="13"/>
      <c r="C532" s="13"/>
      <c r="D532" s="13"/>
    </row>
    <row r="533" spans="2:4">
      <c r="B533" s="13"/>
      <c r="C533" s="13"/>
      <c r="D533" s="13"/>
    </row>
    <row r="534" spans="2:4">
      <c r="B534" s="13"/>
      <c r="C534" s="13"/>
      <c r="D534" s="13"/>
    </row>
    <row r="535" spans="2:4">
      <c r="B535" s="13"/>
      <c r="C535" s="13"/>
      <c r="D535" s="13"/>
    </row>
    <row r="536" spans="2:4">
      <c r="B536" s="13"/>
      <c r="C536" s="13"/>
      <c r="D536" s="13"/>
    </row>
    <row r="537" spans="2:4">
      <c r="B537" s="13"/>
      <c r="C537" s="13"/>
      <c r="D537" s="13"/>
    </row>
    <row r="538" spans="2:4">
      <c r="B538" s="13"/>
      <c r="C538" s="13"/>
      <c r="D538" s="13"/>
    </row>
    <row r="539" spans="2:4">
      <c r="B539" s="13"/>
      <c r="C539" s="13"/>
      <c r="D539" s="13"/>
    </row>
    <row r="540" spans="2:4">
      <c r="B540" s="13"/>
      <c r="C540" s="13"/>
      <c r="D540" s="13"/>
    </row>
    <row r="541" spans="2:4">
      <c r="B541" s="13"/>
      <c r="C541" s="13"/>
      <c r="D541" s="13"/>
    </row>
    <row r="542" spans="2:4">
      <c r="B542" s="13"/>
      <c r="C542" s="13"/>
      <c r="D542" s="13"/>
    </row>
    <row r="543" spans="2:4">
      <c r="B543" s="13"/>
      <c r="C543" s="13"/>
      <c r="D543" s="13"/>
    </row>
    <row r="544" spans="2:4">
      <c r="B544" s="13"/>
      <c r="C544" s="13"/>
      <c r="D544" s="13"/>
    </row>
    <row r="545" spans="2:4">
      <c r="B545" s="13"/>
      <c r="C545" s="13"/>
      <c r="D545" s="13"/>
    </row>
    <row r="546" spans="2:4">
      <c r="B546" s="13"/>
      <c r="C546" s="13"/>
      <c r="D546" s="13"/>
    </row>
    <row r="547" spans="2:4">
      <c r="B547" s="13"/>
      <c r="C547" s="13"/>
      <c r="D547" s="13"/>
    </row>
    <row r="548" spans="2:4">
      <c r="B548" s="13"/>
      <c r="C548" s="13"/>
      <c r="D548" s="13"/>
    </row>
    <row r="549" spans="2:4">
      <c r="B549" s="13"/>
      <c r="C549" s="13"/>
      <c r="D549" s="13"/>
    </row>
    <row r="550" spans="2:4">
      <c r="B550" s="13"/>
      <c r="C550" s="13"/>
      <c r="D550" s="13"/>
    </row>
    <row r="551" spans="2:4">
      <c r="B551" s="13"/>
      <c r="C551" s="13"/>
      <c r="D551" s="13"/>
    </row>
    <row r="552" spans="2:4">
      <c r="B552" s="13"/>
      <c r="C552" s="13"/>
      <c r="D552" s="13"/>
    </row>
    <row r="553" spans="2:4">
      <c r="B553" s="13"/>
      <c r="C553" s="13"/>
      <c r="D553" s="13"/>
    </row>
    <row r="554" spans="2:4">
      <c r="B554" s="13"/>
      <c r="C554" s="13"/>
      <c r="D554" s="13"/>
    </row>
    <row r="555" spans="2:4">
      <c r="B555" s="13"/>
      <c r="C555" s="13"/>
      <c r="D555" s="13"/>
    </row>
    <row r="556" spans="2:4">
      <c r="B556" s="13"/>
      <c r="C556" s="13"/>
      <c r="D556" s="13"/>
    </row>
    <row r="557" spans="2:4">
      <c r="B557" s="13"/>
      <c r="C557" s="13"/>
      <c r="D557" s="13"/>
    </row>
    <row r="558" spans="2:4">
      <c r="B558" s="13"/>
      <c r="C558" s="13"/>
      <c r="D558" s="13"/>
    </row>
    <row r="559" spans="2:4">
      <c r="B559" s="13"/>
      <c r="C559" s="13"/>
      <c r="D559" s="13"/>
    </row>
    <row r="560" spans="2:4">
      <c r="B560" s="13"/>
      <c r="C560" s="13"/>
      <c r="D560" s="13"/>
    </row>
    <row r="561" spans="2:4">
      <c r="B561" s="13"/>
      <c r="C561" s="13"/>
      <c r="D561" s="13"/>
    </row>
    <row r="562" spans="2:4">
      <c r="B562" s="13"/>
      <c r="C562" s="13"/>
      <c r="D562" s="13"/>
    </row>
    <row r="563" spans="2:4">
      <c r="B563" s="13"/>
      <c r="C563" s="13"/>
      <c r="D563" s="13"/>
    </row>
    <row r="564" spans="2:4">
      <c r="B564" s="13"/>
      <c r="C564" s="13"/>
      <c r="D564" s="13"/>
    </row>
    <row r="565" spans="2:4">
      <c r="B565" s="13"/>
      <c r="C565" s="13"/>
      <c r="D565" s="13"/>
    </row>
    <row r="566" spans="2:4">
      <c r="B566" s="13"/>
      <c r="C566" s="13"/>
      <c r="D566" s="13"/>
    </row>
    <row r="567" spans="2:4">
      <c r="B567" s="13"/>
      <c r="C567" s="13"/>
      <c r="D567" s="13"/>
    </row>
    <row r="568" spans="2:4">
      <c r="B568" s="13"/>
      <c r="C568" s="13"/>
      <c r="D568" s="13"/>
    </row>
    <row r="569" spans="2:4">
      <c r="B569" s="13"/>
      <c r="C569" s="13"/>
      <c r="D569" s="13"/>
    </row>
    <row r="570" spans="2:4">
      <c r="B570" s="13"/>
      <c r="C570" s="13"/>
      <c r="D570" s="13"/>
    </row>
    <row r="571" spans="2:4">
      <c r="B571" s="13"/>
      <c r="C571" s="13"/>
      <c r="D571" s="13"/>
    </row>
    <row r="572" spans="2:4">
      <c r="B572" s="13"/>
      <c r="C572" s="13"/>
      <c r="D572" s="13"/>
    </row>
    <row r="573" spans="2:4">
      <c r="B573" s="13"/>
      <c r="C573" s="13"/>
      <c r="D573" s="13"/>
    </row>
    <row r="574" spans="2:4">
      <c r="B574" s="13"/>
      <c r="C574" s="13"/>
      <c r="D574" s="13"/>
    </row>
    <row r="575" spans="2:4">
      <c r="B575" s="13"/>
      <c r="C575" s="13"/>
      <c r="D575" s="13"/>
    </row>
    <row r="576" spans="2:4">
      <c r="B576" s="13"/>
      <c r="C576" s="13"/>
      <c r="D576" s="13"/>
    </row>
    <row r="577" spans="2:4">
      <c r="B577" s="13"/>
      <c r="C577" s="13"/>
      <c r="D577" s="13"/>
    </row>
    <row r="578" spans="2:4">
      <c r="B578" s="13"/>
      <c r="C578" s="13"/>
      <c r="D578" s="13"/>
    </row>
    <row r="579" spans="2:4">
      <c r="B579" s="13"/>
      <c r="C579" s="13"/>
      <c r="D579" s="13"/>
    </row>
    <row r="580" spans="2:4">
      <c r="B580" s="13"/>
      <c r="C580" s="13"/>
      <c r="D580" s="13"/>
    </row>
    <row r="581" spans="2:4">
      <c r="B581" s="13"/>
      <c r="C581" s="13"/>
      <c r="D581" s="13"/>
    </row>
    <row r="582" spans="2:4">
      <c r="B582" s="13"/>
      <c r="C582" s="13"/>
      <c r="D582" s="13"/>
    </row>
    <row r="583" spans="2:4">
      <c r="B583" s="13"/>
      <c r="C583" s="13"/>
      <c r="D583" s="13"/>
    </row>
    <row r="584" spans="2:4">
      <c r="B584" s="13"/>
      <c r="C584" s="13"/>
      <c r="D584" s="13"/>
    </row>
    <row r="585" spans="2:4">
      <c r="B585" s="13"/>
      <c r="C585" s="13"/>
      <c r="D585" s="13"/>
    </row>
    <row r="586" spans="2:4">
      <c r="B586" s="13"/>
      <c r="C586" s="13"/>
      <c r="D586" s="13"/>
    </row>
    <row r="587" spans="2:4">
      <c r="B587" s="13"/>
      <c r="C587" s="13"/>
      <c r="D587" s="13"/>
    </row>
    <row r="588" spans="2:4">
      <c r="B588" s="13"/>
      <c r="C588" s="13"/>
      <c r="D588" s="13"/>
    </row>
    <row r="589" spans="2:4">
      <c r="B589" s="13"/>
      <c r="C589" s="13"/>
      <c r="D589" s="13"/>
    </row>
    <row r="590" spans="2:4">
      <c r="B590" s="13"/>
      <c r="C590" s="13"/>
      <c r="D590" s="13"/>
    </row>
    <row r="591" spans="2:4">
      <c r="B591" s="13"/>
      <c r="C591" s="13"/>
      <c r="D591" s="13"/>
    </row>
    <row r="592" spans="2:4">
      <c r="B592" s="13"/>
      <c r="C592" s="13"/>
      <c r="D592" s="13"/>
    </row>
    <row r="593" spans="2:4">
      <c r="B593" s="13"/>
      <c r="C593" s="13"/>
      <c r="D593" s="13"/>
    </row>
    <row r="594" spans="2:4">
      <c r="B594" s="13"/>
      <c r="C594" s="13"/>
      <c r="D594" s="13"/>
    </row>
    <row r="595" spans="2:4">
      <c r="B595" s="13"/>
      <c r="C595" s="13"/>
      <c r="D595" s="13"/>
    </row>
    <row r="596" spans="2:4">
      <c r="B596" s="13"/>
      <c r="C596" s="13"/>
      <c r="D596" s="13"/>
    </row>
    <row r="597" spans="2:4">
      <c r="B597" s="13"/>
      <c r="C597" s="13"/>
      <c r="D597" s="13"/>
    </row>
    <row r="598" spans="2:4">
      <c r="B598" s="13"/>
      <c r="C598" s="13"/>
      <c r="D598" s="13"/>
    </row>
    <row r="599" spans="2:4">
      <c r="B599" s="13"/>
      <c r="C599" s="13"/>
      <c r="D599" s="13"/>
    </row>
    <row r="600" spans="2:4">
      <c r="B600" s="13"/>
      <c r="C600" s="13"/>
      <c r="D600" s="13"/>
    </row>
    <row r="601" spans="2:4">
      <c r="B601" s="13"/>
      <c r="C601" s="13"/>
      <c r="D601" s="13"/>
    </row>
    <row r="602" spans="2:4">
      <c r="B602" s="13"/>
      <c r="C602" s="13"/>
      <c r="D602" s="13"/>
    </row>
    <row r="603" spans="2:4">
      <c r="B603" s="13"/>
      <c r="C603" s="13"/>
      <c r="D603" s="13"/>
    </row>
    <row r="604" spans="2:4">
      <c r="B604" s="13"/>
      <c r="C604" s="13"/>
      <c r="D604" s="13"/>
    </row>
    <row r="605" spans="2:4">
      <c r="B605" s="13"/>
      <c r="C605" s="13"/>
      <c r="D605" s="13"/>
    </row>
    <row r="606" spans="2:4">
      <c r="B606" s="13"/>
      <c r="C606" s="13"/>
      <c r="D606" s="13"/>
    </row>
    <row r="607" spans="2:4">
      <c r="B607" s="13"/>
      <c r="C607" s="13"/>
      <c r="D607" s="13"/>
    </row>
    <row r="608" spans="2:4">
      <c r="B608" s="13"/>
      <c r="C608" s="13"/>
      <c r="D608" s="13"/>
    </row>
    <row r="609" spans="2:4">
      <c r="B609" s="13"/>
      <c r="C609" s="13"/>
      <c r="D609" s="13"/>
    </row>
    <row r="610" spans="2:4">
      <c r="B610" s="13"/>
      <c r="C610" s="13"/>
      <c r="D610" s="13"/>
    </row>
    <row r="611" spans="2:4">
      <c r="B611" s="13"/>
      <c r="C611" s="13"/>
      <c r="D611" s="13"/>
    </row>
    <row r="612" spans="2:4">
      <c r="B612" s="13"/>
      <c r="C612" s="13"/>
      <c r="D612" s="13"/>
    </row>
    <row r="613" spans="2:4">
      <c r="B613" s="13"/>
      <c r="C613" s="13"/>
      <c r="D613" s="13"/>
    </row>
    <row r="614" spans="2:4">
      <c r="B614" s="13"/>
      <c r="C614" s="13"/>
      <c r="D614" s="13"/>
    </row>
    <row r="615" spans="2:4">
      <c r="B615" s="13"/>
      <c r="C615" s="13"/>
      <c r="D615" s="13"/>
    </row>
    <row r="616" spans="2:4">
      <c r="B616" s="13"/>
      <c r="C616" s="13"/>
      <c r="D616" s="13"/>
    </row>
    <row r="617" spans="2:4">
      <c r="B617" s="13"/>
      <c r="C617" s="13"/>
      <c r="D617" s="13"/>
    </row>
    <row r="618" spans="2:4">
      <c r="B618" s="13"/>
      <c r="C618" s="13"/>
      <c r="D618" s="13"/>
    </row>
    <row r="619" spans="2:4">
      <c r="B619" s="13"/>
      <c r="C619" s="13"/>
      <c r="D619" s="13"/>
    </row>
    <row r="620" spans="2:4">
      <c r="B620" s="13"/>
      <c r="C620" s="13"/>
      <c r="D620" s="13"/>
    </row>
    <row r="621" spans="2:4">
      <c r="B621" s="13"/>
      <c r="C621" s="13"/>
      <c r="D621" s="13"/>
    </row>
    <row r="622" spans="2:4">
      <c r="B622" s="13"/>
      <c r="C622" s="13"/>
      <c r="D622" s="13"/>
    </row>
    <row r="623" spans="2:4">
      <c r="B623" s="13"/>
      <c r="C623" s="13"/>
      <c r="D623" s="13"/>
    </row>
    <row r="624" spans="2:4">
      <c r="B624" s="13"/>
      <c r="C624" s="13"/>
      <c r="D624" s="13"/>
    </row>
    <row r="625" spans="2:4">
      <c r="B625" s="13"/>
      <c r="C625" s="13"/>
      <c r="D625" s="13"/>
    </row>
    <row r="626" spans="2:4">
      <c r="B626" s="13"/>
      <c r="C626" s="13"/>
      <c r="D626" s="13"/>
    </row>
    <row r="627" spans="2:4">
      <c r="B627" s="13"/>
      <c r="C627" s="13"/>
      <c r="D627" s="13"/>
    </row>
    <row r="628" spans="2:4">
      <c r="B628" s="13"/>
      <c r="C628" s="13"/>
      <c r="D628" s="13"/>
    </row>
    <row r="629" spans="2:4">
      <c r="B629" s="13"/>
      <c r="C629" s="13"/>
      <c r="D629" s="13"/>
    </row>
    <row r="630" spans="2:4">
      <c r="B630" s="13"/>
      <c r="C630" s="13"/>
      <c r="D630" s="13"/>
    </row>
    <row r="631" spans="2:4">
      <c r="B631" s="13"/>
      <c r="C631" s="13"/>
      <c r="D631" s="13"/>
    </row>
    <row r="632" spans="2:4">
      <c r="B632" s="13"/>
      <c r="C632" s="13"/>
      <c r="D632" s="13"/>
    </row>
    <row r="633" spans="2:4">
      <c r="B633" s="13"/>
      <c r="C633" s="13"/>
      <c r="D633" s="13"/>
    </row>
    <row r="634" spans="2:4">
      <c r="B634" s="13"/>
      <c r="C634" s="13"/>
      <c r="D634" s="13"/>
    </row>
    <row r="635" spans="2:4">
      <c r="B635" s="13"/>
      <c r="C635" s="13"/>
      <c r="D635" s="13"/>
    </row>
    <row r="636" spans="2:4">
      <c r="B636" s="13"/>
      <c r="C636" s="13"/>
      <c r="D636" s="13"/>
    </row>
    <row r="637" spans="2:4">
      <c r="B637" s="13"/>
      <c r="C637" s="13"/>
      <c r="D637" s="13"/>
    </row>
    <row r="638" spans="2:4">
      <c r="B638" s="13"/>
      <c r="C638" s="13"/>
      <c r="D638" s="13"/>
    </row>
    <row r="639" spans="2:4">
      <c r="B639" s="13"/>
      <c r="C639" s="13"/>
      <c r="D639" s="13"/>
    </row>
    <row r="640" spans="2:4">
      <c r="B640" s="13"/>
      <c r="C640" s="13"/>
      <c r="D640" s="13"/>
    </row>
    <row r="641" spans="2:4">
      <c r="B641" s="13"/>
      <c r="C641" s="13"/>
      <c r="D641" s="13"/>
    </row>
    <row r="642" spans="2:4">
      <c r="B642" s="13"/>
      <c r="C642" s="13"/>
      <c r="D642" s="13"/>
    </row>
    <row r="643" spans="2:4">
      <c r="B643" s="13"/>
      <c r="C643" s="13"/>
      <c r="D643" s="13"/>
    </row>
    <row r="644" spans="2:4">
      <c r="B644" s="13"/>
      <c r="C644" s="13"/>
      <c r="D644" s="13"/>
    </row>
    <row r="645" spans="2:4">
      <c r="B645" s="13"/>
      <c r="C645" s="13"/>
      <c r="D645" s="13"/>
    </row>
    <row r="646" spans="2:4">
      <c r="B646" s="13"/>
      <c r="C646" s="13"/>
      <c r="D646" s="13"/>
    </row>
    <row r="647" spans="2:4">
      <c r="B647" s="13"/>
      <c r="C647" s="13"/>
      <c r="D647" s="13"/>
    </row>
    <row r="648" spans="2:4">
      <c r="B648" s="13"/>
      <c r="C648" s="13"/>
      <c r="D648" s="13"/>
    </row>
    <row r="649" spans="2:4">
      <c r="B649" s="13"/>
      <c r="C649" s="13"/>
      <c r="D649" s="13"/>
    </row>
    <row r="650" spans="2:4">
      <c r="B650" s="13"/>
      <c r="C650" s="13"/>
      <c r="D650" s="13"/>
    </row>
    <row r="651" spans="2:4">
      <c r="B651" s="13"/>
      <c r="C651" s="13"/>
      <c r="D651" s="13"/>
    </row>
    <row r="652" spans="2:4">
      <c r="B652" s="13"/>
      <c r="C652" s="13"/>
      <c r="D652" s="13"/>
    </row>
    <row r="653" spans="2:4">
      <c r="B653" s="13"/>
      <c r="C653" s="13"/>
      <c r="D653" s="13"/>
    </row>
    <row r="654" spans="2:4">
      <c r="B654" s="13"/>
      <c r="C654" s="13"/>
      <c r="D654" s="13"/>
    </row>
    <row r="655" spans="2:4">
      <c r="B655" s="13"/>
      <c r="C655" s="13"/>
      <c r="D655" s="13"/>
    </row>
    <row r="656" spans="2:4">
      <c r="B656" s="13"/>
      <c r="C656" s="13"/>
      <c r="D656" s="13"/>
    </row>
    <row r="657" spans="2:4">
      <c r="B657" s="13"/>
      <c r="C657" s="13"/>
      <c r="D657" s="13"/>
    </row>
    <row r="658" spans="2:4">
      <c r="B658" s="13"/>
      <c r="C658" s="13"/>
      <c r="D658" s="13"/>
    </row>
    <row r="659" spans="2:4">
      <c r="B659" s="13"/>
      <c r="C659" s="13"/>
      <c r="D659" s="13"/>
    </row>
    <row r="660" spans="2:4">
      <c r="B660" s="13"/>
      <c r="C660" s="13"/>
      <c r="D660" s="13"/>
    </row>
    <row r="661" spans="2:4">
      <c r="B661" s="13"/>
      <c r="C661" s="13"/>
      <c r="D661" s="13"/>
    </row>
    <row r="662" spans="2:4">
      <c r="B662" s="13"/>
      <c r="C662" s="13"/>
      <c r="D662" s="13"/>
    </row>
    <row r="663" spans="2:4">
      <c r="B663" s="13"/>
      <c r="C663" s="13"/>
      <c r="D663" s="13"/>
    </row>
    <row r="664" spans="2:4">
      <c r="B664" s="13"/>
      <c r="C664" s="13"/>
      <c r="D664" s="13"/>
    </row>
    <row r="665" spans="2:4">
      <c r="B665" s="13"/>
      <c r="C665" s="13"/>
      <c r="D665" s="13"/>
    </row>
    <row r="666" spans="2:4">
      <c r="B666" s="13"/>
      <c r="C666" s="13"/>
      <c r="D666" s="13"/>
    </row>
    <row r="667" spans="2:4">
      <c r="B667" s="13"/>
      <c r="C667" s="13"/>
      <c r="D667" s="13"/>
    </row>
    <row r="668" spans="2:4">
      <c r="B668" s="13"/>
      <c r="C668" s="13"/>
      <c r="D668" s="13"/>
    </row>
    <row r="669" spans="2:4">
      <c r="B669" s="13"/>
      <c r="C669" s="13"/>
      <c r="D669" s="13"/>
    </row>
    <row r="670" spans="2:4">
      <c r="B670" s="13"/>
      <c r="C670" s="13"/>
      <c r="D670" s="13"/>
    </row>
    <row r="671" spans="2:4">
      <c r="B671" s="13"/>
      <c r="C671" s="13"/>
      <c r="D671" s="13"/>
    </row>
    <row r="672" spans="2:4">
      <c r="B672" s="13"/>
      <c r="C672" s="13"/>
      <c r="D672" s="13"/>
    </row>
    <row r="673" spans="2:4">
      <c r="B673" s="13"/>
      <c r="C673" s="13"/>
      <c r="D673" s="13"/>
    </row>
    <row r="674" spans="2:4">
      <c r="B674" s="13"/>
      <c r="C674" s="13"/>
      <c r="D674" s="13"/>
    </row>
    <row r="675" spans="2:4">
      <c r="B675" s="13"/>
      <c r="C675" s="13"/>
      <c r="D675" s="13"/>
    </row>
    <row r="676" spans="2:4">
      <c r="B676" s="13"/>
      <c r="C676" s="13"/>
      <c r="D676" s="13"/>
    </row>
    <row r="677" spans="2:4">
      <c r="B677" s="13"/>
      <c r="C677" s="13"/>
      <c r="D677" s="13"/>
    </row>
    <row r="678" spans="2:4">
      <c r="B678" s="13"/>
      <c r="C678" s="13"/>
      <c r="D678" s="13"/>
    </row>
    <row r="679" spans="2:4">
      <c r="B679" s="13"/>
      <c r="C679" s="13"/>
      <c r="D679" s="13"/>
    </row>
    <row r="680" spans="2:4">
      <c r="B680" s="13"/>
      <c r="C680" s="13"/>
      <c r="D680" s="13"/>
    </row>
    <row r="681" spans="2:4">
      <c r="B681" s="13"/>
      <c r="C681" s="13"/>
      <c r="D681" s="13"/>
    </row>
    <row r="682" spans="2:4">
      <c r="B682" s="13"/>
      <c r="C682" s="13"/>
      <c r="D682" s="13"/>
    </row>
    <row r="683" spans="2:4">
      <c r="B683" s="13"/>
      <c r="C683" s="13"/>
      <c r="D683" s="13"/>
    </row>
    <row r="684" spans="2:4">
      <c r="B684" s="13"/>
      <c r="C684" s="13"/>
      <c r="D684" s="13"/>
    </row>
    <row r="685" spans="2:4">
      <c r="B685" s="13"/>
      <c r="C685" s="13"/>
      <c r="D685" s="13"/>
    </row>
    <row r="686" spans="2:4">
      <c r="B686" s="13"/>
      <c r="C686" s="13"/>
      <c r="D686" s="13"/>
    </row>
    <row r="687" spans="2:4">
      <c r="B687" s="13"/>
      <c r="C687" s="13"/>
      <c r="D687" s="13"/>
    </row>
    <row r="688" spans="2:4">
      <c r="B688" s="13"/>
      <c r="C688" s="13"/>
      <c r="D688" s="13"/>
    </row>
    <row r="689" spans="2:4">
      <c r="B689" s="13"/>
      <c r="C689" s="13"/>
      <c r="D689" s="13"/>
    </row>
    <row r="690" spans="2:4">
      <c r="B690" s="13"/>
      <c r="C690" s="13"/>
      <c r="D690" s="13"/>
    </row>
    <row r="691" spans="2:4">
      <c r="B691" s="13"/>
      <c r="C691" s="13"/>
      <c r="D691" s="13"/>
    </row>
    <row r="692" spans="2:4">
      <c r="B692" s="13"/>
      <c r="C692" s="13"/>
      <c r="D692" s="13"/>
    </row>
    <row r="693" spans="2:4">
      <c r="B693" s="13"/>
      <c r="C693" s="13"/>
      <c r="D693" s="13"/>
    </row>
    <row r="694" spans="2:4">
      <c r="B694" s="13"/>
      <c r="C694" s="13"/>
      <c r="D694" s="13"/>
    </row>
    <row r="695" spans="2:4">
      <c r="B695" s="13"/>
      <c r="C695" s="13"/>
      <c r="D695" s="13"/>
    </row>
    <row r="696" spans="2:4">
      <c r="B696" s="13"/>
      <c r="C696" s="13"/>
      <c r="D696" s="13"/>
    </row>
    <row r="697" spans="2:4">
      <c r="B697" s="13"/>
      <c r="C697" s="13"/>
      <c r="D697" s="13"/>
    </row>
    <row r="698" spans="2:4">
      <c r="B698" s="13"/>
      <c r="C698" s="13"/>
      <c r="D698" s="13"/>
    </row>
    <row r="699" spans="2:4">
      <c r="B699" s="13"/>
      <c r="C699" s="13"/>
      <c r="D699" s="13"/>
    </row>
    <row r="700" spans="2:4">
      <c r="B700" s="13"/>
      <c r="C700" s="13"/>
      <c r="D700" s="13"/>
    </row>
    <row r="701" spans="2:4">
      <c r="B701" s="13"/>
      <c r="C701" s="13"/>
      <c r="D701" s="13"/>
    </row>
    <row r="702" spans="2:4">
      <c r="B702" s="13"/>
      <c r="C702" s="13"/>
      <c r="D702" s="13"/>
    </row>
    <row r="703" spans="2:4">
      <c r="B703" s="13"/>
      <c r="C703" s="13"/>
      <c r="D703" s="13"/>
    </row>
    <row r="704" spans="2:4">
      <c r="B704" s="13"/>
      <c r="C704" s="13"/>
      <c r="D704" s="13"/>
    </row>
    <row r="705" spans="2:4">
      <c r="B705" s="13"/>
      <c r="C705" s="13"/>
      <c r="D705" s="13"/>
    </row>
    <row r="706" spans="2:4">
      <c r="B706" s="13"/>
      <c r="C706" s="13"/>
      <c r="D706" s="13"/>
    </row>
    <row r="707" spans="2:4">
      <c r="B707" s="13"/>
      <c r="C707" s="13"/>
      <c r="D707" s="13"/>
    </row>
    <row r="708" spans="2:4">
      <c r="B708" s="13"/>
      <c r="C708" s="13"/>
      <c r="D708" s="13"/>
    </row>
    <row r="709" spans="2:4">
      <c r="B709" s="13"/>
      <c r="C709" s="13"/>
      <c r="D709" s="13"/>
    </row>
    <row r="710" spans="2:4">
      <c r="B710" s="13"/>
      <c r="C710" s="13"/>
      <c r="D710" s="13"/>
    </row>
    <row r="711" spans="2:4">
      <c r="B711" s="13"/>
      <c r="C711" s="13"/>
      <c r="D711" s="13"/>
    </row>
    <row r="712" spans="2:4">
      <c r="B712" s="13"/>
      <c r="C712" s="13"/>
      <c r="D712" s="13"/>
    </row>
    <row r="713" spans="2:4">
      <c r="B713" s="13"/>
      <c r="C713" s="13"/>
      <c r="D713" s="13"/>
    </row>
    <row r="714" spans="2:4">
      <c r="B714" s="13"/>
      <c r="C714" s="13"/>
      <c r="D714" s="13"/>
    </row>
    <row r="715" spans="2:4">
      <c r="B715" s="13"/>
      <c r="C715" s="13"/>
      <c r="D715" s="13"/>
    </row>
    <row r="716" spans="2:4">
      <c r="B716" s="13"/>
      <c r="C716" s="13"/>
      <c r="D716" s="13"/>
    </row>
    <row r="717" spans="2:4">
      <c r="B717" s="13"/>
      <c r="C717" s="13"/>
      <c r="D717" s="13"/>
    </row>
    <row r="718" spans="2:4">
      <c r="B718" s="13"/>
      <c r="C718" s="13"/>
      <c r="D718" s="13"/>
    </row>
    <row r="719" spans="2:4">
      <c r="B719" s="13"/>
      <c r="C719" s="13"/>
      <c r="D719" s="13"/>
    </row>
    <row r="720" spans="2:4">
      <c r="B720" s="13"/>
      <c r="C720" s="13"/>
      <c r="D720" s="13"/>
    </row>
    <row r="721" spans="2:4">
      <c r="B721" s="13"/>
      <c r="C721" s="13"/>
      <c r="D721" s="13"/>
    </row>
    <row r="722" spans="2:4">
      <c r="B722" s="13"/>
      <c r="C722" s="13"/>
      <c r="D722" s="13"/>
    </row>
    <row r="723" spans="2:4">
      <c r="B723" s="13"/>
      <c r="C723" s="13"/>
      <c r="D723" s="13"/>
    </row>
    <row r="724" spans="2:4">
      <c r="B724" s="13"/>
      <c r="C724" s="13"/>
      <c r="D724" s="13"/>
    </row>
    <row r="725" spans="2:4">
      <c r="B725" s="13"/>
      <c r="C725" s="13"/>
      <c r="D725" s="13"/>
    </row>
    <row r="726" spans="2:4">
      <c r="B726" s="13"/>
      <c r="C726" s="13"/>
      <c r="D726" s="13"/>
    </row>
    <row r="727" spans="2:4">
      <c r="B727" s="13"/>
      <c r="C727" s="13"/>
      <c r="D727" s="13"/>
    </row>
    <row r="728" spans="2:4">
      <c r="B728" s="13"/>
      <c r="C728" s="13"/>
      <c r="D728" s="13"/>
    </row>
    <row r="729" spans="2:4">
      <c r="B729" s="13"/>
      <c r="C729" s="13"/>
      <c r="D729" s="13"/>
    </row>
    <row r="730" spans="2:4">
      <c r="B730" s="13"/>
      <c r="C730" s="13"/>
      <c r="D730" s="13"/>
    </row>
    <row r="731" spans="2:4">
      <c r="B731" s="13"/>
      <c r="C731" s="13"/>
      <c r="D731" s="13"/>
    </row>
    <row r="732" spans="2:4">
      <c r="B732" s="13"/>
      <c r="C732" s="13"/>
      <c r="D732" s="13"/>
    </row>
    <row r="733" spans="2:4">
      <c r="B733" s="13"/>
      <c r="C733" s="13"/>
      <c r="D733" s="13"/>
    </row>
    <row r="734" spans="2:4">
      <c r="B734" s="13"/>
      <c r="C734" s="13"/>
      <c r="D734" s="13"/>
    </row>
    <row r="735" spans="2:4">
      <c r="B735" s="13"/>
      <c r="C735" s="13"/>
      <c r="D735" s="13"/>
    </row>
    <row r="736" spans="2:4">
      <c r="B736" s="13"/>
      <c r="C736" s="13"/>
      <c r="D736" s="13"/>
    </row>
    <row r="737" spans="2:4">
      <c r="B737" s="13"/>
      <c r="C737" s="13"/>
      <c r="D737" s="13"/>
    </row>
    <row r="738" spans="2:4">
      <c r="B738" s="13"/>
      <c r="C738" s="13"/>
      <c r="D738" s="13"/>
    </row>
    <row r="739" spans="2:4">
      <c r="B739" s="13"/>
      <c r="C739" s="13"/>
      <c r="D739" s="13"/>
    </row>
    <row r="740" spans="2:4">
      <c r="B740" s="13"/>
      <c r="C740" s="13"/>
      <c r="D740" s="13"/>
    </row>
    <row r="741" spans="2:4">
      <c r="B741" s="13"/>
      <c r="C741" s="13"/>
      <c r="D741" s="13"/>
    </row>
    <row r="742" spans="2:4">
      <c r="B742" s="13"/>
      <c r="C742" s="13"/>
      <c r="D742" s="13"/>
    </row>
    <row r="743" spans="2:4">
      <c r="B743" s="13"/>
      <c r="C743" s="13"/>
      <c r="D743" s="13"/>
    </row>
    <row r="744" spans="2:4">
      <c r="B744" s="13"/>
      <c r="C744" s="13"/>
      <c r="D744" s="13"/>
    </row>
    <row r="745" spans="2:4">
      <c r="B745" s="13"/>
      <c r="C745" s="13"/>
      <c r="D745" s="13"/>
    </row>
    <row r="746" spans="2:4">
      <c r="B746" s="13"/>
      <c r="C746" s="13"/>
      <c r="D746" s="13"/>
    </row>
    <row r="747" spans="2:4">
      <c r="B747" s="13"/>
      <c r="C747" s="13"/>
      <c r="D747" s="13"/>
    </row>
    <row r="748" spans="2:4">
      <c r="B748" s="13"/>
      <c r="C748" s="13"/>
      <c r="D748" s="13"/>
    </row>
    <row r="749" spans="2:4">
      <c r="B749" s="13"/>
      <c r="C749" s="13"/>
      <c r="D749" s="13"/>
    </row>
    <row r="750" spans="2:4">
      <c r="B750" s="13"/>
      <c r="C750" s="13"/>
      <c r="D750" s="13"/>
    </row>
    <row r="751" spans="2:4">
      <c r="B751" s="13"/>
      <c r="C751" s="13"/>
      <c r="D751" s="13"/>
    </row>
    <row r="752" spans="2:4">
      <c r="B752" s="13"/>
      <c r="C752" s="13"/>
      <c r="D752" s="13"/>
    </row>
    <row r="753" spans="2:4">
      <c r="B753" s="13"/>
      <c r="C753" s="13"/>
      <c r="D753" s="13"/>
    </row>
    <row r="754" spans="2:4">
      <c r="B754" s="13"/>
      <c r="C754" s="13"/>
      <c r="D754" s="13"/>
    </row>
    <row r="755" spans="2:4">
      <c r="B755" s="13"/>
      <c r="C755" s="13"/>
      <c r="D755" s="13"/>
    </row>
    <row r="756" spans="2:4">
      <c r="B756" s="13"/>
      <c r="C756" s="13"/>
      <c r="D756" s="13"/>
    </row>
    <row r="757" spans="2:4">
      <c r="B757" s="13"/>
      <c r="C757" s="13"/>
      <c r="D757" s="13"/>
    </row>
    <row r="758" spans="2:4">
      <c r="B758" s="13"/>
      <c r="C758" s="13"/>
      <c r="D758" s="13"/>
    </row>
    <row r="759" spans="2:4">
      <c r="B759" s="13"/>
      <c r="C759" s="13"/>
      <c r="D759" s="13"/>
    </row>
    <row r="760" spans="2:4">
      <c r="B760" s="13"/>
      <c r="C760" s="13"/>
      <c r="D760" s="13"/>
    </row>
    <row r="761" spans="2:4">
      <c r="B761" s="13"/>
      <c r="C761" s="13"/>
      <c r="D761" s="13"/>
    </row>
    <row r="762" spans="2:4">
      <c r="B762" s="13"/>
      <c r="C762" s="13"/>
      <c r="D762" s="13"/>
    </row>
    <row r="763" spans="2:4">
      <c r="B763" s="13"/>
      <c r="C763" s="13"/>
      <c r="D763" s="13"/>
    </row>
    <row r="764" spans="2:4">
      <c r="B764" s="13"/>
      <c r="C764" s="13"/>
      <c r="D764" s="13"/>
    </row>
    <row r="765" spans="2:4">
      <c r="B765" s="13"/>
      <c r="C765" s="13"/>
      <c r="D765" s="13"/>
    </row>
    <row r="766" spans="2:4">
      <c r="B766" s="13"/>
      <c r="C766" s="13"/>
      <c r="D766" s="13"/>
    </row>
    <row r="767" spans="2:4">
      <c r="B767" s="13"/>
      <c r="C767" s="13"/>
      <c r="D767" s="13"/>
    </row>
    <row r="768" spans="2:4">
      <c r="B768" s="13"/>
      <c r="C768" s="13"/>
      <c r="D768" s="13"/>
    </row>
    <row r="769" spans="2:4">
      <c r="B769" s="13"/>
      <c r="C769" s="13"/>
      <c r="D769" s="13"/>
    </row>
    <row r="770" spans="2:4">
      <c r="B770" s="13"/>
      <c r="C770" s="13"/>
      <c r="D770" s="13"/>
    </row>
    <row r="771" spans="2:4">
      <c r="B771" s="13"/>
      <c r="C771" s="13"/>
      <c r="D771" s="13"/>
    </row>
    <row r="772" spans="2:4">
      <c r="B772" s="13"/>
      <c r="C772" s="13"/>
      <c r="D772" s="13"/>
    </row>
    <row r="773" spans="2:4">
      <c r="B773" s="13"/>
      <c r="C773" s="13"/>
      <c r="D773" s="13"/>
    </row>
    <row r="774" spans="2:4">
      <c r="B774" s="13"/>
      <c r="C774" s="13"/>
      <c r="D774" s="13"/>
    </row>
    <row r="775" spans="2:4">
      <c r="B775" s="13"/>
      <c r="C775" s="13"/>
      <c r="D775" s="13"/>
    </row>
    <row r="776" spans="2:4">
      <c r="B776" s="13"/>
      <c r="C776" s="13"/>
      <c r="D776" s="13"/>
    </row>
    <row r="777" spans="2:4">
      <c r="B777" s="13"/>
      <c r="C777" s="13"/>
      <c r="D777" s="13"/>
    </row>
    <row r="778" spans="2:4">
      <c r="B778" s="13"/>
      <c r="C778" s="13"/>
      <c r="D778" s="13"/>
    </row>
    <row r="779" spans="2:4">
      <c r="B779" s="13"/>
      <c r="C779" s="13"/>
      <c r="D779" s="13"/>
    </row>
    <row r="780" spans="2:4">
      <c r="B780" s="13"/>
      <c r="C780" s="13"/>
      <c r="D780" s="13"/>
    </row>
    <row r="781" spans="2:4">
      <c r="B781" s="13"/>
      <c r="C781" s="13"/>
      <c r="D781" s="13"/>
    </row>
    <row r="782" spans="2:4">
      <c r="B782" s="13"/>
      <c r="C782" s="13"/>
      <c r="D782" s="13"/>
    </row>
    <row r="783" spans="2:4">
      <c r="B783" s="13"/>
      <c r="C783" s="13"/>
      <c r="D783" s="13"/>
    </row>
    <row r="784" spans="2:4">
      <c r="B784" s="13"/>
      <c r="C784" s="13"/>
      <c r="D784" s="13"/>
    </row>
    <row r="785" spans="2:4">
      <c r="B785" s="13"/>
      <c r="C785" s="13"/>
      <c r="D785" s="13"/>
    </row>
    <row r="786" spans="2:4">
      <c r="B786" s="13"/>
      <c r="C786" s="13"/>
      <c r="D786" s="13"/>
    </row>
    <row r="787" spans="2:4">
      <c r="B787" s="13"/>
      <c r="C787" s="13"/>
      <c r="D787" s="13"/>
    </row>
    <row r="788" spans="2:4">
      <c r="B788" s="13"/>
      <c r="C788" s="13"/>
      <c r="D788" s="13"/>
    </row>
    <row r="789" spans="2:4">
      <c r="B789" s="13"/>
      <c r="C789" s="13"/>
      <c r="D789" s="13"/>
    </row>
    <row r="790" spans="2:4">
      <c r="B790" s="13"/>
      <c r="C790" s="13"/>
      <c r="D790" s="13"/>
    </row>
    <row r="791" spans="2:4">
      <c r="B791" s="13"/>
      <c r="C791" s="13"/>
      <c r="D791" s="13"/>
    </row>
    <row r="792" spans="2:4">
      <c r="B792" s="13"/>
      <c r="C792" s="13"/>
      <c r="D792" s="13"/>
    </row>
    <row r="793" spans="2:4">
      <c r="B793" s="13"/>
      <c r="C793" s="13"/>
      <c r="D793" s="13"/>
    </row>
    <row r="794" spans="2:4">
      <c r="B794" s="13"/>
      <c r="C794" s="13"/>
      <c r="D794" s="13"/>
    </row>
    <row r="795" spans="2:4">
      <c r="B795" s="13"/>
      <c r="C795" s="13"/>
      <c r="D795" s="13"/>
    </row>
    <row r="796" spans="2:4">
      <c r="B796" s="13"/>
      <c r="C796" s="13"/>
      <c r="D796" s="13"/>
    </row>
    <row r="797" spans="2:4">
      <c r="B797" s="13"/>
      <c r="C797" s="13"/>
      <c r="D797" s="13"/>
    </row>
    <row r="798" spans="2:4">
      <c r="B798" s="13"/>
      <c r="C798" s="13"/>
      <c r="D798" s="13"/>
    </row>
    <row r="799" spans="2:4">
      <c r="B799" s="13"/>
      <c r="C799" s="13"/>
      <c r="D799" s="13"/>
    </row>
    <row r="800" spans="2:4">
      <c r="B800" s="13"/>
      <c r="C800" s="13"/>
      <c r="D800" s="13"/>
    </row>
    <row r="801" spans="2:4">
      <c r="B801" s="13"/>
      <c r="C801" s="13"/>
      <c r="D801" s="13"/>
    </row>
    <row r="802" spans="2:4">
      <c r="B802" s="13"/>
      <c r="C802" s="13"/>
      <c r="D802" s="13"/>
    </row>
    <row r="803" spans="2:4">
      <c r="B803" s="13"/>
      <c r="C803" s="13"/>
      <c r="D803" s="13"/>
    </row>
    <row r="804" spans="2:4">
      <c r="B804" s="13"/>
      <c r="C804" s="13"/>
      <c r="D804" s="13"/>
    </row>
    <row r="805" spans="2:4">
      <c r="B805" s="13"/>
      <c r="C805" s="13"/>
      <c r="D805" s="13"/>
    </row>
    <row r="806" spans="2:4">
      <c r="B806" s="13"/>
      <c r="C806" s="13"/>
      <c r="D806" s="13"/>
    </row>
    <row r="807" spans="2:4">
      <c r="B807" s="13"/>
      <c r="C807" s="13"/>
      <c r="D807" s="13"/>
    </row>
    <row r="808" spans="2:4">
      <c r="B808" s="13"/>
      <c r="C808" s="13"/>
      <c r="D808" s="13"/>
    </row>
    <row r="809" spans="2:4">
      <c r="B809" s="13"/>
      <c r="C809" s="13"/>
      <c r="D809" s="13"/>
    </row>
    <row r="810" spans="2:4">
      <c r="B810" s="13"/>
      <c r="C810" s="13"/>
      <c r="D810" s="13"/>
    </row>
    <row r="811" spans="2:4">
      <c r="B811" s="13"/>
      <c r="C811" s="13"/>
      <c r="D811" s="13"/>
    </row>
    <row r="812" spans="2:4">
      <c r="B812" s="13"/>
      <c r="C812" s="13"/>
      <c r="D812" s="13"/>
    </row>
    <row r="813" spans="2:4">
      <c r="B813" s="13"/>
      <c r="C813" s="13"/>
      <c r="D813" s="13"/>
    </row>
    <row r="814" spans="2:4">
      <c r="B814" s="13"/>
      <c r="C814" s="13"/>
      <c r="D814" s="13"/>
    </row>
    <row r="815" spans="2:4">
      <c r="B815" s="13"/>
      <c r="C815" s="13"/>
      <c r="D815" s="13"/>
    </row>
    <row r="816" spans="2:4">
      <c r="B816" s="13"/>
      <c r="C816" s="13"/>
      <c r="D816" s="13"/>
    </row>
    <row r="817" spans="2:4">
      <c r="B817" s="13"/>
      <c r="C817" s="13"/>
      <c r="D817" s="13"/>
    </row>
    <row r="818" spans="2:4">
      <c r="B818" s="13"/>
      <c r="C818" s="13"/>
      <c r="D818" s="13"/>
    </row>
    <row r="819" spans="2:4">
      <c r="B819" s="13"/>
      <c r="C819" s="13"/>
      <c r="D819" s="13"/>
    </row>
    <row r="820" spans="2:4">
      <c r="B820" s="13"/>
      <c r="C820" s="13"/>
      <c r="D820" s="13"/>
    </row>
    <row r="821" spans="2:4">
      <c r="B821" s="13"/>
      <c r="C821" s="13"/>
      <c r="D821" s="13"/>
    </row>
    <row r="822" spans="2:4">
      <c r="B822" s="13"/>
      <c r="C822" s="13"/>
      <c r="D822" s="13"/>
    </row>
    <row r="823" spans="2:4">
      <c r="B823" s="13"/>
      <c r="C823" s="13"/>
      <c r="D823" s="13"/>
    </row>
    <row r="824" spans="2:4">
      <c r="B824" s="13"/>
      <c r="C824" s="13"/>
      <c r="D824" s="13"/>
    </row>
    <row r="825" spans="2:4">
      <c r="B825" s="13"/>
      <c r="C825" s="13"/>
      <c r="D825" s="13"/>
    </row>
    <row r="826" spans="2:4">
      <c r="B826" s="13"/>
      <c r="C826" s="13"/>
      <c r="D826" s="13"/>
    </row>
    <row r="827" spans="2:4">
      <c r="B827" s="13"/>
      <c r="C827" s="13"/>
      <c r="D827" s="13"/>
    </row>
    <row r="828" spans="2:4">
      <c r="B828" s="13"/>
      <c r="C828" s="13"/>
      <c r="D828" s="13"/>
    </row>
    <row r="829" spans="2:4">
      <c r="B829" s="13"/>
      <c r="C829" s="13"/>
      <c r="D829" s="13"/>
    </row>
    <row r="830" spans="2:4">
      <c r="B830" s="13"/>
      <c r="C830" s="13"/>
      <c r="D830" s="13"/>
    </row>
    <row r="831" spans="2:4">
      <c r="B831" s="13"/>
      <c r="C831" s="13"/>
      <c r="D831" s="13"/>
    </row>
    <row r="832" spans="2:4">
      <c r="B832" s="13"/>
      <c r="C832" s="13"/>
      <c r="D832" s="13"/>
    </row>
    <row r="833" spans="2:4">
      <c r="B833" s="13"/>
      <c r="C833" s="13"/>
      <c r="D833" s="13"/>
    </row>
    <row r="834" spans="2:4">
      <c r="B834" s="13"/>
      <c r="C834" s="13"/>
      <c r="D834" s="13"/>
    </row>
    <row r="835" spans="2:4">
      <c r="B835" s="13"/>
      <c r="C835" s="13"/>
      <c r="D835" s="13"/>
    </row>
    <row r="836" spans="2:4">
      <c r="B836" s="13"/>
      <c r="C836" s="13"/>
      <c r="D836" s="13"/>
    </row>
    <row r="837" spans="2:4">
      <c r="B837" s="13"/>
      <c r="C837" s="13"/>
      <c r="D837" s="13"/>
    </row>
    <row r="838" spans="2:4">
      <c r="B838" s="13"/>
      <c r="C838" s="13"/>
      <c r="D838" s="13"/>
    </row>
    <row r="839" spans="2:4">
      <c r="B839" s="13"/>
      <c r="C839" s="13"/>
      <c r="D839" s="13"/>
    </row>
    <row r="840" spans="2:4">
      <c r="B840" s="13"/>
      <c r="C840" s="13"/>
      <c r="D840" s="13"/>
    </row>
    <row r="841" spans="2:4">
      <c r="B841" s="13"/>
      <c r="C841" s="13"/>
      <c r="D841" s="13"/>
    </row>
    <row r="842" spans="2:4">
      <c r="B842" s="13"/>
      <c r="C842" s="13"/>
      <c r="D842" s="13"/>
    </row>
    <row r="843" spans="2:4">
      <c r="B843" s="13"/>
      <c r="C843" s="13"/>
      <c r="D843" s="13"/>
    </row>
    <row r="844" spans="2:4">
      <c r="B844" s="13"/>
      <c r="C844" s="13"/>
      <c r="D844" s="13"/>
    </row>
    <row r="845" spans="2:4">
      <c r="B845" s="13"/>
      <c r="C845" s="13"/>
      <c r="D845" s="13"/>
    </row>
    <row r="846" spans="2:4">
      <c r="B846" s="13"/>
      <c r="C846" s="13"/>
      <c r="D846" s="13"/>
    </row>
    <row r="847" spans="2:4">
      <c r="B847" s="13"/>
      <c r="C847" s="13"/>
      <c r="D847" s="13"/>
    </row>
    <row r="848" spans="2:4">
      <c r="B848" s="13"/>
      <c r="C848" s="13"/>
      <c r="D848" s="13"/>
    </row>
    <row r="849" spans="2:4">
      <c r="B849" s="13"/>
      <c r="C849" s="13"/>
      <c r="D849" s="13"/>
    </row>
    <row r="850" spans="2:4">
      <c r="B850" s="13"/>
      <c r="C850" s="13"/>
      <c r="D850" s="13"/>
    </row>
    <row r="851" spans="2:4">
      <c r="B851" s="13"/>
      <c r="C851" s="13"/>
      <c r="D851" s="13"/>
    </row>
    <row r="852" spans="2:4">
      <c r="B852" s="13"/>
      <c r="C852" s="13"/>
      <c r="D852" s="13"/>
    </row>
    <row r="853" spans="2:4">
      <c r="B853" s="13"/>
      <c r="C853" s="13"/>
      <c r="D853" s="13"/>
    </row>
    <row r="854" spans="2:4">
      <c r="B854" s="13"/>
      <c r="C854" s="13"/>
      <c r="D854" s="13"/>
    </row>
    <row r="855" spans="2:4">
      <c r="B855" s="13"/>
      <c r="C855" s="13"/>
      <c r="D855" s="13"/>
    </row>
    <row r="856" spans="2:4">
      <c r="B856" s="13"/>
      <c r="C856" s="13"/>
      <c r="D856" s="13"/>
    </row>
    <row r="857" spans="2:4">
      <c r="B857" s="13"/>
      <c r="C857" s="13"/>
      <c r="D857" s="13"/>
    </row>
    <row r="858" spans="2:4">
      <c r="B858" s="13"/>
      <c r="C858" s="13"/>
      <c r="D858" s="13"/>
    </row>
    <row r="859" spans="2:4">
      <c r="B859" s="13"/>
      <c r="C859" s="13"/>
      <c r="D859" s="13"/>
    </row>
    <row r="860" spans="2:4">
      <c r="B860" s="13"/>
      <c r="C860" s="13"/>
      <c r="D860" s="13"/>
    </row>
    <row r="861" spans="2:4">
      <c r="B861" s="13"/>
      <c r="C861" s="13"/>
      <c r="D861" s="13"/>
    </row>
    <row r="862" spans="2:4">
      <c r="B862" s="13"/>
      <c r="C862" s="13"/>
      <c r="D862" s="13"/>
    </row>
    <row r="863" spans="2:4">
      <c r="B863" s="13"/>
      <c r="C863" s="13"/>
      <c r="D863" s="13"/>
    </row>
    <row r="864" spans="2:4">
      <c r="B864" s="13"/>
      <c r="C864" s="13"/>
      <c r="D864" s="13"/>
    </row>
    <row r="865" spans="2:4">
      <c r="B865" s="13"/>
      <c r="C865" s="13"/>
      <c r="D865" s="13"/>
    </row>
    <row r="866" spans="2:4">
      <c r="B866" s="13"/>
      <c r="C866" s="13"/>
      <c r="D866" s="13"/>
    </row>
    <row r="867" spans="2:4">
      <c r="B867" s="13"/>
      <c r="C867" s="13"/>
      <c r="D867" s="13"/>
    </row>
    <row r="868" spans="2:4">
      <c r="B868" s="13"/>
      <c r="C868" s="13"/>
      <c r="D868" s="13"/>
    </row>
    <row r="869" spans="2:4">
      <c r="B869" s="13"/>
      <c r="C869" s="13"/>
      <c r="D869" s="13"/>
    </row>
    <row r="870" spans="2:4">
      <c r="B870" s="13"/>
      <c r="C870" s="13"/>
      <c r="D870" s="13"/>
    </row>
    <row r="871" spans="2:4">
      <c r="B871" s="13"/>
      <c r="C871" s="13"/>
      <c r="D871" s="13"/>
    </row>
    <row r="872" spans="2:4">
      <c r="B872" s="13"/>
      <c r="C872" s="13"/>
      <c r="D872" s="13"/>
    </row>
    <row r="873" spans="2:4">
      <c r="B873" s="13"/>
      <c r="C873" s="13"/>
      <c r="D873" s="13"/>
    </row>
    <row r="874" spans="2:4">
      <c r="B874" s="13"/>
      <c r="C874" s="13"/>
      <c r="D874" s="13"/>
    </row>
    <row r="875" spans="2:4">
      <c r="B875" s="13"/>
      <c r="C875" s="13"/>
      <c r="D875" s="13"/>
    </row>
    <row r="876" spans="2:4">
      <c r="B876" s="13"/>
      <c r="C876" s="13"/>
      <c r="D876" s="13"/>
    </row>
    <row r="877" spans="2:4">
      <c r="B877" s="13"/>
      <c r="C877" s="13"/>
      <c r="D877" s="13"/>
    </row>
    <row r="878" spans="2:4">
      <c r="B878" s="13"/>
      <c r="C878" s="13"/>
      <c r="D878" s="13"/>
    </row>
    <row r="879" spans="2:4">
      <c r="B879" s="13"/>
      <c r="C879" s="13"/>
      <c r="D879" s="13"/>
    </row>
    <row r="880" spans="2:4">
      <c r="B880" s="13"/>
      <c r="C880" s="13"/>
      <c r="D880" s="13"/>
    </row>
    <row r="881" spans="2:4">
      <c r="B881" s="13"/>
      <c r="C881" s="13"/>
      <c r="D881" s="13"/>
    </row>
    <row r="882" spans="2:4">
      <c r="B882" s="13"/>
      <c r="C882" s="13"/>
      <c r="D882" s="13"/>
    </row>
    <row r="883" spans="2:4">
      <c r="B883" s="13"/>
      <c r="C883" s="13"/>
      <c r="D883" s="13"/>
    </row>
    <row r="884" spans="2:4">
      <c r="B884" s="13"/>
      <c r="C884" s="13"/>
      <c r="D884" s="13"/>
    </row>
    <row r="885" spans="2:4">
      <c r="B885" s="13"/>
      <c r="C885" s="13"/>
      <c r="D885" s="13"/>
    </row>
    <row r="886" spans="2:4">
      <c r="B886" s="13"/>
      <c r="C886" s="13"/>
      <c r="D886" s="13"/>
    </row>
    <row r="887" spans="2:4">
      <c r="B887" s="13"/>
      <c r="C887" s="13"/>
      <c r="D887" s="13"/>
    </row>
    <row r="888" spans="2:4">
      <c r="B888" s="13"/>
      <c r="C888" s="13"/>
      <c r="D888" s="13"/>
    </row>
    <row r="889" spans="2:4">
      <c r="B889" s="13"/>
      <c r="C889" s="13"/>
      <c r="D889" s="13"/>
    </row>
    <row r="890" spans="2:4">
      <c r="B890" s="13"/>
      <c r="C890" s="13"/>
      <c r="D890" s="13"/>
    </row>
    <row r="891" spans="2:4">
      <c r="B891" s="13"/>
      <c r="C891" s="13"/>
      <c r="D891" s="13"/>
    </row>
    <row r="892" spans="2:4">
      <c r="B892" s="13"/>
      <c r="C892" s="13"/>
      <c r="D892" s="13"/>
    </row>
    <row r="893" spans="2:4">
      <c r="B893" s="13"/>
      <c r="C893" s="13"/>
      <c r="D893" s="13"/>
    </row>
    <row r="894" spans="2:4">
      <c r="B894" s="13"/>
      <c r="C894" s="13"/>
      <c r="D894" s="13"/>
    </row>
    <row r="895" spans="2:4">
      <c r="B895" s="13"/>
      <c r="C895" s="13"/>
      <c r="D895" s="13"/>
    </row>
    <row r="896" spans="2:4">
      <c r="B896" s="13"/>
      <c r="C896" s="13"/>
      <c r="D896" s="13"/>
    </row>
    <row r="897" spans="2:4">
      <c r="B897" s="13"/>
      <c r="C897" s="13"/>
      <c r="D897" s="13"/>
    </row>
    <row r="898" spans="2:4">
      <c r="B898" s="13"/>
      <c r="C898" s="13"/>
      <c r="D898" s="13"/>
    </row>
    <row r="899" spans="2:4">
      <c r="B899" s="13"/>
      <c r="C899" s="13"/>
      <c r="D899" s="13"/>
    </row>
    <row r="900" spans="2:4">
      <c r="B900" s="13"/>
      <c r="C900" s="13"/>
      <c r="D900" s="13"/>
    </row>
    <row r="901" spans="2:4">
      <c r="B901" s="13"/>
      <c r="C901" s="13"/>
      <c r="D901" s="13"/>
    </row>
    <row r="902" spans="2:4">
      <c r="B902" s="13"/>
      <c r="C902" s="13"/>
      <c r="D902" s="13"/>
    </row>
    <row r="903" spans="2:4">
      <c r="B903" s="13"/>
      <c r="C903" s="13"/>
      <c r="D903" s="13"/>
    </row>
    <row r="904" spans="2:4">
      <c r="B904" s="13"/>
      <c r="C904" s="13"/>
      <c r="D904" s="13"/>
    </row>
    <row r="905" spans="2:4">
      <c r="B905" s="13"/>
      <c r="C905" s="13"/>
      <c r="D905" s="13"/>
    </row>
    <row r="906" spans="2:4">
      <c r="B906" s="13"/>
      <c r="C906" s="13"/>
      <c r="D906" s="13"/>
    </row>
    <row r="907" spans="2:4">
      <c r="B907" s="13"/>
      <c r="C907" s="13"/>
      <c r="D907" s="13"/>
    </row>
    <row r="908" spans="2:4">
      <c r="B908" s="13"/>
      <c r="C908" s="13"/>
      <c r="D908" s="13"/>
    </row>
    <row r="909" spans="2:4">
      <c r="B909" s="13"/>
      <c r="C909" s="13"/>
      <c r="D909" s="13"/>
    </row>
    <row r="910" spans="2:4">
      <c r="B910" s="13"/>
      <c r="C910" s="13"/>
      <c r="D910" s="13"/>
    </row>
    <row r="911" spans="2:4">
      <c r="B911" s="13"/>
      <c r="C911" s="13"/>
      <c r="D911" s="13"/>
    </row>
    <row r="912" spans="2:4">
      <c r="B912" s="13"/>
      <c r="C912" s="13"/>
      <c r="D912" s="13"/>
    </row>
    <row r="913" spans="2:4">
      <c r="B913" s="13"/>
      <c r="C913" s="13"/>
      <c r="D913" s="13"/>
    </row>
    <row r="914" spans="2:4">
      <c r="B914" s="13"/>
      <c r="C914" s="13"/>
      <c r="D914" s="13"/>
    </row>
    <row r="915" spans="2:4">
      <c r="B915" s="13"/>
      <c r="C915" s="13"/>
      <c r="D915" s="13"/>
    </row>
    <row r="916" spans="2:4">
      <c r="B916" s="13"/>
      <c r="C916" s="13"/>
      <c r="D916" s="13"/>
    </row>
    <row r="917" spans="2:4">
      <c r="B917" s="13"/>
      <c r="C917" s="13"/>
      <c r="D917" s="13"/>
    </row>
    <row r="918" spans="2:4">
      <c r="B918" s="13"/>
      <c r="C918" s="13"/>
      <c r="D918" s="13"/>
    </row>
    <row r="919" spans="2:4">
      <c r="B919" s="13"/>
      <c r="C919" s="13"/>
      <c r="D919" s="13"/>
    </row>
    <row r="920" spans="2:4">
      <c r="B920" s="13"/>
      <c r="C920" s="13"/>
      <c r="D920" s="13"/>
    </row>
    <row r="921" spans="2:4">
      <c r="B921" s="13"/>
      <c r="C921" s="13"/>
      <c r="D921" s="13"/>
    </row>
    <row r="922" spans="2:4">
      <c r="B922" s="13"/>
      <c r="C922" s="13"/>
      <c r="D922" s="13"/>
    </row>
    <row r="923" spans="2:4">
      <c r="B923" s="13"/>
      <c r="C923" s="13"/>
      <c r="D923" s="13"/>
    </row>
    <row r="924" spans="2:4">
      <c r="B924" s="13"/>
      <c r="C924" s="13"/>
      <c r="D924" s="13"/>
    </row>
    <row r="925" spans="2:4">
      <c r="B925" s="13"/>
      <c r="C925" s="13"/>
      <c r="D925" s="13"/>
    </row>
    <row r="926" spans="2:4">
      <c r="B926" s="13"/>
      <c r="C926" s="13"/>
      <c r="D926" s="13"/>
    </row>
    <row r="927" spans="2:4">
      <c r="B927" s="13"/>
      <c r="C927" s="13"/>
      <c r="D927" s="13"/>
    </row>
    <row r="928" spans="2:4">
      <c r="B928" s="13"/>
      <c r="C928" s="13"/>
      <c r="D928" s="13"/>
    </row>
    <row r="929" spans="2:4">
      <c r="B929" s="13"/>
      <c r="C929" s="13"/>
      <c r="D929" s="13"/>
    </row>
    <row r="930" spans="2:4">
      <c r="B930" s="13"/>
      <c r="C930" s="13"/>
      <c r="D930" s="13"/>
    </row>
    <row r="931" spans="2:4">
      <c r="B931" s="13"/>
      <c r="C931" s="13"/>
      <c r="D931" s="13"/>
    </row>
    <row r="932" spans="2:4">
      <c r="B932" s="13"/>
      <c r="C932" s="13"/>
      <c r="D932" s="13"/>
    </row>
    <row r="933" spans="2:4">
      <c r="B933" s="13"/>
      <c r="C933" s="13"/>
      <c r="D933" s="13"/>
    </row>
    <row r="934" spans="2:4">
      <c r="B934" s="13"/>
      <c r="C934" s="13"/>
      <c r="D934" s="13"/>
    </row>
    <row r="935" spans="2:4">
      <c r="B935" s="13"/>
      <c r="C935" s="13"/>
      <c r="D935" s="13"/>
    </row>
    <row r="936" spans="2:4">
      <c r="B936" s="13"/>
      <c r="C936" s="13"/>
      <c r="D936" s="13"/>
    </row>
    <row r="937" spans="2:4">
      <c r="B937" s="13"/>
      <c r="C937" s="13"/>
      <c r="D937" s="13"/>
    </row>
    <row r="938" spans="2:4">
      <c r="B938" s="13"/>
      <c r="C938" s="13"/>
      <c r="D938" s="13"/>
    </row>
    <row r="939" spans="2:4">
      <c r="B939" s="13"/>
      <c r="C939" s="13"/>
      <c r="D939" s="13"/>
    </row>
    <row r="940" spans="2:4">
      <c r="B940" s="13"/>
      <c r="C940" s="13"/>
      <c r="D940" s="13"/>
    </row>
    <row r="941" spans="2:4">
      <c r="B941" s="13"/>
      <c r="C941" s="13"/>
      <c r="D941" s="13"/>
    </row>
    <row r="942" spans="2:4">
      <c r="B942" s="13"/>
      <c r="C942" s="13"/>
      <c r="D942" s="13"/>
    </row>
    <row r="943" spans="2:4">
      <c r="B943" s="13"/>
      <c r="C943" s="13"/>
      <c r="D943" s="13"/>
    </row>
    <row r="944" spans="2:4">
      <c r="B944" s="13"/>
      <c r="C944" s="13"/>
      <c r="D944" s="13"/>
    </row>
    <row r="945" spans="2:4">
      <c r="B945" s="13"/>
      <c r="C945" s="13"/>
      <c r="D945" s="13"/>
    </row>
    <row r="946" spans="2:4">
      <c r="B946" s="13"/>
      <c r="C946" s="13"/>
      <c r="D946" s="13"/>
    </row>
    <row r="947" spans="2:4">
      <c r="B947" s="13"/>
      <c r="C947" s="13"/>
      <c r="D947" s="13"/>
    </row>
    <row r="948" spans="2:4">
      <c r="B948" s="13"/>
      <c r="C948" s="13"/>
      <c r="D948" s="13"/>
    </row>
    <row r="949" spans="2:4">
      <c r="B949" s="13"/>
      <c r="C949" s="13"/>
      <c r="D949" s="13"/>
    </row>
    <row r="950" spans="2:4">
      <c r="B950" s="13"/>
      <c r="C950" s="13"/>
      <c r="D950" s="13"/>
    </row>
    <row r="951" spans="2:4">
      <c r="B951" s="13"/>
      <c r="C951" s="13"/>
      <c r="D951" s="13"/>
    </row>
    <row r="952" spans="2:4">
      <c r="B952" s="13"/>
      <c r="C952" s="13"/>
      <c r="D952" s="13"/>
    </row>
    <row r="953" spans="2:4">
      <c r="B953" s="13"/>
      <c r="C953" s="13"/>
      <c r="D953" s="13"/>
    </row>
    <row r="954" spans="2:4">
      <c r="B954" s="13"/>
      <c r="C954" s="13"/>
      <c r="D954" s="13"/>
    </row>
    <row r="955" spans="2:4">
      <c r="B955" s="13"/>
      <c r="C955" s="13"/>
      <c r="D955" s="13"/>
    </row>
    <row r="956" spans="2:4">
      <c r="B956" s="13"/>
      <c r="C956" s="13"/>
      <c r="D956" s="13"/>
    </row>
    <row r="957" spans="2:4">
      <c r="B957" s="13"/>
      <c r="C957" s="13"/>
      <c r="D957" s="13"/>
    </row>
    <row r="958" spans="2:4">
      <c r="B958" s="13"/>
      <c r="C958" s="13"/>
      <c r="D958" s="13"/>
    </row>
    <row r="959" spans="2:4">
      <c r="B959" s="13"/>
      <c r="C959" s="13"/>
      <c r="D959" s="13"/>
    </row>
    <row r="960" spans="2:4">
      <c r="B960" s="13"/>
      <c r="C960" s="13"/>
      <c r="D960" s="13"/>
    </row>
    <row r="961" spans="2:4">
      <c r="B961" s="13"/>
      <c r="C961" s="13"/>
      <c r="D961" s="13"/>
    </row>
    <row r="962" spans="2:4">
      <c r="B962" s="13"/>
      <c r="C962" s="13"/>
      <c r="D962" s="13"/>
    </row>
    <row r="963" spans="2:4">
      <c r="B963" s="13"/>
      <c r="C963" s="13"/>
      <c r="D963" s="13"/>
    </row>
    <row r="964" spans="2:4">
      <c r="B964" s="13"/>
      <c r="C964" s="13"/>
      <c r="D964" s="13"/>
    </row>
    <row r="965" spans="2:4">
      <c r="B965" s="13"/>
      <c r="C965" s="13"/>
      <c r="D965" s="13"/>
    </row>
    <row r="966" spans="2:4">
      <c r="B966" s="13"/>
      <c r="C966" s="13"/>
      <c r="D966" s="13"/>
    </row>
    <row r="967" spans="2:4">
      <c r="B967" s="13"/>
      <c r="C967" s="13"/>
      <c r="D967" s="13"/>
    </row>
    <row r="968" spans="2:4">
      <c r="B968" s="13"/>
      <c r="C968" s="13"/>
      <c r="D968" s="13"/>
    </row>
    <row r="969" spans="2:4">
      <c r="B969" s="13"/>
      <c r="C969" s="13"/>
      <c r="D969" s="13"/>
    </row>
    <row r="970" spans="2:4">
      <c r="B970" s="13"/>
      <c r="C970" s="13"/>
      <c r="D970" s="13"/>
    </row>
    <row r="971" spans="2:4">
      <c r="B971" s="13"/>
      <c r="C971" s="13"/>
      <c r="D971" s="13"/>
    </row>
    <row r="972" spans="2:4">
      <c r="B972" s="13"/>
      <c r="C972" s="13"/>
      <c r="D972" s="13"/>
    </row>
    <row r="973" spans="2:4">
      <c r="B973" s="13"/>
      <c r="C973" s="13"/>
      <c r="D973" s="13"/>
    </row>
    <row r="974" spans="2:4">
      <c r="B974" s="13"/>
      <c r="C974" s="13"/>
      <c r="D974" s="13"/>
    </row>
    <row r="975" spans="2:4">
      <c r="B975" s="13"/>
      <c r="C975" s="13"/>
      <c r="D975" s="13"/>
    </row>
    <row r="976" spans="2:4">
      <c r="B976" s="13"/>
      <c r="C976" s="13"/>
      <c r="D976" s="13"/>
    </row>
    <row r="977" spans="2:4">
      <c r="B977" s="13"/>
      <c r="C977" s="13"/>
      <c r="D977" s="13"/>
    </row>
    <row r="978" spans="2:4">
      <c r="B978" s="13"/>
      <c r="C978" s="13"/>
      <c r="D978" s="13"/>
    </row>
    <row r="979" spans="2:4">
      <c r="B979" s="13"/>
      <c r="C979" s="13"/>
      <c r="D979" s="13"/>
    </row>
    <row r="980" spans="2:4">
      <c r="B980" s="13"/>
      <c r="C980" s="13"/>
      <c r="D980" s="13"/>
    </row>
    <row r="981" spans="2:4">
      <c r="B981" s="13"/>
      <c r="C981" s="13"/>
      <c r="D981" s="13"/>
    </row>
    <row r="982" spans="2:4">
      <c r="B982" s="13"/>
      <c r="C982" s="13"/>
      <c r="D982" s="13"/>
    </row>
    <row r="983" spans="2:4">
      <c r="B983" s="13"/>
      <c r="C983" s="13"/>
      <c r="D983" s="13"/>
    </row>
    <row r="984" spans="2:4">
      <c r="B984" s="13"/>
      <c r="C984" s="13"/>
      <c r="D984" s="13"/>
    </row>
    <row r="985" spans="2:4">
      <c r="B985" s="13"/>
      <c r="C985" s="13"/>
      <c r="D985" s="13"/>
    </row>
    <row r="986" spans="2:4">
      <c r="B986" s="13"/>
      <c r="C986" s="13"/>
      <c r="D986" s="13"/>
    </row>
    <row r="987" spans="2:4">
      <c r="B987" s="13"/>
      <c r="C987" s="13"/>
      <c r="D987" s="13"/>
    </row>
    <row r="988" spans="2:4">
      <c r="B988" s="13"/>
      <c r="C988" s="13"/>
      <c r="D988" s="13"/>
    </row>
    <row r="989" spans="2:4">
      <c r="B989" s="13"/>
      <c r="C989" s="13"/>
      <c r="D989" s="13"/>
    </row>
    <row r="990" spans="2:4">
      <c r="B990" s="13"/>
      <c r="C990" s="13"/>
      <c r="D990" s="13"/>
    </row>
    <row r="991" spans="2:4">
      <c r="B991" s="13"/>
      <c r="C991" s="13"/>
      <c r="D991" s="13"/>
    </row>
    <row r="992" spans="2:4">
      <c r="B992" s="13"/>
      <c r="C992" s="13"/>
      <c r="D992" s="13"/>
    </row>
    <row r="993" spans="2:4">
      <c r="B993" s="13"/>
      <c r="C993" s="13"/>
      <c r="D993" s="13"/>
    </row>
    <row r="994" spans="2:4">
      <c r="B994" s="13"/>
      <c r="C994" s="13"/>
      <c r="D994" s="13"/>
    </row>
    <row r="995" spans="2:4">
      <c r="B995" s="13"/>
      <c r="C995" s="13"/>
      <c r="D995" s="13"/>
    </row>
    <row r="996" spans="2:4">
      <c r="B996" s="13"/>
      <c r="C996" s="13"/>
      <c r="D996" s="13"/>
    </row>
    <row r="997" spans="2:4">
      <c r="B997" s="13"/>
      <c r="C997" s="13"/>
      <c r="D997" s="13"/>
    </row>
    <row r="998" spans="2:4">
      <c r="B998" s="13"/>
      <c r="C998" s="13"/>
      <c r="D998" s="13"/>
    </row>
    <row r="999" spans="2:4">
      <c r="B999" s="13"/>
      <c r="C999" s="13"/>
      <c r="D999" s="13"/>
    </row>
    <row r="1000" spans="2:4">
      <c r="B1000" s="13"/>
      <c r="C1000" s="13"/>
      <c r="D1000" s="13"/>
    </row>
    <row r="1001" spans="2:4">
      <c r="B1001" s="13"/>
      <c r="C1001" s="13"/>
      <c r="D1001" s="13"/>
    </row>
    <row r="1002" spans="2:4">
      <c r="B1002" s="13"/>
      <c r="C1002" s="13"/>
      <c r="D1002" s="13"/>
    </row>
    <row r="1003" spans="2:4">
      <c r="B1003" s="13"/>
      <c r="C1003" s="13"/>
      <c r="D1003" s="13"/>
    </row>
    <row r="1004" spans="2:4">
      <c r="B1004" s="13"/>
      <c r="C1004" s="13"/>
      <c r="D1004" s="13"/>
    </row>
    <row r="1005" spans="2:4">
      <c r="B1005" s="13"/>
      <c r="C1005" s="13"/>
      <c r="D1005" s="13"/>
    </row>
    <row r="1006" spans="2:4">
      <c r="B1006" s="13"/>
      <c r="C1006" s="13"/>
      <c r="D1006" s="13"/>
    </row>
    <row r="1007" spans="2:4">
      <c r="B1007" s="13"/>
      <c r="C1007" s="13"/>
      <c r="D1007" s="13"/>
    </row>
    <row r="1008" spans="2:4">
      <c r="B1008" s="13"/>
      <c r="C1008" s="13"/>
      <c r="D1008" s="13"/>
    </row>
    <row r="1009" spans="2:4">
      <c r="B1009" s="13"/>
      <c r="C1009" s="13"/>
      <c r="D1009" s="13"/>
    </row>
    <row r="1010" spans="2:4">
      <c r="B1010" s="13"/>
      <c r="C1010" s="13"/>
      <c r="D1010" s="13"/>
    </row>
    <row r="1011" spans="2:4">
      <c r="B1011" s="13"/>
      <c r="C1011" s="13"/>
      <c r="D1011" s="13"/>
    </row>
    <row r="1012" spans="2:4">
      <c r="B1012" s="13"/>
      <c r="C1012" s="13"/>
      <c r="D1012" s="13"/>
    </row>
    <row r="1013" spans="2:4">
      <c r="B1013" s="13"/>
      <c r="C1013" s="13"/>
      <c r="D1013" s="13"/>
    </row>
    <row r="1014" spans="2:4">
      <c r="B1014" s="13"/>
      <c r="C1014" s="13"/>
      <c r="D1014" s="13"/>
    </row>
    <row r="1015" spans="2:4">
      <c r="B1015" s="13"/>
      <c r="C1015" s="13"/>
      <c r="D1015" s="13"/>
    </row>
    <row r="1016" spans="2:4">
      <c r="B1016" s="13"/>
      <c r="C1016" s="13"/>
      <c r="D1016" s="13"/>
    </row>
    <row r="1017" spans="2:4">
      <c r="B1017" s="13"/>
      <c r="C1017" s="13"/>
      <c r="D1017" s="13"/>
    </row>
    <row r="1018" spans="2:4">
      <c r="B1018" s="13"/>
      <c r="C1018" s="13"/>
      <c r="D1018" s="13"/>
    </row>
    <row r="1019" spans="2:4">
      <c r="B1019" s="13"/>
      <c r="C1019" s="13"/>
      <c r="D1019" s="13"/>
    </row>
    <row r="1020" spans="2:4">
      <c r="B1020" s="13"/>
      <c r="C1020" s="13"/>
      <c r="D1020" s="13"/>
    </row>
    <row r="1021" spans="2:4">
      <c r="B1021" s="13"/>
      <c r="C1021" s="13"/>
      <c r="D1021" s="13"/>
    </row>
    <row r="1022" spans="2:4">
      <c r="B1022" s="13"/>
      <c r="C1022" s="13"/>
      <c r="D1022" s="13"/>
    </row>
    <row r="1023" spans="2:4">
      <c r="B1023" s="13"/>
      <c r="C1023" s="13"/>
      <c r="D1023" s="13"/>
    </row>
    <row r="1024" spans="2:4">
      <c r="B1024" s="13"/>
      <c r="C1024" s="13"/>
      <c r="D1024" s="13"/>
    </row>
    <row r="1025" spans="2:4">
      <c r="B1025" s="13"/>
      <c r="C1025" s="13"/>
      <c r="D1025" s="13"/>
    </row>
    <row r="1026" spans="2:4">
      <c r="B1026" s="13"/>
      <c r="C1026" s="13"/>
      <c r="D1026" s="13"/>
    </row>
    <row r="1027" spans="2:4">
      <c r="B1027" s="13"/>
      <c r="C1027" s="13"/>
      <c r="D1027" s="13"/>
    </row>
    <row r="1028" spans="2:4">
      <c r="B1028" s="13"/>
      <c r="C1028" s="13"/>
      <c r="D1028" s="13"/>
    </row>
    <row r="1029" spans="2:4">
      <c r="B1029" s="13"/>
      <c r="C1029" s="13"/>
      <c r="D1029" s="13"/>
    </row>
    <row r="1030" spans="2:4">
      <c r="B1030" s="13"/>
      <c r="C1030" s="13"/>
      <c r="D1030" s="13"/>
    </row>
    <row r="1031" spans="2:4">
      <c r="B1031" s="13"/>
      <c r="C1031" s="13"/>
      <c r="D1031" s="13"/>
    </row>
    <row r="1032" spans="2:4">
      <c r="B1032" s="13"/>
      <c r="C1032" s="13"/>
      <c r="D1032" s="13"/>
    </row>
    <row r="1033" spans="2:4">
      <c r="B1033" s="13"/>
      <c r="C1033" s="13"/>
      <c r="D1033" s="13"/>
    </row>
    <row r="1034" spans="2:4">
      <c r="B1034" s="13"/>
      <c r="C1034" s="13"/>
      <c r="D1034" s="13"/>
    </row>
    <row r="1035" spans="2:4">
      <c r="B1035" s="13"/>
      <c r="C1035" s="13"/>
      <c r="D1035" s="13"/>
    </row>
    <row r="1036" spans="2:4">
      <c r="B1036" s="13"/>
      <c r="C1036" s="13"/>
      <c r="D1036" s="13"/>
    </row>
    <row r="1037" spans="2:4">
      <c r="B1037" s="13"/>
      <c r="C1037" s="13"/>
      <c r="D1037" s="13"/>
    </row>
    <row r="1038" spans="2:4">
      <c r="B1038" s="13"/>
      <c r="C1038" s="13"/>
      <c r="D1038" s="13"/>
    </row>
    <row r="1039" spans="2:4">
      <c r="B1039" s="13"/>
      <c r="C1039" s="13"/>
      <c r="D1039" s="13"/>
    </row>
    <row r="1040" spans="2:4">
      <c r="B1040" s="13"/>
      <c r="C1040" s="13"/>
      <c r="D1040" s="13"/>
    </row>
    <row r="1041" spans="2:4">
      <c r="B1041" s="13"/>
      <c r="C1041" s="13"/>
      <c r="D1041" s="13"/>
    </row>
    <row r="1042" spans="2:4">
      <c r="B1042" s="13"/>
      <c r="C1042" s="13"/>
      <c r="D1042" s="13"/>
    </row>
    <row r="1043" spans="2:4">
      <c r="B1043" s="13"/>
      <c r="C1043" s="13"/>
      <c r="D1043" s="13"/>
    </row>
    <row r="1044" spans="2:4">
      <c r="B1044" s="13"/>
      <c r="C1044" s="13"/>
      <c r="D1044" s="13"/>
    </row>
    <row r="1045" spans="2:4">
      <c r="B1045" s="13"/>
      <c r="C1045" s="13"/>
      <c r="D1045" s="13"/>
    </row>
    <row r="1046" spans="2:4">
      <c r="B1046" s="13"/>
      <c r="C1046" s="13"/>
      <c r="D1046" s="13"/>
    </row>
    <row r="1047" spans="2:4">
      <c r="B1047" s="13"/>
      <c r="C1047" s="13"/>
      <c r="D1047" s="13"/>
    </row>
    <row r="1048" spans="2:4">
      <c r="B1048" s="13"/>
      <c r="C1048" s="13"/>
      <c r="D1048" s="13"/>
    </row>
    <row r="1049" spans="2:4">
      <c r="B1049" s="13"/>
      <c r="C1049" s="13"/>
      <c r="D1049" s="13"/>
    </row>
    <row r="1050" spans="2:4">
      <c r="B1050" s="13"/>
      <c r="C1050" s="13"/>
      <c r="D1050" s="13"/>
    </row>
    <row r="1051" spans="2:4">
      <c r="B1051" s="13"/>
      <c r="C1051" s="13"/>
      <c r="D1051" s="13"/>
    </row>
    <row r="1052" spans="2:4">
      <c r="B1052" s="13"/>
      <c r="C1052" s="13"/>
      <c r="D1052" s="13"/>
    </row>
    <row r="1053" spans="2:4">
      <c r="B1053" s="13"/>
      <c r="C1053" s="13"/>
      <c r="D1053" s="13"/>
    </row>
    <row r="1054" spans="2:4">
      <c r="B1054" s="13"/>
      <c r="C1054" s="13"/>
      <c r="D1054" s="13"/>
    </row>
    <row r="1055" spans="2:4">
      <c r="B1055" s="13"/>
      <c r="C1055" s="13"/>
      <c r="D1055" s="13"/>
    </row>
    <row r="1056" spans="2:4">
      <c r="B1056" s="13"/>
      <c r="C1056" s="13"/>
      <c r="D1056" s="13"/>
    </row>
    <row r="1057" spans="2:4">
      <c r="B1057" s="13"/>
      <c r="C1057" s="13"/>
      <c r="D1057" s="13"/>
    </row>
    <row r="1058" spans="2:4">
      <c r="B1058" s="13"/>
      <c r="C1058" s="13"/>
      <c r="D1058" s="13"/>
    </row>
    <row r="1059" spans="2:4">
      <c r="B1059" s="13"/>
      <c r="C1059" s="13"/>
      <c r="D1059" s="13"/>
    </row>
    <row r="1060" spans="2:4">
      <c r="B1060" s="13"/>
      <c r="C1060" s="13"/>
      <c r="D1060" s="13"/>
    </row>
    <row r="1061" spans="2:4">
      <c r="B1061" s="13"/>
      <c r="C1061" s="13"/>
      <c r="D1061" s="13"/>
    </row>
    <row r="1062" spans="2:4">
      <c r="B1062" s="13"/>
      <c r="C1062" s="13"/>
      <c r="D1062" s="13"/>
    </row>
    <row r="1063" spans="2:4">
      <c r="B1063" s="13"/>
      <c r="C1063" s="13"/>
      <c r="D1063" s="13"/>
    </row>
    <row r="1064" spans="2:4">
      <c r="B1064" s="13"/>
      <c r="C1064" s="13"/>
      <c r="D1064" s="13"/>
    </row>
    <row r="1065" spans="2:4">
      <c r="B1065" s="13"/>
      <c r="C1065" s="13"/>
      <c r="D1065" s="13"/>
    </row>
    <row r="1066" spans="2:4">
      <c r="B1066" s="13"/>
      <c r="C1066" s="13"/>
      <c r="D1066" s="13"/>
    </row>
    <row r="1067" spans="2:4">
      <c r="B1067" s="13"/>
      <c r="C1067" s="13"/>
      <c r="D1067" s="13"/>
    </row>
    <row r="1068" spans="2:4">
      <c r="B1068" s="13"/>
      <c r="C1068" s="13"/>
      <c r="D1068" s="13"/>
    </row>
    <row r="1069" spans="2:4">
      <c r="B1069" s="13"/>
      <c r="C1069" s="13"/>
      <c r="D1069" s="13"/>
    </row>
    <row r="1070" spans="2:4">
      <c r="B1070" s="13"/>
      <c r="C1070" s="13"/>
      <c r="D1070" s="13"/>
    </row>
    <row r="1071" spans="2:4">
      <c r="B1071" s="13"/>
      <c r="C1071" s="13"/>
      <c r="D1071" s="13"/>
    </row>
    <row r="1072" spans="2:4">
      <c r="B1072" s="13"/>
      <c r="C1072" s="13"/>
      <c r="D1072" s="13"/>
    </row>
    <row r="1073" spans="2:4">
      <c r="B1073" s="13"/>
      <c r="C1073" s="13"/>
      <c r="D1073" s="13"/>
    </row>
    <row r="1074" spans="2:4">
      <c r="B1074" s="13"/>
      <c r="C1074" s="13"/>
      <c r="D1074" s="13"/>
    </row>
    <row r="1075" spans="2:4">
      <c r="B1075" s="13"/>
      <c r="C1075" s="13"/>
      <c r="D1075" s="13"/>
    </row>
    <row r="1076" spans="2:4">
      <c r="B1076" s="13"/>
      <c r="C1076" s="13"/>
      <c r="D1076" s="13"/>
    </row>
    <row r="1077" spans="2:4">
      <c r="B1077" s="13"/>
      <c r="C1077" s="13"/>
      <c r="D1077" s="13"/>
    </row>
    <row r="1078" spans="2:4">
      <c r="B1078" s="13"/>
      <c r="C1078" s="13"/>
      <c r="D1078" s="13"/>
    </row>
    <row r="1079" spans="2:4">
      <c r="B1079" s="13"/>
      <c r="C1079" s="13"/>
      <c r="D1079" s="13"/>
    </row>
    <row r="1080" spans="2:4">
      <c r="B1080" s="13"/>
      <c r="C1080" s="13"/>
      <c r="D1080" s="13"/>
    </row>
    <row r="1081" spans="2:4">
      <c r="B1081" s="13"/>
      <c r="C1081" s="13"/>
      <c r="D1081" s="13"/>
    </row>
    <row r="1082" spans="2:4">
      <c r="B1082" s="13"/>
      <c r="C1082" s="13"/>
      <c r="D1082" s="13"/>
    </row>
    <row r="1083" spans="2:4">
      <c r="B1083" s="13"/>
      <c r="C1083" s="13"/>
      <c r="D1083" s="13"/>
    </row>
    <row r="1084" spans="2:4">
      <c r="B1084" s="13"/>
      <c r="C1084" s="13"/>
      <c r="D1084" s="13"/>
    </row>
    <row r="1085" spans="2:4">
      <c r="B1085" s="13"/>
      <c r="C1085" s="13"/>
      <c r="D1085" s="13"/>
    </row>
    <row r="1086" spans="2:4">
      <c r="B1086" s="13"/>
      <c r="C1086" s="13"/>
      <c r="D1086" s="13"/>
    </row>
    <row r="1087" spans="2:4">
      <c r="B1087" s="13"/>
      <c r="C1087" s="13"/>
      <c r="D1087" s="13"/>
    </row>
    <row r="1088" spans="2:4">
      <c r="B1088" s="13"/>
      <c r="C1088" s="13"/>
      <c r="D1088" s="13"/>
    </row>
    <row r="1089" spans="2:4">
      <c r="B1089" s="13"/>
      <c r="C1089" s="13"/>
      <c r="D1089" s="13"/>
    </row>
    <row r="1090" spans="2:4">
      <c r="B1090" s="13"/>
      <c r="C1090" s="13"/>
      <c r="D1090" s="13"/>
    </row>
    <row r="1091" spans="2:4">
      <c r="B1091" s="13"/>
      <c r="C1091" s="13"/>
      <c r="D1091" s="13"/>
    </row>
    <row r="1092" spans="2:4">
      <c r="B1092" s="13"/>
      <c r="C1092" s="13"/>
      <c r="D1092" s="13"/>
    </row>
    <row r="1093" spans="2:4">
      <c r="B1093" s="13"/>
      <c r="C1093" s="13"/>
      <c r="D1093" s="13"/>
    </row>
    <row r="1094" spans="2:4">
      <c r="B1094" s="13"/>
      <c r="C1094" s="13"/>
      <c r="D1094" s="13"/>
    </row>
    <row r="1095" spans="2:4">
      <c r="B1095" s="13"/>
      <c r="C1095" s="13"/>
      <c r="D1095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360"/>
  <sheetViews>
    <sheetView workbookViewId="0">
      <pane ySplit="1" topLeftCell="A309" activePane="bottomLeft" state="frozen"/>
      <selection pane="bottomLeft" activeCell="E334" sqref="E334"/>
    </sheetView>
  </sheetViews>
  <sheetFormatPr defaultColWidth="9" defaultRowHeight="14.25"/>
  <cols>
    <col min="1" max="1" width="9.5" customWidth="1"/>
    <col min="5" max="5" width="9.375"/>
  </cols>
  <sheetData>
    <row r="1" spans="1:16" ht="38.25">
      <c r="A1" s="1" t="s">
        <v>1</v>
      </c>
      <c r="B1" s="1" t="s">
        <v>241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259</v>
      </c>
      <c r="N1" s="1" t="s">
        <v>260</v>
      </c>
      <c r="O1" s="1" t="s">
        <v>261</v>
      </c>
      <c r="P1" s="1" t="s">
        <v>262</v>
      </c>
    </row>
    <row r="2" spans="1:16">
      <c r="A2" s="2">
        <v>45839</v>
      </c>
      <c r="B2" s="3">
        <f>Data_Entry!T94</f>
        <v>8220</v>
      </c>
      <c r="C2" s="4">
        <f>Data_Entry!V94</f>
        <v>3.07</v>
      </c>
      <c r="D2" s="5">
        <f t="shared" ref="D2:D65" si="0">B2/(24*I2)</f>
        <v>0.14205723766072201</v>
      </c>
      <c r="E2" s="6">
        <v>0</v>
      </c>
      <c r="F2" s="6">
        <v>0</v>
      </c>
      <c r="G2" s="7">
        <f t="shared" ref="G2:G65" si="1">(F2-E2)*24*60</f>
        <v>0</v>
      </c>
      <c r="H2" s="7">
        <f t="shared" ref="H2:H65" si="2">G2/60</f>
        <v>0</v>
      </c>
      <c r="I2" s="8">
        <v>2411</v>
      </c>
      <c r="J2" s="9"/>
      <c r="K2" s="8">
        <f t="shared" ref="K2:K65" si="3">I2*12</f>
        <v>28932</v>
      </c>
      <c r="L2" s="7">
        <f t="shared" ref="L2:L65" si="4">J2*H2</f>
        <v>0</v>
      </c>
      <c r="M2" s="10">
        <f>(K2-L2)/K2</f>
        <v>1</v>
      </c>
      <c r="N2" s="11">
        <f t="shared" ref="N2:N65" si="5">D2/M2</f>
        <v>0.14205723766072201</v>
      </c>
      <c r="O2" s="8">
        <f>N2*I2*24</f>
        <v>8220</v>
      </c>
      <c r="P2" s="12">
        <f t="shared" ref="P2:P65" si="6">O2-B2</f>
        <v>0</v>
      </c>
    </row>
    <row r="3" spans="1:16">
      <c r="A3" s="2">
        <v>45840</v>
      </c>
      <c r="B3" s="3">
        <f>Data_Entry!T95</f>
        <v>6719.99999999997</v>
      </c>
      <c r="C3" s="4">
        <f>Data_Entry!V95</f>
        <v>2.41</v>
      </c>
      <c r="D3" s="5">
        <f t="shared" si="0"/>
        <v>0.116134384072998</v>
      </c>
      <c r="E3" s="6">
        <v>0</v>
      </c>
      <c r="F3" s="6">
        <v>0</v>
      </c>
      <c r="G3" s="7">
        <f t="shared" si="1"/>
        <v>0</v>
      </c>
      <c r="H3" s="7">
        <f t="shared" si="2"/>
        <v>0</v>
      </c>
      <c r="I3" s="8">
        <v>2411</v>
      </c>
      <c r="J3" s="9"/>
      <c r="K3" s="8">
        <f t="shared" si="3"/>
        <v>28932</v>
      </c>
      <c r="L3" s="7">
        <f t="shared" si="4"/>
        <v>0</v>
      </c>
      <c r="M3" s="10">
        <f t="shared" ref="M3:M66" si="7">(K3-L3)/K3</f>
        <v>1</v>
      </c>
      <c r="N3" s="11">
        <f t="shared" si="5"/>
        <v>0.116134384072998</v>
      </c>
      <c r="O3" s="8">
        <f t="shared" ref="O3:O66" si="8">N3*I3*24</f>
        <v>6719.99999999997</v>
      </c>
      <c r="P3" s="12">
        <f t="shared" si="6"/>
        <v>0</v>
      </c>
    </row>
    <row r="4" spans="1:16">
      <c r="A4" s="2">
        <v>45841</v>
      </c>
      <c r="B4" s="3">
        <f>Data_Entry!T96</f>
        <v>1889.99999999996</v>
      </c>
      <c r="C4" s="4">
        <f>Data_Entry!V96</f>
        <v>0.41</v>
      </c>
      <c r="D4" s="5">
        <f t="shared" si="0"/>
        <v>3.2662795520530197E-2</v>
      </c>
      <c r="E4" s="6">
        <v>0</v>
      </c>
      <c r="F4" s="6">
        <v>0</v>
      </c>
      <c r="G4" s="7">
        <f t="shared" si="1"/>
        <v>0</v>
      </c>
      <c r="H4" s="7">
        <f t="shared" si="2"/>
        <v>0</v>
      </c>
      <c r="I4" s="8">
        <v>2411</v>
      </c>
      <c r="J4" s="9"/>
      <c r="K4" s="8">
        <f t="shared" si="3"/>
        <v>28932</v>
      </c>
      <c r="L4" s="7">
        <f t="shared" si="4"/>
        <v>0</v>
      </c>
      <c r="M4" s="10">
        <f t="shared" si="7"/>
        <v>1</v>
      </c>
      <c r="N4" s="11">
        <f t="shared" si="5"/>
        <v>3.2662795520530197E-2</v>
      </c>
      <c r="O4" s="8">
        <f t="shared" si="8"/>
        <v>1889.99999999996</v>
      </c>
      <c r="P4" s="12">
        <f t="shared" si="6"/>
        <v>0</v>
      </c>
    </row>
    <row r="5" spans="1:16">
      <c r="A5" s="2">
        <v>45842</v>
      </c>
      <c r="B5" s="3">
        <f>Data_Entry!T97</f>
        <v>5520.00000000007</v>
      </c>
      <c r="C5" s="4">
        <f>Data_Entry!V97</f>
        <v>0.86</v>
      </c>
      <c r="D5" s="5">
        <f t="shared" si="0"/>
        <v>9.5396101202821604E-2</v>
      </c>
      <c r="E5" s="6">
        <v>0</v>
      </c>
      <c r="F5" s="6">
        <v>0</v>
      </c>
      <c r="G5" s="7">
        <f t="shared" si="1"/>
        <v>0</v>
      </c>
      <c r="H5" s="7">
        <f t="shared" si="2"/>
        <v>0</v>
      </c>
      <c r="I5" s="8">
        <v>2411</v>
      </c>
      <c r="J5" s="9"/>
      <c r="K5" s="8">
        <f t="shared" si="3"/>
        <v>28932</v>
      </c>
      <c r="L5" s="7">
        <f t="shared" si="4"/>
        <v>0</v>
      </c>
      <c r="M5" s="10">
        <f t="shared" si="7"/>
        <v>1</v>
      </c>
      <c r="N5" s="11">
        <f t="shared" si="5"/>
        <v>9.5396101202821604E-2</v>
      </c>
      <c r="O5" s="8">
        <f t="shared" si="8"/>
        <v>5520.00000000007</v>
      </c>
      <c r="P5" s="12">
        <f t="shared" si="6"/>
        <v>0</v>
      </c>
    </row>
    <row r="6" spans="1:16">
      <c r="A6" s="2">
        <v>45843</v>
      </c>
      <c r="B6" s="3">
        <f>Data_Entry!T98</f>
        <v>5249.99999999997</v>
      </c>
      <c r="C6" s="4">
        <f>Data_Entry!V98</f>
        <v>1.08</v>
      </c>
      <c r="D6" s="5">
        <f t="shared" si="0"/>
        <v>9.0729987557029795E-2</v>
      </c>
      <c r="E6" s="6">
        <v>0</v>
      </c>
      <c r="F6" s="6">
        <v>0</v>
      </c>
      <c r="G6" s="7">
        <f t="shared" si="1"/>
        <v>0</v>
      </c>
      <c r="H6" s="7">
        <f t="shared" si="2"/>
        <v>0</v>
      </c>
      <c r="I6" s="8">
        <v>2411</v>
      </c>
      <c r="J6" s="9"/>
      <c r="K6" s="8">
        <f t="shared" si="3"/>
        <v>28932</v>
      </c>
      <c r="L6" s="7">
        <f t="shared" si="4"/>
        <v>0</v>
      </c>
      <c r="M6" s="10">
        <f t="shared" si="7"/>
        <v>1</v>
      </c>
      <c r="N6" s="11">
        <f t="shared" si="5"/>
        <v>9.0729987557029795E-2</v>
      </c>
      <c r="O6" s="8">
        <f t="shared" si="8"/>
        <v>5249.99999999997</v>
      </c>
      <c r="P6" s="12">
        <f t="shared" si="6"/>
        <v>0</v>
      </c>
    </row>
    <row r="7" spans="1:16">
      <c r="A7" s="2">
        <v>45844</v>
      </c>
      <c r="B7" s="3">
        <f>Data_Entry!T99</f>
        <v>6690.00000000003</v>
      </c>
      <c r="C7" s="4">
        <f>Data_Entry!V99</f>
        <v>0.48</v>
      </c>
      <c r="D7" s="5">
        <f t="shared" si="0"/>
        <v>0.115615927001245</v>
      </c>
      <c r="E7" s="6">
        <v>0</v>
      </c>
      <c r="F7" s="6">
        <v>0</v>
      </c>
      <c r="G7" s="7">
        <f t="shared" si="1"/>
        <v>0</v>
      </c>
      <c r="H7" s="7">
        <f t="shared" si="2"/>
        <v>0</v>
      </c>
      <c r="I7" s="8">
        <v>2411</v>
      </c>
      <c r="J7" s="9"/>
      <c r="K7" s="8">
        <f t="shared" si="3"/>
        <v>28932</v>
      </c>
      <c r="L7" s="7">
        <f t="shared" si="4"/>
        <v>0</v>
      </c>
      <c r="M7" s="10">
        <f t="shared" si="7"/>
        <v>1</v>
      </c>
      <c r="N7" s="11">
        <f t="shared" si="5"/>
        <v>0.115615927001245</v>
      </c>
      <c r="O7" s="8">
        <f t="shared" si="8"/>
        <v>6690.00000000003</v>
      </c>
      <c r="P7" s="12">
        <f t="shared" si="6"/>
        <v>0</v>
      </c>
    </row>
    <row r="8" spans="1:16">
      <c r="A8" s="2">
        <v>45845</v>
      </c>
      <c r="B8" s="3">
        <f>Data_Entry!T100</f>
        <v>3720</v>
      </c>
      <c r="C8" s="4">
        <f>Data_Entry!V100</f>
        <v>0.27</v>
      </c>
      <c r="D8" s="5">
        <f t="shared" si="0"/>
        <v>6.4288676897552896E-2</v>
      </c>
      <c r="E8" s="6">
        <v>0</v>
      </c>
      <c r="F8" s="6">
        <v>0</v>
      </c>
      <c r="G8" s="7">
        <f t="shared" si="1"/>
        <v>0</v>
      </c>
      <c r="H8" s="7">
        <f t="shared" si="2"/>
        <v>0</v>
      </c>
      <c r="I8" s="8">
        <v>2411</v>
      </c>
      <c r="J8" s="9"/>
      <c r="K8" s="8">
        <f t="shared" si="3"/>
        <v>28932</v>
      </c>
      <c r="L8" s="7">
        <f t="shared" si="4"/>
        <v>0</v>
      </c>
      <c r="M8" s="10">
        <f t="shared" si="7"/>
        <v>1</v>
      </c>
      <c r="N8" s="11">
        <f t="shared" si="5"/>
        <v>6.4288676897552896E-2</v>
      </c>
      <c r="O8" s="8">
        <f t="shared" si="8"/>
        <v>3720</v>
      </c>
      <c r="P8" s="12">
        <f t="shared" si="6"/>
        <v>0</v>
      </c>
    </row>
    <row r="9" spans="1:16">
      <c r="A9" s="2">
        <v>45846</v>
      </c>
      <c r="B9" s="3">
        <f>Data_Entry!T101</f>
        <v>7349.99999999991</v>
      </c>
      <c r="C9" s="4">
        <f>Data_Entry!V101</f>
        <v>0.36</v>
      </c>
      <c r="D9" s="5">
        <f t="shared" si="0"/>
        <v>0.12702198257984099</v>
      </c>
      <c r="E9" s="6">
        <v>0</v>
      </c>
      <c r="F9" s="6">
        <v>0</v>
      </c>
      <c r="G9" s="7">
        <f t="shared" si="1"/>
        <v>0</v>
      </c>
      <c r="H9" s="7">
        <f t="shared" si="2"/>
        <v>0</v>
      </c>
      <c r="I9" s="8">
        <v>2411</v>
      </c>
      <c r="J9" s="9"/>
      <c r="K9" s="8">
        <f t="shared" si="3"/>
        <v>28932</v>
      </c>
      <c r="L9" s="7">
        <f t="shared" si="4"/>
        <v>0</v>
      </c>
      <c r="M9" s="10">
        <f t="shared" si="7"/>
        <v>1</v>
      </c>
      <c r="N9" s="11">
        <f t="shared" si="5"/>
        <v>0.12702198257984099</v>
      </c>
      <c r="O9" s="8">
        <f t="shared" si="8"/>
        <v>7349.99999999991</v>
      </c>
      <c r="P9" s="12">
        <f t="shared" si="6"/>
        <v>0</v>
      </c>
    </row>
    <row r="10" spans="1:16">
      <c r="A10" s="2">
        <v>45847</v>
      </c>
      <c r="B10" s="3">
        <f>Data_Entry!T102</f>
        <v>10980</v>
      </c>
      <c r="C10" s="4">
        <f>Data_Entry!V102</f>
        <v>0</v>
      </c>
      <c r="D10" s="5">
        <f t="shared" si="0"/>
        <v>0.189755288262133</v>
      </c>
      <c r="E10" s="6">
        <v>0</v>
      </c>
      <c r="F10" s="6">
        <v>0</v>
      </c>
      <c r="G10" s="7">
        <f t="shared" si="1"/>
        <v>0</v>
      </c>
      <c r="H10" s="7">
        <f t="shared" si="2"/>
        <v>0</v>
      </c>
      <c r="I10" s="8">
        <v>2411</v>
      </c>
      <c r="J10" s="9"/>
      <c r="K10" s="8">
        <f t="shared" si="3"/>
        <v>28932</v>
      </c>
      <c r="L10" s="7">
        <f t="shared" si="4"/>
        <v>0</v>
      </c>
      <c r="M10" s="10">
        <f t="shared" si="7"/>
        <v>1</v>
      </c>
      <c r="N10" s="11">
        <f t="shared" si="5"/>
        <v>0.189755288262133</v>
      </c>
      <c r="O10" s="8">
        <f t="shared" si="8"/>
        <v>10980</v>
      </c>
      <c r="P10" s="12">
        <f t="shared" si="6"/>
        <v>0</v>
      </c>
    </row>
    <row r="11" spans="1:16">
      <c r="A11" s="2">
        <v>45848</v>
      </c>
      <c r="B11" s="3">
        <f>Data_Entry!T103</f>
        <v>9870.0000000000291</v>
      </c>
      <c r="C11" s="4">
        <f>Data_Entry!V103</f>
        <v>0</v>
      </c>
      <c r="D11" s="5">
        <f t="shared" si="0"/>
        <v>0.170572376607218</v>
      </c>
      <c r="E11" s="6">
        <v>0</v>
      </c>
      <c r="F11" s="6">
        <v>0</v>
      </c>
      <c r="G11" s="7">
        <f t="shared" si="1"/>
        <v>0</v>
      </c>
      <c r="H11" s="7">
        <f t="shared" si="2"/>
        <v>0</v>
      </c>
      <c r="I11" s="8">
        <v>2411</v>
      </c>
      <c r="J11" s="9"/>
      <c r="K11" s="8">
        <f t="shared" si="3"/>
        <v>28932</v>
      </c>
      <c r="L11" s="7">
        <f t="shared" si="4"/>
        <v>0</v>
      </c>
      <c r="M11" s="10">
        <f t="shared" si="7"/>
        <v>1</v>
      </c>
      <c r="N11" s="11">
        <f t="shared" si="5"/>
        <v>0.170572376607218</v>
      </c>
      <c r="O11" s="8">
        <f t="shared" si="8"/>
        <v>9870.00000000004</v>
      </c>
      <c r="P11" s="12">
        <f t="shared" si="6"/>
        <v>0</v>
      </c>
    </row>
    <row r="12" spans="1:16">
      <c r="A12" s="2">
        <v>45849</v>
      </c>
      <c r="B12" s="3">
        <f>Data_Entry!T104</f>
        <v>6809.99999999992</v>
      </c>
      <c r="C12" s="4">
        <f>Data_Entry!V104</f>
        <v>1.61</v>
      </c>
      <c r="D12" s="5">
        <f t="shared" si="0"/>
        <v>0.11768975528826101</v>
      </c>
      <c r="E12" s="6">
        <v>0</v>
      </c>
      <c r="F12" s="6">
        <v>0</v>
      </c>
      <c r="G12" s="7">
        <f t="shared" si="1"/>
        <v>0</v>
      </c>
      <c r="H12" s="7">
        <f t="shared" si="2"/>
        <v>0</v>
      </c>
      <c r="I12" s="8">
        <v>2411</v>
      </c>
      <c r="J12" s="9"/>
      <c r="K12" s="8">
        <f t="shared" si="3"/>
        <v>28932</v>
      </c>
      <c r="L12" s="7">
        <f t="shared" si="4"/>
        <v>0</v>
      </c>
      <c r="M12" s="10">
        <f t="shared" si="7"/>
        <v>1</v>
      </c>
      <c r="N12" s="11">
        <f t="shared" si="5"/>
        <v>0.11768975528826101</v>
      </c>
      <c r="O12" s="8">
        <f t="shared" si="8"/>
        <v>6809.99999999992</v>
      </c>
      <c r="P12" s="12">
        <f t="shared" si="6"/>
        <v>0</v>
      </c>
    </row>
    <row r="13" spans="1:16">
      <c r="A13" s="2">
        <v>45850</v>
      </c>
      <c r="B13" s="3">
        <f>Data_Entry!T105</f>
        <v>8340.00000000006</v>
      </c>
      <c r="C13" s="4">
        <f>Data_Entry!V105</f>
        <v>3.27</v>
      </c>
      <c r="D13" s="5">
        <f t="shared" si="0"/>
        <v>0.144131065947741</v>
      </c>
      <c r="E13" s="6">
        <v>0</v>
      </c>
      <c r="F13" s="6">
        <v>0</v>
      </c>
      <c r="G13" s="7">
        <f t="shared" si="1"/>
        <v>0</v>
      </c>
      <c r="H13" s="7">
        <f t="shared" si="2"/>
        <v>0</v>
      </c>
      <c r="I13" s="8">
        <v>2411</v>
      </c>
      <c r="J13" s="9"/>
      <c r="K13" s="8">
        <f t="shared" si="3"/>
        <v>28932</v>
      </c>
      <c r="L13" s="7">
        <f t="shared" si="4"/>
        <v>0</v>
      </c>
      <c r="M13" s="10">
        <f t="shared" si="7"/>
        <v>1</v>
      </c>
      <c r="N13" s="11">
        <f t="shared" si="5"/>
        <v>0.144131065947741</v>
      </c>
      <c r="O13" s="8">
        <f t="shared" si="8"/>
        <v>8340.00000000006</v>
      </c>
      <c r="P13" s="12">
        <f t="shared" si="6"/>
        <v>0</v>
      </c>
    </row>
    <row r="14" spans="1:16">
      <c r="A14" s="2">
        <v>45851</v>
      </c>
      <c r="B14" s="3">
        <f>Data_Entry!T106</f>
        <v>11130.0000000001</v>
      </c>
      <c r="C14" s="4">
        <f>Data_Entry!V106</f>
        <v>3.36</v>
      </c>
      <c r="D14" s="5">
        <f t="shared" si="0"/>
        <v>0.19234757362090599</v>
      </c>
      <c r="E14" s="6">
        <v>0</v>
      </c>
      <c r="F14" s="6">
        <v>0</v>
      </c>
      <c r="G14" s="7">
        <f t="shared" si="1"/>
        <v>0</v>
      </c>
      <c r="H14" s="7">
        <f t="shared" si="2"/>
        <v>0</v>
      </c>
      <c r="I14" s="8">
        <v>2411</v>
      </c>
      <c r="J14" s="9"/>
      <c r="K14" s="8">
        <f t="shared" si="3"/>
        <v>28932</v>
      </c>
      <c r="L14" s="7">
        <f t="shared" si="4"/>
        <v>0</v>
      </c>
      <c r="M14" s="10">
        <f t="shared" si="7"/>
        <v>1</v>
      </c>
      <c r="N14" s="11">
        <f t="shared" si="5"/>
        <v>0.19234757362090599</v>
      </c>
      <c r="O14" s="8">
        <f t="shared" si="8"/>
        <v>11130.0000000001</v>
      </c>
      <c r="P14" s="12">
        <f t="shared" si="6"/>
        <v>0</v>
      </c>
    </row>
    <row r="15" spans="1:16">
      <c r="A15" s="2">
        <v>45852</v>
      </c>
      <c r="B15" s="3">
        <f>Data_Entry!T107</f>
        <v>10049.9999999999</v>
      </c>
      <c r="C15" s="4">
        <f>Data_Entry!V107</f>
        <v>3.38</v>
      </c>
      <c r="D15" s="5">
        <f t="shared" si="0"/>
        <v>0.173683119037741</v>
      </c>
      <c r="E15" s="6">
        <v>0</v>
      </c>
      <c r="F15" s="6">
        <v>0</v>
      </c>
      <c r="G15" s="7">
        <f t="shared" si="1"/>
        <v>0</v>
      </c>
      <c r="H15" s="7">
        <f t="shared" si="2"/>
        <v>0</v>
      </c>
      <c r="I15" s="8">
        <v>2411</v>
      </c>
      <c r="J15" s="9"/>
      <c r="K15" s="8">
        <f t="shared" si="3"/>
        <v>28932</v>
      </c>
      <c r="L15" s="7">
        <f t="shared" si="4"/>
        <v>0</v>
      </c>
      <c r="M15" s="10">
        <f t="shared" si="7"/>
        <v>1</v>
      </c>
      <c r="N15" s="11">
        <f t="shared" si="5"/>
        <v>0.173683119037741</v>
      </c>
      <c r="O15" s="8">
        <f t="shared" si="8"/>
        <v>10049.9999999999</v>
      </c>
      <c r="P15" s="12">
        <f t="shared" si="6"/>
        <v>0</v>
      </c>
    </row>
    <row r="16" spans="1:16">
      <c r="A16" s="2">
        <v>45853</v>
      </c>
      <c r="B16" s="3">
        <f>Data_Entry!T108</f>
        <v>10080</v>
      </c>
      <c r="C16" s="4">
        <f>Data_Entry!V108</f>
        <v>3.31</v>
      </c>
      <c r="D16" s="5">
        <f t="shared" si="0"/>
        <v>0.17420157610949799</v>
      </c>
      <c r="E16" s="6">
        <v>0</v>
      </c>
      <c r="F16" s="6">
        <v>0</v>
      </c>
      <c r="G16" s="7">
        <f t="shared" si="1"/>
        <v>0</v>
      </c>
      <c r="H16" s="7">
        <f t="shared" si="2"/>
        <v>0</v>
      </c>
      <c r="I16" s="8">
        <v>2411</v>
      </c>
      <c r="J16" s="9"/>
      <c r="K16" s="8">
        <f t="shared" si="3"/>
        <v>28932</v>
      </c>
      <c r="L16" s="7">
        <f t="shared" si="4"/>
        <v>0</v>
      </c>
      <c r="M16" s="10">
        <f t="shared" si="7"/>
        <v>1</v>
      </c>
      <c r="N16" s="11">
        <f t="shared" si="5"/>
        <v>0.17420157610949799</v>
      </c>
      <c r="O16" s="8">
        <f t="shared" si="8"/>
        <v>10080</v>
      </c>
      <c r="P16" s="12">
        <f t="shared" si="6"/>
        <v>0</v>
      </c>
    </row>
    <row r="17" spans="1:16">
      <c r="A17" s="2">
        <v>45854</v>
      </c>
      <c r="B17" s="3">
        <f>Data_Entry!T109</f>
        <v>10860</v>
      </c>
      <c r="C17" s="4">
        <f>Data_Entry!V109</f>
        <v>3.32</v>
      </c>
      <c r="D17" s="5">
        <f t="shared" si="0"/>
        <v>0.18768145997511401</v>
      </c>
      <c r="E17" s="6">
        <v>0</v>
      </c>
      <c r="F17" s="6">
        <v>0</v>
      </c>
      <c r="G17" s="7">
        <f t="shared" si="1"/>
        <v>0</v>
      </c>
      <c r="H17" s="7">
        <f t="shared" si="2"/>
        <v>0</v>
      </c>
      <c r="I17" s="8">
        <v>2411</v>
      </c>
      <c r="J17" s="9"/>
      <c r="K17" s="8">
        <f t="shared" si="3"/>
        <v>28932</v>
      </c>
      <c r="L17" s="7">
        <f t="shared" si="4"/>
        <v>0</v>
      </c>
      <c r="M17" s="10">
        <f t="shared" si="7"/>
        <v>1</v>
      </c>
      <c r="N17" s="11">
        <f t="shared" si="5"/>
        <v>0.18768145997511401</v>
      </c>
      <c r="O17" s="8">
        <f t="shared" si="8"/>
        <v>10860</v>
      </c>
      <c r="P17" s="12">
        <f t="shared" si="6"/>
        <v>0</v>
      </c>
    </row>
    <row r="18" spans="1:16">
      <c r="A18" s="2">
        <v>45855</v>
      </c>
      <c r="B18" s="3">
        <f>Data_Entry!T110</f>
        <v>12300</v>
      </c>
      <c r="C18" s="4">
        <f>Data_Entry!V110</f>
        <v>1.82</v>
      </c>
      <c r="D18" s="5">
        <f t="shared" si="0"/>
        <v>0.21256739941932901</v>
      </c>
      <c r="E18" s="6">
        <v>0</v>
      </c>
      <c r="F18" s="6">
        <v>0</v>
      </c>
      <c r="G18" s="7">
        <f t="shared" si="1"/>
        <v>0</v>
      </c>
      <c r="H18" s="7">
        <f t="shared" si="2"/>
        <v>0</v>
      </c>
      <c r="I18" s="8">
        <v>2411</v>
      </c>
      <c r="J18" s="9"/>
      <c r="K18" s="8">
        <f t="shared" si="3"/>
        <v>28932</v>
      </c>
      <c r="L18" s="7">
        <f t="shared" si="4"/>
        <v>0</v>
      </c>
      <c r="M18" s="10">
        <f t="shared" si="7"/>
        <v>1</v>
      </c>
      <c r="N18" s="11">
        <f t="shared" si="5"/>
        <v>0.21256739941932901</v>
      </c>
      <c r="O18" s="8">
        <f t="shared" si="8"/>
        <v>12300</v>
      </c>
      <c r="P18" s="12">
        <f t="shared" si="6"/>
        <v>0</v>
      </c>
    </row>
    <row r="19" spans="1:16">
      <c r="A19" s="2">
        <v>45856</v>
      </c>
      <c r="B19" s="3">
        <f>Data_Entry!T111</f>
        <v>11280.0000000001</v>
      </c>
      <c r="C19" s="4">
        <f>Data_Entry!V111</f>
        <v>0</v>
      </c>
      <c r="D19" s="5">
        <f t="shared" si="0"/>
        <v>0.194939858979678</v>
      </c>
      <c r="E19" s="6">
        <v>0</v>
      </c>
      <c r="F19" s="6">
        <v>0</v>
      </c>
      <c r="G19" s="7">
        <f t="shared" si="1"/>
        <v>0</v>
      </c>
      <c r="H19" s="7">
        <f t="shared" si="2"/>
        <v>0</v>
      </c>
      <c r="I19" s="8">
        <v>2411</v>
      </c>
      <c r="J19" s="9"/>
      <c r="K19" s="8">
        <f t="shared" si="3"/>
        <v>28932</v>
      </c>
      <c r="L19" s="7">
        <f t="shared" si="4"/>
        <v>0</v>
      </c>
      <c r="M19" s="10">
        <f t="shared" si="7"/>
        <v>1</v>
      </c>
      <c r="N19" s="11">
        <f t="shared" si="5"/>
        <v>0.194939858979678</v>
      </c>
      <c r="O19" s="8">
        <f t="shared" si="8"/>
        <v>11280.0000000001</v>
      </c>
      <c r="P19" s="12">
        <f t="shared" si="6"/>
        <v>0</v>
      </c>
    </row>
    <row r="20" spans="1:16">
      <c r="A20" s="2">
        <v>45857</v>
      </c>
      <c r="B20" s="3">
        <f>Data_Entry!T112</f>
        <v>6779.99999999995</v>
      </c>
      <c r="C20" s="4">
        <f>Data_Entry!V112</f>
        <v>0</v>
      </c>
      <c r="D20" s="5">
        <f t="shared" si="0"/>
        <v>0.117171298216507</v>
      </c>
      <c r="E20" s="6">
        <v>0</v>
      </c>
      <c r="F20" s="6">
        <v>0</v>
      </c>
      <c r="G20" s="7">
        <f t="shared" si="1"/>
        <v>0</v>
      </c>
      <c r="H20" s="7">
        <f t="shared" si="2"/>
        <v>0</v>
      </c>
      <c r="I20" s="8">
        <v>2411</v>
      </c>
      <c r="J20" s="9"/>
      <c r="K20" s="8">
        <f t="shared" si="3"/>
        <v>28932</v>
      </c>
      <c r="L20" s="7">
        <f t="shared" si="4"/>
        <v>0</v>
      </c>
      <c r="M20" s="10">
        <f t="shared" si="7"/>
        <v>1</v>
      </c>
      <c r="N20" s="11">
        <f t="shared" si="5"/>
        <v>0.117171298216507</v>
      </c>
      <c r="O20" s="8">
        <f t="shared" si="8"/>
        <v>6779.99999999995</v>
      </c>
      <c r="P20" s="12">
        <f t="shared" si="6"/>
        <v>0</v>
      </c>
    </row>
    <row r="21" spans="1:16">
      <c r="A21" s="2">
        <v>45858</v>
      </c>
      <c r="B21" s="3">
        <f>Data_Entry!T113</f>
        <v>5730.00000000005</v>
      </c>
      <c r="C21" s="4">
        <f>Data_Entry!V113</f>
        <v>0</v>
      </c>
      <c r="D21" s="5">
        <f t="shared" si="0"/>
        <v>9.9025300705102404E-2</v>
      </c>
      <c r="E21" s="6">
        <v>0</v>
      </c>
      <c r="F21" s="6">
        <v>0</v>
      </c>
      <c r="G21" s="7">
        <f t="shared" si="1"/>
        <v>0</v>
      </c>
      <c r="H21" s="7">
        <f t="shared" si="2"/>
        <v>0</v>
      </c>
      <c r="I21" s="8">
        <v>2411</v>
      </c>
      <c r="J21" s="9"/>
      <c r="K21" s="8">
        <f t="shared" si="3"/>
        <v>28932</v>
      </c>
      <c r="L21" s="7">
        <f t="shared" si="4"/>
        <v>0</v>
      </c>
      <c r="M21" s="10">
        <f t="shared" si="7"/>
        <v>1</v>
      </c>
      <c r="N21" s="11">
        <f t="shared" si="5"/>
        <v>9.9025300705102404E-2</v>
      </c>
      <c r="O21" s="8">
        <f t="shared" si="8"/>
        <v>5730.00000000005</v>
      </c>
      <c r="P21" s="12">
        <f t="shared" si="6"/>
        <v>0</v>
      </c>
    </row>
    <row r="22" spans="1:16">
      <c r="A22" s="2">
        <v>45859</v>
      </c>
      <c r="B22" s="3">
        <f>Data_Entry!T114</f>
        <v>6479.9999999998499</v>
      </c>
      <c r="C22" s="4">
        <f>Data_Entry!V114</f>
        <v>0</v>
      </c>
      <c r="D22" s="5">
        <f t="shared" si="0"/>
        <v>0.11198672749896001</v>
      </c>
      <c r="E22" s="6">
        <v>0</v>
      </c>
      <c r="F22" s="6">
        <v>0</v>
      </c>
      <c r="G22" s="7">
        <f t="shared" si="1"/>
        <v>0</v>
      </c>
      <c r="H22" s="7">
        <f t="shared" si="2"/>
        <v>0</v>
      </c>
      <c r="I22" s="8">
        <v>2411</v>
      </c>
      <c r="J22" s="9"/>
      <c r="K22" s="8">
        <f t="shared" si="3"/>
        <v>28932</v>
      </c>
      <c r="L22" s="7">
        <f t="shared" si="4"/>
        <v>0</v>
      </c>
      <c r="M22" s="10">
        <f t="shared" si="7"/>
        <v>1</v>
      </c>
      <c r="N22" s="11">
        <f t="shared" si="5"/>
        <v>0.11198672749896001</v>
      </c>
      <c r="O22" s="8">
        <f t="shared" si="8"/>
        <v>6479.9999999998499</v>
      </c>
      <c r="P22" s="12">
        <f t="shared" si="6"/>
        <v>0</v>
      </c>
    </row>
    <row r="23" spans="1:16">
      <c r="A23" s="2">
        <v>45860</v>
      </c>
      <c r="B23" s="3">
        <f>Data_Entry!T115</f>
        <v>7440.00000000003</v>
      </c>
      <c r="C23" s="4">
        <f>Data_Entry!V115</f>
        <v>0</v>
      </c>
      <c r="D23" s="5">
        <f t="shared" si="0"/>
        <v>0.12857735379510599</v>
      </c>
      <c r="E23" s="6">
        <v>0</v>
      </c>
      <c r="F23" s="6">
        <v>0</v>
      </c>
      <c r="G23" s="7">
        <f t="shared" si="1"/>
        <v>0</v>
      </c>
      <c r="H23" s="7">
        <f t="shared" si="2"/>
        <v>0</v>
      </c>
      <c r="I23" s="8">
        <v>2411</v>
      </c>
      <c r="J23" s="9"/>
      <c r="K23" s="8">
        <f t="shared" si="3"/>
        <v>28932</v>
      </c>
      <c r="L23" s="7">
        <f t="shared" si="4"/>
        <v>0</v>
      </c>
      <c r="M23" s="10">
        <f t="shared" si="7"/>
        <v>1</v>
      </c>
      <c r="N23" s="11">
        <f t="shared" si="5"/>
        <v>0.12857735379510599</v>
      </c>
      <c r="O23" s="8">
        <f t="shared" si="8"/>
        <v>7440.00000000003</v>
      </c>
      <c r="P23" s="12">
        <f t="shared" si="6"/>
        <v>0</v>
      </c>
    </row>
    <row r="24" spans="1:16">
      <c r="A24" s="2">
        <v>45861</v>
      </c>
      <c r="B24" s="3">
        <f>Data_Entry!T116</f>
        <v>8069.99999999996</v>
      </c>
      <c r="C24" s="4">
        <f>Data_Entry!V116</f>
        <v>0</v>
      </c>
      <c r="D24" s="5">
        <f t="shared" si="0"/>
        <v>0.139464952301949</v>
      </c>
      <c r="E24" s="6">
        <v>0</v>
      </c>
      <c r="F24" s="6">
        <v>0</v>
      </c>
      <c r="G24" s="7">
        <f t="shared" si="1"/>
        <v>0</v>
      </c>
      <c r="H24" s="7">
        <f t="shared" si="2"/>
        <v>0</v>
      </c>
      <c r="I24" s="8">
        <v>2411</v>
      </c>
      <c r="J24" s="9"/>
      <c r="K24" s="8">
        <f t="shared" si="3"/>
        <v>28932</v>
      </c>
      <c r="L24" s="7">
        <f t="shared" si="4"/>
        <v>0</v>
      </c>
      <c r="M24" s="10">
        <f t="shared" si="7"/>
        <v>1</v>
      </c>
      <c r="N24" s="11">
        <f t="shared" si="5"/>
        <v>0.139464952301949</v>
      </c>
      <c r="O24" s="8">
        <f t="shared" si="8"/>
        <v>8069.99999999996</v>
      </c>
      <c r="P24" s="12">
        <f t="shared" si="6"/>
        <v>0</v>
      </c>
    </row>
    <row r="25" spans="1:16">
      <c r="A25" s="2">
        <v>45862</v>
      </c>
      <c r="B25" s="3">
        <f>Data_Entry!T117</f>
        <v>7770.00000000007</v>
      </c>
      <c r="C25" s="4">
        <f>Data_Entry!V117</f>
        <v>0</v>
      </c>
      <c r="D25" s="5">
        <f t="shared" si="0"/>
        <v>0.134280381584406</v>
      </c>
      <c r="E25" s="6">
        <v>0</v>
      </c>
      <c r="F25" s="6">
        <v>0</v>
      </c>
      <c r="G25" s="7">
        <f t="shared" si="1"/>
        <v>0</v>
      </c>
      <c r="H25" s="7">
        <f t="shared" si="2"/>
        <v>0</v>
      </c>
      <c r="I25" s="8">
        <v>2411</v>
      </c>
      <c r="J25" s="9"/>
      <c r="K25" s="8">
        <f t="shared" si="3"/>
        <v>28932</v>
      </c>
      <c r="L25" s="7">
        <f t="shared" si="4"/>
        <v>0</v>
      </c>
      <c r="M25" s="10">
        <f t="shared" si="7"/>
        <v>1</v>
      </c>
      <c r="N25" s="11">
        <f t="shared" si="5"/>
        <v>0.134280381584406</v>
      </c>
      <c r="O25" s="8">
        <f t="shared" si="8"/>
        <v>7770.00000000007</v>
      </c>
      <c r="P25" s="12">
        <f t="shared" si="6"/>
        <v>0</v>
      </c>
    </row>
    <row r="26" spans="1:16">
      <c r="A26" s="2">
        <v>45863</v>
      </c>
      <c r="B26" s="3">
        <f>Data_Entry!T118</f>
        <v>9089.9999999998909</v>
      </c>
      <c r="C26" s="4">
        <f>Data_Entry!V118</f>
        <v>0</v>
      </c>
      <c r="D26" s="5">
        <f t="shared" si="0"/>
        <v>0.157092492741599</v>
      </c>
      <c r="E26" s="6">
        <v>0</v>
      </c>
      <c r="F26" s="6">
        <v>0</v>
      </c>
      <c r="G26" s="7">
        <f t="shared" si="1"/>
        <v>0</v>
      </c>
      <c r="H26" s="7">
        <f t="shared" si="2"/>
        <v>0</v>
      </c>
      <c r="I26" s="8">
        <v>2411</v>
      </c>
      <c r="J26" s="9"/>
      <c r="K26" s="8">
        <f t="shared" si="3"/>
        <v>28932</v>
      </c>
      <c r="L26" s="7">
        <f t="shared" si="4"/>
        <v>0</v>
      </c>
      <c r="M26" s="10">
        <f t="shared" si="7"/>
        <v>1</v>
      </c>
      <c r="N26" s="11">
        <f t="shared" si="5"/>
        <v>0.157092492741599</v>
      </c>
      <c r="O26" s="8">
        <f t="shared" si="8"/>
        <v>9089.9999999998909</v>
      </c>
      <c r="P26" s="12">
        <f t="shared" si="6"/>
        <v>0</v>
      </c>
    </row>
    <row r="27" spans="1:16">
      <c r="A27" s="2">
        <v>45864</v>
      </c>
      <c r="B27" s="3">
        <f>Data_Entry!T119</f>
        <v>6300.00000000004</v>
      </c>
      <c r="C27" s="4">
        <f>Data_Entry!V119</f>
        <v>0</v>
      </c>
      <c r="D27" s="5">
        <f t="shared" si="0"/>
        <v>0.108875985068437</v>
      </c>
      <c r="E27" s="6">
        <v>0</v>
      </c>
      <c r="F27" s="6">
        <v>0</v>
      </c>
      <c r="G27" s="7">
        <f t="shared" si="1"/>
        <v>0</v>
      </c>
      <c r="H27" s="7">
        <f t="shared" si="2"/>
        <v>0</v>
      </c>
      <c r="I27" s="8">
        <v>2411</v>
      </c>
      <c r="J27" s="9"/>
      <c r="K27" s="8">
        <f t="shared" si="3"/>
        <v>28932</v>
      </c>
      <c r="L27" s="7">
        <f t="shared" si="4"/>
        <v>0</v>
      </c>
      <c r="M27" s="10">
        <f t="shared" si="7"/>
        <v>1</v>
      </c>
      <c r="N27" s="11">
        <f t="shared" si="5"/>
        <v>0.108875985068437</v>
      </c>
      <c r="O27" s="8">
        <f t="shared" si="8"/>
        <v>6300.00000000004</v>
      </c>
      <c r="P27" s="12">
        <f t="shared" si="6"/>
        <v>0</v>
      </c>
    </row>
    <row r="28" spans="1:16">
      <c r="A28" s="2">
        <v>45865</v>
      </c>
      <c r="B28" s="3">
        <f>Data_Entry!T120</f>
        <v>3840.0000000002001</v>
      </c>
      <c r="C28" s="4">
        <f>Data_Entry!V120</f>
        <v>0</v>
      </c>
      <c r="D28" s="5">
        <f t="shared" si="0"/>
        <v>6.6362505184574302E-2</v>
      </c>
      <c r="E28" s="6">
        <v>0</v>
      </c>
      <c r="F28" s="6">
        <v>0</v>
      </c>
      <c r="G28" s="7">
        <f t="shared" si="1"/>
        <v>0</v>
      </c>
      <c r="H28" s="7">
        <f t="shared" si="2"/>
        <v>0</v>
      </c>
      <c r="I28" s="8">
        <v>2411</v>
      </c>
      <c r="J28" s="9"/>
      <c r="K28" s="8">
        <f t="shared" si="3"/>
        <v>28932</v>
      </c>
      <c r="L28" s="7">
        <f t="shared" si="4"/>
        <v>0</v>
      </c>
      <c r="M28" s="10">
        <f t="shared" si="7"/>
        <v>1</v>
      </c>
      <c r="N28" s="11">
        <f t="shared" si="5"/>
        <v>6.6362505184574302E-2</v>
      </c>
      <c r="O28" s="8">
        <f t="shared" si="8"/>
        <v>3840.0000000002101</v>
      </c>
      <c r="P28" s="12">
        <f t="shared" si="6"/>
        <v>0</v>
      </c>
    </row>
    <row r="29" spans="1:16">
      <c r="A29" s="2">
        <v>45866</v>
      </c>
      <c r="B29" s="3">
        <f>Data_Entry!T121</f>
        <v>5279.99999999995</v>
      </c>
      <c r="C29" s="4">
        <f>Data_Entry!V121</f>
        <v>0</v>
      </c>
      <c r="D29" s="5">
        <f t="shared" si="0"/>
        <v>9.1248444628783801E-2</v>
      </c>
      <c r="E29" s="6">
        <v>0</v>
      </c>
      <c r="F29" s="6">
        <v>0</v>
      </c>
      <c r="G29" s="7">
        <f t="shared" si="1"/>
        <v>0</v>
      </c>
      <c r="H29" s="7">
        <f t="shared" si="2"/>
        <v>0</v>
      </c>
      <c r="I29" s="8">
        <v>2411</v>
      </c>
      <c r="J29" s="9"/>
      <c r="K29" s="8">
        <f t="shared" si="3"/>
        <v>28932</v>
      </c>
      <c r="L29" s="7">
        <f t="shared" si="4"/>
        <v>0</v>
      </c>
      <c r="M29" s="10">
        <f t="shared" si="7"/>
        <v>1</v>
      </c>
      <c r="N29" s="11">
        <f t="shared" si="5"/>
        <v>9.1248444628783801E-2</v>
      </c>
      <c r="O29" s="8">
        <f t="shared" si="8"/>
        <v>5279.99999999995</v>
      </c>
      <c r="P29" s="12">
        <f t="shared" si="6"/>
        <v>0</v>
      </c>
    </row>
    <row r="30" spans="1:16">
      <c r="A30" s="2">
        <v>45867</v>
      </c>
      <c r="B30" s="3">
        <f>Data_Entry!T122</f>
        <v>4109.99999999999</v>
      </c>
      <c r="C30" s="4">
        <f>Data_Entry!V122</f>
        <v>0</v>
      </c>
      <c r="D30" s="5">
        <f t="shared" si="0"/>
        <v>7.1028618830360601E-2</v>
      </c>
      <c r="E30" s="6">
        <v>0</v>
      </c>
      <c r="F30" s="6">
        <v>0</v>
      </c>
      <c r="G30" s="7">
        <f t="shared" si="1"/>
        <v>0</v>
      </c>
      <c r="H30" s="7">
        <f t="shared" si="2"/>
        <v>0</v>
      </c>
      <c r="I30" s="8">
        <v>2411</v>
      </c>
      <c r="J30" s="9"/>
      <c r="K30" s="8">
        <f t="shared" si="3"/>
        <v>28932</v>
      </c>
      <c r="L30" s="7">
        <f t="shared" si="4"/>
        <v>0</v>
      </c>
      <c r="M30" s="10">
        <f t="shared" si="7"/>
        <v>1</v>
      </c>
      <c r="N30" s="11">
        <f t="shared" si="5"/>
        <v>7.1028618830360601E-2</v>
      </c>
      <c r="O30" s="8">
        <f t="shared" si="8"/>
        <v>4109.99999999999</v>
      </c>
      <c r="P30" s="12">
        <f t="shared" si="6"/>
        <v>0</v>
      </c>
    </row>
    <row r="31" spans="1:16">
      <c r="A31" s="2">
        <v>45868</v>
      </c>
      <c r="B31" s="3">
        <f>Data_Entry!T123</f>
        <v>7440.00000000003</v>
      </c>
      <c r="C31" s="4">
        <f>Data_Entry!V123</f>
        <v>0</v>
      </c>
      <c r="D31" s="5">
        <f t="shared" si="0"/>
        <v>0.12857735379510599</v>
      </c>
      <c r="E31" s="6">
        <v>0</v>
      </c>
      <c r="F31" s="6">
        <v>0</v>
      </c>
      <c r="G31" s="7">
        <f t="shared" si="1"/>
        <v>0</v>
      </c>
      <c r="H31" s="7">
        <f t="shared" si="2"/>
        <v>0</v>
      </c>
      <c r="I31" s="8">
        <v>2411</v>
      </c>
      <c r="J31" s="9"/>
      <c r="K31" s="8">
        <f t="shared" si="3"/>
        <v>28932</v>
      </c>
      <c r="L31" s="7">
        <f t="shared" si="4"/>
        <v>0</v>
      </c>
      <c r="M31" s="10">
        <f t="shared" si="7"/>
        <v>1</v>
      </c>
      <c r="N31" s="11">
        <f t="shared" si="5"/>
        <v>0.12857735379510599</v>
      </c>
      <c r="O31" s="8">
        <f t="shared" si="8"/>
        <v>7440.00000000003</v>
      </c>
      <c r="P31" s="12">
        <f t="shared" si="6"/>
        <v>0</v>
      </c>
    </row>
    <row r="32" spans="1:16">
      <c r="A32" s="2">
        <v>45869</v>
      </c>
      <c r="B32" s="3">
        <f>Data_Entry!T124</f>
        <v>5999.99999999997</v>
      </c>
      <c r="C32" s="4">
        <f>Data_Entry!V124</f>
        <v>2.2599999999999998</v>
      </c>
      <c r="D32" s="5">
        <f t="shared" si="0"/>
        <v>0.10369141435089101</v>
      </c>
      <c r="E32" s="6">
        <v>0</v>
      </c>
      <c r="F32" s="6">
        <v>0</v>
      </c>
      <c r="G32" s="7">
        <f t="shared" si="1"/>
        <v>0</v>
      </c>
      <c r="H32" s="7">
        <f t="shared" si="2"/>
        <v>0</v>
      </c>
      <c r="I32" s="8">
        <v>2411</v>
      </c>
      <c r="J32" s="9"/>
      <c r="K32" s="8">
        <f t="shared" si="3"/>
        <v>28932</v>
      </c>
      <c r="L32" s="7">
        <f t="shared" si="4"/>
        <v>0</v>
      </c>
      <c r="M32" s="10">
        <f t="shared" si="7"/>
        <v>1</v>
      </c>
      <c r="N32" s="11">
        <f t="shared" si="5"/>
        <v>0.10369141435089101</v>
      </c>
      <c r="O32" s="8">
        <f t="shared" si="8"/>
        <v>5999.99999999997</v>
      </c>
      <c r="P32" s="12">
        <f t="shared" si="6"/>
        <v>0</v>
      </c>
    </row>
    <row r="33" spans="1:16">
      <c r="A33" s="2">
        <v>45870</v>
      </c>
      <c r="B33" s="3">
        <f>Data_Entry!T125</f>
        <v>7169.99999999993</v>
      </c>
      <c r="C33" s="4">
        <f>Data_Entry!V125</f>
        <v>3.01</v>
      </c>
      <c r="D33" s="5">
        <f t="shared" si="0"/>
        <v>0.123911240149314</v>
      </c>
      <c r="E33" s="6">
        <v>0</v>
      </c>
      <c r="F33" s="6">
        <v>0</v>
      </c>
      <c r="G33" s="7">
        <f t="shared" si="1"/>
        <v>0</v>
      </c>
      <c r="H33" s="7">
        <f t="shared" si="2"/>
        <v>0</v>
      </c>
      <c r="I33" s="8">
        <v>2411</v>
      </c>
      <c r="J33" s="9">
        <v>13000</v>
      </c>
      <c r="K33" s="8">
        <f t="shared" si="3"/>
        <v>28932</v>
      </c>
      <c r="L33" s="7">
        <f t="shared" si="4"/>
        <v>0</v>
      </c>
      <c r="M33" s="10">
        <f t="shared" si="7"/>
        <v>1</v>
      </c>
      <c r="N33" s="11">
        <f t="shared" si="5"/>
        <v>0.123911240149314</v>
      </c>
      <c r="O33" s="8">
        <f t="shared" si="8"/>
        <v>7169.99999999993</v>
      </c>
      <c r="P33" s="12">
        <f t="shared" si="6"/>
        <v>0</v>
      </c>
    </row>
    <row r="34" spans="1:16">
      <c r="A34" s="2">
        <v>45871</v>
      </c>
      <c r="B34" s="3">
        <f>Data_Entry!T126</f>
        <v>7620.0000000001801</v>
      </c>
      <c r="C34" s="4">
        <f>Data_Entry!V126</f>
        <v>3.38</v>
      </c>
      <c r="D34" s="5">
        <f t="shared" si="0"/>
        <v>0.13168809622563599</v>
      </c>
      <c r="E34" s="6">
        <v>0</v>
      </c>
      <c r="F34" s="6">
        <v>0</v>
      </c>
      <c r="G34" s="7">
        <f t="shared" si="1"/>
        <v>0</v>
      </c>
      <c r="H34" s="7">
        <f t="shared" si="2"/>
        <v>0</v>
      </c>
      <c r="I34" s="8">
        <v>2411</v>
      </c>
      <c r="J34" s="9"/>
      <c r="K34" s="8">
        <f t="shared" si="3"/>
        <v>28932</v>
      </c>
      <c r="L34" s="7">
        <f t="shared" si="4"/>
        <v>0</v>
      </c>
      <c r="M34" s="10">
        <f t="shared" si="7"/>
        <v>1</v>
      </c>
      <c r="N34" s="11">
        <f t="shared" si="5"/>
        <v>0.13168809622563599</v>
      </c>
      <c r="O34" s="8">
        <f t="shared" si="8"/>
        <v>7620.0000000001801</v>
      </c>
      <c r="P34" s="12">
        <f t="shared" si="6"/>
        <v>0</v>
      </c>
    </row>
    <row r="35" spans="1:16">
      <c r="A35" s="2">
        <v>45872</v>
      </c>
      <c r="B35" s="3">
        <f>Data_Entry!T127</f>
        <v>7499.99999999997</v>
      </c>
      <c r="C35" s="4">
        <f>Data_Entry!V127</f>
        <v>3.8</v>
      </c>
      <c r="D35" s="5">
        <f t="shared" si="0"/>
        <v>0.129614267938614</v>
      </c>
      <c r="E35" s="6">
        <v>0</v>
      </c>
      <c r="F35" s="6">
        <v>0</v>
      </c>
      <c r="G35" s="7">
        <f t="shared" si="1"/>
        <v>0</v>
      </c>
      <c r="H35" s="7">
        <f t="shared" si="2"/>
        <v>0</v>
      </c>
      <c r="I35" s="8">
        <v>2411</v>
      </c>
      <c r="J35" s="9"/>
      <c r="K35" s="8">
        <f t="shared" si="3"/>
        <v>28932</v>
      </c>
      <c r="L35" s="7">
        <f t="shared" si="4"/>
        <v>0</v>
      </c>
      <c r="M35" s="10">
        <f t="shared" si="7"/>
        <v>1</v>
      </c>
      <c r="N35" s="11">
        <f t="shared" si="5"/>
        <v>0.129614267938614</v>
      </c>
      <c r="O35" s="8">
        <f t="shared" si="8"/>
        <v>7499.99999999997</v>
      </c>
      <c r="P35" s="12">
        <f t="shared" si="6"/>
        <v>0</v>
      </c>
    </row>
    <row r="36" spans="1:16">
      <c r="A36" s="2">
        <v>45873</v>
      </c>
      <c r="B36" s="3">
        <f>Data_Entry!T128</f>
        <v>8729.9999999998799</v>
      </c>
      <c r="C36" s="4">
        <f>Data_Entry!V128</f>
        <v>3.85</v>
      </c>
      <c r="D36" s="5">
        <f t="shared" si="0"/>
        <v>0.150871007880545</v>
      </c>
      <c r="E36" s="6">
        <v>0</v>
      </c>
      <c r="F36" s="6">
        <v>0</v>
      </c>
      <c r="G36" s="7">
        <f t="shared" si="1"/>
        <v>0</v>
      </c>
      <c r="H36" s="7">
        <f t="shared" si="2"/>
        <v>0</v>
      </c>
      <c r="I36" s="8">
        <v>2411</v>
      </c>
      <c r="J36" s="9"/>
      <c r="K36" s="8">
        <f t="shared" si="3"/>
        <v>28932</v>
      </c>
      <c r="L36" s="7">
        <f t="shared" si="4"/>
        <v>0</v>
      </c>
      <c r="M36" s="10">
        <f t="shared" si="7"/>
        <v>1</v>
      </c>
      <c r="N36" s="11">
        <f t="shared" si="5"/>
        <v>0.150871007880545</v>
      </c>
      <c r="O36" s="8">
        <f t="shared" si="8"/>
        <v>8729.9999999998799</v>
      </c>
      <c r="P36" s="12">
        <f t="shared" si="6"/>
        <v>0</v>
      </c>
    </row>
    <row r="37" spans="1:16">
      <c r="A37" s="2">
        <v>45874</v>
      </c>
      <c r="B37" s="3">
        <f>Data_Entry!T129</f>
        <v>9660.0000000000491</v>
      </c>
      <c r="C37" s="4">
        <f>Data_Entry!V129</f>
        <v>3.78</v>
      </c>
      <c r="D37" s="5">
        <f t="shared" si="0"/>
        <v>0.166943177104937</v>
      </c>
      <c r="E37" s="6">
        <v>0</v>
      </c>
      <c r="F37" s="6">
        <v>0</v>
      </c>
      <c r="G37" s="7">
        <f t="shared" si="1"/>
        <v>0</v>
      </c>
      <c r="H37" s="7">
        <f t="shared" si="2"/>
        <v>0</v>
      </c>
      <c r="I37" s="8">
        <v>2411</v>
      </c>
      <c r="J37" s="9"/>
      <c r="K37" s="8">
        <f t="shared" si="3"/>
        <v>28932</v>
      </c>
      <c r="L37" s="7">
        <f t="shared" si="4"/>
        <v>0</v>
      </c>
      <c r="M37" s="10">
        <f t="shared" si="7"/>
        <v>1</v>
      </c>
      <c r="N37" s="11">
        <f t="shared" si="5"/>
        <v>0.166943177104937</v>
      </c>
      <c r="O37" s="8">
        <f t="shared" si="8"/>
        <v>9660.0000000000491</v>
      </c>
      <c r="P37" s="12">
        <f t="shared" si="6"/>
        <v>0</v>
      </c>
    </row>
    <row r="38" spans="1:16">
      <c r="A38" s="2">
        <v>45875</v>
      </c>
      <c r="B38" s="3">
        <f>Data_Entry!T130</f>
        <v>7979.9999999998799</v>
      </c>
      <c r="C38" s="4">
        <f>Data_Entry!V130</f>
        <v>3.68</v>
      </c>
      <c r="D38" s="5">
        <f t="shared" si="0"/>
        <v>0.137909581086684</v>
      </c>
      <c r="E38" s="6">
        <v>0</v>
      </c>
      <c r="F38" s="6">
        <v>0</v>
      </c>
      <c r="G38" s="7">
        <f t="shared" si="1"/>
        <v>0</v>
      </c>
      <c r="H38" s="7">
        <f t="shared" si="2"/>
        <v>0</v>
      </c>
      <c r="I38" s="8">
        <v>2411</v>
      </c>
      <c r="J38" s="9"/>
      <c r="K38" s="8">
        <f t="shared" si="3"/>
        <v>28932</v>
      </c>
      <c r="L38" s="7">
        <f t="shared" si="4"/>
        <v>0</v>
      </c>
      <c r="M38" s="10">
        <f t="shared" si="7"/>
        <v>1</v>
      </c>
      <c r="N38" s="11">
        <f t="shared" si="5"/>
        <v>0.137909581086684</v>
      </c>
      <c r="O38" s="8">
        <f t="shared" si="8"/>
        <v>7979.9999999998799</v>
      </c>
      <c r="P38" s="12">
        <f t="shared" si="6"/>
        <v>0</v>
      </c>
    </row>
    <row r="39" spans="1:16">
      <c r="A39" s="2">
        <v>45876</v>
      </c>
      <c r="B39" s="3">
        <f>Data_Entry!T131</f>
        <v>8850.0000000001091</v>
      </c>
      <c r="C39" s="4">
        <f>Data_Entry!V131</f>
        <v>3.3</v>
      </c>
      <c r="D39" s="5">
        <f t="shared" si="0"/>
        <v>0.15294483616756699</v>
      </c>
      <c r="E39" s="6">
        <v>0</v>
      </c>
      <c r="F39" s="6">
        <v>0</v>
      </c>
      <c r="G39" s="7">
        <f t="shared" si="1"/>
        <v>0</v>
      </c>
      <c r="H39" s="7">
        <f t="shared" si="2"/>
        <v>0</v>
      </c>
      <c r="I39" s="8">
        <v>2411</v>
      </c>
      <c r="J39" s="9"/>
      <c r="K39" s="8">
        <f t="shared" si="3"/>
        <v>28932</v>
      </c>
      <c r="L39" s="7">
        <f t="shared" si="4"/>
        <v>0</v>
      </c>
      <c r="M39" s="10">
        <f t="shared" si="7"/>
        <v>1</v>
      </c>
      <c r="N39" s="11">
        <f t="shared" si="5"/>
        <v>0.15294483616756699</v>
      </c>
      <c r="O39" s="8">
        <f t="shared" si="8"/>
        <v>8850.0000000001091</v>
      </c>
      <c r="P39" s="12">
        <f t="shared" si="6"/>
        <v>0</v>
      </c>
    </row>
    <row r="40" spans="1:16">
      <c r="A40" s="2">
        <v>45877</v>
      </c>
      <c r="B40" s="3">
        <f>Data_Entry!T132</f>
        <v>11069.9999999998</v>
      </c>
      <c r="C40" s="4">
        <f>Data_Entry!V132</f>
        <v>4.26</v>
      </c>
      <c r="D40" s="5">
        <f t="shared" si="0"/>
        <v>0.19131065947739201</v>
      </c>
      <c r="E40" s="6">
        <v>0</v>
      </c>
      <c r="F40" s="6">
        <v>0</v>
      </c>
      <c r="G40" s="7">
        <f t="shared" si="1"/>
        <v>0</v>
      </c>
      <c r="H40" s="7">
        <f t="shared" si="2"/>
        <v>0</v>
      </c>
      <c r="I40" s="8">
        <v>2411</v>
      </c>
      <c r="J40" s="9"/>
      <c r="K40" s="8">
        <f t="shared" si="3"/>
        <v>28932</v>
      </c>
      <c r="L40" s="7">
        <f t="shared" si="4"/>
        <v>0</v>
      </c>
      <c r="M40" s="10">
        <f t="shared" si="7"/>
        <v>1</v>
      </c>
      <c r="N40" s="11">
        <f t="shared" si="5"/>
        <v>0.19131065947739201</v>
      </c>
      <c r="O40" s="8">
        <f t="shared" si="8"/>
        <v>11069.9999999998</v>
      </c>
      <c r="P40" s="12">
        <f t="shared" si="6"/>
        <v>0</v>
      </c>
    </row>
    <row r="41" spans="1:16">
      <c r="A41" s="2">
        <v>45878</v>
      </c>
      <c r="B41" s="3">
        <f>Data_Entry!T133</f>
        <v>8130.00000000008</v>
      </c>
      <c r="C41" s="4">
        <f>Data_Entry!V133</f>
        <v>3.37</v>
      </c>
      <c r="D41" s="5">
        <f t="shared" si="0"/>
        <v>0.14050186644546001</v>
      </c>
      <c r="E41" s="6">
        <v>0</v>
      </c>
      <c r="F41" s="6">
        <v>0</v>
      </c>
      <c r="G41" s="7">
        <f t="shared" si="1"/>
        <v>0</v>
      </c>
      <c r="H41" s="7">
        <f t="shared" si="2"/>
        <v>0</v>
      </c>
      <c r="I41" s="8">
        <v>2411</v>
      </c>
      <c r="J41" s="9"/>
      <c r="K41" s="8">
        <f t="shared" si="3"/>
        <v>28932</v>
      </c>
      <c r="L41" s="7">
        <f t="shared" si="4"/>
        <v>0</v>
      </c>
      <c r="M41" s="10">
        <f t="shared" si="7"/>
        <v>1</v>
      </c>
      <c r="N41" s="11">
        <f t="shared" si="5"/>
        <v>0.14050186644546001</v>
      </c>
      <c r="O41" s="8">
        <f t="shared" si="8"/>
        <v>8130.00000000008</v>
      </c>
      <c r="P41" s="12">
        <f t="shared" si="6"/>
        <v>0</v>
      </c>
    </row>
    <row r="42" spans="1:16">
      <c r="A42" s="2">
        <v>45879</v>
      </c>
      <c r="B42" s="3">
        <f>Data_Entry!T134</f>
        <v>7829.99999999999</v>
      </c>
      <c r="C42" s="4">
        <f>Data_Entry!V134</f>
        <v>3.26</v>
      </c>
      <c r="D42" s="5">
        <f t="shared" si="0"/>
        <v>0.13531729572791301</v>
      </c>
      <c r="E42" s="6">
        <v>0</v>
      </c>
      <c r="F42" s="6">
        <v>0</v>
      </c>
      <c r="G42" s="7">
        <f t="shared" si="1"/>
        <v>0</v>
      </c>
      <c r="H42" s="7">
        <f t="shared" si="2"/>
        <v>0</v>
      </c>
      <c r="I42" s="8">
        <v>2411</v>
      </c>
      <c r="J42" s="9"/>
      <c r="K42" s="8">
        <f t="shared" si="3"/>
        <v>28932</v>
      </c>
      <c r="L42" s="7">
        <f t="shared" si="4"/>
        <v>0</v>
      </c>
      <c r="M42" s="10">
        <f t="shared" si="7"/>
        <v>1</v>
      </c>
      <c r="N42" s="11">
        <f t="shared" si="5"/>
        <v>0.13531729572791301</v>
      </c>
      <c r="O42" s="8">
        <f t="shared" si="8"/>
        <v>7829.99999999999</v>
      </c>
      <c r="P42" s="12">
        <f t="shared" si="6"/>
        <v>0</v>
      </c>
    </row>
    <row r="43" spans="1:16">
      <c r="A43" s="2">
        <v>45880</v>
      </c>
      <c r="B43" s="3">
        <f>Data_Entry!T135</f>
        <v>9870.0000000002001</v>
      </c>
      <c r="C43" s="4">
        <f>Data_Entry!V135</f>
        <v>3.95</v>
      </c>
      <c r="D43" s="5">
        <f t="shared" si="0"/>
        <v>0.17057237660721999</v>
      </c>
      <c r="E43" s="6">
        <v>0</v>
      </c>
      <c r="F43" s="6">
        <v>0</v>
      </c>
      <c r="G43" s="7">
        <f t="shared" si="1"/>
        <v>0</v>
      </c>
      <c r="H43" s="7">
        <f t="shared" si="2"/>
        <v>0</v>
      </c>
      <c r="I43" s="8">
        <v>2411</v>
      </c>
      <c r="J43" s="9"/>
      <c r="K43" s="8">
        <f t="shared" si="3"/>
        <v>28932</v>
      </c>
      <c r="L43" s="7">
        <f t="shared" si="4"/>
        <v>0</v>
      </c>
      <c r="M43" s="10">
        <f t="shared" si="7"/>
        <v>1</v>
      </c>
      <c r="N43" s="11">
        <f t="shared" si="5"/>
        <v>0.17057237660721999</v>
      </c>
      <c r="O43" s="8">
        <f t="shared" si="8"/>
        <v>9870.0000000002001</v>
      </c>
      <c r="P43" s="12">
        <f t="shared" si="6"/>
        <v>0</v>
      </c>
    </row>
    <row r="44" spans="1:16">
      <c r="A44" s="2">
        <v>45881</v>
      </c>
      <c r="B44" s="3">
        <f>Data_Entry!T136</f>
        <v>9959.9999999997799</v>
      </c>
      <c r="C44" s="4">
        <f>Data_Entry!V136</f>
        <v>4.13</v>
      </c>
      <c r="D44" s="5">
        <f t="shared" si="0"/>
        <v>0.172127747822477</v>
      </c>
      <c r="E44" s="6">
        <v>0</v>
      </c>
      <c r="F44" s="6">
        <v>0</v>
      </c>
      <c r="G44" s="7">
        <f t="shared" si="1"/>
        <v>0</v>
      </c>
      <c r="H44" s="7">
        <f t="shared" si="2"/>
        <v>0</v>
      </c>
      <c r="I44" s="8">
        <v>2411</v>
      </c>
      <c r="J44" s="9"/>
      <c r="K44" s="8">
        <f t="shared" si="3"/>
        <v>28932</v>
      </c>
      <c r="L44" s="7">
        <f t="shared" si="4"/>
        <v>0</v>
      </c>
      <c r="M44" s="10">
        <f t="shared" si="7"/>
        <v>1</v>
      </c>
      <c r="N44" s="11">
        <f t="shared" si="5"/>
        <v>0.172127747822477</v>
      </c>
      <c r="O44" s="8">
        <f t="shared" si="8"/>
        <v>9959.9999999997799</v>
      </c>
      <c r="P44" s="12">
        <f t="shared" si="6"/>
        <v>0</v>
      </c>
    </row>
    <row r="45" spans="1:16">
      <c r="A45" s="2">
        <v>45882</v>
      </c>
      <c r="B45" s="3">
        <f>Data_Entry!T137</f>
        <v>8669.9999999999309</v>
      </c>
      <c r="C45" s="4">
        <f>Data_Entry!V137</f>
        <v>3.79</v>
      </c>
      <c r="D45" s="5">
        <f t="shared" si="0"/>
        <v>0.14983409373703699</v>
      </c>
      <c r="E45" s="6">
        <v>0</v>
      </c>
      <c r="F45" s="6">
        <v>0</v>
      </c>
      <c r="G45" s="7">
        <f t="shared" si="1"/>
        <v>0</v>
      </c>
      <c r="H45" s="7">
        <f t="shared" si="2"/>
        <v>0</v>
      </c>
      <c r="I45" s="8">
        <v>2411</v>
      </c>
      <c r="J45" s="9"/>
      <c r="K45" s="8">
        <f t="shared" si="3"/>
        <v>28932</v>
      </c>
      <c r="L45" s="7">
        <f t="shared" si="4"/>
        <v>0</v>
      </c>
      <c r="M45" s="10">
        <f t="shared" si="7"/>
        <v>1</v>
      </c>
      <c r="N45" s="11">
        <f t="shared" si="5"/>
        <v>0.14983409373703699</v>
      </c>
      <c r="O45" s="8">
        <f t="shared" si="8"/>
        <v>8669.9999999999309</v>
      </c>
      <c r="P45" s="12">
        <f t="shared" si="6"/>
        <v>0</v>
      </c>
    </row>
    <row r="46" spans="1:16">
      <c r="A46" s="2">
        <v>45883</v>
      </c>
      <c r="B46" s="3">
        <f>Data_Entry!T138</f>
        <v>4050.00000000004</v>
      </c>
      <c r="C46" s="4">
        <f>Data_Entry!V138</f>
        <v>1.54</v>
      </c>
      <c r="D46" s="5">
        <f t="shared" si="0"/>
        <v>6.9991704686852604E-2</v>
      </c>
      <c r="E46" s="6">
        <v>0</v>
      </c>
      <c r="F46" s="6">
        <v>0</v>
      </c>
      <c r="G46" s="7">
        <f t="shared" si="1"/>
        <v>0</v>
      </c>
      <c r="H46" s="7">
        <f t="shared" si="2"/>
        <v>0</v>
      </c>
      <c r="I46" s="8">
        <v>2411</v>
      </c>
      <c r="J46" s="9"/>
      <c r="K46" s="8">
        <f t="shared" si="3"/>
        <v>28932</v>
      </c>
      <c r="L46" s="7">
        <f t="shared" si="4"/>
        <v>0</v>
      </c>
      <c r="M46" s="10">
        <f t="shared" si="7"/>
        <v>1</v>
      </c>
      <c r="N46" s="11">
        <f t="shared" si="5"/>
        <v>6.9991704686852604E-2</v>
      </c>
      <c r="O46" s="8">
        <f t="shared" si="8"/>
        <v>4050.00000000004</v>
      </c>
      <c r="P46" s="12">
        <f t="shared" si="6"/>
        <v>0</v>
      </c>
    </row>
    <row r="47" spans="1:16">
      <c r="A47" s="2">
        <v>45884</v>
      </c>
      <c r="B47" s="3">
        <f>Data_Entry!T139</f>
        <v>8370.0000000002001</v>
      </c>
      <c r="C47" s="4">
        <f>Data_Entry!V139</f>
        <v>3.34</v>
      </c>
      <c r="D47" s="5">
        <f t="shared" si="0"/>
        <v>0.14464952301949799</v>
      </c>
      <c r="E47" s="6">
        <v>0</v>
      </c>
      <c r="F47" s="6">
        <v>0</v>
      </c>
      <c r="G47" s="7">
        <f t="shared" si="1"/>
        <v>0</v>
      </c>
      <c r="H47" s="7">
        <f t="shared" si="2"/>
        <v>0</v>
      </c>
      <c r="I47" s="8">
        <v>2411</v>
      </c>
      <c r="J47" s="9"/>
      <c r="K47" s="8">
        <f t="shared" si="3"/>
        <v>28932</v>
      </c>
      <c r="L47" s="7">
        <f t="shared" si="4"/>
        <v>0</v>
      </c>
      <c r="M47" s="10">
        <f t="shared" si="7"/>
        <v>1</v>
      </c>
      <c r="N47" s="11">
        <f t="shared" si="5"/>
        <v>0.14464952301949799</v>
      </c>
      <c r="O47" s="8">
        <f t="shared" si="8"/>
        <v>8370.0000000002001</v>
      </c>
      <c r="P47" s="12">
        <f t="shared" si="6"/>
        <v>0</v>
      </c>
    </row>
    <row r="48" spans="1:16">
      <c r="A48" s="2">
        <v>45885</v>
      </c>
      <c r="B48" s="3">
        <f>Data_Entry!T140</f>
        <v>7440.00000000003</v>
      </c>
      <c r="C48" s="4">
        <f>Data_Entry!V140</f>
        <v>3.05</v>
      </c>
      <c r="D48" s="5">
        <f t="shared" si="0"/>
        <v>0.12857735379510599</v>
      </c>
      <c r="E48" s="6">
        <v>0</v>
      </c>
      <c r="F48" s="6">
        <v>0</v>
      </c>
      <c r="G48" s="7">
        <f t="shared" si="1"/>
        <v>0</v>
      </c>
      <c r="H48" s="7">
        <f t="shared" si="2"/>
        <v>0</v>
      </c>
      <c r="I48" s="8">
        <v>2411</v>
      </c>
      <c r="J48" s="9"/>
      <c r="K48" s="8">
        <f t="shared" si="3"/>
        <v>28932</v>
      </c>
      <c r="L48" s="7">
        <f t="shared" si="4"/>
        <v>0</v>
      </c>
      <c r="M48" s="10">
        <f t="shared" si="7"/>
        <v>1</v>
      </c>
      <c r="N48" s="11">
        <f t="shared" si="5"/>
        <v>0.12857735379510599</v>
      </c>
      <c r="O48" s="8">
        <f t="shared" si="8"/>
        <v>7440.00000000003</v>
      </c>
      <c r="P48" s="12">
        <f t="shared" si="6"/>
        <v>0</v>
      </c>
    </row>
    <row r="49" spans="1:16">
      <c r="A49" s="2">
        <v>45886</v>
      </c>
      <c r="B49" s="3">
        <f>Data_Entry!T141</f>
        <v>7739.9999999997599</v>
      </c>
      <c r="C49" s="4">
        <f>Data_Entry!V141</f>
        <v>3.32</v>
      </c>
      <c r="D49" s="5">
        <f t="shared" si="0"/>
        <v>0.13376192451264601</v>
      </c>
      <c r="E49" s="6">
        <v>0</v>
      </c>
      <c r="F49" s="6">
        <v>0</v>
      </c>
      <c r="G49" s="7">
        <f t="shared" si="1"/>
        <v>0</v>
      </c>
      <c r="H49" s="7">
        <f t="shared" si="2"/>
        <v>0</v>
      </c>
      <c r="I49" s="8">
        <v>2411</v>
      </c>
      <c r="J49" s="9"/>
      <c r="K49" s="8">
        <f t="shared" si="3"/>
        <v>28932</v>
      </c>
      <c r="L49" s="7">
        <f t="shared" si="4"/>
        <v>0</v>
      </c>
      <c r="M49" s="10">
        <f t="shared" si="7"/>
        <v>1</v>
      </c>
      <c r="N49" s="11">
        <f t="shared" si="5"/>
        <v>0.13376192451264601</v>
      </c>
      <c r="O49" s="8">
        <f t="shared" si="8"/>
        <v>7739.9999999997599</v>
      </c>
      <c r="P49" s="12">
        <f t="shared" si="6"/>
        <v>0</v>
      </c>
    </row>
    <row r="50" spans="1:16">
      <c r="A50" s="2">
        <v>45887</v>
      </c>
      <c r="B50" s="3">
        <f>Data_Entry!T142</f>
        <v>8370.0000000001801</v>
      </c>
      <c r="C50" s="4">
        <f>Data_Entry!V142</f>
        <v>4</v>
      </c>
      <c r="D50" s="5">
        <f t="shared" si="0"/>
        <v>0.14464952301949699</v>
      </c>
      <c r="E50" s="6">
        <v>0.41666666666666702</v>
      </c>
      <c r="F50" s="6">
        <v>0.46180555555555602</v>
      </c>
      <c r="G50" s="7">
        <f t="shared" si="1"/>
        <v>65.000000000000199</v>
      </c>
      <c r="H50" s="7">
        <f t="shared" si="2"/>
        <v>1.0833333333333399</v>
      </c>
      <c r="I50" s="8">
        <v>2411</v>
      </c>
      <c r="J50" s="9">
        <v>2411</v>
      </c>
      <c r="K50" s="8">
        <f t="shared" si="3"/>
        <v>28932</v>
      </c>
      <c r="L50" s="7">
        <f t="shared" si="4"/>
        <v>2611.9166666666702</v>
      </c>
      <c r="M50" s="10">
        <f t="shared" si="7"/>
        <v>0.90972222222222199</v>
      </c>
      <c r="N50" s="11">
        <f t="shared" si="5"/>
        <v>0.15900405583822599</v>
      </c>
      <c r="O50" s="8">
        <f t="shared" si="8"/>
        <v>9200.6106870230997</v>
      </c>
      <c r="P50" s="12">
        <f t="shared" si="6"/>
        <v>830.61068702292005</v>
      </c>
    </row>
    <row r="51" spans="1:16">
      <c r="A51" s="2">
        <v>45888</v>
      </c>
      <c r="B51" s="3">
        <f>Data_Entry!T143</f>
        <v>7679.9999999998099</v>
      </c>
      <c r="C51" s="4">
        <f>Data_Entry!V143</f>
        <v>0</v>
      </c>
      <c r="D51" s="5">
        <f t="shared" si="0"/>
        <v>0.132725010369138</v>
      </c>
      <c r="E51" s="6">
        <v>0</v>
      </c>
      <c r="F51" s="6">
        <v>0</v>
      </c>
      <c r="G51" s="7">
        <f t="shared" si="1"/>
        <v>0</v>
      </c>
      <c r="H51" s="7">
        <f t="shared" si="2"/>
        <v>0</v>
      </c>
      <c r="I51" s="8">
        <v>2411</v>
      </c>
      <c r="J51" s="9"/>
      <c r="K51" s="8">
        <f t="shared" si="3"/>
        <v>28932</v>
      </c>
      <c r="L51" s="7">
        <f t="shared" si="4"/>
        <v>0</v>
      </c>
      <c r="M51" s="10">
        <f t="shared" si="7"/>
        <v>1</v>
      </c>
      <c r="N51" s="11">
        <f t="shared" si="5"/>
        <v>0.132725010369138</v>
      </c>
      <c r="O51" s="8">
        <f t="shared" si="8"/>
        <v>7679.9999999998099</v>
      </c>
      <c r="P51" s="12">
        <f t="shared" si="6"/>
        <v>0</v>
      </c>
    </row>
    <row r="52" spans="1:16">
      <c r="A52" s="2">
        <v>45889</v>
      </c>
      <c r="B52" s="3">
        <f>Data_Entry!T144</f>
        <v>1050.00000000001</v>
      </c>
      <c r="C52" s="4">
        <f>Data_Entry!V144</f>
        <v>0</v>
      </c>
      <c r="D52" s="5">
        <f t="shared" si="0"/>
        <v>1.81459975114063E-2</v>
      </c>
      <c r="E52" s="6">
        <v>0</v>
      </c>
      <c r="F52" s="6">
        <v>0</v>
      </c>
      <c r="G52" s="7">
        <f t="shared" si="1"/>
        <v>0</v>
      </c>
      <c r="H52" s="7">
        <f t="shared" si="2"/>
        <v>0</v>
      </c>
      <c r="I52" s="8">
        <v>2411</v>
      </c>
      <c r="J52" s="9"/>
      <c r="K52" s="8">
        <f t="shared" si="3"/>
        <v>28932</v>
      </c>
      <c r="L52" s="7">
        <f t="shared" si="4"/>
        <v>0</v>
      </c>
      <c r="M52" s="10">
        <f t="shared" si="7"/>
        <v>1</v>
      </c>
      <c r="N52" s="11">
        <f t="shared" si="5"/>
        <v>1.81459975114063E-2</v>
      </c>
      <c r="O52" s="8">
        <f t="shared" si="8"/>
        <v>1050.00000000001</v>
      </c>
      <c r="P52" s="12">
        <f t="shared" si="6"/>
        <v>0</v>
      </c>
    </row>
    <row r="53" spans="1:16">
      <c r="A53" s="2">
        <v>45890</v>
      </c>
      <c r="B53" s="3">
        <f>Data_Entry!T145</f>
        <v>11040.0000000002</v>
      </c>
      <c r="C53" s="4">
        <f>Data_Entry!V145</f>
        <v>0</v>
      </c>
      <c r="D53" s="5">
        <f t="shared" si="0"/>
        <v>0.19079220240564401</v>
      </c>
      <c r="E53" s="6">
        <v>0</v>
      </c>
      <c r="F53" s="6">
        <v>0</v>
      </c>
      <c r="G53" s="7">
        <f t="shared" si="1"/>
        <v>0</v>
      </c>
      <c r="H53" s="7">
        <f t="shared" si="2"/>
        <v>0</v>
      </c>
      <c r="I53" s="8">
        <v>2411</v>
      </c>
      <c r="J53" s="9"/>
      <c r="K53" s="8">
        <f t="shared" si="3"/>
        <v>28932</v>
      </c>
      <c r="L53" s="7">
        <f t="shared" si="4"/>
        <v>0</v>
      </c>
      <c r="M53" s="10">
        <f t="shared" si="7"/>
        <v>1</v>
      </c>
      <c r="N53" s="11">
        <f t="shared" si="5"/>
        <v>0.19079220240564401</v>
      </c>
      <c r="O53" s="8">
        <f t="shared" si="8"/>
        <v>11040.0000000002</v>
      </c>
      <c r="P53" s="12">
        <f t="shared" si="6"/>
        <v>0</v>
      </c>
    </row>
    <row r="54" spans="1:16">
      <c r="A54" s="2">
        <v>45891</v>
      </c>
      <c r="B54" s="3">
        <f>Data_Entry!T146</f>
        <v>10110</v>
      </c>
      <c r="C54" s="4">
        <f>Data_Entry!V146</f>
        <v>0</v>
      </c>
      <c r="D54" s="5">
        <f t="shared" si="0"/>
        <v>0.17472003318125201</v>
      </c>
      <c r="E54" s="6">
        <v>0</v>
      </c>
      <c r="F54" s="6">
        <v>0</v>
      </c>
      <c r="G54" s="7">
        <f t="shared" si="1"/>
        <v>0</v>
      </c>
      <c r="H54" s="7">
        <f t="shared" si="2"/>
        <v>0</v>
      </c>
      <c r="I54" s="8">
        <v>2411</v>
      </c>
      <c r="J54" s="9"/>
      <c r="K54" s="8">
        <f t="shared" si="3"/>
        <v>28932</v>
      </c>
      <c r="L54" s="7">
        <f t="shared" si="4"/>
        <v>0</v>
      </c>
      <c r="M54" s="10">
        <f t="shared" si="7"/>
        <v>1</v>
      </c>
      <c r="N54" s="11">
        <f t="shared" si="5"/>
        <v>0.17472003318125201</v>
      </c>
      <c r="O54" s="8">
        <f t="shared" si="8"/>
        <v>10110</v>
      </c>
      <c r="P54" s="12">
        <f t="shared" si="6"/>
        <v>0</v>
      </c>
    </row>
    <row r="55" spans="1:16">
      <c r="A55" s="2">
        <v>45892</v>
      </c>
      <c r="B55" s="3">
        <f>Data_Entry!T147</f>
        <v>6539.9999999998199</v>
      </c>
      <c r="C55" s="4">
        <f>Data_Entry!V147</f>
        <v>0</v>
      </c>
      <c r="D55" s="5">
        <f t="shared" si="0"/>
        <v>0.113023641642469</v>
      </c>
      <c r="E55" s="6">
        <v>0</v>
      </c>
      <c r="F55" s="6">
        <v>0</v>
      </c>
      <c r="G55" s="7">
        <f t="shared" si="1"/>
        <v>0</v>
      </c>
      <c r="H55" s="7">
        <f t="shared" si="2"/>
        <v>0</v>
      </c>
      <c r="I55" s="8">
        <v>2411</v>
      </c>
      <c r="J55" s="9"/>
      <c r="K55" s="8">
        <f t="shared" si="3"/>
        <v>28932</v>
      </c>
      <c r="L55" s="7">
        <f t="shared" si="4"/>
        <v>0</v>
      </c>
      <c r="M55" s="10">
        <f t="shared" si="7"/>
        <v>1</v>
      </c>
      <c r="N55" s="11">
        <f t="shared" si="5"/>
        <v>0.113023641642469</v>
      </c>
      <c r="O55" s="8">
        <f t="shared" si="8"/>
        <v>6539.9999999998199</v>
      </c>
      <c r="P55" s="12">
        <f t="shared" si="6"/>
        <v>0</v>
      </c>
    </row>
    <row r="56" spans="1:16">
      <c r="A56" s="2">
        <v>45893</v>
      </c>
      <c r="B56" s="3">
        <f>Data_Entry!T148</f>
        <v>3060.0000000002601</v>
      </c>
      <c r="C56" s="4">
        <f>Data_Entry!V148</f>
        <v>0</v>
      </c>
      <c r="D56" s="5">
        <f t="shared" si="0"/>
        <v>5.2882621318959301E-2</v>
      </c>
      <c r="E56" s="6">
        <v>0</v>
      </c>
      <c r="F56" s="6">
        <v>0</v>
      </c>
      <c r="G56" s="7">
        <f t="shared" si="1"/>
        <v>0</v>
      </c>
      <c r="H56" s="7">
        <f t="shared" si="2"/>
        <v>0</v>
      </c>
      <c r="I56" s="8">
        <v>2411</v>
      </c>
      <c r="J56" s="9"/>
      <c r="K56" s="8">
        <f t="shared" si="3"/>
        <v>28932</v>
      </c>
      <c r="L56" s="7">
        <f t="shared" si="4"/>
        <v>0</v>
      </c>
      <c r="M56" s="10">
        <f t="shared" si="7"/>
        <v>1</v>
      </c>
      <c r="N56" s="11">
        <f t="shared" si="5"/>
        <v>5.2882621318959301E-2</v>
      </c>
      <c r="O56" s="8">
        <f t="shared" si="8"/>
        <v>3060.0000000002601</v>
      </c>
      <c r="P56" s="12">
        <f t="shared" si="6"/>
        <v>0</v>
      </c>
    </row>
    <row r="57" spans="1:16">
      <c r="A57" s="2">
        <v>45894</v>
      </c>
      <c r="B57" s="3">
        <f>Data_Entry!T149</f>
        <v>7169.99999999993</v>
      </c>
      <c r="C57" s="4">
        <f>Data_Entry!V149</f>
        <v>0</v>
      </c>
      <c r="D57" s="5">
        <f t="shared" si="0"/>
        <v>0.123911240149314</v>
      </c>
      <c r="E57" s="6">
        <v>0</v>
      </c>
      <c r="F57" s="6">
        <v>0</v>
      </c>
      <c r="G57" s="7">
        <f t="shared" si="1"/>
        <v>0</v>
      </c>
      <c r="H57" s="7">
        <f t="shared" si="2"/>
        <v>0</v>
      </c>
      <c r="I57" s="8">
        <v>2411</v>
      </c>
      <c r="J57" s="9"/>
      <c r="K57" s="8">
        <f t="shared" si="3"/>
        <v>28932</v>
      </c>
      <c r="L57" s="7">
        <f t="shared" si="4"/>
        <v>0</v>
      </c>
      <c r="M57" s="10">
        <f t="shared" si="7"/>
        <v>1</v>
      </c>
      <c r="N57" s="11">
        <f t="shared" si="5"/>
        <v>0.123911240149314</v>
      </c>
      <c r="O57" s="8">
        <f t="shared" si="8"/>
        <v>7169.99999999993</v>
      </c>
      <c r="P57" s="12">
        <f t="shared" si="6"/>
        <v>0</v>
      </c>
    </row>
    <row r="58" spans="1:16">
      <c r="A58" s="2">
        <v>45895</v>
      </c>
      <c r="B58" s="3">
        <f>Data_Entry!T150</f>
        <v>5910.00000000003</v>
      </c>
      <c r="C58" s="4">
        <f>Data_Entry!V150</f>
        <v>0</v>
      </c>
      <c r="D58" s="5">
        <f t="shared" si="0"/>
        <v>0.102136043135629</v>
      </c>
      <c r="E58" s="6">
        <v>0</v>
      </c>
      <c r="F58" s="6">
        <v>0</v>
      </c>
      <c r="G58" s="7">
        <f t="shared" si="1"/>
        <v>0</v>
      </c>
      <c r="H58" s="7">
        <f t="shared" si="2"/>
        <v>0</v>
      </c>
      <c r="I58" s="8">
        <v>2411</v>
      </c>
      <c r="J58" s="9"/>
      <c r="K58" s="8">
        <f t="shared" si="3"/>
        <v>28932</v>
      </c>
      <c r="L58" s="7">
        <f t="shared" si="4"/>
        <v>0</v>
      </c>
      <c r="M58" s="10">
        <f t="shared" si="7"/>
        <v>1</v>
      </c>
      <c r="N58" s="11">
        <f t="shared" si="5"/>
        <v>0.102136043135629</v>
      </c>
      <c r="O58" s="8">
        <f t="shared" si="8"/>
        <v>5910.00000000003</v>
      </c>
      <c r="P58" s="12">
        <f t="shared" si="6"/>
        <v>0</v>
      </c>
    </row>
    <row r="59" spans="1:16">
      <c r="A59" s="2">
        <v>45896</v>
      </c>
      <c r="B59" s="3">
        <f>Data_Entry!T151</f>
        <v>8580.0000000000091</v>
      </c>
      <c r="C59" s="4">
        <f>Data_Entry!V151</f>
        <v>0</v>
      </c>
      <c r="D59" s="5">
        <f t="shared" si="0"/>
        <v>0.14827872252177501</v>
      </c>
      <c r="E59" s="6">
        <v>0</v>
      </c>
      <c r="F59" s="6">
        <v>0</v>
      </c>
      <c r="G59" s="7">
        <f t="shared" si="1"/>
        <v>0</v>
      </c>
      <c r="H59" s="7">
        <f t="shared" si="2"/>
        <v>0</v>
      </c>
      <c r="I59" s="8">
        <v>2411</v>
      </c>
      <c r="J59" s="9"/>
      <c r="K59" s="8">
        <f t="shared" si="3"/>
        <v>28932</v>
      </c>
      <c r="L59" s="7">
        <f t="shared" si="4"/>
        <v>0</v>
      </c>
      <c r="M59" s="10">
        <f t="shared" si="7"/>
        <v>1</v>
      </c>
      <c r="N59" s="11">
        <f t="shared" si="5"/>
        <v>0.14827872252177501</v>
      </c>
      <c r="O59" s="8">
        <f t="shared" si="8"/>
        <v>8580.0000000000091</v>
      </c>
      <c r="P59" s="12">
        <f t="shared" si="6"/>
        <v>0</v>
      </c>
    </row>
    <row r="60" spans="1:16">
      <c r="A60" s="2">
        <v>45897</v>
      </c>
      <c r="B60" s="3">
        <f>Data_Entry!T152</f>
        <v>8550.00000000004</v>
      </c>
      <c r="C60" s="4">
        <f>Data_Entry!V152</f>
        <v>0</v>
      </c>
      <c r="D60" s="5">
        <f t="shared" si="0"/>
        <v>0.14776026545002099</v>
      </c>
      <c r="E60" s="6">
        <v>0</v>
      </c>
      <c r="F60" s="6">
        <v>0</v>
      </c>
      <c r="G60" s="7">
        <f t="shared" si="1"/>
        <v>0</v>
      </c>
      <c r="H60" s="7">
        <f t="shared" si="2"/>
        <v>0</v>
      </c>
      <c r="I60" s="8">
        <v>2411</v>
      </c>
      <c r="J60" s="9"/>
      <c r="K60" s="8">
        <f t="shared" si="3"/>
        <v>28932</v>
      </c>
      <c r="L60" s="7">
        <f t="shared" si="4"/>
        <v>0</v>
      </c>
      <c r="M60" s="10">
        <f t="shared" si="7"/>
        <v>1</v>
      </c>
      <c r="N60" s="11">
        <f t="shared" si="5"/>
        <v>0.14776026545002099</v>
      </c>
      <c r="O60" s="8">
        <f t="shared" si="8"/>
        <v>8550.00000000004</v>
      </c>
      <c r="P60" s="12">
        <f t="shared" si="6"/>
        <v>0</v>
      </c>
    </row>
    <row r="61" spans="1:16">
      <c r="A61" s="2">
        <v>45898</v>
      </c>
      <c r="B61" s="3">
        <f>Data_Entry!T153</f>
        <v>6869.9999999998399</v>
      </c>
      <c r="C61" s="4">
        <f>Data_Entry!V153</f>
        <v>0</v>
      </c>
      <c r="D61" s="5">
        <f t="shared" si="0"/>
        <v>0.118726669431768</v>
      </c>
      <c r="E61" s="6">
        <v>0</v>
      </c>
      <c r="F61" s="6">
        <v>0</v>
      </c>
      <c r="G61" s="7">
        <f t="shared" si="1"/>
        <v>0</v>
      </c>
      <c r="H61" s="7">
        <f t="shared" si="2"/>
        <v>0</v>
      </c>
      <c r="I61" s="8">
        <v>2411</v>
      </c>
      <c r="J61" s="9"/>
      <c r="K61" s="8">
        <f t="shared" si="3"/>
        <v>28932</v>
      </c>
      <c r="L61" s="7">
        <f t="shared" si="4"/>
        <v>0</v>
      </c>
      <c r="M61" s="10">
        <f t="shared" si="7"/>
        <v>1</v>
      </c>
      <c r="N61" s="11">
        <f t="shared" si="5"/>
        <v>0.118726669431768</v>
      </c>
      <c r="O61" s="8">
        <f t="shared" si="8"/>
        <v>6869.9999999998399</v>
      </c>
      <c r="P61" s="12">
        <f t="shared" si="6"/>
        <v>0</v>
      </c>
    </row>
    <row r="62" spans="1:16">
      <c r="A62" s="2">
        <v>45899</v>
      </c>
      <c r="B62" s="3">
        <f>Data_Entry!T154</f>
        <v>7080.00000000001</v>
      </c>
      <c r="C62" s="4">
        <f>Data_Entry!V154</f>
        <v>0</v>
      </c>
      <c r="D62" s="5">
        <f t="shared" si="0"/>
        <v>0.12235586893405299</v>
      </c>
      <c r="E62" s="6">
        <v>0</v>
      </c>
      <c r="F62" s="6">
        <v>0</v>
      </c>
      <c r="G62" s="7">
        <f t="shared" si="1"/>
        <v>0</v>
      </c>
      <c r="H62" s="7">
        <f t="shared" si="2"/>
        <v>0</v>
      </c>
      <c r="I62" s="8">
        <v>2411</v>
      </c>
      <c r="J62" s="9"/>
      <c r="K62" s="8">
        <f t="shared" si="3"/>
        <v>28932</v>
      </c>
      <c r="L62" s="7">
        <f t="shared" si="4"/>
        <v>0</v>
      </c>
      <c r="M62" s="10">
        <f t="shared" si="7"/>
        <v>1</v>
      </c>
      <c r="N62" s="11">
        <f t="shared" si="5"/>
        <v>0.12235586893405299</v>
      </c>
      <c r="O62" s="8">
        <f t="shared" si="8"/>
        <v>7080.00000000001</v>
      </c>
      <c r="P62" s="12">
        <f t="shared" si="6"/>
        <v>0</v>
      </c>
    </row>
    <row r="63" spans="1:16">
      <c r="A63" s="2">
        <v>45900</v>
      </c>
      <c r="B63" s="3">
        <f>Data_Entry!T155</f>
        <v>8279.9999999999509</v>
      </c>
      <c r="C63" s="4">
        <f>Data_Entry!V155</f>
        <v>0</v>
      </c>
      <c r="D63" s="5">
        <f t="shared" si="0"/>
        <v>0.14309415180422999</v>
      </c>
      <c r="E63" s="6">
        <v>0</v>
      </c>
      <c r="F63" s="6">
        <v>0</v>
      </c>
      <c r="G63" s="7">
        <f t="shared" si="1"/>
        <v>0</v>
      </c>
      <c r="H63" s="7">
        <f t="shared" si="2"/>
        <v>0</v>
      </c>
      <c r="I63" s="8">
        <v>2411</v>
      </c>
      <c r="J63" s="9"/>
      <c r="K63" s="8">
        <f t="shared" si="3"/>
        <v>28932</v>
      </c>
      <c r="L63" s="7">
        <f t="shared" si="4"/>
        <v>0</v>
      </c>
      <c r="M63" s="10">
        <f t="shared" si="7"/>
        <v>1</v>
      </c>
      <c r="N63" s="11">
        <f t="shared" si="5"/>
        <v>0.14309415180422999</v>
      </c>
      <c r="O63" s="8">
        <f t="shared" si="8"/>
        <v>8279.9999999999509</v>
      </c>
      <c r="P63" s="12">
        <f t="shared" si="6"/>
        <v>0</v>
      </c>
    </row>
    <row r="64" spans="1:16">
      <c r="A64" s="2">
        <v>45901</v>
      </c>
      <c r="B64" s="3">
        <f>Data_Entry!T156</f>
        <v>6060.0000000002601</v>
      </c>
      <c r="C64" s="4">
        <f>Data_Entry!V156</f>
        <v>0</v>
      </c>
      <c r="D64" s="5">
        <f t="shared" si="0"/>
        <v>0.104728328494405</v>
      </c>
      <c r="E64" s="6">
        <v>0</v>
      </c>
      <c r="F64" s="6">
        <v>0</v>
      </c>
      <c r="G64" s="7">
        <f t="shared" si="1"/>
        <v>0</v>
      </c>
      <c r="H64" s="7">
        <f t="shared" si="2"/>
        <v>0</v>
      </c>
      <c r="I64" s="8">
        <v>2411</v>
      </c>
      <c r="J64" s="9"/>
      <c r="K64" s="8">
        <f t="shared" si="3"/>
        <v>28932</v>
      </c>
      <c r="L64" s="7">
        <f t="shared" si="4"/>
        <v>0</v>
      </c>
      <c r="M64" s="10">
        <f t="shared" si="7"/>
        <v>1</v>
      </c>
      <c r="N64" s="11">
        <f t="shared" si="5"/>
        <v>0.104728328494405</v>
      </c>
      <c r="O64" s="8">
        <f t="shared" si="8"/>
        <v>6060.0000000002601</v>
      </c>
      <c r="P64" s="12">
        <f t="shared" si="6"/>
        <v>0</v>
      </c>
    </row>
    <row r="65" spans="1:16">
      <c r="A65" s="2">
        <v>45902</v>
      </c>
      <c r="B65" s="3">
        <f>Data_Entry!T157</f>
        <v>9539.9999999998199</v>
      </c>
      <c r="C65" s="4">
        <f>Data_Entry!V157</f>
        <v>0</v>
      </c>
      <c r="D65" s="5">
        <f t="shared" si="0"/>
        <v>0.16486934881791501</v>
      </c>
      <c r="E65" s="6">
        <v>0</v>
      </c>
      <c r="F65" s="6">
        <v>0</v>
      </c>
      <c r="G65" s="7">
        <f t="shared" si="1"/>
        <v>0</v>
      </c>
      <c r="H65" s="7">
        <f t="shared" si="2"/>
        <v>0</v>
      </c>
      <c r="I65" s="8">
        <v>2411</v>
      </c>
      <c r="J65" s="9"/>
      <c r="K65" s="8">
        <f t="shared" si="3"/>
        <v>28932</v>
      </c>
      <c r="L65" s="7">
        <f t="shared" si="4"/>
        <v>0</v>
      </c>
      <c r="M65" s="10">
        <f t="shared" si="7"/>
        <v>1</v>
      </c>
      <c r="N65" s="11">
        <f t="shared" si="5"/>
        <v>0.16486934881791501</v>
      </c>
      <c r="O65" s="8">
        <f t="shared" si="8"/>
        <v>9539.9999999998199</v>
      </c>
      <c r="P65" s="12">
        <f t="shared" si="6"/>
        <v>0</v>
      </c>
    </row>
    <row r="66" spans="1:16">
      <c r="A66" s="2">
        <v>45903</v>
      </c>
      <c r="B66" s="3">
        <f>Data_Entry!T158</f>
        <v>10529.9999999999</v>
      </c>
      <c r="C66" s="4">
        <f>Data_Entry!V158</f>
        <v>0</v>
      </c>
      <c r="D66" s="5">
        <f t="shared" ref="D66:D129" si="9">B66/(24*I66)</f>
        <v>0.181978432185814</v>
      </c>
      <c r="E66" s="6">
        <v>0</v>
      </c>
      <c r="F66" s="6">
        <v>0</v>
      </c>
      <c r="G66" s="7">
        <f t="shared" ref="G66:G129" si="10">(F66-E66)*24*60</f>
        <v>0</v>
      </c>
      <c r="H66" s="7">
        <f t="shared" ref="H66:H129" si="11">G66/60</f>
        <v>0</v>
      </c>
      <c r="I66" s="8">
        <v>2411</v>
      </c>
      <c r="J66" s="9"/>
      <c r="K66" s="8">
        <f t="shared" ref="K66:K129" si="12">I66*12</f>
        <v>28932</v>
      </c>
      <c r="L66" s="7">
        <f t="shared" ref="L66:L129" si="13">J66*H66</f>
        <v>0</v>
      </c>
      <c r="M66" s="10">
        <f t="shared" si="7"/>
        <v>1</v>
      </c>
      <c r="N66" s="11">
        <f t="shared" ref="N66:N129" si="14">D66/M66</f>
        <v>0.181978432185814</v>
      </c>
      <c r="O66" s="8">
        <f t="shared" si="8"/>
        <v>10529.9999999999</v>
      </c>
      <c r="P66" s="12">
        <f t="shared" ref="P66:P129" si="15">O66-B66</f>
        <v>0</v>
      </c>
    </row>
    <row r="67" spans="1:16">
      <c r="A67" s="2">
        <v>45904</v>
      </c>
      <c r="B67" s="3">
        <f>Data_Entry!T159</f>
        <v>7499.99999999997</v>
      </c>
      <c r="C67" s="4">
        <f>Data_Entry!V159</f>
        <v>0</v>
      </c>
      <c r="D67" s="5">
        <f t="shared" si="9"/>
        <v>0.129614267938614</v>
      </c>
      <c r="E67" s="6">
        <v>0</v>
      </c>
      <c r="F67" s="6">
        <v>0</v>
      </c>
      <c r="G67" s="7">
        <f t="shared" si="10"/>
        <v>0</v>
      </c>
      <c r="H67" s="7">
        <f t="shared" si="11"/>
        <v>0</v>
      </c>
      <c r="I67" s="8">
        <v>2411</v>
      </c>
      <c r="J67" s="9"/>
      <c r="K67" s="8">
        <f t="shared" si="12"/>
        <v>28932</v>
      </c>
      <c r="L67" s="7">
        <f t="shared" si="13"/>
        <v>0</v>
      </c>
      <c r="M67" s="10">
        <f t="shared" ref="M67:M130" si="16">(K67-L67)/K67</f>
        <v>1</v>
      </c>
      <c r="N67" s="11">
        <f t="shared" si="14"/>
        <v>0.129614267938614</v>
      </c>
      <c r="O67" s="8">
        <f t="shared" ref="O67:O130" si="17">N67*I67*24</f>
        <v>7499.99999999997</v>
      </c>
      <c r="P67" s="12">
        <f t="shared" si="15"/>
        <v>0</v>
      </c>
    </row>
    <row r="68" spans="1:16">
      <c r="A68" s="2">
        <v>45905</v>
      </c>
      <c r="B68" s="3">
        <f>Data_Entry!T160</f>
        <v>4919.99999999993</v>
      </c>
      <c r="C68" s="4">
        <f>Data_Entry!V160</f>
        <v>0</v>
      </c>
      <c r="D68" s="5">
        <f t="shared" si="9"/>
        <v>8.5026959767730101E-2</v>
      </c>
      <c r="E68" s="6">
        <v>0</v>
      </c>
      <c r="F68" s="6">
        <v>0</v>
      </c>
      <c r="G68" s="7">
        <f t="shared" si="10"/>
        <v>0</v>
      </c>
      <c r="H68" s="7">
        <f t="shared" si="11"/>
        <v>0</v>
      </c>
      <c r="I68" s="8">
        <v>2411</v>
      </c>
      <c r="J68" s="9"/>
      <c r="K68" s="8">
        <f t="shared" si="12"/>
        <v>28932</v>
      </c>
      <c r="L68" s="7">
        <f t="shared" si="13"/>
        <v>0</v>
      </c>
      <c r="M68" s="10">
        <f t="shared" si="16"/>
        <v>1</v>
      </c>
      <c r="N68" s="11">
        <f t="shared" si="14"/>
        <v>8.5026959767730101E-2</v>
      </c>
      <c r="O68" s="8">
        <f t="shared" si="17"/>
        <v>4919.99999999993</v>
      </c>
      <c r="P68" s="12">
        <f t="shared" si="15"/>
        <v>0</v>
      </c>
    </row>
    <row r="69" spans="1:16">
      <c r="A69" s="2">
        <v>45906</v>
      </c>
      <c r="B69" s="3">
        <f>Data_Entry!T161</f>
        <v>2910.00000000003</v>
      </c>
      <c r="C69" s="4">
        <f>Data_Entry!V161</f>
        <v>0</v>
      </c>
      <c r="D69" s="5">
        <f t="shared" si="9"/>
        <v>5.0290335960183001E-2</v>
      </c>
      <c r="E69" s="6">
        <v>0</v>
      </c>
      <c r="F69" s="6">
        <v>0</v>
      </c>
      <c r="G69" s="7">
        <f t="shared" si="10"/>
        <v>0</v>
      </c>
      <c r="H69" s="7">
        <f t="shared" si="11"/>
        <v>0</v>
      </c>
      <c r="I69" s="8">
        <v>2411</v>
      </c>
      <c r="J69" s="9"/>
      <c r="K69" s="8">
        <f t="shared" si="12"/>
        <v>28932</v>
      </c>
      <c r="L69" s="7">
        <f t="shared" si="13"/>
        <v>0</v>
      </c>
      <c r="M69" s="10">
        <f t="shared" si="16"/>
        <v>1</v>
      </c>
      <c r="N69" s="11">
        <f t="shared" si="14"/>
        <v>5.0290335960183001E-2</v>
      </c>
      <c r="O69" s="8">
        <f t="shared" si="17"/>
        <v>2910.00000000003</v>
      </c>
      <c r="P69" s="12">
        <f t="shared" si="15"/>
        <v>0</v>
      </c>
    </row>
    <row r="70" spans="1:16">
      <c r="A70" s="2">
        <v>45907</v>
      </c>
      <c r="B70" s="3">
        <f>Data_Entry!T162</f>
        <v>3749.99999999997</v>
      </c>
      <c r="C70" s="4">
        <f>Data_Entry!V162</f>
        <v>0</v>
      </c>
      <c r="D70" s="5">
        <f t="shared" si="9"/>
        <v>6.4807133969306902E-2</v>
      </c>
      <c r="E70" s="6">
        <v>0</v>
      </c>
      <c r="F70" s="6">
        <v>0</v>
      </c>
      <c r="G70" s="7">
        <f t="shared" si="10"/>
        <v>0</v>
      </c>
      <c r="H70" s="7">
        <f t="shared" si="11"/>
        <v>0</v>
      </c>
      <c r="I70" s="8">
        <v>2411</v>
      </c>
      <c r="J70" s="9"/>
      <c r="K70" s="8">
        <f t="shared" si="12"/>
        <v>28932</v>
      </c>
      <c r="L70" s="7">
        <f t="shared" si="13"/>
        <v>0</v>
      </c>
      <c r="M70" s="10">
        <f t="shared" si="16"/>
        <v>1</v>
      </c>
      <c r="N70" s="11">
        <f t="shared" si="14"/>
        <v>6.4807133969306902E-2</v>
      </c>
      <c r="O70" s="8">
        <f t="shared" si="17"/>
        <v>3749.99999999997</v>
      </c>
      <c r="P70" s="12">
        <f t="shared" si="15"/>
        <v>0</v>
      </c>
    </row>
    <row r="71" spans="1:16">
      <c r="A71" s="2">
        <v>45908</v>
      </c>
      <c r="B71" s="3">
        <f>Data_Entry!T163</f>
        <v>4500.0000000003101</v>
      </c>
      <c r="C71" s="4">
        <f>Data_Entry!V163</f>
        <v>0</v>
      </c>
      <c r="D71" s="5">
        <f t="shared" si="9"/>
        <v>7.7768560763174205E-2</v>
      </c>
      <c r="E71" s="6">
        <v>0</v>
      </c>
      <c r="F71" s="6">
        <v>0</v>
      </c>
      <c r="G71" s="7">
        <f t="shared" si="10"/>
        <v>0</v>
      </c>
      <c r="H71" s="7">
        <f t="shared" si="11"/>
        <v>0</v>
      </c>
      <c r="I71" s="8">
        <v>2411</v>
      </c>
      <c r="J71" s="9"/>
      <c r="K71" s="8">
        <f t="shared" si="12"/>
        <v>28932</v>
      </c>
      <c r="L71" s="7">
        <f t="shared" si="13"/>
        <v>0</v>
      </c>
      <c r="M71" s="10">
        <f t="shared" si="16"/>
        <v>1</v>
      </c>
      <c r="N71" s="11">
        <f t="shared" si="14"/>
        <v>7.7768560763174205E-2</v>
      </c>
      <c r="O71" s="8">
        <f t="shared" si="17"/>
        <v>4500.0000000003101</v>
      </c>
      <c r="P71" s="12">
        <f t="shared" si="15"/>
        <v>0</v>
      </c>
    </row>
    <row r="72" spans="1:16">
      <c r="A72" s="2">
        <v>45909</v>
      </c>
      <c r="B72" s="3">
        <f>Data_Entry!T164</f>
        <v>11970</v>
      </c>
      <c r="C72" s="4">
        <f>Data_Entry!V164</f>
        <v>0</v>
      </c>
      <c r="D72" s="5">
        <f t="shared" si="9"/>
        <v>0.20686437163002899</v>
      </c>
      <c r="E72" s="6">
        <v>0</v>
      </c>
      <c r="F72" s="6">
        <v>0</v>
      </c>
      <c r="G72" s="7">
        <f t="shared" si="10"/>
        <v>0</v>
      </c>
      <c r="H72" s="7">
        <f t="shared" si="11"/>
        <v>0</v>
      </c>
      <c r="I72" s="8">
        <v>2411</v>
      </c>
      <c r="J72" s="9"/>
      <c r="K72" s="8">
        <f t="shared" si="12"/>
        <v>28932</v>
      </c>
      <c r="L72" s="7">
        <f t="shared" si="13"/>
        <v>0</v>
      </c>
      <c r="M72" s="10">
        <f t="shared" si="16"/>
        <v>1</v>
      </c>
      <c r="N72" s="11">
        <f t="shared" si="14"/>
        <v>0.20686437163002899</v>
      </c>
      <c r="O72" s="8">
        <f t="shared" si="17"/>
        <v>11970</v>
      </c>
      <c r="P72" s="12">
        <f t="shared" si="15"/>
        <v>0</v>
      </c>
    </row>
    <row r="73" spans="1:16">
      <c r="A73" s="2">
        <v>45910</v>
      </c>
      <c r="B73" s="3">
        <f>Data_Entry!T165</f>
        <v>12119.9999999999</v>
      </c>
      <c r="C73" s="4">
        <f>Data_Entry!V165</f>
        <v>0</v>
      </c>
      <c r="D73" s="5">
        <f t="shared" si="9"/>
        <v>0.20945665698879901</v>
      </c>
      <c r="E73" s="6">
        <v>0</v>
      </c>
      <c r="F73" s="6">
        <v>0</v>
      </c>
      <c r="G73" s="7">
        <f t="shared" si="10"/>
        <v>0</v>
      </c>
      <c r="H73" s="7">
        <f t="shared" si="11"/>
        <v>0</v>
      </c>
      <c r="I73" s="8">
        <v>2411</v>
      </c>
      <c r="J73" s="9"/>
      <c r="K73" s="8">
        <f t="shared" si="12"/>
        <v>28932</v>
      </c>
      <c r="L73" s="7">
        <f t="shared" si="13"/>
        <v>0</v>
      </c>
      <c r="M73" s="10">
        <f t="shared" si="16"/>
        <v>1</v>
      </c>
      <c r="N73" s="11">
        <f t="shared" si="14"/>
        <v>0.20945665698879901</v>
      </c>
      <c r="O73" s="8">
        <f t="shared" si="17"/>
        <v>12119.9999999999</v>
      </c>
      <c r="P73" s="12">
        <f t="shared" si="15"/>
        <v>0</v>
      </c>
    </row>
    <row r="74" spans="1:16">
      <c r="A74" s="2">
        <v>45911</v>
      </c>
      <c r="B74" s="3">
        <f>Data_Entry!T166</f>
        <v>13199.9999999999</v>
      </c>
      <c r="C74" s="4">
        <f>Data_Entry!V166</f>
        <v>0</v>
      </c>
      <c r="D74" s="5">
        <f t="shared" si="9"/>
        <v>0.22812111157195999</v>
      </c>
      <c r="E74" s="6">
        <v>0</v>
      </c>
      <c r="F74" s="6">
        <v>0</v>
      </c>
      <c r="G74" s="7">
        <f t="shared" si="10"/>
        <v>0</v>
      </c>
      <c r="H74" s="7">
        <f t="shared" si="11"/>
        <v>0</v>
      </c>
      <c r="I74" s="8">
        <v>2411</v>
      </c>
      <c r="J74" s="9"/>
      <c r="K74" s="8">
        <f t="shared" si="12"/>
        <v>28932</v>
      </c>
      <c r="L74" s="7">
        <f t="shared" si="13"/>
        <v>0</v>
      </c>
      <c r="M74" s="10">
        <f t="shared" si="16"/>
        <v>1</v>
      </c>
      <c r="N74" s="11">
        <f t="shared" si="14"/>
        <v>0.22812111157195999</v>
      </c>
      <c r="O74" s="8">
        <f t="shared" si="17"/>
        <v>13199.9999999999</v>
      </c>
      <c r="P74" s="12">
        <f t="shared" si="15"/>
        <v>0</v>
      </c>
    </row>
    <row r="75" spans="1:16">
      <c r="A75" s="2">
        <v>45912</v>
      </c>
      <c r="B75" s="3">
        <f>Data_Entry!T167</f>
        <v>10020.0000000001</v>
      </c>
      <c r="C75" s="4">
        <f>Data_Entry!V167</f>
        <v>0</v>
      </c>
      <c r="D75" s="5">
        <f t="shared" si="9"/>
        <v>0.17316466196599001</v>
      </c>
      <c r="E75" s="6">
        <v>0</v>
      </c>
      <c r="F75" s="6">
        <v>0</v>
      </c>
      <c r="G75" s="7">
        <f t="shared" si="10"/>
        <v>0</v>
      </c>
      <c r="H75" s="7">
        <f t="shared" si="11"/>
        <v>0</v>
      </c>
      <c r="I75" s="8">
        <v>2411</v>
      </c>
      <c r="J75" s="9"/>
      <c r="K75" s="8">
        <f t="shared" si="12"/>
        <v>28932</v>
      </c>
      <c r="L75" s="7">
        <f t="shared" si="13"/>
        <v>0</v>
      </c>
      <c r="M75" s="10">
        <f t="shared" si="16"/>
        <v>1</v>
      </c>
      <c r="N75" s="11">
        <f t="shared" si="14"/>
        <v>0.17316466196599001</v>
      </c>
      <c r="O75" s="8">
        <f t="shared" si="17"/>
        <v>10020.0000000001</v>
      </c>
      <c r="P75" s="12">
        <f t="shared" si="15"/>
        <v>0</v>
      </c>
    </row>
    <row r="76" spans="1:16">
      <c r="A76" s="2">
        <v>45913</v>
      </c>
      <c r="B76" s="3">
        <f>Data_Entry!T168</f>
        <v>11160.0000000001</v>
      </c>
      <c r="C76" s="4">
        <f>Data_Entry!V168</f>
        <v>0</v>
      </c>
      <c r="D76" s="5">
        <f t="shared" si="9"/>
        <v>0.19286603069266001</v>
      </c>
      <c r="E76" s="6">
        <v>0</v>
      </c>
      <c r="F76" s="6">
        <v>0</v>
      </c>
      <c r="G76" s="7">
        <f t="shared" si="10"/>
        <v>0</v>
      </c>
      <c r="H76" s="7">
        <f t="shared" si="11"/>
        <v>0</v>
      </c>
      <c r="I76" s="8">
        <v>2411</v>
      </c>
      <c r="J76" s="9"/>
      <c r="K76" s="8">
        <f t="shared" si="12"/>
        <v>28932</v>
      </c>
      <c r="L76" s="7">
        <f t="shared" si="13"/>
        <v>0</v>
      </c>
      <c r="M76" s="10">
        <f t="shared" si="16"/>
        <v>1</v>
      </c>
      <c r="N76" s="11">
        <f t="shared" si="14"/>
        <v>0.19286603069266001</v>
      </c>
      <c r="O76" s="8">
        <f t="shared" si="17"/>
        <v>11160.0000000001</v>
      </c>
      <c r="P76" s="12">
        <f t="shared" si="15"/>
        <v>0</v>
      </c>
    </row>
    <row r="77" spans="1:16">
      <c r="A77" s="2">
        <v>45914</v>
      </c>
      <c r="B77" s="3">
        <f>Data_Entry!T169</f>
        <v>7050.00000000004</v>
      </c>
      <c r="C77" s="4">
        <f>Data_Entry!V169</f>
        <v>0</v>
      </c>
      <c r="D77" s="5">
        <f t="shared" si="9"/>
        <v>0.121837411862298</v>
      </c>
      <c r="E77" s="6">
        <v>0</v>
      </c>
      <c r="F77" s="6">
        <v>0</v>
      </c>
      <c r="G77" s="7">
        <f t="shared" si="10"/>
        <v>0</v>
      </c>
      <c r="H77" s="7">
        <f t="shared" si="11"/>
        <v>0</v>
      </c>
      <c r="I77" s="8">
        <v>2411</v>
      </c>
      <c r="J77" s="9"/>
      <c r="K77" s="8">
        <f t="shared" si="12"/>
        <v>28932</v>
      </c>
      <c r="L77" s="7">
        <f t="shared" si="13"/>
        <v>0</v>
      </c>
      <c r="M77" s="10">
        <f t="shared" si="16"/>
        <v>1</v>
      </c>
      <c r="N77" s="11">
        <f t="shared" si="14"/>
        <v>0.121837411862298</v>
      </c>
      <c r="O77" s="8">
        <f t="shared" si="17"/>
        <v>7050.00000000004</v>
      </c>
      <c r="P77" s="12">
        <f t="shared" si="15"/>
        <v>0</v>
      </c>
    </row>
    <row r="78" spans="1:16">
      <c r="A78" s="2">
        <v>45915</v>
      </c>
      <c r="B78" s="3">
        <f>Data_Entry!T170</f>
        <v>11039.9999999998</v>
      </c>
      <c r="C78" s="4">
        <f>Data_Entry!V170</f>
        <v>0</v>
      </c>
      <c r="D78" s="5">
        <f t="shared" si="9"/>
        <v>0.19079220240563799</v>
      </c>
      <c r="E78" s="6">
        <v>0</v>
      </c>
      <c r="F78" s="6">
        <v>0</v>
      </c>
      <c r="G78" s="7">
        <f t="shared" si="10"/>
        <v>0</v>
      </c>
      <c r="H78" s="7">
        <f t="shared" si="11"/>
        <v>0</v>
      </c>
      <c r="I78" s="8">
        <v>2411</v>
      </c>
      <c r="J78" s="9"/>
      <c r="K78" s="8">
        <f t="shared" si="12"/>
        <v>28932</v>
      </c>
      <c r="L78" s="7">
        <f t="shared" si="13"/>
        <v>0</v>
      </c>
      <c r="M78" s="10">
        <f t="shared" si="16"/>
        <v>1</v>
      </c>
      <c r="N78" s="11">
        <f t="shared" si="14"/>
        <v>0.19079220240563799</v>
      </c>
      <c r="O78" s="8">
        <f t="shared" si="17"/>
        <v>11039.9999999998</v>
      </c>
      <c r="P78" s="12">
        <f t="shared" si="15"/>
        <v>0</v>
      </c>
    </row>
    <row r="79" spans="1:16">
      <c r="A79" s="2">
        <v>45916</v>
      </c>
      <c r="B79" s="3">
        <f>Data_Entry!T171</f>
        <v>11610</v>
      </c>
      <c r="C79" s="4">
        <f>Data_Entry!V171</f>
        <v>0</v>
      </c>
      <c r="D79" s="5">
        <f t="shared" si="9"/>
        <v>0.20064288676897499</v>
      </c>
      <c r="E79" s="6">
        <v>0</v>
      </c>
      <c r="F79" s="6">
        <v>0</v>
      </c>
      <c r="G79" s="7">
        <f t="shared" si="10"/>
        <v>0</v>
      </c>
      <c r="H79" s="7">
        <f t="shared" si="11"/>
        <v>0</v>
      </c>
      <c r="I79" s="8">
        <v>2411</v>
      </c>
      <c r="J79" s="9"/>
      <c r="K79" s="8">
        <f t="shared" si="12"/>
        <v>28932</v>
      </c>
      <c r="L79" s="7">
        <f t="shared" si="13"/>
        <v>0</v>
      </c>
      <c r="M79" s="10">
        <f t="shared" si="16"/>
        <v>1</v>
      </c>
      <c r="N79" s="11">
        <f t="shared" si="14"/>
        <v>0.20064288676897499</v>
      </c>
      <c r="O79" s="8">
        <f t="shared" si="17"/>
        <v>11610</v>
      </c>
      <c r="P79" s="12">
        <f t="shared" si="15"/>
        <v>0</v>
      </c>
    </row>
    <row r="80" spans="1:16">
      <c r="A80" s="2">
        <v>45917</v>
      </c>
      <c r="B80" s="3">
        <f>Data_Entry!T172</f>
        <v>11850.0000000001</v>
      </c>
      <c r="C80" s="4">
        <f>Data_Entry!V172</f>
        <v>0</v>
      </c>
      <c r="D80" s="5">
        <f t="shared" si="9"/>
        <v>0.204790543343013</v>
      </c>
      <c r="E80" s="6">
        <v>0</v>
      </c>
      <c r="F80" s="6">
        <v>0</v>
      </c>
      <c r="G80" s="7">
        <f t="shared" si="10"/>
        <v>0</v>
      </c>
      <c r="H80" s="7">
        <f t="shared" si="11"/>
        <v>0</v>
      </c>
      <c r="I80" s="8">
        <v>2411</v>
      </c>
      <c r="J80" s="9"/>
      <c r="K80" s="8">
        <f t="shared" si="12"/>
        <v>28932</v>
      </c>
      <c r="L80" s="7">
        <f t="shared" si="13"/>
        <v>0</v>
      </c>
      <c r="M80" s="10">
        <f t="shared" si="16"/>
        <v>1</v>
      </c>
      <c r="N80" s="11">
        <f t="shared" si="14"/>
        <v>0.204790543343013</v>
      </c>
      <c r="O80" s="8">
        <f t="shared" si="17"/>
        <v>11850.0000000001</v>
      </c>
      <c r="P80" s="12">
        <f t="shared" si="15"/>
        <v>0</v>
      </c>
    </row>
    <row r="81" spans="1:16">
      <c r="A81" s="2">
        <v>45918</v>
      </c>
      <c r="B81" s="3">
        <f>Data_Entry!T173</f>
        <v>10800</v>
      </c>
      <c r="C81" s="4">
        <f>Data_Entry!V173</f>
        <v>0</v>
      </c>
      <c r="D81" s="5">
        <f t="shared" si="9"/>
        <v>0.186644545831605</v>
      </c>
      <c r="E81" s="6">
        <v>0</v>
      </c>
      <c r="F81" s="6">
        <v>0</v>
      </c>
      <c r="G81" s="7">
        <f t="shared" si="10"/>
        <v>0</v>
      </c>
      <c r="H81" s="7">
        <f t="shared" si="11"/>
        <v>0</v>
      </c>
      <c r="I81" s="8">
        <v>2411</v>
      </c>
      <c r="J81" s="9"/>
      <c r="K81" s="8">
        <f t="shared" si="12"/>
        <v>28932</v>
      </c>
      <c r="L81" s="7">
        <f t="shared" si="13"/>
        <v>0</v>
      </c>
      <c r="M81" s="10">
        <f t="shared" si="16"/>
        <v>1</v>
      </c>
      <c r="N81" s="11">
        <f t="shared" si="14"/>
        <v>0.186644545831605</v>
      </c>
      <c r="O81" s="8">
        <f t="shared" si="17"/>
        <v>10800</v>
      </c>
      <c r="P81" s="12">
        <f t="shared" si="15"/>
        <v>0</v>
      </c>
    </row>
    <row r="82" spans="1:16">
      <c r="A82" s="2">
        <v>45919</v>
      </c>
      <c r="B82" s="3">
        <f>Data_Entry!T174</f>
        <v>11550</v>
      </c>
      <c r="C82" s="4">
        <f>Data_Entry!V174</f>
        <v>0</v>
      </c>
      <c r="D82" s="5">
        <f t="shared" si="9"/>
        <v>0.199605972625467</v>
      </c>
      <c r="E82" s="6">
        <v>0</v>
      </c>
      <c r="F82" s="6">
        <v>0</v>
      </c>
      <c r="G82" s="7">
        <f t="shared" si="10"/>
        <v>0</v>
      </c>
      <c r="H82" s="7">
        <f t="shared" si="11"/>
        <v>0</v>
      </c>
      <c r="I82" s="8">
        <v>2411</v>
      </c>
      <c r="J82" s="9"/>
      <c r="K82" s="8">
        <f t="shared" si="12"/>
        <v>28932</v>
      </c>
      <c r="L82" s="7">
        <f t="shared" si="13"/>
        <v>0</v>
      </c>
      <c r="M82" s="10">
        <f t="shared" si="16"/>
        <v>1</v>
      </c>
      <c r="N82" s="11">
        <f t="shared" si="14"/>
        <v>0.199605972625467</v>
      </c>
      <c r="O82" s="8">
        <f t="shared" si="17"/>
        <v>11550</v>
      </c>
      <c r="P82" s="12">
        <f t="shared" si="15"/>
        <v>0</v>
      </c>
    </row>
    <row r="83" spans="1:16">
      <c r="A83" s="2">
        <v>45920</v>
      </c>
      <c r="B83" s="3">
        <f>Data_Entry!T175</f>
        <v>10229.9999999999</v>
      </c>
      <c r="C83" s="4">
        <f>Data_Entry!V175</f>
        <v>0</v>
      </c>
      <c r="D83" s="5">
        <f t="shared" si="9"/>
        <v>0.176793861468268</v>
      </c>
      <c r="E83" s="6">
        <v>0</v>
      </c>
      <c r="F83" s="6">
        <v>0</v>
      </c>
      <c r="G83" s="7">
        <f t="shared" si="10"/>
        <v>0</v>
      </c>
      <c r="H83" s="7">
        <f t="shared" si="11"/>
        <v>0</v>
      </c>
      <c r="I83" s="8">
        <v>2411</v>
      </c>
      <c r="J83" s="9"/>
      <c r="K83" s="8">
        <f t="shared" si="12"/>
        <v>28932</v>
      </c>
      <c r="L83" s="7">
        <f t="shared" si="13"/>
        <v>0</v>
      </c>
      <c r="M83" s="10">
        <f t="shared" si="16"/>
        <v>1</v>
      </c>
      <c r="N83" s="11">
        <f t="shared" si="14"/>
        <v>0.176793861468268</v>
      </c>
      <c r="O83" s="8">
        <f t="shared" si="17"/>
        <v>10229.9999999999</v>
      </c>
      <c r="P83" s="12">
        <f t="shared" si="15"/>
        <v>0</v>
      </c>
    </row>
    <row r="84" spans="1:16">
      <c r="A84" s="2">
        <v>45921</v>
      </c>
      <c r="B84" s="3">
        <f>Data_Entry!T176</f>
        <v>9630.00000000008</v>
      </c>
      <c r="C84" s="4">
        <f>Data_Entry!V176</f>
        <v>0</v>
      </c>
      <c r="D84" s="5">
        <f t="shared" si="9"/>
        <v>0.16642472003318301</v>
      </c>
      <c r="E84" s="6">
        <v>0</v>
      </c>
      <c r="F84" s="6">
        <v>0</v>
      </c>
      <c r="G84" s="7">
        <f t="shared" si="10"/>
        <v>0</v>
      </c>
      <c r="H84" s="7">
        <f t="shared" si="11"/>
        <v>0</v>
      </c>
      <c r="I84" s="8">
        <v>2411</v>
      </c>
      <c r="J84" s="9"/>
      <c r="K84" s="8">
        <f t="shared" si="12"/>
        <v>28932</v>
      </c>
      <c r="L84" s="7">
        <f t="shared" si="13"/>
        <v>0</v>
      </c>
      <c r="M84" s="10">
        <f t="shared" si="16"/>
        <v>1</v>
      </c>
      <c r="N84" s="11">
        <f t="shared" si="14"/>
        <v>0.16642472003318301</v>
      </c>
      <c r="O84" s="8">
        <f t="shared" si="17"/>
        <v>9630.00000000008</v>
      </c>
      <c r="P84" s="12">
        <f t="shared" si="15"/>
        <v>0</v>
      </c>
    </row>
    <row r="85" spans="1:16">
      <c r="A85" s="2">
        <v>45922</v>
      </c>
      <c r="B85" s="3">
        <f>Data_Entry!T177</f>
        <v>7529.99999999995</v>
      </c>
      <c r="C85" s="4">
        <f>Data_Entry!V177</f>
        <v>0</v>
      </c>
      <c r="D85" s="5">
        <f t="shared" si="9"/>
        <v>0.13013272501036799</v>
      </c>
      <c r="E85" s="6">
        <v>0</v>
      </c>
      <c r="F85" s="6">
        <v>0</v>
      </c>
      <c r="G85" s="7">
        <f t="shared" si="10"/>
        <v>0</v>
      </c>
      <c r="H85" s="7">
        <f t="shared" si="11"/>
        <v>0</v>
      </c>
      <c r="I85" s="8">
        <v>2411</v>
      </c>
      <c r="J85" s="9"/>
      <c r="K85" s="8">
        <f t="shared" si="12"/>
        <v>28932</v>
      </c>
      <c r="L85" s="7">
        <f t="shared" si="13"/>
        <v>0</v>
      </c>
      <c r="M85" s="10">
        <f t="shared" si="16"/>
        <v>1</v>
      </c>
      <c r="N85" s="11">
        <f t="shared" si="14"/>
        <v>0.13013272501036799</v>
      </c>
      <c r="O85" s="8">
        <f t="shared" si="17"/>
        <v>7529.99999999995</v>
      </c>
      <c r="P85" s="12">
        <f t="shared" si="15"/>
        <v>0</v>
      </c>
    </row>
    <row r="86" spans="1:16">
      <c r="A86" s="2">
        <v>45923</v>
      </c>
      <c r="B86" s="3">
        <f>Data_Entry!T178</f>
        <v>9120.0000000002001</v>
      </c>
      <c r="C86" s="4">
        <f>Data_Entry!V178</f>
        <v>3.65</v>
      </c>
      <c r="D86" s="5">
        <f t="shared" si="9"/>
        <v>0.15761094981335899</v>
      </c>
      <c r="E86" s="6">
        <v>0</v>
      </c>
      <c r="F86" s="6">
        <v>0</v>
      </c>
      <c r="G86" s="7">
        <f t="shared" si="10"/>
        <v>0</v>
      </c>
      <c r="H86" s="7">
        <f t="shared" si="11"/>
        <v>0</v>
      </c>
      <c r="I86" s="8">
        <v>2411</v>
      </c>
      <c r="J86" s="9"/>
      <c r="K86" s="8">
        <f t="shared" si="12"/>
        <v>28932</v>
      </c>
      <c r="L86" s="7">
        <f t="shared" si="13"/>
        <v>0</v>
      </c>
      <c r="M86" s="10">
        <f t="shared" si="16"/>
        <v>1</v>
      </c>
      <c r="N86" s="11">
        <f t="shared" si="14"/>
        <v>0.15761094981335899</v>
      </c>
      <c r="O86" s="8">
        <f t="shared" si="17"/>
        <v>9120.0000000002001</v>
      </c>
      <c r="P86" s="12">
        <f t="shared" si="15"/>
        <v>0</v>
      </c>
    </row>
    <row r="87" spans="1:16">
      <c r="A87" s="2">
        <v>45924</v>
      </c>
      <c r="B87" s="3">
        <f>Data_Entry!T179</f>
        <v>5099.9999999997699</v>
      </c>
      <c r="C87" s="4">
        <f>Data_Entry!V179</f>
        <v>2.06</v>
      </c>
      <c r="D87" s="5">
        <f t="shared" si="9"/>
        <v>8.8137702198253995E-2</v>
      </c>
      <c r="E87" s="6">
        <v>0.29166666666666702</v>
      </c>
      <c r="F87" s="6">
        <v>0.52638888888888902</v>
      </c>
      <c r="G87" s="7">
        <f t="shared" si="10"/>
        <v>338</v>
      </c>
      <c r="H87" s="7">
        <f t="shared" si="11"/>
        <v>5.6333333333333302</v>
      </c>
      <c r="I87" s="8">
        <v>2411</v>
      </c>
      <c r="J87" s="9">
        <v>2411</v>
      </c>
      <c r="K87" s="8">
        <f t="shared" si="12"/>
        <v>28932</v>
      </c>
      <c r="L87" s="7">
        <f t="shared" si="13"/>
        <v>13581.9666666667</v>
      </c>
      <c r="M87" s="10">
        <f t="shared" si="16"/>
        <v>0.530555555555556</v>
      </c>
      <c r="N87" s="11">
        <f t="shared" si="14"/>
        <v>0.166123417755871</v>
      </c>
      <c r="O87" s="8">
        <f t="shared" si="17"/>
        <v>9612.5654450257407</v>
      </c>
      <c r="P87" s="12">
        <f t="shared" si="15"/>
        <v>4512.5654450259699</v>
      </c>
    </row>
    <row r="88" spans="1:16">
      <c r="A88" s="2">
        <v>45925</v>
      </c>
      <c r="B88" s="3">
        <f>Data_Entry!T180</f>
        <v>11010.0000000002</v>
      </c>
      <c r="C88" s="4">
        <f>Data_Entry!V180</f>
        <v>4.1100000000000003</v>
      </c>
      <c r="D88" s="5">
        <f t="shared" si="9"/>
        <v>0.19027374533388899</v>
      </c>
      <c r="E88" s="6">
        <v>0</v>
      </c>
      <c r="F88" s="6">
        <v>0</v>
      </c>
      <c r="G88" s="7">
        <f t="shared" si="10"/>
        <v>0</v>
      </c>
      <c r="H88" s="7">
        <f t="shared" si="11"/>
        <v>0</v>
      </c>
      <c r="I88" s="8">
        <v>2411</v>
      </c>
      <c r="J88" s="9"/>
      <c r="K88" s="8">
        <f t="shared" si="12"/>
        <v>28932</v>
      </c>
      <c r="L88" s="7">
        <f t="shared" si="13"/>
        <v>0</v>
      </c>
      <c r="M88" s="10">
        <f t="shared" si="16"/>
        <v>1</v>
      </c>
      <c r="N88" s="11">
        <f t="shared" si="14"/>
        <v>0.19027374533388899</v>
      </c>
      <c r="O88" s="8">
        <f t="shared" si="17"/>
        <v>11010.0000000002</v>
      </c>
      <c r="P88" s="12">
        <f t="shared" si="15"/>
        <v>0</v>
      </c>
    </row>
    <row r="89" spans="1:16">
      <c r="A89" s="2">
        <v>45926</v>
      </c>
      <c r="B89" s="3">
        <f>Data_Entry!T181</f>
        <v>11819.9999999998</v>
      </c>
      <c r="C89" s="4">
        <f>Data_Entry!V181</f>
        <v>4.82</v>
      </c>
      <c r="D89" s="5">
        <f t="shared" si="9"/>
        <v>0.20427208627125301</v>
      </c>
      <c r="E89" s="6">
        <v>0</v>
      </c>
      <c r="F89" s="6">
        <v>0</v>
      </c>
      <c r="G89" s="7">
        <f t="shared" si="10"/>
        <v>0</v>
      </c>
      <c r="H89" s="7">
        <f t="shared" si="11"/>
        <v>0</v>
      </c>
      <c r="I89" s="8">
        <v>2411</v>
      </c>
      <c r="J89" s="9"/>
      <c r="K89" s="8">
        <f t="shared" si="12"/>
        <v>28932</v>
      </c>
      <c r="L89" s="7">
        <f t="shared" si="13"/>
        <v>0</v>
      </c>
      <c r="M89" s="10">
        <f t="shared" si="16"/>
        <v>1</v>
      </c>
      <c r="N89" s="11">
        <f t="shared" si="14"/>
        <v>0.20427208627125301</v>
      </c>
      <c r="O89" s="8">
        <f t="shared" si="17"/>
        <v>11819.9999999998</v>
      </c>
      <c r="P89" s="12">
        <f t="shared" si="15"/>
        <v>0</v>
      </c>
    </row>
    <row r="90" spans="1:16">
      <c r="A90" s="2">
        <v>45927</v>
      </c>
      <c r="B90" s="3">
        <f>Data_Entry!T182</f>
        <v>10440</v>
      </c>
      <c r="C90" s="4">
        <f>Data_Entry!V182</f>
        <v>3.86</v>
      </c>
      <c r="D90" s="5">
        <f t="shared" si="9"/>
        <v>0.180423060970552</v>
      </c>
      <c r="E90" s="6">
        <v>0</v>
      </c>
      <c r="F90" s="6">
        <v>0</v>
      </c>
      <c r="G90" s="7">
        <f t="shared" si="10"/>
        <v>0</v>
      </c>
      <c r="H90" s="7">
        <f t="shared" si="11"/>
        <v>0</v>
      </c>
      <c r="I90" s="8">
        <v>2411</v>
      </c>
      <c r="J90" s="9"/>
      <c r="K90" s="8">
        <f t="shared" si="12"/>
        <v>28932</v>
      </c>
      <c r="L90" s="7">
        <f t="shared" si="13"/>
        <v>0</v>
      </c>
      <c r="M90" s="10">
        <f t="shared" si="16"/>
        <v>1</v>
      </c>
      <c r="N90" s="11">
        <f t="shared" si="14"/>
        <v>0.180423060970552</v>
      </c>
      <c r="O90" s="8">
        <f t="shared" si="17"/>
        <v>10440</v>
      </c>
      <c r="P90" s="12">
        <f t="shared" si="15"/>
        <v>0</v>
      </c>
    </row>
    <row r="91" spans="1:16">
      <c r="A91" s="2">
        <v>45928</v>
      </c>
      <c r="B91" s="3">
        <f>Data_Entry!T183</f>
        <v>4200.0000000002201</v>
      </c>
      <c r="C91" s="4">
        <f>Data_Entry!V183</f>
        <v>1.75</v>
      </c>
      <c r="D91" s="5">
        <f t="shared" si="9"/>
        <v>7.2583990045628002E-2</v>
      </c>
      <c r="E91" s="6">
        <v>0</v>
      </c>
      <c r="F91" s="6">
        <v>0</v>
      </c>
      <c r="G91" s="7">
        <f t="shared" si="10"/>
        <v>0</v>
      </c>
      <c r="H91" s="7">
        <f t="shared" si="11"/>
        <v>0</v>
      </c>
      <c r="I91" s="8">
        <v>2411</v>
      </c>
      <c r="J91" s="9"/>
      <c r="K91" s="8">
        <f t="shared" si="12"/>
        <v>28932</v>
      </c>
      <c r="L91" s="7">
        <f t="shared" si="13"/>
        <v>0</v>
      </c>
      <c r="M91" s="10">
        <f t="shared" si="16"/>
        <v>1</v>
      </c>
      <c r="N91" s="11">
        <f t="shared" si="14"/>
        <v>7.2583990045628002E-2</v>
      </c>
      <c r="O91" s="8">
        <f t="shared" si="17"/>
        <v>4200.0000000002201</v>
      </c>
      <c r="P91" s="12">
        <f t="shared" si="15"/>
        <v>0</v>
      </c>
    </row>
    <row r="92" spans="1:16">
      <c r="A92" s="2">
        <v>45929</v>
      </c>
      <c r="B92" s="3">
        <f>Data_Entry!T184</f>
        <v>3929.9999999998099</v>
      </c>
      <c r="C92" s="4">
        <f>Data_Entry!V184</f>
        <v>1.5</v>
      </c>
      <c r="D92" s="5">
        <f t="shared" si="9"/>
        <v>6.7917876399830795E-2</v>
      </c>
      <c r="E92" s="6">
        <v>0</v>
      </c>
      <c r="F92" s="6">
        <v>0</v>
      </c>
      <c r="G92" s="7">
        <f t="shared" si="10"/>
        <v>0</v>
      </c>
      <c r="H92" s="7">
        <f t="shared" si="11"/>
        <v>0</v>
      </c>
      <c r="I92" s="8">
        <v>2411</v>
      </c>
      <c r="J92" s="9"/>
      <c r="K92" s="8">
        <f t="shared" si="12"/>
        <v>28932</v>
      </c>
      <c r="L92" s="7">
        <f t="shared" si="13"/>
        <v>0</v>
      </c>
      <c r="M92" s="10">
        <f t="shared" si="16"/>
        <v>1</v>
      </c>
      <c r="N92" s="11">
        <f t="shared" si="14"/>
        <v>6.7917876399830795E-2</v>
      </c>
      <c r="O92" s="8">
        <f t="shared" si="17"/>
        <v>3929.9999999998099</v>
      </c>
      <c r="P92" s="12">
        <f t="shared" si="15"/>
        <v>0</v>
      </c>
    </row>
    <row r="93" spans="1:16">
      <c r="A93" s="2">
        <v>45930</v>
      </c>
      <c r="B93" s="3">
        <f>Data_Entry!T185</f>
        <v>3480.0000000002201</v>
      </c>
      <c r="C93" s="4">
        <f>Data_Entry!V185</f>
        <v>1.23</v>
      </c>
      <c r="D93" s="5">
        <f t="shared" si="9"/>
        <v>6.0141020323520998E-2</v>
      </c>
      <c r="E93" s="6">
        <v>0</v>
      </c>
      <c r="F93" s="6">
        <v>0</v>
      </c>
      <c r="G93" s="7">
        <f t="shared" si="10"/>
        <v>0</v>
      </c>
      <c r="H93" s="7">
        <f t="shared" si="11"/>
        <v>0</v>
      </c>
      <c r="I93" s="8">
        <v>2411</v>
      </c>
      <c r="J93" s="9"/>
      <c r="K93" s="8">
        <f t="shared" si="12"/>
        <v>28932</v>
      </c>
      <c r="L93" s="7">
        <f t="shared" si="13"/>
        <v>0</v>
      </c>
      <c r="M93" s="10">
        <f t="shared" si="16"/>
        <v>1</v>
      </c>
      <c r="N93" s="11">
        <f t="shared" si="14"/>
        <v>6.0141020323520998E-2</v>
      </c>
      <c r="O93" s="8">
        <f t="shared" si="17"/>
        <v>3480.0000000002201</v>
      </c>
      <c r="P93" s="12">
        <f t="shared" si="15"/>
        <v>0</v>
      </c>
    </row>
    <row r="94" spans="1:16">
      <c r="A94" s="2">
        <v>45931</v>
      </c>
      <c r="B94" s="3">
        <f>Data_Entry!T186</f>
        <v>4139.99999999996</v>
      </c>
      <c r="C94" s="4" t="str">
        <f>Data_Entry!V186</f>
        <v/>
      </c>
      <c r="D94" s="5">
        <f t="shared" si="9"/>
        <v>7.1547075902114607E-2</v>
      </c>
      <c r="E94" s="6">
        <v>0</v>
      </c>
      <c r="F94" s="6">
        <v>0</v>
      </c>
      <c r="G94" s="7">
        <f t="shared" si="10"/>
        <v>0</v>
      </c>
      <c r="H94" s="7">
        <f t="shared" si="11"/>
        <v>0</v>
      </c>
      <c r="I94" s="8">
        <v>2411</v>
      </c>
      <c r="J94" s="9"/>
      <c r="K94" s="8">
        <f t="shared" si="12"/>
        <v>28932</v>
      </c>
      <c r="L94" s="7">
        <f t="shared" si="13"/>
        <v>0</v>
      </c>
      <c r="M94" s="10">
        <f t="shared" si="16"/>
        <v>1</v>
      </c>
      <c r="N94" s="11">
        <f t="shared" si="14"/>
        <v>7.1547075902114607E-2</v>
      </c>
      <c r="O94" s="8">
        <f t="shared" si="17"/>
        <v>4139.99999999996</v>
      </c>
      <c r="P94" s="12">
        <f t="shared" si="15"/>
        <v>0</v>
      </c>
    </row>
    <row r="95" spans="1:16">
      <c r="A95" s="2">
        <v>45932</v>
      </c>
      <c r="B95" s="3">
        <f>Data_Entry!T187</f>
        <v>4889.99999999996</v>
      </c>
      <c r="C95" s="4">
        <f>Data_Entry!V187</f>
        <v>0</v>
      </c>
      <c r="D95" s="5">
        <f t="shared" si="9"/>
        <v>8.4508502695975998E-2</v>
      </c>
      <c r="E95" s="6">
        <v>0</v>
      </c>
      <c r="F95" s="6">
        <v>0</v>
      </c>
      <c r="G95" s="7">
        <f t="shared" si="10"/>
        <v>0</v>
      </c>
      <c r="H95" s="7">
        <f t="shared" si="11"/>
        <v>0</v>
      </c>
      <c r="I95" s="8">
        <v>2411</v>
      </c>
      <c r="J95" s="9"/>
      <c r="K95" s="8">
        <f t="shared" si="12"/>
        <v>28932</v>
      </c>
      <c r="L95" s="7">
        <f t="shared" si="13"/>
        <v>0</v>
      </c>
      <c r="M95" s="10">
        <f t="shared" si="16"/>
        <v>1</v>
      </c>
      <c r="N95" s="11">
        <f t="shared" si="14"/>
        <v>8.4508502695975998E-2</v>
      </c>
      <c r="O95" s="8">
        <f t="shared" si="17"/>
        <v>4889.99999999996</v>
      </c>
      <c r="P95" s="12">
        <f t="shared" si="15"/>
        <v>0</v>
      </c>
    </row>
    <row r="96" spans="1:16">
      <c r="A96" s="2">
        <v>45933</v>
      </c>
      <c r="B96" s="3">
        <f>Data_Entry!T188</f>
        <v>10830</v>
      </c>
      <c r="C96" s="4">
        <f>Data_Entry!V188</f>
        <v>4.33</v>
      </c>
      <c r="D96" s="5">
        <f t="shared" si="9"/>
        <v>0.18716300290335899</v>
      </c>
      <c r="E96" s="6">
        <v>0</v>
      </c>
      <c r="F96" s="6">
        <v>0</v>
      </c>
      <c r="G96" s="7">
        <f t="shared" si="10"/>
        <v>0</v>
      </c>
      <c r="H96" s="7">
        <f t="shared" si="11"/>
        <v>0</v>
      </c>
      <c r="I96" s="8">
        <v>2411</v>
      </c>
      <c r="J96" s="9"/>
      <c r="K96" s="8">
        <f t="shared" si="12"/>
        <v>28932</v>
      </c>
      <c r="L96" s="7">
        <f t="shared" si="13"/>
        <v>0</v>
      </c>
      <c r="M96" s="10">
        <f t="shared" si="16"/>
        <v>1</v>
      </c>
      <c r="N96" s="11">
        <f t="shared" si="14"/>
        <v>0.18716300290335899</v>
      </c>
      <c r="O96" s="8">
        <f t="shared" si="17"/>
        <v>10830</v>
      </c>
      <c r="P96" s="12">
        <f t="shared" si="15"/>
        <v>0</v>
      </c>
    </row>
    <row r="97" spans="1:19">
      <c r="A97" s="2">
        <v>45934</v>
      </c>
      <c r="B97" s="3">
        <f>Data_Entry!T189</f>
        <v>11910.0000000001</v>
      </c>
      <c r="C97" s="4" t="s">
        <v>263</v>
      </c>
      <c r="D97" s="5">
        <f t="shared" si="9"/>
        <v>0.20582745748652101</v>
      </c>
      <c r="E97" s="6">
        <v>0</v>
      </c>
      <c r="F97" s="6">
        <v>0</v>
      </c>
      <c r="G97" s="7">
        <f t="shared" si="10"/>
        <v>0</v>
      </c>
      <c r="H97" s="7">
        <f t="shared" si="11"/>
        <v>0</v>
      </c>
      <c r="I97" s="8">
        <v>2411</v>
      </c>
      <c r="J97" s="9"/>
      <c r="K97" s="8">
        <f t="shared" si="12"/>
        <v>28932</v>
      </c>
      <c r="L97" s="7">
        <f t="shared" si="13"/>
        <v>0</v>
      </c>
      <c r="M97" s="10">
        <f t="shared" si="16"/>
        <v>1</v>
      </c>
      <c r="N97" s="11">
        <f t="shared" si="14"/>
        <v>0.20582745748652101</v>
      </c>
      <c r="O97" s="8">
        <f t="shared" si="17"/>
        <v>11910.0000000001</v>
      </c>
      <c r="P97" s="12">
        <f t="shared" si="15"/>
        <v>0</v>
      </c>
    </row>
    <row r="98" spans="1:19">
      <c r="A98" s="2">
        <v>45935</v>
      </c>
      <c r="B98" s="3">
        <f>Data_Entry!T190</f>
        <v>12029.9999999999</v>
      </c>
      <c r="C98" s="4">
        <f>Data_Entry!V190</f>
        <v>4.5999999999999996</v>
      </c>
      <c r="D98" s="5">
        <f t="shared" si="9"/>
        <v>0.207901285773537</v>
      </c>
      <c r="E98" s="6">
        <v>0</v>
      </c>
      <c r="F98" s="6">
        <v>0</v>
      </c>
      <c r="G98" s="7">
        <f t="shared" si="10"/>
        <v>0</v>
      </c>
      <c r="H98" s="7">
        <f t="shared" si="11"/>
        <v>0</v>
      </c>
      <c r="I98" s="8">
        <v>2411</v>
      </c>
      <c r="J98" s="9"/>
      <c r="K98" s="8">
        <f t="shared" si="12"/>
        <v>28932</v>
      </c>
      <c r="L98" s="7">
        <f t="shared" si="13"/>
        <v>0</v>
      </c>
      <c r="M98" s="10">
        <f t="shared" si="16"/>
        <v>1</v>
      </c>
      <c r="N98" s="11">
        <f t="shared" si="14"/>
        <v>0.207901285773537</v>
      </c>
      <c r="O98" s="8">
        <f t="shared" si="17"/>
        <v>12029.9999999999</v>
      </c>
      <c r="P98" s="12">
        <f t="shared" si="15"/>
        <v>0</v>
      </c>
    </row>
    <row r="99" spans="1:19">
      <c r="A99" s="2">
        <v>45936</v>
      </c>
      <c r="B99" s="3">
        <f>Data_Entry!T191</f>
        <v>11970</v>
      </c>
      <c r="C99" s="4">
        <f>Data_Entry!V191</f>
        <v>4.83</v>
      </c>
      <c r="D99" s="5">
        <f t="shared" si="9"/>
        <v>0.20686437163002899</v>
      </c>
      <c r="E99" s="6">
        <v>0</v>
      </c>
      <c r="F99" s="6">
        <v>0</v>
      </c>
      <c r="G99" s="7">
        <f t="shared" si="10"/>
        <v>0</v>
      </c>
      <c r="H99" s="7">
        <f t="shared" si="11"/>
        <v>0</v>
      </c>
      <c r="I99" s="8">
        <v>2411</v>
      </c>
      <c r="J99" s="9"/>
      <c r="K99" s="8">
        <f t="shared" si="12"/>
        <v>28932</v>
      </c>
      <c r="L99" s="7">
        <f t="shared" si="13"/>
        <v>0</v>
      </c>
      <c r="M99" s="10">
        <f t="shared" si="16"/>
        <v>1</v>
      </c>
      <c r="N99" s="11">
        <f t="shared" si="14"/>
        <v>0.20686437163002899</v>
      </c>
      <c r="O99" s="8">
        <f t="shared" si="17"/>
        <v>11970</v>
      </c>
      <c r="P99" s="12">
        <f t="shared" si="15"/>
        <v>0</v>
      </c>
    </row>
    <row r="100" spans="1:19">
      <c r="A100" s="2">
        <v>45937</v>
      </c>
      <c r="B100" s="3">
        <f>Data_Entry!T192</f>
        <v>12720</v>
      </c>
      <c r="C100" s="4">
        <f>Data_Entry!V192</f>
        <v>5.09</v>
      </c>
      <c r="D100" s="5">
        <f t="shared" si="9"/>
        <v>0.21982579842389</v>
      </c>
      <c r="E100" s="6">
        <v>0</v>
      </c>
      <c r="F100" s="6">
        <v>0</v>
      </c>
      <c r="G100" s="7">
        <f t="shared" si="10"/>
        <v>0</v>
      </c>
      <c r="H100" s="7">
        <f t="shared" si="11"/>
        <v>0</v>
      </c>
      <c r="I100" s="8">
        <v>2411</v>
      </c>
      <c r="J100" s="9"/>
      <c r="K100" s="8">
        <f t="shared" si="12"/>
        <v>28932</v>
      </c>
      <c r="L100" s="7">
        <f t="shared" si="13"/>
        <v>0</v>
      </c>
      <c r="M100" s="10">
        <f t="shared" si="16"/>
        <v>1</v>
      </c>
      <c r="N100" s="11">
        <f t="shared" si="14"/>
        <v>0.21982579842389</v>
      </c>
      <c r="O100" s="8">
        <f t="shared" si="17"/>
        <v>12720</v>
      </c>
      <c r="P100" s="12">
        <f t="shared" si="15"/>
        <v>0</v>
      </c>
    </row>
    <row r="101" spans="1:19">
      <c r="A101" s="2">
        <v>45938</v>
      </c>
      <c r="B101" s="3">
        <f>Data_Entry!T193</f>
        <v>12779.9999999999</v>
      </c>
      <c r="C101" s="4">
        <f>Data_Entry!V193</f>
        <v>4.8499999999999996</v>
      </c>
      <c r="D101" s="5">
        <f t="shared" si="9"/>
        <v>0.22086271256739801</v>
      </c>
      <c r="E101" s="6">
        <v>0</v>
      </c>
      <c r="F101" s="6">
        <v>0</v>
      </c>
      <c r="G101" s="7">
        <f t="shared" si="10"/>
        <v>0</v>
      </c>
      <c r="H101" s="7">
        <f t="shared" si="11"/>
        <v>0</v>
      </c>
      <c r="I101" s="8">
        <v>2411</v>
      </c>
      <c r="J101" s="9"/>
      <c r="K101" s="8">
        <f t="shared" si="12"/>
        <v>28932</v>
      </c>
      <c r="L101" s="7">
        <f t="shared" si="13"/>
        <v>0</v>
      </c>
      <c r="M101" s="10">
        <f t="shared" si="16"/>
        <v>1</v>
      </c>
      <c r="N101" s="11">
        <f t="shared" si="14"/>
        <v>0.22086271256739801</v>
      </c>
      <c r="O101" s="8">
        <f t="shared" si="17"/>
        <v>12779.9999999999</v>
      </c>
      <c r="P101" s="12">
        <f t="shared" si="15"/>
        <v>0</v>
      </c>
    </row>
    <row r="102" spans="1:19">
      <c r="A102" s="2">
        <v>45939</v>
      </c>
      <c r="B102" s="3">
        <f>Data_Entry!T194</f>
        <v>12690</v>
      </c>
      <c r="C102" s="4">
        <f>Data_Entry!V194</f>
        <v>4.95</v>
      </c>
      <c r="D102" s="5">
        <f t="shared" si="9"/>
        <v>0.219307341352137</v>
      </c>
      <c r="E102" s="6">
        <v>0</v>
      </c>
      <c r="F102" s="6">
        <v>0</v>
      </c>
      <c r="G102" s="7">
        <f t="shared" si="10"/>
        <v>0</v>
      </c>
      <c r="H102" s="7">
        <f t="shared" si="11"/>
        <v>0</v>
      </c>
      <c r="I102" s="8">
        <v>2411</v>
      </c>
      <c r="J102" s="9"/>
      <c r="K102" s="8">
        <f t="shared" si="12"/>
        <v>28932</v>
      </c>
      <c r="L102" s="7">
        <f t="shared" si="13"/>
        <v>0</v>
      </c>
      <c r="M102" s="10">
        <f t="shared" si="16"/>
        <v>1</v>
      </c>
      <c r="N102" s="11">
        <f t="shared" si="14"/>
        <v>0.219307341352137</v>
      </c>
      <c r="O102" s="8">
        <f t="shared" si="17"/>
        <v>12690</v>
      </c>
      <c r="P102" s="12">
        <f t="shared" si="15"/>
        <v>0</v>
      </c>
    </row>
    <row r="103" spans="1:19">
      <c r="A103" s="2">
        <v>45940</v>
      </c>
      <c r="B103" s="3">
        <f>Data_Entry!T195</f>
        <v>12720</v>
      </c>
      <c r="C103" s="4">
        <f>Data_Entry!V195</f>
        <v>3.92</v>
      </c>
      <c r="D103" s="5">
        <f t="shared" si="9"/>
        <v>0.21982579842389</v>
      </c>
      <c r="E103" s="6">
        <v>0</v>
      </c>
      <c r="F103" s="6">
        <v>0</v>
      </c>
      <c r="G103" s="7">
        <f t="shared" si="10"/>
        <v>0</v>
      </c>
      <c r="H103" s="7">
        <f t="shared" si="11"/>
        <v>0</v>
      </c>
      <c r="I103" s="8">
        <v>2411</v>
      </c>
      <c r="J103" s="9"/>
      <c r="K103" s="8">
        <f t="shared" si="12"/>
        <v>28932</v>
      </c>
      <c r="L103" s="7">
        <f t="shared" si="13"/>
        <v>0</v>
      </c>
      <c r="M103" s="10">
        <f t="shared" si="16"/>
        <v>1</v>
      </c>
      <c r="N103" s="11">
        <f t="shared" si="14"/>
        <v>0.21982579842389</v>
      </c>
      <c r="O103" s="8">
        <f t="shared" si="17"/>
        <v>12720</v>
      </c>
      <c r="P103" s="12">
        <f t="shared" si="15"/>
        <v>0</v>
      </c>
    </row>
    <row r="104" spans="1:19">
      <c r="A104" s="2">
        <v>45941</v>
      </c>
      <c r="B104" s="3">
        <f>Data_Entry!T196</f>
        <v>12540.0000000002</v>
      </c>
      <c r="C104" s="4">
        <f>Data_Entry!V196</f>
        <v>3.47</v>
      </c>
      <c r="D104" s="5">
        <f t="shared" si="9"/>
        <v>0.21671505599336699</v>
      </c>
      <c r="E104" s="6">
        <v>0</v>
      </c>
      <c r="F104" s="6">
        <v>0</v>
      </c>
      <c r="G104" s="7">
        <f t="shared" si="10"/>
        <v>0</v>
      </c>
      <c r="H104" s="7">
        <f t="shared" si="11"/>
        <v>0</v>
      </c>
      <c r="I104" s="8">
        <v>2411</v>
      </c>
      <c r="J104" s="9"/>
      <c r="K104" s="8">
        <f t="shared" si="12"/>
        <v>28932</v>
      </c>
      <c r="L104" s="7">
        <f t="shared" si="13"/>
        <v>0</v>
      </c>
      <c r="M104" s="10">
        <f t="shared" si="16"/>
        <v>1</v>
      </c>
      <c r="N104" s="11">
        <f t="shared" si="14"/>
        <v>0.21671505599336699</v>
      </c>
      <c r="O104" s="8">
        <f t="shared" si="17"/>
        <v>12540.0000000002</v>
      </c>
      <c r="P104" s="12">
        <f t="shared" si="15"/>
        <v>0</v>
      </c>
      <c r="S104" t="s">
        <v>264</v>
      </c>
    </row>
    <row r="105" spans="1:19">
      <c r="A105" s="2">
        <v>45942</v>
      </c>
      <c r="B105" s="3">
        <f>Data_Entry!T197</f>
        <v>13110</v>
      </c>
      <c r="C105" s="4">
        <f>Data_Entry!V197</f>
        <v>3.56</v>
      </c>
      <c r="D105" s="5">
        <f t="shared" si="9"/>
        <v>0.22656574035669799</v>
      </c>
      <c r="E105" s="6">
        <v>0</v>
      </c>
      <c r="F105" s="6">
        <v>0</v>
      </c>
      <c r="G105" s="7">
        <f t="shared" si="10"/>
        <v>0</v>
      </c>
      <c r="H105" s="7">
        <f t="shared" si="11"/>
        <v>0</v>
      </c>
      <c r="I105" s="8">
        <v>2411</v>
      </c>
      <c r="J105" s="9"/>
      <c r="K105" s="8">
        <f t="shared" si="12"/>
        <v>28932</v>
      </c>
      <c r="L105" s="7">
        <f t="shared" si="13"/>
        <v>0</v>
      </c>
      <c r="M105" s="10">
        <f t="shared" si="16"/>
        <v>1</v>
      </c>
      <c r="N105" s="11">
        <f t="shared" si="14"/>
        <v>0.22656574035669799</v>
      </c>
      <c r="O105" s="8">
        <f t="shared" si="17"/>
        <v>13110</v>
      </c>
      <c r="P105" s="12">
        <f t="shared" si="15"/>
        <v>0</v>
      </c>
      <c r="S105" t="s">
        <v>265</v>
      </c>
    </row>
    <row r="106" spans="1:19">
      <c r="A106" s="2">
        <v>45943</v>
      </c>
      <c r="B106" s="3">
        <f>Data_Entry!T198</f>
        <v>13080</v>
      </c>
      <c r="C106" s="4" t="s">
        <v>43</v>
      </c>
      <c r="D106" s="5">
        <f t="shared" si="9"/>
        <v>0.226047283284944</v>
      </c>
      <c r="E106" s="6">
        <v>0</v>
      </c>
      <c r="F106" s="6">
        <v>0</v>
      </c>
      <c r="G106" s="7">
        <f t="shared" si="10"/>
        <v>0</v>
      </c>
      <c r="H106" s="7">
        <f t="shared" si="11"/>
        <v>0</v>
      </c>
      <c r="I106" s="8">
        <v>2411</v>
      </c>
      <c r="J106" s="9"/>
      <c r="K106" s="8">
        <f t="shared" si="12"/>
        <v>28932</v>
      </c>
      <c r="L106" s="7">
        <f t="shared" si="13"/>
        <v>0</v>
      </c>
      <c r="M106" s="10">
        <f t="shared" si="16"/>
        <v>1</v>
      </c>
      <c r="N106" s="11">
        <f t="shared" si="14"/>
        <v>0.226047283284944</v>
      </c>
      <c r="O106" s="8">
        <f t="shared" si="17"/>
        <v>13080</v>
      </c>
      <c r="P106" s="12">
        <f t="shared" si="15"/>
        <v>0</v>
      </c>
    </row>
    <row r="107" spans="1:19">
      <c r="A107" s="2">
        <v>45944</v>
      </c>
      <c r="B107" s="3">
        <f>Data_Entry!T199</f>
        <v>12390</v>
      </c>
      <c r="C107" s="4">
        <f>Data_Entry!V199</f>
        <v>3.55</v>
      </c>
      <c r="D107" s="5">
        <f t="shared" si="9"/>
        <v>0.21412277063459101</v>
      </c>
      <c r="E107" s="6">
        <v>0</v>
      </c>
      <c r="F107" s="6">
        <v>0</v>
      </c>
      <c r="G107" s="7">
        <f t="shared" si="10"/>
        <v>0</v>
      </c>
      <c r="H107" s="7">
        <f t="shared" si="11"/>
        <v>0</v>
      </c>
      <c r="I107" s="8">
        <v>2411</v>
      </c>
      <c r="J107" s="9"/>
      <c r="K107" s="8">
        <f t="shared" si="12"/>
        <v>28932</v>
      </c>
      <c r="L107" s="7">
        <f t="shared" si="13"/>
        <v>0</v>
      </c>
      <c r="M107" s="10">
        <f t="shared" si="16"/>
        <v>1</v>
      </c>
      <c r="N107" s="11">
        <f t="shared" si="14"/>
        <v>0.21412277063459101</v>
      </c>
      <c r="O107" s="8">
        <f t="shared" si="17"/>
        <v>12390</v>
      </c>
      <c r="P107" s="12">
        <f t="shared" si="15"/>
        <v>0</v>
      </c>
    </row>
    <row r="108" spans="1:19">
      <c r="A108" s="2">
        <v>45945</v>
      </c>
      <c r="B108" s="3">
        <f>Data_Entry!T200</f>
        <v>13110</v>
      </c>
      <c r="C108" s="4">
        <f>Data_Entry!V200</f>
        <v>3.55</v>
      </c>
      <c r="D108" s="5">
        <f t="shared" si="9"/>
        <v>0.22656574035669799</v>
      </c>
      <c r="E108" s="6">
        <v>0</v>
      </c>
      <c r="F108" s="6">
        <v>0</v>
      </c>
      <c r="G108" s="7">
        <f t="shared" si="10"/>
        <v>0</v>
      </c>
      <c r="H108" s="7">
        <f t="shared" si="11"/>
        <v>0</v>
      </c>
      <c r="I108" s="8">
        <v>2411</v>
      </c>
      <c r="J108" s="9"/>
      <c r="K108" s="8">
        <f t="shared" si="12"/>
        <v>28932</v>
      </c>
      <c r="L108" s="7">
        <f t="shared" si="13"/>
        <v>0</v>
      </c>
      <c r="M108" s="10">
        <f t="shared" si="16"/>
        <v>1</v>
      </c>
      <c r="N108" s="11">
        <f t="shared" si="14"/>
        <v>0.22656574035669799</v>
      </c>
      <c r="O108" s="8">
        <f t="shared" si="17"/>
        <v>13110</v>
      </c>
      <c r="P108" s="12">
        <f t="shared" si="15"/>
        <v>0</v>
      </c>
    </row>
    <row r="109" spans="1:19">
      <c r="A109" s="2">
        <v>45946</v>
      </c>
      <c r="B109" s="3">
        <f>Data_Entry!T201</f>
        <v>11069.9999999998</v>
      </c>
      <c r="C109" s="4">
        <f>Data_Entry!V201</f>
        <v>3.35</v>
      </c>
      <c r="D109" s="5">
        <f t="shared" si="9"/>
        <v>0.19131065947739101</v>
      </c>
      <c r="E109" s="6">
        <v>0</v>
      </c>
      <c r="F109" s="6">
        <v>0</v>
      </c>
      <c r="G109" s="7">
        <f t="shared" si="10"/>
        <v>0</v>
      </c>
      <c r="H109" s="7">
        <f t="shared" si="11"/>
        <v>0</v>
      </c>
      <c r="I109" s="8">
        <v>2411</v>
      </c>
      <c r="J109" s="9"/>
      <c r="K109" s="8">
        <f t="shared" si="12"/>
        <v>28932</v>
      </c>
      <c r="L109" s="7">
        <f t="shared" si="13"/>
        <v>0</v>
      </c>
      <c r="M109" s="10">
        <f t="shared" si="16"/>
        <v>1</v>
      </c>
      <c r="N109" s="11">
        <f t="shared" si="14"/>
        <v>0.19131065947739101</v>
      </c>
      <c r="O109" s="8">
        <f t="shared" si="17"/>
        <v>11069.9999999998</v>
      </c>
      <c r="P109" s="12">
        <f t="shared" si="15"/>
        <v>0</v>
      </c>
    </row>
    <row r="110" spans="1:19">
      <c r="A110" s="2">
        <v>45947</v>
      </c>
      <c r="B110" s="3">
        <f>Data_Entry!T202</f>
        <v>10380.0000000001</v>
      </c>
      <c r="C110" s="4">
        <f>Data_Entry!V202</f>
        <v>3.25</v>
      </c>
      <c r="D110" s="5">
        <f t="shared" si="9"/>
        <v>0.17938614682704401</v>
      </c>
      <c r="E110" s="6">
        <v>0</v>
      </c>
      <c r="F110" s="6">
        <v>0</v>
      </c>
      <c r="G110" s="7">
        <f t="shared" si="10"/>
        <v>0</v>
      </c>
      <c r="H110" s="7">
        <f t="shared" si="11"/>
        <v>0</v>
      </c>
      <c r="I110" s="8">
        <v>2411</v>
      </c>
      <c r="J110" s="9"/>
      <c r="K110" s="8">
        <f t="shared" si="12"/>
        <v>28932</v>
      </c>
      <c r="L110" s="7">
        <f t="shared" si="13"/>
        <v>0</v>
      </c>
      <c r="M110" s="10">
        <f t="shared" si="16"/>
        <v>1</v>
      </c>
      <c r="N110" s="11">
        <f t="shared" si="14"/>
        <v>0.17938614682704401</v>
      </c>
      <c r="O110" s="8">
        <f t="shared" si="17"/>
        <v>10380.0000000001</v>
      </c>
      <c r="P110" s="12">
        <f t="shared" si="15"/>
        <v>0</v>
      </c>
    </row>
    <row r="111" spans="1:19">
      <c r="A111" s="2">
        <v>45948</v>
      </c>
      <c r="B111" s="3">
        <f>Data_Entry!T203</f>
        <v>13080</v>
      </c>
      <c r="C111" s="4">
        <f>Data_Entry!V203</f>
        <v>3.95</v>
      </c>
      <c r="D111" s="5">
        <f t="shared" si="9"/>
        <v>0.226047283284944</v>
      </c>
      <c r="E111" s="6">
        <v>0</v>
      </c>
      <c r="F111" s="6">
        <v>0</v>
      </c>
      <c r="G111" s="7">
        <f t="shared" si="10"/>
        <v>0</v>
      </c>
      <c r="H111" s="7">
        <f t="shared" si="11"/>
        <v>0</v>
      </c>
      <c r="I111" s="8">
        <v>2411</v>
      </c>
      <c r="J111" s="9"/>
      <c r="K111" s="8">
        <f t="shared" si="12"/>
        <v>28932</v>
      </c>
      <c r="L111" s="7">
        <f t="shared" si="13"/>
        <v>0</v>
      </c>
      <c r="M111" s="10">
        <f t="shared" si="16"/>
        <v>1</v>
      </c>
      <c r="N111" s="11">
        <f t="shared" si="14"/>
        <v>0.226047283284944</v>
      </c>
      <c r="O111" s="8">
        <f t="shared" si="17"/>
        <v>13080</v>
      </c>
      <c r="P111" s="12">
        <f t="shared" si="15"/>
        <v>0</v>
      </c>
    </row>
    <row r="112" spans="1:19">
      <c r="A112" s="2">
        <v>45949</v>
      </c>
      <c r="B112" s="3">
        <f>Data_Entry!T204</f>
        <v>12600.0000000001</v>
      </c>
      <c r="C112" s="4">
        <f>Data_Entry!V204</f>
        <v>4.43</v>
      </c>
      <c r="D112" s="5">
        <f t="shared" si="9"/>
        <v>0.217751970136875</v>
      </c>
      <c r="E112" s="6">
        <v>0</v>
      </c>
      <c r="F112" s="6">
        <v>0</v>
      </c>
      <c r="G112" s="7">
        <f t="shared" si="10"/>
        <v>0</v>
      </c>
      <c r="H112" s="7">
        <f t="shared" si="11"/>
        <v>0</v>
      </c>
      <c r="I112" s="8">
        <v>2411</v>
      </c>
      <c r="J112" s="9"/>
      <c r="K112" s="8">
        <f t="shared" si="12"/>
        <v>28932</v>
      </c>
      <c r="L112" s="7">
        <f t="shared" si="13"/>
        <v>0</v>
      </c>
      <c r="M112" s="10">
        <f t="shared" si="16"/>
        <v>1</v>
      </c>
      <c r="N112" s="11">
        <f t="shared" si="14"/>
        <v>0.217751970136875</v>
      </c>
      <c r="O112" s="8">
        <f t="shared" si="17"/>
        <v>12600.0000000001</v>
      </c>
      <c r="P112" s="12">
        <f t="shared" si="15"/>
        <v>0</v>
      </c>
    </row>
    <row r="113" spans="1:16">
      <c r="A113" s="2">
        <v>45950</v>
      </c>
      <c r="B113" s="3">
        <f>Data_Entry!T205</f>
        <v>11550</v>
      </c>
      <c r="C113" s="4">
        <f>Data_Entry!V205</f>
        <v>4.1500000000000004</v>
      </c>
      <c r="D113" s="5">
        <f t="shared" si="9"/>
        <v>0.199605972625467</v>
      </c>
      <c r="E113" s="6">
        <v>0</v>
      </c>
      <c r="F113" s="6">
        <v>0</v>
      </c>
      <c r="G113" s="7">
        <f t="shared" si="10"/>
        <v>0</v>
      </c>
      <c r="H113" s="7">
        <f t="shared" si="11"/>
        <v>0</v>
      </c>
      <c r="I113" s="8">
        <v>2411</v>
      </c>
      <c r="J113" s="9"/>
      <c r="K113" s="8">
        <f t="shared" si="12"/>
        <v>28932</v>
      </c>
      <c r="L113" s="7">
        <f t="shared" si="13"/>
        <v>0</v>
      </c>
      <c r="M113" s="10">
        <f t="shared" si="16"/>
        <v>1</v>
      </c>
      <c r="N113" s="11">
        <f t="shared" si="14"/>
        <v>0.199605972625467</v>
      </c>
      <c r="O113" s="8">
        <f t="shared" si="17"/>
        <v>11550</v>
      </c>
      <c r="P113" s="12">
        <f t="shared" si="15"/>
        <v>0</v>
      </c>
    </row>
    <row r="114" spans="1:16">
      <c r="A114" s="2">
        <v>45951</v>
      </c>
      <c r="B114" s="3">
        <f>Data_Entry!T206</f>
        <v>10080</v>
      </c>
      <c r="C114" s="4">
        <f>Data_Entry!V206</f>
        <v>3.82</v>
      </c>
      <c r="D114" s="5">
        <f t="shared" si="9"/>
        <v>0.17420157610949799</v>
      </c>
      <c r="E114" s="6">
        <v>0</v>
      </c>
      <c r="F114" s="6">
        <v>0</v>
      </c>
      <c r="G114" s="7">
        <f t="shared" si="10"/>
        <v>0</v>
      </c>
      <c r="H114" s="7">
        <f t="shared" si="11"/>
        <v>0</v>
      </c>
      <c r="I114" s="8">
        <v>2411</v>
      </c>
      <c r="J114" s="9"/>
      <c r="K114" s="8">
        <f t="shared" si="12"/>
        <v>28932</v>
      </c>
      <c r="L114" s="7">
        <f t="shared" si="13"/>
        <v>0</v>
      </c>
      <c r="M114" s="10">
        <f t="shared" si="16"/>
        <v>1</v>
      </c>
      <c r="N114" s="11">
        <f t="shared" si="14"/>
        <v>0.17420157610949799</v>
      </c>
      <c r="O114" s="8">
        <f t="shared" si="17"/>
        <v>10080</v>
      </c>
      <c r="P114" s="12">
        <f t="shared" si="15"/>
        <v>0</v>
      </c>
    </row>
    <row r="115" spans="1:16">
      <c r="A115" s="2">
        <v>45952</v>
      </c>
      <c r="B115" s="3">
        <f>Data_Entry!T207</f>
        <v>10919.9999999999</v>
      </c>
      <c r="C115" s="4">
        <f>Data_Entry!V207</f>
        <v>4.22</v>
      </c>
      <c r="D115" s="5">
        <f t="shared" si="9"/>
        <v>0.188718374118622</v>
      </c>
      <c r="E115" s="6">
        <v>0</v>
      </c>
      <c r="F115" s="6">
        <v>0</v>
      </c>
      <c r="G115" s="7">
        <f t="shared" si="10"/>
        <v>0</v>
      </c>
      <c r="H115" s="7">
        <f t="shared" si="11"/>
        <v>0</v>
      </c>
      <c r="I115" s="8">
        <v>2411</v>
      </c>
      <c r="J115" s="9"/>
      <c r="K115" s="8">
        <f t="shared" si="12"/>
        <v>28932</v>
      </c>
      <c r="L115" s="7">
        <f t="shared" si="13"/>
        <v>0</v>
      </c>
      <c r="M115" s="10">
        <f t="shared" si="16"/>
        <v>1</v>
      </c>
      <c r="N115" s="11">
        <f t="shared" si="14"/>
        <v>0.188718374118622</v>
      </c>
      <c r="O115" s="8">
        <f t="shared" si="17"/>
        <v>10919.9999999999</v>
      </c>
      <c r="P115" s="12">
        <f t="shared" si="15"/>
        <v>0</v>
      </c>
    </row>
    <row r="116" spans="1:16">
      <c r="A116" s="2">
        <v>45953</v>
      </c>
      <c r="B116" s="3">
        <f>Data_Entry!T208</f>
        <v>9779.99999999992</v>
      </c>
      <c r="C116" s="4">
        <f>Data_Entry!V208</f>
        <v>3.88</v>
      </c>
      <c r="D116" s="5">
        <f t="shared" si="9"/>
        <v>0.169017005391952</v>
      </c>
      <c r="E116" s="6">
        <v>0</v>
      </c>
      <c r="F116" s="6">
        <v>0</v>
      </c>
      <c r="G116" s="7">
        <f t="shared" si="10"/>
        <v>0</v>
      </c>
      <c r="H116" s="7">
        <f t="shared" si="11"/>
        <v>0</v>
      </c>
      <c r="I116" s="8">
        <v>2411</v>
      </c>
      <c r="J116" s="9"/>
      <c r="K116" s="8">
        <f t="shared" si="12"/>
        <v>28932</v>
      </c>
      <c r="L116" s="7">
        <f t="shared" si="13"/>
        <v>0</v>
      </c>
      <c r="M116" s="10">
        <f t="shared" si="16"/>
        <v>1</v>
      </c>
      <c r="N116" s="11">
        <f t="shared" si="14"/>
        <v>0.169017005391952</v>
      </c>
      <c r="O116" s="8">
        <f t="shared" si="17"/>
        <v>9779.99999999992</v>
      </c>
      <c r="P116" s="12">
        <f t="shared" si="15"/>
        <v>0</v>
      </c>
    </row>
    <row r="117" spans="1:16">
      <c r="A117" s="2">
        <v>45954</v>
      </c>
      <c r="B117" s="3">
        <f>Data_Entry!T209</f>
        <v>9210.0000000001201</v>
      </c>
      <c r="C117" s="4">
        <f>Data_Entry!V209</f>
        <v>3.94</v>
      </c>
      <c r="D117" s="5">
        <f t="shared" si="9"/>
        <v>0.15916632102862099</v>
      </c>
      <c r="E117" s="6">
        <v>0</v>
      </c>
      <c r="F117" s="6">
        <v>0</v>
      </c>
      <c r="G117" s="7">
        <f t="shared" si="10"/>
        <v>0</v>
      </c>
      <c r="H117" s="7">
        <f t="shared" si="11"/>
        <v>0</v>
      </c>
      <c r="I117" s="8">
        <v>2411</v>
      </c>
      <c r="J117" s="9"/>
      <c r="K117" s="8">
        <f t="shared" si="12"/>
        <v>28932</v>
      </c>
      <c r="L117" s="7">
        <f t="shared" si="13"/>
        <v>0</v>
      </c>
      <c r="M117" s="10">
        <f t="shared" si="16"/>
        <v>1</v>
      </c>
      <c r="N117" s="11">
        <f t="shared" si="14"/>
        <v>0.15916632102862099</v>
      </c>
      <c r="O117" s="8">
        <f t="shared" si="17"/>
        <v>9210.0000000001201</v>
      </c>
      <c r="P117" s="12">
        <f t="shared" si="15"/>
        <v>0</v>
      </c>
    </row>
    <row r="118" spans="1:16">
      <c r="A118" s="2">
        <v>45955</v>
      </c>
      <c r="B118" s="3">
        <f>Data_Entry!T210</f>
        <v>8999.9999999999709</v>
      </c>
      <c r="C118" s="4">
        <f>Data_Entry!V210</f>
        <v>3.46</v>
      </c>
      <c r="D118" s="5">
        <f t="shared" si="9"/>
        <v>0.155537121526337</v>
      </c>
      <c r="E118" s="6">
        <v>0</v>
      </c>
      <c r="F118" s="6">
        <v>0</v>
      </c>
      <c r="G118" s="7">
        <f t="shared" si="10"/>
        <v>0</v>
      </c>
      <c r="H118" s="7">
        <f t="shared" si="11"/>
        <v>0</v>
      </c>
      <c r="I118" s="8">
        <v>2411</v>
      </c>
      <c r="J118" s="9"/>
      <c r="K118" s="8">
        <f t="shared" si="12"/>
        <v>28932</v>
      </c>
      <c r="L118" s="7">
        <f t="shared" si="13"/>
        <v>0</v>
      </c>
      <c r="M118" s="10">
        <f t="shared" si="16"/>
        <v>1</v>
      </c>
      <c r="N118" s="11">
        <f t="shared" si="14"/>
        <v>0.155537121526337</v>
      </c>
      <c r="O118" s="8">
        <f t="shared" si="17"/>
        <v>8999.9999999999709</v>
      </c>
      <c r="P118" s="12">
        <f t="shared" si="15"/>
        <v>0</v>
      </c>
    </row>
    <row r="119" spans="1:16">
      <c r="A119" s="2">
        <v>45956</v>
      </c>
      <c r="B119" s="3">
        <f>Data_Entry!T211</f>
        <v>1619.9999999998399</v>
      </c>
      <c r="C119" s="4">
        <f>Data_Entry!V211</f>
        <v>0.69</v>
      </c>
      <c r="D119" s="5">
        <f t="shared" si="9"/>
        <v>2.7996681874738E-2</v>
      </c>
      <c r="E119" s="6">
        <v>0</v>
      </c>
      <c r="F119" s="6">
        <v>0</v>
      </c>
      <c r="G119" s="7">
        <f t="shared" si="10"/>
        <v>0</v>
      </c>
      <c r="H119" s="7">
        <f t="shared" si="11"/>
        <v>0</v>
      </c>
      <c r="I119" s="8">
        <v>2411</v>
      </c>
      <c r="J119" s="9"/>
      <c r="K119" s="8">
        <f t="shared" si="12"/>
        <v>28932</v>
      </c>
      <c r="L119" s="7">
        <f t="shared" si="13"/>
        <v>0</v>
      </c>
      <c r="M119" s="10">
        <f t="shared" si="16"/>
        <v>1</v>
      </c>
      <c r="N119" s="11">
        <f t="shared" si="14"/>
        <v>2.7996681874738E-2</v>
      </c>
      <c r="O119" s="8">
        <f t="shared" si="17"/>
        <v>1619.9999999998399</v>
      </c>
      <c r="P119" s="12">
        <f t="shared" si="15"/>
        <v>0</v>
      </c>
    </row>
    <row r="120" spans="1:16">
      <c r="A120" s="2">
        <v>45957</v>
      </c>
      <c r="B120" s="3">
        <f>Data_Entry!T212</f>
        <v>3570.0000000001401</v>
      </c>
      <c r="C120" s="4">
        <f>Data_Entry!V212</f>
        <v>1.36</v>
      </c>
      <c r="D120" s="5">
        <f t="shared" si="9"/>
        <v>6.1696391538783001E-2</v>
      </c>
      <c r="E120" s="6">
        <v>0</v>
      </c>
      <c r="F120" s="6">
        <v>0</v>
      </c>
      <c r="G120" s="7">
        <f t="shared" si="10"/>
        <v>0</v>
      </c>
      <c r="H120" s="7">
        <f t="shared" si="11"/>
        <v>0</v>
      </c>
      <c r="I120" s="8">
        <v>2411</v>
      </c>
      <c r="J120" s="9"/>
      <c r="K120" s="8">
        <f t="shared" si="12"/>
        <v>28932</v>
      </c>
      <c r="L120" s="7">
        <f t="shared" si="13"/>
        <v>0</v>
      </c>
      <c r="M120" s="10">
        <f t="shared" si="16"/>
        <v>1</v>
      </c>
      <c r="N120" s="11">
        <f t="shared" si="14"/>
        <v>6.1696391538783001E-2</v>
      </c>
      <c r="O120" s="8">
        <f t="shared" si="17"/>
        <v>3570.0000000001401</v>
      </c>
      <c r="P120" s="12">
        <f t="shared" si="15"/>
        <v>0</v>
      </c>
    </row>
    <row r="121" spans="1:16">
      <c r="A121" s="2">
        <v>45958</v>
      </c>
      <c r="B121" s="3">
        <f>Data_Entry!T213</f>
        <v>1529.99999999994</v>
      </c>
      <c r="C121" s="4">
        <f>Data_Entry!V213</f>
        <v>0.56000000000000005</v>
      </c>
      <c r="D121" s="5">
        <f t="shared" si="9"/>
        <v>2.64413106594764E-2</v>
      </c>
      <c r="E121" s="6">
        <v>0</v>
      </c>
      <c r="F121" s="6">
        <v>0</v>
      </c>
      <c r="G121" s="7">
        <f t="shared" si="10"/>
        <v>0</v>
      </c>
      <c r="H121" s="7">
        <f t="shared" si="11"/>
        <v>0</v>
      </c>
      <c r="I121" s="8">
        <v>2411</v>
      </c>
      <c r="J121" s="9"/>
      <c r="K121" s="8">
        <f t="shared" si="12"/>
        <v>28932</v>
      </c>
      <c r="L121" s="7">
        <f t="shared" si="13"/>
        <v>0</v>
      </c>
      <c r="M121" s="10">
        <f t="shared" si="16"/>
        <v>1</v>
      </c>
      <c r="N121" s="11">
        <f t="shared" si="14"/>
        <v>2.64413106594764E-2</v>
      </c>
      <c r="O121" s="8">
        <f t="shared" si="17"/>
        <v>1529.99999999994</v>
      </c>
      <c r="P121" s="12">
        <f t="shared" si="15"/>
        <v>0</v>
      </c>
    </row>
    <row r="122" spans="1:16">
      <c r="A122" s="2">
        <v>45959</v>
      </c>
      <c r="B122" s="3">
        <f>Data_Entry!T214</f>
        <v>3240.0000000001</v>
      </c>
      <c r="C122" s="4">
        <f>Data_Entry!V214</f>
        <v>1.34</v>
      </c>
      <c r="D122" s="5">
        <f t="shared" si="9"/>
        <v>5.5993363749483202E-2</v>
      </c>
      <c r="E122" s="6">
        <v>0</v>
      </c>
      <c r="F122" s="6">
        <v>0</v>
      </c>
      <c r="G122" s="7">
        <f t="shared" si="10"/>
        <v>0</v>
      </c>
      <c r="H122" s="7">
        <f t="shared" si="11"/>
        <v>0</v>
      </c>
      <c r="I122" s="8">
        <v>2411</v>
      </c>
      <c r="J122" s="9"/>
      <c r="K122" s="8">
        <f t="shared" si="12"/>
        <v>28932</v>
      </c>
      <c r="L122" s="7">
        <f t="shared" si="13"/>
        <v>0</v>
      </c>
      <c r="M122" s="10">
        <f t="shared" si="16"/>
        <v>1</v>
      </c>
      <c r="N122" s="11">
        <f t="shared" si="14"/>
        <v>5.5993363749483202E-2</v>
      </c>
      <c r="O122" s="8">
        <f t="shared" si="17"/>
        <v>3240.0000000001</v>
      </c>
      <c r="P122" s="12">
        <f t="shared" si="15"/>
        <v>0</v>
      </c>
    </row>
    <row r="123" spans="1:16">
      <c r="A123" s="2">
        <v>45960</v>
      </c>
      <c r="B123" s="3">
        <f>Data_Entry!T215</f>
        <v>4080.00000000001</v>
      </c>
      <c r="C123" s="4">
        <f>Data_Entry!V215</f>
        <v>1.62</v>
      </c>
      <c r="D123" s="5">
        <f t="shared" si="9"/>
        <v>7.0510161758606596E-2</v>
      </c>
      <c r="E123" s="6">
        <v>0</v>
      </c>
      <c r="F123" s="6">
        <v>0</v>
      </c>
      <c r="G123" s="7">
        <f t="shared" si="10"/>
        <v>0</v>
      </c>
      <c r="H123" s="7">
        <f t="shared" si="11"/>
        <v>0</v>
      </c>
      <c r="I123" s="8">
        <v>2411</v>
      </c>
      <c r="J123" s="9"/>
      <c r="K123" s="8">
        <f t="shared" si="12"/>
        <v>28932</v>
      </c>
      <c r="L123" s="7">
        <f t="shared" si="13"/>
        <v>0</v>
      </c>
      <c r="M123" s="10">
        <f t="shared" si="16"/>
        <v>1</v>
      </c>
      <c r="N123" s="11">
        <f t="shared" si="14"/>
        <v>7.0510161758606596E-2</v>
      </c>
      <c r="O123" s="8">
        <f t="shared" si="17"/>
        <v>4080.00000000001</v>
      </c>
      <c r="P123" s="12">
        <f t="shared" si="15"/>
        <v>0</v>
      </c>
    </row>
    <row r="124" spans="1:16">
      <c r="A124" s="2">
        <v>45961</v>
      </c>
      <c r="B124" s="3">
        <f>Data_Entry!T216</f>
        <v>3899.9999999998399</v>
      </c>
      <c r="C124" s="4">
        <f>Data_Entry!V216</f>
        <v>1.47</v>
      </c>
      <c r="D124" s="5">
        <f t="shared" si="9"/>
        <v>6.7399419328076804E-2</v>
      </c>
      <c r="E124" s="6">
        <v>0</v>
      </c>
      <c r="F124" s="6">
        <v>0</v>
      </c>
      <c r="G124" s="7">
        <f t="shared" si="10"/>
        <v>0</v>
      </c>
      <c r="H124" s="7">
        <f t="shared" si="11"/>
        <v>0</v>
      </c>
      <c r="I124" s="8">
        <v>2411</v>
      </c>
      <c r="J124" s="9"/>
      <c r="K124" s="8">
        <f t="shared" si="12"/>
        <v>28932</v>
      </c>
      <c r="L124" s="7">
        <f t="shared" si="13"/>
        <v>0</v>
      </c>
      <c r="M124" s="10">
        <f t="shared" si="16"/>
        <v>1</v>
      </c>
      <c r="N124" s="11">
        <f t="shared" si="14"/>
        <v>6.7399419328076804E-2</v>
      </c>
      <c r="O124" s="8">
        <f t="shared" si="17"/>
        <v>3899.9999999998399</v>
      </c>
      <c r="P124" s="12">
        <f t="shared" si="15"/>
        <v>0</v>
      </c>
    </row>
    <row r="125" spans="1:16">
      <c r="A125" s="2">
        <v>45962</v>
      </c>
      <c r="B125" s="3">
        <f>Data_Entry!T217</f>
        <v>6504.0000000002801</v>
      </c>
      <c r="C125" s="4">
        <f>Data_Entry!V217</f>
        <v>2.54</v>
      </c>
      <c r="D125" s="5">
        <f t="shared" si="9"/>
        <v>0.112401493156371</v>
      </c>
      <c r="E125" s="6">
        <v>0</v>
      </c>
      <c r="F125" s="6">
        <v>0</v>
      </c>
      <c r="G125" s="7">
        <f t="shared" si="10"/>
        <v>0</v>
      </c>
      <c r="H125" s="7">
        <f t="shared" si="11"/>
        <v>0</v>
      </c>
      <c r="I125" s="8">
        <v>2411</v>
      </c>
      <c r="J125" s="9"/>
      <c r="K125" s="8">
        <f t="shared" si="12"/>
        <v>28932</v>
      </c>
      <c r="L125" s="7">
        <f t="shared" si="13"/>
        <v>0</v>
      </c>
      <c r="M125" s="10">
        <f t="shared" si="16"/>
        <v>1</v>
      </c>
      <c r="N125" s="11">
        <f t="shared" si="14"/>
        <v>0.112401493156371</v>
      </c>
      <c r="O125" s="8">
        <f t="shared" si="17"/>
        <v>6504.0000000002801</v>
      </c>
      <c r="P125" s="12">
        <f t="shared" si="15"/>
        <v>0</v>
      </c>
    </row>
    <row r="126" spans="1:16">
      <c r="A126" s="2">
        <v>45963</v>
      </c>
      <c r="B126" s="3">
        <f>Data_Entry!T218</f>
        <v>7715.99999999998</v>
      </c>
      <c r="C126" s="4">
        <f>Data_Entry!V218</f>
        <v>3.05</v>
      </c>
      <c r="D126" s="5">
        <f t="shared" si="9"/>
        <v>0.13334715885524601</v>
      </c>
      <c r="E126" s="6">
        <v>0</v>
      </c>
      <c r="F126" s="6">
        <v>0</v>
      </c>
      <c r="G126" s="7">
        <f t="shared" si="10"/>
        <v>0</v>
      </c>
      <c r="H126" s="7">
        <f t="shared" si="11"/>
        <v>0</v>
      </c>
      <c r="I126" s="8">
        <v>2411</v>
      </c>
      <c r="J126" s="9"/>
      <c r="K126" s="8">
        <f t="shared" si="12"/>
        <v>28932</v>
      </c>
      <c r="L126" s="7">
        <f t="shared" si="13"/>
        <v>0</v>
      </c>
      <c r="M126" s="10">
        <f t="shared" si="16"/>
        <v>1</v>
      </c>
      <c r="N126" s="11">
        <f t="shared" si="14"/>
        <v>0.13334715885524601</v>
      </c>
      <c r="O126" s="8">
        <f t="shared" si="17"/>
        <v>7715.99999999998</v>
      </c>
      <c r="P126" s="12">
        <f t="shared" si="15"/>
        <v>0</v>
      </c>
    </row>
    <row r="127" spans="1:16">
      <c r="A127" s="2">
        <v>45964</v>
      </c>
      <c r="B127" s="3">
        <f>Data_Entry!T219</f>
        <v>11099.9999999998</v>
      </c>
      <c r="C127" s="4">
        <f>Data_Entry!V219</f>
        <v>4.05</v>
      </c>
      <c r="D127" s="5">
        <f t="shared" si="9"/>
        <v>0.191829116549146</v>
      </c>
      <c r="E127" s="6">
        <v>0</v>
      </c>
      <c r="F127" s="6">
        <v>0</v>
      </c>
      <c r="G127" s="7">
        <f t="shared" si="10"/>
        <v>0</v>
      </c>
      <c r="H127" s="7">
        <f t="shared" si="11"/>
        <v>0</v>
      </c>
      <c r="I127" s="8">
        <v>2411</v>
      </c>
      <c r="J127" s="9"/>
      <c r="K127" s="8">
        <f t="shared" si="12"/>
        <v>28932</v>
      </c>
      <c r="L127" s="7">
        <f t="shared" si="13"/>
        <v>0</v>
      </c>
      <c r="M127" s="10">
        <f t="shared" si="16"/>
        <v>1</v>
      </c>
      <c r="N127" s="11">
        <f t="shared" si="14"/>
        <v>0.191829116549146</v>
      </c>
      <c r="O127" s="8">
        <f t="shared" si="17"/>
        <v>11099.9999999998</v>
      </c>
      <c r="P127" s="12">
        <f t="shared" si="15"/>
        <v>0</v>
      </c>
    </row>
    <row r="128" spans="1:16">
      <c r="A128" s="2">
        <v>45965</v>
      </c>
      <c r="B128" s="3">
        <f>Data_Entry!T220</f>
        <v>11490.0000000001</v>
      </c>
      <c r="C128" s="4">
        <f>Data_Entry!V220</f>
        <v>3.87</v>
      </c>
      <c r="D128" s="5">
        <f t="shared" si="9"/>
        <v>0.19856905848195899</v>
      </c>
      <c r="E128" s="6">
        <v>0</v>
      </c>
      <c r="F128" s="6">
        <v>0</v>
      </c>
      <c r="G128" s="7">
        <f t="shared" si="10"/>
        <v>0</v>
      </c>
      <c r="H128" s="7">
        <f t="shared" si="11"/>
        <v>0</v>
      </c>
      <c r="I128" s="8">
        <v>2411</v>
      </c>
      <c r="J128" s="9"/>
      <c r="K128" s="8">
        <f t="shared" si="12"/>
        <v>28932</v>
      </c>
      <c r="L128" s="7">
        <f t="shared" si="13"/>
        <v>0</v>
      </c>
      <c r="M128" s="10">
        <f t="shared" si="16"/>
        <v>1</v>
      </c>
      <c r="N128" s="11">
        <f t="shared" si="14"/>
        <v>0.19856905848195899</v>
      </c>
      <c r="O128" s="8">
        <f t="shared" si="17"/>
        <v>11490.0000000001</v>
      </c>
      <c r="P128" s="12">
        <f t="shared" si="15"/>
        <v>0</v>
      </c>
    </row>
    <row r="129" spans="1:16">
      <c r="A129" s="2">
        <v>45966</v>
      </c>
      <c r="B129" s="3">
        <f>Data_Entry!T221</f>
        <v>12449.9999999999</v>
      </c>
      <c r="C129" s="4">
        <f>Data_Entry!V221</f>
        <v>4.47</v>
      </c>
      <c r="D129" s="5">
        <f t="shared" si="9"/>
        <v>0.21515968477809899</v>
      </c>
      <c r="E129" s="6">
        <v>0</v>
      </c>
      <c r="F129" s="6">
        <v>0</v>
      </c>
      <c r="G129" s="7">
        <f t="shared" si="10"/>
        <v>0</v>
      </c>
      <c r="H129" s="7">
        <f t="shared" si="11"/>
        <v>0</v>
      </c>
      <c r="I129" s="8">
        <v>2411</v>
      </c>
      <c r="J129" s="9"/>
      <c r="K129" s="8">
        <f t="shared" si="12"/>
        <v>28932</v>
      </c>
      <c r="L129" s="7">
        <f t="shared" si="13"/>
        <v>0</v>
      </c>
      <c r="M129" s="10">
        <f t="shared" si="16"/>
        <v>1</v>
      </c>
      <c r="N129" s="11">
        <f t="shared" si="14"/>
        <v>0.21515968477809899</v>
      </c>
      <c r="O129" s="8">
        <f t="shared" si="17"/>
        <v>12449.9999999999</v>
      </c>
      <c r="P129" s="12">
        <f t="shared" si="15"/>
        <v>0</v>
      </c>
    </row>
    <row r="130" spans="1:16">
      <c r="A130" s="2">
        <v>45967</v>
      </c>
      <c r="B130" s="3">
        <f>Data_Entry!T222</f>
        <v>12360</v>
      </c>
      <c r="C130" s="4">
        <f>Data_Entry!V222</f>
        <v>4.3899999999999997</v>
      </c>
      <c r="D130" s="5">
        <f t="shared" ref="D130:D193" si="18">B130/(24*I130)</f>
        <v>0.21360431356283699</v>
      </c>
      <c r="E130" s="6">
        <v>0</v>
      </c>
      <c r="F130" s="6">
        <v>0</v>
      </c>
      <c r="G130" s="7">
        <f t="shared" ref="G130:G193" si="19">(F130-E130)*24*60</f>
        <v>0</v>
      </c>
      <c r="H130" s="7">
        <f t="shared" ref="H130:H193" si="20">G130/60</f>
        <v>0</v>
      </c>
      <c r="I130" s="8">
        <v>2411</v>
      </c>
      <c r="J130" s="9"/>
      <c r="K130" s="8">
        <f t="shared" ref="K130:K193" si="21">I130*12</f>
        <v>28932</v>
      </c>
      <c r="L130" s="7">
        <f t="shared" ref="L130:L193" si="22">J130*H130</f>
        <v>0</v>
      </c>
      <c r="M130" s="10">
        <f t="shared" si="16"/>
        <v>1</v>
      </c>
      <c r="N130" s="11">
        <f t="shared" ref="N130:N193" si="23">D130/M130</f>
        <v>0.21360431356283699</v>
      </c>
      <c r="O130" s="8">
        <f t="shared" si="17"/>
        <v>12360</v>
      </c>
      <c r="P130" s="12">
        <f t="shared" ref="P130:P193" si="24">O130-B130</f>
        <v>0</v>
      </c>
    </row>
    <row r="131" spans="1:16">
      <c r="A131" s="2">
        <v>45968</v>
      </c>
      <c r="B131" s="3">
        <f>Data_Entry!T223</f>
        <v>11880.0000000001</v>
      </c>
      <c r="C131" s="4">
        <f>Data_Entry!V223</f>
        <v>4.2699999999999996</v>
      </c>
      <c r="D131" s="5">
        <f t="shared" si="18"/>
        <v>0.20530900041476699</v>
      </c>
      <c r="E131" s="6">
        <v>0</v>
      </c>
      <c r="F131" s="6">
        <v>0</v>
      </c>
      <c r="G131" s="7">
        <f t="shared" si="19"/>
        <v>0</v>
      </c>
      <c r="H131" s="7">
        <f t="shared" si="20"/>
        <v>0</v>
      </c>
      <c r="I131" s="8">
        <v>2411</v>
      </c>
      <c r="J131" s="9"/>
      <c r="K131" s="8">
        <f t="shared" si="21"/>
        <v>28932</v>
      </c>
      <c r="L131" s="7">
        <f t="shared" si="22"/>
        <v>0</v>
      </c>
      <c r="M131" s="10">
        <f t="shared" ref="M131:M194" si="25">(K131-L131)/K131</f>
        <v>1</v>
      </c>
      <c r="N131" s="11">
        <f t="shared" si="23"/>
        <v>0.20530900041476699</v>
      </c>
      <c r="O131" s="8">
        <f t="shared" ref="O131:O194" si="26">N131*I131*24</f>
        <v>11880.0000000001</v>
      </c>
      <c r="P131" s="12">
        <f t="shared" si="24"/>
        <v>0</v>
      </c>
    </row>
    <row r="132" spans="1:16">
      <c r="A132" s="2">
        <v>45969</v>
      </c>
      <c r="B132" s="3">
        <f>Data_Entry!T224</f>
        <v>12419.9999999999</v>
      </c>
      <c r="C132" s="4">
        <f>Data_Entry!V224</f>
        <v>4.47</v>
      </c>
      <c r="D132" s="5">
        <f t="shared" si="18"/>
        <v>0.214641227706345</v>
      </c>
      <c r="E132" s="6">
        <v>0</v>
      </c>
      <c r="F132" s="6">
        <v>0</v>
      </c>
      <c r="G132" s="7">
        <f t="shared" si="19"/>
        <v>0</v>
      </c>
      <c r="H132" s="7">
        <f t="shared" si="20"/>
        <v>0</v>
      </c>
      <c r="I132" s="8">
        <v>2411</v>
      </c>
      <c r="J132" s="9"/>
      <c r="K132" s="8">
        <f t="shared" si="21"/>
        <v>28932</v>
      </c>
      <c r="L132" s="7">
        <f t="shared" si="22"/>
        <v>0</v>
      </c>
      <c r="M132" s="10">
        <f t="shared" si="25"/>
        <v>1</v>
      </c>
      <c r="N132" s="11">
        <f t="shared" si="23"/>
        <v>0.214641227706345</v>
      </c>
      <c r="O132" s="8">
        <f t="shared" si="26"/>
        <v>12419.9999999999</v>
      </c>
      <c r="P132" s="12">
        <f t="shared" si="24"/>
        <v>0</v>
      </c>
    </row>
    <row r="133" spans="1:16">
      <c r="A133" s="2">
        <v>45970</v>
      </c>
      <c r="B133" s="3">
        <f>Data_Entry!T225</f>
        <v>12180.0000000001</v>
      </c>
      <c r="C133" s="4">
        <f>Data_Entry!V225</f>
        <v>4.46</v>
      </c>
      <c r="D133" s="5">
        <f t="shared" si="18"/>
        <v>0.21049357113231201</v>
      </c>
      <c r="E133" s="6">
        <v>0</v>
      </c>
      <c r="F133" s="6">
        <v>0</v>
      </c>
      <c r="G133" s="7">
        <f t="shared" si="19"/>
        <v>0</v>
      </c>
      <c r="H133" s="7">
        <f t="shared" si="20"/>
        <v>0</v>
      </c>
      <c r="I133" s="8">
        <v>2411</v>
      </c>
      <c r="J133" s="9"/>
      <c r="K133" s="8">
        <f t="shared" si="21"/>
        <v>28932</v>
      </c>
      <c r="L133" s="7">
        <f t="shared" si="22"/>
        <v>0</v>
      </c>
      <c r="M133" s="10">
        <f t="shared" si="25"/>
        <v>1</v>
      </c>
      <c r="N133" s="11">
        <f t="shared" si="23"/>
        <v>0.21049357113231201</v>
      </c>
      <c r="O133" s="8">
        <f t="shared" si="26"/>
        <v>12180.0000000001</v>
      </c>
      <c r="P133" s="12">
        <f t="shared" si="24"/>
        <v>0</v>
      </c>
    </row>
    <row r="134" spans="1:16">
      <c r="A134" s="2">
        <v>45971</v>
      </c>
      <c r="B134" s="3">
        <f>Data_Entry!T226</f>
        <v>12180.0000000001</v>
      </c>
      <c r="C134" s="4">
        <f>Data_Entry!V226</f>
        <v>4.43</v>
      </c>
      <c r="D134" s="5">
        <f t="shared" si="18"/>
        <v>0.21049357113231301</v>
      </c>
      <c r="E134" s="6">
        <v>0</v>
      </c>
      <c r="F134" s="6">
        <v>0</v>
      </c>
      <c r="G134" s="7">
        <f t="shared" si="19"/>
        <v>0</v>
      </c>
      <c r="H134" s="7">
        <f t="shared" si="20"/>
        <v>0</v>
      </c>
      <c r="I134" s="8">
        <v>2411</v>
      </c>
      <c r="J134" s="9"/>
      <c r="K134" s="8">
        <f t="shared" si="21"/>
        <v>28932</v>
      </c>
      <c r="L134" s="7">
        <f t="shared" si="22"/>
        <v>0</v>
      </c>
      <c r="M134" s="10">
        <f t="shared" si="25"/>
        <v>1</v>
      </c>
      <c r="N134" s="11">
        <f t="shared" si="23"/>
        <v>0.21049357113231301</v>
      </c>
      <c r="O134" s="8">
        <f t="shared" si="26"/>
        <v>12180.0000000001</v>
      </c>
      <c r="P134" s="12">
        <f t="shared" si="24"/>
        <v>0</v>
      </c>
    </row>
    <row r="135" spans="1:16">
      <c r="A135" s="2">
        <v>45972</v>
      </c>
      <c r="B135" s="3">
        <f>Data_Entry!T227</f>
        <v>11819.9999999998</v>
      </c>
      <c r="C135" s="4">
        <f>Data_Entry!V227</f>
        <v>4.34</v>
      </c>
      <c r="D135" s="5">
        <f t="shared" si="18"/>
        <v>0.20427208627125301</v>
      </c>
      <c r="E135" s="6">
        <v>0</v>
      </c>
      <c r="F135" s="6">
        <v>0</v>
      </c>
      <c r="G135" s="7">
        <f t="shared" si="19"/>
        <v>0</v>
      </c>
      <c r="H135" s="7">
        <f t="shared" si="20"/>
        <v>0</v>
      </c>
      <c r="I135" s="8">
        <v>2411</v>
      </c>
      <c r="J135" s="9"/>
      <c r="K135" s="8">
        <f t="shared" si="21"/>
        <v>28932</v>
      </c>
      <c r="L135" s="7">
        <f t="shared" si="22"/>
        <v>0</v>
      </c>
      <c r="M135" s="10">
        <f t="shared" si="25"/>
        <v>1</v>
      </c>
      <c r="N135" s="11">
        <f t="shared" si="23"/>
        <v>0.20427208627125301</v>
      </c>
      <c r="O135" s="8">
        <f t="shared" si="26"/>
        <v>11819.9999999998</v>
      </c>
      <c r="P135" s="12">
        <f t="shared" si="24"/>
        <v>0</v>
      </c>
    </row>
    <row r="136" spans="1:16">
      <c r="A136" s="2">
        <v>45973</v>
      </c>
      <c r="B136" s="3">
        <f>Data_Entry!T228</f>
        <v>11610</v>
      </c>
      <c r="C136" s="4">
        <f>Data_Entry!V228</f>
        <v>4.29</v>
      </c>
      <c r="D136" s="5">
        <f t="shared" si="18"/>
        <v>0.20064288676897499</v>
      </c>
      <c r="E136" s="6">
        <v>0</v>
      </c>
      <c r="F136" s="6">
        <v>0</v>
      </c>
      <c r="G136" s="7">
        <f t="shared" si="19"/>
        <v>0</v>
      </c>
      <c r="H136" s="7">
        <f t="shared" si="20"/>
        <v>0</v>
      </c>
      <c r="I136" s="8">
        <v>2411</v>
      </c>
      <c r="J136" s="9"/>
      <c r="K136" s="8">
        <f t="shared" si="21"/>
        <v>28932</v>
      </c>
      <c r="L136" s="7">
        <f t="shared" si="22"/>
        <v>0</v>
      </c>
      <c r="M136" s="10">
        <f t="shared" si="25"/>
        <v>1</v>
      </c>
      <c r="N136" s="11">
        <f t="shared" si="23"/>
        <v>0.20064288676897499</v>
      </c>
      <c r="O136" s="8">
        <f t="shared" si="26"/>
        <v>11610</v>
      </c>
      <c r="P136" s="12">
        <f t="shared" si="24"/>
        <v>0</v>
      </c>
    </row>
    <row r="137" spans="1:16">
      <c r="A137" s="2">
        <v>45974</v>
      </c>
      <c r="B137" s="3">
        <f>Data_Entry!T229</f>
        <v>11310.0000000002</v>
      </c>
      <c r="C137" s="4">
        <f>Data_Entry!V229</f>
        <v>4.24</v>
      </c>
      <c r="D137" s="5">
        <f t="shared" si="18"/>
        <v>0.19545831605143499</v>
      </c>
      <c r="E137" s="6">
        <v>0</v>
      </c>
      <c r="F137" s="6">
        <v>0</v>
      </c>
      <c r="G137" s="7">
        <f t="shared" si="19"/>
        <v>0</v>
      </c>
      <c r="H137" s="7">
        <f t="shared" si="20"/>
        <v>0</v>
      </c>
      <c r="I137" s="8">
        <v>2411</v>
      </c>
      <c r="J137" s="9"/>
      <c r="K137" s="8">
        <f t="shared" si="21"/>
        <v>28932</v>
      </c>
      <c r="L137" s="7">
        <f t="shared" si="22"/>
        <v>0</v>
      </c>
      <c r="M137" s="10">
        <f t="shared" si="25"/>
        <v>1</v>
      </c>
      <c r="N137" s="11">
        <f t="shared" si="23"/>
        <v>0.19545831605143499</v>
      </c>
      <c r="O137" s="8">
        <f t="shared" si="26"/>
        <v>11310.0000000002</v>
      </c>
      <c r="P137" s="12">
        <f t="shared" si="24"/>
        <v>0</v>
      </c>
    </row>
    <row r="138" spans="1:16">
      <c r="A138" s="2">
        <v>45975</v>
      </c>
      <c r="B138" s="3">
        <f>Data_Entry!T230</f>
        <v>11339.9999999999</v>
      </c>
      <c r="C138" s="4">
        <f>Data_Entry!V230</f>
        <v>4.2699999999999996</v>
      </c>
      <c r="D138" s="5">
        <f t="shared" si="18"/>
        <v>0.19597677312318401</v>
      </c>
      <c r="E138" s="6">
        <v>0</v>
      </c>
      <c r="F138" s="6">
        <v>0</v>
      </c>
      <c r="G138" s="7">
        <f t="shared" si="19"/>
        <v>0</v>
      </c>
      <c r="H138" s="7">
        <f t="shared" si="20"/>
        <v>0</v>
      </c>
      <c r="I138" s="8">
        <v>2411</v>
      </c>
      <c r="J138" s="9"/>
      <c r="K138" s="8">
        <f t="shared" si="21"/>
        <v>28932</v>
      </c>
      <c r="L138" s="7">
        <f t="shared" si="22"/>
        <v>0</v>
      </c>
      <c r="M138" s="10">
        <f t="shared" si="25"/>
        <v>1</v>
      </c>
      <c r="N138" s="11">
        <f t="shared" si="23"/>
        <v>0.19597677312318401</v>
      </c>
      <c r="O138" s="8">
        <f t="shared" si="26"/>
        <v>11339.9999999999</v>
      </c>
      <c r="P138" s="12">
        <f t="shared" si="24"/>
        <v>0</v>
      </c>
    </row>
    <row r="139" spans="1:16">
      <c r="A139" s="2">
        <v>45976</v>
      </c>
      <c r="B139" s="3">
        <f>Data_Entry!T231</f>
        <v>11069.9999999998</v>
      </c>
      <c r="C139" s="4">
        <f>Data_Entry!V231</f>
        <v>4.17</v>
      </c>
      <c r="D139" s="5">
        <f t="shared" si="18"/>
        <v>0.19131065947739201</v>
      </c>
      <c r="E139" s="6">
        <v>0</v>
      </c>
      <c r="F139" s="6">
        <v>0</v>
      </c>
      <c r="G139" s="7">
        <f t="shared" si="19"/>
        <v>0</v>
      </c>
      <c r="H139" s="7">
        <f t="shared" si="20"/>
        <v>0</v>
      </c>
      <c r="I139" s="8">
        <v>2411</v>
      </c>
      <c r="J139" s="9"/>
      <c r="K139" s="8">
        <f t="shared" si="21"/>
        <v>28932</v>
      </c>
      <c r="L139" s="7">
        <f t="shared" si="22"/>
        <v>0</v>
      </c>
      <c r="M139" s="10">
        <f t="shared" si="25"/>
        <v>1</v>
      </c>
      <c r="N139" s="11">
        <f t="shared" si="23"/>
        <v>0.19131065947739201</v>
      </c>
      <c r="O139" s="8">
        <f t="shared" si="26"/>
        <v>11069.9999999998</v>
      </c>
      <c r="P139" s="12">
        <f t="shared" si="24"/>
        <v>0</v>
      </c>
    </row>
    <row r="140" spans="1:16">
      <c r="A140" s="2">
        <v>45977</v>
      </c>
      <c r="B140" s="3">
        <f>Data_Entry!T232</f>
        <v>10500.0000000003</v>
      </c>
      <c r="C140" s="4">
        <f>Data_Entry!V232</f>
        <v>4.0199999999999996</v>
      </c>
      <c r="D140" s="5">
        <f t="shared" si="18"/>
        <v>0.181459975114066</v>
      </c>
      <c r="E140" s="6">
        <v>0</v>
      </c>
      <c r="F140" s="6">
        <v>0</v>
      </c>
      <c r="G140" s="7">
        <f t="shared" si="19"/>
        <v>0</v>
      </c>
      <c r="H140" s="7">
        <f t="shared" si="20"/>
        <v>0</v>
      </c>
      <c r="I140" s="8">
        <v>2411</v>
      </c>
      <c r="J140" s="9"/>
      <c r="K140" s="8">
        <f t="shared" si="21"/>
        <v>28932</v>
      </c>
      <c r="L140" s="7">
        <f t="shared" si="22"/>
        <v>0</v>
      </c>
      <c r="M140" s="10">
        <f t="shared" si="25"/>
        <v>1</v>
      </c>
      <c r="N140" s="11">
        <f t="shared" si="23"/>
        <v>0.181459975114066</v>
      </c>
      <c r="O140" s="8">
        <f t="shared" si="26"/>
        <v>10500.0000000003</v>
      </c>
      <c r="P140" s="12">
        <f t="shared" si="24"/>
        <v>0</v>
      </c>
    </row>
    <row r="141" spans="1:16">
      <c r="A141" s="2">
        <v>45978</v>
      </c>
      <c r="B141" s="3">
        <f>Data_Entry!T233</f>
        <v>10979.9999999998</v>
      </c>
      <c r="C141" s="4">
        <f>Data_Entry!V233</f>
        <v>4.21</v>
      </c>
      <c r="D141" s="5">
        <f t="shared" si="18"/>
        <v>0.18975528826212901</v>
      </c>
      <c r="E141" s="6">
        <v>0</v>
      </c>
      <c r="F141" s="6">
        <v>0</v>
      </c>
      <c r="G141" s="7">
        <f t="shared" si="19"/>
        <v>0</v>
      </c>
      <c r="H141" s="7">
        <f t="shared" si="20"/>
        <v>0</v>
      </c>
      <c r="I141" s="8">
        <v>2411</v>
      </c>
      <c r="J141" s="9"/>
      <c r="K141" s="8">
        <f t="shared" si="21"/>
        <v>28932</v>
      </c>
      <c r="L141" s="7">
        <f t="shared" si="22"/>
        <v>0</v>
      </c>
      <c r="M141" s="10">
        <f t="shared" si="25"/>
        <v>1</v>
      </c>
      <c r="N141" s="11">
        <f t="shared" si="23"/>
        <v>0.18975528826212901</v>
      </c>
      <c r="O141" s="8">
        <f t="shared" si="26"/>
        <v>10979.9999999998</v>
      </c>
      <c r="P141" s="12">
        <f t="shared" si="24"/>
        <v>0</v>
      </c>
    </row>
    <row r="142" spans="1:16">
      <c r="A142" s="2">
        <v>45979</v>
      </c>
      <c r="B142" s="3">
        <f>Data_Entry!T234</f>
        <v>10979.9999999999</v>
      </c>
      <c r="C142" s="4">
        <f>Data_Entry!V234</f>
        <v>4.22</v>
      </c>
      <c r="D142" s="5">
        <f t="shared" si="18"/>
        <v>0.18975528826213001</v>
      </c>
      <c r="E142" s="6">
        <v>0</v>
      </c>
      <c r="F142" s="6">
        <v>0</v>
      </c>
      <c r="G142" s="7">
        <f t="shared" si="19"/>
        <v>0</v>
      </c>
      <c r="H142" s="7">
        <f t="shared" si="20"/>
        <v>0</v>
      </c>
      <c r="I142" s="8">
        <v>2411</v>
      </c>
      <c r="J142" s="9"/>
      <c r="K142" s="8">
        <f t="shared" si="21"/>
        <v>28932</v>
      </c>
      <c r="L142" s="7">
        <f t="shared" si="22"/>
        <v>0</v>
      </c>
      <c r="M142" s="10">
        <f t="shared" si="25"/>
        <v>1</v>
      </c>
      <c r="N142" s="11">
        <f t="shared" si="23"/>
        <v>0.18975528826213001</v>
      </c>
      <c r="O142" s="8">
        <f t="shared" si="26"/>
        <v>10979.9999999999</v>
      </c>
      <c r="P142" s="12">
        <f t="shared" si="24"/>
        <v>0</v>
      </c>
    </row>
    <row r="143" spans="1:16">
      <c r="A143" s="2">
        <v>45980</v>
      </c>
      <c r="B143" s="3">
        <f>Data_Entry!T235</f>
        <v>10290.0000000002</v>
      </c>
      <c r="C143" s="4">
        <f>Data_Entry!V235</f>
        <v>3.97</v>
      </c>
      <c r="D143" s="5">
        <f t="shared" si="18"/>
        <v>0.17783077561178201</v>
      </c>
      <c r="E143" s="6">
        <v>0</v>
      </c>
      <c r="F143" s="6">
        <v>0</v>
      </c>
      <c r="G143" s="7">
        <f t="shared" si="19"/>
        <v>0</v>
      </c>
      <c r="H143" s="7">
        <f t="shared" si="20"/>
        <v>0</v>
      </c>
      <c r="I143" s="8">
        <v>2411</v>
      </c>
      <c r="J143" s="9"/>
      <c r="K143" s="8">
        <f t="shared" si="21"/>
        <v>28932</v>
      </c>
      <c r="L143" s="7">
        <f t="shared" si="22"/>
        <v>0</v>
      </c>
      <c r="M143" s="10">
        <f t="shared" si="25"/>
        <v>1</v>
      </c>
      <c r="N143" s="11">
        <f t="shared" si="23"/>
        <v>0.17783077561178201</v>
      </c>
      <c r="O143" s="8">
        <f t="shared" si="26"/>
        <v>10290.0000000002</v>
      </c>
      <c r="P143" s="12">
        <f t="shared" si="24"/>
        <v>0</v>
      </c>
    </row>
    <row r="144" spans="1:16">
      <c r="A144" s="2">
        <v>45981</v>
      </c>
      <c r="B144" s="3">
        <f>Data_Entry!T236</f>
        <v>10319.9999999998</v>
      </c>
      <c r="C144" s="4">
        <f>Data_Entry!V236</f>
        <v>3.95</v>
      </c>
      <c r="D144" s="5">
        <f t="shared" si="18"/>
        <v>0.17834923268353001</v>
      </c>
      <c r="E144" s="6">
        <v>0</v>
      </c>
      <c r="F144" s="6">
        <v>0</v>
      </c>
      <c r="G144" s="7">
        <f t="shared" si="19"/>
        <v>0</v>
      </c>
      <c r="H144" s="7">
        <f t="shared" si="20"/>
        <v>0</v>
      </c>
      <c r="I144" s="8">
        <v>2411</v>
      </c>
      <c r="J144" s="9"/>
      <c r="K144" s="8">
        <f t="shared" si="21"/>
        <v>28932</v>
      </c>
      <c r="L144" s="7">
        <f t="shared" si="22"/>
        <v>0</v>
      </c>
      <c r="M144" s="10">
        <f t="shared" si="25"/>
        <v>1</v>
      </c>
      <c r="N144" s="11">
        <f t="shared" si="23"/>
        <v>0.17834923268353001</v>
      </c>
      <c r="O144" s="8">
        <f t="shared" si="26"/>
        <v>10319.9999999998</v>
      </c>
      <c r="P144" s="12">
        <f t="shared" si="24"/>
        <v>0</v>
      </c>
    </row>
    <row r="145" spans="1:16">
      <c r="A145" s="2">
        <v>45982</v>
      </c>
      <c r="B145" s="3">
        <f>Data_Entry!T237</f>
        <v>9870.0000000001801</v>
      </c>
      <c r="C145" s="4">
        <f>Data_Entry!V237</f>
        <v>3.78</v>
      </c>
      <c r="D145" s="5">
        <f t="shared" si="18"/>
        <v>0.17057237660721999</v>
      </c>
      <c r="E145" s="6">
        <v>0</v>
      </c>
      <c r="F145" s="6">
        <v>0</v>
      </c>
      <c r="G145" s="7">
        <f t="shared" si="19"/>
        <v>0</v>
      </c>
      <c r="H145" s="7">
        <f t="shared" si="20"/>
        <v>0</v>
      </c>
      <c r="I145" s="8">
        <v>2411</v>
      </c>
      <c r="J145" s="9"/>
      <c r="K145" s="8">
        <f t="shared" si="21"/>
        <v>28932</v>
      </c>
      <c r="L145" s="7">
        <f t="shared" si="22"/>
        <v>0</v>
      </c>
      <c r="M145" s="10">
        <f t="shared" si="25"/>
        <v>1</v>
      </c>
      <c r="N145" s="11">
        <f t="shared" si="23"/>
        <v>0.17057237660721999</v>
      </c>
      <c r="O145" s="8">
        <f t="shared" si="26"/>
        <v>9870.0000000001801</v>
      </c>
      <c r="P145" s="12">
        <f t="shared" si="24"/>
        <v>0</v>
      </c>
    </row>
    <row r="146" spans="1:16">
      <c r="A146" s="2">
        <v>45983</v>
      </c>
      <c r="B146" s="3">
        <f>Data_Entry!T238</f>
        <v>10320.0000000001</v>
      </c>
      <c r="C146" s="4">
        <f>Data_Entry!V238</f>
        <v>3.93</v>
      </c>
      <c r="D146" s="5">
        <f t="shared" si="18"/>
        <v>0.178349232683536</v>
      </c>
      <c r="E146" s="6">
        <v>0</v>
      </c>
      <c r="F146" s="6">
        <v>0</v>
      </c>
      <c r="G146" s="7">
        <f t="shared" si="19"/>
        <v>0</v>
      </c>
      <c r="H146" s="7">
        <f t="shared" si="20"/>
        <v>0</v>
      </c>
      <c r="I146" s="8">
        <v>2411</v>
      </c>
      <c r="J146" s="9"/>
      <c r="K146" s="8">
        <f t="shared" si="21"/>
        <v>28932</v>
      </c>
      <c r="L146" s="7">
        <f t="shared" si="22"/>
        <v>0</v>
      </c>
      <c r="M146" s="10">
        <f t="shared" si="25"/>
        <v>1</v>
      </c>
      <c r="N146" s="11">
        <f t="shared" si="23"/>
        <v>0.178349232683536</v>
      </c>
      <c r="O146" s="8">
        <f t="shared" si="26"/>
        <v>10320.0000000001</v>
      </c>
      <c r="P146" s="12">
        <f t="shared" si="24"/>
        <v>0</v>
      </c>
    </row>
    <row r="147" spans="1:16">
      <c r="A147" s="2">
        <v>45984</v>
      </c>
      <c r="B147" s="3">
        <f>Data_Entry!T239</f>
        <v>10619.9999999999</v>
      </c>
      <c r="C147" s="4">
        <f>Data_Entry!V239</f>
        <v>4.03</v>
      </c>
      <c r="D147" s="5">
        <f t="shared" si="18"/>
        <v>0.183533803401076</v>
      </c>
      <c r="E147" s="6">
        <v>0</v>
      </c>
      <c r="F147" s="6">
        <v>0</v>
      </c>
      <c r="G147" s="7">
        <f t="shared" si="19"/>
        <v>0</v>
      </c>
      <c r="H147" s="7">
        <f t="shared" si="20"/>
        <v>0</v>
      </c>
      <c r="I147" s="8">
        <v>2411</v>
      </c>
      <c r="J147" s="9"/>
      <c r="K147" s="8">
        <f t="shared" si="21"/>
        <v>28932</v>
      </c>
      <c r="L147" s="7">
        <f t="shared" si="22"/>
        <v>0</v>
      </c>
      <c r="M147" s="10">
        <f t="shared" si="25"/>
        <v>1</v>
      </c>
      <c r="N147" s="11">
        <f t="shared" si="23"/>
        <v>0.183533803401076</v>
      </c>
      <c r="O147" s="8">
        <f t="shared" si="26"/>
        <v>10619.9999999999</v>
      </c>
      <c r="P147" s="12">
        <f t="shared" si="24"/>
        <v>0</v>
      </c>
    </row>
    <row r="148" spans="1:16">
      <c r="A148" s="2">
        <v>45985</v>
      </c>
      <c r="B148" s="3">
        <f>Data_Entry!T240</f>
        <v>11100.0000000001</v>
      </c>
      <c r="C148" s="4">
        <f>Data_Entry!V240</f>
        <v>4.16</v>
      </c>
      <c r="D148" s="5">
        <f t="shared" si="18"/>
        <v>0.191829116549152</v>
      </c>
      <c r="E148" s="6">
        <v>0</v>
      </c>
      <c r="F148" s="6">
        <v>0</v>
      </c>
      <c r="G148" s="7">
        <f t="shared" si="19"/>
        <v>0</v>
      </c>
      <c r="H148" s="7">
        <f t="shared" si="20"/>
        <v>0</v>
      </c>
      <c r="I148" s="8">
        <v>2411</v>
      </c>
      <c r="J148" s="9"/>
      <c r="K148" s="8">
        <f t="shared" si="21"/>
        <v>28932</v>
      </c>
      <c r="L148" s="7">
        <f t="shared" si="22"/>
        <v>0</v>
      </c>
      <c r="M148" s="10">
        <f t="shared" si="25"/>
        <v>1</v>
      </c>
      <c r="N148" s="11">
        <f t="shared" si="23"/>
        <v>0.191829116549152</v>
      </c>
      <c r="O148" s="8">
        <f t="shared" si="26"/>
        <v>11100.0000000001</v>
      </c>
      <c r="P148" s="12">
        <f t="shared" si="24"/>
        <v>0</v>
      </c>
    </row>
    <row r="149" spans="1:16">
      <c r="A149" s="2">
        <v>45986</v>
      </c>
      <c r="B149" s="3">
        <f>Data_Entry!T241</f>
        <v>10470</v>
      </c>
      <c r="C149" s="4">
        <f>Data_Entry!V241</f>
        <v>3.9</v>
      </c>
      <c r="D149" s="5">
        <f t="shared" si="18"/>
        <v>0.18094151804230599</v>
      </c>
      <c r="E149" s="6">
        <v>0</v>
      </c>
      <c r="F149" s="6">
        <v>0</v>
      </c>
      <c r="G149" s="7">
        <f t="shared" si="19"/>
        <v>0</v>
      </c>
      <c r="H149" s="7">
        <f t="shared" si="20"/>
        <v>0</v>
      </c>
      <c r="I149" s="8">
        <v>2411</v>
      </c>
      <c r="J149" s="9"/>
      <c r="K149" s="8">
        <f t="shared" si="21"/>
        <v>28932</v>
      </c>
      <c r="L149" s="7">
        <f t="shared" si="22"/>
        <v>0</v>
      </c>
      <c r="M149" s="10">
        <f t="shared" si="25"/>
        <v>1</v>
      </c>
      <c r="N149" s="11">
        <f t="shared" si="23"/>
        <v>0.18094151804230599</v>
      </c>
      <c r="O149" s="8">
        <f t="shared" si="26"/>
        <v>10470</v>
      </c>
      <c r="P149" s="12">
        <f t="shared" si="24"/>
        <v>0</v>
      </c>
    </row>
    <row r="150" spans="1:16">
      <c r="A150" s="2">
        <v>45987</v>
      </c>
      <c r="B150" s="3">
        <f>Data_Entry!T242</f>
        <v>9749.9999999999709</v>
      </c>
      <c r="C150" s="4">
        <f>Data_Entry!V242</f>
        <v>3.7</v>
      </c>
      <c r="D150" s="5">
        <f t="shared" si="18"/>
        <v>0.168498548320199</v>
      </c>
      <c r="E150" s="6">
        <v>0</v>
      </c>
      <c r="F150" s="6">
        <v>0</v>
      </c>
      <c r="G150" s="7">
        <f t="shared" si="19"/>
        <v>0</v>
      </c>
      <c r="H150" s="7">
        <f t="shared" si="20"/>
        <v>0</v>
      </c>
      <c r="I150" s="8">
        <v>2411</v>
      </c>
      <c r="J150" s="9"/>
      <c r="K150" s="8">
        <f t="shared" si="21"/>
        <v>28932</v>
      </c>
      <c r="L150" s="7">
        <f t="shared" si="22"/>
        <v>0</v>
      </c>
      <c r="M150" s="10">
        <f t="shared" si="25"/>
        <v>1</v>
      </c>
      <c r="N150" s="11">
        <f t="shared" si="23"/>
        <v>0.168498548320199</v>
      </c>
      <c r="O150" s="8">
        <f t="shared" si="26"/>
        <v>9749.9999999999709</v>
      </c>
      <c r="P150" s="12">
        <f t="shared" si="24"/>
        <v>0</v>
      </c>
    </row>
    <row r="151" spans="1:16">
      <c r="A151" s="2">
        <v>45988</v>
      </c>
      <c r="B151" s="3">
        <f>Data_Entry!T243</f>
        <v>9089.9999999998909</v>
      </c>
      <c r="C151" s="4">
        <f>Data_Entry!V243</f>
        <v>3.43</v>
      </c>
      <c r="D151" s="5">
        <f t="shared" si="18"/>
        <v>0.157092492741599</v>
      </c>
      <c r="E151" s="6">
        <v>0</v>
      </c>
      <c r="F151" s="6">
        <v>0</v>
      </c>
      <c r="G151" s="7">
        <f t="shared" si="19"/>
        <v>0</v>
      </c>
      <c r="H151" s="7">
        <f t="shared" si="20"/>
        <v>0</v>
      </c>
      <c r="I151" s="8">
        <v>2411</v>
      </c>
      <c r="J151" s="9"/>
      <c r="K151" s="8">
        <f t="shared" si="21"/>
        <v>28932</v>
      </c>
      <c r="L151" s="7">
        <f t="shared" si="22"/>
        <v>0</v>
      </c>
      <c r="M151" s="10">
        <f t="shared" si="25"/>
        <v>1</v>
      </c>
      <c r="N151" s="11">
        <f t="shared" si="23"/>
        <v>0.157092492741599</v>
      </c>
      <c r="O151" s="8">
        <f t="shared" si="26"/>
        <v>9089.9999999998909</v>
      </c>
      <c r="P151" s="12">
        <f t="shared" si="24"/>
        <v>0</v>
      </c>
    </row>
    <row r="152" spans="1:16">
      <c r="A152" s="2">
        <v>45989</v>
      </c>
      <c r="B152" s="3">
        <f>Data_Entry!T244</f>
        <v>7949.99999999991</v>
      </c>
      <c r="C152" s="4">
        <f>Data_Entry!V244</f>
        <v>3.16</v>
      </c>
      <c r="D152" s="5">
        <f t="shared" si="18"/>
        <v>0.13739112401493001</v>
      </c>
      <c r="E152" s="6">
        <v>0</v>
      </c>
      <c r="F152" s="6">
        <v>0</v>
      </c>
      <c r="G152" s="7">
        <f t="shared" si="19"/>
        <v>0</v>
      </c>
      <c r="H152" s="7">
        <f t="shared" si="20"/>
        <v>0</v>
      </c>
      <c r="I152" s="8">
        <v>2411</v>
      </c>
      <c r="J152" s="9"/>
      <c r="K152" s="8">
        <f t="shared" si="21"/>
        <v>28932</v>
      </c>
      <c r="L152" s="7">
        <f t="shared" si="22"/>
        <v>0</v>
      </c>
      <c r="M152" s="10">
        <f t="shared" si="25"/>
        <v>1</v>
      </c>
      <c r="N152" s="11">
        <f t="shared" si="23"/>
        <v>0.13739112401493001</v>
      </c>
      <c r="O152" s="8">
        <f t="shared" si="26"/>
        <v>7949.9999999999</v>
      </c>
      <c r="P152" s="12">
        <f t="shared" si="24"/>
        <v>0</v>
      </c>
    </row>
    <row r="153" spans="1:16">
      <c r="A153" s="2">
        <v>45990</v>
      </c>
      <c r="B153" s="3">
        <f>Data_Entry!T245</f>
        <v>8460.0000000001</v>
      </c>
      <c r="C153" s="4">
        <f>Data_Entry!V245</f>
        <v>3.34</v>
      </c>
      <c r="D153" s="5">
        <f t="shared" si="18"/>
        <v>0.14620489423475899</v>
      </c>
      <c r="E153" s="6">
        <v>0</v>
      </c>
      <c r="F153" s="6">
        <v>0</v>
      </c>
      <c r="G153" s="7">
        <f t="shared" si="19"/>
        <v>0</v>
      </c>
      <c r="H153" s="7">
        <f t="shared" si="20"/>
        <v>0</v>
      </c>
      <c r="I153" s="8">
        <v>2411</v>
      </c>
      <c r="J153" s="9"/>
      <c r="K153" s="8">
        <f t="shared" si="21"/>
        <v>28932</v>
      </c>
      <c r="L153" s="7">
        <f t="shared" si="22"/>
        <v>0</v>
      </c>
      <c r="M153" s="10">
        <f t="shared" si="25"/>
        <v>1</v>
      </c>
      <c r="N153" s="11">
        <f t="shared" si="23"/>
        <v>0.14620489423475899</v>
      </c>
      <c r="O153" s="8">
        <f t="shared" si="26"/>
        <v>8460.0000000000891</v>
      </c>
      <c r="P153" s="12">
        <f t="shared" si="24"/>
        <v>0</v>
      </c>
    </row>
    <row r="154" spans="1:16">
      <c r="A154" s="2">
        <v>45991</v>
      </c>
      <c r="B154" s="3">
        <f>Data_Entry!T246</f>
        <v>9809.99999999992</v>
      </c>
      <c r="C154" s="4">
        <f>Data_Entry!V246</f>
        <v>3.71</v>
      </c>
      <c r="D154" s="5">
        <f t="shared" si="18"/>
        <v>0.16953546246370699</v>
      </c>
      <c r="E154" s="6">
        <v>0</v>
      </c>
      <c r="F154" s="6">
        <v>0</v>
      </c>
      <c r="G154" s="7">
        <f t="shared" si="19"/>
        <v>0</v>
      </c>
      <c r="H154" s="7">
        <f t="shared" si="20"/>
        <v>0</v>
      </c>
      <c r="I154" s="8">
        <v>2411</v>
      </c>
      <c r="J154" s="9"/>
      <c r="K154" s="8">
        <f t="shared" si="21"/>
        <v>28932</v>
      </c>
      <c r="L154" s="7">
        <f t="shared" si="22"/>
        <v>0</v>
      </c>
      <c r="M154" s="10">
        <f t="shared" si="25"/>
        <v>1</v>
      </c>
      <c r="N154" s="11">
        <f t="shared" si="23"/>
        <v>0.16953546246370699</v>
      </c>
      <c r="O154" s="8">
        <f t="shared" si="26"/>
        <v>9809.99999999992</v>
      </c>
      <c r="P154" s="12">
        <f t="shared" si="24"/>
        <v>0</v>
      </c>
    </row>
    <row r="155" spans="1:16">
      <c r="A155" s="2">
        <v>45992</v>
      </c>
      <c r="B155" s="3">
        <f>Data_Entry!T247</f>
        <v>10170.0000000002</v>
      </c>
      <c r="C155" s="4">
        <f>Data_Entry!V247</f>
        <v>3.81</v>
      </c>
      <c r="D155" s="5">
        <f t="shared" si="18"/>
        <v>0.17575694732476599</v>
      </c>
      <c r="E155" s="6">
        <v>0</v>
      </c>
      <c r="F155" s="6">
        <v>0</v>
      </c>
      <c r="G155" s="7">
        <f t="shared" si="19"/>
        <v>0</v>
      </c>
      <c r="H155" s="7">
        <f t="shared" si="20"/>
        <v>0</v>
      </c>
      <c r="I155" s="8">
        <v>2411</v>
      </c>
      <c r="J155" s="9"/>
      <c r="K155" s="8">
        <f t="shared" si="21"/>
        <v>28932</v>
      </c>
      <c r="L155" s="7">
        <f t="shared" si="22"/>
        <v>0</v>
      </c>
      <c r="M155" s="10">
        <f t="shared" si="25"/>
        <v>1</v>
      </c>
      <c r="N155" s="11">
        <f t="shared" si="23"/>
        <v>0.17575694732476599</v>
      </c>
      <c r="O155" s="8">
        <f t="shared" si="26"/>
        <v>10170.0000000002</v>
      </c>
      <c r="P155" s="12">
        <f t="shared" si="24"/>
        <v>0</v>
      </c>
    </row>
    <row r="156" spans="1:16">
      <c r="A156" s="2">
        <v>45993</v>
      </c>
      <c r="B156" s="3">
        <f>Data_Entry!T248</f>
        <v>9179.9999999998108</v>
      </c>
      <c r="C156" s="4">
        <f>Data_Entry!V248</f>
        <v>3.48</v>
      </c>
      <c r="D156" s="5">
        <f t="shared" si="18"/>
        <v>0.15864786395686101</v>
      </c>
      <c r="E156" s="6">
        <v>0</v>
      </c>
      <c r="F156" s="6">
        <v>0</v>
      </c>
      <c r="G156" s="7">
        <f t="shared" si="19"/>
        <v>0</v>
      </c>
      <c r="H156" s="7">
        <f t="shared" si="20"/>
        <v>0</v>
      </c>
      <c r="I156" s="8">
        <v>2411</v>
      </c>
      <c r="J156" s="9"/>
      <c r="K156" s="8">
        <f t="shared" si="21"/>
        <v>28932</v>
      </c>
      <c r="L156" s="7">
        <f t="shared" si="22"/>
        <v>0</v>
      </c>
      <c r="M156" s="10">
        <f t="shared" si="25"/>
        <v>1</v>
      </c>
      <c r="N156" s="11">
        <f t="shared" si="23"/>
        <v>0.15864786395686101</v>
      </c>
      <c r="O156" s="8">
        <f t="shared" si="26"/>
        <v>9179.9999999998108</v>
      </c>
      <c r="P156" s="12">
        <f t="shared" si="24"/>
        <v>0</v>
      </c>
    </row>
    <row r="157" spans="1:16">
      <c r="A157" s="2">
        <v>45994</v>
      </c>
      <c r="B157" s="3">
        <f>Data_Entry!T249</f>
        <v>10199.9999999999</v>
      </c>
      <c r="C157" s="4">
        <f>Data_Entry!V249</f>
        <v>3.8</v>
      </c>
      <c r="D157" s="5">
        <f t="shared" si="18"/>
        <v>0.17627540439651401</v>
      </c>
      <c r="E157" s="6">
        <v>0</v>
      </c>
      <c r="F157" s="6">
        <v>0</v>
      </c>
      <c r="G157" s="7">
        <f t="shared" si="19"/>
        <v>0</v>
      </c>
      <c r="H157" s="7">
        <f t="shared" si="20"/>
        <v>0</v>
      </c>
      <c r="I157" s="8">
        <v>2411</v>
      </c>
      <c r="J157" s="9"/>
      <c r="K157" s="8">
        <f t="shared" si="21"/>
        <v>28932</v>
      </c>
      <c r="L157" s="7">
        <f t="shared" si="22"/>
        <v>0</v>
      </c>
      <c r="M157" s="10">
        <f t="shared" si="25"/>
        <v>1</v>
      </c>
      <c r="N157" s="11">
        <f t="shared" si="23"/>
        <v>0.17627540439651401</v>
      </c>
      <c r="O157" s="8">
        <f t="shared" si="26"/>
        <v>10199.9999999999</v>
      </c>
      <c r="P157" s="12">
        <f t="shared" si="24"/>
        <v>0</v>
      </c>
    </row>
    <row r="158" spans="1:16">
      <c r="A158" s="2">
        <v>45995</v>
      </c>
      <c r="B158" s="3">
        <f>Data_Entry!T250</f>
        <v>9630.00000000008</v>
      </c>
      <c r="C158" s="4">
        <f>Data_Entry!V250</f>
        <v>3.65</v>
      </c>
      <c r="D158" s="5">
        <f t="shared" si="18"/>
        <v>0.16642472003318301</v>
      </c>
      <c r="E158" s="6">
        <v>0</v>
      </c>
      <c r="F158" s="6">
        <v>0</v>
      </c>
      <c r="G158" s="7">
        <f t="shared" si="19"/>
        <v>0</v>
      </c>
      <c r="H158" s="7">
        <f t="shared" si="20"/>
        <v>0</v>
      </c>
      <c r="I158" s="8">
        <v>2411</v>
      </c>
      <c r="J158" s="9"/>
      <c r="K158" s="8">
        <f t="shared" si="21"/>
        <v>28932</v>
      </c>
      <c r="L158" s="7">
        <f t="shared" si="22"/>
        <v>0</v>
      </c>
      <c r="M158" s="10">
        <f t="shared" si="25"/>
        <v>1</v>
      </c>
      <c r="N158" s="11">
        <f t="shared" si="23"/>
        <v>0.16642472003318301</v>
      </c>
      <c r="O158" s="8">
        <f t="shared" si="26"/>
        <v>9630.00000000008</v>
      </c>
      <c r="P158" s="12">
        <f t="shared" si="24"/>
        <v>0</v>
      </c>
    </row>
    <row r="159" spans="1:16">
      <c r="A159" s="2">
        <v>45996</v>
      </c>
      <c r="B159" s="3">
        <f>Data_Entry!T251</f>
        <v>9840.0000000002092</v>
      </c>
      <c r="C159" s="4">
        <f>Data_Entry!W251</f>
        <v>26.85</v>
      </c>
      <c r="D159" s="5">
        <f t="shared" si="18"/>
        <v>0.170053919535466</v>
      </c>
      <c r="E159" s="6">
        <v>0</v>
      </c>
      <c r="F159" s="6">
        <v>0</v>
      </c>
      <c r="G159" s="7">
        <f t="shared" si="19"/>
        <v>0</v>
      </c>
      <c r="H159" s="7">
        <f t="shared" si="20"/>
        <v>0</v>
      </c>
      <c r="I159" s="8">
        <v>2411</v>
      </c>
      <c r="J159" s="9"/>
      <c r="K159" s="8">
        <f t="shared" si="21"/>
        <v>28932</v>
      </c>
      <c r="L159" s="7">
        <f t="shared" si="22"/>
        <v>0</v>
      </c>
      <c r="M159" s="10">
        <f t="shared" si="25"/>
        <v>1</v>
      </c>
      <c r="N159" s="11">
        <f t="shared" si="23"/>
        <v>0.170053919535466</v>
      </c>
      <c r="O159" s="8">
        <f t="shared" si="26"/>
        <v>9840.0000000002001</v>
      </c>
      <c r="P159" s="12">
        <f t="shared" si="24"/>
        <v>0</v>
      </c>
    </row>
    <row r="160" spans="1:16">
      <c r="A160" s="2">
        <v>45997</v>
      </c>
      <c r="B160" s="3">
        <f>Data_Entry!T252</f>
        <v>8999.9999999999709</v>
      </c>
      <c r="C160" s="4">
        <f>Data_Entry!W252</f>
        <v>26.19</v>
      </c>
      <c r="D160" s="5">
        <f t="shared" si="18"/>
        <v>0.155537121526337</v>
      </c>
      <c r="E160" s="6">
        <v>0</v>
      </c>
      <c r="F160" s="6">
        <v>0</v>
      </c>
      <c r="G160" s="7">
        <f t="shared" si="19"/>
        <v>0</v>
      </c>
      <c r="H160" s="7">
        <f t="shared" si="20"/>
        <v>0</v>
      </c>
      <c r="I160" s="8">
        <v>2411</v>
      </c>
      <c r="J160" s="9"/>
      <c r="K160" s="8">
        <f t="shared" si="21"/>
        <v>28932</v>
      </c>
      <c r="L160" s="7">
        <f t="shared" si="22"/>
        <v>0</v>
      </c>
      <c r="M160" s="10">
        <f t="shared" si="25"/>
        <v>1</v>
      </c>
      <c r="N160" s="11">
        <f t="shared" si="23"/>
        <v>0.155537121526337</v>
      </c>
      <c r="O160" s="8">
        <f t="shared" si="26"/>
        <v>8999.9999999999709</v>
      </c>
      <c r="P160" s="12">
        <f t="shared" si="24"/>
        <v>0</v>
      </c>
    </row>
    <row r="161" spans="1:16">
      <c r="A161" s="2">
        <v>45998</v>
      </c>
      <c r="B161" s="3">
        <f>Data_Entry!T253</f>
        <v>10259.9999999999</v>
      </c>
      <c r="C161" s="4">
        <f>Data_Entry!V253</f>
        <v>3.81</v>
      </c>
      <c r="D161" s="5">
        <f t="shared" si="18"/>
        <v>0.177312318540022</v>
      </c>
      <c r="E161" s="6">
        <v>0</v>
      </c>
      <c r="F161" s="6">
        <v>0</v>
      </c>
      <c r="G161" s="7">
        <f t="shared" si="19"/>
        <v>0</v>
      </c>
      <c r="H161" s="7">
        <f t="shared" si="20"/>
        <v>0</v>
      </c>
      <c r="I161" s="8">
        <v>2411</v>
      </c>
      <c r="J161" s="9"/>
      <c r="K161" s="8">
        <f t="shared" si="21"/>
        <v>28932</v>
      </c>
      <c r="L161" s="7">
        <f t="shared" si="22"/>
        <v>0</v>
      </c>
      <c r="M161" s="10">
        <f t="shared" si="25"/>
        <v>1</v>
      </c>
      <c r="N161" s="11">
        <f t="shared" si="23"/>
        <v>0.177312318540022</v>
      </c>
      <c r="O161" s="8">
        <f t="shared" si="26"/>
        <v>10259.9999999999</v>
      </c>
      <c r="P161" s="12">
        <f t="shared" si="24"/>
        <v>0</v>
      </c>
    </row>
    <row r="162" spans="1:16">
      <c r="A162" s="2">
        <v>45999</v>
      </c>
      <c r="B162" s="3">
        <f>Data_Entry!T254</f>
        <v>10260.0000000002</v>
      </c>
      <c r="C162" s="4">
        <f>Data_Entry!V254</f>
        <v>3.82</v>
      </c>
      <c r="D162" s="5">
        <f t="shared" si="18"/>
        <v>0.17731231854002799</v>
      </c>
      <c r="E162" s="6">
        <v>0</v>
      </c>
      <c r="F162" s="6">
        <v>0</v>
      </c>
      <c r="G162" s="7">
        <f t="shared" si="19"/>
        <v>0</v>
      </c>
      <c r="H162" s="7">
        <f t="shared" si="20"/>
        <v>0</v>
      </c>
      <c r="I162" s="8">
        <v>2411</v>
      </c>
      <c r="J162" s="9"/>
      <c r="K162" s="8">
        <f t="shared" si="21"/>
        <v>28932</v>
      </c>
      <c r="L162" s="7">
        <f t="shared" si="22"/>
        <v>0</v>
      </c>
      <c r="M162" s="10">
        <f t="shared" si="25"/>
        <v>1</v>
      </c>
      <c r="N162" s="11">
        <f t="shared" si="23"/>
        <v>0.17731231854002799</v>
      </c>
      <c r="O162" s="8">
        <f t="shared" si="26"/>
        <v>10260.0000000002</v>
      </c>
      <c r="P162" s="12">
        <f t="shared" si="24"/>
        <v>0</v>
      </c>
    </row>
    <row r="163" spans="1:16">
      <c r="A163" s="2">
        <v>46000</v>
      </c>
      <c r="B163" s="3">
        <f>Data_Entry!T255</f>
        <v>11339.9999999999</v>
      </c>
      <c r="C163" s="4">
        <f>Data_Entry!V255</f>
        <v>4.13</v>
      </c>
      <c r="D163" s="5">
        <f t="shared" si="18"/>
        <v>0.19597677312318301</v>
      </c>
      <c r="E163" s="6">
        <v>0</v>
      </c>
      <c r="F163" s="6">
        <v>0</v>
      </c>
      <c r="G163" s="7">
        <f t="shared" si="19"/>
        <v>0</v>
      </c>
      <c r="H163" s="7">
        <f t="shared" si="20"/>
        <v>0</v>
      </c>
      <c r="I163" s="8">
        <v>2411</v>
      </c>
      <c r="J163" s="9"/>
      <c r="K163" s="8">
        <f t="shared" si="21"/>
        <v>28932</v>
      </c>
      <c r="L163" s="7">
        <f t="shared" si="22"/>
        <v>0</v>
      </c>
      <c r="M163" s="10">
        <f t="shared" si="25"/>
        <v>1</v>
      </c>
      <c r="N163" s="11">
        <f t="shared" si="23"/>
        <v>0.19597677312318301</v>
      </c>
      <c r="O163" s="8">
        <f t="shared" si="26"/>
        <v>11339.9999999999</v>
      </c>
      <c r="P163" s="12">
        <f t="shared" si="24"/>
        <v>0</v>
      </c>
    </row>
    <row r="164" spans="1:16">
      <c r="A164" s="2">
        <v>46001</v>
      </c>
      <c r="B164" s="3">
        <f>Data_Entry!T256</f>
        <v>9149.9999999998399</v>
      </c>
      <c r="C164" s="4">
        <f>Data_Entry!V256</f>
        <v>3.48</v>
      </c>
      <c r="D164" s="5">
        <f t="shared" si="18"/>
        <v>0.15812940688510699</v>
      </c>
      <c r="E164" s="6">
        <v>0</v>
      </c>
      <c r="F164" s="6">
        <v>0</v>
      </c>
      <c r="G164" s="7">
        <f t="shared" si="19"/>
        <v>0</v>
      </c>
      <c r="H164" s="7">
        <f t="shared" si="20"/>
        <v>0</v>
      </c>
      <c r="I164" s="8">
        <v>2411</v>
      </c>
      <c r="J164" s="9"/>
      <c r="K164" s="8">
        <f t="shared" si="21"/>
        <v>28932</v>
      </c>
      <c r="L164" s="7">
        <f t="shared" si="22"/>
        <v>0</v>
      </c>
      <c r="M164" s="10">
        <f t="shared" si="25"/>
        <v>1</v>
      </c>
      <c r="N164" s="11">
        <f t="shared" si="23"/>
        <v>0.15812940688510699</v>
      </c>
      <c r="O164" s="8">
        <f t="shared" si="26"/>
        <v>9149.9999999998308</v>
      </c>
      <c r="P164" s="12">
        <f t="shared" si="24"/>
        <v>0</v>
      </c>
    </row>
    <row r="165" spans="1:16">
      <c r="A165" s="2">
        <v>46002</v>
      </c>
      <c r="B165" s="3">
        <f>Data_Entry!T257</f>
        <v>11790.0000000002</v>
      </c>
      <c r="C165" s="4">
        <f>Data_Entry!V257</f>
        <v>4.1100000000000003</v>
      </c>
      <c r="D165" s="5">
        <f t="shared" si="18"/>
        <v>0.20375362919950499</v>
      </c>
      <c r="E165" s="6">
        <v>0</v>
      </c>
      <c r="F165" s="6">
        <v>0</v>
      </c>
      <c r="G165" s="7">
        <f t="shared" si="19"/>
        <v>0</v>
      </c>
      <c r="H165" s="7">
        <f t="shared" si="20"/>
        <v>0</v>
      </c>
      <c r="I165" s="8">
        <v>2411</v>
      </c>
      <c r="J165" s="9"/>
      <c r="K165" s="8">
        <f t="shared" si="21"/>
        <v>28932</v>
      </c>
      <c r="L165" s="7">
        <f t="shared" si="22"/>
        <v>0</v>
      </c>
      <c r="M165" s="10">
        <f t="shared" si="25"/>
        <v>1</v>
      </c>
      <c r="N165" s="11">
        <f t="shared" si="23"/>
        <v>0.20375362919950499</v>
      </c>
      <c r="O165" s="8">
        <f t="shared" si="26"/>
        <v>11790.0000000002</v>
      </c>
      <c r="P165" s="12">
        <f t="shared" si="24"/>
        <v>0</v>
      </c>
    </row>
    <row r="166" spans="1:16">
      <c r="A166" s="2">
        <v>46003</v>
      </c>
      <c r="B166" s="3">
        <f>Data_Entry!T258</f>
        <v>11910.0000000001</v>
      </c>
      <c r="C166" s="4">
        <f>Data_Entry!V258</f>
        <v>4.1500000000000004</v>
      </c>
      <c r="D166" s="5">
        <f t="shared" si="18"/>
        <v>0.20582745748652101</v>
      </c>
      <c r="E166" s="6">
        <v>0</v>
      </c>
      <c r="F166" s="6">
        <v>0</v>
      </c>
      <c r="G166" s="7">
        <f t="shared" si="19"/>
        <v>0</v>
      </c>
      <c r="H166" s="7">
        <f t="shared" si="20"/>
        <v>0</v>
      </c>
      <c r="I166" s="8">
        <v>2411</v>
      </c>
      <c r="J166" s="9"/>
      <c r="K166" s="8">
        <f t="shared" si="21"/>
        <v>28932</v>
      </c>
      <c r="L166" s="7">
        <f t="shared" si="22"/>
        <v>0</v>
      </c>
      <c r="M166" s="10">
        <f t="shared" si="25"/>
        <v>1</v>
      </c>
      <c r="N166" s="11">
        <f t="shared" si="23"/>
        <v>0.20582745748652101</v>
      </c>
      <c r="O166" s="8">
        <f t="shared" si="26"/>
        <v>11910.0000000001</v>
      </c>
      <c r="P166" s="12">
        <f t="shared" si="24"/>
        <v>0</v>
      </c>
    </row>
    <row r="167" spans="1:16">
      <c r="A167" s="2">
        <v>46004</v>
      </c>
      <c r="B167" s="3">
        <f>Data_Entry!T259</f>
        <v>11580</v>
      </c>
      <c r="C167" s="4">
        <f>Data_Entry!V259</f>
        <v>4.0199999999999996</v>
      </c>
      <c r="D167" s="5">
        <f t="shared" si="18"/>
        <v>0.200124429697221</v>
      </c>
      <c r="E167" s="6">
        <v>0</v>
      </c>
      <c r="F167" s="6">
        <v>0</v>
      </c>
      <c r="G167" s="7">
        <f t="shared" si="19"/>
        <v>0</v>
      </c>
      <c r="H167" s="7">
        <f t="shared" si="20"/>
        <v>0</v>
      </c>
      <c r="I167" s="8">
        <v>2411</v>
      </c>
      <c r="J167" s="9"/>
      <c r="K167" s="8">
        <f t="shared" si="21"/>
        <v>28932</v>
      </c>
      <c r="L167" s="7">
        <f t="shared" si="22"/>
        <v>0</v>
      </c>
      <c r="M167" s="10">
        <f t="shared" si="25"/>
        <v>1</v>
      </c>
      <c r="N167" s="11">
        <f t="shared" si="23"/>
        <v>0.200124429697221</v>
      </c>
      <c r="O167" s="8">
        <f t="shared" si="26"/>
        <v>11580</v>
      </c>
      <c r="P167" s="12">
        <f t="shared" si="24"/>
        <v>0</v>
      </c>
    </row>
    <row r="168" spans="1:16">
      <c r="A168" s="2">
        <v>46005</v>
      </c>
      <c r="B168" s="3">
        <f>Data_Entry!T260</f>
        <v>11250</v>
      </c>
      <c r="C168" s="4">
        <f>Data_Entry!V260</f>
        <v>3.91</v>
      </c>
      <c r="D168" s="5">
        <f t="shared" si="18"/>
        <v>0.19442140190792201</v>
      </c>
      <c r="E168" s="6">
        <v>0</v>
      </c>
      <c r="F168" s="6">
        <v>0</v>
      </c>
      <c r="G168" s="7">
        <f t="shared" si="19"/>
        <v>0</v>
      </c>
      <c r="H168" s="7">
        <f t="shared" si="20"/>
        <v>0</v>
      </c>
      <c r="I168" s="8">
        <v>2411</v>
      </c>
      <c r="J168" s="9"/>
      <c r="K168" s="8">
        <f t="shared" si="21"/>
        <v>28932</v>
      </c>
      <c r="L168" s="7">
        <f t="shared" si="22"/>
        <v>0</v>
      </c>
      <c r="M168" s="10">
        <f t="shared" si="25"/>
        <v>1</v>
      </c>
      <c r="N168" s="11">
        <f t="shared" si="23"/>
        <v>0.19442140190792201</v>
      </c>
      <c r="O168" s="8">
        <f t="shared" si="26"/>
        <v>11250</v>
      </c>
      <c r="P168" s="12">
        <f t="shared" si="24"/>
        <v>0</v>
      </c>
    </row>
    <row r="169" spans="1:16">
      <c r="A169" s="2">
        <v>46006</v>
      </c>
      <c r="B169" s="3">
        <f>Data_Entry!T261</f>
        <v>11460.0000000001</v>
      </c>
      <c r="C169" s="4">
        <f>Data_Entry!V261</f>
        <v>4.01</v>
      </c>
      <c r="D169" s="5">
        <f t="shared" si="18"/>
        <v>0.198050601410205</v>
      </c>
      <c r="E169" s="6">
        <v>0</v>
      </c>
      <c r="F169" s="6">
        <v>0</v>
      </c>
      <c r="G169" s="7">
        <f t="shared" si="19"/>
        <v>0</v>
      </c>
      <c r="H169" s="7">
        <f t="shared" si="20"/>
        <v>0</v>
      </c>
      <c r="I169" s="8">
        <v>2411</v>
      </c>
      <c r="J169" s="9"/>
      <c r="K169" s="8">
        <f t="shared" si="21"/>
        <v>28932</v>
      </c>
      <c r="L169" s="7">
        <f t="shared" si="22"/>
        <v>0</v>
      </c>
      <c r="M169" s="10">
        <f t="shared" si="25"/>
        <v>1</v>
      </c>
      <c r="N169" s="11">
        <f t="shared" si="23"/>
        <v>0.198050601410205</v>
      </c>
      <c r="O169" s="8">
        <f t="shared" si="26"/>
        <v>11460.0000000001</v>
      </c>
      <c r="P169" s="12">
        <f t="shared" si="24"/>
        <v>0</v>
      </c>
    </row>
    <row r="170" spans="1:16">
      <c r="A170" s="2">
        <v>46007</v>
      </c>
      <c r="B170" s="3">
        <f>Data_Entry!T262</f>
        <v>11160</v>
      </c>
      <c r="C170" s="4">
        <f>Data_Entry!V262</f>
        <v>3.7</v>
      </c>
      <c r="D170" s="5">
        <f t="shared" si="18"/>
        <v>0.19286603069265901</v>
      </c>
      <c r="E170" s="6">
        <v>0</v>
      </c>
      <c r="F170" s="6">
        <v>0</v>
      </c>
      <c r="G170" s="7">
        <f t="shared" si="19"/>
        <v>0</v>
      </c>
      <c r="H170" s="7">
        <f t="shared" si="20"/>
        <v>0</v>
      </c>
      <c r="I170" s="8">
        <v>2411</v>
      </c>
      <c r="J170" s="9"/>
      <c r="K170" s="8">
        <f t="shared" si="21"/>
        <v>28932</v>
      </c>
      <c r="L170" s="7">
        <f t="shared" si="22"/>
        <v>0</v>
      </c>
      <c r="M170" s="10">
        <f t="shared" si="25"/>
        <v>1</v>
      </c>
      <c r="N170" s="11">
        <f t="shared" si="23"/>
        <v>0.19286603069265901</v>
      </c>
      <c r="O170" s="8">
        <f t="shared" si="26"/>
        <v>11160</v>
      </c>
      <c r="P170" s="12">
        <f t="shared" si="24"/>
        <v>0</v>
      </c>
    </row>
    <row r="171" spans="1:16">
      <c r="A171" s="2">
        <v>46008</v>
      </c>
      <c r="B171" s="3">
        <f>Data_Entry!T263</f>
        <v>10379.9999999998</v>
      </c>
      <c r="C171" s="4">
        <f>Data_Entry!V263</f>
        <v>3.62</v>
      </c>
      <c r="D171" s="5">
        <f t="shared" si="18"/>
        <v>0.17938614682703899</v>
      </c>
      <c r="E171" s="6">
        <v>0</v>
      </c>
      <c r="F171" s="6">
        <v>0</v>
      </c>
      <c r="G171" s="7">
        <f t="shared" si="19"/>
        <v>0</v>
      </c>
      <c r="H171" s="7">
        <f t="shared" si="20"/>
        <v>0</v>
      </c>
      <c r="I171" s="8">
        <v>2411</v>
      </c>
      <c r="J171" s="9"/>
      <c r="K171" s="8">
        <f t="shared" si="21"/>
        <v>28932</v>
      </c>
      <c r="L171" s="7">
        <f t="shared" si="22"/>
        <v>0</v>
      </c>
      <c r="M171" s="10">
        <f t="shared" si="25"/>
        <v>1</v>
      </c>
      <c r="N171" s="11">
        <f t="shared" si="23"/>
        <v>0.17938614682703899</v>
      </c>
      <c r="O171" s="8">
        <f t="shared" si="26"/>
        <v>10379.9999999998</v>
      </c>
      <c r="P171" s="12">
        <f t="shared" si="24"/>
        <v>0</v>
      </c>
    </row>
    <row r="172" spans="1:16">
      <c r="A172" s="2">
        <v>46009</v>
      </c>
      <c r="B172" s="3">
        <f>Data_Entry!T264</f>
        <v>10650.0000000002</v>
      </c>
      <c r="C172" s="4">
        <f>Data_Entry!V264</f>
        <v>3.73</v>
      </c>
      <c r="D172" s="5">
        <f t="shared" si="18"/>
        <v>0.18405226047283599</v>
      </c>
      <c r="E172" s="6">
        <v>0</v>
      </c>
      <c r="F172" s="6">
        <v>0</v>
      </c>
      <c r="G172" s="7">
        <f t="shared" si="19"/>
        <v>0</v>
      </c>
      <c r="H172" s="7">
        <f t="shared" si="20"/>
        <v>0</v>
      </c>
      <c r="I172" s="8">
        <v>2411</v>
      </c>
      <c r="J172" s="9"/>
      <c r="K172" s="8">
        <f t="shared" si="21"/>
        <v>28932</v>
      </c>
      <c r="L172" s="7">
        <f t="shared" si="22"/>
        <v>0</v>
      </c>
      <c r="M172" s="10">
        <f t="shared" si="25"/>
        <v>1</v>
      </c>
      <c r="N172" s="11">
        <f t="shared" si="23"/>
        <v>0.18405226047283599</v>
      </c>
      <c r="O172" s="8">
        <f t="shared" si="26"/>
        <v>10650.0000000002</v>
      </c>
      <c r="P172" s="12">
        <f t="shared" si="24"/>
        <v>0</v>
      </c>
    </row>
    <row r="173" spans="1:16">
      <c r="A173" s="2">
        <v>46010</v>
      </c>
      <c r="B173" s="3">
        <f>Data_Entry!T265</f>
        <v>11669.9999999999</v>
      </c>
      <c r="C173" s="4">
        <f>Data_Entry!V265</f>
        <v>4.1100000000000003</v>
      </c>
      <c r="D173" s="5">
        <f t="shared" si="18"/>
        <v>0.201679800912483</v>
      </c>
      <c r="E173" s="6">
        <v>0</v>
      </c>
      <c r="F173" s="6">
        <v>0</v>
      </c>
      <c r="G173" s="7">
        <f t="shared" si="19"/>
        <v>0</v>
      </c>
      <c r="H173" s="7">
        <f t="shared" si="20"/>
        <v>0</v>
      </c>
      <c r="I173" s="8">
        <v>2411</v>
      </c>
      <c r="J173" s="9"/>
      <c r="K173" s="8">
        <f t="shared" si="21"/>
        <v>28932</v>
      </c>
      <c r="L173" s="7">
        <f t="shared" si="22"/>
        <v>0</v>
      </c>
      <c r="M173" s="10">
        <f t="shared" si="25"/>
        <v>1</v>
      </c>
      <c r="N173" s="11">
        <f t="shared" si="23"/>
        <v>0.201679800912483</v>
      </c>
      <c r="O173" s="8">
        <f t="shared" si="26"/>
        <v>11669.9999999999</v>
      </c>
      <c r="P173" s="12">
        <f t="shared" si="24"/>
        <v>0</v>
      </c>
    </row>
    <row r="174" spans="1:16">
      <c r="A174" s="2">
        <v>46011</v>
      </c>
      <c r="B174" s="3">
        <f>Data_Entry!T266</f>
        <v>11729.9999999999</v>
      </c>
      <c r="C174" s="4">
        <f>Data_Entry!V266</f>
        <v>4.0999999999999996</v>
      </c>
      <c r="D174" s="5">
        <f t="shared" si="18"/>
        <v>0.20271671505599101</v>
      </c>
      <c r="E174" s="6">
        <v>0</v>
      </c>
      <c r="F174" s="6">
        <v>0</v>
      </c>
      <c r="G174" s="7">
        <f t="shared" si="19"/>
        <v>0</v>
      </c>
      <c r="H174" s="7">
        <f t="shared" si="20"/>
        <v>0</v>
      </c>
      <c r="I174" s="8">
        <v>2411</v>
      </c>
      <c r="J174" s="9"/>
      <c r="K174" s="8">
        <f t="shared" si="21"/>
        <v>28932</v>
      </c>
      <c r="L174" s="7">
        <f t="shared" si="22"/>
        <v>0</v>
      </c>
      <c r="M174" s="10">
        <f t="shared" si="25"/>
        <v>1</v>
      </c>
      <c r="N174" s="11">
        <f t="shared" si="23"/>
        <v>0.20271671505599101</v>
      </c>
      <c r="O174" s="8">
        <f t="shared" si="26"/>
        <v>11729.9999999999</v>
      </c>
      <c r="P174" s="12">
        <f t="shared" si="24"/>
        <v>0</v>
      </c>
    </row>
    <row r="175" spans="1:16">
      <c r="A175" s="2">
        <v>46012</v>
      </c>
      <c r="B175" s="3">
        <f>Data_Entry!T267</f>
        <v>9840.0000000002601</v>
      </c>
      <c r="C175" s="4">
        <f>Data_Entry!V267</f>
        <v>3.4</v>
      </c>
      <c r="D175" s="5">
        <f t="shared" si="18"/>
        <v>0.170053919535467</v>
      </c>
      <c r="E175" s="6">
        <v>0</v>
      </c>
      <c r="F175" s="6">
        <v>0</v>
      </c>
      <c r="G175" s="7">
        <f t="shared" si="19"/>
        <v>0</v>
      </c>
      <c r="H175" s="7">
        <f t="shared" si="20"/>
        <v>0</v>
      </c>
      <c r="I175" s="8">
        <v>2411</v>
      </c>
      <c r="J175" s="9"/>
      <c r="K175" s="8">
        <f t="shared" si="21"/>
        <v>28932</v>
      </c>
      <c r="L175" s="7">
        <f t="shared" si="22"/>
        <v>0</v>
      </c>
      <c r="M175" s="10">
        <f t="shared" si="25"/>
        <v>1</v>
      </c>
      <c r="N175" s="11">
        <f t="shared" si="23"/>
        <v>0.170053919535467</v>
      </c>
      <c r="O175" s="8">
        <f t="shared" si="26"/>
        <v>9840.0000000002601</v>
      </c>
      <c r="P175" s="12">
        <f t="shared" si="24"/>
        <v>0</v>
      </c>
    </row>
    <row r="176" spans="1:16">
      <c r="A176" s="2">
        <v>46013</v>
      </c>
      <c r="B176" s="3">
        <f>Data_Entry!T268</f>
        <v>11039.9999999998</v>
      </c>
      <c r="C176" s="4">
        <f>Data_Entry!V268</f>
        <v>3.82</v>
      </c>
      <c r="D176" s="5">
        <f t="shared" si="18"/>
        <v>0.19079220240563799</v>
      </c>
      <c r="E176" s="6">
        <v>0</v>
      </c>
      <c r="F176" s="6">
        <v>0</v>
      </c>
      <c r="G176" s="7">
        <f t="shared" si="19"/>
        <v>0</v>
      </c>
      <c r="H176" s="7">
        <f t="shared" si="20"/>
        <v>0</v>
      </c>
      <c r="I176" s="8">
        <v>2411</v>
      </c>
      <c r="J176" s="9"/>
      <c r="K176" s="8">
        <f t="shared" si="21"/>
        <v>28932</v>
      </c>
      <c r="L176" s="7">
        <f t="shared" si="22"/>
        <v>0</v>
      </c>
      <c r="M176" s="10">
        <f t="shared" si="25"/>
        <v>1</v>
      </c>
      <c r="N176" s="11">
        <f t="shared" si="23"/>
        <v>0.19079220240563799</v>
      </c>
      <c r="O176" s="8">
        <f t="shared" si="26"/>
        <v>11039.9999999998</v>
      </c>
      <c r="P176" s="12">
        <f t="shared" si="24"/>
        <v>0</v>
      </c>
    </row>
    <row r="177" spans="1:16">
      <c r="A177" s="2">
        <v>46014</v>
      </c>
      <c r="B177" s="3">
        <f>Data_Entry!T269</f>
        <v>11100.0000000001</v>
      </c>
      <c r="C177" s="4">
        <f>Data_Entry!V269</f>
        <v>3.85</v>
      </c>
      <c r="D177" s="5">
        <f t="shared" si="18"/>
        <v>0.191829116549152</v>
      </c>
      <c r="E177" s="6">
        <v>0</v>
      </c>
      <c r="F177" s="6">
        <v>0</v>
      </c>
      <c r="G177" s="7">
        <f t="shared" si="19"/>
        <v>0</v>
      </c>
      <c r="H177" s="7">
        <f t="shared" si="20"/>
        <v>0</v>
      </c>
      <c r="I177" s="8">
        <v>2411</v>
      </c>
      <c r="J177" s="9"/>
      <c r="K177" s="8">
        <f t="shared" si="21"/>
        <v>28932</v>
      </c>
      <c r="L177" s="7">
        <f t="shared" si="22"/>
        <v>0</v>
      </c>
      <c r="M177" s="10">
        <f t="shared" si="25"/>
        <v>1</v>
      </c>
      <c r="N177" s="11">
        <f t="shared" si="23"/>
        <v>0.191829116549152</v>
      </c>
      <c r="O177" s="8">
        <f t="shared" si="26"/>
        <v>11100.0000000001</v>
      </c>
      <c r="P177" s="12">
        <f t="shared" si="24"/>
        <v>0</v>
      </c>
    </row>
    <row r="178" spans="1:16">
      <c r="A178" s="2">
        <v>46015</v>
      </c>
      <c r="B178" s="3">
        <f>Data_Entry!T270</f>
        <v>11250</v>
      </c>
      <c r="C178" s="4">
        <f>Data_Entry!V270</f>
        <v>3.91</v>
      </c>
      <c r="D178" s="5">
        <f t="shared" si="18"/>
        <v>0.19442140190792201</v>
      </c>
      <c r="E178" s="6">
        <v>0</v>
      </c>
      <c r="F178" s="6">
        <v>0</v>
      </c>
      <c r="G178" s="7">
        <f t="shared" si="19"/>
        <v>0</v>
      </c>
      <c r="H178" s="7">
        <f t="shared" si="20"/>
        <v>0</v>
      </c>
      <c r="I178" s="8">
        <v>2411</v>
      </c>
      <c r="J178" s="9"/>
      <c r="K178" s="8">
        <f t="shared" si="21"/>
        <v>28932</v>
      </c>
      <c r="L178" s="7">
        <f t="shared" si="22"/>
        <v>0</v>
      </c>
      <c r="M178" s="10">
        <f t="shared" si="25"/>
        <v>1</v>
      </c>
      <c r="N178" s="11">
        <f t="shared" si="23"/>
        <v>0.19442140190792201</v>
      </c>
      <c r="O178" s="8">
        <f t="shared" si="26"/>
        <v>11250</v>
      </c>
      <c r="P178" s="12">
        <f t="shared" si="24"/>
        <v>0</v>
      </c>
    </row>
    <row r="179" spans="1:16">
      <c r="A179" s="2">
        <v>46016</v>
      </c>
      <c r="B179" s="3">
        <f>Data_Entry!T271</f>
        <v>11070.0000000001</v>
      </c>
      <c r="C179" s="4">
        <f>Data_Entry!V271</f>
        <v>3.88</v>
      </c>
      <c r="D179" s="5">
        <f t="shared" si="18"/>
        <v>0.191310659477397</v>
      </c>
      <c r="E179" s="6">
        <v>0</v>
      </c>
      <c r="F179" s="6">
        <v>0</v>
      </c>
      <c r="G179" s="7">
        <f t="shared" si="19"/>
        <v>0</v>
      </c>
      <c r="H179" s="7">
        <f t="shared" si="20"/>
        <v>0</v>
      </c>
      <c r="I179" s="8">
        <v>2411</v>
      </c>
      <c r="J179" s="9"/>
      <c r="K179" s="8">
        <f t="shared" si="21"/>
        <v>28932</v>
      </c>
      <c r="L179" s="7">
        <f t="shared" si="22"/>
        <v>0</v>
      </c>
      <c r="M179" s="10">
        <f t="shared" si="25"/>
        <v>1</v>
      </c>
      <c r="N179" s="11">
        <f t="shared" si="23"/>
        <v>0.191310659477397</v>
      </c>
      <c r="O179" s="8">
        <f t="shared" si="26"/>
        <v>11070.0000000001</v>
      </c>
      <c r="P179" s="12">
        <f t="shared" si="24"/>
        <v>0</v>
      </c>
    </row>
    <row r="180" spans="1:16">
      <c r="A180" s="2">
        <v>46017</v>
      </c>
      <c r="B180" s="3">
        <f>Data_Entry!T272</f>
        <v>10589.9999999999</v>
      </c>
      <c r="C180" s="4">
        <f>Data_Entry!V272</f>
        <v>3.74</v>
      </c>
      <c r="D180" s="5">
        <f t="shared" si="18"/>
        <v>0.18301534632932201</v>
      </c>
      <c r="E180" s="6">
        <v>0</v>
      </c>
      <c r="F180" s="6">
        <v>0</v>
      </c>
      <c r="G180" s="7">
        <f t="shared" si="19"/>
        <v>0</v>
      </c>
      <c r="H180" s="7">
        <f t="shared" si="20"/>
        <v>0</v>
      </c>
      <c r="I180" s="8">
        <v>2411</v>
      </c>
      <c r="J180" s="9"/>
      <c r="K180" s="8">
        <f t="shared" si="21"/>
        <v>28932</v>
      </c>
      <c r="L180" s="7">
        <f t="shared" si="22"/>
        <v>0</v>
      </c>
      <c r="M180" s="10">
        <f t="shared" si="25"/>
        <v>1</v>
      </c>
      <c r="N180" s="11">
        <f t="shared" si="23"/>
        <v>0.18301534632932201</v>
      </c>
      <c r="O180" s="8">
        <f t="shared" si="26"/>
        <v>10589.9999999999</v>
      </c>
      <c r="P180" s="12">
        <f t="shared" si="24"/>
        <v>0</v>
      </c>
    </row>
    <row r="181" spans="1:16">
      <c r="A181" s="2">
        <v>46018</v>
      </c>
      <c r="B181" s="3">
        <f>Data_Entry!T273</f>
        <v>9899.9999999998108</v>
      </c>
      <c r="C181" s="4">
        <f>Data_Entry!V273</f>
        <v>3.61</v>
      </c>
      <c r="D181" s="5">
        <f t="shared" si="18"/>
        <v>0.17109083367896799</v>
      </c>
      <c r="E181" s="6">
        <v>0</v>
      </c>
      <c r="F181" s="6">
        <v>0</v>
      </c>
      <c r="G181" s="7">
        <f t="shared" si="19"/>
        <v>0</v>
      </c>
      <c r="H181" s="7">
        <f t="shared" si="20"/>
        <v>0</v>
      </c>
      <c r="I181" s="8">
        <v>2411</v>
      </c>
      <c r="J181" s="9"/>
      <c r="K181" s="8">
        <f t="shared" si="21"/>
        <v>28932</v>
      </c>
      <c r="L181" s="7">
        <f t="shared" si="22"/>
        <v>0</v>
      </c>
      <c r="M181" s="10">
        <f t="shared" si="25"/>
        <v>1</v>
      </c>
      <c r="N181" s="11">
        <f t="shared" si="23"/>
        <v>0.17109083367896799</v>
      </c>
      <c r="O181" s="8">
        <f t="shared" si="26"/>
        <v>9899.9999999998108</v>
      </c>
      <c r="P181" s="12">
        <f t="shared" si="24"/>
        <v>0</v>
      </c>
    </row>
    <row r="182" spans="1:16">
      <c r="A182" s="2">
        <v>46019</v>
      </c>
      <c r="B182" s="3">
        <f>Data_Entry!T274</f>
        <v>10230.0000000002</v>
      </c>
      <c r="C182" s="4">
        <f>Data_Entry!V274</f>
        <v>3.63</v>
      </c>
      <c r="D182" s="5">
        <f t="shared" si="18"/>
        <v>0.176793861468274</v>
      </c>
      <c r="E182" s="6">
        <v>0</v>
      </c>
      <c r="F182" s="6">
        <v>0</v>
      </c>
      <c r="G182" s="7">
        <f t="shared" si="19"/>
        <v>0</v>
      </c>
      <c r="H182" s="7">
        <f t="shared" si="20"/>
        <v>0</v>
      </c>
      <c r="I182" s="8">
        <v>2411</v>
      </c>
      <c r="J182" s="9"/>
      <c r="K182" s="8">
        <f t="shared" si="21"/>
        <v>28932</v>
      </c>
      <c r="L182" s="7">
        <f t="shared" si="22"/>
        <v>0</v>
      </c>
      <c r="M182" s="10">
        <f t="shared" si="25"/>
        <v>1</v>
      </c>
      <c r="N182" s="11">
        <f t="shared" si="23"/>
        <v>0.176793861468274</v>
      </c>
      <c r="O182" s="8">
        <f t="shared" si="26"/>
        <v>10230.0000000002</v>
      </c>
      <c r="P182" s="12">
        <f t="shared" si="24"/>
        <v>0</v>
      </c>
    </row>
    <row r="183" spans="1:16">
      <c r="A183" s="2">
        <v>46020</v>
      </c>
      <c r="B183" s="3">
        <f>Data_Entry!T275</f>
        <v>10110</v>
      </c>
      <c r="C183" s="4">
        <f>Data_Entry!V275</f>
        <v>3.61</v>
      </c>
      <c r="D183" s="5">
        <f t="shared" si="18"/>
        <v>0.17472003318125201</v>
      </c>
      <c r="E183" s="6">
        <v>0</v>
      </c>
      <c r="F183" s="6">
        <v>0</v>
      </c>
      <c r="G183" s="7">
        <f t="shared" si="19"/>
        <v>0</v>
      </c>
      <c r="H183" s="7">
        <f t="shared" si="20"/>
        <v>0</v>
      </c>
      <c r="I183" s="8">
        <v>2411</v>
      </c>
      <c r="J183" s="9"/>
      <c r="K183" s="8">
        <f t="shared" si="21"/>
        <v>28932</v>
      </c>
      <c r="L183" s="7">
        <f t="shared" si="22"/>
        <v>0</v>
      </c>
      <c r="M183" s="10">
        <f t="shared" si="25"/>
        <v>1</v>
      </c>
      <c r="N183" s="11">
        <f t="shared" si="23"/>
        <v>0.17472003318125201</v>
      </c>
      <c r="O183" s="8">
        <f t="shared" si="26"/>
        <v>10110</v>
      </c>
      <c r="P183" s="12">
        <f t="shared" si="24"/>
        <v>0</v>
      </c>
    </row>
    <row r="184" spans="1:16">
      <c r="A184" s="2">
        <v>46021</v>
      </c>
      <c r="B184" s="3">
        <f>Data_Entry!T276</f>
        <v>9869.9999999998599</v>
      </c>
      <c r="C184" s="4">
        <f>Data_Entry!V276</f>
        <v>3.5</v>
      </c>
      <c r="D184" s="5">
        <f t="shared" si="18"/>
        <v>0.170572376607215</v>
      </c>
      <c r="E184" s="6">
        <v>0</v>
      </c>
      <c r="F184" s="6">
        <v>0</v>
      </c>
      <c r="G184" s="7">
        <f t="shared" si="19"/>
        <v>0</v>
      </c>
      <c r="H184" s="7">
        <f t="shared" si="20"/>
        <v>0</v>
      </c>
      <c r="I184" s="8">
        <v>2411</v>
      </c>
      <c r="J184" s="9"/>
      <c r="K184" s="8">
        <f t="shared" si="21"/>
        <v>28932</v>
      </c>
      <c r="L184" s="7">
        <f t="shared" si="22"/>
        <v>0</v>
      </c>
      <c r="M184" s="10">
        <f t="shared" si="25"/>
        <v>1</v>
      </c>
      <c r="N184" s="11">
        <f t="shared" si="23"/>
        <v>0.170572376607215</v>
      </c>
      <c r="O184" s="8">
        <f t="shared" si="26"/>
        <v>9869.9999999998599</v>
      </c>
      <c r="P184" s="12">
        <f t="shared" si="24"/>
        <v>0</v>
      </c>
    </row>
    <row r="185" spans="1:16">
      <c r="A185" s="2">
        <v>46022</v>
      </c>
      <c r="B185" s="3">
        <f>Data_Entry!T277</f>
        <v>8160.00000000003</v>
      </c>
      <c r="C185" s="4">
        <f>Data_Entry!V277</f>
        <v>3</v>
      </c>
      <c r="D185" s="5">
        <f t="shared" si="18"/>
        <v>0.141020323517213</v>
      </c>
      <c r="E185" s="6">
        <v>0</v>
      </c>
      <c r="F185" s="6">
        <v>0</v>
      </c>
      <c r="G185" s="7">
        <f t="shared" si="19"/>
        <v>0</v>
      </c>
      <c r="H185" s="7">
        <f t="shared" si="20"/>
        <v>0</v>
      </c>
      <c r="I185" s="8">
        <v>2411</v>
      </c>
      <c r="J185" s="9"/>
      <c r="K185" s="8">
        <f t="shared" si="21"/>
        <v>28932</v>
      </c>
      <c r="L185" s="7">
        <f t="shared" si="22"/>
        <v>0</v>
      </c>
      <c r="M185" s="10">
        <f t="shared" si="25"/>
        <v>1</v>
      </c>
      <c r="N185" s="11">
        <f t="shared" si="23"/>
        <v>0.141020323517213</v>
      </c>
      <c r="O185" s="8">
        <f t="shared" si="26"/>
        <v>8160.00000000003</v>
      </c>
      <c r="P185" s="12">
        <f t="shared" si="24"/>
        <v>0</v>
      </c>
    </row>
    <row r="186" spans="1:16">
      <c r="A186" s="2">
        <v>46023</v>
      </c>
      <c r="B186" s="3">
        <f>Data_Entry!T278</f>
        <v>10529.9999999999</v>
      </c>
      <c r="C186" s="4">
        <f>Data_Entry!V278</f>
        <v>3.56</v>
      </c>
      <c r="D186" s="5">
        <f t="shared" si="18"/>
        <v>0.181978432185814</v>
      </c>
      <c r="E186" s="6">
        <v>0</v>
      </c>
      <c r="F186" s="6">
        <v>0</v>
      </c>
      <c r="G186" s="7">
        <f t="shared" si="19"/>
        <v>0</v>
      </c>
      <c r="H186" s="7">
        <f t="shared" si="20"/>
        <v>0</v>
      </c>
      <c r="I186" s="8">
        <v>2411</v>
      </c>
      <c r="J186" s="9"/>
      <c r="K186" s="8">
        <f t="shared" si="21"/>
        <v>28932</v>
      </c>
      <c r="L186" s="7">
        <f t="shared" si="22"/>
        <v>0</v>
      </c>
      <c r="M186" s="10">
        <f t="shared" si="25"/>
        <v>1</v>
      </c>
      <c r="N186" s="11">
        <f t="shared" si="23"/>
        <v>0.181978432185814</v>
      </c>
      <c r="O186" s="8">
        <f t="shared" si="26"/>
        <v>10529.9999999999</v>
      </c>
      <c r="P186" s="12">
        <f t="shared" si="24"/>
        <v>0</v>
      </c>
    </row>
    <row r="187" spans="1:16">
      <c r="A187" s="2">
        <v>46024</v>
      </c>
      <c r="B187" s="3">
        <f>Data_Entry!T279</f>
        <v>11310.0000000003</v>
      </c>
      <c r="C187" s="4">
        <f>Data_Entry!V279</f>
        <v>3.9</v>
      </c>
      <c r="D187" s="5">
        <f t="shared" si="18"/>
        <v>0.19545831605143499</v>
      </c>
      <c r="E187" s="6">
        <v>0</v>
      </c>
      <c r="F187" s="6">
        <v>0</v>
      </c>
      <c r="G187" s="7">
        <f t="shared" si="19"/>
        <v>0</v>
      </c>
      <c r="H187" s="7">
        <f t="shared" si="20"/>
        <v>0</v>
      </c>
      <c r="I187" s="8">
        <v>2411</v>
      </c>
      <c r="J187" s="9"/>
      <c r="K187" s="8">
        <f t="shared" si="21"/>
        <v>28932</v>
      </c>
      <c r="L187" s="7">
        <f t="shared" si="22"/>
        <v>0</v>
      </c>
      <c r="M187" s="10">
        <f t="shared" si="25"/>
        <v>1</v>
      </c>
      <c r="N187" s="11">
        <f t="shared" si="23"/>
        <v>0.19545831605143499</v>
      </c>
      <c r="O187" s="8">
        <f t="shared" si="26"/>
        <v>11310.0000000003</v>
      </c>
      <c r="P187" s="12">
        <f t="shared" si="24"/>
        <v>0</v>
      </c>
    </row>
    <row r="188" spans="1:16">
      <c r="A188" s="2">
        <v>46025</v>
      </c>
      <c r="B188" s="3">
        <f>Data_Entry!T280</f>
        <v>10769.9999999997</v>
      </c>
      <c r="C188" s="4">
        <f>Data_Entry!V280</f>
        <v>4.01</v>
      </c>
      <c r="D188" s="5">
        <f t="shared" si="18"/>
        <v>0.18612608875984599</v>
      </c>
      <c r="E188" s="6">
        <v>0.34722222222222199</v>
      </c>
      <c r="F188" s="6">
        <v>0.41666666666666702</v>
      </c>
      <c r="G188" s="7">
        <f t="shared" si="19"/>
        <v>100.00000000000099</v>
      </c>
      <c r="H188" s="7">
        <f t="shared" si="20"/>
        <v>1.6666666666666801</v>
      </c>
      <c r="I188" s="8">
        <v>2411</v>
      </c>
      <c r="J188" s="9">
        <v>2411</v>
      </c>
      <c r="K188" s="8">
        <f t="shared" si="21"/>
        <v>28932</v>
      </c>
      <c r="L188" s="7">
        <f t="shared" si="22"/>
        <v>4018.3333333333699</v>
      </c>
      <c r="M188" s="10">
        <f t="shared" si="25"/>
        <v>0.86111111111111005</v>
      </c>
      <c r="N188" s="11">
        <f t="shared" si="23"/>
        <v>0.216146425656596</v>
      </c>
      <c r="O188" s="8">
        <f t="shared" si="26"/>
        <v>12507.0967741932</v>
      </c>
      <c r="P188" s="12">
        <f t="shared" si="24"/>
        <v>1737.0967741935201</v>
      </c>
    </row>
    <row r="189" spans="1:16">
      <c r="A189" s="2">
        <v>46026</v>
      </c>
      <c r="B189" s="3">
        <f>Data_Entry!T281</f>
        <v>11880.0000000004</v>
      </c>
      <c r="C189" s="4">
        <f>Data_Entry!V281</f>
        <v>4.18</v>
      </c>
      <c r="D189" s="5">
        <f t="shared" si="18"/>
        <v>0.20530900041477301</v>
      </c>
      <c r="E189" s="6">
        <v>0</v>
      </c>
      <c r="F189" s="6">
        <v>0</v>
      </c>
      <c r="G189" s="7">
        <f t="shared" si="19"/>
        <v>0</v>
      </c>
      <c r="H189" s="7">
        <f t="shared" si="20"/>
        <v>0</v>
      </c>
      <c r="I189" s="8">
        <v>2411</v>
      </c>
      <c r="J189" s="9"/>
      <c r="K189" s="8">
        <f t="shared" si="21"/>
        <v>28932</v>
      </c>
      <c r="L189" s="7">
        <f t="shared" si="22"/>
        <v>0</v>
      </c>
      <c r="M189" s="10">
        <f t="shared" si="25"/>
        <v>1</v>
      </c>
      <c r="N189" s="11">
        <f t="shared" si="23"/>
        <v>0.20530900041477301</v>
      </c>
      <c r="O189" s="8">
        <f t="shared" si="26"/>
        <v>11880.0000000004</v>
      </c>
      <c r="P189" s="12">
        <f t="shared" si="24"/>
        <v>0</v>
      </c>
    </row>
    <row r="190" spans="1:16">
      <c r="A190" s="2">
        <v>46027</v>
      </c>
      <c r="B190" s="3">
        <f>Data_Entry!T282</f>
        <v>11160.0000000001</v>
      </c>
      <c r="C190" s="4">
        <f>Data_Entry!V282</f>
        <v>3.98</v>
      </c>
      <c r="D190" s="5">
        <f t="shared" si="18"/>
        <v>0.19286603069266001</v>
      </c>
      <c r="E190" s="6">
        <v>0</v>
      </c>
      <c r="F190" s="6">
        <v>0</v>
      </c>
      <c r="G190" s="7">
        <f t="shared" si="19"/>
        <v>0</v>
      </c>
      <c r="H190" s="7">
        <f t="shared" si="20"/>
        <v>0</v>
      </c>
      <c r="I190" s="8">
        <v>2411</v>
      </c>
      <c r="J190" s="9"/>
      <c r="K190" s="8">
        <f t="shared" si="21"/>
        <v>28932</v>
      </c>
      <c r="L190" s="7">
        <f t="shared" si="22"/>
        <v>0</v>
      </c>
      <c r="M190" s="10">
        <f t="shared" si="25"/>
        <v>1</v>
      </c>
      <c r="N190" s="11">
        <f t="shared" si="23"/>
        <v>0.19286603069266001</v>
      </c>
      <c r="O190" s="8">
        <f t="shared" si="26"/>
        <v>11160.0000000001</v>
      </c>
      <c r="P190" s="12">
        <f t="shared" si="24"/>
        <v>0</v>
      </c>
    </row>
    <row r="191" spans="1:16">
      <c r="A191" s="2">
        <v>46028</v>
      </c>
      <c r="B191" s="3">
        <f>Data_Entry!T283</f>
        <v>11339.9999999999</v>
      </c>
      <c r="C191" s="4">
        <f>Data_Entry!V283</f>
        <v>4.03</v>
      </c>
      <c r="D191" s="5">
        <f t="shared" si="18"/>
        <v>0.19597677312318401</v>
      </c>
      <c r="E191" s="6">
        <v>0</v>
      </c>
      <c r="F191" s="6">
        <v>0</v>
      </c>
      <c r="G191" s="7">
        <f t="shared" si="19"/>
        <v>0</v>
      </c>
      <c r="H191" s="7">
        <f t="shared" si="20"/>
        <v>0</v>
      </c>
      <c r="I191" s="8">
        <v>2411</v>
      </c>
      <c r="J191" s="9"/>
      <c r="K191" s="8">
        <f t="shared" si="21"/>
        <v>28932</v>
      </c>
      <c r="L191" s="7">
        <f t="shared" si="22"/>
        <v>0</v>
      </c>
      <c r="M191" s="10">
        <f t="shared" si="25"/>
        <v>1</v>
      </c>
      <c r="N191" s="11">
        <f t="shared" si="23"/>
        <v>0.19597677312318401</v>
      </c>
      <c r="O191" s="8">
        <f t="shared" si="26"/>
        <v>11339.9999999999</v>
      </c>
      <c r="P191" s="12">
        <f t="shared" si="24"/>
        <v>0</v>
      </c>
    </row>
    <row r="192" spans="1:16">
      <c r="A192" s="2">
        <v>46029</v>
      </c>
      <c r="B192" s="3">
        <f>Data_Entry!T284</f>
        <v>11369.9999999999</v>
      </c>
      <c r="C192" s="4">
        <f>Data_Entry!V284</f>
        <v>3.98</v>
      </c>
      <c r="D192" s="5">
        <f t="shared" si="18"/>
        <v>0.196495230194938</v>
      </c>
      <c r="E192" s="6">
        <v>0</v>
      </c>
      <c r="F192" s="6">
        <v>0</v>
      </c>
      <c r="G192" s="7">
        <f t="shared" si="19"/>
        <v>0</v>
      </c>
      <c r="H192" s="7">
        <f t="shared" si="20"/>
        <v>0</v>
      </c>
      <c r="I192" s="8">
        <v>2411</v>
      </c>
      <c r="J192" s="9"/>
      <c r="K192" s="8">
        <f t="shared" si="21"/>
        <v>28932</v>
      </c>
      <c r="L192" s="7">
        <f t="shared" si="22"/>
        <v>0</v>
      </c>
      <c r="M192" s="10">
        <f t="shared" si="25"/>
        <v>1</v>
      </c>
      <c r="N192" s="11">
        <f t="shared" si="23"/>
        <v>0.196495230194938</v>
      </c>
      <c r="O192" s="8">
        <f t="shared" si="26"/>
        <v>11369.9999999999</v>
      </c>
      <c r="P192" s="12">
        <f t="shared" si="24"/>
        <v>0</v>
      </c>
    </row>
    <row r="193" spans="1:16">
      <c r="A193" s="2">
        <v>46030</v>
      </c>
      <c r="B193" s="3">
        <f>Data_Entry!T285</f>
        <v>10589.9999999999</v>
      </c>
      <c r="C193" s="4">
        <f>Data_Entry!V285</f>
        <v>3.77</v>
      </c>
      <c r="D193" s="5">
        <f t="shared" si="18"/>
        <v>0.18301534632932201</v>
      </c>
      <c r="E193" s="6">
        <v>0</v>
      </c>
      <c r="F193" s="6">
        <v>0</v>
      </c>
      <c r="G193" s="7">
        <f t="shared" si="19"/>
        <v>0</v>
      </c>
      <c r="H193" s="7">
        <f t="shared" si="20"/>
        <v>0</v>
      </c>
      <c r="I193" s="8">
        <v>2411</v>
      </c>
      <c r="J193" s="9"/>
      <c r="K193" s="8">
        <f t="shared" si="21"/>
        <v>28932</v>
      </c>
      <c r="L193" s="7">
        <f t="shared" si="22"/>
        <v>0</v>
      </c>
      <c r="M193" s="10">
        <f t="shared" si="25"/>
        <v>1</v>
      </c>
      <c r="N193" s="11">
        <f t="shared" si="23"/>
        <v>0.18301534632932201</v>
      </c>
      <c r="O193" s="8">
        <f t="shared" si="26"/>
        <v>10589.9999999999</v>
      </c>
      <c r="P193" s="12">
        <f t="shared" si="24"/>
        <v>0</v>
      </c>
    </row>
    <row r="194" spans="1:16">
      <c r="A194" s="2">
        <v>46031</v>
      </c>
      <c r="B194" s="3">
        <f>Data_Entry!T286</f>
        <v>11459.9999999998</v>
      </c>
      <c r="C194" s="4">
        <f>Data_Entry!V286</f>
        <v>3.98</v>
      </c>
      <c r="D194" s="5">
        <f t="shared" ref="D194:D208" si="27">B194/(24*I194)</f>
        <v>0.19805060141019901</v>
      </c>
      <c r="E194" s="6">
        <v>0</v>
      </c>
      <c r="F194" s="6">
        <v>0</v>
      </c>
      <c r="G194" s="7">
        <f t="shared" ref="G194:G208" si="28">(F194-E194)*24*60</f>
        <v>0</v>
      </c>
      <c r="H194" s="7">
        <f t="shared" ref="H194:H208" si="29">G194/60</f>
        <v>0</v>
      </c>
      <c r="I194" s="8">
        <v>2411</v>
      </c>
      <c r="J194" s="9"/>
      <c r="K194" s="8">
        <f t="shared" ref="K194:K208" si="30">I194*12</f>
        <v>28932</v>
      </c>
      <c r="L194" s="7">
        <f t="shared" ref="L194:L208" si="31">J194*H194</f>
        <v>0</v>
      </c>
      <c r="M194" s="10">
        <f t="shared" si="25"/>
        <v>1</v>
      </c>
      <c r="N194" s="11">
        <f t="shared" ref="N194:N208" si="32">D194/M194</f>
        <v>0.19805060141019901</v>
      </c>
      <c r="O194" s="8">
        <f t="shared" si="26"/>
        <v>11459.9999999998</v>
      </c>
      <c r="P194" s="12">
        <f t="shared" ref="P194:P208" si="33">O194-B194</f>
        <v>0</v>
      </c>
    </row>
    <row r="195" spans="1:16">
      <c r="A195" s="2">
        <v>46032</v>
      </c>
      <c r="B195" s="3">
        <f>Data_Entry!T287</f>
        <v>12180.0000000005</v>
      </c>
      <c r="C195" s="4">
        <f>Data_Entry!V287</f>
        <v>4.1100000000000003</v>
      </c>
      <c r="D195" s="5">
        <f t="shared" si="27"/>
        <v>0.21049357113231901</v>
      </c>
      <c r="E195" s="6">
        <v>0</v>
      </c>
      <c r="F195" s="6">
        <v>0</v>
      </c>
      <c r="G195" s="7">
        <f t="shared" si="28"/>
        <v>0</v>
      </c>
      <c r="H195" s="7">
        <f t="shared" si="29"/>
        <v>0</v>
      </c>
      <c r="I195" s="8">
        <v>2411</v>
      </c>
      <c r="J195" s="9"/>
      <c r="K195" s="8">
        <f t="shared" si="30"/>
        <v>28932</v>
      </c>
      <c r="L195" s="7">
        <f t="shared" si="31"/>
        <v>0</v>
      </c>
      <c r="M195" s="10">
        <f t="shared" ref="M195:M208" si="34">(K195-L195)/K195</f>
        <v>1</v>
      </c>
      <c r="N195" s="11">
        <f t="shared" si="32"/>
        <v>0.21049357113231901</v>
      </c>
      <c r="O195" s="8">
        <f t="shared" ref="O195:O208" si="35">N195*I195*24</f>
        <v>12180.0000000005</v>
      </c>
      <c r="P195" s="12">
        <f t="shared" si="33"/>
        <v>0</v>
      </c>
    </row>
    <row r="196" spans="1:16">
      <c r="A196" s="2">
        <v>46033</v>
      </c>
      <c r="B196" s="3">
        <f>Data_Entry!T288</f>
        <v>12209.9999999998</v>
      </c>
      <c r="C196" s="4">
        <f>Data_Entry!V288</f>
        <v>4.08</v>
      </c>
      <c r="D196" s="5">
        <f t="shared" si="27"/>
        <v>0.21101202820406101</v>
      </c>
      <c r="E196" s="6">
        <v>0</v>
      </c>
      <c r="F196" s="6">
        <v>0</v>
      </c>
      <c r="G196" s="7">
        <f t="shared" si="28"/>
        <v>0</v>
      </c>
      <c r="H196" s="7">
        <f t="shared" si="29"/>
        <v>0</v>
      </c>
      <c r="I196" s="8">
        <v>2411</v>
      </c>
      <c r="J196" s="9"/>
      <c r="K196" s="8">
        <f t="shared" si="30"/>
        <v>28932</v>
      </c>
      <c r="L196" s="7">
        <f t="shared" si="31"/>
        <v>0</v>
      </c>
      <c r="M196" s="10">
        <f t="shared" si="34"/>
        <v>1</v>
      </c>
      <c r="N196" s="11">
        <f t="shared" si="32"/>
        <v>0.21101202820406101</v>
      </c>
      <c r="O196" s="8">
        <f t="shared" si="35"/>
        <v>12209.9999999998</v>
      </c>
      <c r="P196" s="12">
        <f t="shared" si="33"/>
        <v>0</v>
      </c>
    </row>
    <row r="197" spans="1:16">
      <c r="A197" s="2">
        <v>46034</v>
      </c>
      <c r="B197" s="3">
        <f>Data_Entry!T289</f>
        <v>11700.0000000002</v>
      </c>
      <c r="C197" s="4">
        <f>Data_Entry!V289</f>
        <v>3.95</v>
      </c>
      <c r="D197" s="5">
        <f t="shared" si="27"/>
        <v>0.20219825798424301</v>
      </c>
      <c r="E197" s="6">
        <v>0</v>
      </c>
      <c r="F197" s="6">
        <v>0</v>
      </c>
      <c r="G197" s="7">
        <f t="shared" si="28"/>
        <v>0</v>
      </c>
      <c r="H197" s="7">
        <f t="shared" si="29"/>
        <v>0</v>
      </c>
      <c r="I197" s="8">
        <v>2411</v>
      </c>
      <c r="J197" s="9"/>
      <c r="K197" s="8">
        <f t="shared" si="30"/>
        <v>28932</v>
      </c>
      <c r="L197" s="7">
        <f t="shared" si="31"/>
        <v>0</v>
      </c>
      <c r="M197" s="10">
        <f t="shared" si="34"/>
        <v>1</v>
      </c>
      <c r="N197" s="11">
        <f t="shared" si="32"/>
        <v>0.20219825798424301</v>
      </c>
      <c r="O197" s="8">
        <f t="shared" si="35"/>
        <v>11700.0000000002</v>
      </c>
      <c r="P197" s="12">
        <f t="shared" si="33"/>
        <v>0</v>
      </c>
    </row>
    <row r="198" spans="1:16">
      <c r="A198" s="2">
        <v>46035</v>
      </c>
      <c r="B198" s="3">
        <f>Data_Entry!T290</f>
        <v>11279.9999999999</v>
      </c>
      <c r="C198" s="4">
        <f>Data_Entry!V290</f>
        <v>3.88</v>
      </c>
      <c r="D198" s="5">
        <f t="shared" si="27"/>
        <v>0.194939858979676</v>
      </c>
      <c r="E198" s="6">
        <v>0</v>
      </c>
      <c r="F198" s="6">
        <v>0</v>
      </c>
      <c r="G198" s="7">
        <f t="shared" si="28"/>
        <v>0</v>
      </c>
      <c r="H198" s="7">
        <f t="shared" si="29"/>
        <v>0</v>
      </c>
      <c r="I198" s="8">
        <v>2411</v>
      </c>
      <c r="J198" s="9"/>
      <c r="K198" s="8">
        <f t="shared" si="30"/>
        <v>28932</v>
      </c>
      <c r="L198" s="7">
        <f t="shared" si="31"/>
        <v>0</v>
      </c>
      <c r="M198" s="10">
        <f t="shared" si="34"/>
        <v>1</v>
      </c>
      <c r="N198" s="11">
        <f t="shared" si="32"/>
        <v>0.194939858979676</v>
      </c>
      <c r="O198" s="8">
        <f t="shared" si="35"/>
        <v>11279.9999999999</v>
      </c>
      <c r="P198" s="12">
        <f t="shared" si="33"/>
        <v>0</v>
      </c>
    </row>
    <row r="199" spans="1:16">
      <c r="A199" s="2">
        <v>46036</v>
      </c>
      <c r="B199" s="3">
        <f>Data_Entry!T291</f>
        <v>13019.9999999997</v>
      </c>
      <c r="C199" s="4">
        <f>Data_Entry!V291</f>
        <v>4.41</v>
      </c>
      <c r="D199" s="5">
        <f t="shared" si="27"/>
        <v>0.22501036914142999</v>
      </c>
      <c r="E199" s="6">
        <v>0</v>
      </c>
      <c r="F199" s="6">
        <v>0</v>
      </c>
      <c r="G199" s="7">
        <f t="shared" si="28"/>
        <v>0</v>
      </c>
      <c r="H199" s="7">
        <f t="shared" si="29"/>
        <v>0</v>
      </c>
      <c r="I199" s="8">
        <v>2411</v>
      </c>
      <c r="J199" s="9"/>
      <c r="K199" s="8">
        <f t="shared" si="30"/>
        <v>28932</v>
      </c>
      <c r="L199" s="7">
        <f t="shared" si="31"/>
        <v>0</v>
      </c>
      <c r="M199" s="10">
        <f t="shared" si="34"/>
        <v>1</v>
      </c>
      <c r="N199" s="11">
        <f t="shared" si="32"/>
        <v>0.22501036914142999</v>
      </c>
      <c r="O199" s="8">
        <f t="shared" si="35"/>
        <v>13019.9999999997</v>
      </c>
      <c r="P199" s="12">
        <f t="shared" si="33"/>
        <v>0</v>
      </c>
    </row>
    <row r="200" spans="1:16">
      <c r="A200" s="2">
        <v>46037</v>
      </c>
      <c r="B200" s="3">
        <f>Data_Entry!T292</f>
        <v>12959.9999999998</v>
      </c>
      <c r="C200" s="4">
        <f>Data_Entry!V292</f>
        <v>4.42</v>
      </c>
      <c r="D200" s="5">
        <f t="shared" si="27"/>
        <v>0.22397345499792201</v>
      </c>
      <c r="E200" s="6">
        <v>0</v>
      </c>
      <c r="F200" s="6">
        <v>0</v>
      </c>
      <c r="G200" s="7">
        <f t="shared" si="28"/>
        <v>0</v>
      </c>
      <c r="H200" s="7">
        <f t="shared" si="29"/>
        <v>0</v>
      </c>
      <c r="I200" s="8">
        <v>2411</v>
      </c>
      <c r="J200" s="9"/>
      <c r="K200" s="8">
        <f t="shared" si="30"/>
        <v>28932</v>
      </c>
      <c r="L200" s="7">
        <f t="shared" si="31"/>
        <v>0</v>
      </c>
      <c r="M200" s="10">
        <f t="shared" si="34"/>
        <v>1</v>
      </c>
      <c r="N200" s="11">
        <f t="shared" si="32"/>
        <v>0.22397345499792201</v>
      </c>
      <c r="O200" s="8">
        <f t="shared" si="35"/>
        <v>12959.9999999998</v>
      </c>
      <c r="P200" s="12">
        <f t="shared" si="33"/>
        <v>0</v>
      </c>
    </row>
    <row r="201" spans="1:16">
      <c r="A201" s="2">
        <v>46038</v>
      </c>
      <c r="B201" s="3">
        <f>Data_Entry!T293</f>
        <v>12420.0000000003</v>
      </c>
      <c r="C201" s="4">
        <f>Data_Entry!V293</f>
        <v>4.28</v>
      </c>
      <c r="D201" s="5">
        <f t="shared" si="27"/>
        <v>0.214641227706351</v>
      </c>
      <c r="E201" s="6">
        <v>0</v>
      </c>
      <c r="F201" s="6">
        <v>0</v>
      </c>
      <c r="G201" s="7">
        <f t="shared" si="28"/>
        <v>0</v>
      </c>
      <c r="H201" s="7">
        <f t="shared" si="29"/>
        <v>0</v>
      </c>
      <c r="I201" s="8">
        <v>2411</v>
      </c>
      <c r="J201" s="9"/>
      <c r="K201" s="8">
        <f t="shared" si="30"/>
        <v>28932</v>
      </c>
      <c r="L201" s="7">
        <f t="shared" si="31"/>
        <v>0</v>
      </c>
      <c r="M201" s="10">
        <f t="shared" si="34"/>
        <v>1</v>
      </c>
      <c r="N201" s="11">
        <f t="shared" si="32"/>
        <v>0.214641227706351</v>
      </c>
      <c r="O201" s="8">
        <f t="shared" si="35"/>
        <v>12420.0000000003</v>
      </c>
      <c r="P201" s="12">
        <f t="shared" si="33"/>
        <v>0</v>
      </c>
    </row>
    <row r="202" spans="1:16">
      <c r="A202" s="2">
        <v>46039</v>
      </c>
      <c r="B202" s="3">
        <f>Data_Entry!T294</f>
        <v>12059.9999999999</v>
      </c>
      <c r="C202" s="4">
        <f>Data_Entry!V294</f>
        <v>4.07</v>
      </c>
      <c r="D202" s="5">
        <f t="shared" si="27"/>
        <v>0.208419742845291</v>
      </c>
      <c r="E202" s="6">
        <v>0</v>
      </c>
      <c r="F202" s="6">
        <v>0</v>
      </c>
      <c r="G202" s="7">
        <f t="shared" si="28"/>
        <v>0</v>
      </c>
      <c r="H202" s="7">
        <f t="shared" si="29"/>
        <v>0</v>
      </c>
      <c r="I202" s="8">
        <v>2411</v>
      </c>
      <c r="J202" s="9"/>
      <c r="K202" s="8">
        <f t="shared" si="30"/>
        <v>28932</v>
      </c>
      <c r="L202" s="7">
        <f t="shared" si="31"/>
        <v>0</v>
      </c>
      <c r="M202" s="10">
        <f t="shared" si="34"/>
        <v>1</v>
      </c>
      <c r="N202" s="11">
        <f t="shared" si="32"/>
        <v>0.208419742845291</v>
      </c>
      <c r="O202" s="8">
        <f t="shared" si="35"/>
        <v>12059.9999999999</v>
      </c>
      <c r="P202" s="12">
        <f t="shared" si="33"/>
        <v>0</v>
      </c>
    </row>
    <row r="203" spans="1:16">
      <c r="A203" s="2">
        <v>46040</v>
      </c>
      <c r="B203" s="3">
        <f>Data_Entry!T295</f>
        <v>11760.0000000002</v>
      </c>
      <c r="C203" s="4">
        <f>Data_Entry!V295</f>
        <v>3.62</v>
      </c>
      <c r="D203" s="5">
        <f t="shared" si="27"/>
        <v>0.203235172127751</v>
      </c>
      <c r="E203" s="6">
        <v>0</v>
      </c>
      <c r="F203" s="6">
        <v>0</v>
      </c>
      <c r="G203" s="7">
        <f t="shared" si="28"/>
        <v>0</v>
      </c>
      <c r="H203" s="7">
        <f t="shared" si="29"/>
        <v>0</v>
      </c>
      <c r="I203" s="8">
        <v>2411</v>
      </c>
      <c r="J203" s="9"/>
      <c r="K203" s="8">
        <f t="shared" si="30"/>
        <v>28932</v>
      </c>
      <c r="L203" s="7">
        <f t="shared" si="31"/>
        <v>0</v>
      </c>
      <c r="M203" s="10">
        <f t="shared" si="34"/>
        <v>1</v>
      </c>
      <c r="N203" s="11">
        <f t="shared" si="32"/>
        <v>0.203235172127751</v>
      </c>
      <c r="O203" s="8">
        <f t="shared" si="35"/>
        <v>11760.0000000002</v>
      </c>
      <c r="P203" s="12">
        <f t="shared" si="33"/>
        <v>0</v>
      </c>
    </row>
    <row r="204" spans="1:16">
      <c r="A204" s="2">
        <v>46041</v>
      </c>
      <c r="B204" s="3">
        <f>Data_Entry!T296</f>
        <v>12239.9999999998</v>
      </c>
      <c r="C204" s="4">
        <f>Data_Entry!V296</f>
        <v>4.1500000000000004</v>
      </c>
      <c r="D204" s="5">
        <f t="shared" si="27"/>
        <v>0.211530485275815</v>
      </c>
      <c r="E204" s="6">
        <v>0</v>
      </c>
      <c r="F204" s="6">
        <v>0</v>
      </c>
      <c r="G204" s="7">
        <f t="shared" si="28"/>
        <v>0</v>
      </c>
      <c r="H204" s="7">
        <f t="shared" si="29"/>
        <v>0</v>
      </c>
      <c r="I204" s="8">
        <v>2411</v>
      </c>
      <c r="J204" s="9"/>
      <c r="K204" s="8">
        <f t="shared" si="30"/>
        <v>28932</v>
      </c>
      <c r="L204" s="7">
        <f t="shared" si="31"/>
        <v>0</v>
      </c>
      <c r="M204" s="10">
        <f t="shared" si="34"/>
        <v>1</v>
      </c>
      <c r="N204" s="11">
        <f t="shared" si="32"/>
        <v>0.211530485275815</v>
      </c>
      <c r="O204" s="8">
        <f t="shared" si="35"/>
        <v>12239.9999999998</v>
      </c>
      <c r="P204" s="12">
        <f t="shared" si="33"/>
        <v>0</v>
      </c>
    </row>
    <row r="205" spans="1:16">
      <c r="A205" s="2">
        <v>46042</v>
      </c>
      <c r="B205" s="3">
        <f>Data_Entry!T297</f>
        <v>12089.9999999999</v>
      </c>
      <c r="C205" s="4">
        <f>Data_Entry!V297</f>
        <v>4.0999999999999996</v>
      </c>
      <c r="D205" s="5">
        <f t="shared" si="27"/>
        <v>0.20893819991704499</v>
      </c>
      <c r="E205" s="6">
        <v>0</v>
      </c>
      <c r="F205" s="6">
        <v>0</v>
      </c>
      <c r="G205" s="7">
        <f t="shared" si="28"/>
        <v>0</v>
      </c>
      <c r="H205" s="7">
        <f t="shared" si="29"/>
        <v>0</v>
      </c>
      <c r="I205" s="8">
        <v>2411</v>
      </c>
      <c r="J205" s="9"/>
      <c r="K205" s="8">
        <f t="shared" si="30"/>
        <v>28932</v>
      </c>
      <c r="L205" s="7">
        <f t="shared" si="31"/>
        <v>0</v>
      </c>
      <c r="M205" s="10">
        <f t="shared" si="34"/>
        <v>1</v>
      </c>
      <c r="N205" s="11">
        <f t="shared" si="32"/>
        <v>0.20893819991704499</v>
      </c>
      <c r="O205" s="8">
        <f t="shared" si="35"/>
        <v>12089.9999999999</v>
      </c>
      <c r="P205" s="12">
        <f t="shared" si="33"/>
        <v>0</v>
      </c>
    </row>
    <row r="206" spans="1:16">
      <c r="A206" s="2">
        <v>46043</v>
      </c>
      <c r="B206" s="3">
        <f>Data_Entry!T298</f>
        <v>11340.0000000006</v>
      </c>
      <c r="C206" s="4">
        <f>Data_Entry!V298</f>
        <v>3.86</v>
      </c>
      <c r="D206" s="5">
        <f t="shared" si="27"/>
        <v>0.195976773123195</v>
      </c>
      <c r="E206" s="6">
        <v>0</v>
      </c>
      <c r="F206" s="6">
        <v>0</v>
      </c>
      <c r="G206" s="7">
        <f t="shared" si="28"/>
        <v>0</v>
      </c>
      <c r="H206" s="7">
        <f t="shared" si="29"/>
        <v>0</v>
      </c>
      <c r="I206" s="8">
        <v>2411</v>
      </c>
      <c r="J206" s="9"/>
      <c r="K206" s="8">
        <f t="shared" si="30"/>
        <v>28932</v>
      </c>
      <c r="L206" s="7">
        <f t="shared" si="31"/>
        <v>0</v>
      </c>
      <c r="M206" s="10">
        <f t="shared" si="34"/>
        <v>1</v>
      </c>
      <c r="N206" s="11">
        <f t="shared" si="32"/>
        <v>0.195976773123195</v>
      </c>
      <c r="O206" s="8">
        <f t="shared" si="35"/>
        <v>11340.0000000006</v>
      </c>
      <c r="P206" s="12">
        <f t="shared" si="33"/>
        <v>0</v>
      </c>
    </row>
    <row r="207" spans="1:16">
      <c r="A207" s="2">
        <v>46044</v>
      </c>
      <c r="B207" s="3">
        <f>Data_Entry!T299</f>
        <v>10769.9999999997</v>
      </c>
      <c r="C207" s="4">
        <f>Data_Entry!V299</f>
        <v>3.82</v>
      </c>
      <c r="D207" s="5">
        <f t="shared" si="27"/>
        <v>0.18612608875984499</v>
      </c>
      <c r="E207" s="6">
        <v>0.41111111111111098</v>
      </c>
      <c r="F207" s="6">
        <v>0.41527777777777802</v>
      </c>
      <c r="G207" s="7">
        <f t="shared" si="28"/>
        <v>6.00000000000054</v>
      </c>
      <c r="H207" s="7">
        <f t="shared" si="29"/>
        <v>0.100000000000009</v>
      </c>
      <c r="I207" s="8">
        <v>2411</v>
      </c>
      <c r="J207" s="9">
        <v>2411</v>
      </c>
      <c r="K207" s="8">
        <f t="shared" si="30"/>
        <v>28932</v>
      </c>
      <c r="L207" s="7">
        <f t="shared" si="31"/>
        <v>241.10000000002199</v>
      </c>
      <c r="M207" s="10">
        <f t="shared" si="34"/>
        <v>0.99166666666666603</v>
      </c>
      <c r="N207" s="11">
        <f t="shared" si="32"/>
        <v>0.18769017353934001</v>
      </c>
      <c r="O207" s="8">
        <f t="shared" si="35"/>
        <v>10860.5042016804</v>
      </c>
      <c r="P207" s="12">
        <f t="shared" si="33"/>
        <v>90.504201680676502</v>
      </c>
    </row>
    <row r="208" spans="1:16">
      <c r="A208" s="2">
        <v>46045</v>
      </c>
      <c r="B208" s="3">
        <f>Data_Entry!T300</f>
        <v>11010.0000000002</v>
      </c>
      <c r="C208" s="4">
        <f>Data_Entry!V300</f>
        <v>3.57</v>
      </c>
      <c r="D208" s="5">
        <f t="shared" si="27"/>
        <v>0.19027374533388999</v>
      </c>
      <c r="E208" s="6">
        <v>0</v>
      </c>
      <c r="F208" s="6">
        <v>0</v>
      </c>
      <c r="G208" s="7">
        <f t="shared" si="28"/>
        <v>0</v>
      </c>
      <c r="H208" s="7">
        <f t="shared" si="29"/>
        <v>0</v>
      </c>
      <c r="I208" s="8">
        <v>2411</v>
      </c>
      <c r="J208" s="9"/>
      <c r="K208" s="8">
        <f t="shared" si="30"/>
        <v>28932</v>
      </c>
      <c r="L208" s="7">
        <f t="shared" si="31"/>
        <v>0</v>
      </c>
      <c r="M208" s="10">
        <f t="shared" si="34"/>
        <v>1</v>
      </c>
      <c r="N208" s="11">
        <f t="shared" si="32"/>
        <v>0.19027374533388999</v>
      </c>
      <c r="O208" s="8">
        <f t="shared" si="35"/>
        <v>11010.0000000002</v>
      </c>
      <c r="P208" s="12">
        <f t="shared" si="33"/>
        <v>0</v>
      </c>
    </row>
    <row r="209" spans="1:16">
      <c r="A209" s="2">
        <v>46046</v>
      </c>
      <c r="B209" s="3">
        <f>Data_Entry!T301</f>
        <v>12540.0000000002</v>
      </c>
      <c r="C209" s="4">
        <f>Data_Entry!V301</f>
        <v>4.0199999999999996</v>
      </c>
      <c r="D209" s="5">
        <f t="shared" ref="D209:D238" si="36">B209/(24*I209)</f>
        <v>0.21671505599336699</v>
      </c>
      <c r="E209" s="6">
        <v>0</v>
      </c>
      <c r="F209" s="6">
        <v>0</v>
      </c>
      <c r="G209" s="7">
        <f t="shared" ref="G209:G238" si="37">(F209-E209)*24*60</f>
        <v>0</v>
      </c>
      <c r="H209" s="7">
        <f t="shared" ref="H209:H238" si="38">G209/60</f>
        <v>0</v>
      </c>
      <c r="I209" s="8">
        <v>2411</v>
      </c>
      <c r="J209" s="9"/>
      <c r="K209" s="8">
        <f t="shared" ref="K209:K238" si="39">I209*12</f>
        <v>28932</v>
      </c>
      <c r="L209" s="7">
        <f t="shared" ref="L209:L238" si="40">J209*H209</f>
        <v>0</v>
      </c>
      <c r="M209" s="10">
        <f t="shared" ref="M209:M238" si="41">(K209-L209)/K209</f>
        <v>1</v>
      </c>
      <c r="N209" s="11">
        <f t="shared" ref="N209:N238" si="42">D209/M209</f>
        <v>0.21671505599336699</v>
      </c>
      <c r="O209" s="8">
        <f t="shared" ref="O209:O238" si="43">N209*I209*24</f>
        <v>12540.0000000002</v>
      </c>
      <c r="P209" s="12">
        <f t="shared" ref="P209:P238" si="44">O209-B209</f>
        <v>0</v>
      </c>
    </row>
    <row r="210" spans="1:16">
      <c r="A210" s="2">
        <v>46047</v>
      </c>
      <c r="B210" s="3">
        <f>Data_Entry!T302</f>
        <v>11609.9999999996</v>
      </c>
      <c r="C210" s="4">
        <f>Data_Entry!V302</f>
        <v>3.69</v>
      </c>
      <c r="D210" s="5">
        <f t="shared" si="36"/>
        <v>0.20064288676896899</v>
      </c>
      <c r="E210" s="6">
        <v>0</v>
      </c>
      <c r="F210" s="6">
        <v>0</v>
      </c>
      <c r="G210" s="7">
        <f t="shared" si="37"/>
        <v>0</v>
      </c>
      <c r="H210" s="7">
        <f t="shared" si="38"/>
        <v>0</v>
      </c>
      <c r="I210" s="8">
        <v>2411</v>
      </c>
      <c r="J210" s="9"/>
      <c r="K210" s="8">
        <f t="shared" si="39"/>
        <v>28932</v>
      </c>
      <c r="L210" s="7">
        <f t="shared" si="40"/>
        <v>0</v>
      </c>
      <c r="M210" s="10">
        <f t="shared" si="41"/>
        <v>1</v>
      </c>
      <c r="N210" s="11">
        <f t="shared" si="42"/>
        <v>0.20064288676896899</v>
      </c>
      <c r="O210" s="8">
        <f t="shared" si="43"/>
        <v>11609.9999999996</v>
      </c>
      <c r="P210" s="12">
        <f t="shared" si="44"/>
        <v>0</v>
      </c>
    </row>
    <row r="211" spans="1:16">
      <c r="A211" s="2">
        <v>46048</v>
      </c>
      <c r="B211" s="3">
        <f>Data_Entry!T303</f>
        <v>11550.0000000004</v>
      </c>
      <c r="C211" s="4">
        <f>Data_Entry!V303</f>
        <v>3.88</v>
      </c>
      <c r="D211" s="5">
        <f t="shared" si="36"/>
        <v>0.199605972625473</v>
      </c>
      <c r="E211" s="6">
        <v>0</v>
      </c>
      <c r="F211" s="6">
        <v>0</v>
      </c>
      <c r="G211" s="7">
        <f t="shared" si="37"/>
        <v>0</v>
      </c>
      <c r="H211" s="7">
        <f t="shared" si="38"/>
        <v>0</v>
      </c>
      <c r="I211" s="8">
        <v>2411</v>
      </c>
      <c r="J211" s="9"/>
      <c r="K211" s="8">
        <f t="shared" si="39"/>
        <v>28932</v>
      </c>
      <c r="L211" s="7">
        <f t="shared" si="40"/>
        <v>0</v>
      </c>
      <c r="M211" s="10">
        <f t="shared" si="41"/>
        <v>1</v>
      </c>
      <c r="N211" s="11">
        <f t="shared" si="42"/>
        <v>0.199605972625473</v>
      </c>
      <c r="O211" s="8">
        <f t="shared" si="43"/>
        <v>11550.0000000004</v>
      </c>
      <c r="P211" s="12">
        <f t="shared" si="44"/>
        <v>0</v>
      </c>
    </row>
    <row r="212" spans="1:16">
      <c r="A212" s="2">
        <v>46049</v>
      </c>
      <c r="B212" s="3">
        <f>Data_Entry!T304</f>
        <v>5909.9999999993697</v>
      </c>
      <c r="C212" s="4">
        <f>Data_Entry!V304</f>
        <v>1.6</v>
      </c>
      <c r="D212" s="5">
        <f t="shared" si="36"/>
        <v>0.102136043135618</v>
      </c>
      <c r="E212" s="6">
        <v>0</v>
      </c>
      <c r="F212" s="6">
        <v>0</v>
      </c>
      <c r="G212" s="7">
        <f t="shared" si="37"/>
        <v>0</v>
      </c>
      <c r="H212" s="7">
        <f t="shared" si="38"/>
        <v>0</v>
      </c>
      <c r="I212" s="8">
        <v>2411</v>
      </c>
      <c r="J212" s="9"/>
      <c r="K212" s="8">
        <f t="shared" si="39"/>
        <v>28932</v>
      </c>
      <c r="L212" s="7">
        <f t="shared" si="40"/>
        <v>0</v>
      </c>
      <c r="M212" s="10">
        <f t="shared" si="41"/>
        <v>1</v>
      </c>
      <c r="N212" s="11">
        <f t="shared" si="42"/>
        <v>0.102136043135618</v>
      </c>
      <c r="O212" s="8">
        <f t="shared" si="43"/>
        <v>5909.9999999993697</v>
      </c>
      <c r="P212" s="12">
        <f t="shared" si="44"/>
        <v>0</v>
      </c>
    </row>
    <row r="213" spans="1:16">
      <c r="A213" s="2">
        <v>46050</v>
      </c>
      <c r="B213" s="3">
        <f>Data_Entry!T305</f>
        <v>13560.0000000006</v>
      </c>
      <c r="C213" s="4">
        <f>Data_Entry!V305</f>
        <v>4.49</v>
      </c>
      <c r="D213" s="5">
        <f t="shared" si="36"/>
        <v>0.23434259643302499</v>
      </c>
      <c r="E213" s="6">
        <v>0</v>
      </c>
      <c r="F213" s="6">
        <v>0</v>
      </c>
      <c r="G213" s="7">
        <f t="shared" si="37"/>
        <v>0</v>
      </c>
      <c r="H213" s="7">
        <f t="shared" si="38"/>
        <v>0</v>
      </c>
      <c r="I213" s="8">
        <v>2411</v>
      </c>
      <c r="J213" s="9"/>
      <c r="K213" s="8">
        <f t="shared" si="39"/>
        <v>28932</v>
      </c>
      <c r="L213" s="7">
        <f t="shared" si="40"/>
        <v>0</v>
      </c>
      <c r="M213" s="10">
        <f t="shared" si="41"/>
        <v>1</v>
      </c>
      <c r="N213" s="11">
        <f t="shared" si="42"/>
        <v>0.23434259643302499</v>
      </c>
      <c r="O213" s="8">
        <f t="shared" si="43"/>
        <v>13560.0000000006</v>
      </c>
      <c r="P213" s="12">
        <f t="shared" si="44"/>
        <v>0</v>
      </c>
    </row>
    <row r="214" spans="1:16">
      <c r="A214" s="2">
        <v>46051</v>
      </c>
      <c r="B214" s="3">
        <f>Data_Entry!T306</f>
        <v>12690</v>
      </c>
      <c r="C214" s="4">
        <f>Data_Entry!V306</f>
        <v>4.29</v>
      </c>
      <c r="D214" s="5">
        <f t="shared" si="36"/>
        <v>0.219307341352136</v>
      </c>
      <c r="E214" s="6">
        <v>0</v>
      </c>
      <c r="F214" s="6">
        <v>0</v>
      </c>
      <c r="G214" s="7">
        <f t="shared" si="37"/>
        <v>0</v>
      </c>
      <c r="H214" s="7">
        <f t="shared" si="38"/>
        <v>0</v>
      </c>
      <c r="I214" s="8">
        <v>2411</v>
      </c>
      <c r="J214" s="9"/>
      <c r="K214" s="8">
        <f t="shared" si="39"/>
        <v>28932</v>
      </c>
      <c r="L214" s="7">
        <f t="shared" si="40"/>
        <v>0</v>
      </c>
      <c r="M214" s="10">
        <f t="shared" si="41"/>
        <v>1</v>
      </c>
      <c r="N214" s="11">
        <f t="shared" si="42"/>
        <v>0.219307341352136</v>
      </c>
      <c r="O214" s="8">
        <f t="shared" si="43"/>
        <v>12690</v>
      </c>
      <c r="P214" s="12">
        <f t="shared" si="44"/>
        <v>0</v>
      </c>
    </row>
    <row r="215" spans="1:16">
      <c r="A215" s="2">
        <v>46052</v>
      </c>
      <c r="B215" s="3">
        <f>Data_Entry!T307</f>
        <v>10500</v>
      </c>
      <c r="C215" s="4">
        <f>Data_Entry!V307</f>
        <v>3.58</v>
      </c>
      <c r="D215" s="5">
        <f t="shared" si="36"/>
        <v>0.18145997511406001</v>
      </c>
      <c r="E215" s="6">
        <v>0</v>
      </c>
      <c r="F215" s="6">
        <v>0</v>
      </c>
      <c r="G215" s="7">
        <f t="shared" si="37"/>
        <v>0</v>
      </c>
      <c r="H215" s="7">
        <f t="shared" si="38"/>
        <v>0</v>
      </c>
      <c r="I215" s="8">
        <v>2411</v>
      </c>
      <c r="J215" s="9"/>
      <c r="K215" s="8">
        <f t="shared" si="39"/>
        <v>28932</v>
      </c>
      <c r="L215" s="7">
        <f t="shared" si="40"/>
        <v>0</v>
      </c>
      <c r="M215" s="10">
        <f t="shared" si="41"/>
        <v>1</v>
      </c>
      <c r="N215" s="11">
        <f t="shared" si="42"/>
        <v>0.18145997511406001</v>
      </c>
      <c r="O215" s="8">
        <f t="shared" si="43"/>
        <v>10500</v>
      </c>
      <c r="P215" s="12">
        <f t="shared" si="44"/>
        <v>0</v>
      </c>
    </row>
    <row r="216" spans="1:16">
      <c r="A216" s="2">
        <v>46053</v>
      </c>
      <c r="B216" s="3">
        <f>Data_Entry!T308</f>
        <v>6809.99999999992</v>
      </c>
      <c r="C216" s="4">
        <f>Data_Entry!V308</f>
        <v>2.86</v>
      </c>
      <c r="D216" s="5">
        <f t="shared" si="36"/>
        <v>0.11768975528826101</v>
      </c>
      <c r="E216" s="6">
        <v>0.35416666666666702</v>
      </c>
      <c r="F216" s="6">
        <v>0.4375</v>
      </c>
      <c r="G216" s="7">
        <f t="shared" si="37"/>
        <v>119.99999999999901</v>
      </c>
      <c r="H216" s="7">
        <f t="shared" si="38"/>
        <v>1.99999999999999</v>
      </c>
      <c r="I216" s="8">
        <v>2411</v>
      </c>
      <c r="J216" s="9">
        <v>2411</v>
      </c>
      <c r="K216" s="8">
        <f t="shared" si="39"/>
        <v>28932</v>
      </c>
      <c r="L216" s="7">
        <f t="shared" si="40"/>
        <v>4821.99999999998</v>
      </c>
      <c r="M216" s="10">
        <f t="shared" si="41"/>
        <v>0.83333333333333404</v>
      </c>
      <c r="N216" s="11">
        <f t="shared" si="42"/>
        <v>0.141227706345913</v>
      </c>
      <c r="O216" s="8">
        <f t="shared" si="43"/>
        <v>8171.99999999989</v>
      </c>
      <c r="P216" s="12">
        <f t="shared" si="44"/>
        <v>1361.99999999998</v>
      </c>
    </row>
    <row r="217" spans="1:16">
      <c r="A217" s="2">
        <v>46053</v>
      </c>
      <c r="B217" s="3"/>
      <c r="C217" s="4">
        <f>Data_Entry!V309</f>
        <v>3.54</v>
      </c>
      <c r="D217" s="5">
        <f t="shared" ref="D217" si="45">B217/(24*I217)</f>
        <v>0</v>
      </c>
      <c r="E217" s="6">
        <v>0</v>
      </c>
      <c r="F217" s="6">
        <v>0</v>
      </c>
      <c r="G217" s="7">
        <f t="shared" ref="G217" si="46">(F217-E217)*24*60</f>
        <v>0</v>
      </c>
      <c r="H217" s="7">
        <f t="shared" ref="H217" si="47">G217/60</f>
        <v>0</v>
      </c>
      <c r="I217" s="8">
        <v>2411</v>
      </c>
      <c r="J217" s="9"/>
      <c r="K217" s="8">
        <f t="shared" ref="K217" si="48">I217*12</f>
        <v>28932</v>
      </c>
      <c r="L217" s="7">
        <f t="shared" ref="L217" si="49">J217*H217</f>
        <v>0</v>
      </c>
      <c r="M217" s="10">
        <f t="shared" ref="M217" si="50">(K217-L217)/K217</f>
        <v>1</v>
      </c>
      <c r="N217" s="11">
        <f t="shared" ref="N217" si="51">D217/M217</f>
        <v>0</v>
      </c>
      <c r="O217" s="8">
        <f t="shared" ref="O217" si="52">N217*I217*24</f>
        <v>0</v>
      </c>
      <c r="P217" s="12">
        <f t="shared" ref="P217" si="53">O217-B217</f>
        <v>0</v>
      </c>
    </row>
    <row r="218" spans="1:16">
      <c r="A218" s="2">
        <v>46054</v>
      </c>
      <c r="B218" s="3">
        <f>Data_Entry!T309</f>
        <v>10049.9999999997</v>
      </c>
      <c r="C218" s="4">
        <f>Data_Entry!V309</f>
        <v>3.54</v>
      </c>
      <c r="D218" s="5">
        <f t="shared" si="36"/>
        <v>0.173683119037738</v>
      </c>
      <c r="E218" s="6">
        <v>0</v>
      </c>
      <c r="F218" s="6">
        <v>0</v>
      </c>
      <c r="G218" s="7">
        <f t="shared" si="37"/>
        <v>0</v>
      </c>
      <c r="H218" s="7">
        <f t="shared" si="38"/>
        <v>0</v>
      </c>
      <c r="I218" s="8">
        <v>2411</v>
      </c>
      <c r="J218" s="9"/>
      <c r="K218" s="8">
        <f t="shared" si="39"/>
        <v>28932</v>
      </c>
      <c r="L218" s="7">
        <f t="shared" si="40"/>
        <v>0</v>
      </c>
      <c r="M218" s="10">
        <f t="shared" si="41"/>
        <v>1</v>
      </c>
      <c r="N218" s="11">
        <f t="shared" si="42"/>
        <v>0.173683119037738</v>
      </c>
      <c r="O218" s="8">
        <f t="shared" si="43"/>
        <v>10049.9999999997</v>
      </c>
      <c r="P218" s="12">
        <f t="shared" si="44"/>
        <v>0</v>
      </c>
    </row>
    <row r="219" spans="1:16">
      <c r="A219" s="2">
        <v>46055</v>
      </c>
      <c r="B219" s="3">
        <f>Data_Entry!T310</f>
        <v>9600.0000000001091</v>
      </c>
      <c r="C219" s="4">
        <f>Data_Entry!V310</f>
        <v>3.5</v>
      </c>
      <c r="D219" s="5">
        <f t="shared" si="36"/>
        <v>0.16590626296142899</v>
      </c>
      <c r="E219" s="6">
        <v>0</v>
      </c>
      <c r="F219" s="6">
        <v>0</v>
      </c>
      <c r="G219" s="7">
        <f t="shared" si="37"/>
        <v>0</v>
      </c>
      <c r="H219" s="7">
        <f t="shared" si="38"/>
        <v>0</v>
      </c>
      <c r="I219" s="8">
        <v>2411</v>
      </c>
      <c r="J219" s="9"/>
      <c r="K219" s="8">
        <f t="shared" si="39"/>
        <v>28932</v>
      </c>
      <c r="L219" s="7">
        <f t="shared" si="40"/>
        <v>0</v>
      </c>
      <c r="M219" s="10">
        <f t="shared" si="41"/>
        <v>1</v>
      </c>
      <c r="N219" s="11">
        <f t="shared" si="42"/>
        <v>0.16590626296142899</v>
      </c>
      <c r="O219" s="8">
        <f t="shared" si="43"/>
        <v>9600.0000000001091</v>
      </c>
      <c r="P219" s="12">
        <f t="shared" si="44"/>
        <v>0</v>
      </c>
    </row>
    <row r="220" spans="1:16">
      <c r="A220" s="2">
        <v>46056</v>
      </c>
      <c r="B220" s="3">
        <f>Data_Entry!T311</f>
        <v>10380.0000000001</v>
      </c>
      <c r="C220" s="4">
        <f>Data_Entry!V311</f>
        <v>3.67</v>
      </c>
      <c r="D220" s="5">
        <f t="shared" si="36"/>
        <v>0.17938614682704401</v>
      </c>
      <c r="E220" s="6">
        <v>0</v>
      </c>
      <c r="F220" s="6">
        <v>0</v>
      </c>
      <c r="G220" s="7">
        <f t="shared" si="37"/>
        <v>0</v>
      </c>
      <c r="H220" s="7">
        <f t="shared" si="38"/>
        <v>0</v>
      </c>
      <c r="I220" s="8">
        <v>2411</v>
      </c>
      <c r="J220" s="9"/>
      <c r="K220" s="8">
        <f t="shared" si="39"/>
        <v>28932</v>
      </c>
      <c r="L220" s="7">
        <f t="shared" si="40"/>
        <v>0</v>
      </c>
      <c r="M220" s="10">
        <f t="shared" si="41"/>
        <v>1</v>
      </c>
      <c r="N220" s="11">
        <f t="shared" si="42"/>
        <v>0.17938614682704401</v>
      </c>
      <c r="O220" s="8">
        <f t="shared" si="43"/>
        <v>10380.0000000001</v>
      </c>
      <c r="P220" s="12">
        <f t="shared" si="44"/>
        <v>0</v>
      </c>
    </row>
    <row r="221" spans="1:16">
      <c r="A221" s="2">
        <v>46057</v>
      </c>
      <c r="B221" s="3">
        <f>Data_Entry!T312</f>
        <v>10559.9999999999</v>
      </c>
      <c r="C221" s="4">
        <f>Data_Entry!V312</f>
        <v>3.74</v>
      </c>
      <c r="D221" s="5">
        <f t="shared" si="36"/>
        <v>0.18249688925756799</v>
      </c>
      <c r="E221" s="6">
        <v>0</v>
      </c>
      <c r="F221" s="6">
        <v>0</v>
      </c>
      <c r="G221" s="7">
        <f t="shared" si="37"/>
        <v>0</v>
      </c>
      <c r="H221" s="7">
        <f t="shared" si="38"/>
        <v>0</v>
      </c>
      <c r="I221" s="8">
        <v>2411</v>
      </c>
      <c r="J221" s="9"/>
      <c r="K221" s="8">
        <f t="shared" si="39"/>
        <v>28932</v>
      </c>
      <c r="L221" s="7">
        <f t="shared" si="40"/>
        <v>0</v>
      </c>
      <c r="M221" s="10">
        <f t="shared" si="41"/>
        <v>1</v>
      </c>
      <c r="N221" s="11">
        <f t="shared" si="42"/>
        <v>0.18249688925756799</v>
      </c>
      <c r="O221" s="8">
        <f t="shared" si="43"/>
        <v>10559.9999999999</v>
      </c>
      <c r="P221" s="12">
        <f t="shared" si="44"/>
        <v>0</v>
      </c>
    </row>
    <row r="222" spans="1:16">
      <c r="A222" s="2">
        <v>46058</v>
      </c>
      <c r="B222" s="3">
        <f>Data_Entry!T313</f>
        <v>11429.9999999998</v>
      </c>
      <c r="C222" s="4">
        <f>Data_Entry!V313</f>
        <v>4.0199999999999996</v>
      </c>
      <c r="D222" s="5">
        <f t="shared" si="36"/>
        <v>0.19753214433844499</v>
      </c>
      <c r="E222" s="6">
        <v>0</v>
      </c>
      <c r="F222" s="6">
        <v>0</v>
      </c>
      <c r="G222" s="7">
        <f t="shared" si="37"/>
        <v>0</v>
      </c>
      <c r="H222" s="7">
        <f t="shared" si="38"/>
        <v>0</v>
      </c>
      <c r="I222" s="8">
        <v>2411</v>
      </c>
      <c r="J222" s="9"/>
      <c r="K222" s="8">
        <f t="shared" si="39"/>
        <v>28932</v>
      </c>
      <c r="L222" s="7">
        <f t="shared" si="40"/>
        <v>0</v>
      </c>
      <c r="M222" s="10">
        <f t="shared" si="41"/>
        <v>1</v>
      </c>
      <c r="N222" s="11">
        <f t="shared" si="42"/>
        <v>0.19753214433844499</v>
      </c>
      <c r="O222" s="8">
        <f t="shared" si="43"/>
        <v>11429.9999999998</v>
      </c>
      <c r="P222" s="12">
        <f t="shared" si="44"/>
        <v>0</v>
      </c>
    </row>
    <row r="223" spans="1:16">
      <c r="A223" s="2">
        <v>46059</v>
      </c>
      <c r="B223" s="3">
        <f>Data_Entry!T314</f>
        <v>12180.0000000005</v>
      </c>
      <c r="C223" s="4">
        <f>Data_Entry!V314</f>
        <v>4.2</v>
      </c>
      <c r="D223" s="5">
        <f t="shared" si="36"/>
        <v>0.21049357113231901</v>
      </c>
      <c r="E223" s="6">
        <v>0</v>
      </c>
      <c r="F223" s="6">
        <v>0</v>
      </c>
      <c r="G223" s="7">
        <f t="shared" si="37"/>
        <v>0</v>
      </c>
      <c r="H223" s="7">
        <f t="shared" si="38"/>
        <v>0</v>
      </c>
      <c r="I223" s="8">
        <v>2411</v>
      </c>
      <c r="J223" s="9"/>
      <c r="K223" s="8">
        <f t="shared" si="39"/>
        <v>28932</v>
      </c>
      <c r="L223" s="7">
        <f t="shared" si="40"/>
        <v>0</v>
      </c>
      <c r="M223" s="10">
        <f t="shared" si="41"/>
        <v>1</v>
      </c>
      <c r="N223" s="11">
        <f t="shared" si="42"/>
        <v>0.21049357113231901</v>
      </c>
      <c r="O223" s="8">
        <f t="shared" si="43"/>
        <v>12180.0000000005</v>
      </c>
      <c r="P223" s="12">
        <f t="shared" si="44"/>
        <v>0</v>
      </c>
    </row>
    <row r="224" spans="1:16">
      <c r="A224" s="2">
        <v>46060</v>
      </c>
      <c r="B224" s="3">
        <f>Data_Entry!T315</f>
        <v>12179.9999999998</v>
      </c>
      <c r="C224" s="4">
        <f>Data_Entry!V315</f>
        <v>4.08</v>
      </c>
      <c r="D224" s="5">
        <f t="shared" si="36"/>
        <v>0.21049357113230699</v>
      </c>
      <c r="E224" s="6">
        <v>0</v>
      </c>
      <c r="F224" s="6">
        <v>0</v>
      </c>
      <c r="G224" s="7">
        <f t="shared" si="37"/>
        <v>0</v>
      </c>
      <c r="H224" s="7">
        <f t="shared" si="38"/>
        <v>0</v>
      </c>
      <c r="I224" s="8">
        <v>2411</v>
      </c>
      <c r="J224" s="9"/>
      <c r="K224" s="8">
        <f t="shared" si="39"/>
        <v>28932</v>
      </c>
      <c r="L224" s="7">
        <f t="shared" si="40"/>
        <v>0</v>
      </c>
      <c r="M224" s="10">
        <f t="shared" si="41"/>
        <v>1</v>
      </c>
      <c r="N224" s="11">
        <f t="shared" si="42"/>
        <v>0.21049357113230699</v>
      </c>
      <c r="O224" s="8">
        <f t="shared" si="43"/>
        <v>12179.9999999998</v>
      </c>
      <c r="P224" s="12">
        <f t="shared" si="44"/>
        <v>0</v>
      </c>
    </row>
    <row r="225" spans="1:16">
      <c r="A225" s="2">
        <v>46061</v>
      </c>
      <c r="B225" s="3">
        <f>Data_Entry!T316</f>
        <v>11700.0000000002</v>
      </c>
      <c r="C225" s="4">
        <f>Data_Entry!V316</f>
        <v>4.05</v>
      </c>
      <c r="D225" s="5">
        <f t="shared" si="36"/>
        <v>0.20219825798424301</v>
      </c>
      <c r="E225" s="6">
        <v>0</v>
      </c>
      <c r="F225" s="6">
        <v>0</v>
      </c>
      <c r="G225" s="7">
        <f t="shared" si="37"/>
        <v>0</v>
      </c>
      <c r="H225" s="7">
        <f t="shared" si="38"/>
        <v>0</v>
      </c>
      <c r="I225" s="8">
        <v>2411</v>
      </c>
      <c r="J225" s="9"/>
      <c r="K225" s="8">
        <f t="shared" si="39"/>
        <v>28932</v>
      </c>
      <c r="L225" s="7">
        <f t="shared" si="40"/>
        <v>0</v>
      </c>
      <c r="M225" s="10">
        <f t="shared" si="41"/>
        <v>1</v>
      </c>
      <c r="N225" s="11">
        <f t="shared" si="42"/>
        <v>0.20219825798424301</v>
      </c>
      <c r="O225" s="8">
        <f t="shared" si="43"/>
        <v>11700.0000000002</v>
      </c>
      <c r="P225" s="12">
        <f t="shared" si="44"/>
        <v>0</v>
      </c>
    </row>
    <row r="226" spans="1:16">
      <c r="A226" s="2">
        <v>46062</v>
      </c>
      <c r="B226" s="3">
        <f>Data_Entry!T317</f>
        <v>12720</v>
      </c>
      <c r="C226" s="4">
        <f>Data_Entry!V317</f>
        <v>4.26</v>
      </c>
      <c r="D226" s="5">
        <f t="shared" si="36"/>
        <v>0.21982579842389</v>
      </c>
      <c r="E226" s="6">
        <v>0</v>
      </c>
      <c r="F226" s="6">
        <v>0</v>
      </c>
      <c r="G226" s="7">
        <f t="shared" si="37"/>
        <v>0</v>
      </c>
      <c r="H226" s="7">
        <f t="shared" si="38"/>
        <v>0</v>
      </c>
      <c r="I226" s="8">
        <v>2411</v>
      </c>
      <c r="J226" s="9"/>
      <c r="K226" s="8">
        <f t="shared" si="39"/>
        <v>28932</v>
      </c>
      <c r="L226" s="7">
        <f t="shared" si="40"/>
        <v>0</v>
      </c>
      <c r="M226" s="10">
        <f t="shared" si="41"/>
        <v>1</v>
      </c>
      <c r="N226" s="11">
        <f t="shared" si="42"/>
        <v>0.21982579842389</v>
      </c>
      <c r="O226" s="8">
        <f t="shared" si="43"/>
        <v>12720</v>
      </c>
      <c r="P226" s="12">
        <f t="shared" si="44"/>
        <v>0</v>
      </c>
    </row>
    <row r="227" spans="1:16">
      <c r="A227" s="2">
        <v>46063</v>
      </c>
      <c r="B227" s="3">
        <f>Data_Entry!T318</f>
        <v>13709.9999999998</v>
      </c>
      <c r="C227" s="4">
        <f>Data_Entry!V318</f>
        <v>4.45</v>
      </c>
      <c r="D227" s="5">
        <f t="shared" si="36"/>
        <v>0.23693488179178401</v>
      </c>
      <c r="E227" s="6">
        <v>0</v>
      </c>
      <c r="F227" s="6">
        <v>0</v>
      </c>
      <c r="G227" s="7">
        <f t="shared" si="37"/>
        <v>0</v>
      </c>
      <c r="H227" s="7">
        <f t="shared" si="38"/>
        <v>0</v>
      </c>
      <c r="I227" s="8">
        <v>2411</v>
      </c>
      <c r="J227" s="9"/>
      <c r="K227" s="8">
        <f t="shared" si="39"/>
        <v>28932</v>
      </c>
      <c r="L227" s="7">
        <f t="shared" si="40"/>
        <v>0</v>
      </c>
      <c r="M227" s="10">
        <f t="shared" si="41"/>
        <v>1</v>
      </c>
      <c r="N227" s="11">
        <f t="shared" si="42"/>
        <v>0.23693488179178401</v>
      </c>
      <c r="O227" s="8">
        <f t="shared" si="43"/>
        <v>13709.9999999998</v>
      </c>
      <c r="P227" s="12">
        <f t="shared" si="44"/>
        <v>0</v>
      </c>
    </row>
    <row r="228" spans="1:16">
      <c r="A228" s="2">
        <v>46064</v>
      </c>
      <c r="B228" s="3">
        <f>Data_Entry!T319</f>
        <v>13440</v>
      </c>
      <c r="C228" s="4">
        <f>Data_Entry!V319</f>
        <v>4.3899999999999997</v>
      </c>
      <c r="D228" s="5">
        <f t="shared" si="36"/>
        <v>0.23226876814599801</v>
      </c>
      <c r="E228" s="6">
        <v>0</v>
      </c>
      <c r="F228" s="6">
        <v>0</v>
      </c>
      <c r="G228" s="7">
        <f t="shared" si="37"/>
        <v>0</v>
      </c>
      <c r="H228" s="7">
        <f t="shared" si="38"/>
        <v>0</v>
      </c>
      <c r="I228" s="8">
        <v>2411</v>
      </c>
      <c r="J228" s="9"/>
      <c r="K228" s="8">
        <f t="shared" si="39"/>
        <v>28932</v>
      </c>
      <c r="L228" s="7">
        <f t="shared" si="40"/>
        <v>0</v>
      </c>
      <c r="M228" s="10">
        <f t="shared" si="41"/>
        <v>1</v>
      </c>
      <c r="N228" s="11">
        <f t="shared" si="42"/>
        <v>0.23226876814599801</v>
      </c>
      <c r="O228" s="8">
        <f t="shared" si="43"/>
        <v>13440</v>
      </c>
      <c r="P228" s="12">
        <f t="shared" si="44"/>
        <v>0</v>
      </c>
    </row>
    <row r="229" spans="1:16">
      <c r="A229" s="2">
        <v>46065</v>
      </c>
      <c r="B229" s="3">
        <f>Data_Entry!T320</f>
        <v>13440</v>
      </c>
      <c r="C229" s="4">
        <f>Data_Entry!V320</f>
        <v>4.45</v>
      </c>
      <c r="D229" s="5">
        <f t="shared" si="36"/>
        <v>0.23226876814599801</v>
      </c>
      <c r="E229" s="6">
        <v>0</v>
      </c>
      <c r="F229" s="6">
        <v>0</v>
      </c>
      <c r="G229" s="7">
        <f t="shared" si="37"/>
        <v>0</v>
      </c>
      <c r="H229" s="7">
        <f t="shared" si="38"/>
        <v>0</v>
      </c>
      <c r="I229" s="8">
        <v>2411</v>
      </c>
      <c r="J229" s="9"/>
      <c r="K229" s="8">
        <f t="shared" si="39"/>
        <v>28932</v>
      </c>
      <c r="L229" s="7">
        <f t="shared" si="40"/>
        <v>0</v>
      </c>
      <c r="M229" s="10">
        <f t="shared" si="41"/>
        <v>1</v>
      </c>
      <c r="N229" s="11">
        <f t="shared" si="42"/>
        <v>0.23226876814599801</v>
      </c>
      <c r="O229" s="8">
        <f t="shared" si="43"/>
        <v>13440</v>
      </c>
      <c r="P229" s="12">
        <f t="shared" si="44"/>
        <v>0</v>
      </c>
    </row>
    <row r="230" spans="1:16">
      <c r="A230" s="2">
        <v>46066</v>
      </c>
      <c r="B230" s="3">
        <f>Data_Entry!T321</f>
        <v>11970</v>
      </c>
      <c r="C230" s="4">
        <f>Data_Entry!V321</f>
        <v>4.09</v>
      </c>
      <c r="D230" s="5">
        <f t="shared" si="36"/>
        <v>0.20686437163002899</v>
      </c>
      <c r="E230" s="6">
        <v>0</v>
      </c>
      <c r="F230" s="6">
        <v>0</v>
      </c>
      <c r="G230" s="7">
        <f t="shared" si="37"/>
        <v>0</v>
      </c>
      <c r="H230" s="7">
        <f t="shared" si="38"/>
        <v>0</v>
      </c>
      <c r="I230" s="8">
        <v>2411</v>
      </c>
      <c r="J230" s="9"/>
      <c r="K230" s="8">
        <f t="shared" si="39"/>
        <v>28932</v>
      </c>
      <c r="L230" s="7">
        <f t="shared" si="40"/>
        <v>0</v>
      </c>
      <c r="M230" s="10">
        <f t="shared" si="41"/>
        <v>1</v>
      </c>
      <c r="N230" s="11">
        <f t="shared" si="42"/>
        <v>0.20686437163002899</v>
      </c>
      <c r="O230" s="8">
        <f t="shared" si="43"/>
        <v>11970</v>
      </c>
      <c r="P230" s="12">
        <f t="shared" si="44"/>
        <v>0</v>
      </c>
    </row>
    <row r="231" spans="1:16">
      <c r="A231" s="2">
        <v>46067</v>
      </c>
      <c r="B231" s="3">
        <f>Data_Entry!T322</f>
        <v>11940</v>
      </c>
      <c r="C231" s="4">
        <f>Data_Entry!V322</f>
        <v>0</v>
      </c>
      <c r="D231" s="5">
        <f t="shared" si="36"/>
        <v>0.206345914558275</v>
      </c>
      <c r="E231" s="6">
        <v>0</v>
      </c>
      <c r="F231" s="6">
        <v>0</v>
      </c>
      <c r="G231" s="7">
        <f t="shared" si="37"/>
        <v>0</v>
      </c>
      <c r="H231" s="7">
        <f t="shared" si="38"/>
        <v>0</v>
      </c>
      <c r="I231" s="8">
        <v>2411</v>
      </c>
      <c r="J231" s="9"/>
      <c r="K231" s="8">
        <f t="shared" si="39"/>
        <v>28932</v>
      </c>
      <c r="L231" s="7">
        <f t="shared" si="40"/>
        <v>0</v>
      </c>
      <c r="M231" s="10">
        <f t="shared" si="41"/>
        <v>1</v>
      </c>
      <c r="N231" s="11">
        <f t="shared" si="42"/>
        <v>0.206345914558275</v>
      </c>
      <c r="O231" s="8">
        <f t="shared" si="43"/>
        <v>11940</v>
      </c>
      <c r="P231" s="12">
        <f t="shared" si="44"/>
        <v>0</v>
      </c>
    </row>
    <row r="232" spans="1:16">
      <c r="A232" s="2">
        <v>46068</v>
      </c>
      <c r="B232" s="3">
        <f>Data_Entry!T323</f>
        <v>12839.9999999999</v>
      </c>
      <c r="C232" s="4">
        <f>Data_Entry!V323</f>
        <v>4.37</v>
      </c>
      <c r="D232" s="5">
        <f t="shared" si="36"/>
        <v>0.22189962671090599</v>
      </c>
      <c r="E232" s="6">
        <v>0</v>
      </c>
      <c r="F232" s="6">
        <v>0</v>
      </c>
      <c r="G232" s="7">
        <f t="shared" si="37"/>
        <v>0</v>
      </c>
      <c r="H232" s="7">
        <f t="shared" si="38"/>
        <v>0</v>
      </c>
      <c r="I232" s="8">
        <v>2411</v>
      </c>
      <c r="J232" s="9"/>
      <c r="K232" s="8">
        <f t="shared" si="39"/>
        <v>28932</v>
      </c>
      <c r="L232" s="7">
        <f t="shared" si="40"/>
        <v>0</v>
      </c>
      <c r="M232" s="10">
        <f t="shared" si="41"/>
        <v>1</v>
      </c>
      <c r="N232" s="11">
        <f t="shared" si="42"/>
        <v>0.22189962671090599</v>
      </c>
      <c r="O232" s="8">
        <f t="shared" si="43"/>
        <v>12839.9999999999</v>
      </c>
      <c r="P232" s="12">
        <f t="shared" si="44"/>
        <v>0</v>
      </c>
    </row>
    <row r="233" spans="1:16">
      <c r="A233" s="2">
        <v>46069</v>
      </c>
      <c r="B233" s="3">
        <f>Data_Entry!T324</f>
        <v>13290.0000000001</v>
      </c>
      <c r="C233" s="4">
        <f>Data_Entry!V324</f>
        <v>0</v>
      </c>
      <c r="D233" s="5">
        <f t="shared" si="36"/>
        <v>0.22967648278722799</v>
      </c>
      <c r="E233" s="6">
        <v>0</v>
      </c>
      <c r="F233" s="6">
        <v>0</v>
      </c>
      <c r="G233" s="7">
        <f t="shared" si="37"/>
        <v>0</v>
      </c>
      <c r="H233" s="7">
        <f t="shared" si="38"/>
        <v>0</v>
      </c>
      <c r="I233" s="8">
        <v>2411</v>
      </c>
      <c r="J233" s="9"/>
      <c r="K233" s="8">
        <f t="shared" si="39"/>
        <v>28932</v>
      </c>
      <c r="L233" s="7">
        <f t="shared" si="40"/>
        <v>0</v>
      </c>
      <c r="M233" s="10">
        <f t="shared" si="41"/>
        <v>1</v>
      </c>
      <c r="N233" s="11">
        <f t="shared" si="42"/>
        <v>0.22967648278722799</v>
      </c>
      <c r="O233" s="8">
        <f t="shared" si="43"/>
        <v>13290.0000000001</v>
      </c>
      <c r="P233" s="12">
        <f t="shared" si="44"/>
        <v>0</v>
      </c>
    </row>
    <row r="234" spans="1:16">
      <c r="A234" s="2">
        <v>46070</v>
      </c>
      <c r="B234" s="3">
        <f>Data_Entry!T325</f>
        <v>13620.0000000001</v>
      </c>
      <c r="C234" s="4">
        <f>Data_Entry!V325</f>
        <v>4.72</v>
      </c>
      <c r="D234" s="5">
        <f t="shared" si="36"/>
        <v>0.23537951057652501</v>
      </c>
      <c r="E234" s="6">
        <v>0</v>
      </c>
      <c r="F234" s="6">
        <v>0</v>
      </c>
      <c r="G234" s="7">
        <f t="shared" si="37"/>
        <v>0</v>
      </c>
      <c r="H234" s="7">
        <f t="shared" si="38"/>
        <v>0</v>
      </c>
      <c r="I234" s="8">
        <v>2411</v>
      </c>
      <c r="J234" s="9"/>
      <c r="K234" s="8">
        <f t="shared" si="39"/>
        <v>28932</v>
      </c>
      <c r="L234" s="7">
        <f t="shared" si="40"/>
        <v>0</v>
      </c>
      <c r="M234" s="10">
        <f t="shared" si="41"/>
        <v>1</v>
      </c>
      <c r="N234" s="11">
        <f t="shared" si="42"/>
        <v>0.23537951057652501</v>
      </c>
      <c r="O234" s="8">
        <f t="shared" si="43"/>
        <v>13620.0000000001</v>
      </c>
      <c r="P234" s="12">
        <f t="shared" si="44"/>
        <v>0</v>
      </c>
    </row>
    <row r="235" spans="1:16">
      <c r="A235" s="2">
        <v>46071</v>
      </c>
      <c r="B235" s="3">
        <f>Data_Entry!T326</f>
        <v>14039.9999999995</v>
      </c>
      <c r="C235" s="4">
        <f>Data_Entry!V326</f>
        <v>4.62</v>
      </c>
      <c r="D235" s="5">
        <f t="shared" si="36"/>
        <v>0.242637909581078</v>
      </c>
      <c r="E235" s="6">
        <v>0</v>
      </c>
      <c r="F235" s="6">
        <v>0</v>
      </c>
      <c r="G235" s="7">
        <f t="shared" si="37"/>
        <v>0</v>
      </c>
      <c r="H235" s="7">
        <f t="shared" si="38"/>
        <v>0</v>
      </c>
      <c r="I235" s="8">
        <v>2411</v>
      </c>
      <c r="J235" s="9"/>
      <c r="K235" s="8">
        <f t="shared" si="39"/>
        <v>28932</v>
      </c>
      <c r="L235" s="7">
        <f t="shared" si="40"/>
        <v>0</v>
      </c>
      <c r="M235" s="10">
        <f t="shared" si="41"/>
        <v>1</v>
      </c>
      <c r="N235" s="11">
        <f t="shared" si="42"/>
        <v>0.242637909581078</v>
      </c>
      <c r="O235" s="8">
        <f t="shared" si="43"/>
        <v>14039.9999999995</v>
      </c>
      <c r="P235" s="12">
        <f t="shared" si="44"/>
        <v>0</v>
      </c>
    </row>
    <row r="236" spans="1:16">
      <c r="A236" s="2">
        <v>46072</v>
      </c>
      <c r="B236" s="3">
        <f>Data_Entry!T327</f>
        <v>13290.0000000002</v>
      </c>
      <c r="C236" s="4">
        <f>Data_Entry!V327</f>
        <v>4.4000000000000004</v>
      </c>
      <c r="D236" s="5">
        <f t="shared" si="36"/>
        <v>0.22967648278722799</v>
      </c>
      <c r="E236" s="6">
        <v>0</v>
      </c>
      <c r="F236" s="6">
        <v>0</v>
      </c>
      <c r="G236" s="7">
        <f t="shared" si="37"/>
        <v>0</v>
      </c>
      <c r="H236" s="7">
        <f t="shared" si="38"/>
        <v>0</v>
      </c>
      <c r="I236" s="8">
        <v>2411</v>
      </c>
      <c r="J236" s="9"/>
      <c r="K236" s="8">
        <f t="shared" si="39"/>
        <v>28932</v>
      </c>
      <c r="L236" s="7">
        <f t="shared" si="40"/>
        <v>0</v>
      </c>
      <c r="M236" s="10">
        <f t="shared" si="41"/>
        <v>1</v>
      </c>
      <c r="N236" s="11">
        <f t="shared" si="42"/>
        <v>0.22967648278722799</v>
      </c>
      <c r="O236" s="8">
        <f t="shared" si="43"/>
        <v>13290.0000000002</v>
      </c>
      <c r="P236" s="12">
        <f t="shared" si="44"/>
        <v>0</v>
      </c>
    </row>
    <row r="237" spans="1:16">
      <c r="A237" s="2">
        <v>46073</v>
      </c>
      <c r="B237" s="3">
        <f>Data_Entry!T328</f>
        <v>12779.9999999999</v>
      </c>
      <c r="C237" s="4">
        <f>Data_Entry!V328</f>
        <v>0</v>
      </c>
      <c r="D237" s="5">
        <f t="shared" si="36"/>
        <v>0.22086271256739801</v>
      </c>
      <c r="E237" s="6">
        <v>0</v>
      </c>
      <c r="F237" s="6">
        <v>0</v>
      </c>
      <c r="G237" s="7">
        <f t="shared" si="37"/>
        <v>0</v>
      </c>
      <c r="H237" s="7">
        <f t="shared" si="38"/>
        <v>0</v>
      </c>
      <c r="I237" s="8">
        <v>2411</v>
      </c>
      <c r="J237" s="9"/>
      <c r="K237" s="8">
        <f t="shared" si="39"/>
        <v>28932</v>
      </c>
      <c r="L237" s="7">
        <f t="shared" si="40"/>
        <v>0</v>
      </c>
      <c r="M237" s="10">
        <f t="shared" si="41"/>
        <v>1</v>
      </c>
      <c r="N237" s="11">
        <f t="shared" si="42"/>
        <v>0.22086271256739801</v>
      </c>
      <c r="O237" s="8">
        <f t="shared" si="43"/>
        <v>12779.9999999999</v>
      </c>
      <c r="P237" s="12">
        <f t="shared" si="44"/>
        <v>0</v>
      </c>
    </row>
    <row r="238" spans="1:16">
      <c r="A238" s="2">
        <v>46074</v>
      </c>
      <c r="B238" s="3">
        <f>Data_Entry!T329</f>
        <v>13050.0000000004</v>
      </c>
      <c r="C238" s="4">
        <f>Data_Entry!V329</f>
        <v>4.5</v>
      </c>
      <c r="D238" s="5">
        <f t="shared" si="36"/>
        <v>0.225528826213196</v>
      </c>
      <c r="E238" s="6">
        <v>0</v>
      </c>
      <c r="F238" s="6">
        <v>0</v>
      </c>
      <c r="G238" s="7">
        <f t="shared" si="37"/>
        <v>0</v>
      </c>
      <c r="H238" s="7">
        <f t="shared" si="38"/>
        <v>0</v>
      </c>
      <c r="I238" s="8">
        <v>2411</v>
      </c>
      <c r="J238" s="9"/>
      <c r="K238" s="8">
        <f t="shared" si="39"/>
        <v>28932</v>
      </c>
      <c r="L238" s="7">
        <f t="shared" si="40"/>
        <v>0</v>
      </c>
      <c r="M238" s="10">
        <f t="shared" si="41"/>
        <v>1</v>
      </c>
      <c r="N238" s="11">
        <f t="shared" si="42"/>
        <v>0.225528826213196</v>
      </c>
      <c r="O238" s="8">
        <f t="shared" si="43"/>
        <v>13050.0000000004</v>
      </c>
      <c r="P238" s="12">
        <f t="shared" si="44"/>
        <v>0</v>
      </c>
    </row>
    <row r="239" spans="1:16">
      <c r="A239" s="2">
        <v>46075</v>
      </c>
      <c r="B239" s="3">
        <f>Data_Entry!T330</f>
        <v>11130.0000000001</v>
      </c>
      <c r="C239" s="4">
        <f>Data_Entry!V330</f>
        <v>4.1500000000000004</v>
      </c>
      <c r="D239" s="5">
        <f t="shared" ref="D239:D274" si="54">B239/(24*I239)</f>
        <v>0.19226782752902299</v>
      </c>
      <c r="E239" s="6">
        <v>0</v>
      </c>
      <c r="F239" s="6">
        <v>0</v>
      </c>
      <c r="G239" s="7">
        <f t="shared" ref="G239:G274" si="55">(F239-E239)*24*60</f>
        <v>0</v>
      </c>
      <c r="H239" s="7">
        <f t="shared" ref="H239:H274" si="56">G239/60</f>
        <v>0</v>
      </c>
      <c r="I239" s="8">
        <v>2412</v>
      </c>
      <c r="J239" s="9"/>
      <c r="K239" s="8">
        <f t="shared" ref="K239:K274" si="57">I239*12</f>
        <v>28944</v>
      </c>
      <c r="L239" s="7">
        <f t="shared" ref="L239:L274" si="58">J239*H239</f>
        <v>0</v>
      </c>
      <c r="M239" s="10">
        <f t="shared" ref="M239:M274" si="59">(K239-L239)/K239</f>
        <v>1</v>
      </c>
      <c r="N239" s="11">
        <f t="shared" ref="N239:N274" si="60">D239/M239</f>
        <v>0.19226782752902299</v>
      </c>
      <c r="O239" s="8">
        <f t="shared" ref="O239:O274" si="61">N239*I239*24</f>
        <v>11130.0000000001</v>
      </c>
      <c r="P239" s="12">
        <f t="shared" ref="P239:P274" si="62">O239-B239</f>
        <v>0</v>
      </c>
    </row>
    <row r="240" spans="1:16">
      <c r="A240" s="2">
        <v>46076</v>
      </c>
      <c r="B240" s="3">
        <f>Data_Entry!T331</f>
        <v>11880.0000000001</v>
      </c>
      <c r="C240" s="4">
        <f>Data_Entry!V331</f>
        <v>4.18</v>
      </c>
      <c r="D240" s="5">
        <f t="shared" si="54"/>
        <v>0.20513883133029601</v>
      </c>
      <c r="E240" s="6">
        <v>0</v>
      </c>
      <c r="F240" s="6">
        <v>0</v>
      </c>
      <c r="G240" s="7">
        <f t="shared" si="55"/>
        <v>0</v>
      </c>
      <c r="H240" s="7">
        <f t="shared" si="56"/>
        <v>0</v>
      </c>
      <c r="I240" s="8">
        <v>2413</v>
      </c>
      <c r="J240" s="9"/>
      <c r="K240" s="8">
        <f t="shared" si="57"/>
        <v>28956</v>
      </c>
      <c r="L240" s="7">
        <f t="shared" si="58"/>
        <v>0</v>
      </c>
      <c r="M240" s="10">
        <f t="shared" si="59"/>
        <v>1</v>
      </c>
      <c r="N240" s="11">
        <f t="shared" si="60"/>
        <v>0.20513883133029601</v>
      </c>
      <c r="O240" s="8">
        <f t="shared" si="61"/>
        <v>11880.0000000001</v>
      </c>
      <c r="P240" s="12">
        <f t="shared" si="62"/>
        <v>0</v>
      </c>
    </row>
    <row r="241" spans="1:16">
      <c r="A241" s="2">
        <v>46077</v>
      </c>
      <c r="B241" s="3">
        <f>Data_Entry!T332</f>
        <v>13222.9999999996</v>
      </c>
      <c r="C241" s="4">
        <f>Data_Entry!V332</f>
        <v>4.53</v>
      </c>
      <c r="D241" s="5">
        <f t="shared" si="54"/>
        <v>0.22823460370062801</v>
      </c>
      <c r="E241" s="6">
        <v>0</v>
      </c>
      <c r="F241" s="6">
        <v>0</v>
      </c>
      <c r="G241" s="7">
        <f t="shared" si="55"/>
        <v>0</v>
      </c>
      <c r="H241" s="7">
        <f t="shared" si="56"/>
        <v>0</v>
      </c>
      <c r="I241" s="8">
        <v>2414</v>
      </c>
      <c r="J241" s="9"/>
      <c r="K241" s="8">
        <f t="shared" si="57"/>
        <v>28968</v>
      </c>
      <c r="L241" s="7">
        <f t="shared" si="58"/>
        <v>0</v>
      </c>
      <c r="M241" s="10">
        <f t="shared" si="59"/>
        <v>1</v>
      </c>
      <c r="N241" s="11">
        <f t="shared" si="60"/>
        <v>0.22823460370062801</v>
      </c>
      <c r="O241" s="8">
        <f t="shared" si="61"/>
        <v>13222.9999999996</v>
      </c>
      <c r="P241" s="12">
        <f t="shared" si="62"/>
        <v>0</v>
      </c>
    </row>
    <row r="242" spans="1:16">
      <c r="A242" s="2">
        <v>46078</v>
      </c>
      <c r="B242" s="3">
        <f>Data_Entry!T333</f>
        <v>13980.0000000002</v>
      </c>
      <c r="C242" s="4">
        <f>Data_Entry!V333</f>
        <v>4.76</v>
      </c>
      <c r="D242" s="5">
        <f t="shared" si="54"/>
        <v>0.241200828157354</v>
      </c>
      <c r="E242" s="6">
        <v>0</v>
      </c>
      <c r="F242" s="6">
        <v>0</v>
      </c>
      <c r="G242" s="7">
        <f t="shared" si="55"/>
        <v>0</v>
      </c>
      <c r="H242" s="7">
        <f t="shared" si="56"/>
        <v>0</v>
      </c>
      <c r="I242" s="8">
        <v>2415</v>
      </c>
      <c r="J242" s="9"/>
      <c r="K242" s="8">
        <f t="shared" si="57"/>
        <v>28980</v>
      </c>
      <c r="L242" s="7">
        <f t="shared" si="58"/>
        <v>0</v>
      </c>
      <c r="M242" s="10">
        <f t="shared" si="59"/>
        <v>1</v>
      </c>
      <c r="N242" s="11">
        <f t="shared" si="60"/>
        <v>0.241200828157354</v>
      </c>
      <c r="O242" s="8">
        <f t="shared" si="61"/>
        <v>13980.0000000002</v>
      </c>
      <c r="P242" s="12">
        <f t="shared" si="62"/>
        <v>0</v>
      </c>
    </row>
    <row r="243" spans="1:16">
      <c r="A243" s="2">
        <v>46079</v>
      </c>
      <c r="B243" s="3">
        <f>Data_Entry!T334</f>
        <v>11910.0000000001</v>
      </c>
      <c r="C243" s="4">
        <f>Data_Entry!V334</f>
        <v>4.1500000000000004</v>
      </c>
      <c r="D243" s="5">
        <f t="shared" si="54"/>
        <v>0.20540149006622599</v>
      </c>
      <c r="E243" s="6">
        <v>0</v>
      </c>
      <c r="F243" s="6">
        <v>0</v>
      </c>
      <c r="G243" s="7">
        <f t="shared" si="55"/>
        <v>0</v>
      </c>
      <c r="H243" s="7">
        <f t="shared" si="56"/>
        <v>0</v>
      </c>
      <c r="I243" s="8">
        <v>2416</v>
      </c>
      <c r="J243" s="9"/>
      <c r="K243" s="8">
        <f t="shared" si="57"/>
        <v>28992</v>
      </c>
      <c r="L243" s="7">
        <f t="shared" si="58"/>
        <v>0</v>
      </c>
      <c r="M243" s="10">
        <f t="shared" si="59"/>
        <v>1</v>
      </c>
      <c r="N243" s="11">
        <f t="shared" si="60"/>
        <v>0.20540149006622599</v>
      </c>
      <c r="O243" s="8">
        <f t="shared" si="61"/>
        <v>11910.0000000001</v>
      </c>
      <c r="P243" s="12">
        <f t="shared" si="62"/>
        <v>0</v>
      </c>
    </row>
    <row r="244" spans="1:16">
      <c r="A244" s="2">
        <v>46080</v>
      </c>
      <c r="B244" s="3">
        <f>Data_Entry!T335</f>
        <v>12269.9999999997</v>
      </c>
      <c r="C244" s="4">
        <f>Data_Entry!V335</f>
        <v>4.5999999999999996</v>
      </c>
      <c r="D244" s="5">
        <f t="shared" si="54"/>
        <v>0.21152254861397901</v>
      </c>
      <c r="E244" s="6">
        <v>0</v>
      </c>
      <c r="F244" s="6">
        <v>0</v>
      </c>
      <c r="G244" s="7">
        <f t="shared" si="55"/>
        <v>0</v>
      </c>
      <c r="H244" s="7">
        <f t="shared" si="56"/>
        <v>0</v>
      </c>
      <c r="I244" s="8">
        <v>2417</v>
      </c>
      <c r="J244" s="9"/>
      <c r="K244" s="8">
        <f t="shared" si="57"/>
        <v>29004</v>
      </c>
      <c r="L244" s="7">
        <f t="shared" si="58"/>
        <v>0</v>
      </c>
      <c r="M244" s="10">
        <f t="shared" si="59"/>
        <v>1</v>
      </c>
      <c r="N244" s="11">
        <f t="shared" si="60"/>
        <v>0.21152254861397901</v>
      </c>
      <c r="O244" s="8">
        <f t="shared" si="61"/>
        <v>12269.9999999997</v>
      </c>
      <c r="P244" s="12">
        <f t="shared" si="62"/>
        <v>0</v>
      </c>
    </row>
    <row r="245" spans="1:16">
      <c r="A245" s="2">
        <v>46081</v>
      </c>
      <c r="B245" s="3">
        <f>Data_Entry!T336</f>
        <v>13050.0000000004</v>
      </c>
      <c r="C245" s="4">
        <f>Data_Entry!V336</f>
        <v>4.6500000000000004</v>
      </c>
      <c r="D245" s="5">
        <f t="shared" si="54"/>
        <v>0.224875930521098</v>
      </c>
      <c r="E245" s="6">
        <v>0</v>
      </c>
      <c r="F245" s="6">
        <v>0</v>
      </c>
      <c r="G245" s="7">
        <f t="shared" si="55"/>
        <v>0</v>
      </c>
      <c r="H245" s="7">
        <f t="shared" si="56"/>
        <v>0</v>
      </c>
      <c r="I245" s="8">
        <v>2418</v>
      </c>
      <c r="J245" s="9"/>
      <c r="K245" s="8">
        <f t="shared" si="57"/>
        <v>29016</v>
      </c>
      <c r="L245" s="7">
        <f t="shared" si="58"/>
        <v>0</v>
      </c>
      <c r="M245" s="10">
        <f t="shared" si="59"/>
        <v>1</v>
      </c>
      <c r="N245" s="11">
        <f t="shared" si="60"/>
        <v>0.224875930521098</v>
      </c>
      <c r="O245" s="8">
        <f t="shared" si="61"/>
        <v>13050.0000000004</v>
      </c>
      <c r="P245" s="12">
        <f t="shared" si="62"/>
        <v>0</v>
      </c>
    </row>
    <row r="246" spans="1:16">
      <c r="A246" s="2">
        <v>46082</v>
      </c>
      <c r="B246" s="3">
        <f>Data_Entry!T337</f>
        <v>13859.9999999996</v>
      </c>
      <c r="C246" s="4">
        <f>Data_Entry!V337</f>
        <v>4.87</v>
      </c>
      <c r="D246" s="5">
        <f t="shared" si="54"/>
        <v>0.23873501446878301</v>
      </c>
      <c r="E246" s="6">
        <v>0</v>
      </c>
      <c r="F246" s="6">
        <v>0</v>
      </c>
      <c r="G246" s="7">
        <f t="shared" si="55"/>
        <v>0</v>
      </c>
      <c r="H246" s="7">
        <f t="shared" si="56"/>
        <v>0</v>
      </c>
      <c r="I246" s="8">
        <v>2419</v>
      </c>
      <c r="J246" s="9"/>
      <c r="K246" s="8">
        <f t="shared" si="57"/>
        <v>29028</v>
      </c>
      <c r="L246" s="7">
        <f t="shared" si="58"/>
        <v>0</v>
      </c>
      <c r="M246" s="10">
        <f t="shared" si="59"/>
        <v>1</v>
      </c>
      <c r="N246" s="11">
        <f t="shared" si="60"/>
        <v>0.23873501446878301</v>
      </c>
      <c r="O246" s="8">
        <f t="shared" si="61"/>
        <v>13859.9999999996</v>
      </c>
      <c r="P246" s="12">
        <f t="shared" si="62"/>
        <v>0</v>
      </c>
    </row>
    <row r="247" spans="1:16">
      <c r="A247" s="2">
        <v>46083</v>
      </c>
      <c r="B247" s="3">
        <f>Data_Entry!T338</f>
        <v>13679.9999999998</v>
      </c>
      <c r="C247" s="4">
        <f>Data_Entry!V338</f>
        <v>4.8499999999999996</v>
      </c>
      <c r="D247" s="5">
        <f t="shared" si="54"/>
        <v>0.23553719008264101</v>
      </c>
      <c r="E247" s="6">
        <v>0</v>
      </c>
      <c r="F247" s="6">
        <v>0</v>
      </c>
      <c r="G247" s="7">
        <f t="shared" si="55"/>
        <v>0</v>
      </c>
      <c r="H247" s="7">
        <f t="shared" si="56"/>
        <v>0</v>
      </c>
      <c r="I247" s="8">
        <v>2420</v>
      </c>
      <c r="J247" s="9"/>
      <c r="K247" s="8">
        <f t="shared" si="57"/>
        <v>29040</v>
      </c>
      <c r="L247" s="7">
        <f t="shared" si="58"/>
        <v>0</v>
      </c>
      <c r="M247" s="10">
        <f t="shared" si="59"/>
        <v>1</v>
      </c>
      <c r="N247" s="11">
        <f t="shared" si="60"/>
        <v>0.23553719008264101</v>
      </c>
      <c r="O247" s="8">
        <f t="shared" si="61"/>
        <v>13679.9999999998</v>
      </c>
      <c r="P247" s="12">
        <f t="shared" si="62"/>
        <v>0</v>
      </c>
    </row>
    <row r="248" spans="1:16">
      <c r="A248" s="2">
        <v>46084</v>
      </c>
      <c r="B248" s="3">
        <f>Data_Entry!T339</f>
        <v>13020.0000000004</v>
      </c>
      <c r="C248" s="4">
        <f>Data_Entry!V339</f>
        <v>4.8899999999999997</v>
      </c>
      <c r="D248" s="5">
        <f t="shared" si="54"/>
        <v>0.22408095828170899</v>
      </c>
      <c r="E248" s="6">
        <v>0</v>
      </c>
      <c r="F248" s="6">
        <v>0</v>
      </c>
      <c r="G248" s="7">
        <f t="shared" si="55"/>
        <v>0</v>
      </c>
      <c r="H248" s="7">
        <f t="shared" si="56"/>
        <v>0</v>
      </c>
      <c r="I248" s="8">
        <v>2421</v>
      </c>
      <c r="J248" s="9"/>
      <c r="K248" s="8">
        <f t="shared" si="57"/>
        <v>29052</v>
      </c>
      <c r="L248" s="7">
        <f t="shared" si="58"/>
        <v>0</v>
      </c>
      <c r="M248" s="10">
        <f t="shared" si="59"/>
        <v>1</v>
      </c>
      <c r="N248" s="11">
        <f t="shared" si="60"/>
        <v>0.22408095828170899</v>
      </c>
      <c r="O248" s="8">
        <f t="shared" si="61"/>
        <v>13020.0000000004</v>
      </c>
      <c r="P248" s="12">
        <f t="shared" si="62"/>
        <v>0</v>
      </c>
    </row>
    <row r="249" spans="1:16">
      <c r="A249" s="2">
        <v>46085</v>
      </c>
      <c r="B249" s="3">
        <f>Data_Entry!T340</f>
        <v>12000</v>
      </c>
      <c r="C249" s="4">
        <f>Data_Entry!V340</f>
        <v>4.68</v>
      </c>
      <c r="D249" s="5">
        <f t="shared" si="54"/>
        <v>0.206440957886044</v>
      </c>
      <c r="E249" s="6">
        <v>0</v>
      </c>
      <c r="F249" s="6">
        <v>0</v>
      </c>
      <c r="G249" s="7">
        <f t="shared" si="55"/>
        <v>0</v>
      </c>
      <c r="H249" s="7">
        <f t="shared" si="56"/>
        <v>0</v>
      </c>
      <c r="I249" s="8">
        <v>2422</v>
      </c>
      <c r="J249" s="9"/>
      <c r="K249" s="8">
        <f t="shared" si="57"/>
        <v>29064</v>
      </c>
      <c r="L249" s="7">
        <f t="shared" si="58"/>
        <v>0</v>
      </c>
      <c r="M249" s="10">
        <f t="shared" si="59"/>
        <v>1</v>
      </c>
      <c r="N249" s="11">
        <f t="shared" si="60"/>
        <v>0.206440957886044</v>
      </c>
      <c r="O249" s="8">
        <f t="shared" si="61"/>
        <v>12000</v>
      </c>
      <c r="P249" s="12">
        <f t="shared" si="62"/>
        <v>0</v>
      </c>
    </row>
    <row r="250" spans="1:16">
      <c r="A250" s="2">
        <v>46086</v>
      </c>
      <c r="B250" s="3">
        <f>Data_Entry!T341</f>
        <v>13079.9999999997</v>
      </c>
      <c r="C250" s="4">
        <f>Data_Entry!V341</f>
        <v>4.84</v>
      </c>
      <c r="D250" s="5">
        <f t="shared" si="54"/>
        <v>0.22492777548493001</v>
      </c>
      <c r="E250" s="6">
        <v>0</v>
      </c>
      <c r="F250" s="6">
        <v>0</v>
      </c>
      <c r="G250" s="7">
        <f t="shared" si="55"/>
        <v>0</v>
      </c>
      <c r="H250" s="7">
        <f t="shared" si="56"/>
        <v>0</v>
      </c>
      <c r="I250" s="8">
        <v>2423</v>
      </c>
      <c r="J250" s="9"/>
      <c r="K250" s="8">
        <f t="shared" si="57"/>
        <v>29076</v>
      </c>
      <c r="L250" s="7">
        <f t="shared" si="58"/>
        <v>0</v>
      </c>
      <c r="M250" s="10">
        <f t="shared" si="59"/>
        <v>1</v>
      </c>
      <c r="N250" s="11">
        <f t="shared" si="60"/>
        <v>0.22492777548493001</v>
      </c>
      <c r="O250" s="8">
        <f t="shared" si="61"/>
        <v>13079.9999999997</v>
      </c>
      <c r="P250" s="12">
        <f t="shared" si="62"/>
        <v>0</v>
      </c>
    </row>
    <row r="251" spans="1:16">
      <c r="A251" s="2">
        <v>46087</v>
      </c>
      <c r="B251" s="3">
        <f>Data_Entry!T342</f>
        <v>11820.0000000001</v>
      </c>
      <c r="C251" s="4">
        <f>Data_Entry!V342</f>
        <v>4.63</v>
      </c>
      <c r="D251" s="5">
        <f t="shared" si="54"/>
        <v>0.203176567656768</v>
      </c>
      <c r="E251" s="6">
        <v>0</v>
      </c>
      <c r="F251" s="6">
        <v>0</v>
      </c>
      <c r="G251" s="7">
        <f t="shared" si="55"/>
        <v>0</v>
      </c>
      <c r="H251" s="7">
        <f t="shared" si="56"/>
        <v>0</v>
      </c>
      <c r="I251" s="8">
        <v>2424</v>
      </c>
      <c r="J251" s="9"/>
      <c r="K251" s="8">
        <f t="shared" si="57"/>
        <v>29088</v>
      </c>
      <c r="L251" s="7">
        <f t="shared" si="58"/>
        <v>0</v>
      </c>
      <c r="M251" s="10">
        <f t="shared" si="59"/>
        <v>1</v>
      </c>
      <c r="N251" s="11">
        <f t="shared" si="60"/>
        <v>0.203176567656768</v>
      </c>
      <c r="O251" s="8">
        <f t="shared" si="61"/>
        <v>11820.0000000001</v>
      </c>
      <c r="P251" s="12">
        <f t="shared" si="62"/>
        <v>0</v>
      </c>
    </row>
    <row r="252" spans="1:16">
      <c r="A252" s="2">
        <v>46088</v>
      </c>
      <c r="B252" s="3">
        <f>Data_Entry!T343</f>
        <v>13740.0000000004</v>
      </c>
      <c r="C252" s="4">
        <f>Data_Entry!V343</f>
        <v>4.99</v>
      </c>
      <c r="D252" s="5">
        <f t="shared" si="54"/>
        <v>0.236082474226811</v>
      </c>
      <c r="E252" s="6">
        <v>0</v>
      </c>
      <c r="F252" s="6">
        <v>0</v>
      </c>
      <c r="G252" s="7">
        <f t="shared" si="55"/>
        <v>0</v>
      </c>
      <c r="H252" s="7">
        <f t="shared" si="56"/>
        <v>0</v>
      </c>
      <c r="I252" s="8">
        <v>2425</v>
      </c>
      <c r="J252" s="9"/>
      <c r="K252" s="8">
        <f t="shared" si="57"/>
        <v>29100</v>
      </c>
      <c r="L252" s="7">
        <f t="shared" si="58"/>
        <v>0</v>
      </c>
      <c r="M252" s="10">
        <f t="shared" si="59"/>
        <v>1</v>
      </c>
      <c r="N252" s="11">
        <f t="shared" si="60"/>
        <v>0.236082474226811</v>
      </c>
      <c r="O252" s="8">
        <f t="shared" si="61"/>
        <v>13740.0000000004</v>
      </c>
      <c r="P252" s="12">
        <f t="shared" si="62"/>
        <v>0</v>
      </c>
    </row>
    <row r="253" spans="1:16">
      <c r="A253" s="2">
        <v>46089</v>
      </c>
      <c r="B253" s="3">
        <f>Data_Entry!T344</f>
        <v>13470</v>
      </c>
      <c r="C253" s="4">
        <f>Data_Entry!V344</f>
        <v>4.8499999999999996</v>
      </c>
      <c r="D253" s="5">
        <f t="shared" si="54"/>
        <v>0.23134789777411399</v>
      </c>
      <c r="E253" s="6">
        <v>0</v>
      </c>
      <c r="F253" s="6">
        <v>0</v>
      </c>
      <c r="G253" s="7">
        <f t="shared" si="55"/>
        <v>0</v>
      </c>
      <c r="H253" s="7">
        <f t="shared" si="56"/>
        <v>0</v>
      </c>
      <c r="I253" s="8">
        <v>2426</v>
      </c>
      <c r="J253" s="9"/>
      <c r="K253" s="8">
        <f t="shared" si="57"/>
        <v>29112</v>
      </c>
      <c r="L253" s="7">
        <f t="shared" si="58"/>
        <v>0</v>
      </c>
      <c r="M253" s="10">
        <f t="shared" si="59"/>
        <v>1</v>
      </c>
      <c r="N253" s="11">
        <f t="shared" si="60"/>
        <v>0.23134789777411399</v>
      </c>
      <c r="O253" s="8">
        <f t="shared" si="61"/>
        <v>13470</v>
      </c>
      <c r="P253" s="12">
        <f t="shared" si="62"/>
        <v>0</v>
      </c>
    </row>
    <row r="254" spans="1:16">
      <c r="A254" s="2">
        <v>46090</v>
      </c>
      <c r="B254" s="3">
        <f>Data_Entry!T345</f>
        <v>13349.9999999994</v>
      </c>
      <c r="C254" s="4">
        <f>Data_Entry!V345</f>
        <v>4.91</v>
      </c>
      <c r="D254" s="5">
        <f t="shared" si="54"/>
        <v>0.22919241862380599</v>
      </c>
      <c r="E254" s="6">
        <v>0</v>
      </c>
      <c r="F254" s="6">
        <v>0</v>
      </c>
      <c r="G254" s="7">
        <f t="shared" si="55"/>
        <v>0</v>
      </c>
      <c r="H254" s="7">
        <f t="shared" si="56"/>
        <v>0</v>
      </c>
      <c r="I254" s="8">
        <v>2427</v>
      </c>
      <c r="J254" s="9"/>
      <c r="K254" s="8">
        <f t="shared" si="57"/>
        <v>29124</v>
      </c>
      <c r="L254" s="7">
        <f t="shared" si="58"/>
        <v>0</v>
      </c>
      <c r="M254" s="10">
        <f t="shared" si="59"/>
        <v>1</v>
      </c>
      <c r="N254" s="11">
        <f t="shared" si="60"/>
        <v>0.22919241862380599</v>
      </c>
      <c r="O254" s="8">
        <f t="shared" si="61"/>
        <v>13349.9999999994</v>
      </c>
      <c r="P254" s="12">
        <f t="shared" si="62"/>
        <v>0</v>
      </c>
    </row>
    <row r="255" spans="1:16">
      <c r="A255" s="2">
        <v>46091</v>
      </c>
      <c r="B255" s="3">
        <f>Data_Entry!T346</f>
        <v>13260.0000000002</v>
      </c>
      <c r="C255" s="4">
        <f>Data_Entry!V346</f>
        <v>4.92</v>
      </c>
      <c r="D255" s="5">
        <f t="shared" si="54"/>
        <v>0.227553542009888</v>
      </c>
      <c r="E255" s="6">
        <v>0</v>
      </c>
      <c r="F255" s="6">
        <v>0</v>
      </c>
      <c r="G255" s="7">
        <f t="shared" si="55"/>
        <v>0</v>
      </c>
      <c r="H255" s="7">
        <f t="shared" si="56"/>
        <v>0</v>
      </c>
      <c r="I255" s="8">
        <v>2428</v>
      </c>
      <c r="J255" s="9"/>
      <c r="K255" s="8">
        <f t="shared" si="57"/>
        <v>29136</v>
      </c>
      <c r="L255" s="7">
        <f t="shared" si="58"/>
        <v>0</v>
      </c>
      <c r="M255" s="10">
        <f t="shared" si="59"/>
        <v>1</v>
      </c>
      <c r="N255" s="11">
        <f t="shared" si="60"/>
        <v>0.227553542009888</v>
      </c>
      <c r="O255" s="8">
        <f t="shared" si="61"/>
        <v>13260.0000000002</v>
      </c>
      <c r="P255" s="12">
        <f t="shared" si="62"/>
        <v>0</v>
      </c>
    </row>
    <row r="256" spans="1:16">
      <c r="A256" s="2">
        <v>46092</v>
      </c>
      <c r="B256" s="3">
        <f>Data_Entry!T347</f>
        <v>13170.0000000002</v>
      </c>
      <c r="C256" s="4">
        <f>Data_Entry!V347</f>
        <v>4.8899999999999997</v>
      </c>
      <c r="D256" s="5">
        <f t="shared" si="54"/>
        <v>0.225916014820918</v>
      </c>
      <c r="E256" s="6">
        <v>0</v>
      </c>
      <c r="F256" s="6">
        <v>0</v>
      </c>
      <c r="G256" s="7">
        <f t="shared" si="55"/>
        <v>0</v>
      </c>
      <c r="H256" s="7">
        <f t="shared" si="56"/>
        <v>0</v>
      </c>
      <c r="I256" s="8">
        <v>2429</v>
      </c>
      <c r="J256" s="9"/>
      <c r="K256" s="8">
        <f t="shared" si="57"/>
        <v>29148</v>
      </c>
      <c r="L256" s="7">
        <f t="shared" si="58"/>
        <v>0</v>
      </c>
      <c r="M256" s="10">
        <f t="shared" si="59"/>
        <v>1</v>
      </c>
      <c r="N256" s="11">
        <f t="shared" si="60"/>
        <v>0.225916014820918</v>
      </c>
      <c r="O256" s="8">
        <f t="shared" si="61"/>
        <v>13170.0000000002</v>
      </c>
      <c r="P256" s="12">
        <f t="shared" si="62"/>
        <v>0</v>
      </c>
    </row>
    <row r="257" spans="1:16">
      <c r="A257" s="2">
        <v>46093</v>
      </c>
      <c r="B257" s="3">
        <f>Data_Entry!T348</f>
        <v>13049.9999999997</v>
      </c>
      <c r="C257" s="4">
        <f>Data_Entry!V348</f>
        <v>4.91</v>
      </c>
      <c r="D257" s="5">
        <f t="shared" si="54"/>
        <v>0.22376543209875999</v>
      </c>
      <c r="E257" s="6">
        <v>0</v>
      </c>
      <c r="F257" s="6">
        <v>0</v>
      </c>
      <c r="G257" s="7">
        <f t="shared" si="55"/>
        <v>0</v>
      </c>
      <c r="H257" s="7">
        <f t="shared" si="56"/>
        <v>0</v>
      </c>
      <c r="I257" s="8">
        <v>2430</v>
      </c>
      <c r="J257" s="9"/>
      <c r="K257" s="8">
        <f t="shared" si="57"/>
        <v>29160</v>
      </c>
      <c r="L257" s="7">
        <f t="shared" si="58"/>
        <v>0</v>
      </c>
      <c r="M257" s="10">
        <f t="shared" si="59"/>
        <v>1</v>
      </c>
      <c r="N257" s="11">
        <f t="shared" si="60"/>
        <v>0.22376543209875999</v>
      </c>
      <c r="O257" s="8">
        <f t="shared" si="61"/>
        <v>13049.9999999997</v>
      </c>
      <c r="P257" s="12">
        <f t="shared" si="62"/>
        <v>0</v>
      </c>
    </row>
    <row r="258" spans="1:16">
      <c r="A258" s="2">
        <v>46094</v>
      </c>
      <c r="B258" s="3">
        <f>Data_Entry!T349</f>
        <v>13260.0000000002</v>
      </c>
      <c r="C258" s="4">
        <f>Data_Entry!V349</f>
        <v>4.93</v>
      </c>
      <c r="D258" s="5">
        <f t="shared" si="54"/>
        <v>0.22727272727273101</v>
      </c>
      <c r="E258" s="6">
        <v>0</v>
      </c>
      <c r="F258" s="6">
        <v>0</v>
      </c>
      <c r="G258" s="7">
        <f t="shared" si="55"/>
        <v>0</v>
      </c>
      <c r="H258" s="7">
        <f t="shared" si="56"/>
        <v>0</v>
      </c>
      <c r="I258" s="8">
        <v>2431</v>
      </c>
      <c r="J258" s="9"/>
      <c r="K258" s="8">
        <f t="shared" si="57"/>
        <v>29172</v>
      </c>
      <c r="L258" s="7">
        <f t="shared" si="58"/>
        <v>0</v>
      </c>
      <c r="M258" s="10">
        <f t="shared" si="59"/>
        <v>1</v>
      </c>
      <c r="N258" s="11">
        <f t="shared" si="60"/>
        <v>0.22727272727273101</v>
      </c>
      <c r="O258" s="8">
        <f t="shared" si="61"/>
        <v>13260.0000000002</v>
      </c>
      <c r="P258" s="12">
        <f t="shared" si="62"/>
        <v>0</v>
      </c>
    </row>
    <row r="259" spans="1:16">
      <c r="A259" s="2">
        <v>46095</v>
      </c>
      <c r="B259" s="3">
        <f>Data_Entry!T350</f>
        <v>13559.9999999999</v>
      </c>
      <c r="C259" s="4">
        <f>Data_Entry!V350</f>
        <v>5.3</v>
      </c>
      <c r="D259" s="5">
        <f t="shared" si="54"/>
        <v>0.232319078947367</v>
      </c>
      <c r="E259" s="6">
        <v>0</v>
      </c>
      <c r="F259" s="6">
        <v>0</v>
      </c>
      <c r="G259" s="7">
        <f t="shared" si="55"/>
        <v>0</v>
      </c>
      <c r="H259" s="7">
        <f t="shared" si="56"/>
        <v>0</v>
      </c>
      <c r="I259" s="8">
        <v>2432</v>
      </c>
      <c r="J259" s="9"/>
      <c r="K259" s="8">
        <f t="shared" si="57"/>
        <v>29184</v>
      </c>
      <c r="L259" s="7">
        <f t="shared" si="58"/>
        <v>0</v>
      </c>
      <c r="M259" s="10">
        <f t="shared" si="59"/>
        <v>1</v>
      </c>
      <c r="N259" s="11">
        <f t="shared" si="60"/>
        <v>0.232319078947367</v>
      </c>
      <c r="O259" s="8">
        <f t="shared" si="61"/>
        <v>13559.9999999999</v>
      </c>
      <c r="P259" s="12">
        <f t="shared" si="62"/>
        <v>0</v>
      </c>
    </row>
    <row r="260" spans="1:16">
      <c r="A260" s="2">
        <v>46096</v>
      </c>
      <c r="B260" s="3">
        <f>Data_Entry!T351</f>
        <v>13500</v>
      </c>
      <c r="C260" s="4">
        <f>Data_Entry!V351</f>
        <v>5.05</v>
      </c>
      <c r="D260" s="5">
        <f t="shared" si="54"/>
        <v>0.23119605425400699</v>
      </c>
      <c r="E260" s="6">
        <v>0</v>
      </c>
      <c r="F260" s="6">
        <v>0</v>
      </c>
      <c r="G260" s="7">
        <f t="shared" si="55"/>
        <v>0</v>
      </c>
      <c r="H260" s="7">
        <f t="shared" si="56"/>
        <v>0</v>
      </c>
      <c r="I260" s="8">
        <v>2433</v>
      </c>
      <c r="J260" s="9"/>
      <c r="K260" s="8">
        <f t="shared" si="57"/>
        <v>29196</v>
      </c>
      <c r="L260" s="7">
        <f t="shared" si="58"/>
        <v>0</v>
      </c>
      <c r="M260" s="10">
        <f t="shared" si="59"/>
        <v>1</v>
      </c>
      <c r="N260" s="11">
        <f t="shared" si="60"/>
        <v>0.23119605425400699</v>
      </c>
      <c r="O260" s="8">
        <f t="shared" si="61"/>
        <v>13500</v>
      </c>
      <c r="P260" s="12">
        <f t="shared" si="62"/>
        <v>0</v>
      </c>
    </row>
    <row r="261" spans="1:16">
      <c r="A261" s="2">
        <v>46097</v>
      </c>
      <c r="B261" s="3">
        <f>Data_Entry!T352</f>
        <v>13410</v>
      </c>
      <c r="C261" s="4">
        <f>Data_Entry!V352</f>
        <v>5.31</v>
      </c>
      <c r="D261" s="5">
        <f t="shared" si="54"/>
        <v>0.22956039441248999</v>
      </c>
      <c r="E261" s="6">
        <v>0</v>
      </c>
      <c r="F261" s="6">
        <v>0</v>
      </c>
      <c r="G261" s="7">
        <f t="shared" si="55"/>
        <v>0</v>
      </c>
      <c r="H261" s="7">
        <f t="shared" si="56"/>
        <v>0</v>
      </c>
      <c r="I261" s="8">
        <v>2434</v>
      </c>
      <c r="J261" s="9"/>
      <c r="K261" s="8">
        <f t="shared" si="57"/>
        <v>29208</v>
      </c>
      <c r="L261" s="7">
        <f t="shared" si="58"/>
        <v>0</v>
      </c>
      <c r="M261" s="10">
        <f t="shared" si="59"/>
        <v>1</v>
      </c>
      <c r="N261" s="11">
        <f t="shared" si="60"/>
        <v>0.22956039441248999</v>
      </c>
      <c r="O261" s="8">
        <f t="shared" si="61"/>
        <v>13410</v>
      </c>
      <c r="P261" s="12">
        <f t="shared" si="62"/>
        <v>0</v>
      </c>
    </row>
    <row r="262" spans="1:16">
      <c r="A262" s="2">
        <v>46098</v>
      </c>
      <c r="B262" s="3">
        <f>Data_Entry!T353</f>
        <v>13529.9999999999</v>
      </c>
      <c r="C262" s="4">
        <f>Data_Entry!V353</f>
        <v>5.27</v>
      </c>
      <c r="D262" s="5">
        <f t="shared" si="54"/>
        <v>0.23151950718685699</v>
      </c>
      <c r="E262" s="6">
        <v>0</v>
      </c>
      <c r="F262" s="6">
        <v>0</v>
      </c>
      <c r="G262" s="7">
        <f t="shared" si="55"/>
        <v>0</v>
      </c>
      <c r="H262" s="7">
        <f t="shared" si="56"/>
        <v>0</v>
      </c>
      <c r="I262" s="8">
        <v>2435</v>
      </c>
      <c r="J262" s="9"/>
      <c r="K262" s="8">
        <f t="shared" si="57"/>
        <v>29220</v>
      </c>
      <c r="L262" s="7">
        <f t="shared" si="58"/>
        <v>0</v>
      </c>
      <c r="M262" s="10">
        <f t="shared" si="59"/>
        <v>1</v>
      </c>
      <c r="N262" s="11">
        <f t="shared" si="60"/>
        <v>0.23151950718685699</v>
      </c>
      <c r="O262" s="8">
        <f t="shared" si="61"/>
        <v>13529.9999999999</v>
      </c>
      <c r="P262" s="12">
        <f t="shared" si="62"/>
        <v>0</v>
      </c>
    </row>
    <row r="263" spans="1:16">
      <c r="A263" s="2">
        <v>46099</v>
      </c>
      <c r="B263" s="3">
        <f>Data_Entry!T354</f>
        <v>12990.0000000004</v>
      </c>
      <c r="C263" s="4">
        <f>Data_Entry!V354</f>
        <v>3</v>
      </c>
      <c r="D263" s="5">
        <f t="shared" si="54"/>
        <v>0.22218801313629599</v>
      </c>
      <c r="E263" s="6">
        <v>0</v>
      </c>
      <c r="F263" s="6">
        <v>0</v>
      </c>
      <c r="G263" s="7">
        <f t="shared" si="55"/>
        <v>0</v>
      </c>
      <c r="H263" s="7">
        <f t="shared" si="56"/>
        <v>0</v>
      </c>
      <c r="I263" s="8">
        <v>2436</v>
      </c>
      <c r="J263" s="9"/>
      <c r="K263" s="8">
        <f t="shared" si="57"/>
        <v>29232</v>
      </c>
      <c r="L263" s="7">
        <f t="shared" si="58"/>
        <v>0</v>
      </c>
      <c r="M263" s="10">
        <f t="shared" si="59"/>
        <v>1</v>
      </c>
      <c r="N263" s="11">
        <f t="shared" si="60"/>
        <v>0.22218801313629599</v>
      </c>
      <c r="O263" s="8">
        <f t="shared" si="61"/>
        <v>12990.0000000004</v>
      </c>
      <c r="P263" s="12">
        <f t="shared" si="62"/>
        <v>0</v>
      </c>
    </row>
    <row r="264" spans="1:16">
      <c r="A264" s="2">
        <v>46100</v>
      </c>
      <c r="B264" s="3">
        <f>Data_Entry!T355</f>
        <v>8970</v>
      </c>
      <c r="C264" s="4">
        <f>Data_Entry!V355</f>
        <v>3.16</v>
      </c>
      <c r="D264" s="5">
        <f t="shared" si="54"/>
        <v>0.15336479277800599</v>
      </c>
      <c r="E264" s="6">
        <v>0</v>
      </c>
      <c r="F264" s="6">
        <v>0</v>
      </c>
      <c r="G264" s="7">
        <f t="shared" si="55"/>
        <v>0</v>
      </c>
      <c r="H264" s="7">
        <f t="shared" si="56"/>
        <v>0</v>
      </c>
      <c r="I264" s="8">
        <v>2437</v>
      </c>
      <c r="J264" s="9"/>
      <c r="K264" s="8">
        <f t="shared" si="57"/>
        <v>29244</v>
      </c>
      <c r="L264" s="7">
        <f t="shared" si="58"/>
        <v>0</v>
      </c>
      <c r="M264" s="10">
        <f t="shared" si="59"/>
        <v>1</v>
      </c>
      <c r="N264" s="11">
        <f t="shared" si="60"/>
        <v>0.15336479277800599</v>
      </c>
      <c r="O264" s="8">
        <f t="shared" si="61"/>
        <v>8970</v>
      </c>
      <c r="P264" s="12">
        <f t="shared" si="62"/>
        <v>0</v>
      </c>
    </row>
    <row r="265" spans="1:16">
      <c r="A265" s="2">
        <v>46101</v>
      </c>
      <c r="B265" s="3">
        <f>Data_Entry!T356</f>
        <v>8849.9999999994307</v>
      </c>
      <c r="C265" s="4">
        <f>Data_Entry!V356</f>
        <v>3.62</v>
      </c>
      <c r="D265" s="5">
        <f t="shared" si="54"/>
        <v>0.15125102543067101</v>
      </c>
      <c r="E265" s="6">
        <v>0</v>
      </c>
      <c r="F265" s="6">
        <v>0</v>
      </c>
      <c r="G265" s="7">
        <f t="shared" si="55"/>
        <v>0</v>
      </c>
      <c r="H265" s="7">
        <f t="shared" si="56"/>
        <v>0</v>
      </c>
      <c r="I265" s="8">
        <v>2438</v>
      </c>
      <c r="J265" s="9"/>
      <c r="K265" s="8">
        <f t="shared" si="57"/>
        <v>29256</v>
      </c>
      <c r="L265" s="7">
        <f t="shared" si="58"/>
        <v>0</v>
      </c>
      <c r="M265" s="10">
        <f t="shared" si="59"/>
        <v>1</v>
      </c>
      <c r="N265" s="11">
        <f t="shared" si="60"/>
        <v>0.15125102543067101</v>
      </c>
      <c r="O265" s="8">
        <f t="shared" si="61"/>
        <v>8849.9999999994307</v>
      </c>
      <c r="P265" s="12">
        <f t="shared" si="62"/>
        <v>0</v>
      </c>
    </row>
    <row r="266" spans="1:16">
      <c r="A266" s="2">
        <v>46102</v>
      </c>
      <c r="B266" s="3">
        <f>Data_Entry!T357</f>
        <v>12330.0000000004</v>
      </c>
      <c r="C266" s="4">
        <f>Data_Entry!V357</f>
        <v>4.71</v>
      </c>
      <c r="D266" s="5">
        <f t="shared" si="54"/>
        <v>0.21063960639606999</v>
      </c>
      <c r="E266" s="6">
        <v>0</v>
      </c>
      <c r="F266" s="6">
        <v>0</v>
      </c>
      <c r="G266" s="7">
        <f t="shared" si="55"/>
        <v>0</v>
      </c>
      <c r="H266" s="7">
        <f t="shared" si="56"/>
        <v>0</v>
      </c>
      <c r="I266" s="8">
        <v>2439</v>
      </c>
      <c r="J266" s="9"/>
      <c r="K266" s="8">
        <f t="shared" si="57"/>
        <v>29268</v>
      </c>
      <c r="L266" s="7">
        <f t="shared" si="58"/>
        <v>0</v>
      </c>
      <c r="M266" s="10">
        <f t="shared" si="59"/>
        <v>1</v>
      </c>
      <c r="N266" s="11">
        <f t="shared" si="60"/>
        <v>0.21063960639606999</v>
      </c>
      <c r="O266" s="8">
        <f t="shared" si="61"/>
        <v>12330.0000000004</v>
      </c>
      <c r="P266" s="12">
        <f t="shared" si="62"/>
        <v>0</v>
      </c>
    </row>
    <row r="267" spans="1:16">
      <c r="A267" s="2">
        <v>46103</v>
      </c>
      <c r="B267" s="3">
        <f>Data_Entry!T358</f>
        <v>12149.9999999998</v>
      </c>
      <c r="C267" s="4">
        <f>Data_Entry!V358</f>
        <v>4.8600000000000003</v>
      </c>
      <c r="D267" s="5">
        <f t="shared" si="54"/>
        <v>0.20747950819671901</v>
      </c>
      <c r="E267" s="6">
        <v>0</v>
      </c>
      <c r="F267" s="6">
        <v>0</v>
      </c>
      <c r="G267" s="7">
        <f t="shared" si="55"/>
        <v>0</v>
      </c>
      <c r="H267" s="7">
        <f t="shared" si="56"/>
        <v>0</v>
      </c>
      <c r="I267" s="8">
        <v>2440</v>
      </c>
      <c r="J267" s="9"/>
      <c r="K267" s="8">
        <f t="shared" si="57"/>
        <v>29280</v>
      </c>
      <c r="L267" s="7">
        <f t="shared" si="58"/>
        <v>0</v>
      </c>
      <c r="M267" s="10">
        <f t="shared" si="59"/>
        <v>1</v>
      </c>
      <c r="N267" s="11">
        <f t="shared" si="60"/>
        <v>0.20747950819671901</v>
      </c>
      <c r="O267" s="8">
        <f t="shared" si="61"/>
        <v>12149.9999999998</v>
      </c>
      <c r="P267" s="12">
        <f t="shared" si="62"/>
        <v>0</v>
      </c>
    </row>
    <row r="268" spans="1:16">
      <c r="A268" s="2">
        <v>46104</v>
      </c>
      <c r="B268" s="3">
        <f>Data_Entry!T359</f>
        <v>13499.9999999999</v>
      </c>
      <c r="C268" s="4">
        <f>Data_Entry!V359</f>
        <v>5.03</v>
      </c>
      <c r="D268" s="5">
        <f t="shared" si="54"/>
        <v>0.23043834494059701</v>
      </c>
      <c r="E268" s="6">
        <v>0</v>
      </c>
      <c r="F268" s="6">
        <v>0</v>
      </c>
      <c r="G268" s="7">
        <f t="shared" si="55"/>
        <v>0</v>
      </c>
      <c r="H268" s="7">
        <f t="shared" si="56"/>
        <v>0</v>
      </c>
      <c r="I268" s="8">
        <v>2441</v>
      </c>
      <c r="J268" s="9"/>
      <c r="K268" s="8">
        <f t="shared" si="57"/>
        <v>29292</v>
      </c>
      <c r="L268" s="7">
        <f t="shared" si="58"/>
        <v>0</v>
      </c>
      <c r="M268" s="10">
        <f t="shared" si="59"/>
        <v>1</v>
      </c>
      <c r="N268" s="11">
        <f t="shared" si="60"/>
        <v>0.23043834494059701</v>
      </c>
      <c r="O268" s="8">
        <f t="shared" si="61"/>
        <v>13499.9999999999</v>
      </c>
      <c r="P268" s="12">
        <f t="shared" si="62"/>
        <v>0</v>
      </c>
    </row>
    <row r="269" spans="1:16">
      <c r="A269" s="2">
        <v>46105</v>
      </c>
      <c r="B269" s="3">
        <f>Data_Entry!T360</f>
        <v>11369.9999999999</v>
      </c>
      <c r="C269" s="4">
        <f>Data_Entry!V360</f>
        <v>4.4400000000000004</v>
      </c>
      <c r="D269" s="5">
        <f t="shared" si="54"/>
        <v>0.194000819000817</v>
      </c>
      <c r="E269" s="6">
        <v>0</v>
      </c>
      <c r="F269" s="6">
        <v>0</v>
      </c>
      <c r="G269" s="7">
        <f t="shared" si="55"/>
        <v>0</v>
      </c>
      <c r="H269" s="7">
        <f t="shared" si="56"/>
        <v>0</v>
      </c>
      <c r="I269" s="8">
        <v>2442</v>
      </c>
      <c r="J269" s="9"/>
      <c r="K269" s="8">
        <f t="shared" si="57"/>
        <v>29304</v>
      </c>
      <c r="L269" s="7">
        <f t="shared" si="58"/>
        <v>0</v>
      </c>
      <c r="M269" s="10">
        <f t="shared" si="59"/>
        <v>1</v>
      </c>
      <c r="N269" s="11">
        <f t="shared" si="60"/>
        <v>0.194000819000817</v>
      </c>
      <c r="O269" s="8">
        <f t="shared" si="61"/>
        <v>11369.9999999999</v>
      </c>
      <c r="P269" s="12">
        <f t="shared" si="62"/>
        <v>0</v>
      </c>
    </row>
    <row r="270" spans="1:16">
      <c r="A270" s="2">
        <v>46106</v>
      </c>
      <c r="B270" s="3">
        <f>Data_Entry!T361</f>
        <v>13380.0000000001</v>
      </c>
      <c r="C270" s="4">
        <f>Data_Entry!V361</f>
        <v>5.27</v>
      </c>
      <c r="D270" s="5">
        <f t="shared" si="54"/>
        <v>0.22820302906262899</v>
      </c>
      <c r="E270" s="6">
        <v>0</v>
      </c>
      <c r="F270" s="6">
        <v>0</v>
      </c>
      <c r="G270" s="7">
        <f t="shared" si="55"/>
        <v>0</v>
      </c>
      <c r="H270" s="7">
        <f t="shared" si="56"/>
        <v>0</v>
      </c>
      <c r="I270" s="8">
        <v>2443</v>
      </c>
      <c r="J270" s="9"/>
      <c r="K270" s="8">
        <f t="shared" si="57"/>
        <v>29316</v>
      </c>
      <c r="L270" s="7">
        <f t="shared" si="58"/>
        <v>0</v>
      </c>
      <c r="M270" s="10">
        <f t="shared" si="59"/>
        <v>1</v>
      </c>
      <c r="N270" s="11">
        <f t="shared" si="60"/>
        <v>0.22820302906262899</v>
      </c>
      <c r="O270" s="8">
        <f t="shared" si="61"/>
        <v>13380.0000000001</v>
      </c>
      <c r="P270" s="12">
        <f t="shared" si="62"/>
        <v>0</v>
      </c>
    </row>
    <row r="271" spans="1:16">
      <c r="A271" s="2">
        <v>46107</v>
      </c>
      <c r="B271" s="3">
        <f>Data_Entry!T362</f>
        <v>13470</v>
      </c>
      <c r="C271" s="4">
        <f>Data_Entry!V362</f>
        <v>5.05</v>
      </c>
      <c r="D271" s="5">
        <f t="shared" si="54"/>
        <v>0.229644026186579</v>
      </c>
      <c r="E271" s="6">
        <v>0</v>
      </c>
      <c r="F271" s="6">
        <v>0</v>
      </c>
      <c r="G271" s="7">
        <f t="shared" si="55"/>
        <v>0</v>
      </c>
      <c r="H271" s="7">
        <f t="shared" si="56"/>
        <v>0</v>
      </c>
      <c r="I271" s="8">
        <v>2444</v>
      </c>
      <c r="J271" s="9"/>
      <c r="K271" s="8">
        <f t="shared" si="57"/>
        <v>29328</v>
      </c>
      <c r="L271" s="7">
        <f t="shared" si="58"/>
        <v>0</v>
      </c>
      <c r="M271" s="10">
        <f t="shared" si="59"/>
        <v>1</v>
      </c>
      <c r="N271" s="11">
        <f t="shared" si="60"/>
        <v>0.229644026186579</v>
      </c>
      <c r="O271" s="8">
        <f t="shared" si="61"/>
        <v>13470</v>
      </c>
      <c r="P271" s="12">
        <f t="shared" si="62"/>
        <v>0</v>
      </c>
    </row>
    <row r="272" spans="1:16">
      <c r="A272" s="2">
        <v>46108</v>
      </c>
      <c r="B272" s="3">
        <f>Data_Entry!T363</f>
        <v>14279.9999999999</v>
      </c>
      <c r="C272" s="4">
        <f>Data_Entry!V363</f>
        <v>5.35</v>
      </c>
      <c r="D272" s="5">
        <f t="shared" si="54"/>
        <v>0.243353783231083</v>
      </c>
      <c r="E272" s="6">
        <v>0</v>
      </c>
      <c r="F272" s="6">
        <v>0</v>
      </c>
      <c r="G272" s="7">
        <f t="shared" si="55"/>
        <v>0</v>
      </c>
      <c r="H272" s="7">
        <f t="shared" si="56"/>
        <v>0</v>
      </c>
      <c r="I272" s="8">
        <v>2445</v>
      </c>
      <c r="J272" s="9"/>
      <c r="K272" s="8">
        <f t="shared" si="57"/>
        <v>29340</v>
      </c>
      <c r="L272" s="7">
        <f t="shared" si="58"/>
        <v>0</v>
      </c>
      <c r="M272" s="10">
        <f t="shared" si="59"/>
        <v>1</v>
      </c>
      <c r="N272" s="11">
        <f t="shared" si="60"/>
        <v>0.243353783231083</v>
      </c>
      <c r="O272" s="8">
        <f t="shared" si="61"/>
        <v>14279.9999999999</v>
      </c>
      <c r="P272" s="12">
        <f t="shared" si="62"/>
        <v>0</v>
      </c>
    </row>
    <row r="273" spans="1:16">
      <c r="A273" s="2">
        <v>46109</v>
      </c>
      <c r="B273" s="3">
        <f>Data_Entry!T364</f>
        <v>13530</v>
      </c>
      <c r="C273" s="4">
        <f>Data_Entry!V364</f>
        <v>4.83</v>
      </c>
      <c r="D273" s="5">
        <f t="shared" si="54"/>
        <v>0.230478331970564</v>
      </c>
      <c r="E273" s="6">
        <v>0</v>
      </c>
      <c r="F273" s="6">
        <v>0</v>
      </c>
      <c r="G273" s="7">
        <f t="shared" si="55"/>
        <v>0</v>
      </c>
      <c r="H273" s="7">
        <f t="shared" si="56"/>
        <v>0</v>
      </c>
      <c r="I273" s="8">
        <v>2446</v>
      </c>
      <c r="J273" s="9"/>
      <c r="K273" s="8">
        <f t="shared" si="57"/>
        <v>29352</v>
      </c>
      <c r="L273" s="7">
        <f t="shared" si="58"/>
        <v>0</v>
      </c>
      <c r="M273" s="10">
        <f t="shared" si="59"/>
        <v>1</v>
      </c>
      <c r="N273" s="11">
        <f t="shared" si="60"/>
        <v>0.230478331970564</v>
      </c>
      <c r="O273" s="8">
        <f t="shared" si="61"/>
        <v>13530</v>
      </c>
      <c r="P273" s="12">
        <f t="shared" si="62"/>
        <v>0</v>
      </c>
    </row>
    <row r="274" spans="1:16">
      <c r="A274" s="2">
        <v>46110</v>
      </c>
      <c r="B274" s="3">
        <f>Data_Entry!T365</f>
        <v>12059.9999999999</v>
      </c>
      <c r="C274" s="4">
        <f>Data_Entry!V365</f>
        <v>5.0599999999999996</v>
      </c>
      <c r="D274" s="5">
        <f t="shared" si="54"/>
        <v>0.205353494074375</v>
      </c>
      <c r="E274" s="6">
        <v>0</v>
      </c>
      <c r="F274" s="6">
        <v>0</v>
      </c>
      <c r="G274" s="7">
        <f t="shared" si="55"/>
        <v>0</v>
      </c>
      <c r="H274" s="7">
        <f t="shared" si="56"/>
        <v>0</v>
      </c>
      <c r="I274" s="8">
        <v>2447</v>
      </c>
      <c r="J274" s="9"/>
      <c r="K274" s="8">
        <f t="shared" si="57"/>
        <v>29364</v>
      </c>
      <c r="L274" s="7">
        <f t="shared" si="58"/>
        <v>0</v>
      </c>
      <c r="M274" s="10">
        <f t="shared" si="59"/>
        <v>1</v>
      </c>
      <c r="N274" s="11">
        <f t="shared" si="60"/>
        <v>0.205353494074375</v>
      </c>
      <c r="O274" s="8">
        <f t="shared" si="61"/>
        <v>12059.9999999999</v>
      </c>
      <c r="P274" s="12">
        <f t="shared" si="62"/>
        <v>0</v>
      </c>
    </row>
    <row r="275" spans="1:16">
      <c r="A275" s="2">
        <v>46111</v>
      </c>
      <c r="B275" s="3">
        <f>Data_Entry!T366</f>
        <v>13650.0000000005</v>
      </c>
      <c r="C275" s="4">
        <f>Data_Entry!V366</f>
        <v>4.9800000000000004</v>
      </c>
      <c r="D275" s="5">
        <f t="shared" ref="D275:D307" si="63">B275/(24*I275)</f>
        <v>0.232332516339878</v>
      </c>
      <c r="E275" s="6">
        <v>0</v>
      </c>
      <c r="F275" s="6">
        <v>0</v>
      </c>
      <c r="G275" s="7">
        <f t="shared" ref="G275:G307" si="64">(F275-E275)*24*60</f>
        <v>0</v>
      </c>
      <c r="H275" s="7">
        <f t="shared" ref="H275:H307" si="65">G275/60</f>
        <v>0</v>
      </c>
      <c r="I275" s="8">
        <v>2448</v>
      </c>
      <c r="J275" s="9"/>
      <c r="K275" s="8">
        <f t="shared" ref="K275:K307" si="66">I275*12</f>
        <v>29376</v>
      </c>
      <c r="L275" s="7">
        <f t="shared" ref="L275:L307" si="67">J275*H275</f>
        <v>0</v>
      </c>
      <c r="M275" s="10">
        <f t="shared" ref="M275:M307" si="68">(K275-L275)/K275</f>
        <v>1</v>
      </c>
      <c r="N275" s="11">
        <f t="shared" ref="N275:N307" si="69">D275/M275</f>
        <v>0.232332516339878</v>
      </c>
      <c r="O275" s="8">
        <f t="shared" ref="O275:O307" si="70">N275*I275*24</f>
        <v>13650.0000000005</v>
      </c>
      <c r="P275" s="12">
        <f t="shared" ref="P275:P307" si="71">O275-B275</f>
        <v>0</v>
      </c>
    </row>
    <row r="276" spans="1:16">
      <c r="A276" s="2">
        <v>46112</v>
      </c>
      <c r="B276" s="3">
        <f>Data_Entry!T367</f>
        <v>13410.0000000001</v>
      </c>
      <c r="C276" s="4">
        <f>Data_Entry!V367</f>
        <v>5.46</v>
      </c>
      <c r="D276" s="5">
        <f t="shared" si="63"/>
        <v>0.228154348713762</v>
      </c>
      <c r="E276" s="6">
        <v>0</v>
      </c>
      <c r="F276" s="6">
        <v>0</v>
      </c>
      <c r="G276" s="7">
        <f t="shared" si="64"/>
        <v>0</v>
      </c>
      <c r="H276" s="7">
        <f t="shared" si="65"/>
        <v>0</v>
      </c>
      <c r="I276" s="8">
        <v>2449</v>
      </c>
      <c r="J276" s="9"/>
      <c r="K276" s="8">
        <f t="shared" si="66"/>
        <v>29388</v>
      </c>
      <c r="L276" s="7">
        <f t="shared" si="67"/>
        <v>0</v>
      </c>
      <c r="M276" s="10">
        <f t="shared" si="68"/>
        <v>1</v>
      </c>
      <c r="N276" s="11">
        <f t="shared" si="69"/>
        <v>0.228154348713762</v>
      </c>
      <c r="O276" s="8">
        <f t="shared" si="70"/>
        <v>13410.0000000001</v>
      </c>
      <c r="P276" s="12">
        <f t="shared" si="71"/>
        <v>0</v>
      </c>
    </row>
    <row r="277" spans="1:16">
      <c r="A277" s="2">
        <v>46113</v>
      </c>
      <c r="B277" s="3">
        <f>Data_Entry!T368</f>
        <v>13319.9999999995</v>
      </c>
      <c r="C277" s="4">
        <f>Data_Entry!V368</f>
        <v>4.96</v>
      </c>
      <c r="D277" s="5">
        <f t="shared" si="63"/>
        <v>0.22653061224488899</v>
      </c>
      <c r="E277" s="6">
        <v>0</v>
      </c>
      <c r="F277" s="6">
        <v>0</v>
      </c>
      <c r="G277" s="7">
        <f t="shared" si="64"/>
        <v>0</v>
      </c>
      <c r="H277" s="7">
        <f t="shared" si="65"/>
        <v>0</v>
      </c>
      <c r="I277" s="8">
        <v>2450</v>
      </c>
      <c r="J277" s="9"/>
      <c r="K277" s="8">
        <f t="shared" si="66"/>
        <v>29400</v>
      </c>
      <c r="L277" s="7">
        <f t="shared" si="67"/>
        <v>0</v>
      </c>
      <c r="M277" s="10">
        <f t="shared" si="68"/>
        <v>1</v>
      </c>
      <c r="N277" s="11">
        <f t="shared" si="69"/>
        <v>0.22653061224488899</v>
      </c>
      <c r="O277" s="8">
        <f t="shared" si="70"/>
        <v>13319.9999999995</v>
      </c>
      <c r="P277" s="12">
        <f t="shared" si="71"/>
        <v>0</v>
      </c>
    </row>
    <row r="278" spans="1:16">
      <c r="A278" s="2">
        <v>46114</v>
      </c>
      <c r="B278" s="3">
        <f>Data_Entry!T369</f>
        <v>11010.0000000002</v>
      </c>
      <c r="C278" s="4">
        <f>Data_Entry!V369</f>
        <v>4.1100000000000003</v>
      </c>
      <c r="D278" s="5">
        <f t="shared" si="63"/>
        <v>0.18716850265198201</v>
      </c>
      <c r="E278" s="6">
        <v>0</v>
      </c>
      <c r="F278" s="6">
        <v>0</v>
      </c>
      <c r="G278" s="7">
        <f t="shared" si="64"/>
        <v>0</v>
      </c>
      <c r="H278" s="7">
        <f t="shared" si="65"/>
        <v>0</v>
      </c>
      <c r="I278" s="8">
        <v>2451</v>
      </c>
      <c r="J278" s="9"/>
      <c r="K278" s="8">
        <f t="shared" si="66"/>
        <v>29412</v>
      </c>
      <c r="L278" s="7">
        <f t="shared" si="67"/>
        <v>0</v>
      </c>
      <c r="M278" s="10">
        <f t="shared" si="68"/>
        <v>1</v>
      </c>
      <c r="N278" s="11">
        <f t="shared" si="69"/>
        <v>0.18716850265198201</v>
      </c>
      <c r="O278" s="8">
        <f t="shared" si="70"/>
        <v>11010.0000000002</v>
      </c>
      <c r="P278" s="12">
        <f t="shared" si="71"/>
        <v>0</v>
      </c>
    </row>
    <row r="279" spans="1:16">
      <c r="A279" s="2">
        <v>46115</v>
      </c>
      <c r="B279" s="3">
        <f>Data_Entry!T370</f>
        <v>7050.0000000003502</v>
      </c>
      <c r="C279" s="4">
        <f>Data_Entry!V370</f>
        <v>2.69</v>
      </c>
      <c r="D279" s="5">
        <f t="shared" si="63"/>
        <v>0.11980016313214301</v>
      </c>
      <c r="E279" s="6">
        <v>0</v>
      </c>
      <c r="F279" s="6">
        <v>0</v>
      </c>
      <c r="G279" s="7">
        <f t="shared" si="64"/>
        <v>0</v>
      </c>
      <c r="H279" s="7">
        <f t="shared" si="65"/>
        <v>0</v>
      </c>
      <c r="I279" s="8">
        <v>2452</v>
      </c>
      <c r="J279" s="9"/>
      <c r="K279" s="8">
        <f t="shared" si="66"/>
        <v>29424</v>
      </c>
      <c r="L279" s="7">
        <f t="shared" si="67"/>
        <v>0</v>
      </c>
      <c r="M279" s="10">
        <f t="shared" si="68"/>
        <v>1</v>
      </c>
      <c r="N279" s="11">
        <f t="shared" si="69"/>
        <v>0.11980016313214301</v>
      </c>
      <c r="O279" s="8">
        <f t="shared" si="70"/>
        <v>7050.0000000003502</v>
      </c>
      <c r="P279" s="12">
        <f t="shared" si="71"/>
        <v>0</v>
      </c>
    </row>
    <row r="280" spans="1:16">
      <c r="A280" s="2">
        <v>46116</v>
      </c>
      <c r="B280" s="3">
        <f>Data_Entry!T371</f>
        <v>13410.0000000001</v>
      </c>
      <c r="C280" s="4">
        <f>Data_Entry!V371</f>
        <v>5.24</v>
      </c>
      <c r="D280" s="5">
        <f t="shared" si="63"/>
        <v>0.22778230737872199</v>
      </c>
      <c r="E280" s="6">
        <v>0</v>
      </c>
      <c r="F280" s="6">
        <v>0</v>
      </c>
      <c r="G280" s="7">
        <f t="shared" si="64"/>
        <v>0</v>
      </c>
      <c r="H280" s="7">
        <f t="shared" si="65"/>
        <v>0</v>
      </c>
      <c r="I280" s="8">
        <v>2453</v>
      </c>
      <c r="J280" s="9"/>
      <c r="K280" s="8">
        <f t="shared" si="66"/>
        <v>29436</v>
      </c>
      <c r="L280" s="7">
        <f t="shared" si="67"/>
        <v>0</v>
      </c>
      <c r="M280" s="10">
        <f t="shared" si="68"/>
        <v>1</v>
      </c>
      <c r="N280" s="11">
        <f t="shared" si="69"/>
        <v>0.22778230737872199</v>
      </c>
      <c r="O280" s="8">
        <f t="shared" si="70"/>
        <v>13410.0000000001</v>
      </c>
      <c r="P280" s="12">
        <f t="shared" si="71"/>
        <v>0</v>
      </c>
    </row>
    <row r="281" spans="1:16">
      <c r="A281" s="2">
        <v>46117</v>
      </c>
      <c r="B281" s="3">
        <f>Data_Entry!T372</f>
        <v>13649.9999999998</v>
      </c>
      <c r="C281" s="4">
        <f>Data_Entry!V372</f>
        <v>5.37</v>
      </c>
      <c r="D281" s="5">
        <f t="shared" si="63"/>
        <v>0.231764466177666</v>
      </c>
      <c r="E281" s="6">
        <v>0</v>
      </c>
      <c r="F281" s="6">
        <v>0</v>
      </c>
      <c r="G281" s="7">
        <f t="shared" si="64"/>
        <v>0</v>
      </c>
      <c r="H281" s="7">
        <f t="shared" si="65"/>
        <v>0</v>
      </c>
      <c r="I281" s="8">
        <v>2454</v>
      </c>
      <c r="J281" s="9"/>
      <c r="K281" s="8">
        <f t="shared" si="66"/>
        <v>29448</v>
      </c>
      <c r="L281" s="7">
        <f t="shared" si="67"/>
        <v>0</v>
      </c>
      <c r="M281" s="10">
        <f t="shared" si="68"/>
        <v>1</v>
      </c>
      <c r="N281" s="11">
        <f t="shared" si="69"/>
        <v>0.231764466177666</v>
      </c>
      <c r="O281" s="8">
        <f t="shared" si="70"/>
        <v>13649.9999999998</v>
      </c>
      <c r="P281" s="12">
        <f t="shared" si="71"/>
        <v>0</v>
      </c>
    </row>
    <row r="282" spans="1:16">
      <c r="A282" s="2">
        <v>46118</v>
      </c>
      <c r="B282" s="3">
        <f>Data_Entry!T373</f>
        <v>13769.9999999997</v>
      </c>
      <c r="C282" s="4">
        <f>Data_Entry!V373</f>
        <v>5.23</v>
      </c>
      <c r="D282" s="5">
        <f t="shared" si="63"/>
        <v>0.23370672097759199</v>
      </c>
      <c r="E282" s="6">
        <v>0</v>
      </c>
      <c r="F282" s="6">
        <v>0</v>
      </c>
      <c r="G282" s="7">
        <f t="shared" si="64"/>
        <v>0</v>
      </c>
      <c r="H282" s="7">
        <f t="shared" si="65"/>
        <v>0</v>
      </c>
      <c r="I282" s="8">
        <v>2455</v>
      </c>
      <c r="J282" s="9"/>
      <c r="K282" s="8">
        <f t="shared" si="66"/>
        <v>29460</v>
      </c>
      <c r="L282" s="7">
        <f t="shared" si="67"/>
        <v>0</v>
      </c>
      <c r="M282" s="10">
        <f t="shared" si="68"/>
        <v>1</v>
      </c>
      <c r="N282" s="11">
        <f t="shared" si="69"/>
        <v>0.23370672097759199</v>
      </c>
      <c r="O282" s="8">
        <f t="shared" si="70"/>
        <v>13769.9999999997</v>
      </c>
      <c r="P282" s="12">
        <f t="shared" si="71"/>
        <v>0</v>
      </c>
    </row>
    <row r="283" spans="1:16">
      <c r="A283" s="2">
        <v>46119</v>
      </c>
      <c r="B283" s="3">
        <f>Data_Entry!T374</f>
        <v>12450.0000000002</v>
      </c>
      <c r="C283" s="4">
        <f>Data_Entry!V374</f>
        <v>4.79</v>
      </c>
      <c r="D283" s="5">
        <f t="shared" si="63"/>
        <v>0.21121742671010099</v>
      </c>
      <c r="E283" s="6">
        <v>0</v>
      </c>
      <c r="F283" s="6">
        <v>0</v>
      </c>
      <c r="G283" s="7">
        <f t="shared" si="64"/>
        <v>0</v>
      </c>
      <c r="H283" s="7">
        <f t="shared" si="65"/>
        <v>0</v>
      </c>
      <c r="I283" s="8">
        <v>2456</v>
      </c>
      <c r="J283" s="9"/>
      <c r="K283" s="8">
        <f t="shared" si="66"/>
        <v>29472</v>
      </c>
      <c r="L283" s="7">
        <f t="shared" si="67"/>
        <v>0</v>
      </c>
      <c r="M283" s="10">
        <f t="shared" si="68"/>
        <v>1</v>
      </c>
      <c r="N283" s="11">
        <f t="shared" si="69"/>
        <v>0.21121742671010099</v>
      </c>
      <c r="O283" s="8">
        <f t="shared" si="70"/>
        <v>12450.0000000002</v>
      </c>
      <c r="P283" s="12">
        <f t="shared" si="71"/>
        <v>0</v>
      </c>
    </row>
    <row r="284" spans="1:16">
      <c r="A284" s="2">
        <v>46120</v>
      </c>
      <c r="B284" s="3">
        <f>Data_Entry!T375</f>
        <v>13199.9999999996</v>
      </c>
      <c r="C284" s="4">
        <f>Data_Entry!V375</f>
        <v>5.3</v>
      </c>
      <c r="D284" s="5">
        <f t="shared" si="63"/>
        <v>0.22385022385021699</v>
      </c>
      <c r="E284" s="6">
        <v>0</v>
      </c>
      <c r="F284" s="6">
        <v>0</v>
      </c>
      <c r="G284" s="7">
        <f t="shared" si="64"/>
        <v>0</v>
      </c>
      <c r="H284" s="7">
        <f t="shared" si="65"/>
        <v>0</v>
      </c>
      <c r="I284" s="8">
        <v>2457</v>
      </c>
      <c r="J284" s="9"/>
      <c r="K284" s="8">
        <f t="shared" si="66"/>
        <v>29484</v>
      </c>
      <c r="L284" s="7">
        <f t="shared" si="67"/>
        <v>0</v>
      </c>
      <c r="M284" s="10">
        <f t="shared" si="68"/>
        <v>1</v>
      </c>
      <c r="N284" s="11">
        <f t="shared" si="69"/>
        <v>0.22385022385021699</v>
      </c>
      <c r="O284" s="8">
        <f t="shared" si="70"/>
        <v>13199.9999999996</v>
      </c>
      <c r="P284" s="12">
        <f t="shared" si="71"/>
        <v>0</v>
      </c>
    </row>
    <row r="285" spans="1:16">
      <c r="A285" s="2">
        <v>46121</v>
      </c>
      <c r="B285" s="3">
        <f>Data_Entry!T376</f>
        <v>12780.0000000006</v>
      </c>
      <c r="C285" s="4">
        <f>Data_Entry!V376</f>
        <v>4.62</v>
      </c>
      <c r="D285" s="5">
        <f t="shared" si="63"/>
        <v>0.21663954434500601</v>
      </c>
      <c r="E285" s="6">
        <v>0</v>
      </c>
      <c r="F285" s="6">
        <v>0</v>
      </c>
      <c r="G285" s="7">
        <f t="shared" si="64"/>
        <v>0</v>
      </c>
      <c r="H285" s="7">
        <f t="shared" si="65"/>
        <v>0</v>
      </c>
      <c r="I285" s="8">
        <v>2458</v>
      </c>
      <c r="J285" s="9"/>
      <c r="K285" s="8">
        <f t="shared" si="66"/>
        <v>29496</v>
      </c>
      <c r="L285" s="7">
        <f t="shared" si="67"/>
        <v>0</v>
      </c>
      <c r="M285" s="10">
        <f t="shared" si="68"/>
        <v>1</v>
      </c>
      <c r="N285" s="11">
        <f t="shared" si="69"/>
        <v>0.21663954434500601</v>
      </c>
      <c r="O285" s="8">
        <f t="shared" si="70"/>
        <v>12780.0000000006</v>
      </c>
      <c r="P285" s="12">
        <f t="shared" si="71"/>
        <v>0</v>
      </c>
    </row>
    <row r="286" spans="1:16">
      <c r="A286" s="2">
        <v>46122</v>
      </c>
      <c r="B286" s="3">
        <f>Data_Entry!T377</f>
        <v>13470</v>
      </c>
      <c r="C286" s="4">
        <f>Data_Entry!V377</f>
        <v>5.17</v>
      </c>
      <c r="D286" s="5">
        <f t="shared" si="63"/>
        <v>0.22824318828792201</v>
      </c>
      <c r="E286" s="6">
        <v>0</v>
      </c>
      <c r="F286" s="6">
        <v>0</v>
      </c>
      <c r="G286" s="7">
        <f t="shared" si="64"/>
        <v>0</v>
      </c>
      <c r="H286" s="7">
        <f t="shared" si="65"/>
        <v>0</v>
      </c>
      <c r="I286" s="8">
        <v>2459</v>
      </c>
      <c r="J286" s="9"/>
      <c r="K286" s="8">
        <f t="shared" si="66"/>
        <v>29508</v>
      </c>
      <c r="L286" s="7">
        <f t="shared" si="67"/>
        <v>0</v>
      </c>
      <c r="M286" s="10">
        <f t="shared" si="68"/>
        <v>1</v>
      </c>
      <c r="N286" s="11">
        <f t="shared" si="69"/>
        <v>0.22824318828792201</v>
      </c>
      <c r="O286" s="8">
        <f t="shared" si="70"/>
        <v>13470</v>
      </c>
      <c r="P286" s="12">
        <f t="shared" si="71"/>
        <v>0</v>
      </c>
    </row>
    <row r="287" spans="1:16">
      <c r="A287" s="2">
        <v>46123</v>
      </c>
      <c r="B287" s="3">
        <f>Data_Entry!T378</f>
        <v>13619.9999999999</v>
      </c>
      <c r="C287" s="4">
        <f>Data_Entry!V378</f>
        <v>5.24</v>
      </c>
      <c r="D287" s="5">
        <f t="shared" si="63"/>
        <v>0.23069105691056699</v>
      </c>
      <c r="E287" s="6">
        <v>0</v>
      </c>
      <c r="F287" s="6">
        <v>0</v>
      </c>
      <c r="G287" s="7">
        <f t="shared" si="64"/>
        <v>0</v>
      </c>
      <c r="H287" s="7">
        <f t="shared" si="65"/>
        <v>0</v>
      </c>
      <c r="I287" s="8">
        <v>2460</v>
      </c>
      <c r="J287" s="9"/>
      <c r="K287" s="8">
        <f t="shared" si="66"/>
        <v>29520</v>
      </c>
      <c r="L287" s="7">
        <f t="shared" si="67"/>
        <v>0</v>
      </c>
      <c r="M287" s="10">
        <f t="shared" si="68"/>
        <v>1</v>
      </c>
      <c r="N287" s="11">
        <f t="shared" si="69"/>
        <v>0.23069105691056699</v>
      </c>
      <c r="O287" s="8">
        <f t="shared" si="70"/>
        <v>13619.9999999999</v>
      </c>
      <c r="P287" s="12">
        <f t="shared" si="71"/>
        <v>0</v>
      </c>
    </row>
    <row r="288" spans="1:16">
      <c r="A288" s="2">
        <v>46124</v>
      </c>
      <c r="B288" s="3">
        <f>Data_Entry!T379</f>
        <v>13919.9999999996</v>
      </c>
      <c r="C288" s="4">
        <f>Data_Entry!V379</f>
        <v>5.27</v>
      </c>
      <c r="D288" s="5">
        <f t="shared" si="63"/>
        <v>0.23567655424623499</v>
      </c>
      <c r="E288" s="6">
        <v>0</v>
      </c>
      <c r="F288" s="6">
        <v>0</v>
      </c>
      <c r="G288" s="7">
        <f t="shared" si="64"/>
        <v>0</v>
      </c>
      <c r="H288" s="7">
        <f t="shared" si="65"/>
        <v>0</v>
      </c>
      <c r="I288" s="8">
        <v>2461</v>
      </c>
      <c r="J288" s="9"/>
      <c r="K288" s="8">
        <f t="shared" si="66"/>
        <v>29532</v>
      </c>
      <c r="L288" s="7">
        <f t="shared" si="67"/>
        <v>0</v>
      </c>
      <c r="M288" s="10">
        <f t="shared" si="68"/>
        <v>1</v>
      </c>
      <c r="N288" s="11">
        <f t="shared" si="69"/>
        <v>0.23567655424623499</v>
      </c>
      <c r="O288" s="8">
        <f t="shared" si="70"/>
        <v>13919.9999999996</v>
      </c>
      <c r="P288" s="12">
        <f t="shared" si="71"/>
        <v>0</v>
      </c>
    </row>
    <row r="289" spans="1:16">
      <c r="A289" s="2">
        <v>46125</v>
      </c>
      <c r="B289" s="3">
        <f>Data_Entry!T380</f>
        <v>14130.0000000001</v>
      </c>
      <c r="C289" s="4">
        <f>Data_Entry!V380</f>
        <v>5.34</v>
      </c>
      <c r="D289" s="5">
        <f t="shared" si="63"/>
        <v>0.23913484971568</v>
      </c>
      <c r="E289" s="6">
        <v>0</v>
      </c>
      <c r="F289" s="6">
        <v>0</v>
      </c>
      <c r="G289" s="7">
        <f t="shared" si="64"/>
        <v>0</v>
      </c>
      <c r="H289" s="7">
        <f t="shared" si="65"/>
        <v>0</v>
      </c>
      <c r="I289" s="8">
        <v>2462</v>
      </c>
      <c r="J289" s="9"/>
      <c r="K289" s="8">
        <f t="shared" si="66"/>
        <v>29544</v>
      </c>
      <c r="L289" s="7">
        <f t="shared" si="67"/>
        <v>0</v>
      </c>
      <c r="M289" s="10">
        <f t="shared" si="68"/>
        <v>1</v>
      </c>
      <c r="N289" s="11">
        <f t="shared" si="69"/>
        <v>0.23913484971568</v>
      </c>
      <c r="O289" s="8">
        <f t="shared" si="70"/>
        <v>14130.0000000001</v>
      </c>
      <c r="P289" s="12">
        <f t="shared" si="71"/>
        <v>0</v>
      </c>
    </row>
    <row r="290" spans="1:16">
      <c r="A290" s="2">
        <v>46126</v>
      </c>
      <c r="B290" s="3">
        <f>Data_Entry!T381</f>
        <v>10500</v>
      </c>
      <c r="C290" s="4">
        <f>Data_Entry!V381</f>
        <v>4.17</v>
      </c>
      <c r="D290" s="5">
        <f t="shared" si="63"/>
        <v>0.17762890783597199</v>
      </c>
      <c r="E290" s="6">
        <v>0</v>
      </c>
      <c r="F290" s="6">
        <v>0</v>
      </c>
      <c r="G290" s="7">
        <f t="shared" si="64"/>
        <v>0</v>
      </c>
      <c r="H290" s="7">
        <f t="shared" si="65"/>
        <v>0</v>
      </c>
      <c r="I290" s="8">
        <v>2463</v>
      </c>
      <c r="J290" s="9"/>
      <c r="K290" s="8">
        <f t="shared" si="66"/>
        <v>29556</v>
      </c>
      <c r="L290" s="7">
        <f t="shared" si="67"/>
        <v>0</v>
      </c>
      <c r="M290" s="10">
        <f t="shared" si="68"/>
        <v>1</v>
      </c>
      <c r="N290" s="11">
        <f t="shared" si="69"/>
        <v>0.17762890783597199</v>
      </c>
      <c r="O290" s="8">
        <f t="shared" si="70"/>
        <v>10500</v>
      </c>
      <c r="P290" s="12">
        <f t="shared" si="71"/>
        <v>0</v>
      </c>
    </row>
    <row r="291" spans="1:16">
      <c r="A291" s="2">
        <v>46127</v>
      </c>
      <c r="B291" s="3">
        <f>Data_Entry!T382</f>
        <v>14910.0000000001</v>
      </c>
      <c r="C291" s="4">
        <f>Data_Entry!V382</f>
        <v>5.57</v>
      </c>
      <c r="D291" s="5">
        <f t="shared" si="63"/>
        <v>0.25213068181818299</v>
      </c>
      <c r="E291" s="6">
        <v>0</v>
      </c>
      <c r="F291" s="6">
        <v>0</v>
      </c>
      <c r="G291" s="7">
        <f t="shared" si="64"/>
        <v>0</v>
      </c>
      <c r="H291" s="7">
        <f t="shared" si="65"/>
        <v>0</v>
      </c>
      <c r="I291" s="8">
        <v>2464</v>
      </c>
      <c r="J291" s="9"/>
      <c r="K291" s="8">
        <f t="shared" si="66"/>
        <v>29568</v>
      </c>
      <c r="L291" s="7">
        <f t="shared" si="67"/>
        <v>0</v>
      </c>
      <c r="M291" s="10">
        <f t="shared" si="68"/>
        <v>1</v>
      </c>
      <c r="N291" s="11">
        <f t="shared" si="69"/>
        <v>0.25213068181818299</v>
      </c>
      <c r="O291" s="8">
        <f t="shared" si="70"/>
        <v>14910.0000000001</v>
      </c>
      <c r="P291" s="12">
        <f t="shared" si="71"/>
        <v>0</v>
      </c>
    </row>
    <row r="292" spans="1:16">
      <c r="A292" s="2">
        <v>46128</v>
      </c>
      <c r="B292" s="3">
        <f>Data_Entry!T383</f>
        <v>14400.0000000005</v>
      </c>
      <c r="C292" s="4">
        <f>Data_Entry!V383</f>
        <v>5.57</v>
      </c>
      <c r="D292" s="5">
        <f t="shared" si="63"/>
        <v>0.243407707910759</v>
      </c>
      <c r="E292" s="6">
        <v>0</v>
      </c>
      <c r="F292" s="6">
        <v>0</v>
      </c>
      <c r="G292" s="7">
        <f t="shared" si="64"/>
        <v>0</v>
      </c>
      <c r="H292" s="7">
        <f t="shared" si="65"/>
        <v>0</v>
      </c>
      <c r="I292" s="8">
        <v>2465</v>
      </c>
      <c r="J292" s="9"/>
      <c r="K292" s="8">
        <f t="shared" si="66"/>
        <v>29580</v>
      </c>
      <c r="L292" s="7">
        <f t="shared" si="67"/>
        <v>0</v>
      </c>
      <c r="M292" s="10">
        <f t="shared" si="68"/>
        <v>1</v>
      </c>
      <c r="N292" s="11">
        <f t="shared" si="69"/>
        <v>0.243407707910759</v>
      </c>
      <c r="O292" s="8">
        <f t="shared" si="70"/>
        <v>14400.0000000005</v>
      </c>
      <c r="P292" s="12">
        <f t="shared" si="71"/>
        <v>0</v>
      </c>
    </row>
    <row r="293" spans="1:16">
      <c r="A293" s="2">
        <v>46129</v>
      </c>
      <c r="B293" s="3">
        <f>Data_Entry!T384</f>
        <v>14069.9999999995</v>
      </c>
      <c r="C293" s="4">
        <f>Data_Entry!V384</f>
        <v>5.72</v>
      </c>
      <c r="D293" s="5">
        <f t="shared" si="63"/>
        <v>0.23773317112732301</v>
      </c>
      <c r="E293" s="6">
        <v>0</v>
      </c>
      <c r="F293" s="6">
        <v>0</v>
      </c>
      <c r="G293" s="7">
        <f t="shared" si="64"/>
        <v>0</v>
      </c>
      <c r="H293" s="7">
        <f t="shared" si="65"/>
        <v>0</v>
      </c>
      <c r="I293" s="8">
        <v>2466</v>
      </c>
      <c r="J293" s="9"/>
      <c r="K293" s="8">
        <f t="shared" si="66"/>
        <v>29592</v>
      </c>
      <c r="L293" s="7">
        <f t="shared" si="67"/>
        <v>0</v>
      </c>
      <c r="M293" s="10">
        <f t="shared" si="68"/>
        <v>1</v>
      </c>
      <c r="N293" s="11">
        <f t="shared" si="69"/>
        <v>0.23773317112732301</v>
      </c>
      <c r="O293" s="8">
        <f t="shared" si="70"/>
        <v>14069.9999999995</v>
      </c>
      <c r="P293" s="12">
        <f t="shared" si="71"/>
        <v>0</v>
      </c>
    </row>
    <row r="294" spans="1:16">
      <c r="A294" s="2">
        <v>46130</v>
      </c>
      <c r="B294" s="3">
        <f>Data_Entry!T385</f>
        <v>14010.0000000002</v>
      </c>
      <c r="C294" s="4">
        <f>Data_Entry!V385</f>
        <v>5.47</v>
      </c>
      <c r="D294" s="5">
        <f t="shared" si="63"/>
        <v>0.23662342926631899</v>
      </c>
      <c r="E294" s="6">
        <v>0</v>
      </c>
      <c r="F294" s="6">
        <v>0</v>
      </c>
      <c r="G294" s="7">
        <f t="shared" si="64"/>
        <v>0</v>
      </c>
      <c r="H294" s="7">
        <f t="shared" si="65"/>
        <v>0</v>
      </c>
      <c r="I294" s="8">
        <v>2467</v>
      </c>
      <c r="J294" s="9"/>
      <c r="K294" s="8">
        <f t="shared" si="66"/>
        <v>29604</v>
      </c>
      <c r="L294" s="7">
        <f t="shared" si="67"/>
        <v>0</v>
      </c>
      <c r="M294" s="10">
        <f t="shared" si="68"/>
        <v>1</v>
      </c>
      <c r="N294" s="11">
        <f t="shared" si="69"/>
        <v>0.23662342926631899</v>
      </c>
      <c r="O294" s="8">
        <f t="shared" si="70"/>
        <v>14010.0000000002</v>
      </c>
      <c r="P294" s="12">
        <f t="shared" si="71"/>
        <v>0</v>
      </c>
    </row>
    <row r="295" spans="1:16">
      <c r="A295" s="2">
        <v>46131</v>
      </c>
      <c r="B295" s="3">
        <f>Data_Entry!T386</f>
        <v>13799.9999999997</v>
      </c>
      <c r="C295" s="4">
        <f>Data_Entry!V386</f>
        <v>5.25</v>
      </c>
      <c r="D295" s="5">
        <f t="shared" si="63"/>
        <v>0.232982171799022</v>
      </c>
      <c r="E295" s="6">
        <v>0</v>
      </c>
      <c r="F295" s="6">
        <v>0</v>
      </c>
      <c r="G295" s="7">
        <f t="shared" si="64"/>
        <v>0</v>
      </c>
      <c r="H295" s="7">
        <f t="shared" si="65"/>
        <v>0</v>
      </c>
      <c r="I295" s="8">
        <v>2468</v>
      </c>
      <c r="J295" s="9"/>
      <c r="K295" s="8">
        <f t="shared" si="66"/>
        <v>29616</v>
      </c>
      <c r="L295" s="7">
        <f t="shared" si="67"/>
        <v>0</v>
      </c>
      <c r="M295" s="10">
        <f t="shared" si="68"/>
        <v>1</v>
      </c>
      <c r="N295" s="11">
        <f t="shared" si="69"/>
        <v>0.232982171799022</v>
      </c>
      <c r="O295" s="8">
        <f t="shared" si="70"/>
        <v>13799.9999999997</v>
      </c>
      <c r="P295" s="12">
        <f t="shared" si="71"/>
        <v>0</v>
      </c>
    </row>
    <row r="296" spans="1:16">
      <c r="A296" s="2">
        <v>46132</v>
      </c>
      <c r="B296" s="3">
        <f>Data_Entry!T387</f>
        <v>14310.0000000006</v>
      </c>
      <c r="C296" s="4">
        <f>Data_Entry!V387</f>
        <v>5.55</v>
      </c>
      <c r="D296" s="5">
        <f t="shared" si="63"/>
        <v>0.24149453219928099</v>
      </c>
      <c r="E296" s="6">
        <v>0</v>
      </c>
      <c r="F296" s="6">
        <v>0</v>
      </c>
      <c r="G296" s="7">
        <f t="shared" si="64"/>
        <v>0</v>
      </c>
      <c r="H296" s="7">
        <f t="shared" si="65"/>
        <v>0</v>
      </c>
      <c r="I296" s="8">
        <v>2469</v>
      </c>
      <c r="J296" s="9"/>
      <c r="K296" s="8">
        <f t="shared" si="66"/>
        <v>29628</v>
      </c>
      <c r="L296" s="7">
        <f t="shared" si="67"/>
        <v>0</v>
      </c>
      <c r="M296" s="10">
        <f t="shared" si="68"/>
        <v>1</v>
      </c>
      <c r="N296" s="11">
        <f t="shared" si="69"/>
        <v>0.24149453219928099</v>
      </c>
      <c r="O296" s="8">
        <f t="shared" si="70"/>
        <v>14310.0000000006</v>
      </c>
      <c r="P296" s="12">
        <f t="shared" si="71"/>
        <v>0</v>
      </c>
    </row>
    <row r="297" spans="1:16">
      <c r="A297" s="2">
        <v>46133</v>
      </c>
      <c r="B297" s="3">
        <f>Data_Entry!T388</f>
        <v>14250</v>
      </c>
      <c r="C297" s="4">
        <f>Data_Entry!V388</f>
        <v>5.48</v>
      </c>
      <c r="D297" s="5">
        <f t="shared" si="63"/>
        <v>0.240384615384615</v>
      </c>
      <c r="E297" s="6">
        <v>0</v>
      </c>
      <c r="F297" s="6">
        <v>0</v>
      </c>
      <c r="G297" s="7">
        <f t="shared" si="64"/>
        <v>0</v>
      </c>
      <c r="H297" s="7">
        <f t="shared" si="65"/>
        <v>0</v>
      </c>
      <c r="I297" s="8">
        <v>2470</v>
      </c>
      <c r="J297" s="9"/>
      <c r="K297" s="8">
        <f t="shared" si="66"/>
        <v>29640</v>
      </c>
      <c r="L297" s="7">
        <f t="shared" si="67"/>
        <v>0</v>
      </c>
      <c r="M297" s="10">
        <f t="shared" si="68"/>
        <v>1</v>
      </c>
      <c r="N297" s="11">
        <f t="shared" si="69"/>
        <v>0.240384615384615</v>
      </c>
      <c r="O297" s="8">
        <f t="shared" si="70"/>
        <v>14250</v>
      </c>
      <c r="P297" s="12">
        <f t="shared" si="71"/>
        <v>0</v>
      </c>
    </row>
    <row r="298" spans="1:16">
      <c r="A298" s="2">
        <v>46134</v>
      </c>
      <c r="B298" s="3">
        <f>Data_Entry!T389</f>
        <v>14279.9999999999</v>
      </c>
      <c r="C298" s="4">
        <f>Data_Entry!V389</f>
        <v>5.58</v>
      </c>
      <c r="D298" s="5">
        <f t="shared" si="63"/>
        <v>0.24079320113314401</v>
      </c>
      <c r="E298" s="6">
        <v>0</v>
      </c>
      <c r="F298" s="6">
        <v>0</v>
      </c>
      <c r="G298" s="7">
        <f t="shared" si="64"/>
        <v>0</v>
      </c>
      <c r="H298" s="7">
        <f t="shared" si="65"/>
        <v>0</v>
      </c>
      <c r="I298" s="8">
        <v>2471</v>
      </c>
      <c r="J298" s="9"/>
      <c r="K298" s="8">
        <f t="shared" si="66"/>
        <v>29652</v>
      </c>
      <c r="L298" s="7">
        <f t="shared" si="67"/>
        <v>0</v>
      </c>
      <c r="M298" s="10">
        <f t="shared" si="68"/>
        <v>1</v>
      </c>
      <c r="N298" s="11">
        <f t="shared" si="69"/>
        <v>0.24079320113314401</v>
      </c>
      <c r="O298" s="8">
        <f t="shared" si="70"/>
        <v>14279.9999999999</v>
      </c>
      <c r="P298" s="12">
        <f t="shared" si="71"/>
        <v>0</v>
      </c>
    </row>
    <row r="299" spans="1:16">
      <c r="A299" s="2">
        <v>46135</v>
      </c>
      <c r="B299" s="3">
        <f>Data_Entry!T390</f>
        <v>13889.9999999996</v>
      </c>
      <c r="C299" s="4">
        <f>Data_Entry!V390</f>
        <v>5.38</v>
      </c>
      <c r="D299" s="5">
        <f t="shared" si="63"/>
        <v>0.23412216828478299</v>
      </c>
      <c r="E299" s="6">
        <v>0</v>
      </c>
      <c r="F299" s="6">
        <v>0</v>
      </c>
      <c r="G299" s="7">
        <f t="shared" si="64"/>
        <v>0</v>
      </c>
      <c r="H299" s="7">
        <f t="shared" si="65"/>
        <v>0</v>
      </c>
      <c r="I299" s="8">
        <v>2472</v>
      </c>
      <c r="J299" s="9"/>
      <c r="K299" s="8">
        <f t="shared" si="66"/>
        <v>29664</v>
      </c>
      <c r="L299" s="7">
        <f t="shared" si="67"/>
        <v>0</v>
      </c>
      <c r="M299" s="10">
        <f t="shared" si="68"/>
        <v>1</v>
      </c>
      <c r="N299" s="11">
        <f t="shared" si="69"/>
        <v>0.23412216828478299</v>
      </c>
      <c r="O299" s="8">
        <f t="shared" si="70"/>
        <v>13889.9999999996</v>
      </c>
      <c r="P299" s="12">
        <f t="shared" si="71"/>
        <v>0</v>
      </c>
    </row>
    <row r="300" spans="1:16">
      <c r="A300" s="2">
        <v>46136</v>
      </c>
      <c r="B300" s="3">
        <f>Data_Entry!T391</f>
        <v>14520.0000000004</v>
      </c>
      <c r="C300" s="4">
        <f>Data_Entry!V391</f>
        <v>5.53</v>
      </c>
      <c r="D300" s="5">
        <f t="shared" si="63"/>
        <v>0.24464213505863999</v>
      </c>
      <c r="E300" s="6">
        <v>0</v>
      </c>
      <c r="F300" s="6">
        <v>0</v>
      </c>
      <c r="G300" s="7">
        <f t="shared" si="64"/>
        <v>0</v>
      </c>
      <c r="H300" s="7">
        <f t="shared" si="65"/>
        <v>0</v>
      </c>
      <c r="I300" s="8">
        <v>2473</v>
      </c>
      <c r="J300" s="9"/>
      <c r="K300" s="8">
        <f t="shared" si="66"/>
        <v>29676</v>
      </c>
      <c r="L300" s="7">
        <f t="shared" si="67"/>
        <v>0</v>
      </c>
      <c r="M300" s="10">
        <f t="shared" si="68"/>
        <v>1</v>
      </c>
      <c r="N300" s="11">
        <f t="shared" si="69"/>
        <v>0.24464213505863999</v>
      </c>
      <c r="O300" s="8">
        <f t="shared" si="70"/>
        <v>14520.0000000004</v>
      </c>
      <c r="P300" s="12">
        <f t="shared" si="71"/>
        <v>0</v>
      </c>
    </row>
    <row r="301" spans="1:16">
      <c r="A301" s="2">
        <v>46137</v>
      </c>
      <c r="B301" s="3">
        <f>Data_Entry!T392</f>
        <v>13919.9999999996</v>
      </c>
      <c r="C301" s="4">
        <f>Data_Entry!V392</f>
        <v>5.38</v>
      </c>
      <c r="D301" s="5">
        <f t="shared" si="63"/>
        <v>0.234438156831036</v>
      </c>
      <c r="E301" s="6">
        <v>0</v>
      </c>
      <c r="F301" s="6">
        <v>0</v>
      </c>
      <c r="G301" s="7">
        <f t="shared" si="64"/>
        <v>0</v>
      </c>
      <c r="H301" s="7">
        <f t="shared" si="65"/>
        <v>0</v>
      </c>
      <c r="I301" s="8">
        <v>2474</v>
      </c>
      <c r="J301" s="9"/>
      <c r="K301" s="8">
        <f t="shared" si="66"/>
        <v>29688</v>
      </c>
      <c r="L301" s="7">
        <f t="shared" si="67"/>
        <v>0</v>
      </c>
      <c r="M301" s="10">
        <f t="shared" si="68"/>
        <v>1</v>
      </c>
      <c r="N301" s="11">
        <f t="shared" si="69"/>
        <v>0.234438156831036</v>
      </c>
      <c r="O301" s="8">
        <f t="shared" si="70"/>
        <v>13919.9999999996</v>
      </c>
      <c r="P301" s="12">
        <f t="shared" si="71"/>
        <v>0</v>
      </c>
    </row>
    <row r="302" spans="1:16">
      <c r="A302" s="2">
        <v>46138</v>
      </c>
      <c r="B302" s="3">
        <f>Data_Entry!T393</f>
        <v>12960.0000000005</v>
      </c>
      <c r="C302" s="4">
        <f>Data_Entry!V393</f>
        <v>5.17</v>
      </c>
      <c r="D302" s="5">
        <f t="shared" si="63"/>
        <v>0.218181818181826</v>
      </c>
      <c r="E302" s="6">
        <v>0</v>
      </c>
      <c r="F302" s="6">
        <v>0</v>
      </c>
      <c r="G302" s="7">
        <f t="shared" si="64"/>
        <v>0</v>
      </c>
      <c r="H302" s="7">
        <f t="shared" si="65"/>
        <v>0</v>
      </c>
      <c r="I302" s="8">
        <v>2475</v>
      </c>
      <c r="J302" s="9"/>
      <c r="K302" s="8">
        <f t="shared" si="66"/>
        <v>29700</v>
      </c>
      <c r="L302" s="7">
        <f t="shared" si="67"/>
        <v>0</v>
      </c>
      <c r="M302" s="10">
        <f t="shared" si="68"/>
        <v>1</v>
      </c>
      <c r="N302" s="11">
        <f t="shared" si="69"/>
        <v>0.218181818181826</v>
      </c>
      <c r="O302" s="8">
        <f t="shared" si="70"/>
        <v>12960.0000000005</v>
      </c>
      <c r="P302" s="12">
        <f t="shared" si="71"/>
        <v>0</v>
      </c>
    </row>
    <row r="303" spans="1:16">
      <c r="A303" s="2">
        <v>46139</v>
      </c>
      <c r="B303" s="3">
        <f>Data_Entry!T394</f>
        <v>13259.9999999995</v>
      </c>
      <c r="C303" s="4">
        <f>Data_Entry!V394</f>
        <v>5.38</v>
      </c>
      <c r="D303" s="5">
        <f t="shared" si="63"/>
        <v>0.22314216478189799</v>
      </c>
      <c r="E303" s="6">
        <v>0</v>
      </c>
      <c r="F303" s="6">
        <v>0</v>
      </c>
      <c r="G303" s="7">
        <f t="shared" si="64"/>
        <v>0</v>
      </c>
      <c r="H303" s="7">
        <f t="shared" si="65"/>
        <v>0</v>
      </c>
      <c r="I303" s="8">
        <v>2476</v>
      </c>
      <c r="J303" s="9"/>
      <c r="K303" s="8">
        <f t="shared" si="66"/>
        <v>29712</v>
      </c>
      <c r="L303" s="7">
        <f t="shared" si="67"/>
        <v>0</v>
      </c>
      <c r="M303" s="10">
        <f t="shared" si="68"/>
        <v>1</v>
      </c>
      <c r="N303" s="11">
        <f t="shared" si="69"/>
        <v>0.22314216478189799</v>
      </c>
      <c r="O303" s="8">
        <f t="shared" si="70"/>
        <v>13259.9999999995</v>
      </c>
      <c r="P303" s="12">
        <f t="shared" si="71"/>
        <v>0</v>
      </c>
    </row>
    <row r="304" spans="1:16">
      <c r="A304" s="2">
        <v>46140</v>
      </c>
      <c r="B304" s="3">
        <f>Data_Entry!T395</f>
        <v>14220</v>
      </c>
      <c r="C304" s="4">
        <f>Data_Entry!V395</f>
        <v>5.53</v>
      </c>
      <c r="D304" s="5">
        <f t="shared" si="63"/>
        <v>0.23920064594267301</v>
      </c>
      <c r="E304" s="6">
        <v>0</v>
      </c>
      <c r="F304" s="6">
        <v>0</v>
      </c>
      <c r="G304" s="7">
        <f t="shared" si="64"/>
        <v>0</v>
      </c>
      <c r="H304" s="7">
        <f t="shared" si="65"/>
        <v>0</v>
      </c>
      <c r="I304" s="8">
        <v>2477</v>
      </c>
      <c r="J304" s="9"/>
      <c r="K304" s="8">
        <f t="shared" si="66"/>
        <v>29724</v>
      </c>
      <c r="L304" s="7">
        <f t="shared" si="67"/>
        <v>0</v>
      </c>
      <c r="M304" s="10">
        <f t="shared" si="68"/>
        <v>1</v>
      </c>
      <c r="N304" s="11">
        <f t="shared" si="69"/>
        <v>0.23920064594267301</v>
      </c>
      <c r="O304" s="8">
        <f t="shared" si="70"/>
        <v>14220</v>
      </c>
      <c r="P304" s="12">
        <f t="shared" si="71"/>
        <v>0</v>
      </c>
    </row>
    <row r="305" spans="1:16">
      <c r="A305" s="2">
        <v>46141</v>
      </c>
      <c r="B305" s="3">
        <f>Data_Entry!T396</f>
        <v>14010.0000000002</v>
      </c>
      <c r="C305" s="4">
        <f>Data_Entry!V396</f>
        <v>5.57</v>
      </c>
      <c r="D305" s="5">
        <f t="shared" si="63"/>
        <v>0.23557304277643601</v>
      </c>
      <c r="E305" s="6">
        <v>0</v>
      </c>
      <c r="F305" s="6">
        <v>0</v>
      </c>
      <c r="G305" s="7">
        <f t="shared" si="64"/>
        <v>0</v>
      </c>
      <c r="H305" s="7">
        <f t="shared" si="65"/>
        <v>0</v>
      </c>
      <c r="I305" s="8">
        <v>2478</v>
      </c>
      <c r="J305" s="9"/>
      <c r="K305" s="8">
        <f t="shared" si="66"/>
        <v>29736</v>
      </c>
      <c r="L305" s="7">
        <f t="shared" si="67"/>
        <v>0</v>
      </c>
      <c r="M305" s="10">
        <f t="shared" si="68"/>
        <v>1</v>
      </c>
      <c r="N305" s="11">
        <f t="shared" si="69"/>
        <v>0.23557304277643601</v>
      </c>
      <c r="O305" s="8">
        <f t="shared" si="70"/>
        <v>14010.0000000002</v>
      </c>
      <c r="P305" s="12">
        <f t="shared" si="71"/>
        <v>0</v>
      </c>
    </row>
    <row r="306" spans="1:16">
      <c r="A306" s="2">
        <v>46142</v>
      </c>
      <c r="B306" s="3">
        <f>Data_Entry!T397</f>
        <v>14220</v>
      </c>
      <c r="C306" s="4">
        <f>Data_Entry!V397</f>
        <v>5.52</v>
      </c>
      <c r="D306" s="5">
        <f t="shared" si="63"/>
        <v>0.23900766438079901</v>
      </c>
      <c r="E306" s="6">
        <v>0</v>
      </c>
      <c r="F306" s="6">
        <v>0</v>
      </c>
      <c r="G306" s="7">
        <f t="shared" si="64"/>
        <v>0</v>
      </c>
      <c r="H306" s="7">
        <f t="shared" si="65"/>
        <v>0</v>
      </c>
      <c r="I306" s="8">
        <v>2479</v>
      </c>
      <c r="J306" s="9"/>
      <c r="K306" s="8">
        <f t="shared" si="66"/>
        <v>29748</v>
      </c>
      <c r="L306" s="7">
        <f t="shared" si="67"/>
        <v>0</v>
      </c>
      <c r="M306" s="10">
        <f t="shared" si="68"/>
        <v>1</v>
      </c>
      <c r="N306" s="11">
        <f t="shared" si="69"/>
        <v>0.23900766438079901</v>
      </c>
      <c r="O306" s="8">
        <f t="shared" si="70"/>
        <v>14220</v>
      </c>
      <c r="P306" s="12">
        <f t="shared" si="71"/>
        <v>0</v>
      </c>
    </row>
    <row r="307" spans="1:16">
      <c r="A307" s="2">
        <v>46143</v>
      </c>
      <c r="B307" s="3">
        <f>Data_Entry!T398</f>
        <v>13890.0000000003</v>
      </c>
      <c r="C307" s="4">
        <f>Data_Entry!V398</f>
        <v>5.55</v>
      </c>
      <c r="D307" s="5">
        <f t="shared" si="63"/>
        <v>0.23336693548387599</v>
      </c>
      <c r="E307" s="6">
        <v>0</v>
      </c>
      <c r="F307" s="6">
        <v>0</v>
      </c>
      <c r="G307" s="7">
        <f t="shared" si="64"/>
        <v>0</v>
      </c>
      <c r="H307" s="7">
        <f t="shared" si="65"/>
        <v>0</v>
      </c>
      <c r="I307" s="8">
        <v>2480</v>
      </c>
      <c r="J307" s="9"/>
      <c r="K307" s="8">
        <f t="shared" si="66"/>
        <v>29760</v>
      </c>
      <c r="L307" s="7">
        <f t="shared" si="67"/>
        <v>0</v>
      </c>
      <c r="M307" s="10">
        <f t="shared" si="68"/>
        <v>1</v>
      </c>
      <c r="N307" s="11">
        <f t="shared" si="69"/>
        <v>0.23336693548387599</v>
      </c>
      <c r="O307" s="8">
        <f t="shared" si="70"/>
        <v>13890.0000000003</v>
      </c>
      <c r="P307" s="12">
        <f t="shared" si="71"/>
        <v>0</v>
      </c>
    </row>
    <row r="308" spans="1:16">
      <c r="A308" s="2">
        <v>46144</v>
      </c>
      <c r="B308" s="3">
        <f>Data_Entry!T399</f>
        <v>14250</v>
      </c>
      <c r="C308" s="4">
        <f>Data_Entry!V399</f>
        <v>5.46</v>
      </c>
      <c r="D308" s="5">
        <f t="shared" ref="D308:D360" si="72">B308/(24*I308)</f>
        <v>0.23931882305521901</v>
      </c>
      <c r="E308" s="6">
        <v>0</v>
      </c>
      <c r="F308" s="6">
        <v>0</v>
      </c>
      <c r="G308" s="7">
        <f t="shared" ref="G308:G360" si="73">(F308-E308)*24*60</f>
        <v>0</v>
      </c>
      <c r="H308" s="7">
        <f t="shared" ref="H308:H360" si="74">G308/60</f>
        <v>0</v>
      </c>
      <c r="I308" s="8">
        <v>2481</v>
      </c>
      <c r="J308" s="9"/>
      <c r="K308" s="8">
        <f t="shared" ref="K308:K360" si="75">I308*12</f>
        <v>29772</v>
      </c>
      <c r="L308" s="7">
        <f t="shared" ref="L308:L360" si="76">J308*H308</f>
        <v>0</v>
      </c>
      <c r="M308" s="10">
        <f t="shared" ref="M308:M360" si="77">(K308-L308)/K308</f>
        <v>1</v>
      </c>
      <c r="N308" s="11">
        <f t="shared" ref="N308:N360" si="78">D308/M308</f>
        <v>0.23931882305521901</v>
      </c>
      <c r="O308" s="8">
        <f t="shared" ref="O308:O360" si="79">N308*I308*24</f>
        <v>14250</v>
      </c>
      <c r="P308" s="12">
        <f t="shared" ref="P308:P360" si="80">O308-B308</f>
        <v>0</v>
      </c>
    </row>
    <row r="309" spans="1:16">
      <c r="A309" s="2">
        <v>46145</v>
      </c>
      <c r="B309" s="3">
        <f>Data_Entry!T400</f>
        <v>14489.9999999997</v>
      </c>
      <c r="C309" s="4">
        <f>Data_Entry!V400</f>
        <v>5.75</v>
      </c>
      <c r="D309" s="5">
        <f t="shared" si="72"/>
        <v>0.24325141015309801</v>
      </c>
      <c r="E309" s="6">
        <v>0</v>
      </c>
      <c r="F309" s="6">
        <v>0</v>
      </c>
      <c r="G309" s="7">
        <f t="shared" si="73"/>
        <v>0</v>
      </c>
      <c r="H309" s="7">
        <f t="shared" si="74"/>
        <v>0</v>
      </c>
      <c r="I309" s="8">
        <v>2482</v>
      </c>
      <c r="J309" s="9"/>
      <c r="K309" s="8">
        <f t="shared" si="75"/>
        <v>29784</v>
      </c>
      <c r="L309" s="7">
        <f t="shared" si="76"/>
        <v>0</v>
      </c>
      <c r="M309" s="10">
        <f t="shared" si="77"/>
        <v>1</v>
      </c>
      <c r="N309" s="11">
        <f t="shared" si="78"/>
        <v>0.24325141015309801</v>
      </c>
      <c r="O309" s="8">
        <f t="shared" si="79"/>
        <v>14489.9999999997</v>
      </c>
      <c r="P309" s="12">
        <f t="shared" si="80"/>
        <v>0</v>
      </c>
    </row>
    <row r="310" spans="1:16">
      <c r="A310" s="2">
        <v>46146</v>
      </c>
      <c r="B310" s="3">
        <f>Data_Entry!T401</f>
        <v>13890.0000000003</v>
      </c>
      <c r="C310" s="4">
        <f>Data_Entry!V401</f>
        <v>5.28</v>
      </c>
      <c r="D310" s="5">
        <f t="shared" si="72"/>
        <v>0.23308497784938101</v>
      </c>
      <c r="E310" s="6">
        <v>0</v>
      </c>
      <c r="F310" s="6">
        <v>0</v>
      </c>
      <c r="G310" s="7">
        <f t="shared" si="73"/>
        <v>0</v>
      </c>
      <c r="H310" s="7">
        <f t="shared" si="74"/>
        <v>0</v>
      </c>
      <c r="I310" s="8">
        <v>2483</v>
      </c>
      <c r="J310" s="9"/>
      <c r="K310" s="8">
        <f t="shared" si="75"/>
        <v>29796</v>
      </c>
      <c r="L310" s="7">
        <f t="shared" si="76"/>
        <v>0</v>
      </c>
      <c r="M310" s="10">
        <f t="shared" si="77"/>
        <v>1</v>
      </c>
      <c r="N310" s="11">
        <f t="shared" si="78"/>
        <v>0.23308497784938101</v>
      </c>
      <c r="O310" s="8">
        <f t="shared" si="79"/>
        <v>13890.0000000003</v>
      </c>
      <c r="P310" s="12">
        <f t="shared" si="80"/>
        <v>0</v>
      </c>
    </row>
    <row r="311" spans="1:16">
      <c r="A311" s="2">
        <v>46147</v>
      </c>
      <c r="B311" s="3">
        <f>Data_Entry!T402</f>
        <v>13289.9999999995</v>
      </c>
      <c r="C311" s="4">
        <f>Data_Entry!V402</f>
        <v>5.46</v>
      </c>
      <c r="D311" s="5">
        <f t="shared" si="72"/>
        <v>0.22292673107889599</v>
      </c>
      <c r="E311" s="6">
        <v>0</v>
      </c>
      <c r="F311" s="6">
        <v>0</v>
      </c>
      <c r="G311" s="7">
        <f t="shared" si="73"/>
        <v>0</v>
      </c>
      <c r="H311" s="7">
        <f t="shared" si="74"/>
        <v>0</v>
      </c>
      <c r="I311" s="8">
        <v>2484</v>
      </c>
      <c r="J311" s="9"/>
      <c r="K311" s="8">
        <f t="shared" si="75"/>
        <v>29808</v>
      </c>
      <c r="L311" s="7">
        <f t="shared" si="76"/>
        <v>0</v>
      </c>
      <c r="M311" s="10">
        <f t="shared" si="77"/>
        <v>1</v>
      </c>
      <c r="N311" s="11">
        <f t="shared" si="78"/>
        <v>0.22292673107889599</v>
      </c>
      <c r="O311" s="8">
        <f t="shared" si="79"/>
        <v>13289.9999999995</v>
      </c>
      <c r="P311" s="12">
        <f t="shared" si="80"/>
        <v>0</v>
      </c>
    </row>
    <row r="312" spans="1:16">
      <c r="A312" s="2">
        <v>46148</v>
      </c>
      <c r="B312" s="3">
        <f>Data_Entry!T403</f>
        <v>14220</v>
      </c>
      <c r="C312" s="4">
        <f>Data_Entry!V403</f>
        <v>5.7</v>
      </c>
      <c r="D312" s="5">
        <f t="shared" si="72"/>
        <v>0.23843058350100599</v>
      </c>
      <c r="E312" s="6">
        <v>0</v>
      </c>
      <c r="F312" s="6">
        <v>0</v>
      </c>
      <c r="G312" s="7">
        <f t="shared" si="73"/>
        <v>0</v>
      </c>
      <c r="H312" s="7">
        <f t="shared" si="74"/>
        <v>0</v>
      </c>
      <c r="I312" s="8">
        <v>2485</v>
      </c>
      <c r="J312" s="9"/>
      <c r="K312" s="8">
        <f t="shared" si="75"/>
        <v>29820</v>
      </c>
      <c r="L312" s="7">
        <f t="shared" si="76"/>
        <v>0</v>
      </c>
      <c r="M312" s="10">
        <f t="shared" si="77"/>
        <v>1</v>
      </c>
      <c r="N312" s="11">
        <f t="shared" si="78"/>
        <v>0.23843058350100599</v>
      </c>
      <c r="O312" s="8">
        <f t="shared" si="79"/>
        <v>14220</v>
      </c>
      <c r="P312" s="12">
        <f t="shared" si="80"/>
        <v>0</v>
      </c>
    </row>
    <row r="313" spans="1:16">
      <c r="A313" s="2">
        <v>46149</v>
      </c>
      <c r="B313" s="3">
        <f>Data_Entry!T404</f>
        <v>14100.0000000001</v>
      </c>
      <c r="C313" s="4">
        <f>Data_Entry!V404</f>
        <v>5.74</v>
      </c>
      <c r="D313" s="5">
        <f t="shared" si="72"/>
        <v>0.236323411102174</v>
      </c>
      <c r="E313" s="6">
        <v>0</v>
      </c>
      <c r="F313" s="6">
        <v>0</v>
      </c>
      <c r="G313" s="7">
        <f t="shared" si="73"/>
        <v>0</v>
      </c>
      <c r="H313" s="7">
        <f t="shared" si="74"/>
        <v>0</v>
      </c>
      <c r="I313" s="8">
        <v>2486</v>
      </c>
      <c r="J313" s="9"/>
      <c r="K313" s="8">
        <f t="shared" si="75"/>
        <v>29832</v>
      </c>
      <c r="L313" s="7">
        <f t="shared" si="76"/>
        <v>0</v>
      </c>
      <c r="M313" s="10">
        <f t="shared" si="77"/>
        <v>1</v>
      </c>
      <c r="N313" s="11">
        <f t="shared" si="78"/>
        <v>0.236323411102174</v>
      </c>
      <c r="O313" s="8">
        <f t="shared" si="79"/>
        <v>14100.0000000001</v>
      </c>
      <c r="P313" s="12">
        <f t="shared" si="80"/>
        <v>0</v>
      </c>
    </row>
    <row r="314" spans="1:16">
      <c r="A314" s="2">
        <v>46150</v>
      </c>
      <c r="B314" s="3">
        <f>Data_Entry!T405</f>
        <v>14040.0000000002</v>
      </c>
      <c r="C314" s="4">
        <f>Data_Entry!V405</f>
        <v>5.87</v>
      </c>
      <c r="D314" s="5">
        <f t="shared" si="72"/>
        <v>0.235223160434261</v>
      </c>
      <c r="E314" s="6">
        <v>0</v>
      </c>
      <c r="F314" s="6">
        <v>0</v>
      </c>
      <c r="G314" s="7">
        <f t="shared" si="73"/>
        <v>0</v>
      </c>
      <c r="H314" s="7">
        <f t="shared" si="74"/>
        <v>0</v>
      </c>
      <c r="I314" s="8">
        <v>2487</v>
      </c>
      <c r="J314" s="9"/>
      <c r="K314" s="8">
        <f t="shared" si="75"/>
        <v>29844</v>
      </c>
      <c r="L314" s="7">
        <f t="shared" si="76"/>
        <v>0</v>
      </c>
      <c r="M314" s="10">
        <f t="shared" si="77"/>
        <v>1</v>
      </c>
      <c r="N314" s="11">
        <f t="shared" si="78"/>
        <v>0.235223160434261</v>
      </c>
      <c r="O314" s="8">
        <f t="shared" si="79"/>
        <v>14040.0000000002</v>
      </c>
      <c r="P314" s="12">
        <f t="shared" si="80"/>
        <v>0</v>
      </c>
    </row>
    <row r="315" spans="1:16">
      <c r="A315" s="2">
        <v>46151</v>
      </c>
      <c r="B315" s="3">
        <f>Data_Entry!T406</f>
        <v>13799.9999999997</v>
      </c>
      <c r="C315" s="4">
        <f>Data_Entry!V406</f>
        <v>5.72</v>
      </c>
      <c r="D315" s="5">
        <f t="shared" si="72"/>
        <v>0.231109324758837</v>
      </c>
      <c r="E315" s="6">
        <v>0</v>
      </c>
      <c r="F315" s="6">
        <v>0</v>
      </c>
      <c r="G315" s="7">
        <f t="shared" si="73"/>
        <v>0</v>
      </c>
      <c r="H315" s="7">
        <f t="shared" si="74"/>
        <v>0</v>
      </c>
      <c r="I315" s="8">
        <v>2488</v>
      </c>
      <c r="J315" s="9"/>
      <c r="K315" s="8">
        <f t="shared" si="75"/>
        <v>29856</v>
      </c>
      <c r="L315" s="7">
        <f t="shared" si="76"/>
        <v>0</v>
      </c>
      <c r="M315" s="10">
        <f t="shared" si="77"/>
        <v>1</v>
      </c>
      <c r="N315" s="11">
        <f t="shared" si="78"/>
        <v>0.231109324758837</v>
      </c>
      <c r="O315" s="8">
        <f t="shared" si="79"/>
        <v>13799.9999999997</v>
      </c>
      <c r="P315" s="12">
        <f t="shared" si="80"/>
        <v>0</v>
      </c>
    </row>
    <row r="316" spans="1:16">
      <c r="A316" s="2">
        <v>46152</v>
      </c>
      <c r="B316" s="3">
        <f>Data_Entry!T407</f>
        <v>14280.0000000006</v>
      </c>
      <c r="C316" s="4">
        <f>Data_Entry!V407</f>
        <v>5.88</v>
      </c>
      <c r="D316" s="5">
        <f t="shared" si="72"/>
        <v>0.239051828043401</v>
      </c>
      <c r="E316" s="6">
        <v>0</v>
      </c>
      <c r="F316" s="6">
        <v>0</v>
      </c>
      <c r="G316" s="7">
        <f t="shared" si="73"/>
        <v>0</v>
      </c>
      <c r="H316" s="7">
        <f t="shared" si="74"/>
        <v>0</v>
      </c>
      <c r="I316" s="8">
        <v>2489</v>
      </c>
      <c r="J316" s="9"/>
      <c r="K316" s="8">
        <f t="shared" si="75"/>
        <v>29868</v>
      </c>
      <c r="L316" s="7">
        <f t="shared" si="76"/>
        <v>0</v>
      </c>
      <c r="M316" s="10">
        <f t="shared" si="77"/>
        <v>1</v>
      </c>
      <c r="N316" s="11">
        <f t="shared" si="78"/>
        <v>0.239051828043401</v>
      </c>
      <c r="O316" s="8">
        <f t="shared" si="79"/>
        <v>14280.0000000006</v>
      </c>
      <c r="P316" s="12">
        <f t="shared" si="80"/>
        <v>0</v>
      </c>
    </row>
    <row r="317" spans="1:16">
      <c r="A317" s="2">
        <v>46153</v>
      </c>
      <c r="B317" s="3">
        <f>Data_Entry!T408</f>
        <v>14250</v>
      </c>
      <c r="C317" s="4">
        <f>Data_Entry!V408</f>
        <v>5.7</v>
      </c>
      <c r="D317" s="5">
        <f t="shared" si="72"/>
        <v>0.23845381526104401</v>
      </c>
      <c r="E317" s="6">
        <v>0</v>
      </c>
      <c r="F317" s="6">
        <v>0</v>
      </c>
      <c r="G317" s="7">
        <f t="shared" si="73"/>
        <v>0</v>
      </c>
      <c r="H317" s="7">
        <f t="shared" si="74"/>
        <v>0</v>
      </c>
      <c r="I317" s="8">
        <v>2490</v>
      </c>
      <c r="J317" s="9"/>
      <c r="K317" s="8">
        <f t="shared" si="75"/>
        <v>29880</v>
      </c>
      <c r="L317" s="7">
        <f t="shared" si="76"/>
        <v>0</v>
      </c>
      <c r="M317" s="10">
        <f t="shared" si="77"/>
        <v>1</v>
      </c>
      <c r="N317" s="11">
        <f t="shared" si="78"/>
        <v>0.23845381526104401</v>
      </c>
      <c r="O317" s="8">
        <f t="shared" si="79"/>
        <v>14250</v>
      </c>
      <c r="P317" s="12">
        <f t="shared" si="80"/>
        <v>0</v>
      </c>
    </row>
    <row r="318" spans="1:16">
      <c r="A318" s="2">
        <v>46154</v>
      </c>
      <c r="B318" s="3">
        <f>Data_Entry!T409</f>
        <v>13859.9999999996</v>
      </c>
      <c r="C318" s="4">
        <f>Data_Entry!V409</f>
        <v>5.43</v>
      </c>
      <c r="D318" s="5">
        <f t="shared" si="72"/>
        <v>0.23183460457646901</v>
      </c>
      <c r="E318" s="6">
        <v>0</v>
      </c>
      <c r="F318" s="6">
        <v>0</v>
      </c>
      <c r="G318" s="7">
        <f t="shared" si="73"/>
        <v>0</v>
      </c>
      <c r="H318" s="7">
        <f t="shared" si="74"/>
        <v>0</v>
      </c>
      <c r="I318" s="8">
        <v>2491</v>
      </c>
      <c r="J318" s="9"/>
      <c r="K318" s="8">
        <f t="shared" si="75"/>
        <v>29892</v>
      </c>
      <c r="L318" s="7">
        <f t="shared" si="76"/>
        <v>0</v>
      </c>
      <c r="M318" s="10">
        <f t="shared" si="77"/>
        <v>1</v>
      </c>
      <c r="N318" s="11">
        <f t="shared" si="78"/>
        <v>0.23183460457646901</v>
      </c>
      <c r="O318" s="8">
        <f t="shared" si="79"/>
        <v>13859.9999999996</v>
      </c>
      <c r="P318" s="12">
        <f t="shared" si="80"/>
        <v>0</v>
      </c>
    </row>
    <row r="319" spans="1:16">
      <c r="A319" s="2">
        <v>46155</v>
      </c>
      <c r="B319" s="3">
        <f>Data_Entry!T410</f>
        <v>13830.0000000003</v>
      </c>
      <c r="C319" s="4">
        <f>Data_Entry!V410</f>
        <v>5.54</v>
      </c>
      <c r="D319" s="5">
        <f t="shared" si="72"/>
        <v>0.23123996789727699</v>
      </c>
      <c r="E319" s="6">
        <v>0</v>
      </c>
      <c r="F319" s="6">
        <v>0</v>
      </c>
      <c r="G319" s="7">
        <f t="shared" si="73"/>
        <v>0</v>
      </c>
      <c r="H319" s="7">
        <f t="shared" si="74"/>
        <v>0</v>
      </c>
      <c r="I319" s="8">
        <v>2492</v>
      </c>
      <c r="J319" s="9"/>
      <c r="K319" s="8">
        <f t="shared" si="75"/>
        <v>29904</v>
      </c>
      <c r="L319" s="7">
        <f t="shared" si="76"/>
        <v>0</v>
      </c>
      <c r="M319" s="10">
        <f t="shared" si="77"/>
        <v>1</v>
      </c>
      <c r="N319" s="11">
        <f t="shared" si="78"/>
        <v>0.23123996789727699</v>
      </c>
      <c r="O319" s="8">
        <f t="shared" si="79"/>
        <v>13830.0000000003</v>
      </c>
      <c r="P319" s="12">
        <f t="shared" si="80"/>
        <v>0</v>
      </c>
    </row>
    <row r="320" spans="1:16">
      <c r="A320" s="2">
        <v>46156</v>
      </c>
      <c r="B320" s="3">
        <f>Data_Entry!T411</f>
        <v>13979.9999999995</v>
      </c>
      <c r="C320" s="4">
        <f>Data_Entry!V411</f>
        <v>5.7</v>
      </c>
      <c r="D320" s="5">
        <f t="shared" si="72"/>
        <v>0.23365423184917</v>
      </c>
      <c r="E320" s="6">
        <v>0</v>
      </c>
      <c r="F320" s="6">
        <v>0</v>
      </c>
      <c r="G320" s="7">
        <f t="shared" si="73"/>
        <v>0</v>
      </c>
      <c r="H320" s="7">
        <f t="shared" si="74"/>
        <v>0</v>
      </c>
      <c r="I320" s="8">
        <v>2493</v>
      </c>
      <c r="J320" s="9"/>
      <c r="K320" s="8">
        <f t="shared" si="75"/>
        <v>29916</v>
      </c>
      <c r="L320" s="7">
        <f t="shared" si="76"/>
        <v>0</v>
      </c>
      <c r="M320" s="10">
        <f t="shared" si="77"/>
        <v>1</v>
      </c>
      <c r="N320" s="11">
        <f t="shared" si="78"/>
        <v>0.23365423184917</v>
      </c>
      <c r="O320" s="8">
        <f t="shared" si="79"/>
        <v>13979.9999999995</v>
      </c>
      <c r="P320" s="12">
        <f t="shared" si="80"/>
        <v>0</v>
      </c>
    </row>
    <row r="321" spans="1:16">
      <c r="A321" s="2">
        <v>46157</v>
      </c>
      <c r="B321" s="3">
        <f>Data_Entry!T412</f>
        <v>13950.0000000002</v>
      </c>
      <c r="C321" s="4">
        <f>Data_Entry!V412</f>
        <v>5.71</v>
      </c>
      <c r="D321" s="5">
        <f t="shared" si="72"/>
        <v>0.233059342421816</v>
      </c>
      <c r="E321" s="6">
        <v>0</v>
      </c>
      <c r="F321" s="6">
        <v>0</v>
      </c>
      <c r="G321" s="7">
        <f t="shared" si="73"/>
        <v>0</v>
      </c>
      <c r="H321" s="7">
        <f t="shared" si="74"/>
        <v>0</v>
      </c>
      <c r="I321" s="8">
        <v>2494</v>
      </c>
      <c r="J321" s="9"/>
      <c r="K321" s="8">
        <f t="shared" si="75"/>
        <v>29928</v>
      </c>
      <c r="L321" s="7">
        <f t="shared" si="76"/>
        <v>0</v>
      </c>
      <c r="M321" s="10">
        <f t="shared" si="77"/>
        <v>1</v>
      </c>
      <c r="N321" s="11">
        <f t="shared" si="78"/>
        <v>0.233059342421816</v>
      </c>
      <c r="O321" s="8">
        <f t="shared" si="79"/>
        <v>13950.0000000002</v>
      </c>
      <c r="P321" s="12">
        <f t="shared" si="80"/>
        <v>0</v>
      </c>
    </row>
    <row r="322" spans="1:16">
      <c r="A322" s="2">
        <v>46158</v>
      </c>
      <c r="B322" s="3">
        <f>Data_Entry!T413</f>
        <v>14190</v>
      </c>
      <c r="C322" s="4">
        <f>Data_Entry!V413</f>
        <v>5.69</v>
      </c>
      <c r="D322" s="5">
        <f t="shared" si="72"/>
        <v>0.23697394789579199</v>
      </c>
      <c r="E322" s="6">
        <v>0</v>
      </c>
      <c r="F322" s="6">
        <v>0</v>
      </c>
      <c r="G322" s="7">
        <f t="shared" si="73"/>
        <v>0</v>
      </c>
      <c r="H322" s="7">
        <f t="shared" si="74"/>
        <v>0</v>
      </c>
      <c r="I322" s="8">
        <v>2495</v>
      </c>
      <c r="J322" s="9"/>
      <c r="K322" s="8">
        <f t="shared" si="75"/>
        <v>29940</v>
      </c>
      <c r="L322" s="7">
        <f t="shared" si="76"/>
        <v>0</v>
      </c>
      <c r="M322" s="10">
        <f t="shared" si="77"/>
        <v>1</v>
      </c>
      <c r="N322" s="11">
        <f t="shared" si="78"/>
        <v>0.23697394789579199</v>
      </c>
      <c r="O322" s="8">
        <f t="shared" si="79"/>
        <v>14190</v>
      </c>
      <c r="P322" s="12">
        <f t="shared" si="80"/>
        <v>0</v>
      </c>
    </row>
    <row r="323" spans="1:16">
      <c r="A323" s="2">
        <v>46159</v>
      </c>
      <c r="B323" s="3">
        <f>Data_Entry!T414</f>
        <v>13679.9999999998</v>
      </c>
      <c r="C323" s="4">
        <f>Data_Entry!V414</f>
        <v>5.65</v>
      </c>
      <c r="D323" s="5">
        <f t="shared" si="72"/>
        <v>0.228365384615381</v>
      </c>
      <c r="E323" s="6">
        <v>0</v>
      </c>
      <c r="F323" s="6">
        <v>0</v>
      </c>
      <c r="G323" s="7">
        <f t="shared" si="73"/>
        <v>0</v>
      </c>
      <c r="H323" s="7">
        <f t="shared" si="74"/>
        <v>0</v>
      </c>
      <c r="I323" s="8">
        <v>2496</v>
      </c>
      <c r="J323" s="9"/>
      <c r="K323" s="8">
        <f t="shared" si="75"/>
        <v>29952</v>
      </c>
      <c r="L323" s="7">
        <f t="shared" si="76"/>
        <v>0</v>
      </c>
      <c r="M323" s="10">
        <f t="shared" si="77"/>
        <v>1</v>
      </c>
      <c r="N323" s="11">
        <f t="shared" si="78"/>
        <v>0.228365384615381</v>
      </c>
      <c r="O323" s="8">
        <f t="shared" si="79"/>
        <v>13679.9999999998</v>
      </c>
      <c r="P323" s="12">
        <f t="shared" si="80"/>
        <v>0</v>
      </c>
    </row>
    <row r="324" spans="1:16">
      <c r="A324" s="2">
        <v>46160</v>
      </c>
      <c r="B324" s="3">
        <f>Data_Entry!T415</f>
        <v>13619.9999999999</v>
      </c>
      <c r="C324" s="4">
        <f>Data_Entry!V415</f>
        <v>5.58</v>
      </c>
      <c r="D324" s="5">
        <f t="shared" si="72"/>
        <v>0.22727272727272499</v>
      </c>
      <c r="E324" s="6">
        <v>0</v>
      </c>
      <c r="F324" s="6">
        <v>0</v>
      </c>
      <c r="G324" s="7">
        <f t="shared" si="73"/>
        <v>0</v>
      </c>
      <c r="H324" s="7">
        <f t="shared" si="74"/>
        <v>0</v>
      </c>
      <c r="I324" s="8">
        <v>2497</v>
      </c>
      <c r="J324" s="9"/>
      <c r="K324" s="8">
        <f t="shared" si="75"/>
        <v>29964</v>
      </c>
      <c r="L324" s="7">
        <f t="shared" si="76"/>
        <v>0</v>
      </c>
      <c r="M324" s="10">
        <f t="shared" si="77"/>
        <v>1</v>
      </c>
      <c r="N324" s="11">
        <f t="shared" si="78"/>
        <v>0.22727272727272499</v>
      </c>
      <c r="O324" s="8">
        <f t="shared" si="79"/>
        <v>13619.9999999999</v>
      </c>
      <c r="P324" s="12">
        <f t="shared" si="80"/>
        <v>0</v>
      </c>
    </row>
    <row r="325" spans="1:16">
      <c r="A325" s="2">
        <v>46161</v>
      </c>
      <c r="B325" s="3">
        <f>[1]Data_Entry!T416</f>
        <v>6420.0000000002701</v>
      </c>
      <c r="C325" s="4">
        <f>[1]Data_Entry!V416</f>
        <v>2.92</v>
      </c>
      <c r="D325" s="5">
        <f t="shared" si="72"/>
        <v>0.110949813355459</v>
      </c>
      <c r="E325" s="6">
        <v>0.29166666666666702</v>
      </c>
      <c r="F325" s="6">
        <v>0.54236111111111096</v>
      </c>
      <c r="G325" s="7">
        <f t="shared" si="73"/>
        <v>360.99999999999898</v>
      </c>
      <c r="H325" s="7">
        <f t="shared" si="74"/>
        <v>6.0166666666666604</v>
      </c>
      <c r="I325" s="8">
        <v>2411</v>
      </c>
      <c r="J325" s="9">
        <v>2411</v>
      </c>
      <c r="K325" s="8">
        <f t="shared" si="75"/>
        <v>28932</v>
      </c>
      <c r="L325" s="7">
        <f t="shared" si="76"/>
        <v>14506.1833333333</v>
      </c>
      <c r="M325" s="10">
        <f t="shared" si="77"/>
        <v>0.498611111111112</v>
      </c>
      <c r="N325" s="11">
        <f t="shared" si="78"/>
        <v>0.22251773152069701</v>
      </c>
      <c r="O325" s="8">
        <f t="shared" si="79"/>
        <v>12875.7660167136</v>
      </c>
      <c r="P325" s="12">
        <f t="shared" si="80"/>
        <v>6455.7660167133599</v>
      </c>
    </row>
    <row r="326" spans="1:16">
      <c r="A326" s="2">
        <v>46162</v>
      </c>
      <c r="B326" s="3">
        <f>Data_Entry!T417</f>
        <v>13559.9999999999</v>
      </c>
      <c r="C326" s="4">
        <f>Data_Entry!V417</f>
        <v>5.72</v>
      </c>
      <c r="D326" s="5">
        <f t="shared" si="72"/>
        <v>0.226090436174468</v>
      </c>
      <c r="E326" s="6">
        <v>0</v>
      </c>
      <c r="F326" s="6">
        <v>0</v>
      </c>
      <c r="G326" s="7">
        <f t="shared" si="73"/>
        <v>0</v>
      </c>
      <c r="H326" s="7">
        <f t="shared" si="74"/>
        <v>0</v>
      </c>
      <c r="I326" s="8">
        <v>2499</v>
      </c>
      <c r="J326" s="9"/>
      <c r="K326" s="8">
        <f t="shared" si="75"/>
        <v>29988</v>
      </c>
      <c r="L326" s="7">
        <f t="shared" si="76"/>
        <v>0</v>
      </c>
      <c r="M326" s="10">
        <f t="shared" si="77"/>
        <v>1</v>
      </c>
      <c r="N326" s="11">
        <f t="shared" si="78"/>
        <v>0.226090436174468</v>
      </c>
      <c r="O326" s="8">
        <f t="shared" si="79"/>
        <v>13559.9999999999</v>
      </c>
      <c r="P326" s="12">
        <f t="shared" si="80"/>
        <v>0</v>
      </c>
    </row>
    <row r="327" spans="1:16">
      <c r="A327" s="2">
        <v>46163</v>
      </c>
      <c r="B327" s="3">
        <f>Data_Entry!T418</f>
        <v>13170.0000000003</v>
      </c>
      <c r="C327" s="4">
        <f>Data_Entry!V418</f>
        <v>5.58</v>
      </c>
      <c r="D327" s="5">
        <f t="shared" si="72"/>
        <v>0.219500000000005</v>
      </c>
      <c r="E327" s="6">
        <v>0</v>
      </c>
      <c r="F327" s="6">
        <v>0</v>
      </c>
      <c r="G327" s="7">
        <f t="shared" si="73"/>
        <v>0</v>
      </c>
      <c r="H327" s="7">
        <f t="shared" si="74"/>
        <v>0</v>
      </c>
      <c r="I327" s="8">
        <v>2500</v>
      </c>
      <c r="J327" s="9"/>
      <c r="K327" s="8">
        <f t="shared" si="75"/>
        <v>30000</v>
      </c>
      <c r="L327" s="7">
        <f t="shared" si="76"/>
        <v>0</v>
      </c>
      <c r="M327" s="10">
        <f t="shared" si="77"/>
        <v>1</v>
      </c>
      <c r="N327" s="11">
        <f t="shared" si="78"/>
        <v>0.219500000000005</v>
      </c>
      <c r="O327" s="8">
        <f t="shared" si="79"/>
        <v>13170.0000000003</v>
      </c>
      <c r="P327" s="12">
        <f t="shared" si="80"/>
        <v>0</v>
      </c>
    </row>
    <row r="328" spans="1:16">
      <c r="A328" s="2">
        <v>46164</v>
      </c>
      <c r="B328" s="3">
        <f>Data_Entry!T419</f>
        <v>13229.9999999995</v>
      </c>
      <c r="C328" s="4">
        <f>Data_Entry!V419</f>
        <v>5.66</v>
      </c>
      <c r="D328" s="5">
        <f t="shared" si="72"/>
        <v>0.22041183526588601</v>
      </c>
      <c r="E328" s="6">
        <v>0</v>
      </c>
      <c r="F328" s="6">
        <v>0</v>
      </c>
      <c r="G328" s="7">
        <f t="shared" si="73"/>
        <v>0</v>
      </c>
      <c r="H328" s="7">
        <f t="shared" si="74"/>
        <v>0</v>
      </c>
      <c r="I328" s="8">
        <v>2501</v>
      </c>
      <c r="J328" s="9"/>
      <c r="K328" s="8">
        <f t="shared" si="75"/>
        <v>30012</v>
      </c>
      <c r="L328" s="7">
        <f t="shared" si="76"/>
        <v>0</v>
      </c>
      <c r="M328" s="10">
        <f t="shared" si="77"/>
        <v>1</v>
      </c>
      <c r="N328" s="11">
        <f t="shared" si="78"/>
        <v>0.22041183526588601</v>
      </c>
      <c r="O328" s="8">
        <f t="shared" si="79"/>
        <v>13229.9999999995</v>
      </c>
      <c r="P328" s="12">
        <f t="shared" si="80"/>
        <v>0</v>
      </c>
    </row>
    <row r="329" spans="1:16">
      <c r="A329" s="2">
        <v>46165</v>
      </c>
      <c r="B329" s="3">
        <f>Data_Entry!T420</f>
        <v>12480.0000000002</v>
      </c>
      <c r="C329" s="4">
        <f>Data_Entry!V420</f>
        <v>5.52</v>
      </c>
      <c r="D329" s="5">
        <f t="shared" si="72"/>
        <v>0.20783373301359301</v>
      </c>
      <c r="E329" s="6">
        <v>0</v>
      </c>
      <c r="F329" s="6">
        <v>0</v>
      </c>
      <c r="G329" s="7">
        <f t="shared" si="73"/>
        <v>0</v>
      </c>
      <c r="H329" s="7">
        <f t="shared" si="74"/>
        <v>0</v>
      </c>
      <c r="I329" s="8">
        <v>2502</v>
      </c>
      <c r="J329" s="9"/>
      <c r="K329" s="8">
        <f t="shared" si="75"/>
        <v>30024</v>
      </c>
      <c r="L329" s="7">
        <f t="shared" si="76"/>
        <v>0</v>
      </c>
      <c r="M329" s="10">
        <f t="shared" si="77"/>
        <v>1</v>
      </c>
      <c r="N329" s="11">
        <f t="shared" si="78"/>
        <v>0.20783373301359301</v>
      </c>
      <c r="O329" s="8">
        <f t="shared" si="79"/>
        <v>12480.0000000002</v>
      </c>
      <c r="P329" s="12">
        <f t="shared" si="80"/>
        <v>0</v>
      </c>
    </row>
    <row r="330" spans="1:16">
      <c r="A330" s="2">
        <v>46166</v>
      </c>
      <c r="B330" s="3">
        <f>Data_Entry!T421</f>
        <v>11100.0000000001</v>
      </c>
      <c r="C330" s="4">
        <f>Data_Entry!V421</f>
        <v>4.8099999999999996</v>
      </c>
      <c r="D330" s="5">
        <f t="shared" si="72"/>
        <v>0.18477826608070499</v>
      </c>
      <c r="E330" s="6">
        <v>0</v>
      </c>
      <c r="F330" s="6">
        <v>0</v>
      </c>
      <c r="G330" s="7">
        <f t="shared" si="73"/>
        <v>0</v>
      </c>
      <c r="H330" s="7">
        <f t="shared" si="74"/>
        <v>0</v>
      </c>
      <c r="I330" s="8">
        <v>2503</v>
      </c>
      <c r="J330" s="9"/>
      <c r="K330" s="8">
        <f t="shared" si="75"/>
        <v>30036</v>
      </c>
      <c r="L330" s="7">
        <f t="shared" si="76"/>
        <v>0</v>
      </c>
      <c r="M330" s="10">
        <f t="shared" si="77"/>
        <v>1</v>
      </c>
      <c r="N330" s="11">
        <f t="shared" si="78"/>
        <v>0.18477826608070499</v>
      </c>
      <c r="O330" s="8">
        <f t="shared" si="79"/>
        <v>11100.0000000001</v>
      </c>
      <c r="P330" s="12">
        <f t="shared" si="80"/>
        <v>0</v>
      </c>
    </row>
    <row r="331" spans="1:16">
      <c r="A331" s="2">
        <v>46167</v>
      </c>
      <c r="B331" s="3">
        <f>Data_Entry!T422</f>
        <v>12450.0000000002</v>
      </c>
      <c r="C331" s="4">
        <f>Data_Entry!V422</f>
        <v>5.29</v>
      </c>
      <c r="D331" s="5">
        <f t="shared" si="72"/>
        <v>0.207168530351442</v>
      </c>
      <c r="E331" s="6">
        <v>0</v>
      </c>
      <c r="F331" s="6">
        <v>0</v>
      </c>
      <c r="G331" s="7">
        <f t="shared" si="73"/>
        <v>0</v>
      </c>
      <c r="H331" s="7">
        <f t="shared" si="74"/>
        <v>0</v>
      </c>
      <c r="I331" s="8">
        <v>2504</v>
      </c>
      <c r="J331" s="9"/>
      <c r="K331" s="8">
        <f t="shared" si="75"/>
        <v>30048</v>
      </c>
      <c r="L331" s="7">
        <f t="shared" si="76"/>
        <v>0</v>
      </c>
      <c r="M331" s="10">
        <f t="shared" si="77"/>
        <v>1</v>
      </c>
      <c r="N331" s="11">
        <f t="shared" si="78"/>
        <v>0.207168530351442</v>
      </c>
      <c r="O331" s="8">
        <f t="shared" si="79"/>
        <v>12450.0000000002</v>
      </c>
      <c r="P331" s="12">
        <f t="shared" si="80"/>
        <v>0</v>
      </c>
    </row>
    <row r="332" spans="1:16">
      <c r="A332" s="2">
        <v>46168</v>
      </c>
      <c r="B332" s="3">
        <f>Data_Entry!T423</f>
        <v>12989.9999999997</v>
      </c>
      <c r="C332" s="4">
        <f>Data_Entry!V423</f>
        <v>5.8</v>
      </c>
      <c r="D332" s="5">
        <f t="shared" si="72"/>
        <v>0.216067864271453</v>
      </c>
      <c r="E332" s="6">
        <v>0</v>
      </c>
      <c r="F332" s="6">
        <v>0</v>
      </c>
      <c r="G332" s="7">
        <f t="shared" si="73"/>
        <v>0</v>
      </c>
      <c r="H332" s="7">
        <f t="shared" si="74"/>
        <v>0</v>
      </c>
      <c r="I332" s="8">
        <v>2505</v>
      </c>
      <c r="J332" s="9"/>
      <c r="K332" s="8">
        <f t="shared" si="75"/>
        <v>30060</v>
      </c>
      <c r="L332" s="7">
        <f t="shared" si="76"/>
        <v>0</v>
      </c>
      <c r="M332" s="10">
        <f t="shared" si="77"/>
        <v>1</v>
      </c>
      <c r="N332" s="11">
        <f t="shared" si="78"/>
        <v>0.216067864271453</v>
      </c>
      <c r="O332" s="8">
        <f t="shared" si="79"/>
        <v>12989.9999999997</v>
      </c>
      <c r="P332" s="12">
        <f t="shared" si="80"/>
        <v>0</v>
      </c>
    </row>
    <row r="333" spans="1:16">
      <c r="A333" s="2">
        <v>46169</v>
      </c>
      <c r="B333" s="3">
        <f>Data_Entry!T424</f>
        <v>12929.9999999998</v>
      </c>
      <c r="C333" s="4">
        <f>Data_Entry!V424</f>
        <v>5.67</v>
      </c>
      <c r="D333" s="5">
        <f t="shared" si="72"/>
        <v>0.21498403830805701</v>
      </c>
      <c r="E333" s="6">
        <v>0</v>
      </c>
      <c r="F333" s="6">
        <v>0</v>
      </c>
      <c r="G333" s="7">
        <f t="shared" si="73"/>
        <v>0</v>
      </c>
      <c r="H333" s="7">
        <f t="shared" si="74"/>
        <v>0</v>
      </c>
      <c r="I333" s="8">
        <v>2506</v>
      </c>
      <c r="J333" s="9"/>
      <c r="K333" s="8">
        <f t="shared" si="75"/>
        <v>30072</v>
      </c>
      <c r="L333" s="7">
        <f t="shared" si="76"/>
        <v>0</v>
      </c>
      <c r="M333" s="10">
        <f t="shared" si="77"/>
        <v>1</v>
      </c>
      <c r="N333" s="11">
        <f t="shared" si="78"/>
        <v>0.21498403830805701</v>
      </c>
      <c r="O333" s="8">
        <f t="shared" si="79"/>
        <v>12929.9999999998</v>
      </c>
      <c r="P333" s="12">
        <f t="shared" si="80"/>
        <v>0</v>
      </c>
    </row>
    <row r="334" spans="1:16">
      <c r="A334" s="2">
        <v>46170</v>
      </c>
      <c r="B334" s="3">
        <f>Data_Entry!T425</f>
        <v>12660.0000000001</v>
      </c>
      <c r="C334" s="4">
        <f>Data_Entry!V425</f>
        <v>5.78</v>
      </c>
      <c r="D334" s="5">
        <f t="shared" si="72"/>
        <v>0.21041084962106199</v>
      </c>
      <c r="E334" s="6">
        <v>0.37291666666666701</v>
      </c>
      <c r="F334" s="6">
        <v>0.38472222222222202</v>
      </c>
      <c r="G334" s="7">
        <f t="shared" si="73"/>
        <v>17</v>
      </c>
      <c r="H334" s="7">
        <f t="shared" si="74"/>
        <v>0.28333333333333399</v>
      </c>
      <c r="I334" s="8">
        <v>2507</v>
      </c>
      <c r="J334" s="9"/>
      <c r="K334" s="8">
        <f t="shared" si="75"/>
        <v>30084</v>
      </c>
      <c r="L334" s="7">
        <f t="shared" si="76"/>
        <v>0</v>
      </c>
      <c r="M334" s="10">
        <f t="shared" si="77"/>
        <v>1</v>
      </c>
      <c r="N334" s="11">
        <f t="shared" si="78"/>
        <v>0.21041084962106199</v>
      </c>
      <c r="O334" s="8">
        <f t="shared" si="79"/>
        <v>12660.0000000001</v>
      </c>
      <c r="P334" s="12">
        <f t="shared" si="80"/>
        <v>0</v>
      </c>
    </row>
    <row r="335" spans="1:16">
      <c r="A335" s="2">
        <v>46171</v>
      </c>
      <c r="B335" s="3">
        <f>Data_Entry!T426</f>
        <v>11459.9999999998</v>
      </c>
      <c r="C335" s="4">
        <f>Data_Entry!V426</f>
        <v>5.14</v>
      </c>
      <c r="D335" s="5">
        <f t="shared" si="72"/>
        <v>0.190390749601272</v>
      </c>
      <c r="E335" s="6">
        <v>0</v>
      </c>
      <c r="F335" s="6">
        <v>0</v>
      </c>
      <c r="G335" s="7">
        <f t="shared" si="73"/>
        <v>0</v>
      </c>
      <c r="H335" s="7">
        <f t="shared" si="74"/>
        <v>0</v>
      </c>
      <c r="I335" s="8">
        <v>2508</v>
      </c>
      <c r="J335" s="9"/>
      <c r="K335" s="8">
        <f t="shared" si="75"/>
        <v>30096</v>
      </c>
      <c r="L335" s="7">
        <f t="shared" si="76"/>
        <v>0</v>
      </c>
      <c r="M335" s="10">
        <f t="shared" si="77"/>
        <v>1</v>
      </c>
      <c r="N335" s="11">
        <f t="shared" si="78"/>
        <v>0.190390749601272</v>
      </c>
      <c r="O335" s="8">
        <f t="shared" si="79"/>
        <v>11459.9999999998</v>
      </c>
      <c r="P335" s="12">
        <f t="shared" si="80"/>
        <v>0</v>
      </c>
    </row>
    <row r="336" spans="1:16">
      <c r="A336" s="2">
        <v>46172</v>
      </c>
      <c r="B336" s="3">
        <f>Data_Entry!T427</f>
        <v>11880.0000000001</v>
      </c>
      <c r="C336" s="4">
        <f>Data_Entry!V427</f>
        <v>5.0999999999999996</v>
      </c>
      <c r="D336" s="5">
        <f t="shared" si="72"/>
        <v>0.19728975687524999</v>
      </c>
      <c r="E336" s="6"/>
      <c r="F336" s="6">
        <v>0</v>
      </c>
      <c r="G336" s="7">
        <f t="shared" si="73"/>
        <v>0</v>
      </c>
      <c r="H336" s="7">
        <f t="shared" si="74"/>
        <v>0</v>
      </c>
      <c r="I336" s="8">
        <v>2509</v>
      </c>
      <c r="J336" s="9"/>
      <c r="K336" s="8">
        <f t="shared" si="75"/>
        <v>30108</v>
      </c>
      <c r="L336" s="7">
        <f t="shared" si="76"/>
        <v>0</v>
      </c>
      <c r="M336" s="10">
        <f t="shared" si="77"/>
        <v>1</v>
      </c>
      <c r="N336" s="11">
        <f t="shared" si="78"/>
        <v>0.19728975687524999</v>
      </c>
      <c r="O336" s="8">
        <f t="shared" si="79"/>
        <v>11880.0000000001</v>
      </c>
      <c r="P336" s="12">
        <f t="shared" si="80"/>
        <v>0</v>
      </c>
    </row>
    <row r="337" spans="1:16">
      <c r="A337" s="2">
        <v>46173</v>
      </c>
      <c r="B337" s="3">
        <f>Data_Entry!T428</f>
        <v>10559.9999999999</v>
      </c>
      <c r="C337" s="4">
        <f>Data_Entry!V428</f>
        <v>5.2</v>
      </c>
      <c r="D337" s="5">
        <f t="shared" si="72"/>
        <v>0.17529880478087501</v>
      </c>
      <c r="E337" s="6">
        <v>0</v>
      </c>
      <c r="F337" s="6">
        <v>0</v>
      </c>
      <c r="G337" s="7">
        <f t="shared" si="73"/>
        <v>0</v>
      </c>
      <c r="H337" s="7">
        <f t="shared" si="74"/>
        <v>0</v>
      </c>
      <c r="I337" s="8">
        <v>2510</v>
      </c>
      <c r="J337" s="9"/>
      <c r="K337" s="8">
        <f t="shared" si="75"/>
        <v>30120</v>
      </c>
      <c r="L337" s="7">
        <f t="shared" si="76"/>
        <v>0</v>
      </c>
      <c r="M337" s="10">
        <f t="shared" si="77"/>
        <v>1</v>
      </c>
      <c r="N337" s="11">
        <f t="shared" si="78"/>
        <v>0.17529880478087501</v>
      </c>
      <c r="O337" s="8">
        <f t="shared" si="79"/>
        <v>10559.9999999999</v>
      </c>
      <c r="P337" s="12">
        <f t="shared" si="80"/>
        <v>0</v>
      </c>
    </row>
    <row r="338" spans="1:16">
      <c r="A338" s="2">
        <v>46174</v>
      </c>
      <c r="B338" s="3">
        <f>Data_Entry!T429</f>
        <v>12510.0000000002</v>
      </c>
      <c r="C338" s="4">
        <f>Data_Entry!V429</f>
        <v>4.99</v>
      </c>
      <c r="D338" s="5">
        <f t="shared" si="72"/>
        <v>0.20758661887694499</v>
      </c>
      <c r="E338" s="6">
        <v>0</v>
      </c>
      <c r="F338" s="6">
        <v>0</v>
      </c>
      <c r="G338" s="7">
        <f t="shared" si="73"/>
        <v>0</v>
      </c>
      <c r="H338" s="7">
        <f t="shared" si="74"/>
        <v>0</v>
      </c>
      <c r="I338" s="8">
        <v>2511</v>
      </c>
      <c r="J338" s="9"/>
      <c r="K338" s="8">
        <f t="shared" si="75"/>
        <v>30132</v>
      </c>
      <c r="L338" s="7">
        <f t="shared" si="76"/>
        <v>0</v>
      </c>
      <c r="M338" s="10">
        <f t="shared" si="77"/>
        <v>1</v>
      </c>
      <c r="N338" s="11">
        <f t="shared" si="78"/>
        <v>0.20758661887694499</v>
      </c>
      <c r="O338" s="8">
        <f t="shared" si="79"/>
        <v>12510.0000000002</v>
      </c>
      <c r="P338" s="12">
        <f t="shared" si="80"/>
        <v>0</v>
      </c>
    </row>
    <row r="339" spans="1:16">
      <c r="A339" s="2">
        <v>46175</v>
      </c>
      <c r="B339" s="3">
        <f>Data_Entry!T430</f>
        <v>9959.9999999997799</v>
      </c>
      <c r="C339" s="4">
        <f>Data_Entry!V430</f>
        <v>4.67</v>
      </c>
      <c r="D339" s="5">
        <f t="shared" si="72"/>
        <v>0.16520700636942301</v>
      </c>
      <c r="E339" s="6">
        <v>0</v>
      </c>
      <c r="F339" s="6">
        <v>0</v>
      </c>
      <c r="G339" s="7">
        <f t="shared" si="73"/>
        <v>0</v>
      </c>
      <c r="H339" s="7">
        <f t="shared" si="74"/>
        <v>0</v>
      </c>
      <c r="I339" s="8">
        <v>2512</v>
      </c>
      <c r="J339" s="9"/>
      <c r="K339" s="8">
        <f t="shared" si="75"/>
        <v>30144</v>
      </c>
      <c r="L339" s="7">
        <f t="shared" si="76"/>
        <v>0</v>
      </c>
      <c r="M339" s="10">
        <f t="shared" si="77"/>
        <v>1</v>
      </c>
      <c r="N339" s="11">
        <f t="shared" si="78"/>
        <v>0.16520700636942301</v>
      </c>
      <c r="O339" s="8">
        <f t="shared" si="79"/>
        <v>9959.9999999997799</v>
      </c>
      <c r="P339" s="12">
        <f t="shared" si="80"/>
        <v>0</v>
      </c>
    </row>
    <row r="340" spans="1:16">
      <c r="A340" s="2">
        <v>46176</v>
      </c>
      <c r="B340" s="3">
        <f>Data_Entry!T431</f>
        <v>12390.0000000003</v>
      </c>
      <c r="C340" s="4">
        <f>Data_Entry!V431</f>
        <v>5.49</v>
      </c>
      <c r="D340" s="5">
        <f t="shared" si="72"/>
        <v>0.20543175487465701</v>
      </c>
      <c r="E340" s="6">
        <v>0</v>
      </c>
      <c r="F340" s="6">
        <v>0</v>
      </c>
      <c r="G340" s="7">
        <f t="shared" si="73"/>
        <v>0</v>
      </c>
      <c r="H340" s="7">
        <f t="shared" si="74"/>
        <v>0</v>
      </c>
      <c r="I340" s="8">
        <v>2513</v>
      </c>
      <c r="J340" s="9"/>
      <c r="K340" s="8">
        <f t="shared" si="75"/>
        <v>30156</v>
      </c>
      <c r="L340" s="7">
        <f t="shared" si="76"/>
        <v>0</v>
      </c>
      <c r="M340" s="10">
        <f t="shared" si="77"/>
        <v>1</v>
      </c>
      <c r="N340" s="11">
        <f t="shared" si="78"/>
        <v>0.20543175487465701</v>
      </c>
      <c r="O340" s="8">
        <f t="shared" si="79"/>
        <v>12390.0000000003</v>
      </c>
      <c r="P340" s="12">
        <f t="shared" si="80"/>
        <v>0</v>
      </c>
    </row>
    <row r="341" spans="1:16">
      <c r="A341" s="2">
        <v>46177</v>
      </c>
      <c r="B341" s="3">
        <f>Data_Entry!T432</f>
        <v>11160.0000000001</v>
      </c>
      <c r="C341" s="4">
        <f>Data_Entry!V432</f>
        <v>4.79</v>
      </c>
      <c r="D341" s="5">
        <f t="shared" si="72"/>
        <v>0.18496420047732801</v>
      </c>
      <c r="E341" s="6">
        <v>0</v>
      </c>
      <c r="F341" s="6">
        <v>0</v>
      </c>
      <c r="G341" s="7">
        <f t="shared" si="73"/>
        <v>0</v>
      </c>
      <c r="H341" s="7">
        <f t="shared" si="74"/>
        <v>0</v>
      </c>
      <c r="I341" s="8">
        <v>2514</v>
      </c>
      <c r="J341" s="9"/>
      <c r="K341" s="8">
        <f t="shared" si="75"/>
        <v>30168</v>
      </c>
      <c r="L341" s="7">
        <f t="shared" si="76"/>
        <v>0</v>
      </c>
      <c r="M341" s="10">
        <f t="shared" si="77"/>
        <v>1</v>
      </c>
      <c r="N341" s="11">
        <f t="shared" si="78"/>
        <v>0.18496420047732801</v>
      </c>
      <c r="O341" s="8">
        <f t="shared" si="79"/>
        <v>11160.0000000001</v>
      </c>
      <c r="P341" s="12">
        <f t="shared" si="80"/>
        <v>0</v>
      </c>
    </row>
    <row r="342" spans="1:16">
      <c r="A342" s="2">
        <v>46178</v>
      </c>
      <c r="B342" s="3">
        <f>Data_Entry!T433</f>
        <v>11279.9999999999</v>
      </c>
      <c r="C342" s="4">
        <f>Data_Entry!V433</f>
        <v>4.71</v>
      </c>
      <c r="D342" s="5">
        <f t="shared" si="72"/>
        <v>0.186878727634194</v>
      </c>
      <c r="E342" s="6">
        <v>0</v>
      </c>
      <c r="F342" s="6">
        <v>0</v>
      </c>
      <c r="G342" s="7">
        <f t="shared" si="73"/>
        <v>0</v>
      </c>
      <c r="H342" s="7">
        <f t="shared" si="74"/>
        <v>0</v>
      </c>
      <c r="I342" s="8">
        <v>2515</v>
      </c>
      <c r="J342" s="9"/>
      <c r="K342" s="8">
        <f t="shared" si="75"/>
        <v>30180</v>
      </c>
      <c r="L342" s="7">
        <f t="shared" si="76"/>
        <v>0</v>
      </c>
      <c r="M342" s="10">
        <f t="shared" si="77"/>
        <v>1</v>
      </c>
      <c r="N342" s="11">
        <f t="shared" si="78"/>
        <v>0.186878727634194</v>
      </c>
      <c r="O342" s="8">
        <f t="shared" si="79"/>
        <v>11279.9999999999</v>
      </c>
      <c r="P342" s="12">
        <f t="shared" si="80"/>
        <v>0</v>
      </c>
    </row>
    <row r="343" spans="1:16">
      <c r="A343" s="2">
        <v>46179</v>
      </c>
      <c r="B343" s="3">
        <f>Data_Entry!T434</f>
        <v>0</v>
      </c>
      <c r="C343" s="4">
        <f>Data_Entry!V434</f>
        <v>0</v>
      </c>
      <c r="D343" s="5">
        <f t="shared" si="72"/>
        <v>0</v>
      </c>
      <c r="E343" s="6">
        <v>0</v>
      </c>
      <c r="F343" s="6">
        <v>0</v>
      </c>
      <c r="G343" s="7">
        <f t="shared" si="73"/>
        <v>0</v>
      </c>
      <c r="H343" s="7">
        <f t="shared" si="74"/>
        <v>0</v>
      </c>
      <c r="I343" s="8">
        <v>2516</v>
      </c>
      <c r="J343" s="9"/>
      <c r="K343" s="8">
        <f t="shared" si="75"/>
        <v>30192</v>
      </c>
      <c r="L343" s="7">
        <f t="shared" si="76"/>
        <v>0</v>
      </c>
      <c r="M343" s="10">
        <f t="shared" si="77"/>
        <v>1</v>
      </c>
      <c r="N343" s="11">
        <f t="shared" si="78"/>
        <v>0</v>
      </c>
      <c r="O343" s="8">
        <f t="shared" si="79"/>
        <v>0</v>
      </c>
      <c r="P343" s="12">
        <f t="shared" si="80"/>
        <v>0</v>
      </c>
    </row>
    <row r="344" spans="1:16">
      <c r="A344" s="2">
        <v>46180</v>
      </c>
      <c r="B344" s="3">
        <f>Data_Entry!T435</f>
        <v>0</v>
      </c>
      <c r="C344" s="4">
        <f>Data_Entry!V435</f>
        <v>0</v>
      </c>
      <c r="D344" s="5">
        <f t="shared" si="72"/>
        <v>0</v>
      </c>
      <c r="E344" s="6">
        <v>0</v>
      </c>
      <c r="F344" s="6">
        <v>0</v>
      </c>
      <c r="G344" s="7">
        <f t="shared" si="73"/>
        <v>0</v>
      </c>
      <c r="H344" s="7">
        <f t="shared" si="74"/>
        <v>0</v>
      </c>
      <c r="I344" s="8">
        <v>2517</v>
      </c>
      <c r="J344" s="9"/>
      <c r="K344" s="8">
        <f t="shared" si="75"/>
        <v>30204</v>
      </c>
      <c r="L344" s="7">
        <f t="shared" si="76"/>
        <v>0</v>
      </c>
      <c r="M344" s="10">
        <f t="shared" si="77"/>
        <v>1</v>
      </c>
      <c r="N344" s="11">
        <f t="shared" si="78"/>
        <v>0</v>
      </c>
      <c r="O344" s="8">
        <f t="shared" si="79"/>
        <v>0</v>
      </c>
      <c r="P344" s="12">
        <f t="shared" si="80"/>
        <v>0</v>
      </c>
    </row>
    <row r="345" spans="1:16">
      <c r="A345" s="2">
        <v>46181</v>
      </c>
      <c r="B345" s="3">
        <f>Data_Entry!T436</f>
        <v>0</v>
      </c>
      <c r="C345" s="4">
        <f>Data_Entry!V436</f>
        <v>0</v>
      </c>
      <c r="D345" s="5">
        <f t="shared" si="72"/>
        <v>0</v>
      </c>
      <c r="E345" s="6">
        <v>0</v>
      </c>
      <c r="F345" s="6">
        <v>0</v>
      </c>
      <c r="G345" s="7">
        <f t="shared" si="73"/>
        <v>0</v>
      </c>
      <c r="H345" s="7">
        <f t="shared" si="74"/>
        <v>0</v>
      </c>
      <c r="I345" s="8">
        <v>2518</v>
      </c>
      <c r="J345" s="9"/>
      <c r="K345" s="8">
        <f t="shared" si="75"/>
        <v>30216</v>
      </c>
      <c r="L345" s="7">
        <f t="shared" si="76"/>
        <v>0</v>
      </c>
      <c r="M345" s="10">
        <f t="shared" si="77"/>
        <v>1</v>
      </c>
      <c r="N345" s="11">
        <f t="shared" si="78"/>
        <v>0</v>
      </c>
      <c r="O345" s="8">
        <f t="shared" si="79"/>
        <v>0</v>
      </c>
      <c r="P345" s="12">
        <f t="shared" si="80"/>
        <v>0</v>
      </c>
    </row>
    <row r="346" spans="1:16">
      <c r="A346" s="2">
        <v>46182</v>
      </c>
      <c r="B346" s="3">
        <f>Data_Entry!T437</f>
        <v>0</v>
      </c>
      <c r="C346" s="4">
        <f>Data_Entry!V437</f>
        <v>0</v>
      </c>
      <c r="D346" s="5">
        <f t="shared" si="72"/>
        <v>0</v>
      </c>
      <c r="E346" s="6">
        <v>0</v>
      </c>
      <c r="F346" s="6">
        <v>0</v>
      </c>
      <c r="G346" s="7">
        <f t="shared" si="73"/>
        <v>0</v>
      </c>
      <c r="H346" s="7">
        <f t="shared" si="74"/>
        <v>0</v>
      </c>
      <c r="I346" s="8">
        <v>2519</v>
      </c>
      <c r="J346" s="9"/>
      <c r="K346" s="8">
        <f t="shared" si="75"/>
        <v>30228</v>
      </c>
      <c r="L346" s="7">
        <f t="shared" si="76"/>
        <v>0</v>
      </c>
      <c r="M346" s="10">
        <f t="shared" si="77"/>
        <v>1</v>
      </c>
      <c r="N346" s="11">
        <f t="shared" si="78"/>
        <v>0</v>
      </c>
      <c r="O346" s="8">
        <f t="shared" si="79"/>
        <v>0</v>
      </c>
      <c r="P346" s="12">
        <f t="shared" si="80"/>
        <v>0</v>
      </c>
    </row>
    <row r="347" spans="1:16">
      <c r="A347" s="2">
        <v>46183</v>
      </c>
      <c r="B347" s="3">
        <f>Data_Entry!T438</f>
        <v>0</v>
      </c>
      <c r="C347" s="4">
        <f>Data_Entry!V438</f>
        <v>0</v>
      </c>
      <c r="D347" s="5">
        <f t="shared" si="72"/>
        <v>0</v>
      </c>
      <c r="E347" s="6">
        <v>0</v>
      </c>
      <c r="F347" s="6">
        <v>0</v>
      </c>
      <c r="G347" s="7">
        <f t="shared" si="73"/>
        <v>0</v>
      </c>
      <c r="H347" s="7">
        <f t="shared" si="74"/>
        <v>0</v>
      </c>
      <c r="I347" s="8">
        <v>2520</v>
      </c>
      <c r="J347" s="9"/>
      <c r="K347" s="8">
        <f t="shared" si="75"/>
        <v>30240</v>
      </c>
      <c r="L347" s="7">
        <f t="shared" si="76"/>
        <v>0</v>
      </c>
      <c r="M347" s="10">
        <f t="shared" si="77"/>
        <v>1</v>
      </c>
      <c r="N347" s="11">
        <f t="shared" si="78"/>
        <v>0</v>
      </c>
      <c r="O347" s="8">
        <f t="shared" si="79"/>
        <v>0</v>
      </c>
      <c r="P347" s="12">
        <f t="shared" si="80"/>
        <v>0</v>
      </c>
    </row>
    <row r="348" spans="1:16">
      <c r="A348" s="2">
        <v>46184</v>
      </c>
      <c r="B348" s="3">
        <f>Data_Entry!T439</f>
        <v>0</v>
      </c>
      <c r="C348" s="4">
        <f>Data_Entry!V439</f>
        <v>0</v>
      </c>
      <c r="D348" s="5">
        <f t="shared" si="72"/>
        <v>0</v>
      </c>
      <c r="E348" s="6">
        <v>0</v>
      </c>
      <c r="F348" s="6">
        <v>0</v>
      </c>
      <c r="G348" s="7">
        <f t="shared" si="73"/>
        <v>0</v>
      </c>
      <c r="H348" s="7">
        <f t="shared" si="74"/>
        <v>0</v>
      </c>
      <c r="I348" s="8">
        <v>2521</v>
      </c>
      <c r="J348" s="9"/>
      <c r="K348" s="8">
        <f t="shared" si="75"/>
        <v>30252</v>
      </c>
      <c r="L348" s="7">
        <f t="shared" si="76"/>
        <v>0</v>
      </c>
      <c r="M348" s="10">
        <f t="shared" si="77"/>
        <v>1</v>
      </c>
      <c r="N348" s="11">
        <f t="shared" si="78"/>
        <v>0</v>
      </c>
      <c r="O348" s="8">
        <f t="shared" si="79"/>
        <v>0</v>
      </c>
      <c r="P348" s="12">
        <f t="shared" si="80"/>
        <v>0</v>
      </c>
    </row>
    <row r="349" spans="1:16">
      <c r="A349" s="2">
        <v>46185</v>
      </c>
      <c r="B349" s="3">
        <f>Data_Entry!T440</f>
        <v>0</v>
      </c>
      <c r="C349" s="4">
        <f>Data_Entry!V440</f>
        <v>0</v>
      </c>
      <c r="D349" s="5">
        <f t="shared" si="72"/>
        <v>0</v>
      </c>
      <c r="E349" s="6">
        <v>0</v>
      </c>
      <c r="F349" s="6">
        <v>0</v>
      </c>
      <c r="G349" s="7">
        <f t="shared" si="73"/>
        <v>0</v>
      </c>
      <c r="H349" s="7">
        <f t="shared" si="74"/>
        <v>0</v>
      </c>
      <c r="I349" s="8">
        <v>2522</v>
      </c>
      <c r="J349" s="9"/>
      <c r="K349" s="8">
        <f t="shared" si="75"/>
        <v>30264</v>
      </c>
      <c r="L349" s="7">
        <f t="shared" si="76"/>
        <v>0</v>
      </c>
      <c r="M349" s="10">
        <f t="shared" si="77"/>
        <v>1</v>
      </c>
      <c r="N349" s="11">
        <f t="shared" si="78"/>
        <v>0</v>
      </c>
      <c r="O349" s="8">
        <f t="shared" si="79"/>
        <v>0</v>
      </c>
      <c r="P349" s="12">
        <f t="shared" si="80"/>
        <v>0</v>
      </c>
    </row>
    <row r="350" spans="1:16">
      <c r="A350" s="2">
        <v>46186</v>
      </c>
      <c r="B350" s="3">
        <f>Data_Entry!T441</f>
        <v>0</v>
      </c>
      <c r="C350" s="4">
        <f>Data_Entry!V441</f>
        <v>0</v>
      </c>
      <c r="D350" s="5">
        <f t="shared" si="72"/>
        <v>0</v>
      </c>
      <c r="E350" s="6">
        <v>0</v>
      </c>
      <c r="F350" s="6">
        <v>0</v>
      </c>
      <c r="G350" s="7">
        <f t="shared" si="73"/>
        <v>0</v>
      </c>
      <c r="H350" s="7">
        <f t="shared" si="74"/>
        <v>0</v>
      </c>
      <c r="I350" s="8">
        <v>2523</v>
      </c>
      <c r="J350" s="9"/>
      <c r="K350" s="8">
        <f t="shared" si="75"/>
        <v>30276</v>
      </c>
      <c r="L350" s="7">
        <f t="shared" si="76"/>
        <v>0</v>
      </c>
      <c r="M350" s="10">
        <f t="shared" si="77"/>
        <v>1</v>
      </c>
      <c r="N350" s="11">
        <f t="shared" si="78"/>
        <v>0</v>
      </c>
      <c r="O350" s="8">
        <f t="shared" si="79"/>
        <v>0</v>
      </c>
      <c r="P350" s="12">
        <f t="shared" si="80"/>
        <v>0</v>
      </c>
    </row>
    <row r="351" spans="1:16">
      <c r="A351" s="2">
        <v>46187</v>
      </c>
      <c r="B351" s="3">
        <f>Data_Entry!T442</f>
        <v>0</v>
      </c>
      <c r="C351" s="4">
        <f>Data_Entry!V442</f>
        <v>0</v>
      </c>
      <c r="D351" s="5">
        <f t="shared" si="72"/>
        <v>0</v>
      </c>
      <c r="E351" s="6">
        <v>0</v>
      </c>
      <c r="F351" s="6">
        <v>0</v>
      </c>
      <c r="G351" s="7">
        <f t="shared" si="73"/>
        <v>0</v>
      </c>
      <c r="H351" s="7">
        <f t="shared" si="74"/>
        <v>0</v>
      </c>
      <c r="I351" s="8">
        <v>2524</v>
      </c>
      <c r="J351" s="9"/>
      <c r="K351" s="8">
        <f t="shared" si="75"/>
        <v>30288</v>
      </c>
      <c r="L351" s="7">
        <f t="shared" si="76"/>
        <v>0</v>
      </c>
      <c r="M351" s="10">
        <f t="shared" si="77"/>
        <v>1</v>
      </c>
      <c r="N351" s="11">
        <f t="shared" si="78"/>
        <v>0</v>
      </c>
      <c r="O351" s="8">
        <f t="shared" si="79"/>
        <v>0</v>
      </c>
      <c r="P351" s="12">
        <f t="shared" si="80"/>
        <v>0</v>
      </c>
    </row>
    <row r="352" spans="1:16">
      <c r="A352" s="2">
        <v>46188</v>
      </c>
      <c r="B352" s="3">
        <f>Data_Entry!T443</f>
        <v>0</v>
      </c>
      <c r="C352" s="4">
        <f>Data_Entry!V443</f>
        <v>0</v>
      </c>
      <c r="D352" s="5">
        <f t="shared" si="72"/>
        <v>0</v>
      </c>
      <c r="E352" s="6">
        <v>0</v>
      </c>
      <c r="F352" s="6">
        <v>0</v>
      </c>
      <c r="G352" s="7">
        <f t="shared" si="73"/>
        <v>0</v>
      </c>
      <c r="H352" s="7">
        <f t="shared" si="74"/>
        <v>0</v>
      </c>
      <c r="I352" s="8">
        <v>2525</v>
      </c>
      <c r="J352" s="9"/>
      <c r="K352" s="8">
        <f t="shared" si="75"/>
        <v>30300</v>
      </c>
      <c r="L352" s="7">
        <f t="shared" si="76"/>
        <v>0</v>
      </c>
      <c r="M352" s="10">
        <f t="shared" si="77"/>
        <v>1</v>
      </c>
      <c r="N352" s="11">
        <f t="shared" si="78"/>
        <v>0</v>
      </c>
      <c r="O352" s="8">
        <f t="shared" si="79"/>
        <v>0</v>
      </c>
      <c r="P352" s="12">
        <f t="shared" si="80"/>
        <v>0</v>
      </c>
    </row>
    <row r="353" spans="1:16">
      <c r="A353" s="2">
        <v>46189</v>
      </c>
      <c r="B353" s="3">
        <f>Data_Entry!T444</f>
        <v>0</v>
      </c>
      <c r="C353" s="4">
        <f>Data_Entry!V444</f>
        <v>0</v>
      </c>
      <c r="D353" s="5">
        <f t="shared" si="72"/>
        <v>0</v>
      </c>
      <c r="E353" s="6">
        <v>0</v>
      </c>
      <c r="F353" s="6">
        <v>0</v>
      </c>
      <c r="G353" s="7">
        <f t="shared" si="73"/>
        <v>0</v>
      </c>
      <c r="H353" s="7">
        <f t="shared" si="74"/>
        <v>0</v>
      </c>
      <c r="I353" s="8">
        <v>2526</v>
      </c>
      <c r="J353" s="9"/>
      <c r="K353" s="8">
        <f t="shared" si="75"/>
        <v>30312</v>
      </c>
      <c r="L353" s="7">
        <f t="shared" si="76"/>
        <v>0</v>
      </c>
      <c r="M353" s="10">
        <f t="shared" si="77"/>
        <v>1</v>
      </c>
      <c r="N353" s="11">
        <f t="shared" si="78"/>
        <v>0</v>
      </c>
      <c r="O353" s="8">
        <f t="shared" si="79"/>
        <v>0</v>
      </c>
      <c r="P353" s="12">
        <f t="shared" si="80"/>
        <v>0</v>
      </c>
    </row>
    <row r="354" spans="1:16">
      <c r="A354" s="2">
        <v>46190</v>
      </c>
      <c r="B354" s="3">
        <f>Data_Entry!T445</f>
        <v>0</v>
      </c>
      <c r="C354" s="4">
        <f>Data_Entry!V445</f>
        <v>0</v>
      </c>
      <c r="D354" s="5">
        <f t="shared" si="72"/>
        <v>0</v>
      </c>
      <c r="E354" s="6">
        <v>0</v>
      </c>
      <c r="F354" s="6">
        <v>0</v>
      </c>
      <c r="G354" s="7">
        <f t="shared" si="73"/>
        <v>0</v>
      </c>
      <c r="H354" s="7">
        <f t="shared" si="74"/>
        <v>0</v>
      </c>
      <c r="I354" s="8">
        <v>2527</v>
      </c>
      <c r="J354" s="9"/>
      <c r="K354" s="8">
        <f t="shared" si="75"/>
        <v>30324</v>
      </c>
      <c r="L354" s="7">
        <f t="shared" si="76"/>
        <v>0</v>
      </c>
      <c r="M354" s="10">
        <f t="shared" si="77"/>
        <v>1</v>
      </c>
      <c r="N354" s="11">
        <f t="shared" si="78"/>
        <v>0</v>
      </c>
      <c r="O354" s="8">
        <f t="shared" si="79"/>
        <v>0</v>
      </c>
      <c r="P354" s="12">
        <f t="shared" si="80"/>
        <v>0</v>
      </c>
    </row>
    <row r="355" spans="1:16">
      <c r="A355" s="2">
        <v>46191</v>
      </c>
      <c r="B355" s="3">
        <f>Data_Entry!T446</f>
        <v>0</v>
      </c>
      <c r="C355" s="4">
        <f>Data_Entry!V446</f>
        <v>0</v>
      </c>
      <c r="D355" s="5">
        <f t="shared" si="72"/>
        <v>0</v>
      </c>
      <c r="E355" s="6">
        <v>0</v>
      </c>
      <c r="F355" s="6">
        <v>0</v>
      </c>
      <c r="G355" s="7">
        <f t="shared" si="73"/>
        <v>0</v>
      </c>
      <c r="H355" s="7">
        <f t="shared" si="74"/>
        <v>0</v>
      </c>
      <c r="I355" s="8">
        <v>2528</v>
      </c>
      <c r="J355" s="9"/>
      <c r="K355" s="8">
        <f t="shared" si="75"/>
        <v>30336</v>
      </c>
      <c r="L355" s="7">
        <f t="shared" si="76"/>
        <v>0</v>
      </c>
      <c r="M355" s="10">
        <f t="shared" si="77"/>
        <v>1</v>
      </c>
      <c r="N355" s="11">
        <f t="shared" si="78"/>
        <v>0</v>
      </c>
      <c r="O355" s="8">
        <f t="shared" si="79"/>
        <v>0</v>
      </c>
      <c r="P355" s="12">
        <f t="shared" si="80"/>
        <v>0</v>
      </c>
    </row>
    <row r="356" spans="1:16">
      <c r="A356" s="2">
        <v>46192</v>
      </c>
      <c r="B356" s="3">
        <f>Data_Entry!T447</f>
        <v>0</v>
      </c>
      <c r="C356" s="4">
        <f>Data_Entry!V447</f>
        <v>0</v>
      </c>
      <c r="D356" s="5">
        <f t="shared" si="72"/>
        <v>0</v>
      </c>
      <c r="E356" s="6">
        <v>0</v>
      </c>
      <c r="F356" s="6">
        <v>0</v>
      </c>
      <c r="G356" s="7">
        <f t="shared" si="73"/>
        <v>0</v>
      </c>
      <c r="H356" s="7">
        <f t="shared" si="74"/>
        <v>0</v>
      </c>
      <c r="I356" s="8">
        <v>2529</v>
      </c>
      <c r="J356" s="9"/>
      <c r="K356" s="8">
        <f t="shared" si="75"/>
        <v>30348</v>
      </c>
      <c r="L356" s="7">
        <f t="shared" si="76"/>
        <v>0</v>
      </c>
      <c r="M356" s="10">
        <f t="shared" si="77"/>
        <v>1</v>
      </c>
      <c r="N356" s="11">
        <f t="shared" si="78"/>
        <v>0</v>
      </c>
      <c r="O356" s="8">
        <f t="shared" si="79"/>
        <v>0</v>
      </c>
      <c r="P356" s="12">
        <f t="shared" si="80"/>
        <v>0</v>
      </c>
    </row>
    <row r="357" spans="1:16">
      <c r="A357" s="2">
        <v>46193</v>
      </c>
      <c r="B357" s="3">
        <f>Data_Entry!T448</f>
        <v>0</v>
      </c>
      <c r="C357" s="4">
        <f>Data_Entry!V448</f>
        <v>0</v>
      </c>
      <c r="D357" s="5">
        <f t="shared" si="72"/>
        <v>0</v>
      </c>
      <c r="E357" s="6">
        <v>0</v>
      </c>
      <c r="F357" s="6">
        <v>0</v>
      </c>
      <c r="G357" s="7">
        <f t="shared" si="73"/>
        <v>0</v>
      </c>
      <c r="H357" s="7">
        <f t="shared" si="74"/>
        <v>0</v>
      </c>
      <c r="I357" s="8">
        <v>2530</v>
      </c>
      <c r="J357" s="9"/>
      <c r="K357" s="8">
        <f t="shared" si="75"/>
        <v>30360</v>
      </c>
      <c r="L357" s="7">
        <f t="shared" si="76"/>
        <v>0</v>
      </c>
      <c r="M357" s="10">
        <f t="shared" si="77"/>
        <v>1</v>
      </c>
      <c r="N357" s="11">
        <f t="shared" si="78"/>
        <v>0</v>
      </c>
      <c r="O357" s="8">
        <f t="shared" si="79"/>
        <v>0</v>
      </c>
      <c r="P357" s="12">
        <f t="shared" si="80"/>
        <v>0</v>
      </c>
    </row>
    <row r="358" spans="1:16">
      <c r="A358" s="2">
        <v>46194</v>
      </c>
      <c r="B358" s="3">
        <f>Data_Entry!T449</f>
        <v>0</v>
      </c>
      <c r="C358" s="4">
        <f>Data_Entry!V449</f>
        <v>0</v>
      </c>
      <c r="D358" s="5">
        <f t="shared" si="72"/>
        <v>0</v>
      </c>
      <c r="E358" s="6">
        <v>0</v>
      </c>
      <c r="F358" s="6">
        <v>0</v>
      </c>
      <c r="G358" s="7">
        <f t="shared" si="73"/>
        <v>0</v>
      </c>
      <c r="H358" s="7">
        <f t="shared" si="74"/>
        <v>0</v>
      </c>
      <c r="I358" s="8">
        <v>2531</v>
      </c>
      <c r="J358" s="9"/>
      <c r="K358" s="8">
        <f t="shared" si="75"/>
        <v>30372</v>
      </c>
      <c r="L358" s="7">
        <f t="shared" si="76"/>
        <v>0</v>
      </c>
      <c r="M358" s="10">
        <f t="shared" si="77"/>
        <v>1</v>
      </c>
      <c r="N358" s="11">
        <f t="shared" si="78"/>
        <v>0</v>
      </c>
      <c r="O358" s="8">
        <f t="shared" si="79"/>
        <v>0</v>
      </c>
      <c r="P358" s="12">
        <f t="shared" si="80"/>
        <v>0</v>
      </c>
    </row>
    <row r="359" spans="1:16">
      <c r="A359" s="2">
        <v>46195</v>
      </c>
      <c r="B359" s="3">
        <f>Data_Entry!T450</f>
        <v>0</v>
      </c>
      <c r="C359" s="4">
        <f>Data_Entry!V450</f>
        <v>0</v>
      </c>
      <c r="D359" s="5">
        <f t="shared" si="72"/>
        <v>0</v>
      </c>
      <c r="E359" s="6">
        <v>0</v>
      </c>
      <c r="F359" s="6">
        <v>0</v>
      </c>
      <c r="G359" s="7">
        <f t="shared" si="73"/>
        <v>0</v>
      </c>
      <c r="H359" s="7">
        <f t="shared" si="74"/>
        <v>0</v>
      </c>
      <c r="I359" s="8">
        <v>2532</v>
      </c>
      <c r="J359" s="9"/>
      <c r="K359" s="8">
        <f t="shared" si="75"/>
        <v>30384</v>
      </c>
      <c r="L359" s="7">
        <f t="shared" si="76"/>
        <v>0</v>
      </c>
      <c r="M359" s="10">
        <f t="shared" si="77"/>
        <v>1</v>
      </c>
      <c r="N359" s="11">
        <f t="shared" si="78"/>
        <v>0</v>
      </c>
      <c r="O359" s="8">
        <f t="shared" si="79"/>
        <v>0</v>
      </c>
      <c r="P359" s="12">
        <f t="shared" si="80"/>
        <v>0</v>
      </c>
    </row>
    <row r="360" spans="1:16">
      <c r="A360" s="2">
        <v>46196</v>
      </c>
      <c r="B360" s="3">
        <f>Data_Entry!T451</f>
        <v>0</v>
      </c>
      <c r="C360" s="4">
        <f>Data_Entry!V451</f>
        <v>0</v>
      </c>
      <c r="D360" s="5">
        <f t="shared" si="72"/>
        <v>0</v>
      </c>
      <c r="E360" s="6">
        <v>0</v>
      </c>
      <c r="F360" s="6">
        <v>0</v>
      </c>
      <c r="G360" s="7">
        <f t="shared" si="73"/>
        <v>0</v>
      </c>
      <c r="H360" s="7">
        <f t="shared" si="74"/>
        <v>0</v>
      </c>
      <c r="I360" s="8">
        <v>2533</v>
      </c>
      <c r="J360" s="9"/>
      <c r="K360" s="8">
        <f t="shared" si="75"/>
        <v>30396</v>
      </c>
      <c r="L360" s="7">
        <f t="shared" si="76"/>
        <v>0</v>
      </c>
      <c r="M360" s="10">
        <f t="shared" si="77"/>
        <v>1</v>
      </c>
      <c r="N360" s="11">
        <f t="shared" si="78"/>
        <v>0</v>
      </c>
      <c r="O360" s="8">
        <f t="shared" si="79"/>
        <v>0</v>
      </c>
      <c r="P360" s="12">
        <f t="shared" si="80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" master="" otherUserPermission="visible"/>
  <rangeList sheetStid="9" master="" otherUserPermission="visible"/>
  <rangeList sheetStid="15" master="" otherUserPermission="visible"/>
  <rangeList sheetStid="8" master="" otherUserPermission="visible"/>
  <rangeList sheetStid="14" master="" otherUserPermission="visible"/>
  <rangeList sheetStid="4" master="" otherUserPermission="visible"/>
  <rangeList sheetStid="12" master="" otherUserPermission="visible">
    <arrUserId title="Range1" rangeCreator="" othersAccessPermission="edit"/>
  </rangeList>
  <rangeList sheetStid="3" master="" otherUserPermission="visible"/>
  <rangeList sheetStid="7" master="" otherUserPermission="visible"/>
  <rangeList sheetStid="13" master="" otherUserPermission="visible"/>
  <rangeList sheetStid="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Budgeted_Data</vt:lpstr>
      <vt:lpstr>Data_Entry</vt:lpstr>
      <vt:lpstr>Inverter_PR</vt:lpstr>
      <vt:lpstr>DGR</vt:lpstr>
      <vt:lpstr>Invt_Analysis_Gen_Per_KW &amp;_PR</vt:lpstr>
      <vt:lpstr>Basic_Data</vt:lpstr>
      <vt:lpstr>E-Mail_Copy</vt:lpstr>
      <vt:lpstr>Plant_Down_Time Details</vt:lpstr>
      <vt:lpstr>Plant_Grid_Down_Time_Details</vt:lpstr>
      <vt:lpstr>Module_Cleaning</vt:lpstr>
      <vt:lpstr>WMS</vt:lpstr>
      <vt:lpstr>Plant  Availiblity</vt:lpstr>
      <vt:lpstr>Grid Availiblity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 g45 5G</dc:creator>
  <cp:lastModifiedBy>admin</cp:lastModifiedBy>
  <dcterms:created xsi:type="dcterms:W3CDTF">2025-03-18T05:55:00Z</dcterms:created>
  <dcterms:modified xsi:type="dcterms:W3CDTF">2026-06-06T08:11:57Z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5e0b00c7a440410a90880836e8d7be32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