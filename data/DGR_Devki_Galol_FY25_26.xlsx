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854" firstSheet="1" activeTab="9"/>
  </bookViews>
  <sheets>
    <sheet name="Budgeted_Data" sheetId="10" r:id="rId1"/>
    <sheet name="E-Mail_Copy" sheetId="12" r:id="rId2"/>
    <sheet name="DGR" sheetId="8" r:id="rId3"/>
    <sheet name="Data_Entry" sheetId="9" r:id="rId4"/>
    <sheet name="Inverter_PR" sheetId="15" r:id="rId5"/>
    <sheet name="Invt_Analysis_Gen_Per_KW &amp;_PR" sheetId="14" r:id="rId6"/>
    <sheet name="Basic_Data" sheetId="4" r:id="rId7"/>
    <sheet name="Plant_Down_Time Details" sheetId="3" r:id="rId8"/>
    <sheet name="Plant_Grid_Down_Time_Details" sheetId="7" r:id="rId9"/>
    <sheet name="WMS" sheetId="5" r:id="rId10"/>
    <sheet name="Module_Cleaning" sheetId="13" r:id="rId11"/>
    <sheet name="Plant  Availiblity" sheetId="16" r:id="rId12"/>
    <sheet name="Grid Availiblity" sheetId="18" r:id="rId13"/>
  </sheets>
  <definedNames>
    <definedName name="_xlnm._FilterDatabase" localSheetId="11" hidden="1">'Plant  Availiblity'!$A$2:$R$33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V18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TODAY IS SHUTDOWN FROM GETCO SITE SO NOT UPDATE DATA
</t>
        </r>
      </text>
    </comment>
    <comment ref="V28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 not data update
</t>
        </r>
      </text>
    </comment>
    <comment ref="D60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NOT UP DATE
</t>
        </r>
      </text>
    </comment>
    <comment ref="V60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RTU DATA NOT UPDATE
</t>
        </r>
      </text>
    </comment>
    <comment ref="W108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faulty sensor send to repaired
</t>
        </r>
      </text>
    </comment>
  </commentList>
</comments>
</file>

<file path=xl/sharedStrings.xml><?xml version="1.0" encoding="utf-8"?>
<sst xmlns="http://schemas.openxmlformats.org/spreadsheetml/2006/main" count="1897" uniqueCount="282">
  <si>
    <t>Plant Name</t>
  </si>
  <si>
    <t>Date</t>
  </si>
  <si>
    <t>Month</t>
  </si>
  <si>
    <t>Daily_Gen</t>
  </si>
  <si>
    <t>Daily_GTI</t>
  </si>
  <si>
    <t>Daily_GHI</t>
  </si>
  <si>
    <t>Ambt_Temp</t>
  </si>
  <si>
    <t>PR_%</t>
  </si>
  <si>
    <t>CUF_%</t>
  </si>
  <si>
    <t>TArray</t>
  </si>
  <si>
    <t>TArrWtd</t>
  </si>
  <si>
    <t>Connected_DC</t>
  </si>
  <si>
    <t>Devki_Galol</t>
  </si>
  <si>
    <t>Plant_Performance_of_Devki_Galol_GJ</t>
  </si>
  <si>
    <t>25-26</t>
  </si>
  <si>
    <t>AC Capacity:</t>
  </si>
  <si>
    <t>DC Capacity:</t>
  </si>
  <si>
    <t>D.O.C.:</t>
  </si>
  <si>
    <t>Daily</t>
  </si>
  <si>
    <t>MTD</t>
  </si>
  <si>
    <t>YTD</t>
  </si>
  <si>
    <t>Budgeted</t>
  </si>
  <si>
    <t>Actual</t>
  </si>
  <si>
    <t>Variation(%)</t>
  </si>
  <si>
    <t>Generation_MW</t>
  </si>
  <si>
    <r>
      <rPr>
        <sz val="12"/>
        <color theme="1"/>
        <rFont val="Arial"/>
        <charset val="134"/>
        <scheme val="minor"/>
      </rPr>
      <t>GTI (Kwh/m</t>
    </r>
    <r>
      <rPr>
        <vertAlign val="superscript"/>
        <sz val="12"/>
        <color theme="1"/>
        <rFont val="Arial"/>
        <charset val="134"/>
        <scheme val="minor"/>
      </rPr>
      <t>2</t>
    </r>
    <r>
      <rPr>
        <sz val="12"/>
        <color theme="1"/>
        <rFont val="Arial"/>
        <charset val="134"/>
        <scheme val="minor"/>
      </rPr>
      <t>)</t>
    </r>
  </si>
  <si>
    <r>
      <rPr>
        <sz val="12"/>
        <color theme="1"/>
        <rFont val="Arial"/>
        <charset val="134"/>
        <scheme val="minor"/>
      </rPr>
      <t>GHI (Kwh/m</t>
    </r>
    <r>
      <rPr>
        <vertAlign val="superscript"/>
        <sz val="12"/>
        <color theme="1"/>
        <rFont val="Arial"/>
        <charset val="134"/>
        <scheme val="minor"/>
      </rPr>
      <t>2</t>
    </r>
    <r>
      <rPr>
        <sz val="12"/>
        <color theme="1"/>
        <rFont val="Arial"/>
        <charset val="134"/>
        <scheme val="minor"/>
      </rPr>
      <t>)</t>
    </r>
  </si>
  <si>
    <t>PR_(%)</t>
  </si>
  <si>
    <t>CUF_(%)</t>
  </si>
  <si>
    <t>Wtd_Module_Temp</t>
  </si>
  <si>
    <r>
      <rPr>
        <sz val="12"/>
        <color theme="1"/>
        <rFont val="Arial"/>
        <charset val="134"/>
        <scheme val="minor"/>
      </rPr>
      <t>Ambt._Temp_(</t>
    </r>
    <r>
      <rPr>
        <vertAlign val="superscript"/>
        <sz val="12"/>
        <color theme="1"/>
        <rFont val="Arial"/>
        <charset val="134"/>
        <scheme val="minor"/>
      </rPr>
      <t>0</t>
    </r>
    <r>
      <rPr>
        <sz val="12"/>
        <color theme="1"/>
        <rFont val="Arial"/>
        <charset val="134"/>
        <scheme val="minor"/>
      </rPr>
      <t>C)</t>
    </r>
  </si>
  <si>
    <t xml:space="preserve"> </t>
  </si>
  <si>
    <t>Daily_Generation_&amp;_Performance_Report</t>
  </si>
  <si>
    <t>Inverter_No.</t>
  </si>
  <si>
    <t>Total/Avg..</t>
  </si>
  <si>
    <t>Inv_1</t>
  </si>
  <si>
    <t>Inv_2</t>
  </si>
  <si>
    <t>Inv_3</t>
  </si>
  <si>
    <t>Inv_4</t>
  </si>
  <si>
    <t>Inv_5</t>
  </si>
  <si>
    <t>Inv_6</t>
  </si>
  <si>
    <t>Inv_7</t>
  </si>
  <si>
    <t>Total_Inverter_(kWh)</t>
  </si>
  <si>
    <t>Total_ABT_Meter_Export_(kWh)</t>
  </si>
  <si>
    <t>Total_ABT_Meter_Import_(kWh)</t>
  </si>
  <si>
    <t>Total_ABT_Meter_Net_(kWh)</t>
  </si>
  <si>
    <t>GTI</t>
  </si>
  <si>
    <t>GHI</t>
  </si>
  <si>
    <t>Module_Temp.</t>
  </si>
  <si>
    <t>Ambt._Temp.</t>
  </si>
  <si>
    <t>Performance_Ratio_(%)</t>
  </si>
  <si>
    <t>Capacity_Utilization_Factor_(%)</t>
  </si>
  <si>
    <t>Aux_Consumption_Line_Loss_(%)</t>
  </si>
  <si>
    <t>Plant_Up_Time</t>
  </si>
  <si>
    <t>Plant_Down_Time</t>
  </si>
  <si>
    <t>Total Inv Gen kWh</t>
  </si>
  <si>
    <t>ABT_Initial_Export</t>
  </si>
  <si>
    <t>ABT_Final_Export</t>
  </si>
  <si>
    <t>Total_Export</t>
  </si>
  <si>
    <t>ABT_Initial_Import</t>
  </si>
  <si>
    <t>ABT_Final_Import</t>
  </si>
  <si>
    <t>Total_Import</t>
  </si>
  <si>
    <t>Net_Gen_kWh</t>
  </si>
  <si>
    <r>
      <rPr>
        <b/>
        <sz val="11"/>
        <color theme="1"/>
        <rFont val="Calibri"/>
        <charset val="134"/>
      </rPr>
      <t>GHI (kwh/m</t>
    </r>
    <r>
      <rPr>
        <b/>
        <vertAlign val="superscript"/>
        <sz val="11"/>
        <color theme="1"/>
        <rFont val="Arial"/>
        <charset val="134"/>
        <scheme val="minor"/>
      </rPr>
      <t>2</t>
    </r>
    <r>
      <rPr>
        <b/>
        <sz val="11"/>
        <color theme="1"/>
        <rFont val="Arial"/>
        <charset val="134"/>
        <scheme val="minor"/>
      </rPr>
      <t>)</t>
    </r>
  </si>
  <si>
    <r>
      <rPr>
        <b/>
        <sz val="11"/>
        <color theme="1"/>
        <rFont val="Calibri"/>
        <charset val="134"/>
      </rPr>
      <t>GTI (kwh/m</t>
    </r>
    <r>
      <rPr>
        <b/>
        <vertAlign val="superscript"/>
        <sz val="11"/>
        <color theme="1"/>
        <rFont val="Arial"/>
        <charset val="134"/>
        <scheme val="minor"/>
      </rPr>
      <t>2</t>
    </r>
    <r>
      <rPr>
        <b/>
        <sz val="11"/>
        <color theme="1"/>
        <rFont val="Arial"/>
        <charset val="134"/>
        <scheme val="minor"/>
      </rPr>
      <t>)</t>
    </r>
  </si>
  <si>
    <t>Ambt_Temp_Avg</t>
  </si>
  <si>
    <t>Module_Temp_Avg</t>
  </si>
  <si>
    <t>Wind Speed</t>
  </si>
  <si>
    <t>Rain_Gaug_MM</t>
  </si>
  <si>
    <t>Weather_Condition</t>
  </si>
  <si>
    <t>sunny</t>
  </si>
  <si>
    <t>mostly cloudy</t>
  </si>
  <si>
    <t>cloudy</t>
  </si>
  <si>
    <t>rainy</t>
  </si>
  <si>
    <t>Inverter_Availability_Sheet</t>
  </si>
  <si>
    <t>Daily_Generation_Per_KW_Performance_Analysis</t>
  </si>
  <si>
    <t>Avg_per_Kw</t>
  </si>
  <si>
    <t>Avg_PR%</t>
  </si>
  <si>
    <t>Details_of_Plant</t>
  </si>
  <si>
    <t>Values</t>
  </si>
  <si>
    <t>Inverter_Name</t>
  </si>
  <si>
    <t>AC_Capacity_MW</t>
  </si>
  <si>
    <t>Connected_DC_MW</t>
  </si>
  <si>
    <t>No_Of_Module</t>
  </si>
  <si>
    <t>D.O.C(DD-MMM-YYY)</t>
  </si>
  <si>
    <t>Plant_Name</t>
  </si>
  <si>
    <t>Devki Galol</t>
  </si>
  <si>
    <t>Longitude_Of_Site</t>
  </si>
  <si>
    <t>21.62 °N</t>
  </si>
  <si>
    <t>Latitude_Of_Site</t>
  </si>
  <si>
    <t>70.69 °E</t>
  </si>
  <si>
    <t>DC_Capacity_(kWh)</t>
  </si>
  <si>
    <t>AC_Capacity_(kWh)</t>
  </si>
  <si>
    <t>Connected_DC_Capacity</t>
  </si>
  <si>
    <t>Multiplying_Factor_(MF)</t>
  </si>
  <si>
    <t>Total</t>
  </si>
  <si>
    <t>No._of_Power_Trafo.</t>
  </si>
  <si>
    <t>Power_Trafo._Make</t>
  </si>
  <si>
    <t>Gujrat_Trafo</t>
  </si>
  <si>
    <t>Inverter_Make</t>
  </si>
  <si>
    <t>Watt_power</t>
  </si>
  <si>
    <t>Inverter_Capacity</t>
  </si>
  <si>
    <t>No._of_Inverter</t>
  </si>
  <si>
    <t>Module_Make</t>
  </si>
  <si>
    <t>EMMVEE</t>
  </si>
  <si>
    <t>Module_Rating</t>
  </si>
  <si>
    <t>No._of_Strings/Table</t>
  </si>
  <si>
    <t>No._Of_Module_In_Table</t>
  </si>
  <si>
    <t>28 for Bifacial</t>
  </si>
  <si>
    <t>Total_Module</t>
  </si>
  <si>
    <t>Switch_Yard_Make_Vendors</t>
  </si>
  <si>
    <t>ABB</t>
  </si>
  <si>
    <t>Table_Configuration</t>
  </si>
  <si>
    <t>2X28</t>
  </si>
  <si>
    <t>ABT Meter Make</t>
  </si>
  <si>
    <t>FY:Name</t>
  </si>
  <si>
    <t>From_FY</t>
  </si>
  <si>
    <t>To_FY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</si>
  <si>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</si>
  <si>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</si>
  <si>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</si>
  <si>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</si>
  <si>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</si>
  <si>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</si>
  <si>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</si>
  <si>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</si>
  <si>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</si>
  <si>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</si>
  <si>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</si>
  <si>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</si>
  <si>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</si>
  <si>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26-27</t>
  </si>
  <si>
    <t>27-28</t>
  </si>
  <si>
    <t>28-29</t>
  </si>
  <si>
    <t>29-30</t>
  </si>
  <si>
    <t>30-31</t>
  </si>
  <si>
    <t>31-32</t>
  </si>
  <si>
    <t>32-33</t>
  </si>
  <si>
    <t>Plant_Down_Time Details</t>
  </si>
  <si>
    <t>Inverter_No</t>
  </si>
  <si>
    <t>String_No</t>
  </si>
  <si>
    <t>Down_Time_Start</t>
  </si>
  <si>
    <t>Down_Time_Stop</t>
  </si>
  <si>
    <t>Total_Down_Time</t>
  </si>
  <si>
    <t>Affected DC Capacity (in KW)</t>
  </si>
  <si>
    <t>Insolation*Capacity</t>
  </si>
  <si>
    <t>Generation Loss</t>
  </si>
  <si>
    <t>Revenue</t>
  </si>
  <si>
    <t>Component Name</t>
  </si>
  <si>
    <t>Fault Description</t>
  </si>
  <si>
    <t>Reason_Of_Down</t>
  </si>
  <si>
    <t>Purposed Action Plan</t>
  </si>
  <si>
    <t>Material Consumption Description</t>
  </si>
  <si>
    <t>UOM</t>
  </si>
  <si>
    <t>Quantity</t>
  </si>
  <si>
    <t>Corrective_Action_Taken_By_Site_Team</t>
  </si>
  <si>
    <t>all inverter</t>
  </si>
  <si>
    <t>DO WIRE BURNED</t>
  </si>
  <si>
    <t>-</t>
  </si>
  <si>
    <t>DO FUSE WIRE BLOWN</t>
  </si>
  <si>
    <t>GETCO SUTDOWN</t>
  </si>
  <si>
    <t>All string</t>
  </si>
  <si>
    <t>pv array ground</t>
  </si>
  <si>
    <t>23 nos</t>
  </si>
  <si>
    <t>All inverter</t>
  </si>
  <si>
    <t>plant site relay operate in over voltage</t>
  </si>
  <si>
    <t>After proper relay setting</t>
  </si>
  <si>
    <t>TRANSFORMER</t>
  </si>
  <si>
    <t>BUCHHOLZ RELY ALARM</t>
  </si>
  <si>
    <t>replace buchholz rely by  GT transformer team</t>
  </si>
  <si>
    <t>DO FUSE wire</t>
  </si>
  <si>
    <t>DO Wire burned</t>
  </si>
  <si>
    <t>Replace DO wire in GETCO s/s side</t>
  </si>
  <si>
    <t>GETCO</t>
  </si>
  <si>
    <t>66KV GETCO LINE TRIP</t>
  </si>
  <si>
    <t>Replace DO wire in GETCO s/s side &amp; also tree cutting done</t>
  </si>
  <si>
    <t>Y phase jumper</t>
  </si>
  <si>
    <t>burinig jumper</t>
  </si>
  <si>
    <t>work done by site team</t>
  </si>
  <si>
    <t>GETCO MAINTANANCE</t>
  </si>
  <si>
    <t>Y PHASE DO WIRE</t>
  </si>
  <si>
    <t>DO WIRE BURINING</t>
  </si>
  <si>
    <t xml:space="preserve"> Resolve by site team</t>
  </si>
  <si>
    <t>transformer</t>
  </si>
  <si>
    <t>no fualt</t>
  </si>
  <si>
    <t>FOR bechholz relay</t>
  </si>
  <si>
    <t xml:space="preserve"> WORK BY  TRANSFORMER GT ENGINEER</t>
  </si>
  <si>
    <t>66KV SHUTDOWN</t>
  </si>
  <si>
    <t>jumper</t>
  </si>
  <si>
    <t>jumper burened</t>
  </si>
  <si>
    <t>R Phase jumper</t>
  </si>
  <si>
    <t>R Phase jumper burend</t>
  </si>
  <si>
    <t>normal tripping</t>
  </si>
  <si>
    <t>ss high voltage</t>
  </si>
  <si>
    <t>getco side main 1 trip</t>
  </si>
  <si>
    <t>tranformer maintance</t>
  </si>
  <si>
    <t>no fault</t>
  </si>
  <si>
    <t>gt team visted for transformer oil lekege attend</t>
  </si>
  <si>
    <t>LineTree cutting work</t>
  </si>
  <si>
    <t>Plant_Grid_Down_Time_Details</t>
  </si>
  <si>
    <t>Transformer_No. (T-1)</t>
  </si>
  <si>
    <t>Comm. Insolation of the Period</t>
  </si>
  <si>
    <t>Module Temp of the Period</t>
  </si>
  <si>
    <t>REMARK</t>
  </si>
  <si>
    <t>Do wire burned</t>
  </si>
  <si>
    <t>13/04/2025</t>
  </si>
  <si>
    <t>16/04/2025</t>
  </si>
  <si>
    <t>getco shutdown</t>
  </si>
  <si>
    <t>23/04/2025</t>
  </si>
  <si>
    <t>o/v u/v trip getco site</t>
  </si>
  <si>
    <t>24/6/2025</t>
  </si>
  <si>
    <t>66kv getco line trip</t>
  </si>
  <si>
    <t>30/6/2025</t>
  </si>
  <si>
    <t>y phase jumper burned</t>
  </si>
  <si>
    <t>13/7/2025</t>
  </si>
  <si>
    <t>23/7/2025</t>
  </si>
  <si>
    <t>getco site maintanance</t>
  </si>
  <si>
    <t>17/9/2025</t>
  </si>
  <si>
    <t>66kv shutdown</t>
  </si>
  <si>
    <t>B phase jumper burned</t>
  </si>
  <si>
    <t>R phase jumper burned</t>
  </si>
  <si>
    <t>21/12/2025</t>
  </si>
  <si>
    <t>29/12/2025</t>
  </si>
  <si>
    <t>High voltage ss site</t>
  </si>
  <si>
    <t>getco main 1 trip</t>
  </si>
  <si>
    <t>21/1/2026</t>
  </si>
  <si>
    <t>tree cutting work</t>
  </si>
  <si>
    <t>getco side braker testing work</t>
  </si>
  <si>
    <t xml:space="preserve">getco side y phase ctpt lug burned </t>
  </si>
  <si>
    <t>getco side 66kv line trip</t>
  </si>
  <si>
    <t>Months</t>
  </si>
  <si>
    <t>Module_Temp</t>
  </si>
  <si>
    <t>Amb_Temp</t>
  </si>
  <si>
    <t>Derect_Irr</t>
  </si>
  <si>
    <t>Diffused_Irr</t>
  </si>
  <si>
    <t>Wind_Speed</t>
  </si>
  <si>
    <t>Wind_derection</t>
  </si>
  <si>
    <t>Rain Gauge</t>
  </si>
  <si>
    <t>Water Consumption</t>
  </si>
  <si>
    <t>Tanker Qty</t>
  </si>
  <si>
    <t>Consumption (Capacity(Ltr)* Tanker)</t>
  </si>
  <si>
    <t>TDS (PPM)</t>
  </si>
  <si>
    <t>Cycle No.</t>
  </si>
  <si>
    <t>Invt. No</t>
  </si>
  <si>
    <t>Module</t>
  </si>
  <si>
    <t>Cleaned</t>
  </si>
  <si>
    <t>Before Cleaning PR%</t>
  </si>
  <si>
    <t>After Cleaning PR%</t>
  </si>
  <si>
    <t>Balance</t>
  </si>
  <si>
    <t>Remarks</t>
  </si>
  <si>
    <t>robot cleaning</t>
  </si>
  <si>
    <t>wet cleaning</t>
  </si>
  <si>
    <t>No cleaning</t>
  </si>
  <si>
    <t xml:space="preserve"> No cleaning</t>
  </si>
  <si>
    <t>All module cleaned by rain</t>
  </si>
  <si>
    <t>robot  with wet cleaning</t>
  </si>
  <si>
    <t>robot  cleaning</t>
  </si>
  <si>
    <t>robot faulty condition</t>
  </si>
  <si>
    <t>ABT Export Gen</t>
  </si>
  <si>
    <t>Total inevrter off</t>
  </si>
  <si>
    <t xml:space="preserve">GHI </t>
  </si>
  <si>
    <t>CUF%</t>
  </si>
  <si>
    <t xml:space="preserve">Out </t>
  </si>
  <si>
    <t>In</t>
  </si>
  <si>
    <t>Total Minute</t>
  </si>
  <si>
    <t>Outage Hrs.</t>
  </si>
  <si>
    <t xml:space="preserve">Plant Capacity </t>
  </si>
  <si>
    <t xml:space="preserve">Outage Capacity </t>
  </si>
  <si>
    <t>Plant Capacity Ratio</t>
  </si>
  <si>
    <t>Outage Ratio</t>
  </si>
  <si>
    <t>Plant  Availiblity</t>
  </si>
  <si>
    <t>PA.C CUF</t>
  </si>
  <si>
    <t>total curtailment</t>
  </si>
  <si>
    <t xml:space="preserve">P.A.C Generation </t>
  </si>
  <si>
    <t>PA Unit Lose</t>
  </si>
  <si>
    <t xml:space="preserve">                                                                  </t>
  </si>
  <si>
    <t>30% curtailment</t>
  </si>
  <si>
    <t xml:space="preserve"> curtailment</t>
  </si>
  <si>
    <t>Grid Availiblity</t>
  </si>
  <si>
    <t>G.C CUF</t>
  </si>
  <si>
    <t xml:space="preserve">G.C Generation </t>
  </si>
  <si>
    <t>Grid Unit 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</si>
</sst>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;@"/>
    <numFmt numFmtId="181" formatCode="[h]:mm:ss;@"/>
    <numFmt numFmtId="182" formatCode="0.0%"/>
    <numFmt numFmtId="183" formatCode="mmm/yy"/>
    <numFmt numFmtId="184" formatCode="dd/mmm/yy"/>
    <numFmt numFmtId="185" formatCode="0.00_ "/>
    <numFmt numFmtId="186" formatCode="dd/mm/yyyy"/>
    <numFmt numFmtId="187" formatCode="h:mm"/>
    <numFmt numFmtId="188" formatCode="dd/mmm"/>
    <numFmt numFmtId="189" formatCode="0.0"/>
  </numFmts>
  <fonts count="49">
    <font>
      <sz val="11"/>
      <name val="Arial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0"/>
      <color rgb="FFFF0000"/>
      <name val="Arial"/>
      <charset val="134"/>
      <scheme val="minor"/>
    </font>
    <font>
      <sz val="9"/>
      <color theme="1"/>
      <name val="Arial"/>
      <charset val="134"/>
      <scheme val="minor"/>
    </font>
    <font>
      <sz val="11"/>
      <name val="Calibri"/>
      <charset val="134"/>
    </font>
    <font>
      <sz val="11"/>
      <color rgb="FFFF0000"/>
      <name val="Arial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rgb="FF000000"/>
      <name val="Arial"/>
      <charset val="134"/>
    </font>
    <font>
      <b/>
      <sz val="11"/>
      <color theme="1"/>
      <name val="Calibri"/>
      <charset val="134"/>
    </font>
    <font>
      <sz val="11"/>
      <color theme="0"/>
      <name val="Arial"/>
      <charset val="134"/>
    </font>
    <font>
      <b/>
      <sz val="11"/>
      <name val="Calibri"/>
      <charset val="134"/>
    </font>
    <font>
      <b/>
      <sz val="18"/>
      <color theme="1"/>
      <name val="Book Antiqua"/>
      <charset val="134"/>
    </font>
    <font>
      <sz val="11"/>
      <name val="Arial"/>
      <charset val="134"/>
      <scheme val="minor"/>
    </font>
    <font>
      <sz val="11"/>
      <color theme="0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2"/>
      <name val="Arial"/>
      <charset val="134"/>
      <scheme val="minor"/>
    </font>
    <font>
      <b/>
      <i/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vertAlign val="superscript"/>
      <sz val="11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vertAlign val="superscript"/>
      <sz val="12"/>
      <color theme="1"/>
      <name val="Arial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42">
    <fill>
      <patternFill patternType="none"/>
    </fill>
    <fill>
      <patternFill patternType="gray125"/>
    </fill>
    <fill>
      <patternFill patternType="solid">
        <fgColor theme="4" tint="0.7998596148564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theme="3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D6DCE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24" fillId="0" borderId="0" applyFont="0" applyFill="0" applyBorder="0" applyAlignment="0" applyProtection="0">
      <alignment vertical="center"/>
    </xf>
    <xf numFmtId="179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2" borderId="54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55" applyNumberFormat="0" applyFill="0" applyAlignment="0" applyProtection="0">
      <alignment vertical="center"/>
    </xf>
    <xf numFmtId="0" fontId="31" fillId="0" borderId="55" applyNumberFormat="0" applyFill="0" applyAlignment="0" applyProtection="0">
      <alignment vertical="center"/>
    </xf>
    <xf numFmtId="0" fontId="32" fillId="0" borderId="5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3" borderId="57" applyNumberFormat="0" applyAlignment="0" applyProtection="0">
      <alignment vertical="center"/>
    </xf>
    <xf numFmtId="0" fontId="34" fillId="14" borderId="58" applyNumberFormat="0" applyAlignment="0" applyProtection="0">
      <alignment vertical="center"/>
    </xf>
    <xf numFmtId="0" fontId="35" fillId="14" borderId="57" applyNumberFormat="0" applyAlignment="0" applyProtection="0">
      <alignment vertical="center"/>
    </xf>
    <xf numFmtId="0" fontId="36" fillId="15" borderId="59" applyNumberFormat="0" applyAlignment="0" applyProtection="0">
      <alignment vertical="center"/>
    </xf>
    <xf numFmtId="0" fontId="37" fillId="0" borderId="60" applyNumberFormat="0" applyFill="0" applyAlignment="0" applyProtection="0">
      <alignment vertical="center"/>
    </xf>
    <xf numFmtId="0" fontId="38" fillId="0" borderId="61" applyNumberFormat="0" applyFill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80" fontId="0" fillId="0" borderId="0" xfId="0" applyNumberFormat="1">
      <alignment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0" fontId="0" fillId="0" borderId="1" xfId="3" applyNumberFormat="1" applyFont="1" applyBorder="1"/>
    <xf numFmtId="181" fontId="0" fillId="0" borderId="1" xfId="0" applyNumberForma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0" fontId="3" fillId="0" borderId="1" xfId="3" applyNumberFormat="1" applyFont="1" applyBorder="1" applyAlignment="1">
      <alignment horizontal="center"/>
    </xf>
    <xf numFmtId="182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180" fontId="2" fillId="0" borderId="1" xfId="0" applyNumberFormat="1" applyFont="1" applyBorder="1" applyAlignment="1"/>
    <xf numFmtId="182" fontId="3" fillId="3" borderId="1" xfId="0" applyNumberFormat="1" applyFont="1" applyFill="1" applyBorder="1" applyAlignment="1">
      <alignment horizontal="center"/>
    </xf>
    <xf numFmtId="182" fontId="4" fillId="4" borderId="1" xfId="0" applyNumberFormat="1" applyFont="1" applyFill="1" applyBorder="1" applyAlignment="1">
      <alignment horizontal="center"/>
    </xf>
    <xf numFmtId="182" fontId="3" fillId="4" borderId="1" xfId="0" applyNumberFormat="1" applyFont="1" applyFill="1" applyBorder="1" applyAlignment="1">
      <alignment horizontal="center"/>
    </xf>
    <xf numFmtId="182" fontId="4" fillId="5" borderId="1" xfId="0" applyNumberFormat="1" applyFont="1" applyFill="1" applyBorder="1" applyAlignment="1">
      <alignment horizontal="center"/>
    </xf>
    <xf numFmtId="182" fontId="3" fillId="5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1" fontId="0" fillId="6" borderId="1" xfId="0" applyNumberFormat="1" applyFill="1" applyBorder="1" applyAlignment="1" applyProtection="1">
      <alignment horizontal="center" vertical="center" wrapText="1"/>
      <protection locked="0"/>
    </xf>
    <xf numFmtId="0" fontId="5" fillId="7" borderId="1" xfId="0" applyFont="1" applyFill="1" applyBorder="1" applyAlignment="1" applyProtection="1">
      <alignment horizontal="center" vertical="center" wrapText="1"/>
      <protection locked="0"/>
    </xf>
    <xf numFmtId="0" fontId="5" fillId="7" borderId="2" xfId="0" applyFont="1" applyFill="1" applyBorder="1" applyAlignment="1" applyProtection="1">
      <alignment horizontal="center" vertical="center" wrapText="1"/>
      <protection locked="0"/>
    </xf>
    <xf numFmtId="183" fontId="6" fillId="0" borderId="1" xfId="0" applyNumberFormat="1" applyFont="1" applyBorder="1">
      <alignment vertical="center"/>
    </xf>
    <xf numFmtId="184" fontId="6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9" fontId="7" fillId="0" borderId="1" xfId="3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83" fontId="6" fillId="0" borderId="2" xfId="0" applyNumberFormat="1" applyFont="1" applyBorder="1" applyAlignment="1">
      <alignment horizontal="center" vertical="center"/>
    </xf>
    <xf numFmtId="184" fontId="6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3" fontId="6" fillId="0" borderId="3" xfId="0" applyNumberFormat="1" applyFont="1" applyBorder="1" applyAlignment="1">
      <alignment horizontal="center" vertical="center"/>
    </xf>
    <xf numFmtId="184" fontId="6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3" fontId="6" fillId="0" borderId="4" xfId="0" applyNumberFormat="1" applyFont="1" applyBorder="1" applyAlignment="1">
      <alignment horizontal="center" vertical="center"/>
    </xf>
    <xf numFmtId="184" fontId="6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1" xfId="0" applyFill="1" applyBorder="1">
      <alignment vertical="center"/>
    </xf>
    <xf numFmtId="9" fontId="7" fillId="8" borderId="1" xfId="3" applyFon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9" fontId="7" fillId="3" borderId="1" xfId="3" applyFont="1" applyFill="1" applyBorder="1" applyAlignment="1">
      <alignment vertical="center"/>
    </xf>
    <xf numFmtId="0" fontId="0" fillId="5" borderId="1" xfId="0" applyFill="1" applyBorder="1">
      <alignment vertical="center"/>
    </xf>
    <xf numFmtId="9" fontId="7" fillId="5" borderId="1" xfId="3" applyFont="1" applyFill="1" applyBorder="1" applyAlignment="1">
      <alignment vertical="center"/>
    </xf>
    <xf numFmtId="9" fontId="7" fillId="0" borderId="1" xfId="3" applyNumberFormat="1" applyFont="1" applyBorder="1" applyAlignment="1">
      <alignment vertical="center"/>
    </xf>
    <xf numFmtId="183" fontId="0" fillId="0" borderId="1" xfId="0" applyNumberFormat="1" applyBorder="1">
      <alignment vertical="center"/>
    </xf>
    <xf numFmtId="0" fontId="8" fillId="0" borderId="1" xfId="0" applyFont="1" applyBorder="1" applyAlignment="1"/>
    <xf numFmtId="0" fontId="6" fillId="0" borderId="1" xfId="0" applyFont="1" applyBorder="1">
      <alignment vertical="center"/>
    </xf>
    <xf numFmtId="185" fontId="6" fillId="0" borderId="1" xfId="0" applyNumberFormat="1" applyFont="1" applyBorder="1">
      <alignment vertical="center"/>
    </xf>
    <xf numFmtId="185" fontId="0" fillId="0" borderId="1" xfId="0" applyNumberFormat="1" applyBorder="1">
      <alignment vertical="center"/>
    </xf>
    <xf numFmtId="184" fontId="6" fillId="0" borderId="4" xfId="0" applyNumberFormat="1" applyFont="1" applyBorder="1">
      <alignment vertical="center"/>
    </xf>
    <xf numFmtId="0" fontId="6" fillId="0" borderId="0" xfId="0" applyFont="1">
      <alignment vertical="center"/>
    </xf>
    <xf numFmtId="0" fontId="9" fillId="9" borderId="0" xfId="0" applyFont="1" applyFill="1">
      <alignment vertical="center"/>
    </xf>
    <xf numFmtId="0" fontId="9" fillId="0" borderId="0" xfId="0" applyFont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6" fillId="0" borderId="7" xfId="0" applyFont="1" applyBorder="1">
      <alignment vertical="center"/>
    </xf>
    <xf numFmtId="186" fontId="8" fillId="0" borderId="5" xfId="0" applyNumberFormat="1" applyFont="1" applyBorder="1" applyAlignment="1"/>
    <xf numFmtId="0" fontId="8" fillId="0" borderId="5" xfId="0" applyFont="1" applyBorder="1" applyAlignment="1"/>
    <xf numFmtId="20" fontId="8" fillId="0" borderId="5" xfId="0" applyNumberFormat="1" applyFont="1" applyBorder="1" applyAlignment="1"/>
    <xf numFmtId="0" fontId="8" fillId="8" borderId="5" xfId="0" applyFont="1" applyFill="1" applyBorder="1" applyAlignment="1"/>
    <xf numFmtId="0" fontId="8" fillId="0" borderId="6" xfId="0" applyFont="1" applyBorder="1" applyAlignment="1"/>
    <xf numFmtId="0" fontId="6" fillId="5" borderId="1" xfId="0" applyFont="1" applyFill="1" applyBorder="1">
      <alignment vertical="center"/>
    </xf>
    <xf numFmtId="0" fontId="11" fillId="5" borderId="7" xfId="0" applyFont="1" applyFill="1" applyBorder="1">
      <alignment vertical="center"/>
    </xf>
    <xf numFmtId="0" fontId="6" fillId="0" borderId="1" xfId="0" applyFont="1" applyFill="1" applyBorder="1">
      <alignment vertical="center"/>
    </xf>
    <xf numFmtId="183" fontId="6" fillId="0" borderId="2" xfId="0" applyNumberFormat="1" applyFont="1" applyBorder="1">
      <alignment vertical="center"/>
    </xf>
    <xf numFmtId="186" fontId="8" fillId="0" borderId="8" xfId="0" applyNumberFormat="1" applyFont="1" applyBorder="1" applyAlignment="1"/>
    <xf numFmtId="0" fontId="8" fillId="0" borderId="8" xfId="0" applyFont="1" applyBorder="1" applyAlignment="1"/>
    <xf numFmtId="20" fontId="8" fillId="0" borderId="8" xfId="0" applyNumberFormat="1" applyFont="1" applyBorder="1" applyAlignment="1"/>
    <xf numFmtId="0" fontId="8" fillId="8" borderId="8" xfId="0" applyFont="1" applyFill="1" applyBorder="1" applyAlignment="1"/>
    <xf numFmtId="0" fontId="8" fillId="0" borderId="9" xfId="0" applyFont="1" applyBorder="1" applyAlignment="1"/>
    <xf numFmtId="0" fontId="6" fillId="0" borderId="2" xfId="0" applyFont="1" applyBorder="1">
      <alignment vertical="center"/>
    </xf>
    <xf numFmtId="186" fontId="8" fillId="0" borderId="1" xfId="0" applyNumberFormat="1" applyFont="1" applyBorder="1" applyAlignment="1"/>
    <xf numFmtId="20" fontId="6" fillId="0" borderId="1" xfId="0" applyNumberFormat="1" applyFont="1" applyBorder="1">
      <alignment vertical="center"/>
    </xf>
    <xf numFmtId="0" fontId="12" fillId="8" borderId="1" xfId="0" applyFont="1" applyFill="1" applyBorder="1">
      <alignment vertical="center"/>
    </xf>
    <xf numFmtId="186" fontId="6" fillId="0" borderId="1" xfId="0" applyNumberFormat="1" applyFont="1" applyBorder="1">
      <alignment vertical="center"/>
    </xf>
    <xf numFmtId="0" fontId="6" fillId="8" borderId="1" xfId="0" applyFont="1" applyFill="1" applyBorder="1">
      <alignment vertical="center"/>
    </xf>
    <xf numFmtId="187" fontId="6" fillId="0" borderId="1" xfId="0" applyNumberFormat="1" applyFont="1" applyBorder="1">
      <alignment vertical="center"/>
    </xf>
    <xf numFmtId="0" fontId="0" fillId="8" borderId="0" xfId="0" applyFill="1">
      <alignment vertical="center"/>
    </xf>
    <xf numFmtId="0" fontId="9" fillId="8" borderId="0" xfId="0" applyFont="1" applyFill="1">
      <alignment vertical="center"/>
    </xf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20" fontId="0" fillId="0" borderId="1" xfId="0" applyNumberFormat="1" applyBorder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/>
    <xf numFmtId="0" fontId="13" fillId="0" borderId="0" xfId="0" applyFont="1" applyAlignment="1"/>
    <xf numFmtId="0" fontId="8" fillId="0" borderId="10" xfId="0" applyFont="1" applyBorder="1" applyAlignment="1">
      <alignment horizontal="center" vertical="center"/>
    </xf>
    <xf numFmtId="186" fontId="8" fillId="0" borderId="1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8" fillId="0" borderId="10" xfId="0" applyNumberFormat="1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84" fontId="8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88" fontId="0" fillId="0" borderId="10" xfId="0" applyNumberFormat="1" applyBorder="1" applyAlignment="1">
      <alignment horizontal="center" vertical="center"/>
    </xf>
    <xf numFmtId="184" fontId="0" fillId="0" borderId="10" xfId="0" applyNumberFormat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88" fontId="6" fillId="11" borderId="1" xfId="0" applyNumberFormat="1" applyFont="1" applyFill="1" applyBorder="1">
      <alignment vertical="center"/>
    </xf>
    <xf numFmtId="188" fontId="6" fillId="0" borderId="0" xfId="0" applyNumberFormat="1" applyFont="1">
      <alignment vertical="center"/>
    </xf>
    <xf numFmtId="2" fontId="6" fillId="0" borderId="1" xfId="0" applyNumberFormat="1" applyFont="1" applyBorder="1">
      <alignment vertical="center"/>
    </xf>
    <xf numFmtId="182" fontId="6" fillId="0" borderId="1" xfId="3" applyNumberFormat="1" applyFont="1" applyBorder="1" applyAlignment="1">
      <alignment vertical="center"/>
    </xf>
    <xf numFmtId="9" fontId="6" fillId="0" borderId="1" xfId="3" applyFont="1" applyBorder="1" applyAlignment="1">
      <alignment vertical="center"/>
    </xf>
    <xf numFmtId="0" fontId="15" fillId="5" borderId="0" xfId="0" applyFont="1" applyFill="1">
      <alignment vertical="center"/>
    </xf>
    <xf numFmtId="183" fontId="6" fillId="0" borderId="11" xfId="0" applyNumberFormat="1" applyFont="1" applyBorder="1">
      <alignment vertical="center"/>
    </xf>
    <xf numFmtId="182" fontId="0" fillId="0" borderId="0" xfId="3" applyNumberFormat="1" applyFont="1" applyAlignment="1">
      <alignment vertical="center"/>
    </xf>
    <xf numFmtId="183" fontId="6" fillId="0" borderId="12" xfId="0" applyNumberFormat="1" applyFont="1" applyBorder="1">
      <alignment vertical="center"/>
    </xf>
    <xf numFmtId="184" fontId="6" fillId="0" borderId="13" xfId="0" applyNumberFormat="1" applyFont="1" applyBorder="1">
      <alignment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14" fillId="6" borderId="16" xfId="0" applyFont="1" applyFill="1" applyBorder="1" applyAlignment="1" applyProtection="1">
      <alignment horizontal="center" vertical="center"/>
      <protection locked="0"/>
    </xf>
    <xf numFmtId="0" fontId="14" fillId="6" borderId="17" xfId="0" applyFont="1" applyFill="1" applyBorder="1" applyAlignment="1" applyProtection="1">
      <alignment horizontal="center" vertical="center"/>
      <protection locked="0"/>
    </xf>
    <xf numFmtId="0" fontId="14" fillId="6" borderId="18" xfId="0" applyFont="1" applyFill="1" applyBorder="1" applyAlignment="1" applyProtection="1">
      <alignment horizontal="center" vertical="center"/>
      <protection locked="0"/>
    </xf>
    <xf numFmtId="0" fontId="14" fillId="6" borderId="19" xfId="0" applyFont="1" applyFill="1" applyBorder="1" applyAlignment="1" applyProtection="1">
      <alignment horizontal="center" vertical="center"/>
      <protection locked="0"/>
    </xf>
    <xf numFmtId="0" fontId="6" fillId="0" borderId="20" xfId="0" applyFont="1" applyBorder="1">
      <alignment vertical="center"/>
    </xf>
    <xf numFmtId="2" fontId="6" fillId="0" borderId="7" xfId="0" applyNumberFormat="1" applyFont="1" applyBorder="1">
      <alignment vertical="center"/>
    </xf>
    <xf numFmtId="2" fontId="6" fillId="0" borderId="21" xfId="0" applyNumberFormat="1" applyFont="1" applyBorder="1">
      <alignment vertical="center"/>
    </xf>
    <xf numFmtId="0" fontId="6" fillId="0" borderId="11" xfId="0" applyFont="1" applyBorder="1">
      <alignment vertical="center"/>
    </xf>
    <xf numFmtId="189" fontId="6" fillId="0" borderId="1" xfId="0" applyNumberFormat="1" applyFont="1" applyBorder="1">
      <alignment vertical="center"/>
    </xf>
    <xf numFmtId="0" fontId="6" fillId="4" borderId="1" xfId="0" applyFont="1" applyFill="1" applyBorder="1">
      <alignment vertical="center"/>
    </xf>
    <xf numFmtId="20" fontId="6" fillId="0" borderId="20" xfId="0" applyNumberFormat="1" applyFont="1" applyBorder="1">
      <alignment vertical="center"/>
    </xf>
    <xf numFmtId="0" fontId="6" fillId="8" borderId="20" xfId="0" applyFont="1" applyFill="1" applyBorder="1">
      <alignment vertical="center"/>
    </xf>
    <xf numFmtId="185" fontId="6" fillId="0" borderId="13" xfId="0" applyNumberFormat="1" applyFont="1" applyBorder="1">
      <alignment vertical="center"/>
    </xf>
    <xf numFmtId="0" fontId="6" fillId="0" borderId="13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20" fontId="16" fillId="0" borderId="1" xfId="0" applyNumberFormat="1" applyFont="1" applyBorder="1">
      <alignment vertical="center"/>
    </xf>
    <xf numFmtId="0" fontId="14" fillId="0" borderId="0" xfId="0" applyFont="1">
      <alignment vertical="center"/>
    </xf>
    <xf numFmtId="0" fontId="14" fillId="11" borderId="24" xfId="0" applyFont="1" applyFill="1" applyBorder="1" applyAlignment="1">
      <alignment horizontal="center" vertical="center"/>
    </xf>
    <xf numFmtId="188" fontId="6" fillId="11" borderId="0" xfId="0" applyNumberFormat="1" applyFont="1" applyFill="1">
      <alignment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>
      <alignment vertical="center"/>
    </xf>
    <xf numFmtId="0" fontId="14" fillId="0" borderId="24" xfId="0" applyFont="1" applyBorder="1" applyAlignment="1">
      <alignment horizontal="center" vertical="center"/>
    </xf>
    <xf numFmtId="189" fontId="6" fillId="0" borderId="0" xfId="0" applyNumberFormat="1" applyFont="1">
      <alignment vertical="center"/>
    </xf>
    <xf numFmtId="182" fontId="6" fillId="0" borderId="0" xfId="3" applyNumberFormat="1" applyFont="1" applyAlignment="1">
      <alignment vertical="center"/>
    </xf>
    <xf numFmtId="0" fontId="0" fillId="0" borderId="0" xfId="0" applyAlignment="1"/>
    <xf numFmtId="0" fontId="17" fillId="11" borderId="25" xfId="0" applyFont="1" applyFill="1" applyBorder="1" applyAlignment="1">
      <alignment horizontal="center" vertical="center" wrapText="1"/>
    </xf>
    <xf numFmtId="0" fontId="17" fillId="11" borderId="26" xfId="0" applyFont="1" applyFill="1" applyBorder="1" applyAlignment="1">
      <alignment horizontal="center" vertical="center" wrapText="1"/>
    </xf>
    <xf numFmtId="0" fontId="17" fillId="11" borderId="27" xfId="0" applyFont="1" applyFill="1" applyBorder="1" applyAlignment="1">
      <alignment horizontal="center" vertical="center" wrapText="1"/>
    </xf>
    <xf numFmtId="0" fontId="17" fillId="11" borderId="28" xfId="0" applyFont="1" applyFill="1" applyBorder="1" applyAlignment="1">
      <alignment horizontal="center" vertical="center" wrapText="1"/>
    </xf>
    <xf numFmtId="0" fontId="17" fillId="11" borderId="29" xfId="0" applyFont="1" applyFill="1" applyBorder="1" applyAlignment="1">
      <alignment horizontal="center" vertical="center" wrapText="1"/>
    </xf>
    <xf numFmtId="0" fontId="17" fillId="11" borderId="30" xfId="0" applyFont="1" applyFill="1" applyBorder="1" applyAlignment="1">
      <alignment horizontal="center" vertical="center" wrapText="1"/>
    </xf>
    <xf numFmtId="0" fontId="18" fillId="0" borderId="0" xfId="0" applyFont="1" applyAlignment="1"/>
    <xf numFmtId="186" fontId="19" fillId="0" borderId="0" xfId="0" applyNumberFormat="1" applyFont="1" applyAlignment="1">
      <alignment horizontal="center" vertical="center"/>
    </xf>
    <xf numFmtId="184" fontId="19" fillId="0" borderId="0" xfId="0" applyNumberFormat="1" applyFont="1" applyAlignment="1"/>
    <xf numFmtId="0" fontId="18" fillId="0" borderId="0" xfId="0" applyFont="1" applyAlignment="1">
      <alignment horizontal="right" vertical="center"/>
    </xf>
    <xf numFmtId="0" fontId="19" fillId="0" borderId="0" xfId="0" applyFont="1" applyAlignment="1"/>
    <xf numFmtId="0" fontId="20" fillId="11" borderId="10" xfId="0" applyFont="1" applyFill="1" applyBorder="1" applyAlignment="1">
      <alignment horizontal="right" vertical="center"/>
    </xf>
    <xf numFmtId="184" fontId="21" fillId="0" borderId="10" xfId="0" applyNumberFormat="1" applyFont="1" applyBorder="1" applyAlignment="1" applyProtection="1">
      <alignment horizontal="center" vertical="center"/>
      <protection locked="0"/>
    </xf>
    <xf numFmtId="0" fontId="20" fillId="11" borderId="31" xfId="0" applyFont="1" applyFill="1" applyBorder="1" applyAlignment="1">
      <alignment horizontal="right" vertical="center"/>
    </xf>
    <xf numFmtId="0" fontId="20" fillId="11" borderId="32" xfId="0" applyFont="1" applyFill="1" applyBorder="1" applyAlignment="1">
      <alignment horizontal="right" vertical="center"/>
    </xf>
    <xf numFmtId="2" fontId="21" fillId="0" borderId="10" xfId="0" applyNumberFormat="1" applyFont="1" applyBorder="1" applyAlignment="1">
      <alignment horizontal="center" vertical="center"/>
    </xf>
    <xf numFmtId="2" fontId="22" fillId="5" borderId="10" xfId="0" applyNumberFormat="1" applyFont="1" applyFill="1" applyBorder="1" applyAlignment="1">
      <alignment horizontal="center" vertical="center"/>
    </xf>
    <xf numFmtId="184" fontId="21" fillId="0" borderId="10" xfId="0" applyNumberFormat="1" applyFont="1" applyBorder="1" applyAlignment="1">
      <alignment horizontal="center" vertical="center"/>
    </xf>
    <xf numFmtId="0" fontId="20" fillId="11" borderId="33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0" fontId="20" fillId="11" borderId="34" xfId="0" applyFont="1" applyFill="1" applyBorder="1" applyAlignment="1">
      <alignment horizontal="center" vertical="center"/>
    </xf>
    <xf numFmtId="0" fontId="21" fillId="0" borderId="35" xfId="0" applyFont="1" applyBorder="1" applyAlignment="1">
      <alignment horizontal="center"/>
    </xf>
    <xf numFmtId="0" fontId="21" fillId="0" borderId="36" xfId="0" applyFont="1" applyBorder="1" applyAlignment="1">
      <alignment horizontal="center"/>
    </xf>
    <xf numFmtId="189" fontId="21" fillId="0" borderId="37" xfId="0" applyNumberFormat="1" applyFont="1" applyBorder="1" applyAlignment="1">
      <alignment horizontal="center"/>
    </xf>
    <xf numFmtId="2" fontId="21" fillId="0" borderId="38" xfId="0" applyNumberFormat="1" applyFont="1" applyBorder="1" applyAlignment="1">
      <alignment horizontal="center"/>
    </xf>
    <xf numFmtId="182" fontId="21" fillId="0" borderId="39" xfId="0" applyNumberFormat="1" applyFont="1" applyBorder="1" applyAlignment="1">
      <alignment horizontal="center"/>
    </xf>
    <xf numFmtId="189" fontId="21" fillId="0" borderId="40" xfId="0" applyNumberFormat="1" applyFont="1" applyBorder="1" applyAlignment="1">
      <alignment horizontal="center"/>
    </xf>
    <xf numFmtId="0" fontId="21" fillId="0" borderId="41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2" fontId="21" fillId="0" borderId="43" xfId="0" applyNumberFormat="1" applyFont="1" applyBorder="1" applyAlignment="1">
      <alignment horizontal="center"/>
    </xf>
    <xf numFmtId="2" fontId="21" fillId="0" borderId="24" xfId="0" applyNumberFormat="1" applyFont="1" applyBorder="1" applyAlignment="1">
      <alignment horizontal="center"/>
    </xf>
    <xf numFmtId="182" fontId="21" fillId="0" borderId="44" xfId="0" applyNumberFormat="1" applyFont="1" applyBorder="1" applyAlignment="1">
      <alignment horizontal="center"/>
    </xf>
    <xf numFmtId="2" fontId="21" fillId="0" borderId="45" xfId="0" applyNumberFormat="1" applyFont="1" applyBorder="1" applyAlignment="1">
      <alignment horizontal="center"/>
    </xf>
    <xf numFmtId="182" fontId="21" fillId="0" borderId="43" xfId="0" applyNumberFormat="1" applyFont="1" applyBorder="1" applyAlignment="1">
      <alignment horizontal="center"/>
    </xf>
    <xf numFmtId="182" fontId="21" fillId="0" borderId="45" xfId="0" applyNumberFormat="1" applyFont="1" applyBorder="1" applyAlignment="1">
      <alignment horizontal="center"/>
    </xf>
    <xf numFmtId="182" fontId="21" fillId="0" borderId="24" xfId="0" applyNumberFormat="1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2" fontId="21" fillId="0" borderId="48" xfId="0" applyNumberFormat="1" applyFont="1" applyBorder="1" applyAlignment="1">
      <alignment horizontal="center"/>
    </xf>
    <xf numFmtId="2" fontId="21" fillId="0" borderId="49" xfId="0" applyNumberFormat="1" applyFont="1" applyBorder="1" applyAlignment="1">
      <alignment horizontal="center"/>
    </xf>
    <xf numFmtId="182" fontId="21" fillId="0" borderId="50" xfId="0" applyNumberFormat="1" applyFont="1" applyBorder="1" applyAlignment="1">
      <alignment horizontal="center"/>
    </xf>
    <xf numFmtId="2" fontId="21" fillId="0" borderId="51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3" fillId="0" borderId="16" xfId="0" applyFont="1" applyBorder="1" applyAlignment="1"/>
    <xf numFmtId="186" fontId="23" fillId="0" borderId="52" xfId="0" applyNumberFormat="1" applyFont="1" applyBorder="1" applyAlignment="1"/>
    <xf numFmtId="0" fontId="23" fillId="0" borderId="52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/>
    </xf>
    <xf numFmtId="0" fontId="23" fillId="0" borderId="53" xfId="0" applyFont="1" applyBorder="1" applyAlignment="1"/>
    <xf numFmtId="2" fontId="6" fillId="0" borderId="1" xfId="0" applyNumberFormat="1" applyFont="1" applyBorder="1" applyAlignment="1">
      <alignment horizontal="center" vertical="center"/>
    </xf>
    <xf numFmtId="182" fontId="6" fillId="0" borderId="1" xfId="3" applyNumberFormat="1" applyFont="1" applyBorder="1" applyAlignment="1">
      <alignment horizontal="center" vertical="center"/>
    </xf>
    <xf numFmtId="0" fontId="6" fillId="0" borderId="12" xfId="0" applyFont="1" applyBorder="1">
      <alignment vertical="center"/>
    </xf>
    <xf numFmtId="188" fontId="0" fillId="0" borderId="10" xfId="0" applyNumberForma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M367"/>
  <sheetViews>
    <sheetView workbookViewId="0">
      <pane xSplit="2" ySplit="1" topLeftCell="C344" activePane="bottomRight" state="frozen"/>
      <selection/>
      <selection pane="topRight"/>
      <selection pane="bottomLeft"/>
      <selection pane="bottomRight" activeCell="C381" sqref="C381"/>
    </sheetView>
  </sheetViews>
  <sheetFormatPr defaultColWidth="8.75" defaultRowHeight="15"/>
  <cols>
    <col min="1" max="1" width="10.375" style="56" customWidth="1"/>
    <col min="2" max="2" width="8.875" style="56" customWidth="1"/>
    <col min="3" max="3" width="8.75" style="56"/>
    <col min="4" max="4" width="6.75" style="56" customWidth="1"/>
    <col min="5" max="5" width="9.125" style="56" customWidth="1"/>
    <col min="6" max="7" width="8.75" style="56"/>
    <col min="8" max="8" width="10.75" style="56" customWidth="1"/>
    <col min="9" max="12" width="8.75" style="56"/>
    <col min="13" max="13" width="12.375" style="56" customWidth="1"/>
    <col min="14" max="16384" width="8.75" style="56"/>
  </cols>
  <sheetData>
    <row r="1" spans="1:13">
      <c r="A1" s="186" t="s">
        <v>0</v>
      </c>
      <c r="B1" s="187" t="s">
        <v>1</v>
      </c>
      <c r="C1" s="188" t="s">
        <v>2</v>
      </c>
      <c r="D1" s="188" t="s">
        <v>2</v>
      </c>
      <c r="E1" s="189" t="s">
        <v>3</v>
      </c>
      <c r="F1" s="189" t="s">
        <v>4</v>
      </c>
      <c r="G1" s="189" t="s">
        <v>5</v>
      </c>
      <c r="H1" s="189" t="s">
        <v>6</v>
      </c>
      <c r="I1" s="189" t="s">
        <v>7</v>
      </c>
      <c r="J1" s="189" t="s">
        <v>8</v>
      </c>
      <c r="K1" s="189" t="s">
        <v>9</v>
      </c>
      <c r="L1" s="189" t="s">
        <v>10</v>
      </c>
      <c r="M1" s="190" t="s">
        <v>11</v>
      </c>
    </row>
    <row r="2" spans="1:13">
      <c r="A2" s="124" t="s">
        <v>12</v>
      </c>
      <c r="B2" s="29">
        <v>45747</v>
      </c>
      <c r="C2" s="52"/>
      <c r="D2" s="52"/>
      <c r="E2" s="191"/>
      <c r="F2" s="191"/>
      <c r="G2" s="191"/>
      <c r="H2" s="191"/>
      <c r="I2" s="192"/>
      <c r="J2" s="192"/>
      <c r="K2" s="191"/>
      <c r="L2" s="191"/>
      <c r="M2" s="121">
        <v>2411</v>
      </c>
    </row>
    <row r="3" spans="1:13">
      <c r="A3" s="124" t="s">
        <v>12</v>
      </c>
      <c r="B3" s="29">
        <v>45748</v>
      </c>
      <c r="C3" s="52"/>
      <c r="D3" s="52"/>
      <c r="E3" s="191">
        <v>13793.6558</v>
      </c>
      <c r="F3" s="191">
        <v>6.91332</v>
      </c>
      <c r="G3" s="191">
        <v>6.706944</v>
      </c>
      <c r="H3" s="191">
        <v>27.415</v>
      </c>
      <c r="I3" s="192">
        <v>0.827552422842502</v>
      </c>
      <c r="J3" s="192">
        <v>0.238380613161897</v>
      </c>
      <c r="K3" s="191">
        <v>21.811375</v>
      </c>
      <c r="L3" s="191">
        <v>21.811375</v>
      </c>
      <c r="M3" s="121">
        <v>2411</v>
      </c>
    </row>
    <row r="4" spans="1:13">
      <c r="A4" s="124" t="s">
        <v>12</v>
      </c>
      <c r="B4" s="29">
        <v>45749</v>
      </c>
      <c r="C4" s="52"/>
      <c r="D4" s="52"/>
      <c r="E4" s="191">
        <v>14382.2968</v>
      </c>
      <c r="F4" s="191">
        <v>7.241431</v>
      </c>
      <c r="G4" s="191">
        <v>7.024582</v>
      </c>
      <c r="H4" s="191">
        <v>26.8775</v>
      </c>
      <c r="I4" s="192">
        <v>0.823771266649536</v>
      </c>
      <c r="J4" s="192">
        <v>0.248553449467717</v>
      </c>
      <c r="K4" s="191">
        <v>22.1522916666667</v>
      </c>
      <c r="L4" s="191">
        <v>22.1522916666667</v>
      </c>
      <c r="M4" s="121">
        <v>2411</v>
      </c>
    </row>
    <row r="5" spans="1:13">
      <c r="A5" s="124" t="s">
        <v>12</v>
      </c>
      <c r="B5" s="29">
        <v>45750</v>
      </c>
      <c r="C5" s="52"/>
      <c r="D5" s="52"/>
      <c r="E5" s="191">
        <v>15006.0398</v>
      </c>
      <c r="F5" s="191">
        <v>7.635258</v>
      </c>
      <c r="G5" s="191">
        <v>7.41063</v>
      </c>
      <c r="H5" s="191">
        <v>28.30125</v>
      </c>
      <c r="I5" s="192">
        <v>0.815164328785103</v>
      </c>
      <c r="J5" s="192">
        <v>0.259332915111295</v>
      </c>
      <c r="K5" s="191">
        <v>23.3974166666667</v>
      </c>
      <c r="L5" s="191">
        <v>23.3974166666667</v>
      </c>
      <c r="M5" s="121">
        <v>2411</v>
      </c>
    </row>
    <row r="6" spans="1:13">
      <c r="A6" s="124" t="s">
        <v>12</v>
      </c>
      <c r="B6" s="29">
        <v>45751</v>
      </c>
      <c r="C6" s="52"/>
      <c r="D6" s="52"/>
      <c r="E6" s="191">
        <v>15318.7078</v>
      </c>
      <c r="F6" s="191">
        <v>7.804122</v>
      </c>
      <c r="G6" s="191">
        <v>7.577929</v>
      </c>
      <c r="H6" s="191">
        <v>28.33</v>
      </c>
      <c r="I6" s="192">
        <v>0.814143334924819</v>
      </c>
      <c r="J6" s="192">
        <v>0.26473641296834</v>
      </c>
      <c r="K6" s="191">
        <v>23.4143333333333</v>
      </c>
      <c r="L6" s="191">
        <v>23.4143333333333</v>
      </c>
      <c r="M6" s="121">
        <v>2411</v>
      </c>
    </row>
    <row r="7" spans="1:13">
      <c r="A7" s="124" t="s">
        <v>12</v>
      </c>
      <c r="B7" s="29">
        <v>45752</v>
      </c>
      <c r="C7" s="52"/>
      <c r="D7" s="52"/>
      <c r="E7" s="191">
        <v>11372.5908</v>
      </c>
      <c r="F7" s="191">
        <v>5.715388</v>
      </c>
      <c r="G7" s="191">
        <v>5.502656</v>
      </c>
      <c r="H7" s="191">
        <v>31.0829166666667</v>
      </c>
      <c r="I7" s="192">
        <v>0.825308815349676</v>
      </c>
      <c r="J7" s="192">
        <v>0.196540004147656</v>
      </c>
      <c r="K7" s="191">
        <v>22.6300833333333</v>
      </c>
      <c r="L7" s="191">
        <v>22.6300833333333</v>
      </c>
      <c r="M7" s="121">
        <v>2411</v>
      </c>
    </row>
    <row r="8" spans="1:13">
      <c r="A8" s="124" t="s">
        <v>12</v>
      </c>
      <c r="B8" s="29">
        <v>45753</v>
      </c>
      <c r="C8" s="52"/>
      <c r="D8" s="52"/>
      <c r="E8" s="191">
        <v>7534.1062</v>
      </c>
      <c r="F8" s="191">
        <v>3.734185</v>
      </c>
      <c r="G8" s="191">
        <v>3.585435</v>
      </c>
      <c r="H8" s="191">
        <v>30.53375</v>
      </c>
      <c r="I8" s="192">
        <v>0.836832805817412</v>
      </c>
      <c r="J8" s="192">
        <v>0.13020368795797</v>
      </c>
      <c r="K8" s="191">
        <v>18.4287916666667</v>
      </c>
      <c r="L8" s="191">
        <v>18.4287916666667</v>
      </c>
      <c r="M8" s="121">
        <v>2411</v>
      </c>
    </row>
    <row r="9" spans="1:13">
      <c r="A9" s="124" t="s">
        <v>12</v>
      </c>
      <c r="B9" s="29">
        <v>45754</v>
      </c>
      <c r="C9" s="52"/>
      <c r="D9" s="52"/>
      <c r="E9" s="191">
        <v>12437.2478</v>
      </c>
      <c r="F9" s="191">
        <v>6.305604</v>
      </c>
      <c r="G9" s="191">
        <v>6.098628</v>
      </c>
      <c r="H9" s="191">
        <v>31.335</v>
      </c>
      <c r="I9" s="192">
        <v>0.818088681125244</v>
      </c>
      <c r="J9" s="192">
        <v>0.214939302502419</v>
      </c>
      <c r="K9" s="191">
        <v>23.4644166666667</v>
      </c>
      <c r="L9" s="191">
        <v>23.4644166666667</v>
      </c>
      <c r="M9" s="121">
        <v>2411</v>
      </c>
    </row>
    <row r="10" spans="1:13">
      <c r="A10" s="124" t="s">
        <v>12</v>
      </c>
      <c r="B10" s="29">
        <v>45755</v>
      </c>
      <c r="C10" s="52"/>
      <c r="D10" s="52"/>
      <c r="E10" s="191">
        <v>13584.7168</v>
      </c>
      <c r="F10" s="191">
        <v>6.904297</v>
      </c>
      <c r="G10" s="191">
        <v>6.68637</v>
      </c>
      <c r="H10" s="191">
        <v>30.85375</v>
      </c>
      <c r="I10" s="192">
        <v>0.816082215784356</v>
      </c>
      <c r="J10" s="192">
        <v>0.234769749758053</v>
      </c>
      <c r="K10" s="191">
        <v>23.7945416666667</v>
      </c>
      <c r="L10" s="191">
        <v>23.7945416666667</v>
      </c>
      <c r="M10" s="121">
        <v>2411</v>
      </c>
    </row>
    <row r="11" spans="1:13">
      <c r="A11" s="124" t="s">
        <v>12</v>
      </c>
      <c r="B11" s="29">
        <v>45756</v>
      </c>
      <c r="C11" s="52"/>
      <c r="D11" s="52"/>
      <c r="E11" s="191">
        <v>14586.5568</v>
      </c>
      <c r="F11" s="191">
        <v>7.448638</v>
      </c>
      <c r="G11" s="191">
        <v>7.214318</v>
      </c>
      <c r="H11" s="191">
        <v>30.1658333333333</v>
      </c>
      <c r="I11" s="192">
        <v>0.812229406289642</v>
      </c>
      <c r="J11" s="192">
        <v>0.25208345085027</v>
      </c>
      <c r="K11" s="191">
        <v>24.0407916666667</v>
      </c>
      <c r="L11" s="191">
        <v>24.0407916666667</v>
      </c>
      <c r="M11" s="121">
        <v>2411</v>
      </c>
    </row>
    <row r="12" spans="1:13">
      <c r="A12" s="124" t="s">
        <v>12</v>
      </c>
      <c r="B12" s="29">
        <v>45757</v>
      </c>
      <c r="C12" s="52"/>
      <c r="D12" s="52"/>
      <c r="E12" s="191">
        <v>13848.1038</v>
      </c>
      <c r="F12" s="191">
        <v>7.092072</v>
      </c>
      <c r="G12" s="191">
        <v>6.869304</v>
      </c>
      <c r="H12" s="191">
        <v>31.8591666666667</v>
      </c>
      <c r="I12" s="192">
        <v>0.809878675286973</v>
      </c>
      <c r="J12" s="192">
        <v>0.239321578183326</v>
      </c>
      <c r="K12" s="191">
        <v>24.6441666666667</v>
      </c>
      <c r="L12" s="191">
        <v>24.6441666666667</v>
      </c>
      <c r="M12" s="121">
        <v>2411</v>
      </c>
    </row>
    <row r="13" spans="1:13">
      <c r="A13" s="124" t="s">
        <v>12</v>
      </c>
      <c r="B13" s="29">
        <v>45758</v>
      </c>
      <c r="C13" s="52"/>
      <c r="D13" s="52"/>
      <c r="E13" s="191">
        <v>14722.1988</v>
      </c>
      <c r="F13" s="191">
        <v>7.611885</v>
      </c>
      <c r="G13" s="191">
        <v>7.374694</v>
      </c>
      <c r="H13" s="191">
        <v>32.3929166666667</v>
      </c>
      <c r="I13" s="192">
        <v>0.802201092595067</v>
      </c>
      <c r="J13" s="192">
        <v>0.2544276026545</v>
      </c>
      <c r="K13" s="191">
        <v>25.6220833333333</v>
      </c>
      <c r="L13" s="191">
        <v>25.6220833333333</v>
      </c>
      <c r="M13" s="121">
        <v>2411</v>
      </c>
    </row>
    <row r="14" spans="1:13">
      <c r="A14" s="124" t="s">
        <v>12</v>
      </c>
      <c r="B14" s="29">
        <v>45759</v>
      </c>
      <c r="C14" s="52"/>
      <c r="D14" s="52"/>
      <c r="E14" s="191">
        <v>14667.7948</v>
      </c>
      <c r="F14" s="191">
        <v>7.477686</v>
      </c>
      <c r="G14" s="191">
        <v>7.244865</v>
      </c>
      <c r="H14" s="191">
        <v>29.71</v>
      </c>
      <c r="I14" s="192">
        <v>0.813580237640711</v>
      </c>
      <c r="J14" s="192">
        <v>0.253487398036776</v>
      </c>
      <c r="K14" s="191">
        <v>23.8664166666667</v>
      </c>
      <c r="L14" s="191">
        <v>23.8664166666667</v>
      </c>
      <c r="M14" s="121">
        <v>2411</v>
      </c>
    </row>
    <row r="15" spans="1:13">
      <c r="A15" s="124" t="s">
        <v>12</v>
      </c>
      <c r="B15" s="29">
        <v>45760</v>
      </c>
      <c r="C15" s="52"/>
      <c r="D15" s="52"/>
      <c r="E15" s="191">
        <v>14035.4948</v>
      </c>
      <c r="F15" s="191">
        <v>7.11035</v>
      </c>
      <c r="G15" s="191">
        <v>6.885033</v>
      </c>
      <c r="H15" s="191">
        <v>29.25</v>
      </c>
      <c r="I15" s="192">
        <v>0.818727802106274</v>
      </c>
      <c r="J15" s="192">
        <v>0.242560051154431</v>
      </c>
      <c r="K15" s="191">
        <v>23.2849583333333</v>
      </c>
      <c r="L15" s="191">
        <v>23.2849583333333</v>
      </c>
      <c r="M15" s="121">
        <v>2411</v>
      </c>
    </row>
    <row r="16" spans="1:13">
      <c r="A16" s="124" t="s">
        <v>12</v>
      </c>
      <c r="B16" s="29">
        <v>45761</v>
      </c>
      <c r="C16" s="52"/>
      <c r="D16" s="52"/>
      <c r="E16" s="191">
        <v>13582.0538</v>
      </c>
      <c r="F16" s="191">
        <v>6.852106</v>
      </c>
      <c r="G16" s="191">
        <v>6.63594</v>
      </c>
      <c r="H16" s="191">
        <v>28.78875</v>
      </c>
      <c r="I16" s="192">
        <v>0.822136942021565</v>
      </c>
      <c r="J16" s="192">
        <v>0.234723728051984</v>
      </c>
      <c r="K16" s="191">
        <v>22.667375</v>
      </c>
      <c r="L16" s="191">
        <v>22.667375</v>
      </c>
      <c r="M16" s="121">
        <v>2411</v>
      </c>
    </row>
    <row r="17" spans="1:13">
      <c r="A17" s="124" t="s">
        <v>12</v>
      </c>
      <c r="B17" s="29">
        <v>45762</v>
      </c>
      <c r="C17" s="52"/>
      <c r="D17" s="52"/>
      <c r="E17" s="191">
        <v>14254.6868</v>
      </c>
      <c r="F17" s="191">
        <v>7.246437</v>
      </c>
      <c r="G17" s="191">
        <v>7.021098</v>
      </c>
      <c r="H17" s="191">
        <v>29.4729166666667</v>
      </c>
      <c r="I17" s="192">
        <v>0.815898149902352</v>
      </c>
      <c r="J17" s="192">
        <v>0.246348105903498</v>
      </c>
      <c r="K17" s="191">
        <v>23.5862916666667</v>
      </c>
      <c r="L17" s="191">
        <v>23.5862916666667</v>
      </c>
      <c r="M17" s="121">
        <v>2411</v>
      </c>
    </row>
    <row r="18" spans="1:13">
      <c r="A18" s="124" t="s">
        <v>12</v>
      </c>
      <c r="B18" s="29">
        <v>45763</v>
      </c>
      <c r="C18" s="52"/>
      <c r="D18" s="52"/>
      <c r="E18" s="191">
        <v>12962.2968</v>
      </c>
      <c r="F18" s="191">
        <v>6.508554</v>
      </c>
      <c r="G18" s="191">
        <v>6.29262</v>
      </c>
      <c r="H18" s="191">
        <v>29.1441666666667</v>
      </c>
      <c r="I18" s="192">
        <v>0.826038403263175</v>
      </c>
      <c r="J18" s="192">
        <v>0.22401314807134</v>
      </c>
      <c r="K18" s="191">
        <v>22.4671666666667</v>
      </c>
      <c r="L18" s="191">
        <v>22.4671666666667</v>
      </c>
      <c r="M18" s="121">
        <v>2411</v>
      </c>
    </row>
    <row r="19" spans="1:13">
      <c r="A19" s="124" t="s">
        <v>12</v>
      </c>
      <c r="B19" s="29">
        <v>45764</v>
      </c>
      <c r="C19" s="52"/>
      <c r="D19" s="52"/>
      <c r="E19" s="191">
        <v>14372.2758</v>
      </c>
      <c r="F19" s="191">
        <v>7.254376</v>
      </c>
      <c r="G19" s="191">
        <v>7.028807</v>
      </c>
      <c r="H19" s="191">
        <v>27.8683333333333</v>
      </c>
      <c r="I19" s="192">
        <v>0.821728349974191</v>
      </c>
      <c r="J19" s="192">
        <v>0.248380267523849</v>
      </c>
      <c r="K19" s="191">
        <v>22.6703333333333</v>
      </c>
      <c r="L19" s="191">
        <v>22.6703333333333</v>
      </c>
      <c r="M19" s="121">
        <v>2411</v>
      </c>
    </row>
    <row r="20" spans="1:13">
      <c r="A20" s="124" t="s">
        <v>12</v>
      </c>
      <c r="B20" s="29">
        <v>45765</v>
      </c>
      <c r="C20" s="52"/>
      <c r="D20" s="52"/>
      <c r="E20" s="191">
        <v>13464.9048</v>
      </c>
      <c r="F20" s="191">
        <v>6.770827</v>
      </c>
      <c r="G20" s="191">
        <v>6.553209</v>
      </c>
      <c r="H20" s="191">
        <v>28.4433333333333</v>
      </c>
      <c r="I20" s="192">
        <v>0.824829831163674</v>
      </c>
      <c r="J20" s="192">
        <v>0.232699170468685</v>
      </c>
      <c r="K20" s="191">
        <v>22.514375</v>
      </c>
      <c r="L20" s="191">
        <v>22.514375</v>
      </c>
      <c r="M20" s="121">
        <v>2411</v>
      </c>
    </row>
    <row r="21" spans="1:13">
      <c r="A21" s="124" t="s">
        <v>12</v>
      </c>
      <c r="B21" s="29">
        <v>45766</v>
      </c>
      <c r="C21" s="52"/>
      <c r="D21" s="52"/>
      <c r="E21" s="191">
        <v>14008.1408</v>
      </c>
      <c r="F21" s="191">
        <v>7.033649</v>
      </c>
      <c r="G21" s="191">
        <v>6.814281</v>
      </c>
      <c r="H21" s="191">
        <v>27.2929166666667</v>
      </c>
      <c r="I21" s="192">
        <v>0.826042887257202</v>
      </c>
      <c r="J21" s="192">
        <v>0.242087321996405</v>
      </c>
      <c r="K21" s="191">
        <v>22.1255416666667</v>
      </c>
      <c r="L21" s="191">
        <v>22.1255416666667</v>
      </c>
      <c r="M21" s="121">
        <v>2411</v>
      </c>
    </row>
    <row r="22" spans="1:13">
      <c r="A22" s="124" t="s">
        <v>12</v>
      </c>
      <c r="B22" s="29">
        <v>45767</v>
      </c>
      <c r="C22" s="52"/>
      <c r="D22" s="52"/>
      <c r="E22" s="191">
        <v>13539.5058</v>
      </c>
      <c r="F22" s="191">
        <v>6.809525</v>
      </c>
      <c r="G22" s="191">
        <v>6.593342</v>
      </c>
      <c r="H22" s="191">
        <v>28.1466666666667</v>
      </c>
      <c r="I22" s="192">
        <v>0.824686306909278</v>
      </c>
      <c r="J22" s="192">
        <v>0.233988417669017</v>
      </c>
      <c r="K22" s="191">
        <v>22.4405416666667</v>
      </c>
      <c r="L22" s="191">
        <v>22.4405416666667</v>
      </c>
      <c r="M22" s="121">
        <v>2411</v>
      </c>
    </row>
    <row r="23" spans="1:13">
      <c r="A23" s="124" t="s">
        <v>12</v>
      </c>
      <c r="B23" s="29">
        <v>45768</v>
      </c>
      <c r="C23" s="52"/>
      <c r="D23" s="52"/>
      <c r="E23" s="191">
        <v>13218.1368</v>
      </c>
      <c r="F23" s="191">
        <v>6.620889</v>
      </c>
      <c r="G23" s="191">
        <v>6.407475</v>
      </c>
      <c r="H23" s="191">
        <v>27.7816666666667</v>
      </c>
      <c r="I23" s="192">
        <v>0.828050311597473</v>
      </c>
      <c r="J23" s="192">
        <v>0.228434549979262</v>
      </c>
      <c r="K23" s="191">
        <v>21.897125</v>
      </c>
      <c r="L23" s="191">
        <v>21.897125</v>
      </c>
      <c r="M23" s="121">
        <v>2411</v>
      </c>
    </row>
    <row r="24" spans="1:13">
      <c r="A24" s="124" t="s">
        <v>12</v>
      </c>
      <c r="B24" s="29">
        <v>45769</v>
      </c>
      <c r="C24" s="52"/>
      <c r="D24" s="52"/>
      <c r="E24" s="191">
        <v>13575.8268</v>
      </c>
      <c r="F24" s="191">
        <v>6.832515</v>
      </c>
      <c r="G24" s="191">
        <v>6.620542</v>
      </c>
      <c r="H24" s="191">
        <v>28.58875</v>
      </c>
      <c r="I24" s="192">
        <v>0.824116262825469</v>
      </c>
      <c r="J24" s="192">
        <v>0.23461611364579</v>
      </c>
      <c r="K24" s="191">
        <v>22.6219583333333</v>
      </c>
      <c r="L24" s="191">
        <v>22.6219583333333</v>
      </c>
      <c r="M24" s="121">
        <v>2411</v>
      </c>
    </row>
    <row r="25" spans="1:13">
      <c r="A25" s="124" t="s">
        <v>12</v>
      </c>
      <c r="B25" s="29">
        <v>45770</v>
      </c>
      <c r="C25" s="52"/>
      <c r="D25" s="52"/>
      <c r="E25" s="191">
        <v>12663.8148</v>
      </c>
      <c r="F25" s="191">
        <v>6.353261</v>
      </c>
      <c r="G25" s="191">
        <v>6.139357</v>
      </c>
      <c r="H25" s="191">
        <v>28.86375</v>
      </c>
      <c r="I25" s="192">
        <v>0.82674322222226</v>
      </c>
      <c r="J25" s="192">
        <v>0.218854811281626</v>
      </c>
      <c r="K25" s="191">
        <v>22.1889166666667</v>
      </c>
      <c r="L25" s="191">
        <v>22.1889166666667</v>
      </c>
      <c r="M25" s="121">
        <v>2411</v>
      </c>
    </row>
    <row r="26" spans="1:13">
      <c r="A26" s="124" t="s">
        <v>12</v>
      </c>
      <c r="B26" s="29">
        <v>45771</v>
      </c>
      <c r="C26" s="52"/>
      <c r="D26" s="52"/>
      <c r="E26" s="191">
        <v>13355.7878</v>
      </c>
      <c r="F26" s="191">
        <v>6.686876</v>
      </c>
      <c r="G26" s="191">
        <v>6.471096</v>
      </c>
      <c r="H26" s="191">
        <v>27.55</v>
      </c>
      <c r="I26" s="192">
        <v>0.828417052598185</v>
      </c>
      <c r="J26" s="192">
        <v>0.230813421125397</v>
      </c>
      <c r="K26" s="191">
        <v>21.8916666666667</v>
      </c>
      <c r="L26" s="191">
        <v>21.8916666666667</v>
      </c>
      <c r="M26" s="121">
        <v>2411</v>
      </c>
    </row>
    <row r="27" spans="1:13">
      <c r="A27" s="124" t="s">
        <v>12</v>
      </c>
      <c r="B27" s="29">
        <v>45772</v>
      </c>
      <c r="C27" s="52"/>
      <c r="D27" s="52"/>
      <c r="E27" s="191">
        <v>13796.1758</v>
      </c>
      <c r="F27" s="191">
        <v>6.968849</v>
      </c>
      <c r="G27" s="191">
        <v>6.750883</v>
      </c>
      <c r="H27" s="191">
        <v>29.0304166666667</v>
      </c>
      <c r="I27" s="192">
        <v>0.821108324393624</v>
      </c>
      <c r="J27" s="192">
        <v>0.238424163555924</v>
      </c>
      <c r="K27" s="191">
        <v>23.1338333333333</v>
      </c>
      <c r="L27" s="191">
        <v>23.1338333333333</v>
      </c>
      <c r="M27" s="121">
        <v>2411</v>
      </c>
    </row>
    <row r="28" spans="1:13">
      <c r="A28" s="124" t="s">
        <v>12</v>
      </c>
      <c r="B28" s="29">
        <v>45773</v>
      </c>
      <c r="C28" s="52"/>
      <c r="D28" s="52"/>
      <c r="E28" s="191">
        <v>13392.2768</v>
      </c>
      <c r="F28" s="191">
        <v>6.723585</v>
      </c>
      <c r="G28" s="191">
        <v>6.50954</v>
      </c>
      <c r="H28" s="191">
        <v>28.7433333333333</v>
      </c>
      <c r="I28" s="192">
        <v>0.826145053729898</v>
      </c>
      <c r="J28" s="192">
        <v>0.231444020461772</v>
      </c>
      <c r="K28" s="191">
        <v>22.5341666666667</v>
      </c>
      <c r="L28" s="191">
        <v>22.5341666666667</v>
      </c>
      <c r="M28" s="121">
        <v>2411</v>
      </c>
    </row>
    <row r="29" spans="1:13">
      <c r="A29" s="124" t="s">
        <v>12</v>
      </c>
      <c r="B29" s="29">
        <v>45774</v>
      </c>
      <c r="C29" s="52"/>
      <c r="D29" s="52"/>
      <c r="E29" s="191">
        <v>13830.4268</v>
      </c>
      <c r="F29" s="191">
        <v>6.994702</v>
      </c>
      <c r="G29" s="191">
        <v>6.775879</v>
      </c>
      <c r="H29" s="191">
        <v>29.32875</v>
      </c>
      <c r="I29" s="192">
        <v>0.820104425302738</v>
      </c>
      <c r="J29" s="192">
        <v>0.239016085994746</v>
      </c>
      <c r="K29" s="191">
        <v>23.2902083333333</v>
      </c>
      <c r="L29" s="191">
        <v>23.2902083333333</v>
      </c>
      <c r="M29" s="121">
        <v>2411</v>
      </c>
    </row>
    <row r="30" spans="1:13">
      <c r="A30" s="124" t="s">
        <v>12</v>
      </c>
      <c r="B30" s="29">
        <v>45775</v>
      </c>
      <c r="C30" s="52"/>
      <c r="D30" s="52"/>
      <c r="E30" s="191">
        <v>-24.4032</v>
      </c>
      <c r="F30" s="191">
        <v>6.576474</v>
      </c>
      <c r="G30" s="191">
        <v>6.367288</v>
      </c>
      <c r="H30" s="191">
        <v>28.0208333333333</v>
      </c>
      <c r="I30" s="192">
        <v>-0.00153906322609209</v>
      </c>
      <c r="J30" s="192">
        <v>-0.000421733720447947</v>
      </c>
      <c r="K30" s="191">
        <v>21.9645</v>
      </c>
      <c r="L30" s="191">
        <v>21.9645</v>
      </c>
      <c r="M30" s="121">
        <v>2411</v>
      </c>
    </row>
    <row r="31" spans="1:13">
      <c r="A31" s="124" t="s">
        <v>12</v>
      </c>
      <c r="B31" s="29">
        <v>45776</v>
      </c>
      <c r="C31" s="52"/>
      <c r="D31" s="52"/>
      <c r="E31" s="191">
        <v>13653.4868</v>
      </c>
      <c r="F31" s="191">
        <v>6.829542</v>
      </c>
      <c r="G31" s="191">
        <v>6.614141</v>
      </c>
      <c r="H31" s="191">
        <v>26.8720833333333</v>
      </c>
      <c r="I31" s="192">
        <v>0.829191390645657</v>
      </c>
      <c r="J31" s="192">
        <v>0.235958226185538</v>
      </c>
      <c r="K31" s="191">
        <v>21.72975</v>
      </c>
      <c r="L31" s="191">
        <v>21.72975</v>
      </c>
      <c r="M31" s="121">
        <v>2411</v>
      </c>
    </row>
    <row r="32" spans="1:13">
      <c r="A32" s="124" t="s">
        <v>12</v>
      </c>
      <c r="B32" s="29">
        <v>45777</v>
      </c>
      <c r="C32" s="52"/>
      <c r="D32" s="52"/>
      <c r="E32" s="191">
        <v>12991.7568</v>
      </c>
      <c r="F32" s="191">
        <v>6.443036</v>
      </c>
      <c r="G32" s="191">
        <v>6.231504</v>
      </c>
      <c r="H32" s="191">
        <v>26.4558333333333</v>
      </c>
      <c r="I32" s="192">
        <v>0.836334695317434</v>
      </c>
      <c r="J32" s="192">
        <v>0.224522272915802</v>
      </c>
      <c r="K32" s="191">
        <v>21.0197083333333</v>
      </c>
      <c r="L32" s="191">
        <v>21.0197083333333</v>
      </c>
      <c r="M32" s="121">
        <v>2411</v>
      </c>
    </row>
    <row r="33" spans="1:13">
      <c r="A33" s="124" t="s">
        <v>12</v>
      </c>
      <c r="B33" s="29">
        <v>45778</v>
      </c>
      <c r="C33" s="52"/>
      <c r="D33" s="52"/>
      <c r="E33" s="191">
        <v>12975.2868</v>
      </c>
      <c r="F33" s="191">
        <v>6.504772</v>
      </c>
      <c r="G33" s="191">
        <v>6.29574</v>
      </c>
      <c r="H33" s="191">
        <v>28.9004166666667</v>
      </c>
      <c r="I33" s="192">
        <v>0.827346963060631</v>
      </c>
      <c r="J33" s="192">
        <v>0.224237639983409</v>
      </c>
      <c r="K33" s="191">
        <v>22.2837083333333</v>
      </c>
      <c r="L33" s="191">
        <v>22.2837083333333</v>
      </c>
      <c r="M33" s="121">
        <v>2411</v>
      </c>
    </row>
    <row r="34" spans="1:13">
      <c r="A34" s="124" t="s">
        <v>12</v>
      </c>
      <c r="B34" s="29">
        <v>45779</v>
      </c>
      <c r="C34" s="52"/>
      <c r="D34" s="52"/>
      <c r="E34" s="191">
        <v>13374.5768</v>
      </c>
      <c r="F34" s="191">
        <v>6.744852</v>
      </c>
      <c r="G34" s="191">
        <v>6.529994</v>
      </c>
      <c r="H34" s="191">
        <v>29.69375</v>
      </c>
      <c r="I34" s="192">
        <v>0.822451721542073</v>
      </c>
      <c r="J34" s="192">
        <v>0.231138130789437</v>
      </c>
      <c r="K34" s="191">
        <v>22.8495833333333</v>
      </c>
      <c r="L34" s="191">
        <v>22.8495833333333</v>
      </c>
      <c r="M34" s="121">
        <v>2411</v>
      </c>
    </row>
    <row r="35" spans="1:13">
      <c r="A35" s="124" t="s">
        <v>12</v>
      </c>
      <c r="B35" s="29">
        <v>45780</v>
      </c>
      <c r="C35" s="52"/>
      <c r="D35" s="52"/>
      <c r="E35" s="191">
        <v>12560.7878</v>
      </c>
      <c r="F35" s="191">
        <v>6.28557</v>
      </c>
      <c r="G35" s="191">
        <v>6.069728</v>
      </c>
      <c r="H35" s="191">
        <v>29.7691666666667</v>
      </c>
      <c r="I35" s="192">
        <v>0.828848204597785</v>
      </c>
      <c r="J35" s="192">
        <v>0.217074308723904</v>
      </c>
      <c r="K35" s="191">
        <v>22.3882083333333</v>
      </c>
      <c r="L35" s="191">
        <v>22.3882083333333</v>
      </c>
      <c r="M35" s="121">
        <v>2411</v>
      </c>
    </row>
    <row r="36" spans="1:13">
      <c r="A36" s="124" t="s">
        <v>12</v>
      </c>
      <c r="B36" s="29">
        <v>45781</v>
      </c>
      <c r="C36" s="52"/>
      <c r="D36" s="52"/>
      <c r="E36" s="191">
        <v>14720.3168</v>
      </c>
      <c r="F36" s="191">
        <v>7.4880087</v>
      </c>
      <c r="G36" s="191">
        <v>7.256209</v>
      </c>
      <c r="H36" s="191">
        <v>29.62125</v>
      </c>
      <c r="I36" s="192">
        <v>0.815367892767108</v>
      </c>
      <c r="J36" s="192">
        <v>0.254395078114199</v>
      </c>
      <c r="K36" s="191">
        <v>24.7591666666667</v>
      </c>
      <c r="L36" s="191">
        <v>24.7591666666667</v>
      </c>
      <c r="M36" s="121">
        <v>2411</v>
      </c>
    </row>
    <row r="37" spans="1:13">
      <c r="A37" s="124" t="s">
        <v>12</v>
      </c>
      <c r="B37" s="29">
        <v>45782</v>
      </c>
      <c r="C37" s="52"/>
      <c r="D37" s="52"/>
      <c r="E37" s="191">
        <v>13086.0738</v>
      </c>
      <c r="F37" s="191">
        <v>6.6023537</v>
      </c>
      <c r="G37" s="191">
        <v>6.3931802</v>
      </c>
      <c r="H37" s="191">
        <v>30.0466666666667</v>
      </c>
      <c r="I37" s="192">
        <v>0.822078647875014</v>
      </c>
      <c r="J37" s="192">
        <v>0.226152250103691</v>
      </c>
      <c r="K37" s="191">
        <v>23.9972083333333</v>
      </c>
      <c r="L37" s="191">
        <v>23.9972083333333</v>
      </c>
      <c r="M37" s="121">
        <v>2411</v>
      </c>
    </row>
    <row r="38" spans="1:13">
      <c r="A38" s="124" t="s">
        <v>12</v>
      </c>
      <c r="B38" s="29">
        <v>45783</v>
      </c>
      <c r="C38" s="52"/>
      <c r="D38" s="52"/>
      <c r="E38" s="191">
        <v>14108.533</v>
      </c>
      <c r="F38" s="191">
        <v>7.1538056</v>
      </c>
      <c r="G38" s="191">
        <v>6.9307452</v>
      </c>
      <c r="H38" s="191">
        <v>30.1566666666667</v>
      </c>
      <c r="I38" s="192">
        <v>0.817989094468113</v>
      </c>
      <c r="J38" s="192">
        <v>0.243822290197705</v>
      </c>
      <c r="K38" s="191">
        <v>24.7265833333333</v>
      </c>
      <c r="L38" s="191">
        <v>24.7265833333333</v>
      </c>
      <c r="M38" s="121">
        <v>2411</v>
      </c>
    </row>
    <row r="39" spans="1:13">
      <c r="A39" s="124" t="s">
        <v>12</v>
      </c>
      <c r="B39" s="29">
        <v>45784</v>
      </c>
      <c r="C39" s="52"/>
      <c r="D39" s="52"/>
      <c r="E39" s="191">
        <v>13255.2368</v>
      </c>
      <c r="F39" s="191">
        <v>6.646075</v>
      </c>
      <c r="G39" s="191">
        <v>6.4341</v>
      </c>
      <c r="H39" s="191">
        <v>29.1191666666667</v>
      </c>
      <c r="I39" s="192">
        <v>0.827227650213389</v>
      </c>
      <c r="J39" s="192">
        <v>0.229075708557998</v>
      </c>
      <c r="K39" s="191">
        <v>22.427375</v>
      </c>
      <c r="L39" s="191">
        <v>22.427375</v>
      </c>
      <c r="M39" s="121">
        <v>2411</v>
      </c>
    </row>
    <row r="40" spans="1:13">
      <c r="A40" s="124" t="s">
        <v>12</v>
      </c>
      <c r="B40" s="29">
        <v>45785</v>
      </c>
      <c r="C40" s="52"/>
      <c r="D40" s="52"/>
      <c r="E40" s="191">
        <v>11291.4368</v>
      </c>
      <c r="F40" s="191">
        <v>5.593604</v>
      </c>
      <c r="G40" s="191">
        <v>5.387263</v>
      </c>
      <c r="H40" s="191">
        <v>28.485</v>
      </c>
      <c r="I40" s="192">
        <v>0.837259878851422</v>
      </c>
      <c r="J40" s="192">
        <v>0.195137508640951</v>
      </c>
      <c r="K40" s="191">
        <v>20.7655833333333</v>
      </c>
      <c r="L40" s="191">
        <v>20.7655833333333</v>
      </c>
      <c r="M40" s="121">
        <v>2411</v>
      </c>
    </row>
    <row r="41" spans="1:13">
      <c r="A41" s="124" t="s">
        <v>12</v>
      </c>
      <c r="B41" s="29">
        <v>45786</v>
      </c>
      <c r="C41" s="52"/>
      <c r="D41" s="52"/>
      <c r="E41" s="191">
        <v>7718.7284</v>
      </c>
      <c r="F41" s="191">
        <v>3.859915</v>
      </c>
      <c r="G41" s="191">
        <v>3.711793</v>
      </c>
      <c r="H41" s="191">
        <v>28.0995833333333</v>
      </c>
      <c r="I41" s="192">
        <v>0.829412942809773</v>
      </c>
      <c r="J41" s="192">
        <v>0.133394310797733</v>
      </c>
      <c r="K41" s="191">
        <v>19.7954166666667</v>
      </c>
      <c r="L41" s="191">
        <v>19.7954166666667</v>
      </c>
      <c r="M41" s="121">
        <v>2411</v>
      </c>
    </row>
    <row r="42" spans="1:13">
      <c r="A42" s="124" t="s">
        <v>12</v>
      </c>
      <c r="B42" s="29">
        <v>45787</v>
      </c>
      <c r="C42" s="52"/>
      <c r="D42" s="52"/>
      <c r="E42" s="191">
        <v>13077.5994</v>
      </c>
      <c r="F42" s="191">
        <v>6.5294046</v>
      </c>
      <c r="G42" s="191">
        <v>6.3186376</v>
      </c>
      <c r="H42" s="191">
        <v>28.0370833333333</v>
      </c>
      <c r="I42" s="192">
        <v>0.830724919757843</v>
      </c>
      <c r="J42" s="192">
        <v>0.226005796350062</v>
      </c>
      <c r="K42" s="191">
        <v>22.7757083333333</v>
      </c>
      <c r="L42" s="191">
        <v>22.7757083333333</v>
      </c>
      <c r="M42" s="121">
        <v>2411</v>
      </c>
    </row>
    <row r="43" spans="1:13">
      <c r="A43" s="124" t="s">
        <v>12</v>
      </c>
      <c r="B43" s="29">
        <v>45788</v>
      </c>
      <c r="C43" s="52"/>
      <c r="D43" s="52"/>
      <c r="E43" s="191">
        <v>13350.8407</v>
      </c>
      <c r="F43" s="191">
        <v>6.6865857</v>
      </c>
      <c r="G43" s="191">
        <v>6.4718988</v>
      </c>
      <c r="H43" s="191">
        <v>28.6029166666667</v>
      </c>
      <c r="I43" s="192">
        <v>0.828146152351834</v>
      </c>
      <c r="J43" s="192">
        <v>0.230727925826075</v>
      </c>
      <c r="K43" s="191">
        <v>23.3087916666667</v>
      </c>
      <c r="L43" s="191">
        <v>23.3087916666667</v>
      </c>
      <c r="M43" s="121">
        <v>2411</v>
      </c>
    </row>
    <row r="44" spans="1:13">
      <c r="A44" s="124" t="s">
        <v>12</v>
      </c>
      <c r="B44" s="29">
        <v>45789</v>
      </c>
      <c r="C44" s="52"/>
      <c r="D44" s="52"/>
      <c r="E44" s="191">
        <v>13832.8634</v>
      </c>
      <c r="F44" s="191">
        <v>6.9118698</v>
      </c>
      <c r="G44" s="191">
        <v>6.6945246</v>
      </c>
      <c r="H44" s="191">
        <v>27.3604166666667</v>
      </c>
      <c r="I44" s="192">
        <v>0.830078813387766</v>
      </c>
      <c r="J44" s="192">
        <v>0.239058195078114</v>
      </c>
      <c r="K44" s="191">
        <v>22.7757083333333</v>
      </c>
      <c r="L44" s="191">
        <v>22.7757083333333</v>
      </c>
      <c r="M44" s="121">
        <v>2411</v>
      </c>
    </row>
    <row r="45" spans="1:13">
      <c r="A45" s="124" t="s">
        <v>12</v>
      </c>
      <c r="B45" s="29">
        <v>45790</v>
      </c>
      <c r="C45" s="52"/>
      <c r="D45" s="52"/>
      <c r="E45" s="191">
        <v>13560.9641</v>
      </c>
      <c r="F45" s="191">
        <v>6.8009758</v>
      </c>
      <c r="G45" s="191">
        <v>6.5868374</v>
      </c>
      <c r="H45" s="191">
        <v>28.3029166666667</v>
      </c>
      <c r="I45" s="192">
        <v>0.827031643012561</v>
      </c>
      <c r="J45" s="192">
        <v>0.234359257915111</v>
      </c>
      <c r="K45" s="191">
        <v>23.3556666666667</v>
      </c>
      <c r="L45" s="191">
        <v>23.3556666666667</v>
      </c>
      <c r="M45" s="121">
        <v>2411</v>
      </c>
    </row>
    <row r="46" spans="1:13">
      <c r="A46" s="124" t="s">
        <v>12</v>
      </c>
      <c r="B46" s="29">
        <v>45791</v>
      </c>
      <c r="C46" s="52"/>
      <c r="D46" s="52"/>
      <c r="E46" s="191">
        <v>14094.6474</v>
      </c>
      <c r="F46" s="191">
        <v>7.0751584</v>
      </c>
      <c r="G46" s="191">
        <v>6.8548056</v>
      </c>
      <c r="H46" s="191">
        <v>27.7079166666667</v>
      </c>
      <c r="I46" s="192">
        <v>0.826267818220504</v>
      </c>
      <c r="J46" s="192">
        <v>0.243582320613853</v>
      </c>
      <c r="K46" s="191">
        <v>23.1705416666667</v>
      </c>
      <c r="L46" s="191">
        <v>23.1705416666667</v>
      </c>
      <c r="M46" s="121">
        <v>2411</v>
      </c>
    </row>
    <row r="47" spans="1:13">
      <c r="A47" s="124" t="s">
        <v>12</v>
      </c>
      <c r="B47" s="29">
        <v>45792</v>
      </c>
      <c r="C47" s="52"/>
      <c r="D47" s="52"/>
      <c r="E47" s="191">
        <v>12826.9764</v>
      </c>
      <c r="F47" s="191">
        <v>6.4248972</v>
      </c>
      <c r="G47" s="191">
        <v>6.2143789</v>
      </c>
      <c r="H47" s="191">
        <v>29.2175</v>
      </c>
      <c r="I47" s="192">
        <v>0.828058276021294</v>
      </c>
      <c r="J47" s="192">
        <v>0.221674554126918</v>
      </c>
      <c r="K47" s="191">
        <v>23.4012083333333</v>
      </c>
      <c r="L47" s="191">
        <v>23.4012083333333</v>
      </c>
      <c r="M47" s="121">
        <v>2411</v>
      </c>
    </row>
    <row r="48" spans="1:13">
      <c r="A48" s="124" t="s">
        <v>12</v>
      </c>
      <c r="B48" s="29">
        <v>45793</v>
      </c>
      <c r="C48" s="52"/>
      <c r="D48" s="52"/>
      <c r="E48" s="191">
        <v>11139.4414</v>
      </c>
      <c r="F48" s="191">
        <v>5.562374</v>
      </c>
      <c r="G48" s="191">
        <v>5.357761</v>
      </c>
      <c r="H48" s="191">
        <v>28.7920833333333</v>
      </c>
      <c r="I48" s="192">
        <v>0.830626947303347</v>
      </c>
      <c r="J48" s="192">
        <v>0.192510738974146</v>
      </c>
      <c r="K48" s="191">
        <v>21.8810833333333</v>
      </c>
      <c r="L48" s="191">
        <v>21.8810833333333</v>
      </c>
      <c r="M48" s="121">
        <v>2411</v>
      </c>
    </row>
    <row r="49" spans="1:13">
      <c r="A49" s="124" t="s">
        <v>12</v>
      </c>
      <c r="B49" s="29">
        <v>45794</v>
      </c>
      <c r="C49" s="52"/>
      <c r="D49" s="52"/>
      <c r="E49" s="191">
        <v>10222.9884</v>
      </c>
      <c r="F49" s="191">
        <v>5.0497728</v>
      </c>
      <c r="G49" s="191">
        <v>4.8556541</v>
      </c>
      <c r="H49" s="191">
        <v>28.6825</v>
      </c>
      <c r="I49" s="192">
        <v>0.839670351972081</v>
      </c>
      <c r="J49" s="192">
        <v>0.17667268768146</v>
      </c>
      <c r="K49" s="191">
        <v>21.3997083333333</v>
      </c>
      <c r="L49" s="191">
        <v>21.3997083333333</v>
      </c>
      <c r="M49" s="121">
        <v>2411</v>
      </c>
    </row>
    <row r="50" spans="1:13">
      <c r="A50" s="124" t="s">
        <v>12</v>
      </c>
      <c r="B50" s="29">
        <v>45795</v>
      </c>
      <c r="C50" s="52"/>
      <c r="D50" s="52"/>
      <c r="E50" s="191">
        <v>12537.9084</v>
      </c>
      <c r="F50" s="191">
        <v>6.2517464</v>
      </c>
      <c r="G50" s="191">
        <v>6.039705</v>
      </c>
      <c r="H50" s="191">
        <v>28.39375</v>
      </c>
      <c r="I50" s="192">
        <v>0.831814582240844</v>
      </c>
      <c r="J50" s="192">
        <v>0.216678909166321</v>
      </c>
      <c r="K50" s="191">
        <v>22.6230833333333</v>
      </c>
      <c r="L50" s="191">
        <v>22.6230833333333</v>
      </c>
      <c r="M50" s="121">
        <v>2411</v>
      </c>
    </row>
    <row r="51" spans="1:13">
      <c r="A51" s="124" t="s">
        <v>12</v>
      </c>
      <c r="B51" s="29">
        <v>45796</v>
      </c>
      <c r="C51" s="52"/>
      <c r="D51" s="52"/>
      <c r="E51" s="191">
        <v>13134.5744</v>
      </c>
      <c r="F51" s="191">
        <v>6.573451</v>
      </c>
      <c r="G51" s="191">
        <v>6.3627979</v>
      </c>
      <c r="H51" s="191">
        <v>29.01875</v>
      </c>
      <c r="I51" s="192">
        <v>0.828753479067853</v>
      </c>
      <c r="J51" s="192">
        <v>0.226990432738836</v>
      </c>
      <c r="K51" s="191">
        <v>23.377375</v>
      </c>
      <c r="L51" s="191">
        <v>23.377375</v>
      </c>
      <c r="M51" s="121">
        <v>2411</v>
      </c>
    </row>
    <row r="52" spans="1:13">
      <c r="A52" s="124" t="s">
        <v>12</v>
      </c>
      <c r="B52" s="29">
        <v>45797</v>
      </c>
      <c r="C52" s="52"/>
      <c r="D52" s="52"/>
      <c r="E52" s="191">
        <v>13688.5574</v>
      </c>
      <c r="F52" s="191">
        <v>6.964258</v>
      </c>
      <c r="G52" s="191">
        <v>6.7443382</v>
      </c>
      <c r="H52" s="191">
        <v>31.875</v>
      </c>
      <c r="I52" s="192">
        <v>0.815240260903238</v>
      </c>
      <c r="J52" s="192">
        <v>0.236564312871561</v>
      </c>
      <c r="K52" s="191">
        <v>25.6095833333333</v>
      </c>
      <c r="L52" s="191">
        <v>25.6095833333333</v>
      </c>
      <c r="M52" s="121">
        <v>2411</v>
      </c>
    </row>
    <row r="53" spans="1:13">
      <c r="A53" s="124" t="s">
        <v>12</v>
      </c>
      <c r="B53" s="29">
        <v>45798</v>
      </c>
      <c r="C53" s="52"/>
      <c r="D53" s="52"/>
      <c r="E53" s="191">
        <v>13834.3964</v>
      </c>
      <c r="F53" s="191">
        <v>7.028844</v>
      </c>
      <c r="G53" s="191">
        <v>6.809564</v>
      </c>
      <c r="H53" s="191">
        <v>31.39</v>
      </c>
      <c r="I53" s="192">
        <v>0.816355081664572</v>
      </c>
      <c r="J53" s="192">
        <v>0.239084688234481</v>
      </c>
      <c r="K53" s="191">
        <v>25.2565833333333</v>
      </c>
      <c r="L53" s="191">
        <v>25.2565833333333</v>
      </c>
      <c r="M53" s="121">
        <v>2411</v>
      </c>
    </row>
    <row r="54" spans="1:13">
      <c r="A54" s="124" t="s">
        <v>12</v>
      </c>
      <c r="B54" s="29">
        <v>45799</v>
      </c>
      <c r="C54" s="52"/>
      <c r="D54" s="52"/>
      <c r="E54" s="191">
        <v>13323.4184</v>
      </c>
      <c r="F54" s="191">
        <v>6.706197</v>
      </c>
      <c r="G54" s="191">
        <v>6.493555</v>
      </c>
      <c r="H54" s="191">
        <v>30.3316666666667</v>
      </c>
      <c r="I54" s="192">
        <v>0.824028341478602</v>
      </c>
      <c r="J54" s="192">
        <v>0.230254016314116</v>
      </c>
      <c r="K54" s="191">
        <v>24.261875</v>
      </c>
      <c r="L54" s="191">
        <v>24.261875</v>
      </c>
      <c r="M54" s="121">
        <v>2411</v>
      </c>
    </row>
    <row r="55" spans="1:13">
      <c r="A55" s="124" t="s">
        <v>12</v>
      </c>
      <c r="B55" s="29">
        <v>45800</v>
      </c>
      <c r="C55" s="52"/>
      <c r="D55" s="52"/>
      <c r="E55" s="191">
        <v>12082.4264</v>
      </c>
      <c r="F55" s="191">
        <v>6.0550567</v>
      </c>
      <c r="G55" s="191">
        <v>5.8526525</v>
      </c>
      <c r="H55" s="191">
        <v>30.5004166666667</v>
      </c>
      <c r="I55" s="192">
        <v>0.827634781492007</v>
      </c>
      <c r="J55" s="192">
        <v>0.208807313701092</v>
      </c>
      <c r="K55" s="191">
        <v>23.6707916666667</v>
      </c>
      <c r="L55" s="191">
        <v>23.6707916666667</v>
      </c>
      <c r="M55" s="121">
        <v>2411</v>
      </c>
    </row>
    <row r="56" spans="1:13">
      <c r="A56" s="124" t="s">
        <v>12</v>
      </c>
      <c r="B56" s="29">
        <v>45801</v>
      </c>
      <c r="C56" s="52"/>
      <c r="D56" s="52"/>
      <c r="E56" s="191">
        <v>13452.3444</v>
      </c>
      <c r="F56" s="191">
        <v>6.76228</v>
      </c>
      <c r="G56" s="191">
        <v>6.546902</v>
      </c>
      <c r="H56" s="191">
        <v>29.52375</v>
      </c>
      <c r="I56" s="192">
        <v>0.825101958020844</v>
      </c>
      <c r="J56" s="192">
        <v>0.232482102861883</v>
      </c>
      <c r="K56" s="191">
        <v>23.8825833333333</v>
      </c>
      <c r="L56" s="191">
        <v>23.8825833333333</v>
      </c>
      <c r="M56" s="121">
        <v>2411</v>
      </c>
    </row>
    <row r="57" spans="1:13">
      <c r="A57" s="124" t="s">
        <v>12</v>
      </c>
      <c r="B57" s="29">
        <v>45802</v>
      </c>
      <c r="C57" s="52"/>
      <c r="D57" s="52"/>
      <c r="E57" s="191">
        <v>13508.5694</v>
      </c>
      <c r="F57" s="191">
        <v>6.803568</v>
      </c>
      <c r="G57" s="191">
        <v>6.588047</v>
      </c>
      <c r="H57" s="191">
        <v>29.8829166666667</v>
      </c>
      <c r="I57" s="192">
        <v>0.823522402917514</v>
      </c>
      <c r="J57" s="192">
        <v>0.233453777823863</v>
      </c>
      <c r="K57" s="191">
        <v>24.226375</v>
      </c>
      <c r="L57" s="191">
        <v>24.226375</v>
      </c>
      <c r="M57" s="121">
        <v>2411</v>
      </c>
    </row>
    <row r="58" spans="1:13">
      <c r="A58" s="124" t="s">
        <v>12</v>
      </c>
      <c r="B58" s="29">
        <v>45803</v>
      </c>
      <c r="C58" s="52"/>
      <c r="D58" s="52"/>
      <c r="E58" s="191">
        <v>14188.0124</v>
      </c>
      <c r="F58" s="191">
        <v>7.19631</v>
      </c>
      <c r="G58" s="191">
        <v>6.970218</v>
      </c>
      <c r="H58" s="191">
        <v>30.2541666666667</v>
      </c>
      <c r="I58" s="192">
        <v>0.817738575788975</v>
      </c>
      <c r="J58" s="192">
        <v>0.245195845430665</v>
      </c>
      <c r="K58" s="191">
        <v>24.85425</v>
      </c>
      <c r="L58" s="191">
        <v>24.85425</v>
      </c>
      <c r="M58" s="121">
        <v>2411</v>
      </c>
    </row>
    <row r="59" spans="1:13">
      <c r="A59" s="124" t="s">
        <v>12</v>
      </c>
      <c r="B59" s="29">
        <v>45804</v>
      </c>
      <c r="C59" s="52"/>
      <c r="D59" s="52"/>
      <c r="E59" s="191">
        <v>12996.1034</v>
      </c>
      <c r="F59" s="191">
        <v>6.548231</v>
      </c>
      <c r="G59" s="191">
        <v>6.332791</v>
      </c>
      <c r="H59" s="191">
        <v>30.7108333333333</v>
      </c>
      <c r="I59" s="192">
        <v>0.823174590265025</v>
      </c>
      <c r="J59" s="192">
        <v>0.224597390432739</v>
      </c>
      <c r="K59" s="191">
        <v>24.355625</v>
      </c>
      <c r="L59" s="191">
        <v>24.355625</v>
      </c>
      <c r="M59" s="121">
        <v>2411</v>
      </c>
    </row>
    <row r="60" spans="1:13">
      <c r="A60" s="124" t="s">
        <v>12</v>
      </c>
      <c r="B60" s="29">
        <v>45805</v>
      </c>
      <c r="C60" s="52"/>
      <c r="D60" s="52"/>
      <c r="E60" s="191">
        <v>13291.7504</v>
      </c>
      <c r="F60" s="191">
        <v>6.711973</v>
      </c>
      <c r="G60" s="191">
        <v>6.496602</v>
      </c>
      <c r="H60" s="191">
        <v>30.9079166666667</v>
      </c>
      <c r="I60" s="192">
        <v>0.821362301770303</v>
      </c>
      <c r="J60" s="192">
        <v>0.229706733029172</v>
      </c>
      <c r="K60" s="191">
        <v>24.6407083333333</v>
      </c>
      <c r="L60" s="191">
        <v>24.6407083333333</v>
      </c>
      <c r="M60" s="121">
        <v>2411</v>
      </c>
    </row>
    <row r="61" spans="1:13">
      <c r="A61" s="124" t="s">
        <v>12</v>
      </c>
      <c r="B61" s="29">
        <v>45806</v>
      </c>
      <c r="C61" s="52"/>
      <c r="D61" s="52"/>
      <c r="E61" s="191">
        <v>12426.4674</v>
      </c>
      <c r="F61" s="191">
        <v>6.218288</v>
      </c>
      <c r="G61" s="191">
        <v>6.010424</v>
      </c>
      <c r="H61" s="191">
        <v>29.95875</v>
      </c>
      <c r="I61" s="192">
        <v>0.828857061680802</v>
      </c>
      <c r="J61" s="192">
        <v>0.214752996681875</v>
      </c>
      <c r="K61" s="191">
        <v>23.492375</v>
      </c>
      <c r="L61" s="191">
        <v>23.492375</v>
      </c>
      <c r="M61" s="121">
        <v>2411</v>
      </c>
    </row>
    <row r="62" spans="1:13">
      <c r="A62" s="124" t="s">
        <v>12</v>
      </c>
      <c r="B62" s="29">
        <v>45807</v>
      </c>
      <c r="C62" s="52"/>
      <c r="D62" s="52"/>
      <c r="E62" s="191">
        <v>12518.9424</v>
      </c>
      <c r="F62" s="191">
        <v>6.255433</v>
      </c>
      <c r="G62" s="191">
        <v>6.047726</v>
      </c>
      <c r="H62" s="191">
        <v>29.3241666666667</v>
      </c>
      <c r="I62" s="192">
        <v>0.830066819440539</v>
      </c>
      <c r="J62" s="192">
        <v>0.216351140605558</v>
      </c>
      <c r="K62" s="191">
        <v>23.1346666666667</v>
      </c>
      <c r="L62" s="191">
        <v>23.1346666666667</v>
      </c>
      <c r="M62" s="121">
        <v>2411</v>
      </c>
    </row>
    <row r="63" spans="1:13">
      <c r="A63" s="124" t="s">
        <v>12</v>
      </c>
      <c r="B63" s="29">
        <v>45808</v>
      </c>
      <c r="C63" s="52"/>
      <c r="D63" s="52"/>
      <c r="E63" s="191">
        <v>6173.8808</v>
      </c>
      <c r="F63" s="191">
        <v>3.036188</v>
      </c>
      <c r="G63" s="191">
        <v>2.894043</v>
      </c>
      <c r="H63" s="191">
        <v>29.3508333333333</v>
      </c>
      <c r="I63" s="192">
        <v>0.8433976185741</v>
      </c>
      <c r="J63" s="192">
        <v>0.106696405364303</v>
      </c>
      <c r="K63" s="191">
        <v>18.27625</v>
      </c>
      <c r="L63" s="191">
        <v>18.27625</v>
      </c>
      <c r="M63" s="121">
        <v>2411</v>
      </c>
    </row>
    <row r="64" spans="1:13">
      <c r="A64" s="124" t="s">
        <v>12</v>
      </c>
      <c r="B64" s="29">
        <v>45809</v>
      </c>
      <c r="C64" s="52"/>
      <c r="D64" s="52"/>
      <c r="E64" s="191">
        <v>11993.0444</v>
      </c>
      <c r="F64" s="191">
        <v>5.920012</v>
      </c>
      <c r="G64" s="191">
        <v>5.71632</v>
      </c>
      <c r="H64" s="191">
        <v>27.3645833333333</v>
      </c>
      <c r="I64" s="192">
        <v>0.840252172603056</v>
      </c>
      <c r="J64" s="192">
        <v>0.207262622701507</v>
      </c>
      <c r="K64" s="191">
        <v>21.4835</v>
      </c>
      <c r="L64" s="191">
        <v>21.4835</v>
      </c>
      <c r="M64" s="121">
        <v>2411</v>
      </c>
    </row>
    <row r="65" spans="1:13">
      <c r="A65" s="124" t="s">
        <v>12</v>
      </c>
      <c r="B65" s="29">
        <v>45810</v>
      </c>
      <c r="C65" s="52"/>
      <c r="D65" s="52"/>
      <c r="E65" s="191">
        <v>13226.4814</v>
      </c>
      <c r="F65" s="191">
        <v>6.619679</v>
      </c>
      <c r="G65" s="191">
        <v>6.405697</v>
      </c>
      <c r="H65" s="191">
        <v>28.6570833333333</v>
      </c>
      <c r="I65" s="192">
        <v>0.828724512624713</v>
      </c>
      <c r="J65" s="192">
        <v>0.22857876054196</v>
      </c>
      <c r="K65" s="191">
        <v>23.242375</v>
      </c>
      <c r="L65" s="191">
        <v>23.242375</v>
      </c>
      <c r="M65" s="121">
        <v>2411</v>
      </c>
    </row>
    <row r="66" spans="1:13">
      <c r="A66" s="124" t="s">
        <v>12</v>
      </c>
      <c r="B66" s="29">
        <v>45811</v>
      </c>
      <c r="C66" s="52"/>
      <c r="D66" s="52"/>
      <c r="E66" s="191">
        <v>13136.2364</v>
      </c>
      <c r="F66" s="191">
        <v>6.554391</v>
      </c>
      <c r="G66" s="191">
        <v>6.342347</v>
      </c>
      <c r="H66" s="191">
        <v>28.22</v>
      </c>
      <c r="I66" s="192">
        <v>0.831268645134943</v>
      </c>
      <c r="J66" s="192">
        <v>0.227019155260611</v>
      </c>
      <c r="K66" s="191">
        <v>22.7690833333333</v>
      </c>
      <c r="L66" s="191">
        <v>22.7690833333333</v>
      </c>
      <c r="M66" s="121">
        <v>2411</v>
      </c>
    </row>
    <row r="67" spans="1:13">
      <c r="A67" s="124" t="s">
        <v>12</v>
      </c>
      <c r="B67" s="29">
        <v>45812</v>
      </c>
      <c r="C67" s="52"/>
      <c r="D67" s="52"/>
      <c r="E67" s="191">
        <v>12986.6504</v>
      </c>
      <c r="F67" s="191">
        <v>6.459332</v>
      </c>
      <c r="G67" s="191">
        <v>6.247849</v>
      </c>
      <c r="H67" s="191">
        <v>28.24</v>
      </c>
      <c r="I67" s="192">
        <v>0.833896847325125</v>
      </c>
      <c r="J67" s="192">
        <v>0.224434024609429</v>
      </c>
      <c r="K67" s="191">
        <v>22.7559583333333</v>
      </c>
      <c r="L67" s="191">
        <v>22.7559583333333</v>
      </c>
      <c r="M67" s="121">
        <v>2411</v>
      </c>
    </row>
    <row r="68" spans="1:13">
      <c r="A68" s="124" t="s">
        <v>12</v>
      </c>
      <c r="B68" s="29">
        <v>45813</v>
      </c>
      <c r="C68" s="52"/>
      <c r="D68" s="52"/>
      <c r="E68" s="191">
        <v>11526.5404</v>
      </c>
      <c r="F68" s="191">
        <v>5.713941</v>
      </c>
      <c r="G68" s="191">
        <v>5.510785</v>
      </c>
      <c r="H68" s="191">
        <v>28.73625</v>
      </c>
      <c r="I68" s="192">
        <v>0.836692767145263</v>
      </c>
      <c r="J68" s="192">
        <v>0.199200546108116</v>
      </c>
      <c r="K68" s="191">
        <v>22.1539166666667</v>
      </c>
      <c r="L68" s="191">
        <v>22.1539166666667</v>
      </c>
      <c r="M68" s="121">
        <v>2411</v>
      </c>
    </row>
    <row r="69" spans="1:13">
      <c r="A69" s="124" t="s">
        <v>12</v>
      </c>
      <c r="B69" s="29">
        <v>45814</v>
      </c>
      <c r="C69" s="52"/>
      <c r="D69" s="52"/>
      <c r="E69" s="191">
        <v>10800.7474</v>
      </c>
      <c r="F69" s="191">
        <v>5.3565379</v>
      </c>
      <c r="G69" s="191">
        <v>5.1580263</v>
      </c>
      <c r="H69" s="191">
        <v>28.4733333333333</v>
      </c>
      <c r="I69" s="192">
        <v>0.836319872918451</v>
      </c>
      <c r="J69" s="192">
        <v>0.186657462325453</v>
      </c>
      <c r="K69" s="191">
        <v>21.5870833333333</v>
      </c>
      <c r="L69" s="191">
        <v>21.5870833333333</v>
      </c>
      <c r="M69" s="121">
        <v>2411</v>
      </c>
    </row>
    <row r="70" spans="1:13">
      <c r="A70" s="124" t="s">
        <v>12</v>
      </c>
      <c r="B70" s="29">
        <v>45815</v>
      </c>
      <c r="C70" s="52"/>
      <c r="D70" s="52"/>
      <c r="E70" s="191">
        <v>11026.9068</v>
      </c>
      <c r="F70" s="191">
        <v>5.477751</v>
      </c>
      <c r="G70" s="191">
        <v>5.282065</v>
      </c>
      <c r="H70" s="191">
        <v>28.0925</v>
      </c>
      <c r="I70" s="192">
        <v>0.83493796049325</v>
      </c>
      <c r="J70" s="192">
        <v>0.190565927001244</v>
      </c>
      <c r="K70" s="191">
        <v>20.3687916666667</v>
      </c>
      <c r="L70" s="191">
        <v>20.3687916666667</v>
      </c>
      <c r="M70" s="121">
        <v>2411</v>
      </c>
    </row>
    <row r="71" spans="1:13">
      <c r="A71" s="124" t="s">
        <v>12</v>
      </c>
      <c r="B71" s="29">
        <v>45816</v>
      </c>
      <c r="C71" s="52"/>
      <c r="D71" s="52"/>
      <c r="E71" s="191">
        <v>12809.8264</v>
      </c>
      <c r="F71" s="191">
        <v>6.307153</v>
      </c>
      <c r="G71" s="191">
        <v>6.098571</v>
      </c>
      <c r="H71" s="191">
        <v>26.4708333333333</v>
      </c>
      <c r="I71" s="192">
        <v>0.842388961869415</v>
      </c>
      <c r="J71" s="192">
        <v>0.221378169500899</v>
      </c>
      <c r="K71" s="191">
        <v>21.4075833333333</v>
      </c>
      <c r="L71" s="191">
        <v>21.4075833333333</v>
      </c>
      <c r="M71" s="121">
        <v>2411</v>
      </c>
    </row>
    <row r="72" spans="1:13">
      <c r="A72" s="124" t="s">
        <v>12</v>
      </c>
      <c r="B72" s="29">
        <v>45817</v>
      </c>
      <c r="C72" s="52"/>
      <c r="D72" s="52"/>
      <c r="E72" s="191">
        <v>12051.9614</v>
      </c>
      <c r="F72" s="191">
        <v>5.956695</v>
      </c>
      <c r="G72" s="191">
        <v>5.748662</v>
      </c>
      <c r="H72" s="191">
        <v>27.245</v>
      </c>
      <c r="I72" s="192">
        <v>0.839180064292936</v>
      </c>
      <c r="J72" s="192">
        <v>0.208280820544725</v>
      </c>
      <c r="K72" s="191">
        <v>21.6744583333333</v>
      </c>
      <c r="L72" s="191">
        <v>21.6744583333333</v>
      </c>
      <c r="M72" s="121">
        <v>2411</v>
      </c>
    </row>
    <row r="73" spans="1:13">
      <c r="A73" s="124" t="s">
        <v>12</v>
      </c>
      <c r="B73" s="29">
        <v>45818</v>
      </c>
      <c r="C73" s="52"/>
      <c r="D73" s="52"/>
      <c r="E73" s="191">
        <v>11866.8874</v>
      </c>
      <c r="F73" s="191">
        <v>5.866322</v>
      </c>
      <c r="G73" s="191">
        <v>5.6630849</v>
      </c>
      <c r="H73" s="191">
        <v>27.52875</v>
      </c>
      <c r="I73" s="192">
        <v>0.839022705162639</v>
      </c>
      <c r="J73" s="192">
        <v>0.205082389741463</v>
      </c>
      <c r="K73" s="191">
        <v>21.57125</v>
      </c>
      <c r="L73" s="191">
        <v>21.57125</v>
      </c>
      <c r="M73" s="121">
        <v>2411</v>
      </c>
    </row>
    <row r="74" spans="1:13">
      <c r="A74" s="124" t="s">
        <v>12</v>
      </c>
      <c r="B74" s="29">
        <v>45819</v>
      </c>
      <c r="C74" s="52"/>
      <c r="D74" s="52"/>
      <c r="E74" s="191">
        <v>11858.6564</v>
      </c>
      <c r="F74" s="191">
        <v>5.897099</v>
      </c>
      <c r="G74" s="191">
        <v>5.69956</v>
      </c>
      <c r="H74" s="191">
        <v>28.9879166666667</v>
      </c>
      <c r="I74" s="192">
        <v>0.834064922035227</v>
      </c>
      <c r="J74" s="192">
        <v>0.204940142402876</v>
      </c>
      <c r="K74" s="191">
        <v>22.5960416666667</v>
      </c>
      <c r="L74" s="191">
        <v>22.5960416666667</v>
      </c>
      <c r="M74" s="121">
        <v>2411</v>
      </c>
    </row>
    <row r="75" spans="1:13">
      <c r="A75" s="124" t="s">
        <v>12</v>
      </c>
      <c r="B75" s="29">
        <v>45820</v>
      </c>
      <c r="C75" s="52"/>
      <c r="D75" s="52"/>
      <c r="E75" s="191">
        <v>11272.9854</v>
      </c>
      <c r="F75" s="191">
        <v>5.5444281</v>
      </c>
      <c r="G75" s="191">
        <v>5.3369112</v>
      </c>
      <c r="H75" s="191">
        <v>26.9466666666667</v>
      </c>
      <c r="I75" s="192">
        <v>0.843305588241249</v>
      </c>
      <c r="J75" s="192">
        <v>0.194818633347159</v>
      </c>
      <c r="K75" s="191">
        <v>20.7449583333333</v>
      </c>
      <c r="L75" s="191">
        <v>20.7449583333333</v>
      </c>
      <c r="M75" s="121">
        <v>2411</v>
      </c>
    </row>
    <row r="76" spans="1:13">
      <c r="A76" s="124" t="s">
        <v>12</v>
      </c>
      <c r="B76" s="29">
        <v>45821</v>
      </c>
      <c r="C76" s="52"/>
      <c r="D76" s="52"/>
      <c r="E76" s="191">
        <v>11413.7664</v>
      </c>
      <c r="F76" s="191">
        <v>5.7204369</v>
      </c>
      <c r="G76" s="191">
        <v>5.5182547</v>
      </c>
      <c r="H76" s="191">
        <v>31.04875</v>
      </c>
      <c r="I76" s="192">
        <v>0.827565867276107</v>
      </c>
      <c r="J76" s="192">
        <v>0.197251596847781</v>
      </c>
      <c r="K76" s="191">
        <v>23.7367916666667</v>
      </c>
      <c r="L76" s="191">
        <v>23.7367916666667</v>
      </c>
      <c r="M76" s="121">
        <v>2411</v>
      </c>
    </row>
    <row r="77" spans="1:13">
      <c r="A77" s="124" t="s">
        <v>12</v>
      </c>
      <c r="B77" s="29">
        <v>45822</v>
      </c>
      <c r="C77" s="52"/>
      <c r="D77" s="52"/>
      <c r="E77" s="191">
        <v>8379.17</v>
      </c>
      <c r="F77" s="191">
        <v>4.1205641</v>
      </c>
      <c r="G77" s="191">
        <v>3.9447785</v>
      </c>
      <c r="H77" s="191">
        <v>29.3333333333333</v>
      </c>
      <c r="I77" s="192">
        <v>0.843426256503629</v>
      </c>
      <c r="J77" s="192">
        <v>0.144807998064427</v>
      </c>
      <c r="K77" s="191">
        <v>20.55325</v>
      </c>
      <c r="L77" s="191">
        <v>20.55325</v>
      </c>
      <c r="M77" s="121">
        <v>2411</v>
      </c>
    </row>
    <row r="78" spans="1:13">
      <c r="A78" s="124" t="s">
        <v>12</v>
      </c>
      <c r="B78" s="29">
        <v>45823</v>
      </c>
      <c r="C78" s="52"/>
      <c r="D78" s="52"/>
      <c r="E78" s="191">
        <v>8313.2868</v>
      </c>
      <c r="F78" s="191">
        <v>4.120886</v>
      </c>
      <c r="G78" s="191">
        <v>3.95983</v>
      </c>
      <c r="H78" s="191">
        <v>27.7591666666667</v>
      </c>
      <c r="I78" s="192">
        <v>0.836729253074799</v>
      </c>
      <c r="J78" s="192">
        <v>0.143669411032766</v>
      </c>
      <c r="K78" s="191">
        <v>18.417625</v>
      </c>
      <c r="L78" s="191">
        <v>18.417625</v>
      </c>
      <c r="M78" s="121">
        <v>2411</v>
      </c>
    </row>
    <row r="79" spans="1:13">
      <c r="A79" s="124" t="s">
        <v>12</v>
      </c>
      <c r="B79" s="29">
        <v>45824</v>
      </c>
      <c r="C79" s="52"/>
      <c r="D79" s="52"/>
      <c r="E79" s="191">
        <v>10956.9144</v>
      </c>
      <c r="F79" s="191">
        <v>5.43068</v>
      </c>
      <c r="G79" s="191">
        <v>5.2272897</v>
      </c>
      <c r="H79" s="191">
        <v>29.11625</v>
      </c>
      <c r="I79" s="192">
        <v>0.836829237633336</v>
      </c>
      <c r="J79" s="192">
        <v>0.189356325176275</v>
      </c>
      <c r="K79" s="191">
        <v>22.0315833333333</v>
      </c>
      <c r="L79" s="191">
        <v>22.0315833333333</v>
      </c>
      <c r="M79" s="121">
        <v>2411</v>
      </c>
    </row>
    <row r="80" spans="1:13">
      <c r="A80" s="124" t="s">
        <v>12</v>
      </c>
      <c r="B80" s="29">
        <v>45825</v>
      </c>
      <c r="C80" s="52"/>
      <c r="D80" s="52"/>
      <c r="E80" s="191">
        <v>12355.3914</v>
      </c>
      <c r="F80" s="191">
        <v>6.149346</v>
      </c>
      <c r="G80" s="191">
        <v>5.938476</v>
      </c>
      <c r="H80" s="191">
        <v>29.26</v>
      </c>
      <c r="I80" s="192">
        <v>0.833355618060746</v>
      </c>
      <c r="J80" s="192">
        <v>0.213524668187474</v>
      </c>
      <c r="K80" s="191">
        <v>22.9005416666667</v>
      </c>
      <c r="L80" s="191">
        <v>22.9005416666667</v>
      </c>
      <c r="M80" s="121">
        <v>2411</v>
      </c>
    </row>
    <row r="81" spans="1:13">
      <c r="A81" s="124" t="s">
        <v>12</v>
      </c>
      <c r="B81" s="29">
        <v>45826</v>
      </c>
      <c r="C81" s="52"/>
      <c r="D81" s="52"/>
      <c r="E81" s="191">
        <v>1444.0154</v>
      </c>
      <c r="F81" s="191">
        <v>4.3273148</v>
      </c>
      <c r="G81" s="191">
        <v>4.1475576</v>
      </c>
      <c r="H81" s="191">
        <v>29.96375</v>
      </c>
      <c r="I81" s="192">
        <v>0.138406384643399</v>
      </c>
      <c r="J81" s="192">
        <v>0.0249553331950781</v>
      </c>
      <c r="K81" s="191">
        <v>21.123625</v>
      </c>
      <c r="L81" s="191">
        <v>21.123625</v>
      </c>
      <c r="M81" s="121">
        <v>2411</v>
      </c>
    </row>
    <row r="82" spans="1:13">
      <c r="A82" s="124" t="s">
        <v>12</v>
      </c>
      <c r="B82" s="29">
        <v>45827</v>
      </c>
      <c r="C82" s="52"/>
      <c r="D82" s="52"/>
      <c r="E82" s="191">
        <v>4447.7808</v>
      </c>
      <c r="F82" s="191">
        <v>2.943785</v>
      </c>
      <c r="G82" s="191">
        <v>2.805218</v>
      </c>
      <c r="H82" s="191">
        <v>31.71625</v>
      </c>
      <c r="I82" s="192">
        <v>0.626671692225812</v>
      </c>
      <c r="J82" s="192">
        <v>0.0768661136457901</v>
      </c>
      <c r="K82" s="191">
        <v>19.3373333333333</v>
      </c>
      <c r="L82" s="191">
        <v>19.3373333333333</v>
      </c>
      <c r="M82" s="121">
        <v>2411</v>
      </c>
    </row>
    <row r="83" spans="1:13">
      <c r="A83" s="124" t="s">
        <v>12</v>
      </c>
      <c r="B83" s="29">
        <v>45828</v>
      </c>
      <c r="C83" s="52"/>
      <c r="D83" s="52"/>
      <c r="E83" s="191">
        <v>8830.7008</v>
      </c>
      <c r="F83" s="191">
        <v>4.376214</v>
      </c>
      <c r="G83" s="191">
        <v>4.195651</v>
      </c>
      <c r="H83" s="191">
        <v>31.3991666666667</v>
      </c>
      <c r="I83" s="192">
        <v>0.836949797849512</v>
      </c>
      <c r="J83" s="192">
        <v>0.152611309276925</v>
      </c>
      <c r="K83" s="191">
        <v>20.7244166666667</v>
      </c>
      <c r="L83" s="191">
        <v>20.7244166666667</v>
      </c>
      <c r="M83" s="121">
        <v>2411</v>
      </c>
    </row>
    <row r="84" spans="1:13">
      <c r="A84" s="124" t="s">
        <v>12</v>
      </c>
      <c r="B84" s="29">
        <v>45829</v>
      </c>
      <c r="C84" s="52"/>
      <c r="D84" s="52"/>
      <c r="E84" s="191">
        <v>4714.7578</v>
      </c>
      <c r="F84" s="191">
        <v>2.331888</v>
      </c>
      <c r="G84" s="191">
        <v>2.219479</v>
      </c>
      <c r="H84" s="191">
        <v>30.5716666666667</v>
      </c>
      <c r="I84" s="192">
        <v>0.838599288823304</v>
      </c>
      <c r="J84" s="192">
        <v>0.0814799841006498</v>
      </c>
      <c r="K84" s="191">
        <v>17.9256666666667</v>
      </c>
      <c r="L84" s="191">
        <v>17.9256666666667</v>
      </c>
      <c r="M84" s="121">
        <v>2411</v>
      </c>
    </row>
    <row r="85" spans="1:13">
      <c r="A85" s="124" t="s">
        <v>12</v>
      </c>
      <c r="B85" s="29">
        <v>45830</v>
      </c>
      <c r="C85" s="52"/>
      <c r="D85" s="52"/>
      <c r="E85" s="191">
        <v>11288.4029</v>
      </c>
      <c r="F85" s="191">
        <v>5.636141</v>
      </c>
      <c r="G85" s="191">
        <v>5.4420846</v>
      </c>
      <c r="H85" s="191">
        <v>30.6179166666667</v>
      </c>
      <c r="I85" s="192">
        <v>0.830717657676561</v>
      </c>
      <c r="J85" s="192">
        <v>0.195085077077285</v>
      </c>
      <c r="K85" s="191">
        <v>23.0585833333333</v>
      </c>
      <c r="L85" s="191">
        <v>23.0585833333333</v>
      </c>
      <c r="M85" s="121">
        <v>2411</v>
      </c>
    </row>
    <row r="86" spans="1:13">
      <c r="A86" s="124" t="s">
        <v>12</v>
      </c>
      <c r="B86" s="29">
        <v>45831</v>
      </c>
      <c r="C86" s="52"/>
      <c r="D86" s="52"/>
      <c r="E86" s="191">
        <v>11971.6468</v>
      </c>
      <c r="F86" s="191">
        <v>6.008768</v>
      </c>
      <c r="G86" s="191">
        <v>5.801715</v>
      </c>
      <c r="H86" s="191">
        <v>30.4375</v>
      </c>
      <c r="I86" s="192">
        <v>0.826363732999062</v>
      </c>
      <c r="J86" s="192">
        <v>0.206892831466888</v>
      </c>
      <c r="K86" s="191">
        <v>22.308</v>
      </c>
      <c r="L86" s="191">
        <v>22.308</v>
      </c>
      <c r="M86" s="121">
        <v>2411</v>
      </c>
    </row>
    <row r="87" spans="1:13">
      <c r="A87" s="124" t="s">
        <v>12</v>
      </c>
      <c r="B87" s="29">
        <v>45832</v>
      </c>
      <c r="C87" s="52"/>
      <c r="D87" s="52"/>
      <c r="E87" s="191">
        <v>12286.7368</v>
      </c>
      <c r="F87" s="191">
        <v>6.114044</v>
      </c>
      <c r="G87" s="191">
        <v>5.90761</v>
      </c>
      <c r="H87" s="191">
        <v>29.0995833333333</v>
      </c>
      <c r="I87" s="192">
        <v>0.833509943042051</v>
      </c>
      <c r="J87" s="192">
        <v>0.212338186091525</v>
      </c>
      <c r="K87" s="191">
        <v>21.5898333333333</v>
      </c>
      <c r="L87" s="191">
        <v>21.5898333333333</v>
      </c>
      <c r="M87" s="121">
        <v>2411</v>
      </c>
    </row>
    <row r="88" spans="1:13">
      <c r="A88" s="124" t="s">
        <v>12</v>
      </c>
      <c r="B88" s="29">
        <v>45833</v>
      </c>
      <c r="C88" s="52"/>
      <c r="D88" s="52"/>
      <c r="E88" s="191">
        <v>11372.6494</v>
      </c>
      <c r="F88" s="191">
        <v>5.637538</v>
      </c>
      <c r="G88" s="191">
        <v>5.438672</v>
      </c>
      <c r="H88" s="191">
        <v>29.5445833333333</v>
      </c>
      <c r="I88" s="192">
        <v>0.836709997309336</v>
      </c>
      <c r="J88" s="192">
        <v>0.196541016867137</v>
      </c>
      <c r="K88" s="191">
        <v>22.4932083333333</v>
      </c>
      <c r="L88" s="191">
        <v>22.4932083333333</v>
      </c>
      <c r="M88" s="121">
        <v>2411</v>
      </c>
    </row>
    <row r="89" spans="1:13">
      <c r="A89" s="124" t="s">
        <v>12</v>
      </c>
      <c r="B89" s="29">
        <v>45834</v>
      </c>
      <c r="C89" s="52"/>
      <c r="D89" s="52"/>
      <c r="E89" s="191">
        <v>6117.7768</v>
      </c>
      <c r="F89" s="191">
        <v>3.008675</v>
      </c>
      <c r="G89" s="191">
        <v>2.856897</v>
      </c>
      <c r="H89" s="191">
        <v>28.8116666666667</v>
      </c>
      <c r="I89" s="192">
        <v>0.843375810381743</v>
      </c>
      <c r="J89" s="192">
        <v>0.105726821512512</v>
      </c>
      <c r="K89" s="191">
        <v>17.7600416666667</v>
      </c>
      <c r="L89" s="191">
        <v>17.7600416666667</v>
      </c>
      <c r="M89" s="121">
        <v>2411</v>
      </c>
    </row>
    <row r="90" spans="1:13">
      <c r="A90" s="124" t="s">
        <v>12</v>
      </c>
      <c r="B90" s="29">
        <v>45835</v>
      </c>
      <c r="C90" s="52"/>
      <c r="D90" s="52"/>
      <c r="E90" s="191">
        <v>4191.1978</v>
      </c>
      <c r="F90" s="191">
        <v>2.06326</v>
      </c>
      <c r="G90" s="191">
        <v>1.959583</v>
      </c>
      <c r="H90" s="191">
        <v>28.3225</v>
      </c>
      <c r="I90" s="192">
        <v>0.842533132433811</v>
      </c>
      <c r="J90" s="192">
        <v>0.072431871284391</v>
      </c>
      <c r="K90" s="191">
        <v>16.4351666666667</v>
      </c>
      <c r="L90" s="191">
        <v>16.4351666666667</v>
      </c>
      <c r="M90" s="121">
        <v>2411</v>
      </c>
    </row>
    <row r="91" spans="1:13">
      <c r="A91" s="124" t="s">
        <v>12</v>
      </c>
      <c r="B91" s="29">
        <v>45836</v>
      </c>
      <c r="C91" s="52"/>
      <c r="D91" s="52"/>
      <c r="E91" s="191">
        <v>5916.6358</v>
      </c>
      <c r="F91" s="191">
        <v>2.891147</v>
      </c>
      <c r="G91" s="191">
        <v>2.753863</v>
      </c>
      <c r="H91" s="191">
        <v>27.6591666666667</v>
      </c>
      <c r="I91" s="192">
        <v>0.848804068836514</v>
      </c>
      <c r="J91" s="192">
        <v>0.10225072238352</v>
      </c>
      <c r="K91" s="191">
        <v>17.2023333333333</v>
      </c>
      <c r="L91" s="191">
        <v>17.2023333333333</v>
      </c>
      <c r="M91" s="121">
        <v>2411</v>
      </c>
    </row>
    <row r="92" spans="1:13">
      <c r="A92" s="124" t="s">
        <v>12</v>
      </c>
      <c r="B92" s="29">
        <v>45837</v>
      </c>
      <c r="C92" s="52"/>
      <c r="D92" s="52"/>
      <c r="E92" s="191">
        <v>12896.0224</v>
      </c>
      <c r="F92" s="191">
        <v>6.3607616</v>
      </c>
      <c r="G92" s="191">
        <v>6.1494056</v>
      </c>
      <c r="H92" s="191">
        <v>25.6775</v>
      </c>
      <c r="I92" s="192">
        <v>0.840909869759484</v>
      </c>
      <c r="J92" s="192">
        <v>0.222867800359463</v>
      </c>
      <c r="K92" s="191">
        <v>20.9487916666667</v>
      </c>
      <c r="L92" s="191">
        <v>20.9487916666667</v>
      </c>
      <c r="M92" s="121">
        <v>2411</v>
      </c>
    </row>
    <row r="93" spans="1:13">
      <c r="A93" s="124" t="s">
        <v>12</v>
      </c>
      <c r="B93" s="29">
        <v>45838</v>
      </c>
      <c r="C93" s="52"/>
      <c r="D93" s="52"/>
      <c r="E93" s="191">
        <v>12460.6744</v>
      </c>
      <c r="F93" s="191">
        <v>6.216088</v>
      </c>
      <c r="G93" s="191">
        <v>6.0069899</v>
      </c>
      <c r="H93" s="191">
        <v>28.3970833333333</v>
      </c>
      <c r="I93" s="192">
        <v>0.831432857644196</v>
      </c>
      <c r="J93" s="192">
        <v>0.215344158716991</v>
      </c>
      <c r="K93" s="191">
        <v>22.62775</v>
      </c>
      <c r="L93" s="191">
        <v>22.62775</v>
      </c>
      <c r="M93" s="121">
        <v>2411</v>
      </c>
    </row>
    <row r="94" spans="1:13">
      <c r="A94" s="124" t="s">
        <v>12</v>
      </c>
      <c r="B94" s="29">
        <v>45839</v>
      </c>
      <c r="C94" s="52"/>
      <c r="D94" s="52"/>
      <c r="E94" s="191">
        <v>12008.4059</v>
      </c>
      <c r="F94" s="191">
        <v>5.9868515</v>
      </c>
      <c r="G94" s="191">
        <v>5.7759952</v>
      </c>
      <c r="H94" s="191">
        <v>29.0879166666667</v>
      </c>
      <c r="I94" s="192">
        <v>0.831935511926824</v>
      </c>
      <c r="J94" s="192">
        <v>0.207528098645099</v>
      </c>
      <c r="K94" s="191">
        <v>22.4614166666667</v>
      </c>
      <c r="L94" s="191">
        <v>22.4614166666667</v>
      </c>
      <c r="M94" s="121">
        <v>2411</v>
      </c>
    </row>
    <row r="95" spans="1:13">
      <c r="A95" s="124" t="s">
        <v>12</v>
      </c>
      <c r="B95" s="29">
        <v>45840</v>
      </c>
      <c r="C95" s="52"/>
      <c r="D95" s="52"/>
      <c r="E95" s="191">
        <v>12841.8464</v>
      </c>
      <c r="F95" s="191">
        <v>6.4241833</v>
      </c>
      <c r="G95" s="191">
        <v>6.2076664</v>
      </c>
      <c r="H95" s="191">
        <v>29.2620833333333</v>
      </c>
      <c r="I95" s="192">
        <v>0.829110350006923</v>
      </c>
      <c r="J95" s="192">
        <v>0.221931536015484</v>
      </c>
      <c r="K95" s="191">
        <v>23.0444583333333</v>
      </c>
      <c r="L95" s="191">
        <v>23.0444583333333</v>
      </c>
      <c r="M95" s="121">
        <v>2411</v>
      </c>
    </row>
    <row r="96" spans="1:13">
      <c r="A96" s="124" t="s">
        <v>12</v>
      </c>
      <c r="B96" s="29">
        <v>45841</v>
      </c>
      <c r="C96" s="52"/>
      <c r="D96" s="52"/>
      <c r="E96" s="191">
        <v>11985.2474</v>
      </c>
      <c r="F96" s="191">
        <v>6.016638</v>
      </c>
      <c r="G96" s="191">
        <v>5.807005</v>
      </c>
      <c r="H96" s="191">
        <v>30.8591666666667</v>
      </c>
      <c r="I96" s="192">
        <v>0.82622039368255</v>
      </c>
      <c r="J96" s="192">
        <v>0.207127875708558</v>
      </c>
      <c r="K96" s="191">
        <v>23.57625</v>
      </c>
      <c r="L96" s="191">
        <v>23.57625</v>
      </c>
      <c r="M96" s="121">
        <v>2411</v>
      </c>
    </row>
    <row r="97" spans="1:13">
      <c r="A97" s="124" t="s">
        <v>12</v>
      </c>
      <c r="B97" s="29">
        <v>45842</v>
      </c>
      <c r="C97" s="52"/>
      <c r="D97" s="52"/>
      <c r="E97" s="191">
        <v>12022.1294</v>
      </c>
      <c r="F97" s="191">
        <v>5.9504672</v>
      </c>
      <c r="G97" s="191">
        <v>5.7445827</v>
      </c>
      <c r="H97" s="191">
        <v>28.4458333333333</v>
      </c>
      <c r="I97" s="192">
        <v>0.837978974824321</v>
      </c>
      <c r="J97" s="192">
        <v>0.207765266832573</v>
      </c>
      <c r="K97" s="191">
        <v>21.9449166666667</v>
      </c>
      <c r="L97" s="191">
        <v>21.9449166666667</v>
      </c>
      <c r="M97" s="121">
        <v>2411</v>
      </c>
    </row>
    <row r="98" spans="1:13">
      <c r="A98" s="124" t="s">
        <v>12</v>
      </c>
      <c r="B98" s="29">
        <v>45843</v>
      </c>
      <c r="C98" s="52"/>
      <c r="D98" s="52"/>
      <c r="E98" s="191">
        <v>8615.2468</v>
      </c>
      <c r="F98" s="191">
        <v>4.225692</v>
      </c>
      <c r="G98" s="191">
        <v>4.045052</v>
      </c>
      <c r="H98" s="191">
        <v>28.2129166666667</v>
      </c>
      <c r="I98" s="192">
        <v>0.845614991034835</v>
      </c>
      <c r="J98" s="192">
        <v>0.148887854278999</v>
      </c>
      <c r="K98" s="191">
        <v>19.0615833333333</v>
      </c>
      <c r="L98" s="191">
        <v>19.0615833333333</v>
      </c>
      <c r="M98" s="121">
        <v>2411</v>
      </c>
    </row>
    <row r="99" spans="1:13">
      <c r="A99" s="124" t="s">
        <v>12</v>
      </c>
      <c r="B99" s="29">
        <v>45844</v>
      </c>
      <c r="C99" s="52"/>
      <c r="D99" s="52"/>
      <c r="E99" s="191">
        <v>11042.8684</v>
      </c>
      <c r="F99" s="191">
        <v>5.439745</v>
      </c>
      <c r="G99" s="191">
        <v>5.223231</v>
      </c>
      <c r="H99" s="191">
        <v>27.3004166666667</v>
      </c>
      <c r="I99" s="192">
        <v>0.841988470332171</v>
      </c>
      <c r="J99" s="192">
        <v>0.190841773814461</v>
      </c>
      <c r="K99" s="191">
        <v>20.9207083333333</v>
      </c>
      <c r="L99" s="191">
        <v>20.9207083333333</v>
      </c>
      <c r="M99" s="121">
        <v>2411</v>
      </c>
    </row>
    <row r="100" spans="1:13">
      <c r="A100" s="124" t="s">
        <v>12</v>
      </c>
      <c r="B100" s="29">
        <v>45845</v>
      </c>
      <c r="C100" s="52"/>
      <c r="D100" s="52"/>
      <c r="E100" s="191">
        <v>10332.3444</v>
      </c>
      <c r="F100" s="191">
        <v>5.085459</v>
      </c>
      <c r="G100" s="191">
        <v>4.875331</v>
      </c>
      <c r="H100" s="191">
        <v>28.0045833333333</v>
      </c>
      <c r="I100" s="192">
        <v>0.842697113001218</v>
      </c>
      <c r="J100" s="192">
        <v>0.178562567399419</v>
      </c>
      <c r="K100" s="191">
        <v>20.973625</v>
      </c>
      <c r="L100" s="191">
        <v>20.973625</v>
      </c>
      <c r="M100" s="121">
        <v>2411</v>
      </c>
    </row>
    <row r="101" spans="1:13">
      <c r="A101" s="124" t="s">
        <v>12</v>
      </c>
      <c r="B101" s="29">
        <v>45846</v>
      </c>
      <c r="C101" s="52"/>
      <c r="D101" s="52"/>
      <c r="E101" s="191">
        <v>7276.1168</v>
      </c>
      <c r="F101" s="191">
        <v>3.56311</v>
      </c>
      <c r="G101" s="191">
        <v>3.391352</v>
      </c>
      <c r="H101" s="191">
        <v>28.4975</v>
      </c>
      <c r="I101" s="192">
        <v>0.846980129127964</v>
      </c>
      <c r="J101" s="192">
        <v>0.125745140329047</v>
      </c>
      <c r="K101" s="191">
        <v>18.2195833333333</v>
      </c>
      <c r="L101" s="191">
        <v>18.2195833333333</v>
      </c>
      <c r="M101" s="121">
        <v>2411</v>
      </c>
    </row>
    <row r="102" spans="1:13">
      <c r="A102" s="124" t="s">
        <v>12</v>
      </c>
      <c r="B102" s="29">
        <v>45847</v>
      </c>
      <c r="C102" s="52"/>
      <c r="D102" s="52"/>
      <c r="E102" s="191">
        <v>8115.7668</v>
      </c>
      <c r="F102" s="191">
        <v>4.037827</v>
      </c>
      <c r="G102" s="191">
        <v>3.856661</v>
      </c>
      <c r="H102" s="191">
        <v>32.4195833333333</v>
      </c>
      <c r="I102" s="192">
        <v>0.833651702298302</v>
      </c>
      <c r="J102" s="192">
        <v>0.140255889672335</v>
      </c>
      <c r="K102" s="191">
        <v>20.9111666666667</v>
      </c>
      <c r="L102" s="191">
        <v>20.9111666666667</v>
      </c>
      <c r="M102" s="121">
        <v>2411</v>
      </c>
    </row>
    <row r="103" spans="1:13">
      <c r="A103" s="124" t="s">
        <v>12</v>
      </c>
      <c r="B103" s="29">
        <v>45848</v>
      </c>
      <c r="C103" s="52"/>
      <c r="D103" s="52"/>
      <c r="E103" s="191">
        <v>3653.8668</v>
      </c>
      <c r="F103" s="191">
        <v>1.80771</v>
      </c>
      <c r="G103" s="191">
        <v>1.71562</v>
      </c>
      <c r="H103" s="191">
        <v>28.47125</v>
      </c>
      <c r="I103" s="192">
        <v>0.838352648028206</v>
      </c>
      <c r="J103" s="192">
        <v>0.0631457693902945</v>
      </c>
      <c r="K103" s="191">
        <v>16.1009583333333</v>
      </c>
      <c r="L103" s="191">
        <v>16.1009583333333</v>
      </c>
      <c r="M103" s="121">
        <v>2411</v>
      </c>
    </row>
    <row r="104" spans="1:13">
      <c r="A104" s="124" t="s">
        <v>12</v>
      </c>
      <c r="B104" s="29">
        <v>45849</v>
      </c>
      <c r="C104" s="52"/>
      <c r="D104" s="52"/>
      <c r="E104" s="191">
        <v>5466.4688</v>
      </c>
      <c r="F104" s="191">
        <v>2.68598</v>
      </c>
      <c r="G104" s="191">
        <v>2.558219</v>
      </c>
      <c r="H104" s="191">
        <v>28.2108333333333</v>
      </c>
      <c r="I104" s="192">
        <v>0.844125244978775</v>
      </c>
      <c r="J104" s="192">
        <v>0.0944709802295037</v>
      </c>
      <c r="K104" s="191">
        <v>17.0627916666667</v>
      </c>
      <c r="L104" s="191">
        <v>17.0627916666667</v>
      </c>
      <c r="M104" s="121">
        <v>2411</v>
      </c>
    </row>
    <row r="105" spans="1:13">
      <c r="A105" s="124" t="s">
        <v>12</v>
      </c>
      <c r="B105" s="29">
        <v>45850</v>
      </c>
      <c r="C105" s="52"/>
      <c r="D105" s="52"/>
      <c r="E105" s="191">
        <v>3230.0778</v>
      </c>
      <c r="F105" s="191">
        <v>1.602254</v>
      </c>
      <c r="G105" s="191">
        <v>1.520487</v>
      </c>
      <c r="H105" s="191">
        <v>27.3025</v>
      </c>
      <c r="I105" s="192">
        <v>0.836150411970678</v>
      </c>
      <c r="J105" s="192">
        <v>0.0558218892575695</v>
      </c>
      <c r="K105" s="191">
        <v>15.4558333333333</v>
      </c>
      <c r="L105" s="191">
        <v>15.4558333333333</v>
      </c>
      <c r="M105" s="121">
        <v>2411</v>
      </c>
    </row>
    <row r="106" spans="1:13">
      <c r="A106" s="124" t="s">
        <v>12</v>
      </c>
      <c r="B106" s="29">
        <v>45851</v>
      </c>
      <c r="C106" s="52"/>
      <c r="D106" s="52"/>
      <c r="E106" s="191">
        <v>6838.1538</v>
      </c>
      <c r="F106" s="191">
        <v>3.346924</v>
      </c>
      <c r="G106" s="191">
        <v>3.185915</v>
      </c>
      <c r="H106" s="191">
        <v>28.02375</v>
      </c>
      <c r="I106" s="192">
        <v>0.847414329182169</v>
      </c>
      <c r="J106" s="192">
        <v>0.118176306511821</v>
      </c>
      <c r="K106" s="191">
        <v>17.9411666666667</v>
      </c>
      <c r="L106" s="191">
        <v>17.9411666666667</v>
      </c>
      <c r="M106" s="121">
        <v>2411</v>
      </c>
    </row>
    <row r="107" spans="1:13">
      <c r="A107" s="124" t="s">
        <v>12</v>
      </c>
      <c r="B107" s="29">
        <v>45852</v>
      </c>
      <c r="C107" s="52"/>
      <c r="D107" s="52"/>
      <c r="E107" s="191">
        <v>11502.3618</v>
      </c>
      <c r="F107" s="191">
        <v>5.6681689</v>
      </c>
      <c r="G107" s="191">
        <v>5.4690303</v>
      </c>
      <c r="H107" s="191">
        <v>26.625</v>
      </c>
      <c r="I107" s="192">
        <v>0.841680044797302</v>
      </c>
      <c r="J107" s="192">
        <v>0.198782693902945</v>
      </c>
      <c r="K107" s="191">
        <v>20.7478333333333</v>
      </c>
      <c r="L107" s="191">
        <v>20.7478333333333</v>
      </c>
      <c r="M107" s="121">
        <v>2411</v>
      </c>
    </row>
    <row r="108" spans="1:13">
      <c r="A108" s="124" t="s">
        <v>12</v>
      </c>
      <c r="B108" s="29">
        <v>45853</v>
      </c>
      <c r="C108" s="52"/>
      <c r="D108" s="52"/>
      <c r="E108" s="191">
        <v>11692.4768</v>
      </c>
      <c r="F108" s="191">
        <v>5.734683</v>
      </c>
      <c r="G108" s="191">
        <v>5.523127</v>
      </c>
      <c r="H108" s="191">
        <v>26.00375</v>
      </c>
      <c r="I108" s="192">
        <v>0.845667986639881</v>
      </c>
      <c r="J108" s="192">
        <v>0.202068242776165</v>
      </c>
      <c r="K108" s="191">
        <v>19.520875</v>
      </c>
      <c r="L108" s="191">
        <v>19.520875</v>
      </c>
      <c r="M108" s="121">
        <v>2411</v>
      </c>
    </row>
    <row r="109" spans="1:13">
      <c r="A109" s="124" t="s">
        <v>12</v>
      </c>
      <c r="B109" s="29">
        <v>45854</v>
      </c>
      <c r="C109" s="52"/>
      <c r="D109" s="52"/>
      <c r="E109" s="191">
        <v>12216.4568</v>
      </c>
      <c r="F109" s="191">
        <v>6.015022</v>
      </c>
      <c r="G109" s="191">
        <v>5.806306</v>
      </c>
      <c r="H109" s="191">
        <v>26.3779166666667</v>
      </c>
      <c r="I109" s="192">
        <v>0.842385403709957</v>
      </c>
      <c r="J109" s="192">
        <v>0.211123613991428</v>
      </c>
      <c r="K109" s="191">
        <v>19.9785</v>
      </c>
      <c r="L109" s="191">
        <v>19.9785</v>
      </c>
      <c r="M109" s="121">
        <v>2411</v>
      </c>
    </row>
    <row r="110" spans="1:13">
      <c r="A110" s="124" t="s">
        <v>12</v>
      </c>
      <c r="B110" s="29">
        <v>45855</v>
      </c>
      <c r="C110" s="52"/>
      <c r="D110" s="52"/>
      <c r="E110" s="191">
        <v>11842.9368</v>
      </c>
      <c r="F110" s="191">
        <v>5.840014</v>
      </c>
      <c r="G110" s="191">
        <v>5.634389</v>
      </c>
      <c r="H110" s="191">
        <v>27.1579166666667</v>
      </c>
      <c r="I110" s="192">
        <v>0.841101317127133</v>
      </c>
      <c r="J110" s="192">
        <v>0.204668477810037</v>
      </c>
      <c r="K110" s="191">
        <v>20.2541666666667</v>
      </c>
      <c r="L110" s="191">
        <v>20.2541666666667</v>
      </c>
      <c r="M110" s="121">
        <v>2411</v>
      </c>
    </row>
    <row r="111" spans="1:13">
      <c r="A111" s="124" t="s">
        <v>12</v>
      </c>
      <c r="B111" s="29">
        <v>45856</v>
      </c>
      <c r="C111" s="52"/>
      <c r="D111" s="52"/>
      <c r="E111" s="191">
        <v>8135.2318</v>
      </c>
      <c r="F111" s="191">
        <v>4.0731</v>
      </c>
      <c r="G111" s="191">
        <v>3.932927</v>
      </c>
      <c r="H111" s="191">
        <v>27.7533333333333</v>
      </c>
      <c r="I111" s="192">
        <v>0.82841441792674</v>
      </c>
      <c r="J111" s="192">
        <v>0.140592281902392</v>
      </c>
      <c r="K111" s="191">
        <v>18.342625</v>
      </c>
      <c r="L111" s="191">
        <v>18.342625</v>
      </c>
      <c r="M111" s="121">
        <v>2411</v>
      </c>
    </row>
    <row r="112" spans="1:13">
      <c r="A112" s="124" t="s">
        <v>12</v>
      </c>
      <c r="B112" s="29">
        <v>45857</v>
      </c>
      <c r="C112" s="52"/>
      <c r="D112" s="52"/>
      <c r="E112" s="191">
        <v>8527.5908</v>
      </c>
      <c r="F112" s="191">
        <v>4.177863</v>
      </c>
      <c r="G112" s="191">
        <v>4.004578</v>
      </c>
      <c r="H112" s="191">
        <v>27.4179166666667</v>
      </c>
      <c r="I112" s="192">
        <v>0.84659353459666</v>
      </c>
      <c r="J112" s="192">
        <v>0.147372991842942</v>
      </c>
      <c r="K112" s="191">
        <v>18.3544166666667</v>
      </c>
      <c r="L112" s="191">
        <v>18.3544166666667</v>
      </c>
      <c r="M112" s="121">
        <v>2411</v>
      </c>
    </row>
    <row r="113" spans="1:13">
      <c r="A113" s="124" t="s">
        <v>12</v>
      </c>
      <c r="B113" s="29">
        <v>45858</v>
      </c>
      <c r="C113" s="52"/>
      <c r="D113" s="52"/>
      <c r="E113" s="191">
        <v>8555.1268</v>
      </c>
      <c r="F113" s="191">
        <v>4.16778</v>
      </c>
      <c r="G113" s="191">
        <v>3.981254</v>
      </c>
      <c r="H113" s="191">
        <v>26.4870833333333</v>
      </c>
      <c r="I113" s="192">
        <v>0.851381980664256</v>
      </c>
      <c r="J113" s="192">
        <v>0.147848866307203</v>
      </c>
      <c r="K113" s="191">
        <v>17.86625</v>
      </c>
      <c r="L113" s="191">
        <v>17.86625</v>
      </c>
      <c r="M113" s="121">
        <v>2411</v>
      </c>
    </row>
    <row r="114" spans="1:13">
      <c r="A114" s="124" t="s">
        <v>12</v>
      </c>
      <c r="B114" s="29">
        <v>45859</v>
      </c>
      <c r="C114" s="52"/>
      <c r="D114" s="52"/>
      <c r="E114" s="191">
        <v>7249.0718</v>
      </c>
      <c r="F114" s="191">
        <v>3.55983</v>
      </c>
      <c r="G114" s="191">
        <v>3.393135</v>
      </c>
      <c r="H114" s="191">
        <v>28.8275</v>
      </c>
      <c r="I114" s="192">
        <v>0.844609442218493</v>
      </c>
      <c r="J114" s="192">
        <v>0.125277751278861</v>
      </c>
      <c r="K114" s="191">
        <v>18.5660416666667</v>
      </c>
      <c r="L114" s="191">
        <v>18.5660416666667</v>
      </c>
      <c r="M114" s="121">
        <v>2411</v>
      </c>
    </row>
    <row r="115" spans="1:13">
      <c r="A115" s="124" t="s">
        <v>12</v>
      </c>
      <c r="B115" s="29">
        <v>45860</v>
      </c>
      <c r="C115" s="52"/>
      <c r="D115" s="52"/>
      <c r="E115" s="191">
        <v>8228.6238</v>
      </c>
      <c r="F115" s="191">
        <v>4.039248</v>
      </c>
      <c r="G115" s="191">
        <v>3.855121</v>
      </c>
      <c r="H115" s="191">
        <v>28.7170833333333</v>
      </c>
      <c r="I115" s="192">
        <v>0.844947019824887</v>
      </c>
      <c r="J115" s="192">
        <v>0.142206273330568</v>
      </c>
      <c r="K115" s="191">
        <v>18.9105</v>
      </c>
      <c r="L115" s="191">
        <v>18.9105</v>
      </c>
      <c r="M115" s="121">
        <v>2411</v>
      </c>
    </row>
    <row r="116" spans="1:13">
      <c r="A116" s="124" t="s">
        <v>12</v>
      </c>
      <c r="B116" s="29">
        <v>45861</v>
      </c>
      <c r="C116" s="52"/>
      <c r="D116" s="52"/>
      <c r="E116" s="191">
        <v>11942.6568</v>
      </c>
      <c r="F116" s="191">
        <v>5.89045</v>
      </c>
      <c r="G116" s="191">
        <v>5.673423</v>
      </c>
      <c r="H116" s="191">
        <v>27.6904166666667</v>
      </c>
      <c r="I116" s="192">
        <v>0.840921134853395</v>
      </c>
      <c r="J116" s="192">
        <v>0.206391829116549</v>
      </c>
      <c r="K116" s="191">
        <v>20.4786666666667</v>
      </c>
      <c r="L116" s="191">
        <v>20.4786666666667</v>
      </c>
      <c r="M116" s="121">
        <v>2411</v>
      </c>
    </row>
    <row r="117" spans="1:13">
      <c r="A117" s="124" t="s">
        <v>12</v>
      </c>
      <c r="B117" s="29">
        <v>45862</v>
      </c>
      <c r="C117" s="52"/>
      <c r="D117" s="52"/>
      <c r="E117" s="191">
        <v>8821.7098</v>
      </c>
      <c r="F117" s="191">
        <v>4.310542</v>
      </c>
      <c r="G117" s="191">
        <v>4.122517</v>
      </c>
      <c r="H117" s="191">
        <v>26.8833333333333</v>
      </c>
      <c r="I117" s="192">
        <v>0.848835776248204</v>
      </c>
      <c r="J117" s="192">
        <v>0.15245592769252</v>
      </c>
      <c r="K117" s="191">
        <v>18.3401666666667</v>
      </c>
      <c r="L117" s="191">
        <v>18.3401666666667</v>
      </c>
      <c r="M117" s="121">
        <v>2411</v>
      </c>
    </row>
    <row r="118" spans="1:13">
      <c r="A118" s="124" t="s">
        <v>12</v>
      </c>
      <c r="B118" s="29">
        <v>45863</v>
      </c>
      <c r="C118" s="52"/>
      <c r="D118" s="52"/>
      <c r="E118" s="191">
        <v>9667.1768</v>
      </c>
      <c r="F118" s="191">
        <v>4.694311</v>
      </c>
      <c r="G118" s="191">
        <v>4.498839</v>
      </c>
      <c r="H118" s="191">
        <v>25.3841666666667</v>
      </c>
      <c r="I118" s="192">
        <v>0.854143012827337</v>
      </c>
      <c r="J118" s="192">
        <v>0.167067205862021</v>
      </c>
      <c r="K118" s="191">
        <v>17.9034166666667</v>
      </c>
      <c r="L118" s="191">
        <v>17.9034166666667</v>
      </c>
      <c r="M118" s="121">
        <v>2411</v>
      </c>
    </row>
    <row r="119" spans="1:13">
      <c r="A119" s="124" t="s">
        <v>12</v>
      </c>
      <c r="B119" s="29">
        <v>45864</v>
      </c>
      <c r="C119" s="52"/>
      <c r="D119" s="52"/>
      <c r="E119" s="191">
        <v>2947.0278</v>
      </c>
      <c r="F119" s="191">
        <v>1.454362</v>
      </c>
      <c r="G119" s="191">
        <v>1.3802</v>
      </c>
      <c r="H119" s="191">
        <v>24.6179166666667</v>
      </c>
      <c r="I119" s="192">
        <v>0.840455074358095</v>
      </c>
      <c r="J119" s="192">
        <v>0.0509302467855661</v>
      </c>
      <c r="K119" s="191">
        <v>13.9759583333333</v>
      </c>
      <c r="L119" s="191">
        <v>13.9759583333333</v>
      </c>
      <c r="M119" s="121">
        <v>2411</v>
      </c>
    </row>
    <row r="120" spans="1:13">
      <c r="A120" s="124" t="s">
        <v>12</v>
      </c>
      <c r="B120" s="29">
        <v>45865</v>
      </c>
      <c r="C120" s="52"/>
      <c r="D120" s="52"/>
      <c r="E120" s="191">
        <v>3883.4088</v>
      </c>
      <c r="F120" s="191">
        <v>1.9039</v>
      </c>
      <c r="G120" s="191">
        <v>1.809108</v>
      </c>
      <c r="H120" s="191">
        <v>25.9958333333333</v>
      </c>
      <c r="I120" s="192">
        <v>0.846002733283679</v>
      </c>
      <c r="J120" s="192">
        <v>0.0671126918291165</v>
      </c>
      <c r="K120" s="191">
        <v>15.1646666666667</v>
      </c>
      <c r="L120" s="191">
        <v>15.1646666666667</v>
      </c>
      <c r="M120" s="121">
        <v>2411</v>
      </c>
    </row>
    <row r="121" spans="1:13">
      <c r="A121" s="124" t="s">
        <v>12</v>
      </c>
      <c r="B121" s="29">
        <v>45866</v>
      </c>
      <c r="C121" s="52"/>
      <c r="D121" s="52"/>
      <c r="E121" s="191">
        <v>998.1558</v>
      </c>
      <c r="F121" s="191">
        <v>0.5460822</v>
      </c>
      <c r="G121" s="191">
        <v>0.5175333</v>
      </c>
      <c r="H121" s="191">
        <v>26.2633333333333</v>
      </c>
      <c r="I121" s="192">
        <v>0.758128989698224</v>
      </c>
      <c r="J121" s="192">
        <v>0.0172500311074243</v>
      </c>
      <c r="K121" s="191">
        <v>13.9437083333333</v>
      </c>
      <c r="L121" s="191">
        <v>13.9437083333333</v>
      </c>
      <c r="M121" s="121">
        <v>2411</v>
      </c>
    </row>
    <row r="122" spans="1:13">
      <c r="A122" s="124" t="s">
        <v>12</v>
      </c>
      <c r="B122" s="29">
        <v>45867</v>
      </c>
      <c r="C122" s="52"/>
      <c r="D122" s="52"/>
      <c r="E122" s="191">
        <v>12628.5068</v>
      </c>
      <c r="F122" s="191">
        <v>6.264027</v>
      </c>
      <c r="G122" s="191">
        <v>6.052844</v>
      </c>
      <c r="H122" s="191">
        <v>27.8958333333333</v>
      </c>
      <c r="I122" s="192">
        <v>0.836182686461507</v>
      </c>
      <c r="J122" s="192">
        <v>0.218244621871976</v>
      </c>
      <c r="K122" s="191">
        <v>21.1014166666667</v>
      </c>
      <c r="L122" s="191">
        <v>21.1014166666667</v>
      </c>
      <c r="M122" s="121">
        <v>2411</v>
      </c>
    </row>
    <row r="123" spans="1:13">
      <c r="A123" s="124" t="s">
        <v>12</v>
      </c>
      <c r="B123" s="29">
        <v>45868</v>
      </c>
      <c r="C123" s="52"/>
      <c r="D123" s="52"/>
      <c r="E123" s="191">
        <v>5294.6968</v>
      </c>
      <c r="F123" s="191">
        <v>2.570569</v>
      </c>
      <c r="G123" s="191">
        <v>2.445357</v>
      </c>
      <c r="H123" s="191">
        <v>25.6679166666667</v>
      </c>
      <c r="I123" s="192">
        <v>0.854308286999712</v>
      </c>
      <c r="J123" s="192">
        <v>0.0915024332918568</v>
      </c>
      <c r="K123" s="191">
        <v>15.6074583333333</v>
      </c>
      <c r="L123" s="191">
        <v>15.6074583333333</v>
      </c>
      <c r="M123" s="121">
        <v>2411</v>
      </c>
    </row>
    <row r="124" spans="1:13">
      <c r="A124" s="124" t="s">
        <v>12</v>
      </c>
      <c r="B124" s="29">
        <v>45869</v>
      </c>
      <c r="C124" s="52"/>
      <c r="D124" s="52"/>
      <c r="E124" s="191">
        <v>7554.0768</v>
      </c>
      <c r="F124" s="191">
        <v>3.688229</v>
      </c>
      <c r="G124" s="191">
        <v>3.512899</v>
      </c>
      <c r="H124" s="191">
        <v>26.97375</v>
      </c>
      <c r="I124" s="192">
        <v>0.849505719419547</v>
      </c>
      <c r="J124" s="192">
        <v>0.130548817917876</v>
      </c>
      <c r="K124" s="191">
        <v>17.835875</v>
      </c>
      <c r="L124" s="191">
        <v>17.835875</v>
      </c>
      <c r="M124" s="121">
        <v>2411</v>
      </c>
    </row>
    <row r="125" spans="1:13">
      <c r="A125" s="124" t="s">
        <v>12</v>
      </c>
      <c r="B125" s="29">
        <v>45870</v>
      </c>
      <c r="C125" s="52"/>
      <c r="D125" s="52"/>
      <c r="E125" s="191">
        <v>10796.8968</v>
      </c>
      <c r="F125" s="191">
        <v>5.276866</v>
      </c>
      <c r="G125" s="191">
        <v>5.070353</v>
      </c>
      <c r="H125" s="191">
        <v>26.4954166666667</v>
      </c>
      <c r="I125" s="192">
        <v>0.848644251942435</v>
      </c>
      <c r="J125" s="192">
        <v>0.186590916632103</v>
      </c>
      <c r="K125" s="191">
        <v>19.104625</v>
      </c>
      <c r="L125" s="191">
        <v>19.104625</v>
      </c>
      <c r="M125" s="121">
        <v>2411</v>
      </c>
    </row>
    <row r="126" spans="1:13">
      <c r="A126" s="124" t="s">
        <v>12</v>
      </c>
      <c r="B126" s="29">
        <v>45871</v>
      </c>
      <c r="C126" s="52"/>
      <c r="D126" s="52"/>
      <c r="E126" s="191">
        <v>6629.2138</v>
      </c>
      <c r="F126" s="191">
        <v>3.225623</v>
      </c>
      <c r="G126" s="191">
        <v>3.071929</v>
      </c>
      <c r="H126" s="191">
        <v>26.2554166666667</v>
      </c>
      <c r="I126" s="192">
        <v>0.852415245000981</v>
      </c>
      <c r="J126" s="192">
        <v>0.114565425826075</v>
      </c>
      <c r="K126" s="191">
        <v>16.7641666666667</v>
      </c>
      <c r="L126" s="191">
        <v>16.7641666666667</v>
      </c>
      <c r="M126" s="121">
        <v>2411</v>
      </c>
    </row>
    <row r="127" spans="1:13">
      <c r="A127" s="124" t="s">
        <v>12</v>
      </c>
      <c r="B127" s="29">
        <v>45872</v>
      </c>
      <c r="C127" s="52"/>
      <c r="D127" s="52"/>
      <c r="E127" s="191">
        <v>9650.5068</v>
      </c>
      <c r="F127" s="191">
        <v>4.69008</v>
      </c>
      <c r="G127" s="191">
        <v>4.506867</v>
      </c>
      <c r="H127" s="191">
        <v>25.2529166666667</v>
      </c>
      <c r="I127" s="192">
        <v>0.853439343716864</v>
      </c>
      <c r="J127" s="192">
        <v>0.16677911654915</v>
      </c>
      <c r="K127" s="191">
        <v>17.7356666666667</v>
      </c>
      <c r="L127" s="191">
        <v>17.7356666666667</v>
      </c>
      <c r="M127" s="121">
        <v>2411</v>
      </c>
    </row>
    <row r="128" spans="1:13">
      <c r="A128" s="124" t="s">
        <v>12</v>
      </c>
      <c r="B128" s="29">
        <v>45873</v>
      </c>
      <c r="C128" s="52"/>
      <c r="D128" s="52"/>
      <c r="E128" s="191">
        <v>4073.0268</v>
      </c>
      <c r="F128" s="191">
        <v>1.98657</v>
      </c>
      <c r="G128" s="191">
        <v>1.888686</v>
      </c>
      <c r="H128" s="191">
        <v>24.565</v>
      </c>
      <c r="I128" s="192">
        <v>0.850386162241626</v>
      </c>
      <c r="J128" s="192">
        <v>0.0703896515968478</v>
      </c>
      <c r="K128" s="191">
        <v>14.6360833333333</v>
      </c>
      <c r="L128" s="191">
        <v>14.6360833333333</v>
      </c>
      <c r="M128" s="121">
        <v>2411</v>
      </c>
    </row>
    <row r="129" spans="1:13">
      <c r="A129" s="124" t="s">
        <v>12</v>
      </c>
      <c r="B129" s="29">
        <v>45874</v>
      </c>
      <c r="C129" s="52"/>
      <c r="D129" s="52"/>
      <c r="E129" s="191">
        <v>9766.8168</v>
      </c>
      <c r="F129" s="191">
        <v>4.768533</v>
      </c>
      <c r="G129" s="191">
        <v>4.57267</v>
      </c>
      <c r="H129" s="191">
        <v>26.19375</v>
      </c>
      <c r="I129" s="192">
        <v>0.849514974687645</v>
      </c>
      <c r="J129" s="192">
        <v>0.168789174616342</v>
      </c>
      <c r="K129" s="191">
        <v>18.5842916666667</v>
      </c>
      <c r="L129" s="191">
        <v>18.5842916666667</v>
      </c>
      <c r="M129" s="121">
        <v>2411</v>
      </c>
    </row>
    <row r="130" spans="1:13">
      <c r="A130" s="124" t="s">
        <v>12</v>
      </c>
      <c r="B130" s="29">
        <v>45875</v>
      </c>
      <c r="C130" s="52"/>
      <c r="D130" s="52"/>
      <c r="E130" s="191">
        <v>11498.5668</v>
      </c>
      <c r="F130" s="191">
        <v>5.650645</v>
      </c>
      <c r="G130" s="191">
        <v>5.446601</v>
      </c>
      <c r="H130" s="191">
        <v>25.7916666666667</v>
      </c>
      <c r="I130" s="192">
        <v>0.844011722201771</v>
      </c>
      <c r="J130" s="192">
        <v>0.198717109083368</v>
      </c>
      <c r="K130" s="191">
        <v>19.1448333333333</v>
      </c>
      <c r="L130" s="191">
        <v>19.1448333333333</v>
      </c>
      <c r="M130" s="121">
        <v>2411</v>
      </c>
    </row>
    <row r="131" spans="1:13">
      <c r="A131" s="124" t="s">
        <v>12</v>
      </c>
      <c r="B131" s="29">
        <v>45876</v>
      </c>
      <c r="C131" s="52"/>
      <c r="D131" s="52"/>
      <c r="E131" s="191">
        <v>5151.7312</v>
      </c>
      <c r="F131" s="191">
        <v>2.5053857</v>
      </c>
      <c r="G131" s="191">
        <v>2.3869695</v>
      </c>
      <c r="H131" s="191">
        <v>25.3941666666667</v>
      </c>
      <c r="I131" s="192">
        <v>0.852867156515848</v>
      </c>
      <c r="J131" s="192">
        <v>0.0890317157472695</v>
      </c>
      <c r="K131" s="191">
        <v>15.435875</v>
      </c>
      <c r="L131" s="191">
        <v>15.435875</v>
      </c>
      <c r="M131" s="121">
        <v>2411</v>
      </c>
    </row>
    <row r="132" spans="1:13">
      <c r="A132" s="124" t="s">
        <v>12</v>
      </c>
      <c r="B132" s="29">
        <v>45877</v>
      </c>
      <c r="C132" s="52"/>
      <c r="D132" s="52"/>
      <c r="E132" s="191">
        <v>4549.7298</v>
      </c>
      <c r="F132" s="191">
        <v>2.218508</v>
      </c>
      <c r="G132" s="191">
        <v>2.109664</v>
      </c>
      <c r="H132" s="191">
        <v>26.1354166666667</v>
      </c>
      <c r="I132" s="192">
        <v>0.850603951622261</v>
      </c>
      <c r="J132" s="192">
        <v>0.0786279863127333</v>
      </c>
      <c r="K132" s="191">
        <v>15.5924166666667</v>
      </c>
      <c r="L132" s="191">
        <v>15.5924166666667</v>
      </c>
      <c r="M132" s="121">
        <v>2411</v>
      </c>
    </row>
    <row r="133" spans="1:13">
      <c r="A133" s="124" t="s">
        <v>12</v>
      </c>
      <c r="B133" s="29">
        <v>45878</v>
      </c>
      <c r="C133" s="52"/>
      <c r="D133" s="52"/>
      <c r="E133" s="191">
        <v>10518.1368</v>
      </c>
      <c r="F133" s="191">
        <v>5.149252</v>
      </c>
      <c r="G133" s="191">
        <v>4.944101</v>
      </c>
      <c r="H133" s="191">
        <v>25.9975</v>
      </c>
      <c r="I133" s="192">
        <v>0.847222455710586</v>
      </c>
      <c r="J133" s="192">
        <v>0.18177341352136</v>
      </c>
      <c r="K133" s="191">
        <v>18.70875</v>
      </c>
      <c r="L133" s="191">
        <v>18.70875</v>
      </c>
      <c r="M133" s="121">
        <v>2411</v>
      </c>
    </row>
    <row r="134" spans="1:13">
      <c r="A134" s="124" t="s">
        <v>12</v>
      </c>
      <c r="B134" s="29">
        <v>45879</v>
      </c>
      <c r="C134" s="52"/>
      <c r="D134" s="52"/>
      <c r="E134" s="191">
        <v>12283.7368</v>
      </c>
      <c r="F134" s="191">
        <v>6.061035</v>
      </c>
      <c r="G134" s="191">
        <v>5.853859</v>
      </c>
      <c r="H134" s="191">
        <v>26.6120833333333</v>
      </c>
      <c r="I134" s="192">
        <v>0.840594414852312</v>
      </c>
      <c r="J134" s="192">
        <v>0.212286340384349</v>
      </c>
      <c r="K134" s="191">
        <v>20.1833333333333</v>
      </c>
      <c r="L134" s="191">
        <v>20.1833333333333</v>
      </c>
      <c r="M134" s="121">
        <v>2411</v>
      </c>
    </row>
    <row r="135" spans="1:13">
      <c r="A135" s="124" t="s">
        <v>12</v>
      </c>
      <c r="B135" s="29">
        <v>45880</v>
      </c>
      <c r="C135" s="52"/>
      <c r="D135" s="52"/>
      <c r="E135" s="191">
        <v>6044.6887</v>
      </c>
      <c r="F135" s="191">
        <v>2.9433582</v>
      </c>
      <c r="G135" s="191">
        <v>2.8111562</v>
      </c>
      <c r="H135" s="191">
        <v>26.8270833333333</v>
      </c>
      <c r="I135" s="192">
        <v>0.851792106871469</v>
      </c>
      <c r="J135" s="192">
        <v>0.104463720102309</v>
      </c>
      <c r="K135" s="191">
        <v>16.7333333333333</v>
      </c>
      <c r="L135" s="191">
        <v>16.7333333333333</v>
      </c>
      <c r="M135" s="121">
        <v>2411</v>
      </c>
    </row>
    <row r="136" spans="1:13">
      <c r="A136" s="124" t="s">
        <v>12</v>
      </c>
      <c r="B136" s="29">
        <v>45881</v>
      </c>
      <c r="C136" s="52"/>
      <c r="D136" s="52"/>
      <c r="E136" s="191">
        <v>9157.1538</v>
      </c>
      <c r="F136" s="191">
        <v>4.48573</v>
      </c>
      <c r="G136" s="191">
        <v>4.300638</v>
      </c>
      <c r="H136" s="191">
        <v>27.2554166666667</v>
      </c>
      <c r="I136" s="192">
        <v>0.846701187053739</v>
      </c>
      <c r="J136" s="192">
        <v>0.15825303815844</v>
      </c>
      <c r="K136" s="191">
        <v>18.7098333333333</v>
      </c>
      <c r="L136" s="191">
        <v>18.7098333333333</v>
      </c>
      <c r="M136" s="121">
        <v>2411</v>
      </c>
    </row>
    <row r="137" spans="1:13">
      <c r="A137" s="124" t="s">
        <v>12</v>
      </c>
      <c r="B137" s="29">
        <v>45882</v>
      </c>
      <c r="C137" s="52"/>
      <c r="D137" s="52"/>
      <c r="E137" s="191">
        <v>9670.7728</v>
      </c>
      <c r="F137" s="191">
        <v>4.736663</v>
      </c>
      <c r="G137" s="191">
        <v>4.545881</v>
      </c>
      <c r="H137" s="191">
        <v>26.7820833333333</v>
      </c>
      <c r="I137" s="192">
        <v>0.846820733920174</v>
      </c>
      <c r="J137" s="192">
        <v>0.167129351583022</v>
      </c>
      <c r="K137" s="191">
        <v>18.744625</v>
      </c>
      <c r="L137" s="191">
        <v>18.744625</v>
      </c>
      <c r="M137" s="121">
        <v>2411</v>
      </c>
    </row>
    <row r="138" spans="1:13">
      <c r="A138" s="124" t="s">
        <v>12</v>
      </c>
      <c r="B138" s="29">
        <v>45883</v>
      </c>
      <c r="C138" s="52"/>
      <c r="D138" s="52"/>
      <c r="E138" s="191">
        <v>11515.7368</v>
      </c>
      <c r="F138" s="191">
        <v>5.688898</v>
      </c>
      <c r="G138" s="191">
        <v>5.483425</v>
      </c>
      <c r="H138" s="191">
        <v>27.3445833333333</v>
      </c>
      <c r="I138" s="192">
        <v>0.839588290093872</v>
      </c>
      <c r="J138" s="192">
        <v>0.199013839347435</v>
      </c>
      <c r="K138" s="191">
        <v>20.1670416666667</v>
      </c>
      <c r="L138" s="191">
        <v>20.1670416666667</v>
      </c>
      <c r="M138" s="121">
        <v>2411</v>
      </c>
    </row>
    <row r="139" spans="1:13">
      <c r="A139" s="124" t="s">
        <v>12</v>
      </c>
      <c r="B139" s="29">
        <v>45884</v>
      </c>
      <c r="C139" s="52"/>
      <c r="D139" s="52"/>
      <c r="E139" s="191">
        <v>9255.1968</v>
      </c>
      <c r="F139" s="191">
        <v>4.521639</v>
      </c>
      <c r="G139" s="191">
        <v>4.32881</v>
      </c>
      <c r="H139" s="191">
        <v>27.0820833333333</v>
      </c>
      <c r="I139" s="192">
        <v>0.848970425359341</v>
      </c>
      <c r="J139" s="192">
        <v>0.159947407714641</v>
      </c>
      <c r="K139" s="191">
        <v>18.5612916666667</v>
      </c>
      <c r="L139" s="191">
        <v>18.5612916666667</v>
      </c>
      <c r="M139" s="121">
        <v>2411</v>
      </c>
    </row>
    <row r="140" spans="1:13">
      <c r="A140" s="124" t="s">
        <v>12</v>
      </c>
      <c r="B140" s="29">
        <v>45885</v>
      </c>
      <c r="C140" s="52"/>
      <c r="D140" s="52"/>
      <c r="E140" s="191">
        <v>7684.3888</v>
      </c>
      <c r="F140" s="191">
        <v>3.785905</v>
      </c>
      <c r="G140" s="191">
        <v>3.613943</v>
      </c>
      <c r="H140" s="191">
        <v>27.1504166666667</v>
      </c>
      <c r="I140" s="192">
        <v>0.841864910074766</v>
      </c>
      <c r="J140" s="192">
        <v>0.132800857182359</v>
      </c>
      <c r="K140" s="191">
        <v>17.9035416666667</v>
      </c>
      <c r="L140" s="191">
        <v>17.9035416666667</v>
      </c>
      <c r="M140" s="121">
        <v>2411</v>
      </c>
    </row>
    <row r="141" spans="1:13">
      <c r="A141" s="124" t="s">
        <v>12</v>
      </c>
      <c r="B141" s="29">
        <v>45886</v>
      </c>
      <c r="C141" s="52"/>
      <c r="D141" s="52"/>
      <c r="E141" s="191">
        <v>13408.0768</v>
      </c>
      <c r="F141" s="191">
        <v>6.687817</v>
      </c>
      <c r="G141" s="191">
        <v>6.47228</v>
      </c>
      <c r="H141" s="191">
        <v>27.59875</v>
      </c>
      <c r="I141" s="192">
        <v>0.831543355398258</v>
      </c>
      <c r="J141" s="192">
        <v>0.231717074519563</v>
      </c>
      <c r="K141" s="191">
        <v>21.446375</v>
      </c>
      <c r="L141" s="191">
        <v>21.446375</v>
      </c>
      <c r="M141" s="121">
        <v>2411</v>
      </c>
    </row>
    <row r="142" spans="1:13">
      <c r="A142" s="124" t="s">
        <v>12</v>
      </c>
      <c r="B142" s="29">
        <v>45887</v>
      </c>
      <c r="C142" s="52"/>
      <c r="D142" s="52"/>
      <c r="E142" s="191">
        <v>13931.1568</v>
      </c>
      <c r="F142" s="191">
        <v>6.987002</v>
      </c>
      <c r="G142" s="191">
        <v>6.765366</v>
      </c>
      <c r="H142" s="191">
        <v>28.5029166666667</v>
      </c>
      <c r="I142" s="192">
        <v>0.82698779942301</v>
      </c>
      <c r="J142" s="192">
        <v>0.240756892022674</v>
      </c>
      <c r="K142" s="191">
        <v>22.1964583333333</v>
      </c>
      <c r="L142" s="191">
        <v>22.1964583333333</v>
      </c>
      <c r="M142" s="121">
        <v>2411</v>
      </c>
    </row>
    <row r="143" spans="1:13">
      <c r="A143" s="124" t="s">
        <v>12</v>
      </c>
      <c r="B143" s="29">
        <v>45888</v>
      </c>
      <c r="C143" s="52"/>
      <c r="D143" s="52"/>
      <c r="E143" s="191">
        <v>4909.0178</v>
      </c>
      <c r="F143" s="191">
        <v>2.409973</v>
      </c>
      <c r="G143" s="191">
        <v>2.29279</v>
      </c>
      <c r="H143" s="191">
        <v>28.6095833333333</v>
      </c>
      <c r="I143" s="192">
        <v>0.844860915463705</v>
      </c>
      <c r="J143" s="192">
        <v>0.0848371664592839</v>
      </c>
      <c r="K143" s="191">
        <v>16.9755416666667</v>
      </c>
      <c r="L143" s="191">
        <v>16.9755416666667</v>
      </c>
      <c r="M143" s="121">
        <v>2411</v>
      </c>
    </row>
    <row r="144" spans="1:13">
      <c r="A144" s="124" t="s">
        <v>12</v>
      </c>
      <c r="B144" s="29">
        <v>45889</v>
      </c>
      <c r="C144" s="52"/>
      <c r="D144" s="52"/>
      <c r="E144" s="191">
        <v>7062.3818</v>
      </c>
      <c r="F144" s="191">
        <v>3.449775</v>
      </c>
      <c r="G144" s="191">
        <v>3.287902</v>
      </c>
      <c r="H144" s="191">
        <v>27.8525</v>
      </c>
      <c r="I144" s="192">
        <v>0.849108544792628</v>
      </c>
      <c r="J144" s="192">
        <v>0.122051392921333</v>
      </c>
      <c r="K144" s="191">
        <v>17.7139583333333</v>
      </c>
      <c r="L144" s="191">
        <v>17.7139583333333</v>
      </c>
      <c r="M144" s="121">
        <v>2411</v>
      </c>
    </row>
    <row r="145" spans="1:13">
      <c r="A145" s="124" t="s">
        <v>12</v>
      </c>
      <c r="B145" s="29">
        <v>45890</v>
      </c>
      <c r="C145" s="52"/>
      <c r="D145" s="52"/>
      <c r="E145" s="191">
        <v>2381.1838</v>
      </c>
      <c r="F145" s="191">
        <v>1.198422</v>
      </c>
      <c r="G145" s="191">
        <v>1.137656</v>
      </c>
      <c r="H145" s="191">
        <v>26.8991666666667</v>
      </c>
      <c r="I145" s="192">
        <v>0.824111426697543</v>
      </c>
      <c r="J145" s="192">
        <v>0.0411513860085718</v>
      </c>
      <c r="K145" s="191">
        <v>14.7792083333333</v>
      </c>
      <c r="L145" s="191">
        <v>14.7792083333333</v>
      </c>
      <c r="M145" s="121">
        <v>2411</v>
      </c>
    </row>
    <row r="146" spans="1:13">
      <c r="A146" s="124" t="s">
        <v>12</v>
      </c>
      <c r="B146" s="29">
        <v>45891</v>
      </c>
      <c r="C146" s="52"/>
      <c r="D146" s="52"/>
      <c r="E146" s="191">
        <v>5196.6258</v>
      </c>
      <c r="F146" s="191">
        <v>2.550493</v>
      </c>
      <c r="G146" s="191">
        <v>2.441349</v>
      </c>
      <c r="H146" s="191">
        <v>26.56625</v>
      </c>
      <c r="I146" s="192">
        <v>0.845084427292033</v>
      </c>
      <c r="J146" s="192">
        <v>0.0898075798423891</v>
      </c>
      <c r="K146" s="191">
        <v>16.226125</v>
      </c>
      <c r="L146" s="191">
        <v>16.226125</v>
      </c>
      <c r="M146" s="121">
        <v>2411</v>
      </c>
    </row>
    <row r="147" spans="1:13">
      <c r="A147" s="124" t="s">
        <v>12</v>
      </c>
      <c r="B147" s="29">
        <v>45892</v>
      </c>
      <c r="C147" s="52"/>
      <c r="D147" s="52"/>
      <c r="E147" s="191">
        <v>7922.4732</v>
      </c>
      <c r="F147" s="191">
        <v>3.904072</v>
      </c>
      <c r="G147" s="191">
        <v>3.747265</v>
      </c>
      <c r="H147" s="191">
        <v>26.9529166666667</v>
      </c>
      <c r="I147" s="192">
        <v>0.841677562570604</v>
      </c>
      <c r="J147" s="192">
        <v>0.136915408544173</v>
      </c>
      <c r="K147" s="191">
        <v>16.85575</v>
      </c>
      <c r="L147" s="191">
        <v>16.85575</v>
      </c>
      <c r="M147" s="121">
        <v>2411</v>
      </c>
    </row>
    <row r="148" spans="1:13">
      <c r="A148" s="124" t="s">
        <v>12</v>
      </c>
      <c r="B148" s="29">
        <v>45893</v>
      </c>
      <c r="C148" s="52"/>
      <c r="D148" s="52"/>
      <c r="E148" s="191">
        <v>13426.9468</v>
      </c>
      <c r="F148" s="191">
        <v>6.696492</v>
      </c>
      <c r="G148" s="191">
        <v>6.481815</v>
      </c>
      <c r="H148" s="191">
        <v>27.51375</v>
      </c>
      <c r="I148" s="192">
        <v>0.831634894273706</v>
      </c>
      <c r="J148" s="192">
        <v>0.232043184017697</v>
      </c>
      <c r="K148" s="191">
        <v>21.3837916666667</v>
      </c>
      <c r="L148" s="191">
        <v>21.3837916666667</v>
      </c>
      <c r="M148" s="121">
        <v>2411</v>
      </c>
    </row>
    <row r="149" spans="1:13">
      <c r="A149" s="124" t="s">
        <v>12</v>
      </c>
      <c r="B149" s="29">
        <v>45894</v>
      </c>
      <c r="C149" s="52"/>
      <c r="D149" s="52"/>
      <c r="E149" s="191">
        <v>11733.8268</v>
      </c>
      <c r="F149" s="191">
        <v>5.813989</v>
      </c>
      <c r="G149" s="191">
        <v>5.603717</v>
      </c>
      <c r="H149" s="191">
        <v>28.1808333333333</v>
      </c>
      <c r="I149" s="192">
        <v>0.837082489588747</v>
      </c>
      <c r="J149" s="192">
        <v>0.202782849440066</v>
      </c>
      <c r="K149" s="191">
        <v>20.6239166666667</v>
      </c>
      <c r="L149" s="191">
        <v>20.6239166666667</v>
      </c>
      <c r="M149" s="121">
        <v>2411</v>
      </c>
    </row>
    <row r="150" spans="1:13">
      <c r="A150" s="124" t="s">
        <v>12</v>
      </c>
      <c r="B150" s="29">
        <v>45895</v>
      </c>
      <c r="C150" s="52"/>
      <c r="D150" s="52"/>
      <c r="E150" s="191">
        <v>8911.0308</v>
      </c>
      <c r="F150" s="191">
        <v>4.364475</v>
      </c>
      <c r="G150" s="191">
        <v>4.181479</v>
      </c>
      <c r="H150" s="191">
        <v>27.69625</v>
      </c>
      <c r="I150" s="192">
        <v>0.846834853654891</v>
      </c>
      <c r="J150" s="192">
        <v>0.15399956449606</v>
      </c>
      <c r="K150" s="191">
        <v>18.7289166666667</v>
      </c>
      <c r="L150" s="191">
        <v>18.7289166666667</v>
      </c>
      <c r="M150" s="121">
        <v>2411</v>
      </c>
    </row>
    <row r="151" spans="1:13">
      <c r="A151" s="124" t="s">
        <v>12</v>
      </c>
      <c r="B151" s="29">
        <v>45896</v>
      </c>
      <c r="C151" s="52"/>
      <c r="D151" s="52"/>
      <c r="E151" s="191">
        <v>11040.8268</v>
      </c>
      <c r="F151" s="191">
        <v>5.474075</v>
      </c>
      <c r="G151" s="191">
        <v>5.270742</v>
      </c>
      <c r="H151" s="191">
        <v>28.32875</v>
      </c>
      <c r="I151" s="192">
        <v>0.836553351201969</v>
      </c>
      <c r="J151" s="192">
        <v>0.190806491082538</v>
      </c>
      <c r="K151" s="191">
        <v>20.3175416666667</v>
      </c>
      <c r="L151" s="191">
        <v>20.3175416666667</v>
      </c>
      <c r="M151" s="121">
        <v>2411</v>
      </c>
    </row>
    <row r="152" spans="1:13">
      <c r="A152" s="124" t="s">
        <v>12</v>
      </c>
      <c r="B152" s="29">
        <v>45897</v>
      </c>
      <c r="C152" s="52"/>
      <c r="D152" s="52"/>
      <c r="E152" s="191">
        <v>5186.3178</v>
      </c>
      <c r="F152" s="191">
        <v>2.538383</v>
      </c>
      <c r="G152" s="191">
        <v>2.415423</v>
      </c>
      <c r="H152" s="191">
        <v>27.95875</v>
      </c>
      <c r="I152" s="192">
        <v>0.847431814592527</v>
      </c>
      <c r="J152" s="192">
        <v>0.0896294379925342</v>
      </c>
      <c r="K152" s="191">
        <v>16.7729583333333</v>
      </c>
      <c r="L152" s="191">
        <v>16.7729583333333</v>
      </c>
      <c r="M152" s="121">
        <v>2411</v>
      </c>
    </row>
    <row r="153" spans="1:13">
      <c r="A153" s="124" t="s">
        <v>12</v>
      </c>
      <c r="B153" s="29">
        <v>45898</v>
      </c>
      <c r="C153" s="52"/>
      <c r="D153" s="52"/>
      <c r="E153" s="191">
        <v>8765.5568</v>
      </c>
      <c r="F153" s="191">
        <v>4.299029</v>
      </c>
      <c r="G153" s="191">
        <v>4.12106</v>
      </c>
      <c r="H153" s="191">
        <v>27.7791666666667</v>
      </c>
      <c r="I153" s="192">
        <v>0.845691417448057</v>
      </c>
      <c r="J153" s="192">
        <v>0.151485497027513</v>
      </c>
      <c r="K153" s="191">
        <v>18.6835</v>
      </c>
      <c r="L153" s="191">
        <v>18.6835</v>
      </c>
      <c r="M153" s="121">
        <v>2411</v>
      </c>
    </row>
    <row r="154" spans="1:13">
      <c r="A154" s="124" t="s">
        <v>12</v>
      </c>
      <c r="B154" s="29">
        <v>45899</v>
      </c>
      <c r="C154" s="52"/>
      <c r="D154" s="52"/>
      <c r="E154" s="191">
        <v>5399.8048</v>
      </c>
      <c r="F154" s="191">
        <v>2.643656</v>
      </c>
      <c r="G154" s="191">
        <v>2.516484</v>
      </c>
      <c r="H154" s="191">
        <v>27.8866666666667</v>
      </c>
      <c r="I154" s="192">
        <v>0.847180415198852</v>
      </c>
      <c r="J154" s="192">
        <v>0.0933188994884557</v>
      </c>
      <c r="K154" s="191">
        <v>16.954</v>
      </c>
      <c r="L154" s="191">
        <v>16.954</v>
      </c>
      <c r="M154" s="121">
        <v>2411</v>
      </c>
    </row>
    <row r="155" spans="1:13">
      <c r="A155" s="124" t="s">
        <v>12</v>
      </c>
      <c r="B155" s="29">
        <v>45900</v>
      </c>
      <c r="C155" s="52"/>
      <c r="D155" s="52"/>
      <c r="E155" s="191">
        <v>13094.6728</v>
      </c>
      <c r="F155" s="191">
        <v>6.566164</v>
      </c>
      <c r="G155" s="191">
        <v>6.353965</v>
      </c>
      <c r="H155" s="191">
        <v>29.0870833333333</v>
      </c>
      <c r="I155" s="192">
        <v>0.827152744338491</v>
      </c>
      <c r="J155" s="192">
        <v>0.226300857182359</v>
      </c>
      <c r="K155" s="191">
        <v>22.068625</v>
      </c>
      <c r="L155" s="191">
        <v>22.068625</v>
      </c>
      <c r="M155" s="121">
        <v>2411</v>
      </c>
    </row>
    <row r="156" spans="1:13">
      <c r="A156" s="124" t="s">
        <v>12</v>
      </c>
      <c r="B156" s="29">
        <v>45901</v>
      </c>
      <c r="C156" s="52"/>
      <c r="D156" s="52"/>
      <c r="E156" s="191">
        <v>8457.9968</v>
      </c>
      <c r="F156" s="191">
        <v>4.151082</v>
      </c>
      <c r="G156" s="191">
        <v>3.970743</v>
      </c>
      <c r="H156" s="191">
        <v>28.9079166666667</v>
      </c>
      <c r="I156" s="192">
        <v>0.845101735660549</v>
      </c>
      <c r="J156" s="192">
        <v>0.146170275127886</v>
      </c>
      <c r="K156" s="191">
        <v>19.1090833333333</v>
      </c>
      <c r="L156" s="191">
        <v>19.1090833333333</v>
      </c>
      <c r="M156" s="121">
        <v>2411</v>
      </c>
    </row>
    <row r="157" spans="1:13">
      <c r="A157" s="124" t="s">
        <v>12</v>
      </c>
      <c r="B157" s="29">
        <v>45902</v>
      </c>
      <c r="C157" s="52"/>
      <c r="D157" s="52"/>
      <c r="E157" s="191">
        <v>11125.9858</v>
      </c>
      <c r="F157" s="191">
        <v>5.525977</v>
      </c>
      <c r="G157" s="191">
        <v>5.327956</v>
      </c>
      <c r="H157" s="191">
        <v>29.1125</v>
      </c>
      <c r="I157" s="192">
        <v>0.835087951795628</v>
      </c>
      <c r="J157" s="192">
        <v>0.192278200608323</v>
      </c>
      <c r="K157" s="191">
        <v>20.8323333333333</v>
      </c>
      <c r="L157" s="191">
        <v>20.8323333333333</v>
      </c>
      <c r="M157" s="121">
        <v>2411</v>
      </c>
    </row>
    <row r="158" spans="1:13">
      <c r="A158" s="124" t="s">
        <v>12</v>
      </c>
      <c r="B158" s="29">
        <v>45903</v>
      </c>
      <c r="C158" s="52"/>
      <c r="D158" s="52"/>
      <c r="E158" s="191">
        <v>9653.33279999999</v>
      </c>
      <c r="F158" s="191">
        <v>4.782754</v>
      </c>
      <c r="G158" s="191">
        <v>4.597342</v>
      </c>
      <c r="H158" s="191">
        <v>29.3058333333333</v>
      </c>
      <c r="I158" s="192">
        <v>0.837147577510241</v>
      </c>
      <c r="J158" s="192">
        <v>0.166827955205309</v>
      </c>
      <c r="K158" s="191">
        <v>20.2463333333333</v>
      </c>
      <c r="L158" s="191">
        <v>20.2463333333333</v>
      </c>
      <c r="M158" s="121">
        <v>2411</v>
      </c>
    </row>
    <row r="159" spans="1:13">
      <c r="A159" s="124" t="s">
        <v>12</v>
      </c>
      <c r="B159" s="29">
        <v>45904</v>
      </c>
      <c r="C159" s="52"/>
      <c r="D159" s="52"/>
      <c r="E159" s="191">
        <v>12858.0628</v>
      </c>
      <c r="F159" s="191">
        <v>6.462298</v>
      </c>
      <c r="G159" s="191">
        <v>6.259302</v>
      </c>
      <c r="H159" s="191">
        <v>30.2745833333333</v>
      </c>
      <c r="I159" s="192">
        <v>0.825261055769689</v>
      </c>
      <c r="J159" s="192">
        <v>0.222211786257431</v>
      </c>
      <c r="K159" s="191">
        <v>22.7578333333333</v>
      </c>
      <c r="L159" s="191">
        <v>22.7578333333333</v>
      </c>
      <c r="M159" s="121">
        <v>2411</v>
      </c>
    </row>
    <row r="160" spans="1:13">
      <c r="A160" s="124" t="s">
        <v>12</v>
      </c>
      <c r="B160" s="29">
        <v>45905</v>
      </c>
      <c r="C160" s="52"/>
      <c r="D160" s="52"/>
      <c r="E160" s="191">
        <v>13664.6998</v>
      </c>
      <c r="F160" s="191">
        <v>6.892505</v>
      </c>
      <c r="G160" s="191">
        <v>6.681869</v>
      </c>
      <c r="H160" s="191">
        <v>29.8054166666667</v>
      </c>
      <c r="I160" s="192">
        <v>0.822291488474711</v>
      </c>
      <c r="J160" s="192">
        <v>0.236152008157058</v>
      </c>
      <c r="K160" s="191">
        <v>22.8450416666667</v>
      </c>
      <c r="L160" s="191">
        <v>22.8450416666667</v>
      </c>
      <c r="M160" s="121">
        <v>2411</v>
      </c>
    </row>
    <row r="161" spans="1:13">
      <c r="A161" s="124" t="s">
        <v>12</v>
      </c>
      <c r="B161" s="29">
        <v>45906</v>
      </c>
      <c r="C161" s="52"/>
      <c r="D161" s="52"/>
      <c r="E161" s="191">
        <v>7119.9968</v>
      </c>
      <c r="F161" s="191">
        <v>3.483677</v>
      </c>
      <c r="G161" s="191">
        <v>3.329083</v>
      </c>
      <c r="H161" s="191">
        <v>28.6379166666667</v>
      </c>
      <c r="I161" s="192">
        <v>0.847704925991501</v>
      </c>
      <c r="J161" s="192">
        <v>0.123047089727637</v>
      </c>
      <c r="K161" s="191">
        <v>18.3372916666667</v>
      </c>
      <c r="L161" s="191">
        <v>18.3372916666667</v>
      </c>
      <c r="M161" s="121">
        <v>2411</v>
      </c>
    </row>
    <row r="162" spans="1:13">
      <c r="A162" s="124" t="s">
        <v>12</v>
      </c>
      <c r="B162" s="29">
        <v>45907</v>
      </c>
      <c r="C162" s="52"/>
      <c r="D162" s="52"/>
      <c r="E162" s="191">
        <v>10768.0908</v>
      </c>
      <c r="F162" s="191">
        <v>5.283919</v>
      </c>
      <c r="G162" s="191">
        <v>5.085411</v>
      </c>
      <c r="H162" s="191">
        <v>27.37125</v>
      </c>
      <c r="I162" s="192">
        <v>0.84525032644204</v>
      </c>
      <c r="J162" s="192">
        <v>0.186093094151804</v>
      </c>
      <c r="K162" s="191">
        <v>19.842375</v>
      </c>
      <c r="L162" s="191">
        <v>19.842375</v>
      </c>
      <c r="M162" s="121">
        <v>2411</v>
      </c>
    </row>
    <row r="163" spans="1:13">
      <c r="A163" s="124" t="s">
        <v>12</v>
      </c>
      <c r="B163" s="29">
        <v>45908</v>
      </c>
      <c r="C163" s="52"/>
      <c r="D163" s="52"/>
      <c r="E163" s="191">
        <v>12802.9788</v>
      </c>
      <c r="F163" s="191">
        <v>6.307252</v>
      </c>
      <c r="G163" s="191">
        <v>6.103842</v>
      </c>
      <c r="H163" s="191">
        <v>25.5341666666667</v>
      </c>
      <c r="I163" s="192">
        <v>0.841925440541448</v>
      </c>
      <c r="J163" s="192">
        <v>0.22125982994608</v>
      </c>
      <c r="K163" s="191">
        <v>19.8631666666667</v>
      </c>
      <c r="L163" s="191">
        <v>19.8631666666667</v>
      </c>
      <c r="M163" s="121">
        <v>2411</v>
      </c>
    </row>
    <row r="164" spans="1:13">
      <c r="A164" s="124" t="s">
        <v>12</v>
      </c>
      <c r="B164" s="29">
        <v>45909</v>
      </c>
      <c r="C164" s="52"/>
      <c r="D164" s="52"/>
      <c r="E164" s="191">
        <v>13511.4888</v>
      </c>
      <c r="F164" s="191">
        <v>6.732326</v>
      </c>
      <c r="G164" s="191">
        <v>6.524468</v>
      </c>
      <c r="H164" s="191">
        <v>26.9045833333333</v>
      </c>
      <c r="I164" s="192">
        <v>0.832416839979664</v>
      </c>
      <c r="J164" s="192">
        <v>0.233504230609705</v>
      </c>
      <c r="K164" s="191">
        <v>21.3302916666667</v>
      </c>
      <c r="L164" s="191">
        <v>21.3302916666667</v>
      </c>
      <c r="M164" s="121">
        <v>2411</v>
      </c>
    </row>
    <row r="165" spans="1:13">
      <c r="A165" s="124" t="s">
        <v>12</v>
      </c>
      <c r="B165" s="29">
        <v>45910</v>
      </c>
      <c r="C165" s="52"/>
      <c r="D165" s="52"/>
      <c r="E165" s="191">
        <v>13330.1258</v>
      </c>
      <c r="F165" s="191">
        <v>6.638356</v>
      </c>
      <c r="G165" s="191">
        <v>6.434654</v>
      </c>
      <c r="H165" s="191">
        <v>26.7570833333333</v>
      </c>
      <c r="I165" s="192">
        <v>0.832868618481631</v>
      </c>
      <c r="J165" s="192">
        <v>0.230369932946219</v>
      </c>
      <c r="K165" s="191">
        <v>20.9787916666667</v>
      </c>
      <c r="L165" s="191">
        <v>20.9787916666667</v>
      </c>
      <c r="M165" s="121">
        <v>2411</v>
      </c>
    </row>
    <row r="166" spans="1:13">
      <c r="A166" s="124" t="s">
        <v>12</v>
      </c>
      <c r="B166" s="29">
        <v>45911</v>
      </c>
      <c r="C166" s="52"/>
      <c r="D166" s="52"/>
      <c r="E166" s="191">
        <v>8570.9678</v>
      </c>
      <c r="F166" s="191">
        <v>4.16729</v>
      </c>
      <c r="G166" s="191">
        <v>3.998446</v>
      </c>
      <c r="H166" s="191">
        <v>25.6583333333333</v>
      </c>
      <c r="I166" s="192">
        <v>0.853058725011171</v>
      </c>
      <c r="J166" s="192">
        <v>0.148122628922992</v>
      </c>
      <c r="K166" s="191">
        <v>17.3600416666667</v>
      </c>
      <c r="L166" s="191">
        <v>17.3600416666667</v>
      </c>
      <c r="M166" s="121">
        <v>2411</v>
      </c>
    </row>
    <row r="167" spans="1:13">
      <c r="A167" s="124" t="s">
        <v>12</v>
      </c>
      <c r="B167" s="29">
        <v>45912</v>
      </c>
      <c r="C167" s="52"/>
      <c r="D167" s="52"/>
      <c r="E167" s="191">
        <v>6901.4152</v>
      </c>
      <c r="F167" s="191">
        <v>3.3510907</v>
      </c>
      <c r="G167" s="191">
        <v>3.2027844</v>
      </c>
      <c r="H167" s="191">
        <v>26.2295833333333</v>
      </c>
      <c r="I167" s="192">
        <v>0.854190551286174</v>
      </c>
      <c r="J167" s="192">
        <v>0.11926958385179</v>
      </c>
      <c r="K167" s="191">
        <v>16.9975833333333</v>
      </c>
      <c r="L167" s="191">
        <v>16.9975833333333</v>
      </c>
      <c r="M167" s="121">
        <v>2411</v>
      </c>
    </row>
    <row r="168" spans="1:13">
      <c r="A168" s="124" t="s">
        <v>12</v>
      </c>
      <c r="B168" s="29">
        <v>45913</v>
      </c>
      <c r="C168" s="52"/>
      <c r="D168" s="52"/>
      <c r="E168" s="191">
        <v>7933.9688</v>
      </c>
      <c r="F168" s="191">
        <v>3.854101</v>
      </c>
      <c r="G168" s="191">
        <v>3.68822</v>
      </c>
      <c r="H168" s="191">
        <v>26.4975</v>
      </c>
      <c r="I168" s="192">
        <v>0.853827594334292</v>
      </c>
      <c r="J168" s="192">
        <v>0.137114074381308</v>
      </c>
      <c r="K168" s="191">
        <v>17.6947916666667</v>
      </c>
      <c r="L168" s="191">
        <v>17.6947916666667</v>
      </c>
      <c r="M168" s="121">
        <v>2411</v>
      </c>
    </row>
    <row r="169" spans="1:13">
      <c r="A169" s="124" t="s">
        <v>12</v>
      </c>
      <c r="B169" s="29">
        <v>45914</v>
      </c>
      <c r="C169" s="52"/>
      <c r="D169" s="52"/>
      <c r="E169" s="191">
        <v>12197.5768</v>
      </c>
      <c r="F169" s="191">
        <v>6.061299</v>
      </c>
      <c r="G169" s="191">
        <v>5.862512</v>
      </c>
      <c r="H169" s="191">
        <v>27.505</v>
      </c>
      <c r="I169" s="192">
        <v>0.834662002350073</v>
      </c>
      <c r="J169" s="192">
        <v>0.210797331674271</v>
      </c>
      <c r="K169" s="191">
        <v>20.7952916666667</v>
      </c>
      <c r="L169" s="191">
        <v>20.7952916666667</v>
      </c>
      <c r="M169" s="121">
        <v>2411</v>
      </c>
    </row>
    <row r="170" spans="1:13">
      <c r="A170" s="124" t="s">
        <v>12</v>
      </c>
      <c r="B170" s="29">
        <v>45915</v>
      </c>
      <c r="C170" s="52"/>
      <c r="D170" s="52"/>
      <c r="E170" s="191">
        <v>11106.6808</v>
      </c>
      <c r="F170" s="191">
        <v>5.45559</v>
      </c>
      <c r="G170" s="191">
        <v>5.260153</v>
      </c>
      <c r="H170" s="191">
        <v>26.3333333333333</v>
      </c>
      <c r="I170" s="192">
        <v>0.844394421791882</v>
      </c>
      <c r="J170" s="192">
        <v>0.191944573482649</v>
      </c>
      <c r="K170" s="191">
        <v>19.317125</v>
      </c>
      <c r="L170" s="191">
        <v>19.317125</v>
      </c>
      <c r="M170" s="121">
        <v>2411</v>
      </c>
    </row>
    <row r="171" spans="1:13">
      <c r="A171" s="124" t="s">
        <v>12</v>
      </c>
      <c r="B171" s="29">
        <v>45916</v>
      </c>
      <c r="C171" s="52"/>
      <c r="D171" s="52"/>
      <c r="E171" s="191">
        <v>10888.4778</v>
      </c>
      <c r="F171" s="191">
        <v>5.447023</v>
      </c>
      <c r="G171" s="191">
        <v>5.268463</v>
      </c>
      <c r="H171" s="191">
        <v>27.7916666666667</v>
      </c>
      <c r="I171" s="192">
        <v>0.829107322080546</v>
      </c>
      <c r="J171" s="192">
        <v>0.188173610535048</v>
      </c>
      <c r="K171" s="191">
        <v>20.1639166666667</v>
      </c>
      <c r="L171" s="191">
        <v>20.1639166666667</v>
      </c>
      <c r="M171" s="121">
        <v>2411</v>
      </c>
    </row>
    <row r="172" spans="1:13">
      <c r="A172" s="124" t="s">
        <v>12</v>
      </c>
      <c r="B172" s="29">
        <v>45917</v>
      </c>
      <c r="C172" s="52"/>
      <c r="D172" s="52"/>
      <c r="E172" s="191">
        <v>11358.7932</v>
      </c>
      <c r="F172" s="191">
        <v>5.56368</v>
      </c>
      <c r="G172" s="191">
        <v>5.37234</v>
      </c>
      <c r="H172" s="191">
        <v>26.06125</v>
      </c>
      <c r="I172" s="192">
        <v>0.846784381723817</v>
      </c>
      <c r="J172" s="192">
        <v>0.196301555371215</v>
      </c>
      <c r="K172" s="191">
        <v>18.1121666666667</v>
      </c>
      <c r="L172" s="191">
        <v>18.1121666666667</v>
      </c>
      <c r="M172" s="121">
        <v>2411</v>
      </c>
    </row>
    <row r="173" spans="1:13">
      <c r="A173" s="124" t="s">
        <v>12</v>
      </c>
      <c r="B173" s="29">
        <v>45918</v>
      </c>
      <c r="C173" s="52"/>
      <c r="D173" s="52"/>
      <c r="E173" s="191">
        <v>11358.1398</v>
      </c>
      <c r="F173" s="191">
        <v>5.617008</v>
      </c>
      <c r="G173" s="191">
        <v>5.4199373</v>
      </c>
      <c r="H173" s="191">
        <v>27.5304166666667</v>
      </c>
      <c r="I173" s="192">
        <v>0.838696744072399</v>
      </c>
      <c r="J173" s="192">
        <v>0.196290263376192</v>
      </c>
      <c r="K173" s="191">
        <v>20.45125</v>
      </c>
      <c r="L173" s="191">
        <v>20.45125</v>
      </c>
      <c r="M173" s="121">
        <v>2411</v>
      </c>
    </row>
    <row r="174" spans="1:13">
      <c r="A174" s="124" t="s">
        <v>12</v>
      </c>
      <c r="B174" s="29">
        <v>45919</v>
      </c>
      <c r="C174" s="52"/>
      <c r="D174" s="52"/>
      <c r="E174" s="191">
        <v>13127.3368</v>
      </c>
      <c r="F174" s="191">
        <v>6.530196</v>
      </c>
      <c r="G174" s="191">
        <v>6.322706</v>
      </c>
      <c r="H174" s="191">
        <v>27.2091666666667</v>
      </c>
      <c r="I174" s="192">
        <v>0.833783316428793</v>
      </c>
      <c r="J174" s="192">
        <v>0.226865353242085</v>
      </c>
      <c r="K174" s="191">
        <v>21.1114166666667</v>
      </c>
      <c r="L174" s="191">
        <v>21.1114166666667</v>
      </c>
      <c r="M174" s="121">
        <v>2411</v>
      </c>
    </row>
    <row r="175" spans="1:13">
      <c r="A175" s="124" t="s">
        <v>12</v>
      </c>
      <c r="B175" s="29">
        <v>45920</v>
      </c>
      <c r="C175" s="52"/>
      <c r="D175" s="52"/>
      <c r="E175" s="191">
        <v>14085.7637</v>
      </c>
      <c r="F175" s="191">
        <v>7.05424</v>
      </c>
      <c r="G175" s="191">
        <v>6.841106</v>
      </c>
      <c r="H175" s="191">
        <v>27.1025</v>
      </c>
      <c r="I175" s="192">
        <v>0.828195672540458</v>
      </c>
      <c r="J175" s="192">
        <v>0.243428793377575</v>
      </c>
      <c r="K175" s="191">
        <v>21.669875</v>
      </c>
      <c r="L175" s="191">
        <v>21.669875</v>
      </c>
      <c r="M175" s="121">
        <v>2411</v>
      </c>
    </row>
    <row r="176" spans="1:13">
      <c r="A176" s="124" t="s">
        <v>12</v>
      </c>
      <c r="B176" s="29">
        <v>45921</v>
      </c>
      <c r="C176" s="52"/>
      <c r="D176" s="52"/>
      <c r="E176" s="191">
        <v>11461.2432</v>
      </c>
      <c r="F176" s="191">
        <v>5.69647</v>
      </c>
      <c r="G176" s="191">
        <v>5.504841</v>
      </c>
      <c r="H176" s="191">
        <v>27.4479166666667</v>
      </c>
      <c r="I176" s="192">
        <v>0.834504538865325</v>
      </c>
      <c r="J176" s="192">
        <v>0.198072086271257</v>
      </c>
      <c r="K176" s="191">
        <v>19.115125</v>
      </c>
      <c r="L176" s="191">
        <v>19.115125</v>
      </c>
      <c r="M176" s="121">
        <v>2411</v>
      </c>
    </row>
    <row r="177" spans="1:13">
      <c r="A177" s="124" t="s">
        <v>12</v>
      </c>
      <c r="B177" s="29">
        <v>45922</v>
      </c>
      <c r="C177" s="52"/>
      <c r="D177" s="52"/>
      <c r="E177" s="191">
        <v>13096.2332</v>
      </c>
      <c r="F177" s="191">
        <v>6.52791</v>
      </c>
      <c r="G177" s="191">
        <v>6.32735</v>
      </c>
      <c r="H177" s="191">
        <v>27.2875</v>
      </c>
      <c r="I177" s="192">
        <v>0.832099059685017</v>
      </c>
      <c r="J177" s="192">
        <v>0.226327823862851</v>
      </c>
      <c r="K177" s="191">
        <v>19.9691666666667</v>
      </c>
      <c r="L177" s="191">
        <v>19.9691666666667</v>
      </c>
      <c r="M177" s="121">
        <v>2411</v>
      </c>
    </row>
    <row r="178" spans="1:13">
      <c r="A178" s="124" t="s">
        <v>12</v>
      </c>
      <c r="B178" s="29">
        <v>45923</v>
      </c>
      <c r="C178" s="52"/>
      <c r="D178" s="52"/>
      <c r="E178" s="191">
        <v>14905.7421</v>
      </c>
      <c r="F178" s="191">
        <v>7.5159673</v>
      </c>
      <c r="G178" s="191">
        <v>7.2948418</v>
      </c>
      <c r="H178" s="191">
        <v>27.1304166666667</v>
      </c>
      <c r="I178" s="192">
        <v>0.822567432031606</v>
      </c>
      <c r="J178" s="192">
        <v>0.257599580049772</v>
      </c>
      <c r="K178" s="191">
        <v>22.2004583333333</v>
      </c>
      <c r="L178" s="191">
        <v>22.2004583333333</v>
      </c>
      <c r="M178" s="121">
        <v>2411</v>
      </c>
    </row>
    <row r="179" spans="1:13">
      <c r="A179" s="124" t="s">
        <v>12</v>
      </c>
      <c r="B179" s="29">
        <v>45924</v>
      </c>
      <c r="C179" s="52"/>
      <c r="D179" s="52"/>
      <c r="E179" s="191">
        <v>14649.224</v>
      </c>
      <c r="F179" s="191">
        <v>7.407026</v>
      </c>
      <c r="G179" s="191">
        <v>7.186471</v>
      </c>
      <c r="H179" s="191">
        <v>28.33125</v>
      </c>
      <c r="I179" s="192">
        <v>0.820301565407238</v>
      </c>
      <c r="J179" s="192">
        <v>0.253166459283838</v>
      </c>
      <c r="K179" s="191">
        <v>22.7817916666667</v>
      </c>
      <c r="L179" s="191">
        <v>22.7817916666667</v>
      </c>
      <c r="M179" s="121">
        <v>2411</v>
      </c>
    </row>
    <row r="180" spans="1:13">
      <c r="A180" s="124" t="s">
        <v>12</v>
      </c>
      <c r="B180" s="29">
        <v>45925</v>
      </c>
      <c r="C180" s="52"/>
      <c r="D180" s="52"/>
      <c r="E180" s="191">
        <v>12138.2632</v>
      </c>
      <c r="F180" s="191">
        <v>6.0484667</v>
      </c>
      <c r="G180" s="191">
        <v>5.8497136</v>
      </c>
      <c r="H180" s="191">
        <v>27.9229166666667</v>
      </c>
      <c r="I180" s="192">
        <v>0.832365451542541</v>
      </c>
      <c r="J180" s="192">
        <v>0.209772279828563</v>
      </c>
      <c r="K180" s="191">
        <v>20.8905416666667</v>
      </c>
      <c r="L180" s="191">
        <v>20.8905416666667</v>
      </c>
      <c r="M180" s="121">
        <v>2411</v>
      </c>
    </row>
    <row r="181" spans="1:13">
      <c r="A181" s="124" t="s">
        <v>12</v>
      </c>
      <c r="B181" s="29">
        <v>45926</v>
      </c>
      <c r="C181" s="52"/>
      <c r="D181" s="52"/>
      <c r="E181" s="191">
        <v>10631.0332</v>
      </c>
      <c r="F181" s="191">
        <v>5.240317</v>
      </c>
      <c r="G181" s="191">
        <v>5.053732</v>
      </c>
      <c r="H181" s="191">
        <v>27.6395833333333</v>
      </c>
      <c r="I181" s="192">
        <v>0.841435255553652</v>
      </c>
      <c r="J181" s="192">
        <v>0.183724478086548</v>
      </c>
      <c r="K181" s="191">
        <v>18.5784583333333</v>
      </c>
      <c r="L181" s="191">
        <v>18.5784583333333</v>
      </c>
      <c r="M181" s="121">
        <v>2411</v>
      </c>
    </row>
    <row r="182" spans="1:13">
      <c r="A182" s="124" t="s">
        <v>12</v>
      </c>
      <c r="B182" s="29">
        <v>45927</v>
      </c>
      <c r="C182" s="52"/>
      <c r="D182" s="52"/>
      <c r="E182" s="191">
        <v>9534.77319999999</v>
      </c>
      <c r="F182" s="191">
        <v>4.677925</v>
      </c>
      <c r="G182" s="191">
        <v>4.504378</v>
      </c>
      <c r="H182" s="191">
        <v>27.7283333333333</v>
      </c>
      <c r="I182" s="192">
        <v>0.84539544231511</v>
      </c>
      <c r="J182" s="192">
        <v>0.164779019770496</v>
      </c>
      <c r="K182" s="191">
        <v>18.080875</v>
      </c>
      <c r="L182" s="191">
        <v>18.080875</v>
      </c>
      <c r="M182" s="121">
        <v>2411</v>
      </c>
    </row>
    <row r="183" spans="1:13">
      <c r="A183" s="124" t="s">
        <v>12</v>
      </c>
      <c r="B183" s="29">
        <v>45928</v>
      </c>
      <c r="C183" s="52"/>
      <c r="D183" s="52"/>
      <c r="E183" s="191">
        <v>12716.9332</v>
      </c>
      <c r="F183" s="191">
        <v>6.30386</v>
      </c>
      <c r="G183" s="191">
        <v>6.11081</v>
      </c>
      <c r="H183" s="191">
        <v>27.0204166666667</v>
      </c>
      <c r="I183" s="192">
        <v>0.836717052544829</v>
      </c>
      <c r="J183" s="192">
        <v>0.219772798285635</v>
      </c>
      <c r="K183" s="191">
        <v>19.479</v>
      </c>
      <c r="L183" s="191">
        <v>19.479</v>
      </c>
      <c r="M183" s="121">
        <v>2411</v>
      </c>
    </row>
    <row r="184" spans="1:13">
      <c r="A184" s="124" t="s">
        <v>12</v>
      </c>
      <c r="B184" s="29">
        <v>45929</v>
      </c>
      <c r="C184" s="52"/>
      <c r="D184" s="52"/>
      <c r="E184" s="191">
        <v>5520.8032</v>
      </c>
      <c r="F184" s="191">
        <v>2.673651</v>
      </c>
      <c r="G184" s="191">
        <v>2.549956</v>
      </c>
      <c r="H184" s="191">
        <v>25.64875</v>
      </c>
      <c r="I184" s="192">
        <v>0.856446697285366</v>
      </c>
      <c r="J184" s="192">
        <v>0.0954099820268215</v>
      </c>
      <c r="K184" s="191">
        <v>14.7174166666667</v>
      </c>
      <c r="L184" s="191">
        <v>14.7174166666667</v>
      </c>
      <c r="M184" s="121">
        <v>2411</v>
      </c>
    </row>
    <row r="185" spans="1:13">
      <c r="A185" s="124" t="s">
        <v>12</v>
      </c>
      <c r="B185" s="29">
        <v>45930</v>
      </c>
      <c r="C185" s="52"/>
      <c r="D185" s="52"/>
      <c r="E185" s="191">
        <v>5040.0402</v>
      </c>
      <c r="F185" s="191">
        <v>2.450987</v>
      </c>
      <c r="G185" s="191">
        <v>2.33675</v>
      </c>
      <c r="H185" s="191">
        <v>26.2120833333333</v>
      </c>
      <c r="I185" s="192">
        <v>0.852895420046457</v>
      </c>
      <c r="J185" s="192">
        <v>0.0871014827872253</v>
      </c>
      <c r="K185" s="191">
        <v>14.8810833333333</v>
      </c>
      <c r="L185" s="191">
        <v>14.8810833333333</v>
      </c>
      <c r="M185" s="121">
        <v>2411</v>
      </c>
    </row>
    <row r="186" spans="1:13">
      <c r="A186" s="124" t="s">
        <v>12</v>
      </c>
      <c r="B186" s="29">
        <v>45931</v>
      </c>
      <c r="C186" s="52"/>
      <c r="D186" s="52"/>
      <c r="E186" s="191">
        <v>13656.9332</v>
      </c>
      <c r="F186" s="191">
        <v>6.84895</v>
      </c>
      <c r="G186" s="191">
        <v>6.64568</v>
      </c>
      <c r="H186" s="191">
        <v>26.7754166666667</v>
      </c>
      <c r="I186" s="192">
        <v>0.827050405801561</v>
      </c>
      <c r="J186" s="192">
        <v>0.236017786533942</v>
      </c>
      <c r="K186" s="191">
        <v>20.5111666666667</v>
      </c>
      <c r="L186" s="191">
        <v>20.5111666666667</v>
      </c>
      <c r="M186" s="121">
        <v>2411</v>
      </c>
    </row>
    <row r="187" spans="1:13">
      <c r="A187" s="124" t="s">
        <v>12</v>
      </c>
      <c r="B187" s="29">
        <v>45932</v>
      </c>
      <c r="C187" s="52"/>
      <c r="D187" s="52"/>
      <c r="E187" s="191">
        <v>11865.2332</v>
      </c>
      <c r="F187" s="191">
        <v>5.87724</v>
      </c>
      <c r="G187" s="191">
        <v>5.68245</v>
      </c>
      <c r="H187" s="191">
        <v>26.3375</v>
      </c>
      <c r="I187" s="192">
        <v>0.837347334538768</v>
      </c>
      <c r="J187" s="192">
        <v>0.205053802018526</v>
      </c>
      <c r="K187" s="191">
        <v>19.151125</v>
      </c>
      <c r="L187" s="191">
        <v>19.151125</v>
      </c>
      <c r="M187" s="121">
        <v>2411</v>
      </c>
    </row>
    <row r="188" spans="1:13">
      <c r="A188" s="124" t="s">
        <v>12</v>
      </c>
      <c r="B188" s="29">
        <v>45933</v>
      </c>
      <c r="C188" s="52"/>
      <c r="D188" s="52"/>
      <c r="E188" s="191">
        <v>11507.6641</v>
      </c>
      <c r="F188" s="191">
        <v>5.6924657</v>
      </c>
      <c r="G188" s="191">
        <v>5.4923201</v>
      </c>
      <c r="H188" s="191">
        <v>27.60875</v>
      </c>
      <c r="I188" s="192">
        <v>0.83847389113226</v>
      </c>
      <c r="J188" s="192">
        <v>0.198874327733997</v>
      </c>
      <c r="K188" s="191">
        <v>20.8607916666667</v>
      </c>
      <c r="L188" s="191">
        <v>20.8607916666667</v>
      </c>
      <c r="M188" s="121">
        <v>2411</v>
      </c>
    </row>
    <row r="189" spans="1:13">
      <c r="A189" s="124" t="s">
        <v>12</v>
      </c>
      <c r="B189" s="29">
        <v>45934</v>
      </c>
      <c r="C189" s="52"/>
      <c r="D189" s="52"/>
      <c r="E189" s="191">
        <v>11362.8532</v>
      </c>
      <c r="F189" s="191">
        <v>5.67011</v>
      </c>
      <c r="G189" s="191">
        <v>5.483596</v>
      </c>
      <c r="H189" s="191">
        <v>28.2320833333333</v>
      </c>
      <c r="I189" s="192">
        <v>0.831186921854818</v>
      </c>
      <c r="J189" s="192">
        <v>0.196371719894926</v>
      </c>
      <c r="K189" s="191">
        <v>19.8292083333333</v>
      </c>
      <c r="L189" s="191">
        <v>19.8292083333333</v>
      </c>
      <c r="M189" s="121">
        <v>2411</v>
      </c>
    </row>
    <row r="190" spans="1:13">
      <c r="A190" s="124" t="s">
        <v>12</v>
      </c>
      <c r="B190" s="29">
        <v>45935</v>
      </c>
      <c r="C190" s="52"/>
      <c r="D190" s="52"/>
      <c r="E190" s="191">
        <v>13110.4932</v>
      </c>
      <c r="F190" s="191">
        <v>6.6145</v>
      </c>
      <c r="G190" s="191">
        <v>6.41862</v>
      </c>
      <c r="H190" s="191">
        <v>28.9958333333333</v>
      </c>
      <c r="I190" s="192">
        <v>0.822100284372665</v>
      </c>
      <c r="J190" s="192">
        <v>0.226574263790958</v>
      </c>
      <c r="K190" s="191">
        <v>21.3300833333333</v>
      </c>
      <c r="L190" s="191">
        <v>21.3300833333333</v>
      </c>
      <c r="M190" s="121">
        <v>2411</v>
      </c>
    </row>
    <row r="191" spans="1:13">
      <c r="A191" s="124" t="s">
        <v>12</v>
      </c>
      <c r="B191" s="29">
        <v>45936</v>
      </c>
      <c r="C191" s="52"/>
      <c r="D191" s="52"/>
      <c r="E191" s="191">
        <v>13402.8832</v>
      </c>
      <c r="F191" s="191">
        <v>6.7827</v>
      </c>
      <c r="G191" s="191">
        <v>6.57951</v>
      </c>
      <c r="H191" s="191">
        <v>29.3470833333333</v>
      </c>
      <c r="I191" s="192">
        <v>0.819593327369812</v>
      </c>
      <c r="J191" s="192">
        <v>0.231627319231301</v>
      </c>
      <c r="K191" s="191">
        <v>21.697375</v>
      </c>
      <c r="L191" s="191">
        <v>21.697375</v>
      </c>
      <c r="M191" s="121">
        <v>2411</v>
      </c>
    </row>
    <row r="192" spans="1:13">
      <c r="A192" s="124" t="s">
        <v>12</v>
      </c>
      <c r="B192" s="29">
        <v>45937</v>
      </c>
      <c r="C192" s="52"/>
      <c r="D192" s="52"/>
      <c r="E192" s="191">
        <v>14127.2632</v>
      </c>
      <c r="F192" s="191">
        <v>7.19763</v>
      </c>
      <c r="G192" s="191">
        <v>6.98358</v>
      </c>
      <c r="H192" s="191">
        <v>29.7291666666667</v>
      </c>
      <c r="I192" s="192">
        <v>0.814087916225371</v>
      </c>
      <c r="J192" s="192">
        <v>0.244145983685884</v>
      </c>
      <c r="K192" s="191">
        <v>22.399</v>
      </c>
      <c r="L192" s="191">
        <v>22.399</v>
      </c>
      <c r="M192" s="121">
        <v>2411</v>
      </c>
    </row>
    <row r="193" spans="1:13">
      <c r="A193" s="124" t="s">
        <v>12</v>
      </c>
      <c r="B193" s="29">
        <v>45938</v>
      </c>
      <c r="C193" s="52"/>
      <c r="D193" s="52"/>
      <c r="E193" s="191">
        <v>13412.7432</v>
      </c>
      <c r="F193" s="191">
        <v>6.77489</v>
      </c>
      <c r="G193" s="191">
        <v>6.57049</v>
      </c>
      <c r="H193" s="191">
        <v>29.1045833333333</v>
      </c>
      <c r="I193" s="192">
        <v>0.82114178251355</v>
      </c>
      <c r="J193" s="192">
        <v>0.231797718788884</v>
      </c>
      <c r="K193" s="191">
        <v>21.496</v>
      </c>
      <c r="L193" s="191">
        <v>21.496</v>
      </c>
      <c r="M193" s="121">
        <v>2411</v>
      </c>
    </row>
    <row r="194" spans="1:13">
      <c r="A194" s="124" t="s">
        <v>12</v>
      </c>
      <c r="B194" s="29">
        <v>45939</v>
      </c>
      <c r="C194" s="52"/>
      <c r="D194" s="52"/>
      <c r="E194" s="191">
        <v>11533.4532</v>
      </c>
      <c r="F194" s="191">
        <v>5.7704</v>
      </c>
      <c r="G194" s="191">
        <v>5.57726</v>
      </c>
      <c r="H194" s="191">
        <v>29.8154166666667</v>
      </c>
      <c r="I194" s="192">
        <v>0.829003240439358</v>
      </c>
      <c r="J194" s="192">
        <v>0.19932001244297</v>
      </c>
      <c r="K194" s="191">
        <v>20.6182916666667</v>
      </c>
      <c r="L194" s="191">
        <v>20.6182916666667</v>
      </c>
      <c r="M194" s="121">
        <v>2411</v>
      </c>
    </row>
    <row r="195" spans="1:13">
      <c r="A195" s="124" t="s">
        <v>12</v>
      </c>
      <c r="B195" s="29">
        <v>45940</v>
      </c>
      <c r="C195" s="52"/>
      <c r="D195" s="52"/>
      <c r="E195" s="191">
        <v>13490.1332</v>
      </c>
      <c r="F195" s="191">
        <v>6.88915</v>
      </c>
      <c r="G195" s="191">
        <v>6.68166</v>
      </c>
      <c r="H195" s="191">
        <v>31.4504166666667</v>
      </c>
      <c r="I195" s="192">
        <v>0.8121820493326</v>
      </c>
      <c r="J195" s="192">
        <v>0.233135165214987</v>
      </c>
      <c r="K195" s="191">
        <v>22.8082916666667</v>
      </c>
      <c r="L195" s="191">
        <v>22.8082916666667</v>
      </c>
      <c r="M195" s="121">
        <v>2411</v>
      </c>
    </row>
    <row r="196" spans="1:13">
      <c r="A196" s="124" t="s">
        <v>12</v>
      </c>
      <c r="B196" s="29">
        <v>45941</v>
      </c>
      <c r="C196" s="52"/>
      <c r="D196" s="52"/>
      <c r="E196" s="191">
        <v>12795.4832</v>
      </c>
      <c r="F196" s="191">
        <v>6.51441</v>
      </c>
      <c r="G196" s="191">
        <v>6.31591</v>
      </c>
      <c r="H196" s="191">
        <v>31.9595833333333</v>
      </c>
      <c r="I196" s="192">
        <v>0.814675005295076</v>
      </c>
      <c r="J196" s="192">
        <v>0.221130291718512</v>
      </c>
      <c r="K196" s="191">
        <v>22.5777916666667</v>
      </c>
      <c r="L196" s="191">
        <v>22.5777916666667</v>
      </c>
      <c r="M196" s="121">
        <v>2411</v>
      </c>
    </row>
    <row r="197" spans="1:13">
      <c r="A197" s="124" t="s">
        <v>12</v>
      </c>
      <c r="B197" s="29">
        <v>45942</v>
      </c>
      <c r="C197" s="52"/>
      <c r="D197" s="52"/>
      <c r="E197" s="191">
        <v>11795.3832</v>
      </c>
      <c r="F197" s="191">
        <v>5.94227</v>
      </c>
      <c r="G197" s="191">
        <v>5.75096</v>
      </c>
      <c r="H197" s="191">
        <v>30.9008333333333</v>
      </c>
      <c r="I197" s="192">
        <v>0.823308242014413</v>
      </c>
      <c r="J197" s="192">
        <v>0.203846661136458</v>
      </c>
      <c r="K197" s="191">
        <v>21.2790416666667</v>
      </c>
      <c r="L197" s="191">
        <v>21.2790416666667</v>
      </c>
      <c r="M197" s="121">
        <v>2411</v>
      </c>
    </row>
    <row r="198" spans="1:13">
      <c r="A198" s="124" t="s">
        <v>12</v>
      </c>
      <c r="B198" s="29">
        <v>45943</v>
      </c>
      <c r="C198" s="52"/>
      <c r="D198" s="52"/>
      <c r="E198" s="191">
        <v>8519.2732</v>
      </c>
      <c r="F198" s="191">
        <v>4.221361</v>
      </c>
      <c r="G198" s="191">
        <v>4.055643</v>
      </c>
      <c r="H198" s="191">
        <v>30.6241666666667</v>
      </c>
      <c r="I198" s="192">
        <v>0.837052777385916</v>
      </c>
      <c r="J198" s="192">
        <v>0.147229247891608</v>
      </c>
      <c r="K198" s="191">
        <v>19.1695</v>
      </c>
      <c r="L198" s="191">
        <v>19.1695</v>
      </c>
      <c r="M198" s="121">
        <v>2411</v>
      </c>
    </row>
    <row r="199" spans="1:13">
      <c r="A199" s="124" t="s">
        <v>12</v>
      </c>
      <c r="B199" s="29">
        <v>45944</v>
      </c>
      <c r="C199" s="52"/>
      <c r="D199" s="52"/>
      <c r="E199" s="191">
        <v>11648.9732</v>
      </c>
      <c r="F199" s="191">
        <v>5.86336</v>
      </c>
      <c r="G199" s="191">
        <v>5.673</v>
      </c>
      <c r="H199" s="191">
        <v>30.4229166666667</v>
      </c>
      <c r="I199" s="192">
        <v>0.82403161794168</v>
      </c>
      <c r="J199" s="192">
        <v>0.201316417807272</v>
      </c>
      <c r="K199" s="191">
        <v>21.0790833333333</v>
      </c>
      <c r="L199" s="191">
        <v>21.0790833333333</v>
      </c>
      <c r="M199" s="121">
        <v>2411</v>
      </c>
    </row>
    <row r="200" spans="1:13">
      <c r="A200" s="124" t="s">
        <v>12</v>
      </c>
      <c r="B200" s="29">
        <v>45945</v>
      </c>
      <c r="C200" s="52"/>
      <c r="D200" s="52"/>
      <c r="E200" s="191">
        <v>13337.4532</v>
      </c>
      <c r="F200" s="191">
        <v>6.77766</v>
      </c>
      <c r="G200" s="191">
        <v>6.57168</v>
      </c>
      <c r="H200" s="191">
        <v>30.085</v>
      </c>
      <c r="I200" s="192">
        <v>0.816198738884409</v>
      </c>
      <c r="J200" s="192">
        <v>0.230496564357804</v>
      </c>
      <c r="K200" s="191">
        <v>22.0272916666667</v>
      </c>
      <c r="L200" s="191">
        <v>22.0272916666667</v>
      </c>
      <c r="M200" s="121">
        <v>2411</v>
      </c>
    </row>
    <row r="201" spans="1:13">
      <c r="A201" s="124" t="s">
        <v>12</v>
      </c>
      <c r="B201" s="29">
        <v>45946</v>
      </c>
      <c r="C201" s="52"/>
      <c r="D201" s="52"/>
      <c r="E201" s="191">
        <v>12776.7132</v>
      </c>
      <c r="F201" s="191">
        <v>6.43694</v>
      </c>
      <c r="G201" s="191">
        <v>6.2372</v>
      </c>
      <c r="H201" s="191">
        <v>29.2133333333333</v>
      </c>
      <c r="I201" s="192">
        <v>0.823270350485608</v>
      </c>
      <c r="J201" s="192">
        <v>0.220805910410618</v>
      </c>
      <c r="K201" s="191">
        <v>21.094875</v>
      </c>
      <c r="L201" s="191">
        <v>21.094875</v>
      </c>
      <c r="M201" s="121">
        <v>2411</v>
      </c>
    </row>
    <row r="202" spans="1:13">
      <c r="A202" s="124" t="s">
        <v>12</v>
      </c>
      <c r="B202" s="29">
        <v>45947</v>
      </c>
      <c r="C202" s="52"/>
      <c r="D202" s="52"/>
      <c r="E202" s="191">
        <v>12126.1332</v>
      </c>
      <c r="F202" s="191">
        <v>6.08358</v>
      </c>
      <c r="G202" s="191">
        <v>5.8852</v>
      </c>
      <c r="H202" s="191">
        <v>29.4466666666667</v>
      </c>
      <c r="I202" s="192">
        <v>0.826734194086577</v>
      </c>
      <c r="J202" s="192">
        <v>0.209562650352551</v>
      </c>
      <c r="K202" s="191">
        <v>20.7916666666667</v>
      </c>
      <c r="L202" s="191">
        <v>20.7916666666667</v>
      </c>
      <c r="M202" s="121">
        <v>2411</v>
      </c>
    </row>
    <row r="203" spans="1:13">
      <c r="A203" s="124" t="s">
        <v>12</v>
      </c>
      <c r="B203" s="29">
        <v>45948</v>
      </c>
      <c r="C203" s="52"/>
      <c r="D203" s="52"/>
      <c r="E203" s="191">
        <v>10396.4032</v>
      </c>
      <c r="F203" s="191">
        <v>5.17182</v>
      </c>
      <c r="G203" s="191">
        <v>4.981524</v>
      </c>
      <c r="H203" s="191">
        <v>29.5579166666667</v>
      </c>
      <c r="I203" s="192">
        <v>0.833762777490428</v>
      </c>
      <c r="J203" s="192">
        <v>0.179669625328356</v>
      </c>
      <c r="K203" s="191">
        <v>19.8791666666667</v>
      </c>
      <c r="L203" s="191">
        <v>19.8791666666667</v>
      </c>
      <c r="M203" s="121">
        <v>2411</v>
      </c>
    </row>
    <row r="204" spans="1:13">
      <c r="A204" s="124" t="s">
        <v>12</v>
      </c>
      <c r="B204" s="29">
        <v>45949</v>
      </c>
      <c r="C204" s="52"/>
      <c r="D204" s="52"/>
      <c r="E204" s="191">
        <v>13033.7432</v>
      </c>
      <c r="F204" s="191">
        <v>6.57349</v>
      </c>
      <c r="G204" s="191">
        <v>6.36788</v>
      </c>
      <c r="H204" s="191">
        <v>28.73125</v>
      </c>
      <c r="I204" s="192">
        <v>0.822386444153299</v>
      </c>
      <c r="J204" s="192">
        <v>0.225247877782386</v>
      </c>
      <c r="K204" s="191">
        <v>21.0271666666667</v>
      </c>
      <c r="L204" s="191">
        <v>21.0271666666667</v>
      </c>
      <c r="M204" s="121">
        <v>2411</v>
      </c>
    </row>
    <row r="205" spans="1:13">
      <c r="A205" s="124" t="s">
        <v>12</v>
      </c>
      <c r="B205" s="29">
        <v>45950</v>
      </c>
      <c r="C205" s="52"/>
      <c r="D205" s="52"/>
      <c r="E205" s="191">
        <v>12033.4132</v>
      </c>
      <c r="F205" s="191">
        <v>6.06058</v>
      </c>
      <c r="G205" s="191">
        <v>5.864084</v>
      </c>
      <c r="H205" s="191">
        <v>30.1854166666667</v>
      </c>
      <c r="I205" s="192">
        <v>0.82352621971936</v>
      </c>
      <c r="J205" s="192">
        <v>0.207960272362782</v>
      </c>
      <c r="K205" s="191">
        <v>21.1023333333333</v>
      </c>
      <c r="L205" s="191">
        <v>21.1023333333333</v>
      </c>
      <c r="M205" s="121">
        <v>2411</v>
      </c>
    </row>
    <row r="206" spans="1:13">
      <c r="A206" s="124" t="s">
        <v>12</v>
      </c>
      <c r="B206" s="29">
        <v>45951</v>
      </c>
      <c r="C206" s="52"/>
      <c r="D206" s="52"/>
      <c r="E206" s="191">
        <v>5302.7362</v>
      </c>
      <c r="F206" s="191">
        <v>2.62317</v>
      </c>
      <c r="G206" s="191">
        <v>2.506675</v>
      </c>
      <c r="H206" s="191">
        <v>29.8616666666667</v>
      </c>
      <c r="I206" s="192">
        <v>0.838448467324151</v>
      </c>
      <c r="J206" s="192">
        <v>0.0916413694179456</v>
      </c>
      <c r="K206" s="191">
        <v>16.782875</v>
      </c>
      <c r="L206" s="191">
        <v>16.782875</v>
      </c>
      <c r="M206" s="121">
        <v>2411</v>
      </c>
    </row>
    <row r="207" spans="1:13">
      <c r="A207" s="124" t="s">
        <v>12</v>
      </c>
      <c r="B207" s="29">
        <v>45952</v>
      </c>
      <c r="C207" s="52"/>
      <c r="D207" s="52"/>
      <c r="E207" s="191">
        <v>12603.0932</v>
      </c>
      <c r="F207" s="191">
        <v>6.34592</v>
      </c>
      <c r="G207" s="191">
        <v>6.14271</v>
      </c>
      <c r="H207" s="191">
        <v>28.83875</v>
      </c>
      <c r="I207" s="192">
        <v>0.823730875336661</v>
      </c>
      <c r="J207" s="192">
        <v>0.217805426517351</v>
      </c>
      <c r="K207" s="191">
        <v>20.7759166666667</v>
      </c>
      <c r="L207" s="191">
        <v>20.7759166666667</v>
      </c>
      <c r="M207" s="121">
        <v>2411</v>
      </c>
    </row>
    <row r="208" spans="1:13">
      <c r="A208" s="124" t="s">
        <v>12</v>
      </c>
      <c r="B208" s="29">
        <v>45953</v>
      </c>
      <c r="C208" s="52"/>
      <c r="D208" s="52"/>
      <c r="E208" s="191">
        <v>12557.5232</v>
      </c>
      <c r="F208" s="191">
        <v>6.30091</v>
      </c>
      <c r="G208" s="191">
        <v>6.09959</v>
      </c>
      <c r="H208" s="191">
        <v>28.1395833333333</v>
      </c>
      <c r="I208" s="192">
        <v>0.826615419901021</v>
      </c>
      <c r="J208" s="192">
        <v>0.217017890225356</v>
      </c>
      <c r="K208" s="191">
        <v>20.4095833333333</v>
      </c>
      <c r="L208" s="191">
        <v>20.4095833333333</v>
      </c>
      <c r="M208" s="121">
        <v>2411</v>
      </c>
    </row>
    <row r="209" spans="1:13">
      <c r="A209" s="124" t="s">
        <v>12</v>
      </c>
      <c r="B209" s="29">
        <v>45954</v>
      </c>
      <c r="C209" s="52"/>
      <c r="D209" s="52"/>
      <c r="E209" s="191">
        <v>12357.8032</v>
      </c>
      <c r="F209" s="191">
        <v>6.20691</v>
      </c>
      <c r="G209" s="191">
        <v>6.00455</v>
      </c>
      <c r="H209" s="191">
        <v>28.59375</v>
      </c>
      <c r="I209" s="192">
        <v>0.825788092353829</v>
      </c>
      <c r="J209" s="192">
        <v>0.213566348679663</v>
      </c>
      <c r="K209" s="191">
        <v>20.5875416666667</v>
      </c>
      <c r="L209" s="191">
        <v>20.5875416666667</v>
      </c>
      <c r="M209" s="121">
        <v>2411</v>
      </c>
    </row>
    <row r="210" spans="1:13">
      <c r="A210" s="124" t="s">
        <v>12</v>
      </c>
      <c r="B210" s="29">
        <v>45955</v>
      </c>
      <c r="C210" s="52"/>
      <c r="D210" s="52"/>
      <c r="E210" s="191">
        <v>12494.3832</v>
      </c>
      <c r="F210" s="191">
        <v>6.2643</v>
      </c>
      <c r="G210" s="191">
        <v>6.05923</v>
      </c>
      <c r="H210" s="191">
        <v>27.9</v>
      </c>
      <c r="I210" s="192">
        <v>0.827265785770171</v>
      </c>
      <c r="J210" s="192">
        <v>0.215926710908337</v>
      </c>
      <c r="K210" s="191">
        <v>20.2547083333333</v>
      </c>
      <c r="L210" s="191">
        <v>20.2547083333333</v>
      </c>
      <c r="M210" s="121">
        <v>2411</v>
      </c>
    </row>
    <row r="211" spans="1:13">
      <c r="A211" s="124" t="s">
        <v>12</v>
      </c>
      <c r="B211" s="29">
        <v>45956</v>
      </c>
      <c r="C211" s="52"/>
      <c r="D211" s="52"/>
      <c r="E211" s="191">
        <v>12802.9432</v>
      </c>
      <c r="F211" s="191">
        <v>6.4239</v>
      </c>
      <c r="G211" s="191">
        <v>6.21301</v>
      </c>
      <c r="H211" s="191">
        <v>27.4129166666667</v>
      </c>
      <c r="I211" s="192">
        <v>0.826635089750545</v>
      </c>
      <c r="J211" s="192">
        <v>0.221259214710355</v>
      </c>
      <c r="K211" s="191">
        <v>20.2179583333333</v>
      </c>
      <c r="L211" s="191">
        <v>20.2179583333333</v>
      </c>
      <c r="M211" s="121">
        <v>2411</v>
      </c>
    </row>
    <row r="212" spans="1:13">
      <c r="A212" s="124" t="s">
        <v>12</v>
      </c>
      <c r="B212" s="29">
        <v>45957</v>
      </c>
      <c r="C212" s="52"/>
      <c r="D212" s="52"/>
      <c r="E212" s="191">
        <v>12939.2932</v>
      </c>
      <c r="F212" s="191">
        <v>6.50847</v>
      </c>
      <c r="G212" s="191">
        <v>6.29466</v>
      </c>
      <c r="H212" s="191">
        <v>27.7875</v>
      </c>
      <c r="I212" s="192">
        <v>0.824583112534206</v>
      </c>
      <c r="J212" s="192">
        <v>0.223615602101479</v>
      </c>
      <c r="K212" s="191">
        <v>20.4263333333333</v>
      </c>
      <c r="L212" s="191">
        <v>20.4263333333333</v>
      </c>
      <c r="M212" s="121">
        <v>2411</v>
      </c>
    </row>
    <row r="213" spans="1:13">
      <c r="A213" s="124" t="s">
        <v>12</v>
      </c>
      <c r="B213" s="29">
        <v>45958</v>
      </c>
      <c r="C213" s="52"/>
      <c r="D213" s="52"/>
      <c r="E213" s="191">
        <v>5110.8242</v>
      </c>
      <c r="F213" s="191">
        <v>2.503158</v>
      </c>
      <c r="G213" s="191">
        <v>2.386151</v>
      </c>
      <c r="H213" s="191">
        <v>27.13</v>
      </c>
      <c r="I213" s="192">
        <v>0.846848005274561</v>
      </c>
      <c r="J213" s="192">
        <v>0.0883247649661275</v>
      </c>
      <c r="K213" s="191">
        <v>15.4300833333333</v>
      </c>
      <c r="L213" s="191">
        <v>15.4300833333333</v>
      </c>
      <c r="M213" s="121">
        <v>2411</v>
      </c>
    </row>
    <row r="214" spans="1:13">
      <c r="A214" s="124" t="s">
        <v>12</v>
      </c>
      <c r="B214" s="29">
        <v>45959</v>
      </c>
      <c r="C214" s="52"/>
      <c r="D214" s="52"/>
      <c r="E214" s="191">
        <v>12413.0532</v>
      </c>
      <c r="F214" s="191">
        <v>6.24642</v>
      </c>
      <c r="G214" s="191">
        <v>6.040889</v>
      </c>
      <c r="H214" s="191">
        <v>28.3733333333333</v>
      </c>
      <c r="I214" s="192">
        <v>0.824233428249053</v>
      </c>
      <c r="J214" s="192">
        <v>0.21452117378681</v>
      </c>
      <c r="K214" s="191">
        <v>20.516875</v>
      </c>
      <c r="L214" s="191">
        <v>20.516875</v>
      </c>
      <c r="M214" s="121">
        <v>2411</v>
      </c>
    </row>
    <row r="215" spans="1:13">
      <c r="A215" s="124" t="s">
        <v>12</v>
      </c>
      <c r="B215" s="29">
        <v>45960</v>
      </c>
      <c r="C215" s="52"/>
      <c r="D215" s="52"/>
      <c r="E215" s="191">
        <v>11246.3132</v>
      </c>
      <c r="F215" s="191">
        <v>5.6279</v>
      </c>
      <c r="G215" s="191">
        <v>5.423547</v>
      </c>
      <c r="H215" s="191">
        <v>28.4654166666667</v>
      </c>
      <c r="I215" s="192">
        <v>0.828832155469076</v>
      </c>
      <c r="J215" s="192">
        <v>0.194357686990184</v>
      </c>
      <c r="K215" s="191">
        <v>19.771</v>
      </c>
      <c r="L215" s="191">
        <v>19.771</v>
      </c>
      <c r="M215" s="121">
        <v>2411</v>
      </c>
    </row>
    <row r="216" spans="1:13">
      <c r="A216" s="124" t="s">
        <v>12</v>
      </c>
      <c r="B216" s="29">
        <v>45961</v>
      </c>
      <c r="C216" s="52"/>
      <c r="D216" s="52"/>
      <c r="E216" s="191">
        <v>11297.9532</v>
      </c>
      <c r="F216" s="191">
        <v>5.639853</v>
      </c>
      <c r="G216" s="191">
        <v>5.44287</v>
      </c>
      <c r="H216" s="191">
        <v>27.97375</v>
      </c>
      <c r="I216" s="192">
        <v>0.830873249056798</v>
      </c>
      <c r="J216" s="192">
        <v>0.195250124429697</v>
      </c>
      <c r="K216" s="191">
        <v>19.693</v>
      </c>
      <c r="L216" s="191">
        <v>19.693</v>
      </c>
      <c r="M216" s="121">
        <v>2411</v>
      </c>
    </row>
    <row r="217" spans="1:13">
      <c r="A217" s="124" t="s">
        <v>12</v>
      </c>
      <c r="B217" s="29">
        <v>45962</v>
      </c>
      <c r="C217" s="52"/>
      <c r="D217" s="52"/>
      <c r="E217" s="191">
        <v>11754.8632</v>
      </c>
      <c r="F217" s="191">
        <v>5.81475</v>
      </c>
      <c r="G217" s="191">
        <v>5.612904</v>
      </c>
      <c r="H217" s="191">
        <v>24.2308333333333</v>
      </c>
      <c r="I217" s="192">
        <v>0.838473461943677</v>
      </c>
      <c r="J217" s="192">
        <v>0.203146398451541</v>
      </c>
      <c r="K217" s="191">
        <v>18.1887916666667</v>
      </c>
      <c r="L217" s="191">
        <v>18.1887916666667</v>
      </c>
      <c r="M217" s="121">
        <v>2411</v>
      </c>
    </row>
    <row r="218" spans="1:13">
      <c r="A218" s="124" t="s">
        <v>12</v>
      </c>
      <c r="B218" s="29">
        <v>45963</v>
      </c>
      <c r="C218" s="52"/>
      <c r="D218" s="52"/>
      <c r="E218" s="191">
        <v>-26.4368</v>
      </c>
      <c r="F218" s="191">
        <v>6.1162</v>
      </c>
      <c r="G218" s="191">
        <v>5.904921</v>
      </c>
      <c r="H218" s="191">
        <v>25.78</v>
      </c>
      <c r="I218" s="192">
        <v>-0.00179279237625431</v>
      </c>
      <c r="J218" s="192">
        <v>-0.000456878197151942</v>
      </c>
      <c r="K218" s="191">
        <v>19.5588333333333</v>
      </c>
      <c r="L218" s="191">
        <v>19.5588333333333</v>
      </c>
      <c r="M218" s="121">
        <v>2411</v>
      </c>
    </row>
    <row r="219" spans="1:13">
      <c r="A219" s="124" t="s">
        <v>12</v>
      </c>
      <c r="B219" s="29">
        <v>45964</v>
      </c>
      <c r="C219" s="52"/>
      <c r="D219" s="52"/>
      <c r="E219" s="191">
        <v>12362.0732</v>
      </c>
      <c r="F219" s="191">
        <v>6.19526</v>
      </c>
      <c r="G219" s="191">
        <v>5.97299</v>
      </c>
      <c r="H219" s="191">
        <v>26.3745833333333</v>
      </c>
      <c r="I219" s="192">
        <v>0.827626833687208</v>
      </c>
      <c r="J219" s="192">
        <v>0.213640142402876</v>
      </c>
      <c r="K219" s="191">
        <v>19.7560416666667</v>
      </c>
      <c r="L219" s="191">
        <v>19.7560416666667</v>
      </c>
      <c r="M219" s="121">
        <v>2411</v>
      </c>
    </row>
    <row r="220" spans="1:13">
      <c r="A220" s="124" t="s">
        <v>12</v>
      </c>
      <c r="B220" s="29">
        <v>45965</v>
      </c>
      <c r="C220" s="52"/>
      <c r="D220" s="52"/>
      <c r="E220" s="191">
        <v>11773.6232</v>
      </c>
      <c r="F220" s="191">
        <v>5.87708</v>
      </c>
      <c r="G220" s="191">
        <v>5.668703</v>
      </c>
      <c r="H220" s="191">
        <v>26.5654166666667</v>
      </c>
      <c r="I220" s="192">
        <v>0.830904899468765</v>
      </c>
      <c r="J220" s="192">
        <v>0.203470606940412</v>
      </c>
      <c r="K220" s="191">
        <v>19.4704583333333</v>
      </c>
      <c r="L220" s="191">
        <v>19.4704583333333</v>
      </c>
      <c r="M220" s="121">
        <v>2411</v>
      </c>
    </row>
    <row r="221" spans="1:13">
      <c r="A221" s="124" t="s">
        <v>12</v>
      </c>
      <c r="B221" s="29">
        <v>45966</v>
      </c>
      <c r="C221" s="52"/>
      <c r="D221" s="52"/>
      <c r="E221" s="191">
        <v>13051.9832</v>
      </c>
      <c r="F221" s="191">
        <v>6.58784</v>
      </c>
      <c r="G221" s="191">
        <v>6.35524</v>
      </c>
      <c r="H221" s="191">
        <v>26.9308333333333</v>
      </c>
      <c r="I221" s="192">
        <v>0.821743453448825</v>
      </c>
      <c r="J221" s="192">
        <v>0.225563099682013</v>
      </c>
      <c r="K221" s="191">
        <v>20.366125</v>
      </c>
      <c r="L221" s="191">
        <v>20.366125</v>
      </c>
      <c r="M221" s="121">
        <v>2411</v>
      </c>
    </row>
    <row r="222" spans="1:13">
      <c r="A222" s="124" t="s">
        <v>12</v>
      </c>
      <c r="B222" s="29">
        <v>45967</v>
      </c>
      <c r="C222" s="52"/>
      <c r="D222" s="52"/>
      <c r="E222" s="191">
        <v>4607.0752</v>
      </c>
      <c r="F222" s="191">
        <v>2.266868</v>
      </c>
      <c r="G222" s="191">
        <v>2.162793</v>
      </c>
      <c r="H222" s="191">
        <v>27.0983333333333</v>
      </c>
      <c r="I222" s="192">
        <v>0.842950085331687</v>
      </c>
      <c r="J222" s="192">
        <v>0.0796190239181529</v>
      </c>
      <c r="K222" s="191">
        <v>15.1665833333333</v>
      </c>
      <c r="L222" s="191">
        <v>15.1665833333333</v>
      </c>
      <c r="M222" s="121">
        <v>2411</v>
      </c>
    </row>
    <row r="223" spans="1:13">
      <c r="A223" s="124" t="s">
        <v>12</v>
      </c>
      <c r="B223" s="29">
        <v>45968</v>
      </c>
      <c r="C223" s="52"/>
      <c r="D223" s="52"/>
      <c r="E223" s="191">
        <v>8001.6003</v>
      </c>
      <c r="F223" s="191">
        <v>3.9733024</v>
      </c>
      <c r="G223" s="191">
        <v>3.8016916</v>
      </c>
      <c r="H223" s="191">
        <v>27.7358333333333</v>
      </c>
      <c r="I223" s="192">
        <v>0.835272192901824</v>
      </c>
      <c r="J223" s="192">
        <v>0.13828287536292</v>
      </c>
      <c r="K223" s="191">
        <v>17.69475</v>
      </c>
      <c r="L223" s="191">
        <v>17.69475</v>
      </c>
      <c r="M223" s="121">
        <v>2411</v>
      </c>
    </row>
    <row r="224" spans="1:13">
      <c r="A224" s="124" t="s">
        <v>12</v>
      </c>
      <c r="B224" s="29">
        <v>45969</v>
      </c>
      <c r="C224" s="52"/>
      <c r="D224" s="52"/>
      <c r="E224" s="191">
        <v>10932.5132</v>
      </c>
      <c r="F224" s="191">
        <v>5.496112</v>
      </c>
      <c r="G224" s="191">
        <v>5.300633</v>
      </c>
      <c r="H224" s="191">
        <v>29.0554166666667</v>
      </c>
      <c r="I224" s="192">
        <v>0.825025222279163</v>
      </c>
      <c r="J224" s="192">
        <v>0.188934626019632</v>
      </c>
      <c r="K224" s="191">
        <v>20.1403333333333</v>
      </c>
      <c r="L224" s="191">
        <v>20.1403333333333</v>
      </c>
      <c r="M224" s="121">
        <v>2411</v>
      </c>
    </row>
    <row r="225" spans="1:13">
      <c r="A225" s="124" t="s">
        <v>12</v>
      </c>
      <c r="B225" s="29">
        <v>45970</v>
      </c>
      <c r="C225" s="52"/>
      <c r="D225" s="52"/>
      <c r="E225" s="191">
        <v>12389.3332</v>
      </c>
      <c r="F225" s="191">
        <v>6.3166</v>
      </c>
      <c r="G225" s="191">
        <v>6.091237</v>
      </c>
      <c r="H225" s="191">
        <v>30.33125</v>
      </c>
      <c r="I225" s="192">
        <v>0.813518337315935</v>
      </c>
      <c r="J225" s="192">
        <v>0.214111247062077</v>
      </c>
      <c r="K225" s="191">
        <v>21.732375</v>
      </c>
      <c r="L225" s="191">
        <v>21.732375</v>
      </c>
      <c r="M225" s="121">
        <v>2411</v>
      </c>
    </row>
    <row r="226" spans="1:13">
      <c r="A226" s="124" t="s">
        <v>12</v>
      </c>
      <c r="B226" s="29">
        <v>45971</v>
      </c>
      <c r="C226" s="52"/>
      <c r="D226" s="52"/>
      <c r="E226" s="191">
        <v>11907.0232</v>
      </c>
      <c r="F226" s="191">
        <v>6.05884</v>
      </c>
      <c r="G226" s="191">
        <v>5.837035</v>
      </c>
      <c r="H226" s="191">
        <v>30.83375</v>
      </c>
      <c r="I226" s="192">
        <v>0.815110533578626</v>
      </c>
      <c r="J226" s="192">
        <v>0.20577601271948</v>
      </c>
      <c r="K226" s="191">
        <v>21.6069166666667</v>
      </c>
      <c r="L226" s="191">
        <v>21.6069166666667</v>
      </c>
      <c r="M226" s="121">
        <v>2411</v>
      </c>
    </row>
    <row r="227" spans="1:13">
      <c r="A227" s="124" t="s">
        <v>12</v>
      </c>
      <c r="B227" s="29">
        <v>45972</v>
      </c>
      <c r="C227" s="52"/>
      <c r="D227" s="52"/>
      <c r="E227" s="191">
        <v>11706.1832</v>
      </c>
      <c r="F227" s="191">
        <v>5.97925</v>
      </c>
      <c r="G227" s="191">
        <v>5.757516</v>
      </c>
      <c r="H227" s="191">
        <v>31.8716666666667</v>
      </c>
      <c r="I227" s="192">
        <v>0.81202872778937</v>
      </c>
      <c r="J227" s="192">
        <v>0.202305115443108</v>
      </c>
      <c r="K227" s="191">
        <v>22.088125</v>
      </c>
      <c r="L227" s="191">
        <v>22.088125</v>
      </c>
      <c r="M227" s="121">
        <v>2411</v>
      </c>
    </row>
    <row r="228" spans="1:13">
      <c r="A228" s="124" t="s">
        <v>12</v>
      </c>
      <c r="B228" s="29">
        <v>45973</v>
      </c>
      <c r="C228" s="52"/>
      <c r="D228" s="52"/>
      <c r="E228" s="191">
        <v>12176.9122</v>
      </c>
      <c r="F228" s="191">
        <v>6.150123</v>
      </c>
      <c r="G228" s="191">
        <v>5.943564</v>
      </c>
      <c r="H228" s="191">
        <v>28.5579166666667</v>
      </c>
      <c r="I228" s="192">
        <v>0.821213656016069</v>
      </c>
      <c r="J228" s="192">
        <v>0.210440208074105</v>
      </c>
      <c r="K228" s="191">
        <v>20.5790833333333</v>
      </c>
      <c r="L228" s="191">
        <v>20.5790833333333</v>
      </c>
      <c r="M228" s="121">
        <v>2411</v>
      </c>
    </row>
    <row r="229" spans="1:13">
      <c r="A229" s="124" t="s">
        <v>12</v>
      </c>
      <c r="B229" s="29">
        <v>45974</v>
      </c>
      <c r="C229" s="52"/>
      <c r="D229" s="52"/>
      <c r="E229" s="191">
        <v>11337.1222</v>
      </c>
      <c r="F229" s="191">
        <v>5.640358</v>
      </c>
      <c r="G229" s="191">
        <v>5.438627</v>
      </c>
      <c r="H229" s="191">
        <v>25.9495833333333</v>
      </c>
      <c r="I229" s="192">
        <v>0.833679164043767</v>
      </c>
      <c r="J229" s="192">
        <v>0.195927039264482</v>
      </c>
      <c r="K229" s="191">
        <v>18.8440833333333</v>
      </c>
      <c r="L229" s="191">
        <v>18.8440833333333</v>
      </c>
      <c r="M229" s="121">
        <v>2411</v>
      </c>
    </row>
    <row r="230" spans="1:13">
      <c r="A230" s="124" t="s">
        <v>12</v>
      </c>
      <c r="B230" s="29">
        <v>45975</v>
      </c>
      <c r="C230" s="52"/>
      <c r="D230" s="52"/>
      <c r="E230" s="191">
        <v>11832.4872</v>
      </c>
      <c r="F230" s="191">
        <v>5.922826</v>
      </c>
      <c r="G230" s="191">
        <v>5.714773</v>
      </c>
      <c r="H230" s="191">
        <v>26.4283333333333</v>
      </c>
      <c r="I230" s="192">
        <v>0.828609405751121</v>
      </c>
      <c r="J230" s="192">
        <v>0.204487888842804</v>
      </c>
      <c r="K230" s="191">
        <v>19.4802916666667</v>
      </c>
      <c r="L230" s="191">
        <v>19.4802916666667</v>
      </c>
      <c r="M230" s="121">
        <v>2411</v>
      </c>
    </row>
    <row r="231" spans="1:13">
      <c r="A231" s="124" t="s">
        <v>12</v>
      </c>
      <c r="B231" s="29">
        <v>45976</v>
      </c>
      <c r="C231" s="52"/>
      <c r="D231" s="52"/>
      <c r="E231" s="191">
        <v>12660.8862</v>
      </c>
      <c r="F231" s="191">
        <v>6.406874</v>
      </c>
      <c r="G231" s="191">
        <v>6.187149</v>
      </c>
      <c r="H231" s="191">
        <v>27.3645833333333</v>
      </c>
      <c r="I231" s="192">
        <v>0.819635408477636</v>
      </c>
      <c r="J231" s="192">
        <v>0.218804199502281</v>
      </c>
      <c r="K231" s="191">
        <v>20.4575</v>
      </c>
      <c r="L231" s="191">
        <v>20.4575</v>
      </c>
      <c r="M231" s="121">
        <v>2411</v>
      </c>
    </row>
    <row r="232" spans="1:13">
      <c r="A232" s="124" t="s">
        <v>12</v>
      </c>
      <c r="B232" s="29">
        <v>45977</v>
      </c>
      <c r="C232" s="52"/>
      <c r="D232" s="52"/>
      <c r="E232" s="191">
        <v>12631.0672</v>
      </c>
      <c r="F232" s="191">
        <v>6.415576</v>
      </c>
      <c r="G232" s="191">
        <v>6.193758</v>
      </c>
      <c r="H232" s="191">
        <v>28.3675</v>
      </c>
      <c r="I232" s="192">
        <v>0.816595873997382</v>
      </c>
      <c r="J232" s="192">
        <v>0.21828887045486</v>
      </c>
      <c r="K232" s="191">
        <v>20.9781666666667</v>
      </c>
      <c r="L232" s="191">
        <v>20.9781666666667</v>
      </c>
      <c r="M232" s="121">
        <v>2411</v>
      </c>
    </row>
    <row r="233" spans="1:13">
      <c r="A233" s="124" t="s">
        <v>12</v>
      </c>
      <c r="B233" s="29">
        <v>45978</v>
      </c>
      <c r="C233" s="52"/>
      <c r="D233" s="52"/>
      <c r="E233" s="191">
        <v>12158.3102</v>
      </c>
      <c r="F233" s="191">
        <v>6.128313</v>
      </c>
      <c r="G233" s="191">
        <v>5.913334</v>
      </c>
      <c r="H233" s="191">
        <v>27.5325</v>
      </c>
      <c r="I233" s="192">
        <v>0.822877278464643</v>
      </c>
      <c r="J233" s="192">
        <v>0.210118730125812</v>
      </c>
      <c r="K233" s="191">
        <v>20.091</v>
      </c>
      <c r="L233" s="191">
        <v>20.091</v>
      </c>
      <c r="M233" s="121">
        <v>2411</v>
      </c>
    </row>
    <row r="234" spans="1:13">
      <c r="A234" s="124" t="s">
        <v>12</v>
      </c>
      <c r="B234" s="29">
        <v>45979</v>
      </c>
      <c r="C234" s="52"/>
      <c r="D234" s="52"/>
      <c r="E234" s="191">
        <v>11569.7932</v>
      </c>
      <c r="F234" s="191">
        <v>5.818865</v>
      </c>
      <c r="G234" s="191">
        <v>5.61178</v>
      </c>
      <c r="H234" s="191">
        <v>27.97875</v>
      </c>
      <c r="I234" s="192">
        <v>0.824688815193567</v>
      </c>
      <c r="J234" s="192">
        <v>0.199948036775888</v>
      </c>
      <c r="K234" s="191">
        <v>19.9382916666667</v>
      </c>
      <c r="L234" s="191">
        <v>19.9382916666667</v>
      </c>
      <c r="M234" s="121">
        <v>2411</v>
      </c>
    </row>
    <row r="235" spans="1:13">
      <c r="A235" s="124" t="s">
        <v>12</v>
      </c>
      <c r="B235" s="29">
        <v>45980</v>
      </c>
      <c r="C235" s="52"/>
      <c r="D235" s="52"/>
      <c r="E235" s="191">
        <v>11718.5062</v>
      </c>
      <c r="F235" s="191">
        <v>5.991904</v>
      </c>
      <c r="G235" s="191">
        <v>5.779608</v>
      </c>
      <c r="H235" s="191">
        <v>31.3495833333333</v>
      </c>
      <c r="I235" s="192">
        <v>0.811166855782531</v>
      </c>
      <c r="J235" s="192">
        <v>0.202518080326282</v>
      </c>
      <c r="K235" s="191">
        <v>21.9292083333333</v>
      </c>
      <c r="L235" s="191">
        <v>21.9292083333333</v>
      </c>
      <c r="M235" s="121">
        <v>2411</v>
      </c>
    </row>
    <row r="236" spans="1:13">
      <c r="A236" s="124" t="s">
        <v>12</v>
      </c>
      <c r="B236" s="29">
        <v>45981</v>
      </c>
      <c r="C236" s="52"/>
      <c r="D236" s="52"/>
      <c r="E236" s="191">
        <v>10405.5742</v>
      </c>
      <c r="F236" s="191">
        <v>5.248657</v>
      </c>
      <c r="G236" s="191">
        <v>5.046492</v>
      </c>
      <c r="H236" s="191">
        <v>30.5533333333333</v>
      </c>
      <c r="I236" s="192">
        <v>0.822281742496146</v>
      </c>
      <c r="J236" s="192">
        <v>0.179828117655191</v>
      </c>
      <c r="K236" s="191">
        <v>20.46825</v>
      </c>
      <c r="L236" s="191">
        <v>20.46825</v>
      </c>
      <c r="M236" s="121">
        <v>2411</v>
      </c>
    </row>
    <row r="237" spans="1:13">
      <c r="A237" s="124" t="s">
        <v>12</v>
      </c>
      <c r="B237" s="29">
        <v>45982</v>
      </c>
      <c r="C237" s="52"/>
      <c r="D237" s="52"/>
      <c r="E237" s="191">
        <v>10971.8902</v>
      </c>
      <c r="F237" s="191">
        <v>5.493885</v>
      </c>
      <c r="G237" s="191">
        <v>5.290692</v>
      </c>
      <c r="H237" s="191">
        <v>28.0525</v>
      </c>
      <c r="I237" s="192">
        <v>0.82833245540501</v>
      </c>
      <c r="J237" s="192">
        <v>0.189615135490115</v>
      </c>
      <c r="K237" s="191">
        <v>19.4709583333333</v>
      </c>
      <c r="L237" s="191">
        <v>19.4709583333333</v>
      </c>
      <c r="M237" s="121">
        <v>2411</v>
      </c>
    </row>
    <row r="238" spans="1:13">
      <c r="A238" s="124" t="s">
        <v>12</v>
      </c>
      <c r="B238" s="29">
        <v>45983</v>
      </c>
      <c r="C238" s="52"/>
      <c r="D238" s="52"/>
      <c r="E238" s="191">
        <v>10045.7062</v>
      </c>
      <c r="F238" s="191">
        <v>5.054753</v>
      </c>
      <c r="G238" s="191">
        <v>4.85896</v>
      </c>
      <c r="H238" s="191">
        <v>29.5216666666667</v>
      </c>
      <c r="I238" s="192">
        <v>0.824296248723941</v>
      </c>
      <c r="J238" s="192">
        <v>0.173608914005254</v>
      </c>
      <c r="K238" s="191">
        <v>19.7962083333333</v>
      </c>
      <c r="L238" s="191">
        <v>19.7962083333333</v>
      </c>
      <c r="M238" s="121">
        <v>2411</v>
      </c>
    </row>
    <row r="239" spans="1:13">
      <c r="A239" s="124" t="s">
        <v>12</v>
      </c>
      <c r="B239" s="29">
        <v>45984</v>
      </c>
      <c r="C239" s="52"/>
      <c r="D239" s="52"/>
      <c r="E239" s="191">
        <v>11138.6522</v>
      </c>
      <c r="F239" s="191">
        <v>5.647039</v>
      </c>
      <c r="G239" s="191">
        <v>5.441782</v>
      </c>
      <c r="H239" s="191">
        <v>30.0483333333333</v>
      </c>
      <c r="I239" s="192">
        <v>0.818115547337762</v>
      </c>
      <c r="J239" s="192">
        <v>0.192497100096779</v>
      </c>
      <c r="K239" s="191">
        <v>20.7734583333333</v>
      </c>
      <c r="L239" s="191">
        <v>20.7734583333333</v>
      </c>
      <c r="M239" s="121">
        <v>2411</v>
      </c>
    </row>
    <row r="240" spans="1:13">
      <c r="A240" s="124" t="s">
        <v>12</v>
      </c>
      <c r="B240" s="29">
        <v>45985</v>
      </c>
      <c r="C240" s="52"/>
      <c r="D240" s="52"/>
      <c r="E240" s="191">
        <v>11911.7372</v>
      </c>
      <c r="F240" s="191">
        <v>5.984243</v>
      </c>
      <c r="G240" s="191">
        <v>5.760197</v>
      </c>
      <c r="H240" s="191">
        <v>26.8275</v>
      </c>
      <c r="I240" s="192">
        <v>0.825598076578195</v>
      </c>
      <c r="J240" s="192">
        <v>0.205857479607355</v>
      </c>
      <c r="K240" s="191">
        <v>19.487625</v>
      </c>
      <c r="L240" s="191">
        <v>19.487625</v>
      </c>
      <c r="M240" s="121">
        <v>2411</v>
      </c>
    </row>
    <row r="241" spans="1:13">
      <c r="A241" s="124" t="s">
        <v>12</v>
      </c>
      <c r="B241" s="29">
        <v>45986</v>
      </c>
      <c r="C241" s="52"/>
      <c r="D241" s="52"/>
      <c r="E241" s="191">
        <v>12967.7672</v>
      </c>
      <c r="F241" s="191">
        <v>6.59667</v>
      </c>
      <c r="G241" s="191">
        <v>6.351604</v>
      </c>
      <c r="H241" s="191">
        <v>26.9445833333333</v>
      </c>
      <c r="I241" s="192">
        <v>0.815348423941839</v>
      </c>
      <c r="J241" s="192">
        <v>0.224107686990184</v>
      </c>
      <c r="K241" s="191">
        <v>20.4582083333333</v>
      </c>
      <c r="L241" s="191">
        <v>20.4582083333333</v>
      </c>
      <c r="M241" s="121">
        <v>2411</v>
      </c>
    </row>
    <row r="242" spans="1:13">
      <c r="A242" s="124" t="s">
        <v>12</v>
      </c>
      <c r="B242" s="29">
        <v>45987</v>
      </c>
      <c r="C242" s="52"/>
      <c r="D242" s="52"/>
      <c r="E242" s="191">
        <v>12565.5002</v>
      </c>
      <c r="F242" s="191">
        <v>6.396829</v>
      </c>
      <c r="G242" s="191">
        <v>6.157952</v>
      </c>
      <c r="H242" s="191">
        <v>28.16875</v>
      </c>
      <c r="I242" s="192">
        <v>0.814737731938379</v>
      </c>
      <c r="J242" s="192">
        <v>0.217155747960735</v>
      </c>
      <c r="K242" s="191">
        <v>20.751375</v>
      </c>
      <c r="L242" s="191">
        <v>20.751375</v>
      </c>
      <c r="M242" s="121">
        <v>2411</v>
      </c>
    </row>
    <row r="243" spans="1:13">
      <c r="A243" s="124" t="s">
        <v>12</v>
      </c>
      <c r="B243" s="29">
        <v>45988</v>
      </c>
      <c r="C243" s="52"/>
      <c r="D243" s="52"/>
      <c r="E243" s="191">
        <v>11414.8782</v>
      </c>
      <c r="F243" s="191">
        <v>5.71892</v>
      </c>
      <c r="G243" s="191">
        <v>5.524473</v>
      </c>
      <c r="H243" s="191">
        <v>27.5975</v>
      </c>
      <c r="I243" s="192">
        <v>0.827866006309696</v>
      </c>
      <c r="J243" s="192">
        <v>0.19727081086686</v>
      </c>
      <c r="K243" s="191">
        <v>19.6290416666667</v>
      </c>
      <c r="L243" s="191">
        <v>19.6290416666667</v>
      </c>
      <c r="M243" s="121">
        <v>2411</v>
      </c>
    </row>
    <row r="244" spans="1:13">
      <c r="A244" s="124" t="s">
        <v>12</v>
      </c>
      <c r="B244" s="29">
        <v>45989</v>
      </c>
      <c r="C244" s="52"/>
      <c r="D244" s="52"/>
      <c r="E244" s="191">
        <v>11544.4442</v>
      </c>
      <c r="F244" s="191">
        <v>5.758267</v>
      </c>
      <c r="G244" s="191">
        <v>5.565098</v>
      </c>
      <c r="H244" s="191">
        <v>26.1741666666667</v>
      </c>
      <c r="I244" s="192">
        <v>0.831541675294285</v>
      </c>
      <c r="J244" s="192">
        <v>0.199509957832158</v>
      </c>
      <c r="K244" s="191">
        <v>18.9659583333333</v>
      </c>
      <c r="L244" s="191">
        <v>18.9659583333333</v>
      </c>
      <c r="M244" s="121">
        <v>2411</v>
      </c>
    </row>
    <row r="245" spans="1:13">
      <c r="A245" s="124" t="s">
        <v>12</v>
      </c>
      <c r="B245" s="29">
        <v>45990</v>
      </c>
      <c r="C245" s="52"/>
      <c r="D245" s="52"/>
      <c r="E245" s="191">
        <v>9526.6162</v>
      </c>
      <c r="F245" s="191">
        <v>4.706304</v>
      </c>
      <c r="G245" s="191">
        <v>4.5171632</v>
      </c>
      <c r="H245" s="191">
        <v>25.0033333333333</v>
      </c>
      <c r="I245" s="192">
        <v>0.839578835329054</v>
      </c>
      <c r="J245" s="192">
        <v>0.164638051292686</v>
      </c>
      <c r="K245" s="191">
        <v>16.9532083333333</v>
      </c>
      <c r="L245" s="191">
        <v>16.9532083333333</v>
      </c>
      <c r="M245" s="121">
        <v>2411</v>
      </c>
    </row>
    <row r="246" spans="1:13">
      <c r="A246" s="124" t="s">
        <v>12</v>
      </c>
      <c r="B246" s="29">
        <v>45991</v>
      </c>
      <c r="C246" s="52"/>
      <c r="D246" s="52"/>
      <c r="E246" s="191">
        <v>11184.1052</v>
      </c>
      <c r="F246" s="191">
        <v>5.587787</v>
      </c>
      <c r="G246" s="191">
        <v>5.367794</v>
      </c>
      <c r="H246" s="191">
        <v>25.6675</v>
      </c>
      <c r="I246" s="192">
        <v>0.830164561703703</v>
      </c>
      <c r="J246" s="192">
        <v>0.193282614406194</v>
      </c>
      <c r="K246" s="191">
        <v>18.5385416666667</v>
      </c>
      <c r="L246" s="191">
        <v>18.5385416666667</v>
      </c>
      <c r="M246" s="121">
        <v>2411</v>
      </c>
    </row>
    <row r="247" spans="1:13">
      <c r="A247" s="124" t="s">
        <v>12</v>
      </c>
      <c r="B247" s="29">
        <v>45992</v>
      </c>
      <c r="C247" s="52"/>
      <c r="D247" s="52"/>
      <c r="E247" s="191">
        <v>11559.0812</v>
      </c>
      <c r="F247" s="191">
        <v>5.792637</v>
      </c>
      <c r="G247" s="191">
        <v>5.559335</v>
      </c>
      <c r="H247" s="191">
        <v>25.2795833333333</v>
      </c>
      <c r="I247" s="192">
        <v>0.827655852230894</v>
      </c>
      <c r="J247" s="192">
        <v>0.199762913037467</v>
      </c>
      <c r="K247" s="191">
        <v>18.84125</v>
      </c>
      <c r="L247" s="191">
        <v>18.84125</v>
      </c>
      <c r="M247" s="121">
        <v>2411</v>
      </c>
    </row>
    <row r="248" spans="1:13">
      <c r="A248" s="124" t="s">
        <v>12</v>
      </c>
      <c r="B248" s="29">
        <v>45993</v>
      </c>
      <c r="C248" s="52"/>
      <c r="D248" s="52"/>
      <c r="E248" s="191">
        <v>11377.6762</v>
      </c>
      <c r="F248" s="191">
        <v>5.652024</v>
      </c>
      <c r="G248" s="191">
        <v>5.425197</v>
      </c>
      <c r="H248" s="191">
        <v>23.4754166666667</v>
      </c>
      <c r="I248" s="192">
        <v>0.834934414435947</v>
      </c>
      <c r="J248" s="192">
        <v>0.19662788953408</v>
      </c>
      <c r="K248" s="191">
        <v>17.7077916666667</v>
      </c>
      <c r="L248" s="191">
        <v>17.7077916666667</v>
      </c>
      <c r="M248" s="121">
        <v>2411</v>
      </c>
    </row>
    <row r="249" spans="1:13">
      <c r="A249" s="124" t="s">
        <v>12</v>
      </c>
      <c r="B249" s="29">
        <v>45994</v>
      </c>
      <c r="C249" s="52"/>
      <c r="D249" s="52"/>
      <c r="E249" s="191">
        <v>11529.7072</v>
      </c>
      <c r="F249" s="191">
        <v>5.819384</v>
      </c>
      <c r="G249" s="191">
        <v>5.584278</v>
      </c>
      <c r="H249" s="191">
        <v>26.6</v>
      </c>
      <c r="I249" s="192">
        <v>0.821758211260614</v>
      </c>
      <c r="J249" s="192">
        <v>0.19925527443661</v>
      </c>
      <c r="K249" s="191">
        <v>19.622625</v>
      </c>
      <c r="L249" s="191">
        <v>19.622625</v>
      </c>
      <c r="M249" s="121">
        <v>2411</v>
      </c>
    </row>
    <row r="250" spans="1:13">
      <c r="A250" s="124" t="s">
        <v>12</v>
      </c>
      <c r="B250" s="29">
        <v>45995</v>
      </c>
      <c r="C250" s="52"/>
      <c r="D250" s="52"/>
      <c r="E250" s="191">
        <v>9802.1542</v>
      </c>
      <c r="F250" s="191">
        <v>4.884978</v>
      </c>
      <c r="G250" s="191">
        <v>4.708412</v>
      </c>
      <c r="H250" s="191">
        <v>26.57375</v>
      </c>
      <c r="I250" s="192">
        <v>0.83226514648257</v>
      </c>
      <c r="J250" s="192">
        <v>0.169399872113922</v>
      </c>
      <c r="K250" s="191">
        <v>18.3387083333333</v>
      </c>
      <c r="L250" s="191">
        <v>18.3387083333333</v>
      </c>
      <c r="M250" s="121">
        <v>2411</v>
      </c>
    </row>
    <row r="251" spans="1:13">
      <c r="A251" s="124" t="s">
        <v>12</v>
      </c>
      <c r="B251" s="29">
        <v>45996</v>
      </c>
      <c r="C251" s="52"/>
      <c r="D251" s="52"/>
      <c r="E251" s="191">
        <v>12640.1222</v>
      </c>
      <c r="F251" s="191">
        <v>6.389519</v>
      </c>
      <c r="G251" s="191">
        <v>6.139504</v>
      </c>
      <c r="H251" s="191">
        <v>24.7975</v>
      </c>
      <c r="I251" s="192">
        <v>0.820513812376866</v>
      </c>
      <c r="J251" s="192">
        <v>0.218445358081018</v>
      </c>
      <c r="K251" s="191">
        <v>19.30025</v>
      </c>
      <c r="L251" s="191">
        <v>19.30025</v>
      </c>
      <c r="M251" s="121">
        <v>2411</v>
      </c>
    </row>
    <row r="252" spans="1:13">
      <c r="A252" s="124" t="s">
        <v>12</v>
      </c>
      <c r="B252" s="29">
        <v>45997</v>
      </c>
      <c r="C252" s="52"/>
      <c r="D252" s="52"/>
      <c r="E252" s="191">
        <v>12308.1472</v>
      </c>
      <c r="F252" s="191">
        <v>6.18634</v>
      </c>
      <c r="G252" s="191">
        <v>5.938846</v>
      </c>
      <c r="H252" s="191">
        <v>24.0883333333333</v>
      </c>
      <c r="I252" s="192">
        <v>0.825204687234758</v>
      </c>
      <c r="J252" s="192">
        <v>0.212708198534495</v>
      </c>
      <c r="K252" s="191">
        <v>18.7185416666667</v>
      </c>
      <c r="L252" s="191">
        <v>18.7185416666667</v>
      </c>
      <c r="M252" s="121">
        <v>2411</v>
      </c>
    </row>
    <row r="253" spans="1:13">
      <c r="A253" s="124" t="s">
        <v>12</v>
      </c>
      <c r="B253" s="29">
        <v>45998</v>
      </c>
      <c r="C253" s="52"/>
      <c r="D253" s="52"/>
      <c r="E253" s="191">
        <v>11032.0452</v>
      </c>
      <c r="F253" s="191">
        <v>5.503111</v>
      </c>
      <c r="G253" s="191">
        <v>5.274287</v>
      </c>
      <c r="H253" s="191">
        <v>24.5716666666667</v>
      </c>
      <c r="I253" s="192">
        <v>0.831477591472144</v>
      </c>
      <c r="J253" s="192">
        <v>0.190654728328494</v>
      </c>
      <c r="K253" s="191">
        <v>18.1374583333333</v>
      </c>
      <c r="L253" s="191">
        <v>18.1374583333333</v>
      </c>
      <c r="M253" s="121">
        <v>2411</v>
      </c>
    </row>
    <row r="254" spans="1:13">
      <c r="A254" s="124" t="s">
        <v>12</v>
      </c>
      <c r="B254" s="29">
        <v>45999</v>
      </c>
      <c r="C254" s="52"/>
      <c r="D254" s="52"/>
      <c r="E254" s="191">
        <v>12073.2192</v>
      </c>
      <c r="F254" s="191">
        <v>6.093045</v>
      </c>
      <c r="G254" s="191">
        <v>5.847269</v>
      </c>
      <c r="H254" s="191">
        <v>25.4175</v>
      </c>
      <c r="I254" s="192">
        <v>0.821847975596006</v>
      </c>
      <c r="J254" s="192">
        <v>0.20864819576939</v>
      </c>
      <c r="K254" s="191">
        <v>19.3028333333333</v>
      </c>
      <c r="L254" s="191">
        <v>19.3028333333333</v>
      </c>
      <c r="M254" s="121">
        <v>2411</v>
      </c>
    </row>
    <row r="255" spans="1:13">
      <c r="A255" s="124" t="s">
        <v>12</v>
      </c>
      <c r="B255" s="29">
        <v>46000</v>
      </c>
      <c r="C255" s="52"/>
      <c r="D255" s="52"/>
      <c r="E255" s="191">
        <v>11824.7122</v>
      </c>
      <c r="F255" s="191">
        <v>5.9073</v>
      </c>
      <c r="G255" s="191">
        <v>5.669267</v>
      </c>
      <c r="H255" s="191">
        <v>23.7033333333333</v>
      </c>
      <c r="I255" s="192">
        <v>0.830241316547488</v>
      </c>
      <c r="J255" s="192">
        <v>0.204353522051707</v>
      </c>
      <c r="K255" s="191">
        <v>18.0595833333333</v>
      </c>
      <c r="L255" s="191">
        <v>18.0595833333333</v>
      </c>
      <c r="M255" s="121">
        <v>2411</v>
      </c>
    </row>
    <row r="256" spans="1:13">
      <c r="A256" s="124" t="s">
        <v>12</v>
      </c>
      <c r="B256" s="29">
        <v>46001</v>
      </c>
      <c r="C256" s="52"/>
      <c r="D256" s="52"/>
      <c r="E256" s="191">
        <v>9581.4642</v>
      </c>
      <c r="F256" s="191">
        <v>4.754949</v>
      </c>
      <c r="G256" s="191">
        <v>4.527244</v>
      </c>
      <c r="H256" s="191">
        <v>25.04875</v>
      </c>
      <c r="I256" s="192">
        <v>0.835773905840366</v>
      </c>
      <c r="J256" s="192">
        <v>0.165585929075073</v>
      </c>
      <c r="K256" s="191">
        <v>17.4760416666667</v>
      </c>
      <c r="L256" s="191">
        <v>17.4760416666667</v>
      </c>
      <c r="M256" s="121">
        <v>2411</v>
      </c>
    </row>
    <row r="257" spans="1:13">
      <c r="A257" s="124" t="s">
        <v>12</v>
      </c>
      <c r="B257" s="29">
        <v>46002</v>
      </c>
      <c r="C257" s="52"/>
      <c r="D257" s="52"/>
      <c r="E257" s="191">
        <v>9643.9872</v>
      </c>
      <c r="F257" s="191">
        <v>4.730079</v>
      </c>
      <c r="G257" s="191">
        <v>4.5221396</v>
      </c>
      <c r="H257" s="191">
        <v>22.7483333333333</v>
      </c>
      <c r="I257" s="192">
        <v>0.845650715558785</v>
      </c>
      <c r="J257" s="192">
        <v>0.166666445458316</v>
      </c>
      <c r="K257" s="191">
        <v>16.0925</v>
      </c>
      <c r="L257" s="191">
        <v>16.0925</v>
      </c>
      <c r="M257" s="121">
        <v>2411</v>
      </c>
    </row>
    <row r="258" spans="1:13">
      <c r="A258" s="124" t="s">
        <v>12</v>
      </c>
      <c r="B258" s="29">
        <v>46003</v>
      </c>
      <c r="C258" s="52"/>
      <c r="D258" s="52"/>
      <c r="E258" s="191">
        <v>11201.8492</v>
      </c>
      <c r="F258" s="191">
        <v>5.63237</v>
      </c>
      <c r="G258" s="191">
        <v>5.4095161</v>
      </c>
      <c r="H258" s="191">
        <v>25.6983333333333</v>
      </c>
      <c r="I258" s="192">
        <v>0.824900059401925</v>
      </c>
      <c r="J258" s="192">
        <v>0.193589264482234</v>
      </c>
      <c r="K258" s="191">
        <v>18.9835</v>
      </c>
      <c r="L258" s="191">
        <v>18.9835</v>
      </c>
      <c r="M258" s="121">
        <v>2411</v>
      </c>
    </row>
    <row r="259" spans="1:13">
      <c r="A259" s="124" t="s">
        <v>12</v>
      </c>
      <c r="B259" s="29">
        <v>46004</v>
      </c>
      <c r="C259" s="52"/>
      <c r="D259" s="52"/>
      <c r="E259" s="191">
        <v>11582.7282</v>
      </c>
      <c r="F259" s="191">
        <v>5.779395</v>
      </c>
      <c r="G259" s="191">
        <v>5.550247</v>
      </c>
      <c r="H259" s="191">
        <v>23.9845833333333</v>
      </c>
      <c r="I259" s="192">
        <v>0.831249270278261</v>
      </c>
      <c r="J259" s="192">
        <v>0.200171578183326</v>
      </c>
      <c r="K259" s="191">
        <v>17.9622083333333</v>
      </c>
      <c r="L259" s="191">
        <v>17.9622083333333</v>
      </c>
      <c r="M259" s="121">
        <v>2411</v>
      </c>
    </row>
    <row r="260" spans="1:13">
      <c r="A260" s="124" t="s">
        <v>12</v>
      </c>
      <c r="B260" s="29">
        <v>46005</v>
      </c>
      <c r="C260" s="52"/>
      <c r="D260" s="52"/>
      <c r="E260" s="191">
        <v>11382.0062</v>
      </c>
      <c r="F260" s="191">
        <v>5.746306</v>
      </c>
      <c r="G260" s="191">
        <v>5.5181168</v>
      </c>
      <c r="H260" s="191">
        <v>26.7845833333333</v>
      </c>
      <c r="I260" s="192">
        <v>0.821547840319411</v>
      </c>
      <c r="J260" s="192">
        <v>0.196702720171436</v>
      </c>
      <c r="K260" s="191">
        <v>19.5722083333333</v>
      </c>
      <c r="L260" s="191">
        <v>19.5722083333333</v>
      </c>
      <c r="M260" s="121">
        <v>2411</v>
      </c>
    </row>
    <row r="261" spans="1:13">
      <c r="A261" s="124" t="s">
        <v>12</v>
      </c>
      <c r="B261" s="29">
        <v>46006</v>
      </c>
      <c r="C261" s="52"/>
      <c r="D261" s="52"/>
      <c r="E261" s="191">
        <v>10649.4934</v>
      </c>
      <c r="F261" s="191">
        <v>5.342805</v>
      </c>
      <c r="G261" s="191">
        <v>5.1246217</v>
      </c>
      <c r="H261" s="191">
        <v>27.4120833333333</v>
      </c>
      <c r="I261" s="192">
        <v>0.826727558102148</v>
      </c>
      <c r="J261" s="192">
        <v>0.184043505461081</v>
      </c>
      <c r="K261" s="191">
        <v>19.0774166666667</v>
      </c>
      <c r="L261" s="191">
        <v>19.0774166666667</v>
      </c>
      <c r="M261" s="121">
        <v>2411</v>
      </c>
    </row>
    <row r="262" spans="1:13">
      <c r="A262" s="124" t="s">
        <v>12</v>
      </c>
      <c r="B262" s="29">
        <v>46007</v>
      </c>
      <c r="C262" s="52"/>
      <c r="D262" s="52"/>
      <c r="E262" s="191">
        <v>10159.5536</v>
      </c>
      <c r="F262" s="191">
        <v>5.136969</v>
      </c>
      <c r="G262" s="191">
        <v>4.9244764</v>
      </c>
      <c r="H262" s="191">
        <v>29.5591666666667</v>
      </c>
      <c r="I262" s="192">
        <v>0.820295767373869</v>
      </c>
      <c r="J262" s="192">
        <v>0.175576413659616</v>
      </c>
      <c r="K262" s="191">
        <v>20.097375</v>
      </c>
      <c r="L262" s="191">
        <v>20.097375</v>
      </c>
      <c r="M262" s="121">
        <v>2411</v>
      </c>
    </row>
    <row r="263" spans="1:13">
      <c r="A263" s="124" t="s">
        <v>12</v>
      </c>
      <c r="B263" s="29">
        <v>46008</v>
      </c>
      <c r="C263" s="52"/>
      <c r="D263" s="52"/>
      <c r="E263" s="191">
        <v>10447.7967</v>
      </c>
      <c r="F263" s="191">
        <v>5.222156</v>
      </c>
      <c r="G263" s="191">
        <v>4.9956794</v>
      </c>
      <c r="H263" s="191">
        <v>27.09875</v>
      </c>
      <c r="I263" s="192">
        <v>0.829808084380152</v>
      </c>
      <c r="J263" s="192">
        <v>0.18055780277893</v>
      </c>
      <c r="K263" s="191">
        <v>18.6179583333333</v>
      </c>
      <c r="L263" s="191">
        <v>18.6179583333333</v>
      </c>
      <c r="M263" s="121">
        <v>2411</v>
      </c>
    </row>
    <row r="264" spans="1:13">
      <c r="A264" s="124" t="s">
        <v>12</v>
      </c>
      <c r="B264" s="29">
        <v>46009</v>
      </c>
      <c r="C264" s="52"/>
      <c r="D264" s="52"/>
      <c r="E264" s="191">
        <v>8911.0356</v>
      </c>
      <c r="F264" s="191">
        <v>4.4544365</v>
      </c>
      <c r="G264" s="191">
        <v>4.2655671</v>
      </c>
      <c r="H264" s="191">
        <v>28.7833333333333</v>
      </c>
      <c r="I264" s="192">
        <v>0.829732680840907</v>
      </c>
      <c r="J264" s="192">
        <v>0.153999647449191</v>
      </c>
      <c r="K264" s="191">
        <v>18.993</v>
      </c>
      <c r="L264" s="191">
        <v>18.993</v>
      </c>
      <c r="M264" s="121">
        <v>2411</v>
      </c>
    </row>
    <row r="265" spans="1:13">
      <c r="A265" s="124" t="s">
        <v>12</v>
      </c>
      <c r="B265" s="29">
        <v>46010</v>
      </c>
      <c r="C265" s="52"/>
      <c r="D265" s="52"/>
      <c r="E265" s="191">
        <v>10893.0579</v>
      </c>
      <c r="F265" s="191">
        <v>5.496358</v>
      </c>
      <c r="G265" s="191">
        <v>5.2701108</v>
      </c>
      <c r="H265" s="191">
        <v>28.0745833333333</v>
      </c>
      <c r="I265" s="192">
        <v>0.822010924511944</v>
      </c>
      <c r="J265" s="192">
        <v>0.188252763376192</v>
      </c>
      <c r="K265" s="191">
        <v>19.5497916666667</v>
      </c>
      <c r="L265" s="191">
        <v>19.5497916666667</v>
      </c>
      <c r="M265" s="121">
        <v>2411</v>
      </c>
    </row>
    <row r="266" spans="1:13">
      <c r="A266" s="124" t="s">
        <v>12</v>
      </c>
      <c r="B266" s="29">
        <v>46011</v>
      </c>
      <c r="C266" s="52"/>
      <c r="D266" s="52"/>
      <c r="E266" s="191">
        <v>7391.4396</v>
      </c>
      <c r="F266" s="191">
        <v>3.6823364</v>
      </c>
      <c r="G266" s="191">
        <v>3.490411</v>
      </c>
      <c r="H266" s="191">
        <v>27.6866666666667</v>
      </c>
      <c r="I266" s="192">
        <v>0.832546234736391</v>
      </c>
      <c r="J266" s="192">
        <v>0.127738137702198</v>
      </c>
      <c r="K266" s="191">
        <v>17.3337916666667</v>
      </c>
      <c r="L266" s="191">
        <v>17.3337916666667</v>
      </c>
      <c r="M266" s="121">
        <v>2411</v>
      </c>
    </row>
    <row r="267" spans="1:13">
      <c r="A267" s="124" t="s">
        <v>12</v>
      </c>
      <c r="B267" s="29">
        <v>46012</v>
      </c>
      <c r="C267" s="52"/>
      <c r="D267" s="52"/>
      <c r="E267" s="191">
        <v>10711.2986</v>
      </c>
      <c r="F267" s="191">
        <v>5.295759</v>
      </c>
      <c r="G267" s="191">
        <v>5.0991244</v>
      </c>
      <c r="H267" s="191">
        <v>23.34</v>
      </c>
      <c r="I267" s="192">
        <v>0.838912572395176</v>
      </c>
      <c r="J267" s="192">
        <v>0.185111616894788</v>
      </c>
      <c r="K267" s="191">
        <v>17.0395416666667</v>
      </c>
      <c r="L267" s="191">
        <v>17.0395416666667</v>
      </c>
      <c r="M267" s="121">
        <v>2411</v>
      </c>
    </row>
    <row r="268" spans="1:13">
      <c r="A268" s="124" t="s">
        <v>12</v>
      </c>
      <c r="B268" s="29">
        <v>46013</v>
      </c>
      <c r="C268" s="52"/>
      <c r="D268" s="52"/>
      <c r="E268" s="191">
        <v>10577.1296</v>
      </c>
      <c r="F268" s="191">
        <v>5.308469</v>
      </c>
      <c r="G268" s="191">
        <v>5.0897647</v>
      </c>
      <c r="H268" s="191">
        <v>26.2454166666667</v>
      </c>
      <c r="I268" s="192">
        <v>0.826420972221318</v>
      </c>
      <c r="J268" s="192">
        <v>0.18279292133278</v>
      </c>
      <c r="K268" s="191">
        <v>18.8673333333333</v>
      </c>
      <c r="L268" s="191">
        <v>18.8673333333333</v>
      </c>
      <c r="M268" s="121">
        <v>2411</v>
      </c>
    </row>
    <row r="269" spans="1:13">
      <c r="A269" s="124" t="s">
        <v>12</v>
      </c>
      <c r="B269" s="29">
        <v>46014</v>
      </c>
      <c r="C269" s="52"/>
      <c r="D269" s="52"/>
      <c r="E269" s="191">
        <v>12529.5596</v>
      </c>
      <c r="F269" s="191">
        <v>6.3165455</v>
      </c>
      <c r="G269" s="191">
        <v>6.064448</v>
      </c>
      <c r="H269" s="191">
        <v>24.3895833333333</v>
      </c>
      <c r="I269" s="192">
        <v>0.82273309429516</v>
      </c>
      <c r="J269" s="192">
        <v>0.216534626019632</v>
      </c>
      <c r="K269" s="191">
        <v>18.8618333333333</v>
      </c>
      <c r="L269" s="191">
        <v>18.8618333333333</v>
      </c>
      <c r="M269" s="121">
        <v>2411</v>
      </c>
    </row>
    <row r="270" spans="1:13">
      <c r="A270" s="124" t="s">
        <v>12</v>
      </c>
      <c r="B270" s="29">
        <v>46015</v>
      </c>
      <c r="C270" s="52"/>
      <c r="D270" s="52"/>
      <c r="E270" s="191">
        <v>11976.4396</v>
      </c>
      <c r="F270" s="191">
        <v>5.9437911</v>
      </c>
      <c r="G270" s="191">
        <v>5.7081787</v>
      </c>
      <c r="H270" s="191">
        <v>21.2070833333333</v>
      </c>
      <c r="I270" s="192">
        <v>0.835731902497063</v>
      </c>
      <c r="J270" s="192">
        <v>0.206975660168671</v>
      </c>
      <c r="K270" s="191">
        <v>17.04875</v>
      </c>
      <c r="L270" s="191">
        <v>17.04875</v>
      </c>
      <c r="M270" s="121">
        <v>2411</v>
      </c>
    </row>
    <row r="271" spans="1:13">
      <c r="A271" s="124" t="s">
        <v>12</v>
      </c>
      <c r="B271" s="29">
        <v>46016</v>
      </c>
      <c r="C271" s="52"/>
      <c r="D271" s="52"/>
      <c r="E271" s="191">
        <v>11368.5496</v>
      </c>
      <c r="F271" s="191">
        <v>5.6018973</v>
      </c>
      <c r="G271" s="191">
        <v>5.3794365</v>
      </c>
      <c r="H271" s="191">
        <v>20.4970833333333</v>
      </c>
      <c r="I271" s="192">
        <v>0.841729809750182</v>
      </c>
      <c r="J271" s="192">
        <v>0.196470164523711</v>
      </c>
      <c r="K271" s="191">
        <v>16.3819583333333</v>
      </c>
      <c r="L271" s="191">
        <v>16.3819583333333</v>
      </c>
      <c r="M271" s="121">
        <v>2411</v>
      </c>
    </row>
    <row r="272" spans="1:13">
      <c r="A272" s="124" t="s">
        <v>12</v>
      </c>
      <c r="B272" s="29">
        <v>46017</v>
      </c>
      <c r="C272" s="52"/>
      <c r="D272" s="52"/>
      <c r="E272" s="191">
        <v>11685.6196</v>
      </c>
      <c r="F272" s="191">
        <v>5.8019562</v>
      </c>
      <c r="G272" s="191">
        <v>5.5707583</v>
      </c>
      <c r="H272" s="191">
        <v>21.82125</v>
      </c>
      <c r="I272" s="192">
        <v>0.835372334517452</v>
      </c>
      <c r="J272" s="192">
        <v>0.201949737315084</v>
      </c>
      <c r="K272" s="191">
        <v>17.25225</v>
      </c>
      <c r="L272" s="191">
        <v>17.25225</v>
      </c>
      <c r="M272" s="121">
        <v>2411</v>
      </c>
    </row>
    <row r="273" spans="1:13">
      <c r="A273" s="124" t="s">
        <v>12</v>
      </c>
      <c r="B273" s="29">
        <v>46018</v>
      </c>
      <c r="C273" s="52"/>
      <c r="D273" s="52"/>
      <c r="E273" s="191">
        <v>11426.4596</v>
      </c>
      <c r="F273" s="191">
        <v>5.665118</v>
      </c>
      <c r="G273" s="191">
        <v>5.4399335</v>
      </c>
      <c r="H273" s="191">
        <v>22.2358333333333</v>
      </c>
      <c r="I273" s="192">
        <v>0.836576224500407</v>
      </c>
      <c r="J273" s="192">
        <v>0.197470959491221</v>
      </c>
      <c r="K273" s="191">
        <v>17.1848333333333</v>
      </c>
      <c r="L273" s="191">
        <v>17.1848333333333</v>
      </c>
      <c r="M273" s="121">
        <v>2411</v>
      </c>
    </row>
    <row r="274" spans="1:13">
      <c r="A274" s="124" t="s">
        <v>12</v>
      </c>
      <c r="B274" s="29">
        <v>46019</v>
      </c>
      <c r="C274" s="52"/>
      <c r="D274" s="52"/>
      <c r="E274" s="191">
        <v>10391.0996</v>
      </c>
      <c r="F274" s="191">
        <v>5.11703</v>
      </c>
      <c r="G274" s="191">
        <v>4.928245</v>
      </c>
      <c r="H274" s="191">
        <v>22.95625</v>
      </c>
      <c r="I274" s="192">
        <v>0.842260306611441</v>
      </c>
      <c r="J274" s="192">
        <v>0.179577969030831</v>
      </c>
      <c r="K274" s="191">
        <v>16.1103333333333</v>
      </c>
      <c r="L274" s="191">
        <v>16.1103333333333</v>
      </c>
      <c r="M274" s="121">
        <v>2411</v>
      </c>
    </row>
    <row r="275" spans="1:13">
      <c r="A275" s="124" t="s">
        <v>12</v>
      </c>
      <c r="B275" s="29">
        <v>46020</v>
      </c>
      <c r="C275" s="52"/>
      <c r="D275" s="52"/>
      <c r="E275" s="191">
        <v>10887.2996</v>
      </c>
      <c r="F275" s="191">
        <v>5.444413</v>
      </c>
      <c r="G275" s="191">
        <v>5.2342595</v>
      </c>
      <c r="H275" s="191">
        <v>25.9420833333333</v>
      </c>
      <c r="I275" s="192">
        <v>0.829415030774409</v>
      </c>
      <c r="J275" s="192">
        <v>0.18815324899765</v>
      </c>
      <c r="K275" s="191">
        <v>18.6762916666667</v>
      </c>
      <c r="L275" s="191">
        <v>18.6762916666667</v>
      </c>
      <c r="M275" s="121">
        <v>2411</v>
      </c>
    </row>
    <row r="276" spans="1:13">
      <c r="A276" s="124" t="s">
        <v>12</v>
      </c>
      <c r="B276" s="29">
        <v>46021</v>
      </c>
      <c r="C276" s="52"/>
      <c r="D276" s="52"/>
      <c r="E276" s="191">
        <v>11551.6996</v>
      </c>
      <c r="F276" s="191">
        <v>5.8115611</v>
      </c>
      <c r="G276" s="191">
        <v>5.5904892</v>
      </c>
      <c r="H276" s="191">
        <v>26.1820833333333</v>
      </c>
      <c r="I276" s="192">
        <v>0.824433950926287</v>
      </c>
      <c r="J276" s="192">
        <v>0.199635344946772</v>
      </c>
      <c r="K276" s="191">
        <v>19.1115</v>
      </c>
      <c r="L276" s="191">
        <v>19.1115</v>
      </c>
      <c r="M276" s="121">
        <v>2411</v>
      </c>
    </row>
    <row r="277" spans="1:13">
      <c r="A277" s="124" t="s">
        <v>12</v>
      </c>
      <c r="B277" s="29">
        <v>46022</v>
      </c>
      <c r="C277" s="52"/>
      <c r="D277" s="52"/>
      <c r="E277" s="191">
        <v>11623.9696</v>
      </c>
      <c r="F277" s="191">
        <v>5.84607</v>
      </c>
      <c r="G277" s="191">
        <v>5.62783</v>
      </c>
      <c r="H277" s="191">
        <v>25.5916666666667</v>
      </c>
      <c r="I277" s="192">
        <v>0.824694776624822</v>
      </c>
      <c r="J277" s="192">
        <v>0.200884308032628</v>
      </c>
      <c r="K277" s="191">
        <v>18.48875</v>
      </c>
      <c r="L277" s="191">
        <v>18.48875</v>
      </c>
      <c r="M277" s="121">
        <v>2411</v>
      </c>
    </row>
    <row r="278" spans="1:13">
      <c r="A278" s="124" t="s">
        <v>12</v>
      </c>
      <c r="B278" s="29">
        <v>46023</v>
      </c>
      <c r="C278" s="52"/>
      <c r="D278" s="52"/>
      <c r="E278" s="191">
        <v>10911.0996</v>
      </c>
      <c r="F278" s="191">
        <v>5.47491</v>
      </c>
      <c r="G278" s="191">
        <v>5.26896</v>
      </c>
      <c r="H278" s="191">
        <v>27.6704166666667</v>
      </c>
      <c r="I278" s="192">
        <v>0.826597952950787</v>
      </c>
      <c r="J278" s="192">
        <v>0.188564558274575</v>
      </c>
      <c r="K278" s="191">
        <v>18.4499166666667</v>
      </c>
      <c r="L278" s="191">
        <v>18.4499166666667</v>
      </c>
      <c r="M278" s="121">
        <v>2411</v>
      </c>
    </row>
    <row r="279" spans="1:13">
      <c r="A279" s="124" t="s">
        <v>12</v>
      </c>
      <c r="B279" s="29">
        <v>46024</v>
      </c>
      <c r="C279" s="52"/>
      <c r="D279" s="52"/>
      <c r="E279" s="191">
        <v>11412.2196</v>
      </c>
      <c r="F279" s="191">
        <v>5.69324</v>
      </c>
      <c r="G279" s="191">
        <v>5.47365</v>
      </c>
      <c r="H279" s="191">
        <v>25.70625</v>
      </c>
      <c r="I279" s="192">
        <v>0.831406503999106</v>
      </c>
      <c r="J279" s="192">
        <v>0.197224865201161</v>
      </c>
      <c r="K279" s="191">
        <v>17.7257916666667</v>
      </c>
      <c r="L279" s="191">
        <v>17.7257916666667</v>
      </c>
      <c r="M279" s="121">
        <v>2411</v>
      </c>
    </row>
    <row r="280" spans="1:13">
      <c r="A280" s="124" t="s">
        <v>12</v>
      </c>
      <c r="B280" s="29">
        <v>46025</v>
      </c>
      <c r="C280" s="52"/>
      <c r="D280" s="52"/>
      <c r="E280" s="191">
        <v>10639.5996</v>
      </c>
      <c r="F280" s="191">
        <v>5.2979</v>
      </c>
      <c r="G280" s="191">
        <v>5.101054</v>
      </c>
      <c r="H280" s="191">
        <v>25.95625</v>
      </c>
      <c r="I280" s="192">
        <v>0.832960328168657</v>
      </c>
      <c r="J280" s="192">
        <v>0.183872521775197</v>
      </c>
      <c r="K280" s="191">
        <v>17.6144166666667</v>
      </c>
      <c r="L280" s="191">
        <v>17.6144166666667</v>
      </c>
      <c r="M280" s="121">
        <v>2411</v>
      </c>
    </row>
    <row r="281" spans="1:13">
      <c r="A281" s="124" t="s">
        <v>12</v>
      </c>
      <c r="B281" s="29">
        <v>46026</v>
      </c>
      <c r="C281" s="52"/>
      <c r="D281" s="52"/>
      <c r="E281" s="191">
        <v>11942.0496</v>
      </c>
      <c r="F281" s="191">
        <v>5.94387</v>
      </c>
      <c r="G281" s="191">
        <v>5.72038</v>
      </c>
      <c r="H281" s="191">
        <v>24.04875</v>
      </c>
      <c r="I281" s="192">
        <v>0.833321060704558</v>
      </c>
      <c r="J281" s="192">
        <v>0.206381335545417</v>
      </c>
      <c r="K281" s="191">
        <v>17.4157916666667</v>
      </c>
      <c r="L281" s="191">
        <v>17.4157916666667</v>
      </c>
      <c r="M281" s="121">
        <v>2411</v>
      </c>
    </row>
    <row r="282" spans="1:13">
      <c r="A282" s="124" t="s">
        <v>12</v>
      </c>
      <c r="B282" s="29">
        <v>46027</v>
      </c>
      <c r="C282" s="52"/>
      <c r="D282" s="52"/>
      <c r="E282" s="191">
        <v>12046.5296</v>
      </c>
      <c r="F282" s="191">
        <v>5.99706</v>
      </c>
      <c r="G282" s="191">
        <v>5.77757</v>
      </c>
      <c r="H282" s="191">
        <v>23.5833333333333</v>
      </c>
      <c r="I282" s="192">
        <v>0.833156041289486</v>
      </c>
      <c r="J282" s="192">
        <v>0.208186948707314</v>
      </c>
      <c r="K282" s="191">
        <v>17.3957083333333</v>
      </c>
      <c r="L282" s="191">
        <v>17.3957083333333</v>
      </c>
      <c r="M282" s="121">
        <v>2411</v>
      </c>
    </row>
    <row r="283" spans="1:13">
      <c r="A283" s="124" t="s">
        <v>12</v>
      </c>
      <c r="B283" s="29">
        <v>46028</v>
      </c>
      <c r="C283" s="52"/>
      <c r="D283" s="52"/>
      <c r="E283" s="191">
        <v>11349.1796</v>
      </c>
      <c r="F283" s="191">
        <v>5.61213</v>
      </c>
      <c r="G283" s="191">
        <v>5.3944</v>
      </c>
      <c r="H283" s="191">
        <v>23.2520833333333</v>
      </c>
      <c r="I283" s="192">
        <v>0.838763524327688</v>
      </c>
      <c r="J283" s="192">
        <v>0.196135414074381</v>
      </c>
      <c r="K283" s="191">
        <v>16.718125</v>
      </c>
      <c r="L283" s="191">
        <v>16.718125</v>
      </c>
      <c r="M283" s="121">
        <v>2411</v>
      </c>
    </row>
    <row r="284" spans="1:13">
      <c r="A284" s="124" t="s">
        <v>12</v>
      </c>
      <c r="B284" s="29">
        <v>46029</v>
      </c>
      <c r="C284" s="52"/>
      <c r="D284" s="52"/>
      <c r="E284" s="191">
        <v>11919.9896</v>
      </c>
      <c r="F284" s="191">
        <v>5.92235</v>
      </c>
      <c r="G284" s="191">
        <v>5.70476</v>
      </c>
      <c r="H284" s="191">
        <v>23.385</v>
      </c>
      <c r="I284" s="192">
        <v>0.834804144079239</v>
      </c>
      <c r="J284" s="192">
        <v>0.206000096778653</v>
      </c>
      <c r="K284" s="191">
        <v>17.2607916666667</v>
      </c>
      <c r="L284" s="191">
        <v>17.2607916666667</v>
      </c>
      <c r="M284" s="121">
        <v>2411</v>
      </c>
    </row>
    <row r="285" spans="1:13">
      <c r="A285" s="124" t="s">
        <v>12</v>
      </c>
      <c r="B285" s="29">
        <v>46030</v>
      </c>
      <c r="C285" s="52"/>
      <c r="D285" s="52"/>
      <c r="E285" s="191">
        <v>11930.3796</v>
      </c>
      <c r="F285" s="191">
        <v>5.90738</v>
      </c>
      <c r="G285" s="191">
        <v>5.69229</v>
      </c>
      <c r="H285" s="191">
        <v>22.6233333333333</v>
      </c>
      <c r="I285" s="192">
        <v>0.837649133434467</v>
      </c>
      <c r="J285" s="192">
        <v>0.206179655744504</v>
      </c>
      <c r="K285" s="191">
        <v>16.8557083333333</v>
      </c>
      <c r="L285" s="191">
        <v>16.8557083333333</v>
      </c>
      <c r="M285" s="121">
        <v>2411</v>
      </c>
    </row>
    <row r="286" spans="1:13">
      <c r="A286" s="124" t="s">
        <v>12</v>
      </c>
      <c r="B286" s="29">
        <v>46031</v>
      </c>
      <c r="C286" s="52"/>
      <c r="D286" s="52"/>
      <c r="E286" s="191">
        <v>12083.6096</v>
      </c>
      <c r="F286" s="191">
        <v>5.97798</v>
      </c>
      <c r="G286" s="191">
        <v>5.75878</v>
      </c>
      <c r="H286" s="191">
        <v>22.0116666666667</v>
      </c>
      <c r="I286" s="192">
        <v>0.838387930296196</v>
      </c>
      <c r="J286" s="192">
        <v>0.208827761648002</v>
      </c>
      <c r="K286" s="191">
        <v>16.7209583333333</v>
      </c>
      <c r="L286" s="191">
        <v>16.7209583333333</v>
      </c>
      <c r="M286" s="121">
        <v>2411</v>
      </c>
    </row>
    <row r="287" spans="1:13">
      <c r="A287" s="124" t="s">
        <v>12</v>
      </c>
      <c r="B287" s="29">
        <v>46032</v>
      </c>
      <c r="C287" s="52"/>
      <c r="D287" s="52"/>
      <c r="E287" s="191">
        <v>12196.8596</v>
      </c>
      <c r="F287" s="191">
        <v>6.04174</v>
      </c>
      <c r="G287" s="191">
        <v>5.82392</v>
      </c>
      <c r="H287" s="191">
        <v>22.1875</v>
      </c>
      <c r="I287" s="192">
        <v>0.837314828220514</v>
      </c>
      <c r="J287" s="192">
        <v>0.210784937093875</v>
      </c>
      <c r="K287" s="191">
        <v>16.915375</v>
      </c>
      <c r="L287" s="191">
        <v>16.915375</v>
      </c>
      <c r="M287" s="121">
        <v>2411</v>
      </c>
    </row>
    <row r="288" spans="1:13">
      <c r="A288" s="124" t="s">
        <v>12</v>
      </c>
      <c r="B288" s="29">
        <v>46033</v>
      </c>
      <c r="C288" s="52"/>
      <c r="D288" s="52"/>
      <c r="E288" s="191">
        <v>12471.7896</v>
      </c>
      <c r="F288" s="191">
        <v>6.20812</v>
      </c>
      <c r="G288" s="191">
        <v>5.98759</v>
      </c>
      <c r="H288" s="191">
        <v>22.7508333333333</v>
      </c>
      <c r="I288" s="192">
        <v>0.833242593964512</v>
      </c>
      <c r="J288" s="192">
        <v>0.215536250518457</v>
      </c>
      <c r="K288" s="191">
        <v>17.415</v>
      </c>
      <c r="L288" s="191">
        <v>17.415</v>
      </c>
      <c r="M288" s="121">
        <v>2411</v>
      </c>
    </row>
    <row r="289" spans="1:13">
      <c r="A289" s="124" t="s">
        <v>12</v>
      </c>
      <c r="B289" s="29">
        <v>46034</v>
      </c>
      <c r="C289" s="52"/>
      <c r="D289" s="52"/>
      <c r="E289" s="191">
        <v>12234.4696</v>
      </c>
      <c r="F289" s="191">
        <v>5.99224</v>
      </c>
      <c r="G289" s="191">
        <v>5.77774</v>
      </c>
      <c r="H289" s="191">
        <v>19.42</v>
      </c>
      <c r="I289" s="192">
        <v>0.846834877546286</v>
      </c>
      <c r="J289" s="192">
        <v>0.211434909442831</v>
      </c>
      <c r="K289" s="191">
        <v>15.5424166666667</v>
      </c>
      <c r="L289" s="191">
        <v>15.5424166666667</v>
      </c>
      <c r="M289" s="121">
        <v>2411</v>
      </c>
    </row>
    <row r="290" spans="1:13">
      <c r="A290" s="124" t="s">
        <v>12</v>
      </c>
      <c r="B290" s="29">
        <v>46035</v>
      </c>
      <c r="C290" s="52"/>
      <c r="D290" s="52"/>
      <c r="E290" s="191">
        <v>12249.4896</v>
      </c>
      <c r="F290" s="191">
        <v>6.0426</v>
      </c>
      <c r="G290" s="191">
        <v>5.82804</v>
      </c>
      <c r="H290" s="191">
        <v>20.7595833333333</v>
      </c>
      <c r="I290" s="192">
        <v>0.840808196273484</v>
      </c>
      <c r="J290" s="192">
        <v>0.211694483616756</v>
      </c>
      <c r="K290" s="191">
        <v>16.4306666666667</v>
      </c>
      <c r="L290" s="191">
        <v>16.4306666666667</v>
      </c>
      <c r="M290" s="121">
        <v>2411</v>
      </c>
    </row>
    <row r="291" spans="1:13">
      <c r="A291" s="124" t="s">
        <v>12</v>
      </c>
      <c r="B291" s="29">
        <v>46036</v>
      </c>
      <c r="C291" s="52"/>
      <c r="D291" s="52"/>
      <c r="E291" s="191">
        <v>12066.6796</v>
      </c>
      <c r="F291" s="191">
        <v>5.94601</v>
      </c>
      <c r="G291" s="191">
        <v>5.73378</v>
      </c>
      <c r="H291" s="191">
        <v>21.1608333333333</v>
      </c>
      <c r="I291" s="192">
        <v>0.84171474601829</v>
      </c>
      <c r="J291" s="192">
        <v>0.208535179040509</v>
      </c>
      <c r="K291" s="191">
        <v>16.333</v>
      </c>
      <c r="L291" s="191">
        <v>16.333</v>
      </c>
      <c r="M291" s="121">
        <v>2411</v>
      </c>
    </row>
    <row r="292" spans="1:13">
      <c r="A292" s="124" t="s">
        <v>12</v>
      </c>
      <c r="B292" s="29">
        <v>46037</v>
      </c>
      <c r="C292" s="52"/>
      <c r="D292" s="52"/>
      <c r="E292" s="191">
        <v>12046.7296</v>
      </c>
      <c r="F292" s="191">
        <v>5.90584</v>
      </c>
      <c r="G292" s="191">
        <v>5.69125</v>
      </c>
      <c r="H292" s="191">
        <v>20.11375</v>
      </c>
      <c r="I292" s="192">
        <v>0.846038789081148</v>
      </c>
      <c r="J292" s="192">
        <v>0.208190405087792</v>
      </c>
      <c r="K292" s="191">
        <v>15.8366666666667</v>
      </c>
      <c r="L292" s="191">
        <v>15.8366666666667</v>
      </c>
      <c r="M292" s="121">
        <v>2411</v>
      </c>
    </row>
    <row r="293" spans="1:13">
      <c r="A293" s="124" t="s">
        <v>12</v>
      </c>
      <c r="B293" s="29">
        <v>46038</v>
      </c>
      <c r="C293" s="52"/>
      <c r="D293" s="52"/>
      <c r="E293" s="191">
        <v>12116.3596</v>
      </c>
      <c r="F293" s="191">
        <v>5.97791</v>
      </c>
      <c r="G293" s="191">
        <v>5.76398</v>
      </c>
      <c r="H293" s="191">
        <v>21.4529166666667</v>
      </c>
      <c r="I293" s="192">
        <v>0.840670042679133</v>
      </c>
      <c r="J293" s="192">
        <v>0.209393743951334</v>
      </c>
      <c r="K293" s="191">
        <v>16.576625</v>
      </c>
      <c r="L293" s="191">
        <v>16.576625</v>
      </c>
      <c r="M293" s="121">
        <v>2411</v>
      </c>
    </row>
    <row r="294" spans="1:13">
      <c r="A294" s="124" t="s">
        <v>12</v>
      </c>
      <c r="B294" s="29">
        <v>46039</v>
      </c>
      <c r="C294" s="52"/>
      <c r="D294" s="52"/>
      <c r="E294" s="191">
        <v>12450.9996</v>
      </c>
      <c r="F294" s="191">
        <v>6.18419</v>
      </c>
      <c r="G294" s="191">
        <v>5.96623</v>
      </c>
      <c r="H294" s="191">
        <v>22.9625</v>
      </c>
      <c r="I294" s="192">
        <v>0.835072504956275</v>
      </c>
      <c r="J294" s="192">
        <v>0.215176959767731</v>
      </c>
      <c r="K294" s="191">
        <v>17.4082083333333</v>
      </c>
      <c r="L294" s="191">
        <v>17.4082083333333</v>
      </c>
      <c r="M294" s="121">
        <v>2411</v>
      </c>
    </row>
    <row r="295" spans="1:13">
      <c r="A295" s="124" t="s">
        <v>12</v>
      </c>
      <c r="B295" s="29">
        <v>46040</v>
      </c>
      <c r="C295" s="52"/>
      <c r="D295" s="52"/>
      <c r="E295" s="191">
        <v>12578.9696</v>
      </c>
      <c r="F295" s="191">
        <v>6.28161</v>
      </c>
      <c r="G295" s="191">
        <v>6.0628</v>
      </c>
      <c r="H295" s="191">
        <v>24.1133333333333</v>
      </c>
      <c r="I295" s="192">
        <v>0.830571238202226</v>
      </c>
      <c r="J295" s="192">
        <v>0.217388524816812</v>
      </c>
      <c r="K295" s="191">
        <v>17.9800416666667</v>
      </c>
      <c r="L295" s="191">
        <v>17.9800416666667</v>
      </c>
      <c r="M295" s="121">
        <v>2411</v>
      </c>
    </row>
    <row r="296" spans="1:13">
      <c r="A296" s="124" t="s">
        <v>12</v>
      </c>
      <c r="B296" s="29">
        <v>46041</v>
      </c>
      <c r="C296" s="52"/>
      <c r="D296" s="52"/>
      <c r="E296" s="191">
        <v>12739.0996</v>
      </c>
      <c r="F296" s="191">
        <v>6.39051</v>
      </c>
      <c r="G296" s="191">
        <v>6.17023</v>
      </c>
      <c r="H296" s="191">
        <v>25.0433333333333</v>
      </c>
      <c r="I296" s="192">
        <v>0.826810539428546</v>
      </c>
      <c r="J296" s="192">
        <v>0.220155875846813</v>
      </c>
      <c r="K296" s="191">
        <v>18.5060833333333</v>
      </c>
      <c r="L296" s="191">
        <v>18.5060833333333</v>
      </c>
      <c r="M296" s="121">
        <v>2411</v>
      </c>
    </row>
    <row r="297" spans="1:13">
      <c r="A297" s="124" t="s">
        <v>12</v>
      </c>
      <c r="B297" s="29">
        <v>46042</v>
      </c>
      <c r="C297" s="52"/>
      <c r="D297" s="52"/>
      <c r="E297" s="191">
        <v>12553.6196</v>
      </c>
      <c r="F297" s="191">
        <v>6.26968</v>
      </c>
      <c r="G297" s="191">
        <v>6.05601</v>
      </c>
      <c r="H297" s="191">
        <v>24.5395833333333</v>
      </c>
      <c r="I297" s="192">
        <v>0.830474647220959</v>
      </c>
      <c r="J297" s="192">
        <v>0.216950428591179</v>
      </c>
      <c r="K297" s="191">
        <v>18.0516666666667</v>
      </c>
      <c r="L297" s="191">
        <v>18.0516666666667</v>
      </c>
      <c r="M297" s="121">
        <v>2411</v>
      </c>
    </row>
    <row r="298" spans="1:13">
      <c r="A298" s="124" t="s">
        <v>12</v>
      </c>
      <c r="B298" s="29">
        <v>46043</v>
      </c>
      <c r="C298" s="52"/>
      <c r="D298" s="52"/>
      <c r="E298" s="191">
        <v>12163.8896</v>
      </c>
      <c r="F298" s="191">
        <v>6.0959</v>
      </c>
      <c r="G298" s="191">
        <v>5.8876</v>
      </c>
      <c r="H298" s="191">
        <v>26.1983333333333</v>
      </c>
      <c r="I298" s="192">
        <v>0.827632288346005</v>
      </c>
      <c r="J298" s="192">
        <v>0.210215152772017</v>
      </c>
      <c r="K298" s="191">
        <v>18.6853333333333</v>
      </c>
      <c r="L298" s="191">
        <v>18.6853333333333</v>
      </c>
      <c r="M298" s="121">
        <v>2411</v>
      </c>
    </row>
    <row r="299" spans="1:13">
      <c r="A299" s="124" t="s">
        <v>12</v>
      </c>
      <c r="B299" s="29">
        <v>46044</v>
      </c>
      <c r="C299" s="52"/>
      <c r="D299" s="52"/>
      <c r="E299" s="191">
        <v>11984.5996</v>
      </c>
      <c r="F299" s="191">
        <v>5.99131</v>
      </c>
      <c r="G299" s="191">
        <v>5.78193</v>
      </c>
      <c r="H299" s="191">
        <v>26.56875</v>
      </c>
      <c r="I299" s="192">
        <v>0.829668358307703</v>
      </c>
      <c r="J299" s="192">
        <v>0.207116680492189</v>
      </c>
      <c r="K299" s="191">
        <v>18.4922083333333</v>
      </c>
      <c r="L299" s="191">
        <v>18.4922083333333</v>
      </c>
      <c r="M299" s="121">
        <v>2411</v>
      </c>
    </row>
    <row r="300" spans="1:13">
      <c r="A300" s="124" t="s">
        <v>12</v>
      </c>
      <c r="B300" s="29">
        <v>46045</v>
      </c>
      <c r="C300" s="52"/>
      <c r="D300" s="52"/>
      <c r="E300" s="191">
        <v>4053.8066</v>
      </c>
      <c r="F300" s="191">
        <v>1.988548</v>
      </c>
      <c r="G300" s="191">
        <v>1.884632</v>
      </c>
      <c r="H300" s="191">
        <v>24.9366666666667</v>
      </c>
      <c r="I300" s="192">
        <v>0.84553139247125</v>
      </c>
      <c r="J300" s="192">
        <v>0.0700574899764966</v>
      </c>
      <c r="K300" s="191">
        <v>12.8295</v>
      </c>
      <c r="L300" s="191">
        <v>12.8295</v>
      </c>
      <c r="M300" s="121">
        <v>2411</v>
      </c>
    </row>
    <row r="301" spans="1:13">
      <c r="A301" s="124" t="s">
        <v>12</v>
      </c>
      <c r="B301" s="29">
        <v>46046</v>
      </c>
      <c r="C301" s="52"/>
      <c r="D301" s="52"/>
      <c r="E301" s="191">
        <v>11761.9896</v>
      </c>
      <c r="F301" s="191">
        <v>5.78274</v>
      </c>
      <c r="G301" s="191">
        <v>5.58129</v>
      </c>
      <c r="H301" s="191">
        <v>21.8545833333333</v>
      </c>
      <c r="I301" s="192">
        <v>0.843625919342374</v>
      </c>
      <c r="J301" s="192">
        <v>0.203269556200747</v>
      </c>
      <c r="K301" s="191">
        <v>16.4106666666667</v>
      </c>
      <c r="L301" s="191">
        <v>16.4106666666667</v>
      </c>
      <c r="M301" s="121">
        <v>2411</v>
      </c>
    </row>
    <row r="302" spans="1:13">
      <c r="A302" s="124" t="s">
        <v>12</v>
      </c>
      <c r="B302" s="29">
        <v>46047</v>
      </c>
      <c r="C302" s="52"/>
      <c r="D302" s="52"/>
      <c r="E302" s="191">
        <v>13447.3196</v>
      </c>
      <c r="F302" s="191">
        <v>6.71131</v>
      </c>
      <c r="G302" s="191">
        <v>6.49115</v>
      </c>
      <c r="H302" s="191">
        <v>22.2970833333333</v>
      </c>
      <c r="I302" s="192">
        <v>0.831057774742915</v>
      </c>
      <c r="J302" s="192">
        <v>0.232395264758745</v>
      </c>
      <c r="K302" s="191">
        <v>17.843125</v>
      </c>
      <c r="L302" s="191">
        <v>17.843125</v>
      </c>
      <c r="M302" s="121">
        <v>2411</v>
      </c>
    </row>
    <row r="303" spans="1:13">
      <c r="A303" s="124" t="s">
        <v>12</v>
      </c>
      <c r="B303" s="29">
        <v>46048</v>
      </c>
      <c r="C303" s="52"/>
      <c r="D303" s="52"/>
      <c r="E303" s="191">
        <v>12934.0796</v>
      </c>
      <c r="F303" s="191">
        <v>6.49786</v>
      </c>
      <c r="G303" s="191">
        <v>6.28344</v>
      </c>
      <c r="H303" s="191">
        <v>25.35375</v>
      </c>
      <c r="I303" s="192">
        <v>0.825596739265553</v>
      </c>
      <c r="J303" s="192">
        <v>0.223525501175169</v>
      </c>
      <c r="K303" s="191">
        <v>18.861625</v>
      </c>
      <c r="L303" s="191">
        <v>18.861625</v>
      </c>
      <c r="M303" s="121">
        <v>2411</v>
      </c>
    </row>
    <row r="304" spans="1:13">
      <c r="A304" s="124" t="s">
        <v>12</v>
      </c>
      <c r="B304" s="29">
        <v>46049</v>
      </c>
      <c r="C304" s="52"/>
      <c r="D304" s="52"/>
      <c r="E304" s="191">
        <v>12301.6096</v>
      </c>
      <c r="F304" s="191">
        <v>6.14108</v>
      </c>
      <c r="G304" s="191">
        <v>5.93956</v>
      </c>
      <c r="H304" s="191">
        <v>25.2825</v>
      </c>
      <c r="I304" s="192">
        <v>0.830844931651441</v>
      </c>
      <c r="J304" s="192">
        <v>0.212595216369418</v>
      </c>
      <c r="K304" s="191">
        <v>18.2410416666667</v>
      </c>
      <c r="L304" s="191">
        <v>18.2410416666667</v>
      </c>
      <c r="M304" s="121">
        <v>2411</v>
      </c>
    </row>
    <row r="305" spans="1:13">
      <c r="A305" s="124" t="s">
        <v>12</v>
      </c>
      <c r="B305" s="29">
        <v>46050</v>
      </c>
      <c r="C305" s="52"/>
      <c r="D305" s="52"/>
      <c r="E305" s="191">
        <v>11872.5196</v>
      </c>
      <c r="F305" s="191">
        <v>5.86823</v>
      </c>
      <c r="G305" s="191">
        <v>5.66374</v>
      </c>
      <c r="H305" s="191">
        <v>23.82375</v>
      </c>
      <c r="I305" s="192">
        <v>0.839147987882331</v>
      </c>
      <c r="J305" s="192">
        <v>0.205179724872114</v>
      </c>
      <c r="K305" s="191">
        <v>17.3156666666667</v>
      </c>
      <c r="L305" s="191">
        <v>17.3156666666667</v>
      </c>
      <c r="M305" s="121">
        <v>2411</v>
      </c>
    </row>
    <row r="306" spans="1:13">
      <c r="A306" s="124" t="s">
        <v>12</v>
      </c>
      <c r="B306" s="29">
        <v>46051</v>
      </c>
      <c r="C306" s="52"/>
      <c r="D306" s="52"/>
      <c r="E306" s="191">
        <v>12313.0196</v>
      </c>
      <c r="F306" s="191">
        <v>6.12917</v>
      </c>
      <c r="G306" s="191">
        <v>5.92919</v>
      </c>
      <c r="H306" s="191">
        <v>24.295</v>
      </c>
      <c r="I306" s="192">
        <v>0.833231525478491</v>
      </c>
      <c r="J306" s="192">
        <v>0.212792402875708</v>
      </c>
      <c r="K306" s="191">
        <v>17.929875</v>
      </c>
      <c r="L306" s="191">
        <v>17.929875</v>
      </c>
      <c r="M306" s="121">
        <v>2411</v>
      </c>
    </row>
    <row r="307" spans="1:13">
      <c r="A307" s="124" t="s">
        <v>12</v>
      </c>
      <c r="B307" s="29">
        <v>46052</v>
      </c>
      <c r="C307" s="52"/>
      <c r="D307" s="52"/>
      <c r="E307" s="191">
        <v>11922.3796</v>
      </c>
      <c r="F307" s="191">
        <v>5.93011</v>
      </c>
      <c r="G307" s="191">
        <v>5.73616</v>
      </c>
      <c r="H307" s="191">
        <v>24.89125</v>
      </c>
      <c r="I307" s="192">
        <v>0.833878901505853</v>
      </c>
      <c r="J307" s="192">
        <v>0.20604140052537</v>
      </c>
      <c r="K307" s="191">
        <v>17.8203333333333</v>
      </c>
      <c r="L307" s="191">
        <v>17.8203333333333</v>
      </c>
      <c r="M307" s="121">
        <v>2411</v>
      </c>
    </row>
    <row r="308" spans="1:13">
      <c r="A308" s="124" t="s">
        <v>12</v>
      </c>
      <c r="B308" s="29">
        <v>46053</v>
      </c>
      <c r="C308" s="52"/>
      <c r="D308" s="52"/>
      <c r="E308" s="191">
        <v>12121.9096</v>
      </c>
      <c r="F308" s="191">
        <v>6.08541</v>
      </c>
      <c r="G308" s="191">
        <v>5.88932</v>
      </c>
      <c r="H308" s="191">
        <v>27.08</v>
      </c>
      <c r="I308" s="192">
        <v>0.826197709641685</v>
      </c>
      <c r="J308" s="192">
        <v>0.209489658509609</v>
      </c>
      <c r="K308" s="191">
        <v>19.048</v>
      </c>
      <c r="L308" s="191">
        <v>19.048</v>
      </c>
      <c r="M308" s="121">
        <v>2411</v>
      </c>
    </row>
    <row r="309" spans="1:13">
      <c r="A309" s="124" t="s">
        <v>12</v>
      </c>
      <c r="B309" s="29">
        <v>46054</v>
      </c>
      <c r="C309" s="52"/>
      <c r="D309" s="52"/>
      <c r="E309" s="191">
        <v>11921.4996</v>
      </c>
      <c r="F309" s="191">
        <v>5.9276099</v>
      </c>
      <c r="G309" s="191">
        <v>5.7311686</v>
      </c>
      <c r="H309" s="191">
        <v>26.2545833333333</v>
      </c>
      <c r="I309" s="192">
        <v>0.834169033092134</v>
      </c>
      <c r="J309" s="192">
        <v>0.206026192451265</v>
      </c>
      <c r="K309" s="191">
        <v>19.0374166666667</v>
      </c>
      <c r="L309" s="191">
        <v>19.0374166666667</v>
      </c>
      <c r="M309" s="121">
        <v>2411</v>
      </c>
    </row>
    <row r="310" spans="1:13">
      <c r="A310" s="124" t="s">
        <v>12</v>
      </c>
      <c r="B310" s="29">
        <v>46055</v>
      </c>
      <c r="C310" s="52"/>
      <c r="D310" s="52"/>
      <c r="E310" s="191">
        <v>12460.5996</v>
      </c>
      <c r="F310" s="191">
        <v>6.2387672</v>
      </c>
      <c r="G310" s="191">
        <v>6.0378705</v>
      </c>
      <c r="H310" s="191">
        <v>25.96625</v>
      </c>
      <c r="I310" s="192">
        <v>0.828405455606137</v>
      </c>
      <c r="J310" s="192">
        <v>0.215342866030693</v>
      </c>
      <c r="K310" s="191">
        <v>20.5979583333333</v>
      </c>
      <c r="L310" s="191">
        <v>20.5979583333333</v>
      </c>
      <c r="M310" s="121">
        <v>2411</v>
      </c>
    </row>
    <row r="311" spans="1:13">
      <c r="A311" s="124" t="s">
        <v>12</v>
      </c>
      <c r="B311" s="29">
        <v>46056</v>
      </c>
      <c r="C311" s="52"/>
      <c r="D311" s="52"/>
      <c r="E311" s="191">
        <v>12822.6396</v>
      </c>
      <c r="F311" s="191">
        <v>6.3975167</v>
      </c>
      <c r="G311" s="191">
        <v>6.1982279</v>
      </c>
      <c r="H311" s="191">
        <v>24.5975</v>
      </c>
      <c r="I311" s="192">
        <v>0.831321087968869</v>
      </c>
      <c r="J311" s="192">
        <v>0.221599605972625</v>
      </c>
      <c r="K311" s="191">
        <v>19.2644166666667</v>
      </c>
      <c r="L311" s="191">
        <v>19.2644166666667</v>
      </c>
      <c r="M311" s="121">
        <v>2411</v>
      </c>
    </row>
    <row r="312" spans="1:13">
      <c r="A312" s="124" t="s">
        <v>12</v>
      </c>
      <c r="B312" s="29">
        <v>46057</v>
      </c>
      <c r="C312" s="52"/>
      <c r="D312" s="52"/>
      <c r="E312" s="191">
        <v>12539.3496</v>
      </c>
      <c r="F312" s="191">
        <v>6.1647329</v>
      </c>
      <c r="G312" s="191">
        <v>5.9701278</v>
      </c>
      <c r="H312" s="191">
        <v>21.57</v>
      </c>
      <c r="I312" s="192">
        <v>0.843652379530856</v>
      </c>
      <c r="J312" s="192">
        <v>0.216703815844048</v>
      </c>
      <c r="K312" s="191">
        <v>17.4685833333333</v>
      </c>
      <c r="L312" s="191">
        <v>17.4685833333333</v>
      </c>
      <c r="M312" s="121">
        <v>2411</v>
      </c>
    </row>
    <row r="313" spans="1:13">
      <c r="A313" s="124" t="s">
        <v>12</v>
      </c>
      <c r="B313" s="29">
        <v>46058</v>
      </c>
      <c r="C313" s="52"/>
      <c r="D313" s="52"/>
      <c r="E313" s="191">
        <v>11187.2883</v>
      </c>
      <c r="F313" s="191">
        <v>5.5187008</v>
      </c>
      <c r="G313" s="191">
        <v>5.3341215</v>
      </c>
      <c r="H313" s="191">
        <v>23.5695833333333</v>
      </c>
      <c r="I313" s="192">
        <v>0.840796258842793</v>
      </c>
      <c r="J313" s="192">
        <v>0.193337624429697</v>
      </c>
      <c r="K313" s="191">
        <v>18.6402083333333</v>
      </c>
      <c r="L313" s="191">
        <v>18.6402083333333</v>
      </c>
      <c r="M313" s="121">
        <v>2411</v>
      </c>
    </row>
    <row r="314" spans="1:13">
      <c r="A314" s="124" t="s">
        <v>12</v>
      </c>
      <c r="B314" s="29">
        <v>46059</v>
      </c>
      <c r="C314" s="52"/>
      <c r="D314" s="52"/>
      <c r="E314" s="191">
        <v>12574.4196</v>
      </c>
      <c r="F314" s="191">
        <v>6.2236396</v>
      </c>
      <c r="G314" s="191">
        <v>6.0271759</v>
      </c>
      <c r="H314" s="191">
        <v>22.9525</v>
      </c>
      <c r="I314" s="192">
        <v>0.838004406916862</v>
      </c>
      <c r="J314" s="192">
        <v>0.217309892160929</v>
      </c>
      <c r="K314" s="191">
        <v>18.925875</v>
      </c>
      <c r="L314" s="191">
        <v>18.925875</v>
      </c>
      <c r="M314" s="121">
        <v>2411</v>
      </c>
    </row>
    <row r="315" spans="1:13">
      <c r="A315" s="124" t="s">
        <v>12</v>
      </c>
      <c r="B315" s="29">
        <v>46060</v>
      </c>
      <c r="C315" s="52"/>
      <c r="D315" s="52"/>
      <c r="E315" s="191">
        <v>12663.4202</v>
      </c>
      <c r="F315" s="191">
        <v>6.297051</v>
      </c>
      <c r="G315" s="191">
        <v>6.1009656</v>
      </c>
      <c r="H315" s="191">
        <v>24.0295833333333</v>
      </c>
      <c r="I315" s="192">
        <v>0.834097072459888</v>
      </c>
      <c r="J315" s="192">
        <v>0.218847991842942</v>
      </c>
      <c r="K315" s="191">
        <v>19.808375</v>
      </c>
      <c r="L315" s="191">
        <v>19.808375</v>
      </c>
      <c r="M315" s="121">
        <v>2411</v>
      </c>
    </row>
    <row r="316" spans="1:13">
      <c r="A316" s="124" t="s">
        <v>12</v>
      </c>
      <c r="B316" s="29">
        <v>46061</v>
      </c>
      <c r="C316" s="52"/>
      <c r="D316" s="52"/>
      <c r="E316" s="191">
        <v>12651.1932</v>
      </c>
      <c r="F316" s="191">
        <v>6.2398057</v>
      </c>
      <c r="G316" s="191">
        <v>6.0447888</v>
      </c>
      <c r="H316" s="191">
        <v>22.4908333333333</v>
      </c>
      <c r="I316" s="192">
        <v>0.840936515785665</v>
      </c>
      <c r="J316" s="192">
        <v>0.218636686022397</v>
      </c>
      <c r="K316" s="191">
        <v>18.77175</v>
      </c>
      <c r="L316" s="191">
        <v>18.77175</v>
      </c>
      <c r="M316" s="121">
        <v>2411</v>
      </c>
    </row>
    <row r="317" spans="1:13">
      <c r="A317" s="124" t="s">
        <v>12</v>
      </c>
      <c r="B317" s="29">
        <v>46062</v>
      </c>
      <c r="C317" s="52"/>
      <c r="D317" s="52"/>
      <c r="E317" s="191">
        <v>12468.5842</v>
      </c>
      <c r="F317" s="191">
        <v>6.1380796</v>
      </c>
      <c r="G317" s="191">
        <v>5.9461468</v>
      </c>
      <c r="H317" s="191">
        <v>21.9604166666667</v>
      </c>
      <c r="I317" s="192">
        <v>0.842533961697846</v>
      </c>
      <c r="J317" s="192">
        <v>0.21548085510853</v>
      </c>
      <c r="K317" s="191">
        <v>18.5130416666667</v>
      </c>
      <c r="L317" s="191">
        <v>18.5130416666667</v>
      </c>
      <c r="M317" s="121">
        <v>2411</v>
      </c>
    </row>
    <row r="318" spans="1:13">
      <c r="A318" s="124" t="s">
        <v>12</v>
      </c>
      <c r="B318" s="29">
        <v>46063</v>
      </c>
      <c r="C318" s="52"/>
      <c r="D318" s="52"/>
      <c r="E318" s="191">
        <v>12944.5902</v>
      </c>
      <c r="F318" s="191">
        <v>6.4215697</v>
      </c>
      <c r="G318" s="191">
        <v>6.2245919</v>
      </c>
      <c r="H318" s="191">
        <v>23.095</v>
      </c>
      <c r="I318" s="192">
        <v>0.836083966218224</v>
      </c>
      <c r="J318" s="192">
        <v>0.223707144338449</v>
      </c>
      <c r="K318" s="191">
        <v>19.405375</v>
      </c>
      <c r="L318" s="191">
        <v>19.405375</v>
      </c>
      <c r="M318" s="121">
        <v>2411</v>
      </c>
    </row>
    <row r="319" spans="1:13">
      <c r="A319" s="124" t="s">
        <v>12</v>
      </c>
      <c r="B319" s="29">
        <v>46064</v>
      </c>
      <c r="C319" s="52"/>
      <c r="D319" s="52"/>
      <c r="E319" s="191">
        <v>12808.1702</v>
      </c>
      <c r="F319" s="191">
        <v>6.3596006</v>
      </c>
      <c r="G319" s="191">
        <v>6.1638055</v>
      </c>
      <c r="H319" s="191">
        <v>23.8429166666667</v>
      </c>
      <c r="I319" s="192">
        <v>0.835333768152009</v>
      </c>
      <c r="J319" s="192">
        <v>0.221349547214157</v>
      </c>
      <c r="K319" s="191">
        <v>19.7077916666667</v>
      </c>
      <c r="L319" s="191">
        <v>19.7077916666667</v>
      </c>
      <c r="M319" s="121">
        <v>2411</v>
      </c>
    </row>
    <row r="320" spans="1:13">
      <c r="A320" s="124" t="s">
        <v>12</v>
      </c>
      <c r="B320" s="29">
        <v>46065</v>
      </c>
      <c r="C320" s="52"/>
      <c r="D320" s="52"/>
      <c r="E320" s="191">
        <v>12526.0693</v>
      </c>
      <c r="F320" s="191">
        <v>6.1909418</v>
      </c>
      <c r="G320" s="191">
        <v>5.9974279</v>
      </c>
      <c r="H320" s="191">
        <v>23.3954166666667</v>
      </c>
      <c r="I320" s="192">
        <v>0.839191117561005</v>
      </c>
      <c r="J320" s="192">
        <v>0.216474306995714</v>
      </c>
      <c r="K320" s="191">
        <v>19.192625</v>
      </c>
      <c r="L320" s="191">
        <v>19.192625</v>
      </c>
      <c r="M320" s="121">
        <v>2411</v>
      </c>
    </row>
    <row r="321" spans="1:13">
      <c r="A321" s="124" t="s">
        <v>12</v>
      </c>
      <c r="B321" s="29">
        <v>46066</v>
      </c>
      <c r="C321" s="52"/>
      <c r="D321" s="52"/>
      <c r="E321" s="191">
        <v>13061.1297</v>
      </c>
      <c r="F321" s="191">
        <v>6.5332249</v>
      </c>
      <c r="G321" s="191">
        <v>6.3375847</v>
      </c>
      <c r="H321" s="191">
        <v>24.9429166666667</v>
      </c>
      <c r="I321" s="192">
        <v>0.829193565103468</v>
      </c>
      <c r="J321" s="192">
        <v>0.22572116860224</v>
      </c>
      <c r="K321" s="191">
        <v>20.68775</v>
      </c>
      <c r="L321" s="191">
        <v>20.68775</v>
      </c>
      <c r="M321" s="121">
        <v>2411</v>
      </c>
    </row>
    <row r="322" spans="1:13">
      <c r="A322" s="124" t="s">
        <v>12</v>
      </c>
      <c r="B322" s="29">
        <v>46067</v>
      </c>
      <c r="C322" s="52"/>
      <c r="D322" s="52"/>
      <c r="E322" s="191">
        <v>13061.4409</v>
      </c>
      <c r="F322" s="191">
        <v>6.3784939</v>
      </c>
      <c r="G322" s="191">
        <v>6.1840907</v>
      </c>
      <c r="H322" s="191">
        <v>19.42</v>
      </c>
      <c r="I322" s="192">
        <v>0.849328572929471</v>
      </c>
      <c r="J322" s="192">
        <v>0.225726546730264</v>
      </c>
      <c r="K322" s="191">
        <v>17.2731666666667</v>
      </c>
      <c r="L322" s="191">
        <v>17.2731666666667</v>
      </c>
      <c r="M322" s="121">
        <v>2411</v>
      </c>
    </row>
    <row r="323" spans="1:13">
      <c r="A323" s="124" t="s">
        <v>12</v>
      </c>
      <c r="B323" s="29">
        <v>46068</v>
      </c>
      <c r="C323" s="52"/>
      <c r="D323" s="52"/>
      <c r="E323" s="191">
        <v>13217.8129</v>
      </c>
      <c r="F323" s="191">
        <v>6.4997379</v>
      </c>
      <c r="G323" s="191">
        <v>6.3035579</v>
      </c>
      <c r="H323" s="191">
        <v>20.3354166666667</v>
      </c>
      <c r="I323" s="192">
        <v>0.843463989048827</v>
      </c>
      <c r="J323" s="192">
        <v>0.228428952371077</v>
      </c>
      <c r="K323" s="191">
        <v>18.2049583333333</v>
      </c>
      <c r="L323" s="191">
        <v>18.2049583333333</v>
      </c>
      <c r="M323" s="121">
        <v>2411</v>
      </c>
    </row>
    <row r="324" spans="1:13">
      <c r="A324" s="124" t="s">
        <v>12</v>
      </c>
      <c r="B324" s="29">
        <v>46069</v>
      </c>
      <c r="C324" s="52"/>
      <c r="D324" s="52"/>
      <c r="E324" s="191">
        <v>11652.4868</v>
      </c>
      <c r="F324" s="191">
        <v>5.747632</v>
      </c>
      <c r="G324" s="191">
        <v>5.5502767</v>
      </c>
      <c r="H324" s="191">
        <v>24.73625</v>
      </c>
      <c r="I324" s="192">
        <v>0.840876964285185</v>
      </c>
      <c r="J324" s="192">
        <v>0.201377139499516</v>
      </c>
      <c r="K324" s="191">
        <v>19.517875</v>
      </c>
      <c r="L324" s="191">
        <v>19.517875</v>
      </c>
      <c r="M324" s="121">
        <v>2411</v>
      </c>
    </row>
    <row r="325" spans="1:13">
      <c r="A325" s="124" t="s">
        <v>12</v>
      </c>
      <c r="B325" s="29">
        <v>46070</v>
      </c>
      <c r="C325" s="52"/>
      <c r="D325" s="52"/>
      <c r="E325" s="191">
        <v>13727.6968</v>
      </c>
      <c r="F325" s="191">
        <v>6.902695</v>
      </c>
      <c r="G325" s="191">
        <v>6.699596</v>
      </c>
      <c r="H325" s="191">
        <v>25.7083333333333</v>
      </c>
      <c r="I325" s="192">
        <v>0.82486292497189</v>
      </c>
      <c r="J325" s="192">
        <v>0.237240716162035</v>
      </c>
      <c r="K325" s="191">
        <v>21.3600416666667</v>
      </c>
      <c r="L325" s="191">
        <v>21.3600416666667</v>
      </c>
      <c r="M325" s="121">
        <v>2411</v>
      </c>
    </row>
    <row r="326" spans="1:13">
      <c r="A326" s="124" t="s">
        <v>12</v>
      </c>
      <c r="B326" s="29">
        <v>46071</v>
      </c>
      <c r="C326" s="52"/>
      <c r="D326" s="52"/>
      <c r="E326" s="191">
        <v>13980.6808</v>
      </c>
      <c r="F326" s="191">
        <v>7.003563</v>
      </c>
      <c r="G326" s="191">
        <v>6.8003337</v>
      </c>
      <c r="H326" s="191">
        <v>24.3058333333333</v>
      </c>
      <c r="I326" s="192">
        <v>0.827965174720557</v>
      </c>
      <c r="J326" s="192">
        <v>0.241612760956726</v>
      </c>
      <c r="K326" s="191">
        <v>20.65925</v>
      </c>
      <c r="L326" s="191">
        <v>20.65925</v>
      </c>
      <c r="M326" s="121">
        <v>2411</v>
      </c>
    </row>
    <row r="327" spans="1:13">
      <c r="A327" s="124" t="s">
        <v>12</v>
      </c>
      <c r="B327" s="29">
        <v>46072</v>
      </c>
      <c r="C327" s="52"/>
      <c r="D327" s="52"/>
      <c r="E327" s="191">
        <v>13322.4298</v>
      </c>
      <c r="F327" s="191">
        <v>6.65847</v>
      </c>
      <c r="G327" s="191">
        <v>6.459952</v>
      </c>
      <c r="H327" s="191">
        <v>25.1858333333333</v>
      </c>
      <c r="I327" s="192">
        <v>0.829873282332108</v>
      </c>
      <c r="J327" s="192">
        <v>0.230236931425411</v>
      </c>
      <c r="K327" s="191">
        <v>20.7968333333333</v>
      </c>
      <c r="L327" s="191">
        <v>20.7968333333333</v>
      </c>
      <c r="M327" s="121">
        <v>2411</v>
      </c>
    </row>
    <row r="328" spans="1:13">
      <c r="A328" s="124" t="s">
        <v>12</v>
      </c>
      <c r="B328" s="29">
        <v>46073</v>
      </c>
      <c r="C328" s="52"/>
      <c r="D328" s="52"/>
      <c r="E328" s="191">
        <v>13148.2528</v>
      </c>
      <c r="F328" s="191">
        <v>6.589257</v>
      </c>
      <c r="G328" s="191">
        <v>6.392212</v>
      </c>
      <c r="H328" s="191">
        <v>26.4170833333333</v>
      </c>
      <c r="I328" s="192">
        <v>0.827626501182195</v>
      </c>
      <c r="J328" s="192">
        <v>0.227226821512512</v>
      </c>
      <c r="K328" s="191">
        <v>21.2331666666667</v>
      </c>
      <c r="L328" s="191">
        <v>21.2331666666667</v>
      </c>
      <c r="M328" s="121">
        <v>2411</v>
      </c>
    </row>
    <row r="329" spans="1:13">
      <c r="A329" s="124" t="s">
        <v>12</v>
      </c>
      <c r="B329" s="29">
        <v>46074</v>
      </c>
      <c r="C329" s="52"/>
      <c r="D329" s="52"/>
      <c r="E329" s="191">
        <v>12947.1458</v>
      </c>
      <c r="F329" s="191">
        <v>6.544814</v>
      </c>
      <c r="G329" s="191">
        <v>6.350379</v>
      </c>
      <c r="H329" s="191">
        <v>28.59375</v>
      </c>
      <c r="I329" s="192">
        <v>0.820501765097805</v>
      </c>
      <c r="J329" s="192">
        <v>0.223751309968201</v>
      </c>
      <c r="K329" s="191">
        <v>22.3820416666667</v>
      </c>
      <c r="L329" s="191">
        <v>22.3820416666667</v>
      </c>
      <c r="M329" s="121">
        <v>2411</v>
      </c>
    </row>
    <row r="330" spans="1:13">
      <c r="A330" s="124" t="s">
        <v>12</v>
      </c>
      <c r="B330" s="29">
        <v>46075</v>
      </c>
      <c r="C330" s="52"/>
      <c r="D330" s="52"/>
      <c r="E330" s="191">
        <v>12822.7158</v>
      </c>
      <c r="F330" s="191">
        <v>6.493766</v>
      </c>
      <c r="G330" s="191">
        <v>6.301103</v>
      </c>
      <c r="H330" s="191">
        <v>29.09375</v>
      </c>
      <c r="I330" s="192">
        <v>0.819004280179807</v>
      </c>
      <c r="J330" s="192">
        <v>0.221600922853588</v>
      </c>
      <c r="K330" s="191">
        <v>22.6153333333333</v>
      </c>
      <c r="L330" s="191">
        <v>22.6153333333333</v>
      </c>
      <c r="M330" s="121">
        <v>2411</v>
      </c>
    </row>
    <row r="331" spans="1:13">
      <c r="A331" s="124" t="s">
        <v>12</v>
      </c>
      <c r="B331" s="29">
        <v>46076</v>
      </c>
      <c r="C331" s="52"/>
      <c r="D331" s="52"/>
      <c r="E331" s="191">
        <v>12573.5928</v>
      </c>
      <c r="F331" s="191">
        <v>6.291087</v>
      </c>
      <c r="G331" s="191">
        <v>6.1000631</v>
      </c>
      <c r="H331" s="191">
        <v>26.93375</v>
      </c>
      <c r="I331" s="192">
        <v>0.82896556407768</v>
      </c>
      <c r="J331" s="192">
        <v>0.217295603484031</v>
      </c>
      <c r="K331" s="191">
        <v>21.0449583333333</v>
      </c>
      <c r="L331" s="191">
        <v>21.0449583333333</v>
      </c>
      <c r="M331" s="121">
        <v>2411</v>
      </c>
    </row>
    <row r="332" spans="1:13">
      <c r="A332" s="124" t="s">
        <v>12</v>
      </c>
      <c r="B332" s="29">
        <v>46077</v>
      </c>
      <c r="C332" s="52"/>
      <c r="D332" s="52"/>
      <c r="E332" s="191">
        <v>12742.2448</v>
      </c>
      <c r="F332" s="191">
        <v>6.399345</v>
      </c>
      <c r="G332" s="191">
        <v>6.20867</v>
      </c>
      <c r="H332" s="191">
        <v>27.1233333333333</v>
      </c>
      <c r="I332" s="192">
        <v>0.825872888751768</v>
      </c>
      <c r="J332" s="192">
        <v>0.220210230886216</v>
      </c>
      <c r="K332" s="191">
        <v>21.4732083333333</v>
      </c>
      <c r="L332" s="191">
        <v>21.4732083333333</v>
      </c>
      <c r="M332" s="121">
        <v>2411</v>
      </c>
    </row>
    <row r="333" spans="1:13">
      <c r="A333" s="124" t="s">
        <v>12</v>
      </c>
      <c r="B333" s="29">
        <v>46078</v>
      </c>
      <c r="C333" s="52"/>
      <c r="D333" s="52"/>
      <c r="E333" s="191">
        <v>12838.5608</v>
      </c>
      <c r="F333" s="191">
        <v>6.437057</v>
      </c>
      <c r="G333" s="191">
        <v>6.246343</v>
      </c>
      <c r="H333" s="191">
        <v>26.6775</v>
      </c>
      <c r="I333" s="192">
        <v>0.827240478114092</v>
      </c>
      <c r="J333" s="192">
        <v>0.221874754596986</v>
      </c>
      <c r="K333" s="191">
        <v>21.25825</v>
      </c>
      <c r="L333" s="191">
        <v>21.25825</v>
      </c>
      <c r="M333" s="121">
        <v>2411</v>
      </c>
    </row>
    <row r="334" spans="1:13">
      <c r="A334" s="124" t="s">
        <v>12</v>
      </c>
      <c r="B334" s="29">
        <v>46079</v>
      </c>
      <c r="C334" s="52"/>
      <c r="D334" s="52"/>
      <c r="E334" s="191">
        <v>13063.4928</v>
      </c>
      <c r="F334" s="191">
        <v>6.521949</v>
      </c>
      <c r="G334" s="191">
        <v>6.330757</v>
      </c>
      <c r="H334" s="191">
        <v>25.49375</v>
      </c>
      <c r="I334" s="192">
        <v>0.830777453055637</v>
      </c>
      <c r="J334" s="192">
        <v>0.225762007465782</v>
      </c>
      <c r="K334" s="191">
        <v>20.6786666666667</v>
      </c>
      <c r="L334" s="191">
        <v>20.6786666666667</v>
      </c>
      <c r="M334" s="121">
        <v>2411</v>
      </c>
    </row>
    <row r="335" spans="1:13">
      <c r="A335" s="124" t="s">
        <v>12</v>
      </c>
      <c r="B335" s="29">
        <v>46080</v>
      </c>
      <c r="C335" s="52"/>
      <c r="D335" s="52"/>
      <c r="E335" s="191">
        <v>12875.9088</v>
      </c>
      <c r="F335" s="191">
        <v>6.475837</v>
      </c>
      <c r="G335" s="191">
        <v>6.285561</v>
      </c>
      <c r="H335" s="191">
        <v>27.5854166666667</v>
      </c>
      <c r="I335" s="192">
        <v>0.824678690661975</v>
      </c>
      <c r="J335" s="192">
        <v>0.222520199087516</v>
      </c>
      <c r="K335" s="191">
        <v>21.8705833333333</v>
      </c>
      <c r="L335" s="191">
        <v>21.8705833333333</v>
      </c>
      <c r="M335" s="121">
        <v>2411</v>
      </c>
    </row>
    <row r="336" spans="1:13">
      <c r="A336" s="124" t="s">
        <v>12</v>
      </c>
      <c r="B336" s="29">
        <v>46081</v>
      </c>
      <c r="C336" s="52"/>
      <c r="D336" s="52"/>
      <c r="E336" s="191">
        <v>12572.1708</v>
      </c>
      <c r="F336" s="191">
        <v>6.311721</v>
      </c>
      <c r="G336" s="191">
        <v>6.123093</v>
      </c>
      <c r="H336" s="191">
        <v>28.1216666666667</v>
      </c>
      <c r="I336" s="192">
        <v>0.826162101723433</v>
      </c>
      <c r="J336" s="192">
        <v>0.21727102861883</v>
      </c>
      <c r="K336" s="191">
        <v>21.7929583333333</v>
      </c>
      <c r="L336" s="191">
        <v>21.7929583333333</v>
      </c>
      <c r="M336" s="121">
        <v>2411</v>
      </c>
    </row>
    <row r="337" spans="1:13">
      <c r="A337" s="124" t="s">
        <v>12</v>
      </c>
      <c r="B337" s="29">
        <v>46082</v>
      </c>
      <c r="C337" s="52"/>
      <c r="D337" s="52"/>
      <c r="E337" s="191">
        <v>12983.0698</v>
      </c>
      <c r="F337" s="191">
        <v>6.488425</v>
      </c>
      <c r="G337" s="191">
        <v>6.298346</v>
      </c>
      <c r="H337" s="191">
        <v>26.9345833333333</v>
      </c>
      <c r="I337" s="192">
        <v>0.829928908897521</v>
      </c>
      <c r="J337" s="192">
        <v>0.224372145029725</v>
      </c>
      <c r="K337" s="191">
        <v>21.185</v>
      </c>
      <c r="L337" s="191">
        <v>21.185</v>
      </c>
      <c r="M337" s="121">
        <v>2411</v>
      </c>
    </row>
    <row r="338" spans="1:13">
      <c r="A338" s="124" t="s">
        <v>12</v>
      </c>
      <c r="B338" s="29">
        <v>46083</v>
      </c>
      <c r="C338" s="52"/>
      <c r="D338" s="52"/>
      <c r="E338" s="191">
        <v>12415.9438</v>
      </c>
      <c r="F338" s="191">
        <v>6.188349</v>
      </c>
      <c r="G338" s="191">
        <v>6.000166</v>
      </c>
      <c r="H338" s="191">
        <v>26.7320833333333</v>
      </c>
      <c r="I338" s="192">
        <v>0.832161711062634</v>
      </c>
      <c r="J338" s="192">
        <v>0.214571128853864</v>
      </c>
      <c r="K338" s="191">
        <v>20.8573333333333</v>
      </c>
      <c r="L338" s="191">
        <v>20.8573333333333</v>
      </c>
      <c r="M338" s="121">
        <v>2411</v>
      </c>
    </row>
    <row r="339" spans="1:13">
      <c r="A339" s="124" t="s">
        <v>12</v>
      </c>
      <c r="B339" s="29">
        <v>46084</v>
      </c>
      <c r="C339" s="52"/>
      <c r="D339" s="52"/>
      <c r="E339" s="191">
        <v>13380.1898</v>
      </c>
      <c r="F339" s="191">
        <v>6.6848</v>
      </c>
      <c r="G339" s="191">
        <v>6.492267</v>
      </c>
      <c r="H339" s="191">
        <v>25.5066666666667</v>
      </c>
      <c r="I339" s="192">
        <v>0.830188370419684</v>
      </c>
      <c r="J339" s="192">
        <v>0.231235134107563</v>
      </c>
      <c r="K339" s="191">
        <v>20.723625</v>
      </c>
      <c r="L339" s="191">
        <v>20.723625</v>
      </c>
      <c r="M339" s="121">
        <v>2411</v>
      </c>
    </row>
    <row r="340" spans="1:13">
      <c r="A340" s="124" t="s">
        <v>12</v>
      </c>
      <c r="B340" s="29">
        <v>46085</v>
      </c>
      <c r="C340" s="52"/>
      <c r="D340" s="52"/>
      <c r="E340" s="191">
        <v>9174.4538</v>
      </c>
      <c r="F340" s="191">
        <v>4.462455</v>
      </c>
      <c r="G340" s="191">
        <v>4.289342</v>
      </c>
      <c r="H340" s="191">
        <v>24.6220833333333</v>
      </c>
      <c r="I340" s="192">
        <v>0.852725318614003</v>
      </c>
      <c r="J340" s="192">
        <v>0.158552015069819</v>
      </c>
      <c r="K340" s="191">
        <v>17.4591666666667</v>
      </c>
      <c r="L340" s="191">
        <v>17.4591666666667</v>
      </c>
      <c r="M340" s="121">
        <v>2411</v>
      </c>
    </row>
    <row r="341" spans="1:13">
      <c r="A341" s="124" t="s">
        <v>12</v>
      </c>
      <c r="B341" s="29">
        <v>46086</v>
      </c>
      <c r="C341" s="52"/>
      <c r="D341" s="52"/>
      <c r="E341" s="191">
        <v>10118.5212</v>
      </c>
      <c r="F341" s="191">
        <v>5.0124132</v>
      </c>
      <c r="G341" s="191">
        <v>4.840165</v>
      </c>
      <c r="H341" s="191">
        <v>25.2291666666667</v>
      </c>
      <c r="I341" s="192">
        <v>0.837284343890469</v>
      </c>
      <c r="J341" s="192">
        <v>0.174867295727914</v>
      </c>
      <c r="K341" s="191">
        <v>18.6722916666667</v>
      </c>
      <c r="L341" s="191">
        <v>18.6722916666667</v>
      </c>
      <c r="M341" s="121">
        <v>2411</v>
      </c>
    </row>
    <row r="342" spans="1:13">
      <c r="A342" s="124" t="s">
        <v>12</v>
      </c>
      <c r="B342" s="29">
        <v>46087</v>
      </c>
      <c r="C342" s="52"/>
      <c r="D342" s="52"/>
      <c r="E342" s="191">
        <v>9562.1675</v>
      </c>
      <c r="F342" s="191">
        <v>4.7001483</v>
      </c>
      <c r="G342" s="191">
        <v>4.5306426</v>
      </c>
      <c r="H342" s="191">
        <v>26.13875</v>
      </c>
      <c r="I342" s="192">
        <v>0.843815649251008</v>
      </c>
      <c r="J342" s="192">
        <v>0.165252445389188</v>
      </c>
      <c r="K342" s="191">
        <v>18.610125</v>
      </c>
      <c r="L342" s="191">
        <v>18.610125</v>
      </c>
      <c r="M342" s="121">
        <v>2411</v>
      </c>
    </row>
    <row r="343" spans="1:13">
      <c r="A343" s="124" t="s">
        <v>12</v>
      </c>
      <c r="B343" s="29">
        <v>46088</v>
      </c>
      <c r="C343" s="52"/>
      <c r="D343" s="52"/>
      <c r="E343" s="191">
        <v>14065.2398</v>
      </c>
      <c r="F343" s="191">
        <v>7.061823</v>
      </c>
      <c r="G343" s="191">
        <v>6.864711</v>
      </c>
      <c r="H343" s="191">
        <v>25.7183333333333</v>
      </c>
      <c r="I343" s="192">
        <v>0.826100913628933</v>
      </c>
      <c r="J343" s="192">
        <v>0.243074101341076</v>
      </c>
      <c r="K343" s="191">
        <v>21.3697083333333</v>
      </c>
      <c r="L343" s="191">
        <v>21.3697083333333</v>
      </c>
      <c r="M343" s="121">
        <v>2411</v>
      </c>
    </row>
    <row r="344" spans="1:13">
      <c r="A344" s="124" t="s">
        <v>12</v>
      </c>
      <c r="B344" s="29">
        <v>46089</v>
      </c>
      <c r="C344" s="52"/>
      <c r="D344" s="52"/>
      <c r="E344" s="191">
        <v>14249.9938</v>
      </c>
      <c r="F344" s="191">
        <v>7.097002</v>
      </c>
      <c r="G344" s="191">
        <v>6.896588</v>
      </c>
      <c r="H344" s="191">
        <v>23.3525</v>
      </c>
      <c r="I344" s="192">
        <v>0.83280349173549</v>
      </c>
      <c r="J344" s="192">
        <v>0.246267001935573</v>
      </c>
      <c r="K344" s="191">
        <v>20.2187083333333</v>
      </c>
      <c r="L344" s="191">
        <v>20.2187083333333</v>
      </c>
      <c r="M344" s="121">
        <v>2411</v>
      </c>
    </row>
    <row r="345" spans="1:13">
      <c r="A345" s="124" t="s">
        <v>12</v>
      </c>
      <c r="B345" s="29">
        <v>46090</v>
      </c>
      <c r="C345" s="52"/>
      <c r="D345" s="52"/>
      <c r="E345" s="191">
        <v>14709.5068</v>
      </c>
      <c r="F345" s="191">
        <v>7.375052</v>
      </c>
      <c r="G345" s="191">
        <v>7.172423</v>
      </c>
      <c r="H345" s="191">
        <v>23.8320833333333</v>
      </c>
      <c r="I345" s="192">
        <v>0.827248168281964</v>
      </c>
      <c r="J345" s="192">
        <v>0.254208260749343</v>
      </c>
      <c r="K345" s="191">
        <v>20.9570416666667</v>
      </c>
      <c r="L345" s="191">
        <v>20.9570416666667</v>
      </c>
      <c r="M345" s="121">
        <v>2411</v>
      </c>
    </row>
    <row r="346" spans="1:13">
      <c r="A346" s="124" t="s">
        <v>12</v>
      </c>
      <c r="B346" s="29">
        <v>46091</v>
      </c>
      <c r="C346" s="52"/>
      <c r="D346" s="52"/>
      <c r="E346" s="191">
        <v>14776.5928</v>
      </c>
      <c r="F346" s="191">
        <v>7.43065</v>
      </c>
      <c r="G346" s="191">
        <v>7.22703</v>
      </c>
      <c r="H346" s="191">
        <v>24.7516666666667</v>
      </c>
      <c r="I346" s="192">
        <v>0.824803109670999</v>
      </c>
      <c r="J346" s="192">
        <v>0.255367634453201</v>
      </c>
      <c r="K346" s="191">
        <v>21.40675</v>
      </c>
      <c r="L346" s="191">
        <v>21.40675</v>
      </c>
      <c r="M346" s="121">
        <v>2411</v>
      </c>
    </row>
    <row r="347" spans="1:13">
      <c r="A347" s="124" t="s">
        <v>12</v>
      </c>
      <c r="B347" s="29">
        <v>46092</v>
      </c>
      <c r="C347" s="52"/>
      <c r="D347" s="52"/>
      <c r="E347" s="191">
        <v>13252.8688</v>
      </c>
      <c r="F347" s="191">
        <v>6.615774</v>
      </c>
      <c r="G347" s="191">
        <v>6.421195</v>
      </c>
      <c r="H347" s="191">
        <v>26.28625</v>
      </c>
      <c r="I347" s="192">
        <v>0.830867989189961</v>
      </c>
      <c r="J347" s="192">
        <v>0.229034785013134</v>
      </c>
      <c r="K347" s="191">
        <v>21.2465</v>
      </c>
      <c r="L347" s="191">
        <v>21.2465</v>
      </c>
      <c r="M347" s="121">
        <v>2411</v>
      </c>
    </row>
    <row r="348" spans="1:13">
      <c r="A348" s="124" t="s">
        <v>12</v>
      </c>
      <c r="B348" s="29">
        <v>46093</v>
      </c>
      <c r="C348" s="52"/>
      <c r="D348" s="52"/>
      <c r="E348" s="191">
        <v>15125.5878</v>
      </c>
      <c r="F348" s="191">
        <v>7.657812</v>
      </c>
      <c r="G348" s="191">
        <v>7.451675</v>
      </c>
      <c r="H348" s="191">
        <v>25.8741666666667</v>
      </c>
      <c r="I348" s="192">
        <v>0.819238493643141</v>
      </c>
      <c r="J348" s="192">
        <v>0.261398931978432</v>
      </c>
      <c r="K348" s="191">
        <v>22.2066666666667</v>
      </c>
      <c r="L348" s="191">
        <v>22.2066666666667</v>
      </c>
      <c r="M348" s="121">
        <v>2411</v>
      </c>
    </row>
    <row r="349" spans="1:13">
      <c r="A349" s="124" t="s">
        <v>12</v>
      </c>
      <c r="B349" s="29">
        <v>46094</v>
      </c>
      <c r="C349" s="52"/>
      <c r="D349" s="52"/>
      <c r="E349" s="191">
        <v>14621.9438</v>
      </c>
      <c r="F349" s="191">
        <v>7.392518</v>
      </c>
      <c r="G349" s="191">
        <v>7.187922</v>
      </c>
      <c r="H349" s="191">
        <v>26.4754166666667</v>
      </c>
      <c r="I349" s="192">
        <v>0.820380840834613</v>
      </c>
      <c r="J349" s="192">
        <v>0.252695005530209</v>
      </c>
      <c r="K349" s="191">
        <v>22.253875</v>
      </c>
      <c r="L349" s="191">
        <v>22.253875</v>
      </c>
      <c r="M349" s="121">
        <v>2411</v>
      </c>
    </row>
    <row r="350" spans="1:13">
      <c r="A350" s="124" t="s">
        <v>12</v>
      </c>
      <c r="B350" s="29">
        <v>46095</v>
      </c>
      <c r="C350" s="52"/>
      <c r="D350" s="52"/>
      <c r="E350" s="191">
        <v>13276.5408</v>
      </c>
      <c r="F350" s="191">
        <v>6.65749</v>
      </c>
      <c r="G350" s="191">
        <v>6.462613</v>
      </c>
      <c r="H350" s="191">
        <v>27.1208333333333</v>
      </c>
      <c r="I350" s="192">
        <v>0.827136529376278</v>
      </c>
      <c r="J350" s="192">
        <v>0.229443882206553</v>
      </c>
      <c r="K350" s="191">
        <v>21.6429166666667</v>
      </c>
      <c r="L350" s="191">
        <v>21.6429166666667</v>
      </c>
      <c r="M350" s="121">
        <v>2411</v>
      </c>
    </row>
    <row r="351" spans="1:13">
      <c r="A351" s="124" t="s">
        <v>12</v>
      </c>
      <c r="B351" s="29">
        <v>46096</v>
      </c>
      <c r="C351" s="52"/>
      <c r="D351" s="52"/>
      <c r="E351" s="191">
        <v>13508.6048</v>
      </c>
      <c r="F351" s="191">
        <v>6.80483</v>
      </c>
      <c r="G351" s="191">
        <v>6.608812</v>
      </c>
      <c r="H351" s="191">
        <v>27.7091666666667</v>
      </c>
      <c r="I351" s="192">
        <v>0.823371833018162</v>
      </c>
      <c r="J351" s="192">
        <v>0.233454389603207</v>
      </c>
      <c r="K351" s="191">
        <v>22.1274166666667</v>
      </c>
      <c r="L351" s="191">
        <v>22.1274166666667</v>
      </c>
      <c r="M351" s="121">
        <v>2411</v>
      </c>
    </row>
    <row r="352" spans="1:13">
      <c r="A352" s="124" t="s">
        <v>12</v>
      </c>
      <c r="B352" s="29">
        <v>46097</v>
      </c>
      <c r="C352" s="52"/>
      <c r="D352" s="52"/>
      <c r="E352" s="191">
        <v>13395.6458</v>
      </c>
      <c r="F352" s="191">
        <v>6.750069</v>
      </c>
      <c r="G352" s="191">
        <v>6.554153</v>
      </c>
      <c r="H352" s="191">
        <v>28.04625</v>
      </c>
      <c r="I352" s="192">
        <v>0.823110672880874</v>
      </c>
      <c r="J352" s="192">
        <v>0.23150224319093</v>
      </c>
      <c r="K352" s="191">
        <v>22.1592916666667</v>
      </c>
      <c r="L352" s="191">
        <v>22.1592916666667</v>
      </c>
      <c r="M352" s="121">
        <v>2411</v>
      </c>
    </row>
    <row r="353" spans="1:13">
      <c r="A353" s="124" t="s">
        <v>12</v>
      </c>
      <c r="B353" s="29">
        <v>46098</v>
      </c>
      <c r="C353" s="52"/>
      <c r="D353" s="52"/>
      <c r="E353" s="191">
        <v>14593.5368</v>
      </c>
      <c r="F353" s="191">
        <v>7.543114</v>
      </c>
      <c r="G353" s="191">
        <v>7.321888</v>
      </c>
      <c r="H353" s="191">
        <v>31.5458333333333</v>
      </c>
      <c r="I353" s="192">
        <v>0.802440197071812</v>
      </c>
      <c r="J353" s="192">
        <v>0.252204078528964</v>
      </c>
      <c r="K353" s="191">
        <v>25.2489583333333</v>
      </c>
      <c r="L353" s="191">
        <v>25.2489583333333</v>
      </c>
      <c r="M353" s="121">
        <v>2411</v>
      </c>
    </row>
    <row r="354" spans="1:13">
      <c r="A354" s="124" t="s">
        <v>12</v>
      </c>
      <c r="B354" s="29">
        <v>46099</v>
      </c>
      <c r="C354" s="52"/>
      <c r="D354" s="52"/>
      <c r="E354" s="191">
        <v>13245.4258</v>
      </c>
      <c r="F354" s="191">
        <v>6.678111</v>
      </c>
      <c r="G354" s="191">
        <v>6.472567</v>
      </c>
      <c r="H354" s="191">
        <v>29.18125</v>
      </c>
      <c r="I354" s="192">
        <v>0.822649958877168</v>
      </c>
      <c r="J354" s="192">
        <v>0.228906155813632</v>
      </c>
      <c r="K354" s="191">
        <v>22.585125</v>
      </c>
      <c r="L354" s="191">
        <v>22.585125</v>
      </c>
      <c r="M354" s="121">
        <v>2411</v>
      </c>
    </row>
    <row r="355" spans="1:13">
      <c r="A355" s="124" t="s">
        <v>12</v>
      </c>
      <c r="B355" s="29">
        <v>46100</v>
      </c>
      <c r="C355" s="52"/>
      <c r="D355" s="52"/>
      <c r="E355" s="191">
        <v>13369.6648</v>
      </c>
      <c r="F355" s="191">
        <v>6.75016</v>
      </c>
      <c r="G355" s="191">
        <v>6.542498</v>
      </c>
      <c r="H355" s="191">
        <v>28.6933333333333</v>
      </c>
      <c r="I355" s="192">
        <v>0.821503165856413</v>
      </c>
      <c r="J355" s="192">
        <v>0.231053242084889</v>
      </c>
      <c r="K355" s="191">
        <v>22.634625</v>
      </c>
      <c r="L355" s="191">
        <v>22.634625</v>
      </c>
      <c r="M355" s="121">
        <v>2411</v>
      </c>
    </row>
    <row r="356" spans="1:13">
      <c r="A356" s="124" t="s">
        <v>12</v>
      </c>
      <c r="B356" s="29">
        <v>46101</v>
      </c>
      <c r="C356" s="52"/>
      <c r="D356" s="52"/>
      <c r="E356" s="191">
        <v>12106.0548</v>
      </c>
      <c r="F356" s="191">
        <v>6.012839</v>
      </c>
      <c r="G356" s="191">
        <v>5.813894</v>
      </c>
      <c r="H356" s="191">
        <v>27.3391666666667</v>
      </c>
      <c r="I356" s="192">
        <v>0.835075706781041</v>
      </c>
      <c r="J356" s="192">
        <v>0.209215657403567</v>
      </c>
      <c r="K356" s="191">
        <v>20.8669166666667</v>
      </c>
      <c r="L356" s="191">
        <v>20.8669166666667</v>
      </c>
      <c r="M356" s="121">
        <v>2411</v>
      </c>
    </row>
    <row r="357" spans="1:13">
      <c r="A357" s="124" t="s">
        <v>12</v>
      </c>
      <c r="B357" s="29">
        <v>46102</v>
      </c>
      <c r="C357" s="52"/>
      <c r="D357" s="52"/>
      <c r="E357" s="191">
        <v>13710.6218</v>
      </c>
      <c r="F357" s="191">
        <v>6.902499</v>
      </c>
      <c r="G357" s="191">
        <v>6.691387</v>
      </c>
      <c r="H357" s="191">
        <v>27.50625</v>
      </c>
      <c r="I357" s="192">
        <v>0.823860324251938</v>
      </c>
      <c r="J357" s="192">
        <v>0.236945627678695</v>
      </c>
      <c r="K357" s="191">
        <v>22.1679166666667</v>
      </c>
      <c r="L357" s="191">
        <v>22.1679166666667</v>
      </c>
      <c r="M357" s="121">
        <v>2411</v>
      </c>
    </row>
    <row r="358" spans="1:13">
      <c r="A358" s="124" t="s">
        <v>12</v>
      </c>
      <c r="B358" s="29">
        <v>46103</v>
      </c>
      <c r="C358" s="52"/>
      <c r="D358" s="52"/>
      <c r="E358" s="191">
        <v>14102.2698</v>
      </c>
      <c r="F358" s="191">
        <v>7.172662</v>
      </c>
      <c r="G358" s="191">
        <v>6.957891</v>
      </c>
      <c r="H358" s="191">
        <v>29.04375</v>
      </c>
      <c r="I358" s="192">
        <v>0.815476486202677</v>
      </c>
      <c r="J358" s="192">
        <v>0.243714050186644</v>
      </c>
      <c r="K358" s="191">
        <v>23.3992083333333</v>
      </c>
      <c r="L358" s="191">
        <v>23.3992083333333</v>
      </c>
      <c r="M358" s="121">
        <v>2411</v>
      </c>
    </row>
    <row r="359" spans="1:13">
      <c r="A359" s="124" t="s">
        <v>12</v>
      </c>
      <c r="B359" s="29">
        <v>46104</v>
      </c>
      <c r="C359" s="52"/>
      <c r="D359" s="52"/>
      <c r="E359" s="191">
        <v>14684.6738</v>
      </c>
      <c r="F359" s="191">
        <v>7.46813</v>
      </c>
      <c r="G359" s="191">
        <v>7.244416</v>
      </c>
      <c r="H359" s="191">
        <v>28.2004166666667</v>
      </c>
      <c r="I359" s="192">
        <v>0.815558698417668</v>
      </c>
      <c r="J359" s="192">
        <v>0.253779099267247</v>
      </c>
      <c r="K359" s="191">
        <v>23.198875</v>
      </c>
      <c r="L359" s="191">
        <v>23.198875</v>
      </c>
      <c r="M359" s="121">
        <v>2411</v>
      </c>
    </row>
    <row r="360" spans="1:13">
      <c r="A360" s="124" t="s">
        <v>12</v>
      </c>
      <c r="B360" s="29">
        <v>46105</v>
      </c>
      <c r="C360" s="52"/>
      <c r="D360" s="52"/>
      <c r="E360" s="191">
        <v>14373.1628</v>
      </c>
      <c r="F360" s="191">
        <v>7.306277</v>
      </c>
      <c r="G360" s="191">
        <v>7.091046</v>
      </c>
      <c r="H360" s="191">
        <v>28.5404166666667</v>
      </c>
      <c r="I360" s="192">
        <v>0.815941459338387</v>
      </c>
      <c r="J360" s="192">
        <v>0.24839559657127</v>
      </c>
      <c r="K360" s="191">
        <v>23.2675416666667</v>
      </c>
      <c r="L360" s="191">
        <v>23.2675416666667</v>
      </c>
      <c r="M360" s="121">
        <v>2411</v>
      </c>
    </row>
    <row r="361" spans="1:13">
      <c r="A361" s="124" t="s">
        <v>12</v>
      </c>
      <c r="B361" s="29">
        <v>46106</v>
      </c>
      <c r="C361" s="52"/>
      <c r="D361" s="52"/>
      <c r="E361" s="191">
        <v>14531.7788</v>
      </c>
      <c r="F361" s="191">
        <v>7.384885</v>
      </c>
      <c r="G361" s="191">
        <v>7.166694</v>
      </c>
      <c r="H361" s="191">
        <v>28.37</v>
      </c>
      <c r="I361" s="192">
        <v>0.816164745588485</v>
      </c>
      <c r="J361" s="192">
        <v>0.251136782801051</v>
      </c>
      <c r="K361" s="191">
        <v>23.2318333333333</v>
      </c>
      <c r="L361" s="191">
        <v>23.2318333333333</v>
      </c>
      <c r="M361" s="121">
        <v>2411</v>
      </c>
    </row>
    <row r="362" spans="1:13">
      <c r="A362" s="124" t="s">
        <v>12</v>
      </c>
      <c r="B362" s="29">
        <v>46107</v>
      </c>
      <c r="C362" s="52"/>
      <c r="D362" s="52"/>
      <c r="E362" s="191">
        <v>14083.1918</v>
      </c>
      <c r="F362" s="191">
        <v>7.114648</v>
      </c>
      <c r="G362" s="191">
        <v>6.90128</v>
      </c>
      <c r="H362" s="191">
        <v>27.8595833333333</v>
      </c>
      <c r="I362" s="192">
        <v>0.821013816181422</v>
      </c>
      <c r="J362" s="192">
        <v>0.243384346052813</v>
      </c>
      <c r="K362" s="191">
        <v>22.5686666666667</v>
      </c>
      <c r="L362" s="191">
        <v>22.5686666666667</v>
      </c>
      <c r="M362" s="121">
        <v>2411</v>
      </c>
    </row>
    <row r="363" spans="1:13">
      <c r="A363" s="124" t="s">
        <v>12</v>
      </c>
      <c r="B363" s="29">
        <v>46108</v>
      </c>
      <c r="C363" s="52"/>
      <c r="D363" s="52"/>
      <c r="E363" s="191">
        <v>13394.5998</v>
      </c>
      <c r="F363" s="191">
        <v>6.810588</v>
      </c>
      <c r="G363" s="191">
        <v>6.603094</v>
      </c>
      <c r="H363" s="191">
        <v>30.2141666666667</v>
      </c>
      <c r="I363" s="192">
        <v>0.815732796008903</v>
      </c>
      <c r="J363" s="192">
        <v>0.231484166321029</v>
      </c>
      <c r="K363" s="191">
        <v>23.5954166666667</v>
      </c>
      <c r="L363" s="191">
        <v>23.5954166666667</v>
      </c>
      <c r="M363" s="121">
        <v>2411</v>
      </c>
    </row>
    <row r="364" spans="1:13">
      <c r="A364" s="124" t="s">
        <v>12</v>
      </c>
      <c r="B364" s="29">
        <v>46109</v>
      </c>
      <c r="C364" s="52"/>
      <c r="D364" s="52"/>
      <c r="E364" s="191">
        <v>13751.9558</v>
      </c>
      <c r="F364" s="191">
        <v>6.988575</v>
      </c>
      <c r="G364" s="191">
        <v>6.776465</v>
      </c>
      <c r="H364" s="191">
        <v>29.8816666666667</v>
      </c>
      <c r="I364" s="192">
        <v>0.816166241039381</v>
      </c>
      <c r="J364" s="192">
        <v>0.237659957832158</v>
      </c>
      <c r="K364" s="191">
        <v>23.5224166666667</v>
      </c>
      <c r="L364" s="191">
        <v>23.5224166666667</v>
      </c>
      <c r="M364" s="121">
        <v>2411</v>
      </c>
    </row>
    <row r="365" spans="1:13">
      <c r="A365" s="124" t="s">
        <v>12</v>
      </c>
      <c r="B365" s="29">
        <v>46110</v>
      </c>
      <c r="C365" s="52"/>
      <c r="D365" s="52"/>
      <c r="E365" s="191">
        <v>12755.4728</v>
      </c>
      <c r="F365" s="191">
        <v>6.405296</v>
      </c>
      <c r="G365" s="191">
        <v>6.197655</v>
      </c>
      <c r="H365" s="191">
        <v>28.86125</v>
      </c>
      <c r="I365" s="192">
        <v>0.825962150911576</v>
      </c>
      <c r="J365" s="192">
        <v>0.220438835891055</v>
      </c>
      <c r="K365" s="191">
        <v>22.2568333333333</v>
      </c>
      <c r="L365" s="191">
        <v>22.2568333333333</v>
      </c>
      <c r="M365" s="121">
        <v>2411</v>
      </c>
    </row>
    <row r="366" spans="1:13">
      <c r="A366" s="124" t="s">
        <v>12</v>
      </c>
      <c r="B366" s="29">
        <v>46111</v>
      </c>
      <c r="C366" s="52"/>
      <c r="D366" s="52"/>
      <c r="E366" s="191">
        <v>13680.0118</v>
      </c>
      <c r="F366" s="191">
        <v>6.93562</v>
      </c>
      <c r="G366" s="191">
        <v>6.724502</v>
      </c>
      <c r="H366" s="191">
        <v>29.5516666666667</v>
      </c>
      <c r="I366" s="192">
        <v>0.81809543883828</v>
      </c>
      <c r="J366" s="192">
        <v>0.236416628646481</v>
      </c>
      <c r="K366" s="191">
        <v>23.35425</v>
      </c>
      <c r="L366" s="191">
        <v>23.35425</v>
      </c>
      <c r="M366" s="121">
        <v>2411</v>
      </c>
    </row>
    <row r="367" ht="15.75" spans="1:13">
      <c r="A367" s="193" t="s">
        <v>12</v>
      </c>
      <c r="B367" s="114">
        <v>46112</v>
      </c>
      <c r="C367" s="130"/>
      <c r="D367" s="130"/>
      <c r="E367" s="130">
        <v>14312.6638</v>
      </c>
      <c r="F367" s="130">
        <v>7.348117</v>
      </c>
      <c r="G367" s="130">
        <v>7.129453</v>
      </c>
      <c r="H367" s="130">
        <v>30.8958333333333</v>
      </c>
      <c r="I367" s="130">
        <v>0.807880632576105</v>
      </c>
      <c r="J367" s="130">
        <v>0.247350058758468</v>
      </c>
      <c r="K367" s="130">
        <v>24.6671666666667</v>
      </c>
      <c r="L367" s="130">
        <v>24.6671666666667</v>
      </c>
      <c r="M367" s="121">
        <v>2411</v>
      </c>
    </row>
  </sheetData>
  <sheetProtection sheet="1" objects="1" scenarios="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120" zoomScaleNormal="120" workbookViewId="0">
      <selection activeCell="B4" sqref="B4"/>
    </sheetView>
  </sheetViews>
  <sheetFormatPr defaultColWidth="0" defaultRowHeight="14.25"/>
  <cols>
    <col min="1" max="1" width="14" style="142" customWidth="1"/>
    <col min="2" max="3" width="13.75" style="142" customWidth="1"/>
    <col min="4" max="4" width="13" style="142" customWidth="1"/>
    <col min="5" max="5" width="12" style="142" customWidth="1"/>
    <col min="6" max="6" width="13.75" style="142" customWidth="1"/>
    <col min="7" max="7" width="12.25" style="142" customWidth="1"/>
    <col min="8" max="8" width="12" style="142" customWidth="1"/>
    <col min="9" max="9" width="13.75" style="142" customWidth="1"/>
    <col min="10" max="10" width="12.25" style="142" customWidth="1"/>
    <col min="11" max="11" width="12" style="142" customWidth="1"/>
    <col min="12" max="12" width="5.125" style="142" customWidth="1"/>
    <col min="13" max="16384" width="8.25" style="142" hidden="1"/>
  </cols>
  <sheetData>
    <row r="1" ht="14.45" customHeight="1" spans="1:12">
      <c r="A1" s="143" t="s">
        <v>13</v>
      </c>
      <c r="B1" s="144"/>
      <c r="C1" s="144"/>
      <c r="D1" s="144"/>
      <c r="E1" s="144"/>
      <c r="F1" s="144"/>
      <c r="G1" s="144"/>
      <c r="H1" s="144"/>
      <c r="I1" s="144"/>
      <c r="J1" s="144"/>
      <c r="K1" s="145"/>
    </row>
    <row r="2" ht="14.45" customHeight="1" spans="1:12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8"/>
    </row>
    <row r="3" ht="15.75" spans="1:12">
      <c r="A3" s="149"/>
      <c r="B3" s="150">
        <f>DATE(YEAR(B4),MONTH(B4),1)</f>
        <v>46174</v>
      </c>
      <c r="C3" s="151">
        <f>VLOOKUP(L3,Basic_Data!$A$28:$B$48,2,0)</f>
        <v>45748</v>
      </c>
      <c r="D3" s="149"/>
      <c r="G3" s="149"/>
      <c r="H3" s="149"/>
      <c r="I3" s="149"/>
      <c r="J3" s="149"/>
      <c r="K3" s="152"/>
      <c r="L3" s="153" t="s">
        <v>14</v>
      </c>
    </row>
    <row r="4" ht="17.25" spans="1:12">
      <c r="A4" s="154" t="s">
        <v>1</v>
      </c>
      <c r="B4" s="155">
        <v>46178</v>
      </c>
      <c r="C4" s="156" t="s">
        <v>15</v>
      </c>
      <c r="D4" s="157"/>
      <c r="E4" s="158">
        <f>Basic_Data!F10</f>
        <v>1925</v>
      </c>
      <c r="F4" s="156" t="s">
        <v>16</v>
      </c>
      <c r="G4" s="157"/>
      <c r="H4" s="159">
        <f>Basic_Data!G10</f>
        <v>2411.08</v>
      </c>
      <c r="I4" s="156" t="s">
        <v>17</v>
      </c>
      <c r="J4" s="157"/>
      <c r="K4" s="160">
        <f>Basic_Data!B3</f>
        <v>45720</v>
      </c>
    </row>
    <row r="5" ht="17.25" spans="1:12">
      <c r="A5" s="161" t="s">
        <v>0</v>
      </c>
      <c r="B5" s="161"/>
      <c r="C5" s="162" t="s">
        <v>18</v>
      </c>
      <c r="D5" s="162"/>
      <c r="E5" s="162"/>
      <c r="F5" s="162" t="s">
        <v>19</v>
      </c>
      <c r="G5" s="162"/>
      <c r="H5" s="162"/>
      <c r="I5" s="162" t="s">
        <v>20</v>
      </c>
      <c r="J5" s="162"/>
      <c r="K5" s="162"/>
    </row>
    <row r="6" ht="17.25" spans="1:12">
      <c r="A6" s="163"/>
      <c r="B6" s="163"/>
      <c r="C6" s="163" t="s">
        <v>21</v>
      </c>
      <c r="D6" s="163" t="s">
        <v>22</v>
      </c>
      <c r="E6" s="163" t="s">
        <v>23</v>
      </c>
      <c r="F6" s="163" t="s">
        <v>21</v>
      </c>
      <c r="G6" s="163" t="s">
        <v>22</v>
      </c>
      <c r="H6" s="163" t="s">
        <v>23</v>
      </c>
      <c r="I6" s="163" t="s">
        <v>21</v>
      </c>
      <c r="J6" s="163" t="s">
        <v>22</v>
      </c>
      <c r="K6" s="163" t="s">
        <v>23</v>
      </c>
    </row>
    <row r="7" ht="15.75" spans="1:12">
      <c r="A7" s="164" t="s">
        <v>24</v>
      </c>
      <c r="B7" s="165"/>
      <c r="C7" s="166">
        <f>SUMIFS(Budgeted_Data!$E:$E,Budgeted_Data!$B:$B,'E-Mail_Copy'!$B$4)</f>
        <v>0</v>
      </c>
      <c r="D7" s="167">
        <f>SUMIFS(Data_Entry!$T:$T,Data_Entry!$C:$C,'E-Mail_Copy'!$B$4)</f>
        <v>10350.0000000001</v>
      </c>
      <c r="E7" s="168" t="e">
        <f>(D7-C7)/C7</f>
        <v>#DIV/0!</v>
      </c>
      <c r="F7" s="166">
        <f>SUMIFS(Budgeted_Data!$E:$E,Budgeted_Data!$B:$B,"&gt;="&amp;'E-Mail_Copy'!$B$3,Budgeted_Data!$B:$B,"&lt;="&amp;'E-Mail_Copy'!$B$4)</f>
        <v>0</v>
      </c>
      <c r="G7" s="167">
        <f>SUMIFS(Data_Entry!$T:$T,Data_Entry!$C:$C,"&gt;="&amp;'E-Mail_Copy'!$B$3,Data_Entry!$C:$C,"&lt;="&amp;'E-Mail_Copy'!$B$4)</f>
        <v>56010</v>
      </c>
      <c r="H7" s="168" t="e">
        <f>(G7-F7)/F7</f>
        <v>#DIV/0!</v>
      </c>
      <c r="I7" s="169">
        <f>SUMIFS(Budgeted_Data!$E:$E,Budgeted_Data!$B:$B,"&gt;="&amp;'E-Mail_Copy'!$C$3,Budgeted_Data!$B:$B,"&lt;="&amp;'E-Mail_Copy'!$B$4)</f>
        <v>4129749.0859</v>
      </c>
      <c r="J7" s="167">
        <f>SUMIFS(Data_Entry!$T:$T,Data_Entry!$C:$C,"&gt;="&amp;'E-Mail_Copy'!$C$3,Data_Entry!$C:$C,"&lt;="&amp;'E-Mail_Copy'!$B$4)</f>
        <v>4625010</v>
      </c>
      <c r="K7" s="168">
        <f>(J7-I7)/I7</f>
        <v>0.119925182813392</v>
      </c>
    </row>
    <row r="8" ht="16.5" spans="1:12">
      <c r="A8" s="170" t="s">
        <v>25</v>
      </c>
      <c r="B8" s="171"/>
      <c r="C8" s="172">
        <f>SUMIFS(Budgeted_Data!$F:$F,Budgeted_Data!$B:$B,'E-Mail_Copy'!$B$4)</f>
        <v>0</v>
      </c>
      <c r="D8" s="173">
        <f>SUMIFS(Data_Entry!$V:$V,Data_Entry!$C:$C,'E-Mail_Copy'!B4)</f>
        <v>3.66</v>
      </c>
      <c r="E8" s="174" t="e">
        <f t="shared" ref="E8:E13" si="0">(D8-C8)/C8</f>
        <v>#DIV/0!</v>
      </c>
      <c r="F8" s="172">
        <f>SUMIFS(Budgeted_Data!$F:$F,Budgeted_Data!$B:$B,"&gt;="&amp;'E-Mail_Copy'!$B$3,Budgeted_Data!$B:$B,"&lt;="&amp;'E-Mail_Copy'!$B$4)</f>
        <v>0</v>
      </c>
      <c r="G8" s="173">
        <f>SUMIFS(Data_Entry!$V:$V,Data_Entry!$C:$C,"&gt;="&amp;'E-Mail_Copy'!$B$3,Data_Entry!$C:$C,"&lt;="&amp;'E-Mail_Copy'!$B$4)</f>
        <v>23.67</v>
      </c>
      <c r="H8" s="174" t="e">
        <f t="shared" ref="H8:H13" si="1">(G8-F8)/F8</f>
        <v>#DIV/0!</v>
      </c>
      <c r="I8" s="175">
        <f>SUMIFS(Budgeted_Data!$F:$F,Budgeted_Data!$B:$B,"&gt;="&amp;'E-Mail_Copy'!$C$3,Budgeted_Data!$B:$B,"&lt;="&amp;'E-Mail_Copy'!$B$4)</f>
        <v>2080.1764654</v>
      </c>
      <c r="J8" s="173">
        <f>SUMIFS(Data_Entry!$V:$V,Data_Entry!$C:$C,"&gt;="&amp;'E-Mail_Copy'!$C$3,Data_Entry!$C:$C,"&lt;="&amp;'E-Mail_Copy'!$B$4)</f>
        <v>1555.6445</v>
      </c>
      <c r="K8" s="174">
        <f t="shared" ref="K8:K13" si="2">(J8-I8)/I8</f>
        <v>-0.252157436700514</v>
      </c>
    </row>
    <row r="9" ht="16.5" spans="1:12">
      <c r="A9" s="170" t="s">
        <v>26</v>
      </c>
      <c r="B9" s="171"/>
      <c r="C9" s="172">
        <f>SUMIFS(Budgeted_Data!$G:$G,Budgeted_Data!$B:$B,'E-Mail_Copy'!$B$4)</f>
        <v>0</v>
      </c>
      <c r="D9" s="173">
        <f>SUMIFS(Data_Entry!$U:$U,Data_Entry!$C:$C,'E-Mail_Copy'!$B$4)</f>
        <v>0</v>
      </c>
      <c r="E9" s="174" t="e">
        <f t="shared" si="0"/>
        <v>#DIV/0!</v>
      </c>
      <c r="F9" s="172">
        <f>SUMIFS(Budgeted_Data!$G:$G,Budgeted_Data!$B:$B,"&gt;="&amp;'E-Mail_Copy'!$B$3,Budgeted_Data!$B:$B,"&lt;="&amp;'E-Mail_Copy'!$B$4)</f>
        <v>0</v>
      </c>
      <c r="G9" s="173">
        <f>SUMIFS(Data_Entry!$U:$U,Data_Entry!$C:$C,"&gt;="&amp;'E-Mail_Copy'!$B$3,Data_Entry!$C:$C,"&lt;="&amp;'E-Mail_Copy'!$B$4)</f>
        <v>0</v>
      </c>
      <c r="H9" s="174" t="e">
        <f t="shared" si="1"/>
        <v>#DIV/0!</v>
      </c>
      <c r="I9" s="175">
        <f>SUMIFS(Budgeted_Data!$G:$G,Budgeted_Data!$B:$B,"&gt;="&amp;'E-Mail_Copy'!$C$3,Budgeted_Data!$B:$B,"&lt;="&amp;'E-Mail_Copy'!$B$4)</f>
        <v>2008.1027544</v>
      </c>
      <c r="J9" s="173">
        <f>SUMIFS(Data_Entry!$U:$U,Data_Entry!$C:$C,"&gt;="&amp;'E-Mail_Copy'!$C$3,Data_Entry!$C:$C,"&lt;="&amp;'E-Mail_Copy'!$B$4)</f>
        <v>0</v>
      </c>
      <c r="K9" s="174">
        <f t="shared" si="2"/>
        <v>-1</v>
      </c>
    </row>
    <row r="10" ht="15" spans="1:12">
      <c r="A10" s="170" t="s">
        <v>27</v>
      </c>
      <c r="B10" s="171"/>
      <c r="C10" s="176" t="e">
        <f>C7/C8/H4</f>
        <v>#DIV/0!</v>
      </c>
      <c r="D10" s="176">
        <f>D7/D8/H4</f>
        <v>1.17286396654571</v>
      </c>
      <c r="E10" s="174" t="e">
        <f t="shared" si="0"/>
        <v>#DIV/0!</v>
      </c>
      <c r="F10" s="176" t="e">
        <f>F7/F8/H4/(B4-B3+1)</f>
        <v>#DIV/0!</v>
      </c>
      <c r="G10" s="176">
        <f>G7/G8/H4/(B4-B3+1)</f>
        <v>0.196284357095558</v>
      </c>
      <c r="H10" s="174" t="e">
        <f t="shared" si="1"/>
        <v>#DIV/0!</v>
      </c>
      <c r="I10" s="177">
        <f>I7/I8/H4/(($B$4-$C$3)+1)</f>
        <v>0.00191044525145452</v>
      </c>
      <c r="J10" s="177">
        <f>J7/J8/H4/(($B$4-$C$3)+1)</f>
        <v>0.00286097081456617</v>
      </c>
      <c r="K10" s="174">
        <f t="shared" si="2"/>
        <v>0.497541378057269</v>
      </c>
    </row>
    <row r="11" ht="15" spans="1:12">
      <c r="A11" s="170" t="s">
        <v>28</v>
      </c>
      <c r="B11" s="171"/>
      <c r="C11" s="176">
        <f>C7/E4/24</f>
        <v>0</v>
      </c>
      <c r="D11" s="178">
        <f>D7/24/E4</f>
        <v>0.224025974025976</v>
      </c>
      <c r="E11" s="174" t="e">
        <f t="shared" si="0"/>
        <v>#DIV/0!</v>
      </c>
      <c r="F11" s="176">
        <f>F7/24/E4/(B4-B3+1)</f>
        <v>0</v>
      </c>
      <c r="G11" s="178">
        <f>G7/24/E4/(B4-B3+1)</f>
        <v>0.242467532467532</v>
      </c>
      <c r="H11" s="174" t="e">
        <f t="shared" si="1"/>
        <v>#DIV/0!</v>
      </c>
      <c r="I11" s="177">
        <f>I7/24/$E$4/(($B$4-$C$3)+1)</f>
        <v>0.207397931213025</v>
      </c>
      <c r="J11" s="177">
        <f>J7/24/$E$4/(($B$4-$C$3)+1)</f>
        <v>0.232270166028867</v>
      </c>
      <c r="K11" s="174">
        <f t="shared" si="2"/>
        <v>0.119925182813392</v>
      </c>
    </row>
    <row r="12" ht="15" spans="1:12">
      <c r="A12" s="170" t="s">
        <v>29</v>
      </c>
      <c r="B12" s="171"/>
      <c r="C12" s="172" t="e">
        <f>AVERAGEIFS(Budgeted_Data!$L:$L,Budgeted_Data!$B:$B,'E-Mail_Copy'!$B$4)</f>
        <v>#DIV/0!</v>
      </c>
      <c r="D12" s="173" t="e">
        <f>AVERAGEIFS(Data_Entry!$Y:$Y,Data_Entry!$C:$C,'E-Mail_Copy'!$B$4)</f>
        <v>#DIV/0!</v>
      </c>
      <c r="E12" s="174" t="e">
        <f t="shared" si="0"/>
        <v>#DIV/0!</v>
      </c>
      <c r="F12" s="172" t="e">
        <f>AVERAGEIFS(Budgeted_Data!$L:$L,Budgeted_Data!$B:$B,"&gt;="&amp;'E-Mail_Copy'!$B$3,Budgeted_Data!$B:$B,"&lt;="&amp;'E-Mail_Copy'!$B$4)</f>
        <v>#DIV/0!</v>
      </c>
      <c r="G12" s="173" t="e">
        <f>AVERAGEIFS(Data_Entry!$Y:$Y,Data_Entry!$C:$C,"&gt;="&amp;'E-Mail_Copy'!$B$3,Data_Entry!$C:$C,"&lt;="&amp;'E-Mail_Copy'!$B$4)</f>
        <v>#DIV/0!</v>
      </c>
      <c r="H12" s="174" t="e">
        <f t="shared" si="1"/>
        <v>#DIV/0!</v>
      </c>
      <c r="I12" s="172">
        <f>AVERAGEIFS(Budgeted_Data!$L:$L,Budgeted_Data!$B:$B,"&gt;="&amp;'E-Mail_Copy'!$C$3,Budgeted_Data!$B:$B,"&lt;="&amp;'E-Mail_Copy'!$B$4)</f>
        <v>20.1378066210046</v>
      </c>
      <c r="J12" s="173" t="e">
        <f>AVERAGEIFS(Data_Entry!$Y:$Y,Data_Entry!$C:$C,"&gt;="&amp;'E-Mail_Copy'!$C$3,Data_Entry!$C:$C,"&lt;="&amp;'E-Mail_Copy'!$B$4)</f>
        <v>#DIV/0!</v>
      </c>
      <c r="K12" s="174" t="e">
        <f t="shared" si="2"/>
        <v>#DIV/0!</v>
      </c>
    </row>
    <row r="13" ht="17.25" spans="1:12">
      <c r="A13" s="179" t="s">
        <v>30</v>
      </c>
      <c r="B13" s="180"/>
      <c r="C13" s="181" t="e">
        <f>AVERAGEIFS(Budgeted_Data!$H:$H,Budgeted_Data!$B:$B,'E-Mail_Copy'!$B$4)</f>
        <v>#DIV/0!</v>
      </c>
      <c r="D13" s="182">
        <f>AVERAGEIFS(Data_Entry!$W:$W,Data_Entry!$C:$C,'E-Mail_Copy'!$B$4)</f>
        <v>34.09</v>
      </c>
      <c r="E13" s="183" t="e">
        <f t="shared" si="0"/>
        <v>#DIV/0!</v>
      </c>
      <c r="F13" s="181" t="e">
        <f>AVERAGEIFS(Budgeted_Data!$H:$H,Budgeted_Data!$B:$B,"&gt;="&amp;'E-Mail_Copy'!$B$3,Budgeted_Data!$B:$B,"&lt;="&amp;'E-Mail_Copy'!$B$4)</f>
        <v>#DIV/0!</v>
      </c>
      <c r="G13" s="182">
        <f>AVERAGEIFS(Data_Entry!$W:$W,Data_Entry!$C:$C,"&gt;="&amp;'E-Mail_Copy'!$B$3,Data_Entry!$C:$C,"&lt;="&amp;'E-Mail_Copy'!$B$4)</f>
        <v>34.292</v>
      </c>
      <c r="H13" s="183" t="e">
        <f t="shared" si="1"/>
        <v>#DIV/0!</v>
      </c>
      <c r="I13" s="184">
        <f>AVERAGEIFS(Budgeted_Data!$H:$H,Budgeted_Data!$B:$B,"&gt;="&amp;'E-Mail_Copy'!$C$3,Budgeted_Data!$B:$B,"&lt;="&amp;'E-Mail_Copy'!$B$4)</f>
        <v>27.2710388127854</v>
      </c>
      <c r="J13" s="182">
        <f>AVERAGEIFS(Data_Entry!$W:$W,Data_Entry!$C:$C,"&gt;="&amp;'E-Mail_Copy'!$C$3,Data_Entry!$C:$C,"&lt;="&amp;'E-Mail_Copy'!$B$4)</f>
        <v>28.8860263157895</v>
      </c>
      <c r="K13" s="183">
        <f t="shared" si="2"/>
        <v>0.0592198747576485</v>
      </c>
    </row>
    <row r="14" ht="15" spans="1:12">
      <c r="C14" s="142" t="s">
        <v>31</v>
      </c>
    </row>
    <row r="17" spans="9:9">
      <c r="I17" s="185"/>
    </row>
  </sheetData>
  <sheetProtection sheet="1" objects="1" scenarios="1"/>
  <protectedRanges>
    <protectedRange sqref="L3" name="Range1"/>
  </protectedRanges>
  <mergeCells count="15">
    <mergeCell ref="C4:D4"/>
    <mergeCell ref="F4:G4"/>
    <mergeCell ref="I4:J4"/>
    <mergeCell ref="C5:E5"/>
    <mergeCell ref="F5:H5"/>
    <mergeCell ref="I5:K5"/>
    <mergeCell ref="A7:B7"/>
    <mergeCell ref="A8:B8"/>
    <mergeCell ref="A9:B9"/>
    <mergeCell ref="A10:B10"/>
    <mergeCell ref="A11:B11"/>
    <mergeCell ref="A12:B12"/>
    <mergeCell ref="A13:B13"/>
    <mergeCell ref="A1:K2"/>
    <mergeCell ref="A5:B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98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B21" sqref="B21"/>
    </sheetView>
  </sheetViews>
  <sheetFormatPr defaultColWidth="12" defaultRowHeight="15" customHeight="1"/>
  <cols>
    <col min="1" max="1" width="27.625" style="56" customWidth="1"/>
    <col min="2" max="2" width="9" style="56" customWidth="1"/>
    <col min="3" max="7" width="6.75" style="56" customWidth="1"/>
    <col min="8" max="9" width="6.25" style="56" customWidth="1"/>
    <col min="10" max="11" width="6.75" style="56" customWidth="1"/>
    <col min="12" max="12" width="6.875" style="56" customWidth="1"/>
    <col min="13" max="14" width="6.75" style="56" customWidth="1"/>
    <col min="15" max="31" width="6.25" style="56" customWidth="1"/>
    <col min="32" max="32" width="7" style="56" customWidth="1"/>
    <col min="33" max="16384" width="12" style="56"/>
  </cols>
  <sheetData>
    <row r="1" ht="14.25" customHeight="1" spans="1:33">
      <c r="A1" s="134" t="s">
        <v>32</v>
      </c>
    </row>
    <row r="2" ht="14.25" customHeight="1"/>
    <row r="3" ht="14.25" customHeight="1" spans="1:33">
      <c r="A3" s="135" t="s">
        <v>33</v>
      </c>
      <c r="B3" s="136">
        <f>'E-Mail_Copy'!B4</f>
        <v>46178</v>
      </c>
      <c r="C3" s="136">
        <f>B3+1</f>
        <v>46179</v>
      </c>
      <c r="D3" s="136">
        <f t="shared" ref="D3:AF3" si="0">C3+1</f>
        <v>46180</v>
      </c>
      <c r="E3" s="136">
        <f t="shared" si="0"/>
        <v>46181</v>
      </c>
      <c r="F3" s="136">
        <f t="shared" si="0"/>
        <v>46182</v>
      </c>
      <c r="G3" s="136">
        <f t="shared" si="0"/>
        <v>46183</v>
      </c>
      <c r="H3" s="136">
        <f t="shared" si="0"/>
        <v>46184</v>
      </c>
      <c r="I3" s="136">
        <f t="shared" si="0"/>
        <v>46185</v>
      </c>
      <c r="J3" s="136">
        <f t="shared" si="0"/>
        <v>46186</v>
      </c>
      <c r="K3" s="136">
        <f t="shared" si="0"/>
        <v>46187</v>
      </c>
      <c r="L3" s="136">
        <f t="shared" si="0"/>
        <v>46188</v>
      </c>
      <c r="M3" s="136">
        <f t="shared" si="0"/>
        <v>46189</v>
      </c>
      <c r="N3" s="136">
        <f t="shared" si="0"/>
        <v>46190</v>
      </c>
      <c r="O3" s="136">
        <f t="shared" si="0"/>
        <v>46191</v>
      </c>
      <c r="P3" s="136">
        <f t="shared" si="0"/>
        <v>46192</v>
      </c>
      <c r="Q3" s="136">
        <f t="shared" si="0"/>
        <v>46193</v>
      </c>
      <c r="R3" s="136">
        <f t="shared" si="0"/>
        <v>46194</v>
      </c>
      <c r="S3" s="136">
        <f t="shared" si="0"/>
        <v>46195</v>
      </c>
      <c r="T3" s="136">
        <f t="shared" si="0"/>
        <v>46196</v>
      </c>
      <c r="U3" s="136">
        <f t="shared" si="0"/>
        <v>46197</v>
      </c>
      <c r="V3" s="136">
        <f t="shared" si="0"/>
        <v>46198</v>
      </c>
      <c r="W3" s="136">
        <f t="shared" si="0"/>
        <v>46199</v>
      </c>
      <c r="X3" s="136">
        <f t="shared" si="0"/>
        <v>46200</v>
      </c>
      <c r="Y3" s="136">
        <f t="shared" si="0"/>
        <v>46201</v>
      </c>
      <c r="Z3" s="136">
        <f t="shared" si="0"/>
        <v>46202</v>
      </c>
      <c r="AA3" s="136">
        <f t="shared" si="0"/>
        <v>46203</v>
      </c>
      <c r="AB3" s="136">
        <f t="shared" si="0"/>
        <v>46204</v>
      </c>
      <c r="AC3" s="136">
        <f t="shared" si="0"/>
        <v>46205</v>
      </c>
      <c r="AD3" s="136">
        <f t="shared" si="0"/>
        <v>46206</v>
      </c>
      <c r="AE3" s="136">
        <f t="shared" si="0"/>
        <v>46207</v>
      </c>
      <c r="AF3" s="136">
        <f t="shared" si="0"/>
        <v>46208</v>
      </c>
      <c r="AG3" s="135" t="s">
        <v>34</v>
      </c>
    </row>
    <row r="4" ht="14.25" customHeight="1" spans="1:33">
      <c r="A4" s="137" t="s">
        <v>35</v>
      </c>
      <c r="B4" s="138">
        <f>IFERROR(VLOOKUP(B$3,Data_Entry!$C:$AB,Data_Entry!$A2,0),"")</f>
        <v>1463.28</v>
      </c>
      <c r="C4" s="138">
        <f>IFERROR(VLOOKUP(C$3,Data_Entry!$C:$AB,Data_Entry!$A2,0),"")</f>
        <v>0</v>
      </c>
      <c r="D4" s="138">
        <f>IFERROR(VLOOKUP(D$3,Data_Entry!$C:$AB,Data_Entry!$A2,0),"")</f>
        <v>0</v>
      </c>
      <c r="E4" s="138">
        <f>IFERROR(VLOOKUP(E$3,Data_Entry!$C:$AB,Data_Entry!$A2,0),"")</f>
        <v>0</v>
      </c>
      <c r="F4" s="138">
        <f>IFERROR(VLOOKUP(F$3,Data_Entry!$C:$AB,Data_Entry!$A2,0),"")</f>
        <v>0</v>
      </c>
      <c r="G4" s="138">
        <f>IFERROR(VLOOKUP(G$3,Data_Entry!$C:$AB,Data_Entry!$A2,0),"")</f>
        <v>0</v>
      </c>
      <c r="H4" s="138">
        <f>IFERROR(VLOOKUP(H$3,Data_Entry!$C:$AB,Data_Entry!$A2,0),"")</f>
        <v>0</v>
      </c>
      <c r="I4" s="138">
        <f>IFERROR(VLOOKUP(I$3,Data_Entry!$C:$AB,Data_Entry!$A2,0),"")</f>
        <v>0</v>
      </c>
      <c r="J4" s="138">
        <f>IFERROR(VLOOKUP(J$3,Data_Entry!$C:$AB,Data_Entry!$A2,0),"")</f>
        <v>0</v>
      </c>
      <c r="K4" s="138">
        <f>IFERROR(VLOOKUP(K$3,Data_Entry!$C:$AB,Data_Entry!$A2,0),"")</f>
        <v>0</v>
      </c>
      <c r="L4" s="138">
        <f>IFERROR(VLOOKUP(L$3,Data_Entry!$C:$AB,Data_Entry!$A2,0),"")</f>
        <v>0</v>
      </c>
      <c r="M4" s="138">
        <f>IFERROR(VLOOKUP(M$3,Data_Entry!$C:$AB,Data_Entry!$A2,0),"")</f>
        <v>0</v>
      </c>
      <c r="N4" s="138">
        <f>IFERROR(VLOOKUP(N$3,Data_Entry!$C:$AB,Data_Entry!$A2,0),"")</f>
        <v>0</v>
      </c>
      <c r="O4" s="138">
        <f>IFERROR(VLOOKUP(O$3,Data_Entry!$C:$AB,Data_Entry!$A2,0),"")</f>
        <v>0</v>
      </c>
      <c r="P4" s="138">
        <f>IFERROR(VLOOKUP(P$3,Data_Entry!$C:$AB,Data_Entry!$A2,0),"")</f>
        <v>0</v>
      </c>
      <c r="Q4" s="138">
        <f>IFERROR(VLOOKUP(Q$3,Data_Entry!$C:$AB,Data_Entry!$A2,0),"")</f>
        <v>0</v>
      </c>
      <c r="R4" s="138">
        <f>IFERROR(VLOOKUP(R$3,Data_Entry!$C:$AB,Data_Entry!$A2,0),"")</f>
        <v>0</v>
      </c>
      <c r="S4" s="138">
        <f>IFERROR(VLOOKUP(S$3,Data_Entry!$C:$AB,Data_Entry!$A2,0),"")</f>
        <v>0</v>
      </c>
      <c r="T4" s="138">
        <f>IFERROR(VLOOKUP(T$3,Data_Entry!$C:$AB,Data_Entry!$A2,0),"")</f>
        <v>0</v>
      </c>
      <c r="U4" s="138">
        <f>IFERROR(VLOOKUP(U$3,Data_Entry!$C:$AB,Data_Entry!$A2,0),"")</f>
        <v>0</v>
      </c>
      <c r="V4" s="138">
        <f>IFERROR(VLOOKUP(V$3,Data_Entry!$C:$AB,Data_Entry!$A2,0),"")</f>
        <v>0</v>
      </c>
      <c r="W4" s="138">
        <f>IFERROR(VLOOKUP(W$3,Data_Entry!$C:$AB,Data_Entry!$A2,0),"")</f>
        <v>0</v>
      </c>
      <c r="X4" s="138">
        <f>IFERROR(VLOOKUP(X$3,Data_Entry!$C:$AB,Data_Entry!$A2,0),"")</f>
        <v>0</v>
      </c>
      <c r="Y4" s="138">
        <f>IFERROR(VLOOKUP(Y$3,Data_Entry!$C:$AB,Data_Entry!$A2,0),"")</f>
        <v>0</v>
      </c>
      <c r="Z4" s="138">
        <f>IFERROR(VLOOKUP(Z$3,Data_Entry!$C:$AB,Data_Entry!$A2,0),"")</f>
        <v>0</v>
      </c>
      <c r="AA4" s="138">
        <f>IFERROR(VLOOKUP(AA$3,Data_Entry!$C:$AB,Data_Entry!$A2,0),"")</f>
        <v>0</v>
      </c>
      <c r="AB4" s="138">
        <f>IFERROR(VLOOKUP(AB$3,Data_Entry!$C:$AB,Data_Entry!$A2,0),"")</f>
        <v>0</v>
      </c>
      <c r="AC4" s="138">
        <f>IFERROR(VLOOKUP(AC$3,Data_Entry!$C:$AB,Data_Entry!$A2,0),"")</f>
        <v>0</v>
      </c>
      <c r="AD4" s="138">
        <f>IFERROR(VLOOKUP(AD$3,Data_Entry!$C:$AB,Data_Entry!$A2,0),"")</f>
        <v>0</v>
      </c>
      <c r="AE4" s="138">
        <f>IFERROR(VLOOKUP(AE$3,Data_Entry!$C:$AB,Data_Entry!$A2,0),"")</f>
        <v>0</v>
      </c>
      <c r="AF4" s="138">
        <f>IFERROR(VLOOKUP(AF$3,Data_Entry!$C:$AB,Data_Entry!$A2,0),"")</f>
        <v>0</v>
      </c>
      <c r="AG4" s="138">
        <f>IFERROR(SUM(B4:AF4),"")</f>
        <v>1463.28</v>
      </c>
    </row>
    <row r="5" ht="14.25" customHeight="1" spans="1:33">
      <c r="A5" s="137" t="s">
        <v>36</v>
      </c>
      <c r="B5" s="138">
        <f>IFERROR(VLOOKUP(B$3,Data_Entry!$C:$AB,Data_Entry!$A3,0),"")</f>
        <v>1456.63</v>
      </c>
      <c r="C5" s="138">
        <f>IFERROR(VLOOKUP(C$3,Data_Entry!$C:$AB,Data_Entry!$A3,0),"")</f>
        <v>0</v>
      </c>
      <c r="D5" s="138">
        <f>IFERROR(VLOOKUP(D$3,Data_Entry!$C:$AB,Data_Entry!$A3,0),"")</f>
        <v>0</v>
      </c>
      <c r="E5" s="138">
        <f>IFERROR(VLOOKUP(E$3,Data_Entry!$C:$AB,Data_Entry!$A3,0),"")</f>
        <v>0</v>
      </c>
      <c r="F5" s="138">
        <f>IFERROR(VLOOKUP(F$3,Data_Entry!$C:$AB,Data_Entry!$A3,0),"")</f>
        <v>0</v>
      </c>
      <c r="G5" s="138">
        <f>IFERROR(VLOOKUP(G$3,Data_Entry!$C:$AB,Data_Entry!$A3,0),"")</f>
        <v>0</v>
      </c>
      <c r="H5" s="138">
        <f>IFERROR(VLOOKUP(H$3,Data_Entry!$C:$AB,Data_Entry!$A3,0),"")</f>
        <v>0</v>
      </c>
      <c r="I5" s="138">
        <f>IFERROR(VLOOKUP(I$3,Data_Entry!$C:$AB,Data_Entry!$A3,0),"")</f>
        <v>0</v>
      </c>
      <c r="J5" s="138">
        <f>IFERROR(VLOOKUP(J$3,Data_Entry!$C:$AB,Data_Entry!$A3,0),"")</f>
        <v>0</v>
      </c>
      <c r="K5" s="138">
        <f>IFERROR(VLOOKUP(K$3,Data_Entry!$C:$AB,Data_Entry!$A3,0),"")</f>
        <v>0</v>
      </c>
      <c r="L5" s="138">
        <f>IFERROR(VLOOKUP(L$3,Data_Entry!$C:$AB,Data_Entry!$A3,0),"")</f>
        <v>0</v>
      </c>
      <c r="M5" s="138">
        <f>IFERROR(VLOOKUP(M$3,Data_Entry!$C:$AB,Data_Entry!$A3,0),"")</f>
        <v>0</v>
      </c>
      <c r="N5" s="138">
        <f>IFERROR(VLOOKUP(N$3,Data_Entry!$C:$AB,Data_Entry!$A3,0),"")</f>
        <v>0</v>
      </c>
      <c r="O5" s="138">
        <f>IFERROR(VLOOKUP(O$3,Data_Entry!$C:$AB,Data_Entry!$A3,0),"")</f>
        <v>0</v>
      </c>
      <c r="P5" s="138">
        <f>IFERROR(VLOOKUP(P$3,Data_Entry!$C:$AB,Data_Entry!$A3,0),"")</f>
        <v>0</v>
      </c>
      <c r="Q5" s="138">
        <f>IFERROR(VLOOKUP(Q$3,Data_Entry!$C:$AB,Data_Entry!$A3,0),"")</f>
        <v>0</v>
      </c>
      <c r="R5" s="138">
        <f>IFERROR(VLOOKUP(R$3,Data_Entry!$C:$AB,Data_Entry!$A3,0),"")</f>
        <v>0</v>
      </c>
      <c r="S5" s="138">
        <f>IFERROR(VLOOKUP(S$3,Data_Entry!$C:$AB,Data_Entry!$A3,0),"")</f>
        <v>0</v>
      </c>
      <c r="T5" s="138">
        <f>IFERROR(VLOOKUP(T$3,Data_Entry!$C:$AB,Data_Entry!$A3,0),"")</f>
        <v>0</v>
      </c>
      <c r="U5" s="138">
        <f>IFERROR(VLOOKUP(U$3,Data_Entry!$C:$AB,Data_Entry!$A3,0),"")</f>
        <v>0</v>
      </c>
      <c r="V5" s="138">
        <f>IFERROR(VLOOKUP(V$3,Data_Entry!$C:$AB,Data_Entry!$A3,0),"")</f>
        <v>0</v>
      </c>
      <c r="W5" s="138">
        <f>IFERROR(VLOOKUP(W$3,Data_Entry!$C:$AB,Data_Entry!$A3,0),"")</f>
        <v>0</v>
      </c>
      <c r="X5" s="138">
        <f>IFERROR(VLOOKUP(X$3,Data_Entry!$C:$AB,Data_Entry!$A3,0),"")</f>
        <v>0</v>
      </c>
      <c r="Y5" s="138">
        <f>IFERROR(VLOOKUP(Y$3,Data_Entry!$C:$AB,Data_Entry!$A3,0),"")</f>
        <v>0</v>
      </c>
      <c r="Z5" s="138">
        <f>IFERROR(VLOOKUP(Z$3,Data_Entry!$C:$AB,Data_Entry!$A3,0),"")</f>
        <v>0</v>
      </c>
      <c r="AA5" s="138">
        <f>IFERROR(VLOOKUP(AA$3,Data_Entry!$C:$AB,Data_Entry!$A3,0),"")</f>
        <v>0</v>
      </c>
      <c r="AB5" s="138">
        <f>IFERROR(VLOOKUP(AB$3,Data_Entry!$C:$AB,Data_Entry!$A3,0),"")</f>
        <v>0</v>
      </c>
      <c r="AC5" s="138">
        <f>IFERROR(VLOOKUP(AC$3,Data_Entry!$C:$AB,Data_Entry!$A3,0),"")</f>
        <v>0</v>
      </c>
      <c r="AD5" s="138">
        <f>IFERROR(VLOOKUP(AD$3,Data_Entry!$C:$AB,Data_Entry!$A3,0),"")</f>
        <v>0</v>
      </c>
      <c r="AE5" s="138">
        <f>IFERROR(VLOOKUP(AE$3,Data_Entry!$C:$AB,Data_Entry!$A3,0),"")</f>
        <v>0</v>
      </c>
      <c r="AF5" s="138">
        <f>IFERROR(VLOOKUP(AF$3,Data_Entry!$C:$AB,Data_Entry!$A3,0),"")</f>
        <v>0</v>
      </c>
      <c r="AG5" s="138">
        <f t="shared" ref="AG5:AG10" si="1">IFERROR(SUM(B5:AF5),"")</f>
        <v>1456.63</v>
      </c>
    </row>
    <row r="6" ht="14.25" customHeight="1" spans="1:33">
      <c r="A6" s="137" t="s">
        <v>37</v>
      </c>
      <c r="B6" s="138">
        <f>IFERROR(VLOOKUP(B$3,Data_Entry!$C:$AB,Data_Entry!$A4,0),"")</f>
        <v>1461.19</v>
      </c>
      <c r="C6" s="138">
        <f>IFERROR(VLOOKUP(C$3,Data_Entry!$C:$AB,Data_Entry!$A4,0),"")</f>
        <v>0</v>
      </c>
      <c r="D6" s="138">
        <f>IFERROR(VLOOKUP(D$3,Data_Entry!$C:$AB,Data_Entry!$A4,0),"")</f>
        <v>0</v>
      </c>
      <c r="E6" s="138">
        <f>IFERROR(VLOOKUP(E$3,Data_Entry!$C:$AB,Data_Entry!$A4,0),"")</f>
        <v>0</v>
      </c>
      <c r="F6" s="138">
        <f>IFERROR(VLOOKUP(F$3,Data_Entry!$C:$AB,Data_Entry!$A4,0),"")</f>
        <v>0</v>
      </c>
      <c r="G6" s="138">
        <f>IFERROR(VLOOKUP(G$3,Data_Entry!$C:$AB,Data_Entry!$A4,0),"")</f>
        <v>0</v>
      </c>
      <c r="H6" s="138">
        <f>IFERROR(VLOOKUP(H$3,Data_Entry!$C:$AB,Data_Entry!$A4,0),"")</f>
        <v>0</v>
      </c>
      <c r="I6" s="138">
        <f>IFERROR(VLOOKUP(I$3,Data_Entry!$C:$AB,Data_Entry!$A4,0),"")</f>
        <v>0</v>
      </c>
      <c r="J6" s="138">
        <f>IFERROR(VLOOKUP(J$3,Data_Entry!$C:$AB,Data_Entry!$A4,0),"")</f>
        <v>0</v>
      </c>
      <c r="K6" s="138">
        <f>IFERROR(VLOOKUP(K$3,Data_Entry!$C:$AB,Data_Entry!$A4,0),"")</f>
        <v>0</v>
      </c>
      <c r="L6" s="138">
        <f>IFERROR(VLOOKUP(L$3,Data_Entry!$C:$AB,Data_Entry!$A4,0),"")</f>
        <v>0</v>
      </c>
      <c r="M6" s="138">
        <f>IFERROR(VLOOKUP(M$3,Data_Entry!$C:$AB,Data_Entry!$A4,0),"")</f>
        <v>0</v>
      </c>
      <c r="N6" s="138">
        <f>IFERROR(VLOOKUP(N$3,Data_Entry!$C:$AB,Data_Entry!$A4,0),"")</f>
        <v>0</v>
      </c>
      <c r="O6" s="138">
        <f>IFERROR(VLOOKUP(O$3,Data_Entry!$C:$AB,Data_Entry!$A4,0),"")</f>
        <v>0</v>
      </c>
      <c r="P6" s="138">
        <f>IFERROR(VLOOKUP(P$3,Data_Entry!$C:$AB,Data_Entry!$A4,0),"")</f>
        <v>0</v>
      </c>
      <c r="Q6" s="138">
        <f>IFERROR(VLOOKUP(Q$3,Data_Entry!$C:$AB,Data_Entry!$A4,0),"")</f>
        <v>0</v>
      </c>
      <c r="R6" s="138">
        <f>IFERROR(VLOOKUP(R$3,Data_Entry!$C:$AB,Data_Entry!$A4,0),"")</f>
        <v>0</v>
      </c>
      <c r="S6" s="138">
        <f>IFERROR(VLOOKUP(S$3,Data_Entry!$C:$AB,Data_Entry!$A4,0),"")</f>
        <v>0</v>
      </c>
      <c r="T6" s="138">
        <f>IFERROR(VLOOKUP(T$3,Data_Entry!$C:$AB,Data_Entry!$A4,0),"")</f>
        <v>0</v>
      </c>
      <c r="U6" s="138">
        <f>IFERROR(VLOOKUP(U$3,Data_Entry!$C:$AB,Data_Entry!$A4,0),"")</f>
        <v>0</v>
      </c>
      <c r="V6" s="138">
        <f>IFERROR(VLOOKUP(V$3,Data_Entry!$C:$AB,Data_Entry!$A4,0),"")</f>
        <v>0</v>
      </c>
      <c r="W6" s="138">
        <f>IFERROR(VLOOKUP(W$3,Data_Entry!$C:$AB,Data_Entry!$A4,0),"")</f>
        <v>0</v>
      </c>
      <c r="X6" s="138">
        <f>IFERROR(VLOOKUP(X$3,Data_Entry!$C:$AB,Data_Entry!$A4,0),"")</f>
        <v>0</v>
      </c>
      <c r="Y6" s="138">
        <f>IFERROR(VLOOKUP(Y$3,Data_Entry!$C:$AB,Data_Entry!$A4,0),"")</f>
        <v>0</v>
      </c>
      <c r="Z6" s="138">
        <f>IFERROR(VLOOKUP(Z$3,Data_Entry!$C:$AB,Data_Entry!$A4,0),"")</f>
        <v>0</v>
      </c>
      <c r="AA6" s="138">
        <f>IFERROR(VLOOKUP(AA$3,Data_Entry!$C:$AB,Data_Entry!$A4,0),"")</f>
        <v>0</v>
      </c>
      <c r="AB6" s="138">
        <f>IFERROR(VLOOKUP(AB$3,Data_Entry!$C:$AB,Data_Entry!$A4,0),"")</f>
        <v>0</v>
      </c>
      <c r="AC6" s="138">
        <f>IFERROR(VLOOKUP(AC$3,Data_Entry!$C:$AB,Data_Entry!$A4,0),"")</f>
        <v>0</v>
      </c>
      <c r="AD6" s="138">
        <f>IFERROR(VLOOKUP(AD$3,Data_Entry!$C:$AB,Data_Entry!$A4,0),"")</f>
        <v>0</v>
      </c>
      <c r="AE6" s="138">
        <f>IFERROR(VLOOKUP(AE$3,Data_Entry!$C:$AB,Data_Entry!$A4,0),"")</f>
        <v>0</v>
      </c>
      <c r="AF6" s="138">
        <f>IFERROR(VLOOKUP(AF$3,Data_Entry!$C:$AB,Data_Entry!$A4,0),"")</f>
        <v>0</v>
      </c>
      <c r="AG6" s="138">
        <f t="shared" si="1"/>
        <v>1461.19</v>
      </c>
    </row>
    <row r="7" ht="14.25" customHeight="1" spans="1:33">
      <c r="A7" s="137" t="s">
        <v>38</v>
      </c>
      <c r="B7" s="138">
        <f>IFERROR(VLOOKUP(B$3,Data_Entry!$C:$AB,Data_Entry!$A5,0),"")</f>
        <v>1520.01</v>
      </c>
      <c r="C7" s="138">
        <f>IFERROR(VLOOKUP(C$3,Data_Entry!$C:$AB,Data_Entry!$A5,0),"")</f>
        <v>0</v>
      </c>
      <c r="D7" s="138">
        <f>IFERROR(VLOOKUP(D$3,Data_Entry!$C:$AB,Data_Entry!$A5,0),"")</f>
        <v>0</v>
      </c>
      <c r="E7" s="138">
        <f>IFERROR(VLOOKUP(E$3,Data_Entry!$C:$AB,Data_Entry!$A5,0),"")</f>
        <v>0</v>
      </c>
      <c r="F7" s="138">
        <f>IFERROR(VLOOKUP(F$3,Data_Entry!$C:$AB,Data_Entry!$A5,0),"")</f>
        <v>0</v>
      </c>
      <c r="G7" s="138">
        <f>IFERROR(VLOOKUP(G$3,Data_Entry!$C:$AB,Data_Entry!$A5,0),"")</f>
        <v>0</v>
      </c>
      <c r="H7" s="138">
        <f>IFERROR(VLOOKUP(H$3,Data_Entry!$C:$AB,Data_Entry!$A5,0),"")</f>
        <v>0</v>
      </c>
      <c r="I7" s="138">
        <f>IFERROR(VLOOKUP(I$3,Data_Entry!$C:$AB,Data_Entry!$A5,0),"")</f>
        <v>0</v>
      </c>
      <c r="J7" s="138">
        <f>IFERROR(VLOOKUP(J$3,Data_Entry!$C:$AB,Data_Entry!$A5,0),"")</f>
        <v>0</v>
      </c>
      <c r="K7" s="138">
        <f>IFERROR(VLOOKUP(K$3,Data_Entry!$C:$AB,Data_Entry!$A5,0),"")</f>
        <v>0</v>
      </c>
      <c r="L7" s="138">
        <f>IFERROR(VLOOKUP(L$3,Data_Entry!$C:$AB,Data_Entry!$A5,0),"")</f>
        <v>0</v>
      </c>
      <c r="M7" s="138">
        <f>IFERROR(VLOOKUP(M$3,Data_Entry!$C:$AB,Data_Entry!$A5,0),"")</f>
        <v>0</v>
      </c>
      <c r="N7" s="138">
        <f>IFERROR(VLOOKUP(N$3,Data_Entry!$C:$AB,Data_Entry!$A5,0),"")</f>
        <v>0</v>
      </c>
      <c r="O7" s="138">
        <f>IFERROR(VLOOKUP(O$3,Data_Entry!$C:$AB,Data_Entry!$A5,0),"")</f>
        <v>0</v>
      </c>
      <c r="P7" s="138">
        <f>IFERROR(VLOOKUP(P$3,Data_Entry!$C:$AB,Data_Entry!$A5,0),"")</f>
        <v>0</v>
      </c>
      <c r="Q7" s="138">
        <f>IFERROR(VLOOKUP(Q$3,Data_Entry!$C:$AB,Data_Entry!$A5,0),"")</f>
        <v>0</v>
      </c>
      <c r="R7" s="138">
        <f>IFERROR(VLOOKUP(R$3,Data_Entry!$C:$AB,Data_Entry!$A5,0),"")</f>
        <v>0</v>
      </c>
      <c r="S7" s="138">
        <f>IFERROR(VLOOKUP(S$3,Data_Entry!$C:$AB,Data_Entry!$A5,0),"")</f>
        <v>0</v>
      </c>
      <c r="T7" s="138">
        <f>IFERROR(VLOOKUP(T$3,Data_Entry!$C:$AB,Data_Entry!$A5,0),"")</f>
        <v>0</v>
      </c>
      <c r="U7" s="138">
        <f>IFERROR(VLOOKUP(U$3,Data_Entry!$C:$AB,Data_Entry!$A5,0),"")</f>
        <v>0</v>
      </c>
      <c r="V7" s="138">
        <f>IFERROR(VLOOKUP(V$3,Data_Entry!$C:$AB,Data_Entry!$A5,0),"")</f>
        <v>0</v>
      </c>
      <c r="W7" s="138">
        <f>IFERROR(VLOOKUP(W$3,Data_Entry!$C:$AB,Data_Entry!$A5,0),"")</f>
        <v>0</v>
      </c>
      <c r="X7" s="138">
        <f>IFERROR(VLOOKUP(X$3,Data_Entry!$C:$AB,Data_Entry!$A5,0),"")</f>
        <v>0</v>
      </c>
      <c r="Y7" s="138">
        <f>IFERROR(VLOOKUP(Y$3,Data_Entry!$C:$AB,Data_Entry!$A5,0),"")</f>
        <v>0</v>
      </c>
      <c r="Z7" s="138">
        <f>IFERROR(VLOOKUP(Z$3,Data_Entry!$C:$AB,Data_Entry!$A5,0),"")</f>
        <v>0</v>
      </c>
      <c r="AA7" s="138">
        <f>IFERROR(VLOOKUP(AA$3,Data_Entry!$C:$AB,Data_Entry!$A5,0),"")</f>
        <v>0</v>
      </c>
      <c r="AB7" s="138">
        <f>IFERROR(VLOOKUP(AB$3,Data_Entry!$C:$AB,Data_Entry!$A5,0),"")</f>
        <v>0</v>
      </c>
      <c r="AC7" s="138">
        <f>IFERROR(VLOOKUP(AC$3,Data_Entry!$C:$AB,Data_Entry!$A5,0),"")</f>
        <v>0</v>
      </c>
      <c r="AD7" s="138">
        <f>IFERROR(VLOOKUP(AD$3,Data_Entry!$C:$AB,Data_Entry!$A5,0),"")</f>
        <v>0</v>
      </c>
      <c r="AE7" s="138">
        <f>IFERROR(VLOOKUP(AE$3,Data_Entry!$C:$AB,Data_Entry!$A5,0),"")</f>
        <v>0</v>
      </c>
      <c r="AF7" s="138">
        <f>IFERROR(VLOOKUP(AF$3,Data_Entry!$C:$AB,Data_Entry!$A5,0),"")</f>
        <v>0</v>
      </c>
      <c r="AG7" s="138">
        <f t="shared" si="1"/>
        <v>1520.01</v>
      </c>
    </row>
    <row r="8" ht="14.25" customHeight="1" spans="1:33">
      <c r="A8" s="137" t="s">
        <v>39</v>
      </c>
      <c r="B8" s="138">
        <f>IFERROR(VLOOKUP(B$3,Data_Entry!$C:$AB,Data_Entry!$A6,0),"")</f>
        <v>1507.08</v>
      </c>
      <c r="C8" s="138">
        <f>IFERROR(VLOOKUP(C$3,Data_Entry!$C:$AB,Data_Entry!$A6,0),"")</f>
        <v>0</v>
      </c>
      <c r="D8" s="138">
        <f>IFERROR(VLOOKUP(D$3,Data_Entry!$C:$AB,Data_Entry!$A6,0),"")</f>
        <v>0</v>
      </c>
      <c r="E8" s="138">
        <f>IFERROR(VLOOKUP(E$3,Data_Entry!$C:$AB,Data_Entry!$A6,0),"")</f>
        <v>0</v>
      </c>
      <c r="F8" s="138">
        <f>IFERROR(VLOOKUP(F$3,Data_Entry!$C:$AB,Data_Entry!$A6,0),"")</f>
        <v>0</v>
      </c>
      <c r="G8" s="138">
        <f>IFERROR(VLOOKUP(G$3,Data_Entry!$C:$AB,Data_Entry!$A6,0),"")</f>
        <v>0</v>
      </c>
      <c r="H8" s="138">
        <f>IFERROR(VLOOKUP(H$3,Data_Entry!$C:$AB,Data_Entry!$A6,0),"")</f>
        <v>0</v>
      </c>
      <c r="I8" s="138">
        <f>IFERROR(VLOOKUP(I$3,Data_Entry!$C:$AB,Data_Entry!$A6,0),"")</f>
        <v>0</v>
      </c>
      <c r="J8" s="138">
        <f>IFERROR(VLOOKUP(J$3,Data_Entry!$C:$AB,Data_Entry!$A6,0),"")</f>
        <v>0</v>
      </c>
      <c r="K8" s="138">
        <f>IFERROR(VLOOKUP(K$3,Data_Entry!$C:$AB,Data_Entry!$A6,0),"")</f>
        <v>0</v>
      </c>
      <c r="L8" s="138">
        <f>IFERROR(VLOOKUP(L$3,Data_Entry!$C:$AB,Data_Entry!$A6,0),"")</f>
        <v>0</v>
      </c>
      <c r="M8" s="138">
        <f>IFERROR(VLOOKUP(M$3,Data_Entry!$C:$AB,Data_Entry!$A6,0),"")</f>
        <v>0</v>
      </c>
      <c r="N8" s="138">
        <f>IFERROR(VLOOKUP(N$3,Data_Entry!$C:$AB,Data_Entry!$A6,0),"")</f>
        <v>0</v>
      </c>
      <c r="O8" s="138">
        <f>IFERROR(VLOOKUP(O$3,Data_Entry!$C:$AB,Data_Entry!$A6,0),"")</f>
        <v>0</v>
      </c>
      <c r="P8" s="138">
        <f>IFERROR(VLOOKUP(P$3,Data_Entry!$C:$AB,Data_Entry!$A6,0),"")</f>
        <v>0</v>
      </c>
      <c r="Q8" s="138">
        <f>IFERROR(VLOOKUP(Q$3,Data_Entry!$C:$AB,Data_Entry!$A6,0),"")</f>
        <v>0</v>
      </c>
      <c r="R8" s="138">
        <f>IFERROR(VLOOKUP(R$3,Data_Entry!$C:$AB,Data_Entry!$A6,0),"")</f>
        <v>0</v>
      </c>
      <c r="S8" s="138">
        <f>IFERROR(VLOOKUP(S$3,Data_Entry!$C:$AB,Data_Entry!$A6,0),"")</f>
        <v>0</v>
      </c>
      <c r="T8" s="138">
        <f>IFERROR(VLOOKUP(T$3,Data_Entry!$C:$AB,Data_Entry!$A6,0),"")</f>
        <v>0</v>
      </c>
      <c r="U8" s="138">
        <f>IFERROR(VLOOKUP(U$3,Data_Entry!$C:$AB,Data_Entry!$A6,0),"")</f>
        <v>0</v>
      </c>
      <c r="V8" s="138">
        <f>IFERROR(VLOOKUP(V$3,Data_Entry!$C:$AB,Data_Entry!$A6,0),"")</f>
        <v>0</v>
      </c>
      <c r="W8" s="138">
        <f>IFERROR(VLOOKUP(W$3,Data_Entry!$C:$AB,Data_Entry!$A6,0),"")</f>
        <v>0</v>
      </c>
      <c r="X8" s="138">
        <f>IFERROR(VLOOKUP(X$3,Data_Entry!$C:$AB,Data_Entry!$A6,0),"")</f>
        <v>0</v>
      </c>
      <c r="Y8" s="138">
        <f>IFERROR(VLOOKUP(Y$3,Data_Entry!$C:$AB,Data_Entry!$A6,0),"")</f>
        <v>0</v>
      </c>
      <c r="Z8" s="138">
        <f>IFERROR(VLOOKUP(Z$3,Data_Entry!$C:$AB,Data_Entry!$A6,0),"")</f>
        <v>0</v>
      </c>
      <c r="AA8" s="138">
        <f>IFERROR(VLOOKUP(AA$3,Data_Entry!$C:$AB,Data_Entry!$A6,0),"")</f>
        <v>0</v>
      </c>
      <c r="AB8" s="138">
        <f>IFERROR(VLOOKUP(AB$3,Data_Entry!$C:$AB,Data_Entry!$A6,0),"")</f>
        <v>0</v>
      </c>
      <c r="AC8" s="138">
        <f>IFERROR(VLOOKUP(AC$3,Data_Entry!$C:$AB,Data_Entry!$A6,0),"")</f>
        <v>0</v>
      </c>
      <c r="AD8" s="138">
        <f>IFERROR(VLOOKUP(AD$3,Data_Entry!$C:$AB,Data_Entry!$A6,0),"")</f>
        <v>0</v>
      </c>
      <c r="AE8" s="138">
        <f>IFERROR(VLOOKUP(AE$3,Data_Entry!$C:$AB,Data_Entry!$A6,0),"")</f>
        <v>0</v>
      </c>
      <c r="AF8" s="138">
        <f>IFERROR(VLOOKUP(AF$3,Data_Entry!$C:$AB,Data_Entry!$A6,0),"")</f>
        <v>0</v>
      </c>
      <c r="AG8" s="138">
        <f t="shared" si="1"/>
        <v>1507.08</v>
      </c>
    </row>
    <row r="9" ht="14.25" customHeight="1" spans="1:33">
      <c r="A9" s="137" t="s">
        <v>40</v>
      </c>
      <c r="B9" s="138">
        <f>IFERROR(VLOOKUP(B$3,Data_Entry!$C:$AB,Data_Entry!$A7,0),"")</f>
        <v>1500.1</v>
      </c>
      <c r="C9" s="138">
        <f>IFERROR(VLOOKUP(C$3,Data_Entry!$C:$AB,Data_Entry!$A7,0),"")</f>
        <v>0</v>
      </c>
      <c r="D9" s="138">
        <f>IFERROR(VLOOKUP(D$3,Data_Entry!$C:$AB,Data_Entry!$A7,0),"")</f>
        <v>0</v>
      </c>
      <c r="E9" s="138">
        <f>IFERROR(VLOOKUP(E$3,Data_Entry!$C:$AB,Data_Entry!$A7,0),"")</f>
        <v>0</v>
      </c>
      <c r="F9" s="138">
        <f>IFERROR(VLOOKUP(F$3,Data_Entry!$C:$AB,Data_Entry!$A7,0),"")</f>
        <v>0</v>
      </c>
      <c r="G9" s="138">
        <f>IFERROR(VLOOKUP(G$3,Data_Entry!$C:$AB,Data_Entry!$A7,0),"")</f>
        <v>0</v>
      </c>
      <c r="H9" s="138">
        <f>IFERROR(VLOOKUP(H$3,Data_Entry!$C:$AB,Data_Entry!$A7,0),"")</f>
        <v>0</v>
      </c>
      <c r="I9" s="138">
        <f>IFERROR(VLOOKUP(I$3,Data_Entry!$C:$AB,Data_Entry!$A7,0),"")</f>
        <v>0</v>
      </c>
      <c r="J9" s="138">
        <f>IFERROR(VLOOKUP(J$3,Data_Entry!$C:$AB,Data_Entry!$A7,0),"")</f>
        <v>0</v>
      </c>
      <c r="K9" s="138">
        <f>IFERROR(VLOOKUP(K$3,Data_Entry!$C:$AB,Data_Entry!$A7,0),"")</f>
        <v>0</v>
      </c>
      <c r="L9" s="138">
        <f>IFERROR(VLOOKUP(L$3,Data_Entry!$C:$AB,Data_Entry!$A7,0),"")</f>
        <v>0</v>
      </c>
      <c r="M9" s="138">
        <f>IFERROR(VLOOKUP(M$3,Data_Entry!$C:$AB,Data_Entry!$A7,0),"")</f>
        <v>0</v>
      </c>
      <c r="N9" s="138">
        <f>IFERROR(VLOOKUP(N$3,Data_Entry!$C:$AB,Data_Entry!$A7,0),"")</f>
        <v>0</v>
      </c>
      <c r="O9" s="138">
        <f>IFERROR(VLOOKUP(O$3,Data_Entry!$C:$AB,Data_Entry!$A7,0),"")</f>
        <v>0</v>
      </c>
      <c r="P9" s="138">
        <f>IFERROR(VLOOKUP(P$3,Data_Entry!$C:$AB,Data_Entry!$A7,0),"")</f>
        <v>0</v>
      </c>
      <c r="Q9" s="138">
        <f>IFERROR(VLOOKUP(Q$3,Data_Entry!$C:$AB,Data_Entry!$A7,0),"")</f>
        <v>0</v>
      </c>
      <c r="R9" s="138">
        <f>IFERROR(VLOOKUP(R$3,Data_Entry!$C:$AB,Data_Entry!$A7,0),"")</f>
        <v>0</v>
      </c>
      <c r="S9" s="138">
        <f>IFERROR(VLOOKUP(S$3,Data_Entry!$C:$AB,Data_Entry!$A7,0),"")</f>
        <v>0</v>
      </c>
      <c r="T9" s="138">
        <f>IFERROR(VLOOKUP(T$3,Data_Entry!$C:$AB,Data_Entry!$A7,0),"")</f>
        <v>0</v>
      </c>
      <c r="U9" s="138">
        <f>IFERROR(VLOOKUP(U$3,Data_Entry!$C:$AB,Data_Entry!$A7,0),"")</f>
        <v>0</v>
      </c>
      <c r="V9" s="138">
        <f>IFERROR(VLOOKUP(V$3,Data_Entry!$C:$AB,Data_Entry!$A7,0),"")</f>
        <v>0</v>
      </c>
      <c r="W9" s="138">
        <f>IFERROR(VLOOKUP(W$3,Data_Entry!$C:$AB,Data_Entry!$A7,0),"")</f>
        <v>0</v>
      </c>
      <c r="X9" s="138">
        <f>IFERROR(VLOOKUP(X$3,Data_Entry!$C:$AB,Data_Entry!$A7,0),"")</f>
        <v>0</v>
      </c>
      <c r="Y9" s="138">
        <f>IFERROR(VLOOKUP(Y$3,Data_Entry!$C:$AB,Data_Entry!$A7,0),"")</f>
        <v>0</v>
      </c>
      <c r="Z9" s="138">
        <f>IFERROR(VLOOKUP(Z$3,Data_Entry!$C:$AB,Data_Entry!$A7,0),"")</f>
        <v>0</v>
      </c>
      <c r="AA9" s="138">
        <f>IFERROR(VLOOKUP(AA$3,Data_Entry!$C:$AB,Data_Entry!$A7,0),"")</f>
        <v>0</v>
      </c>
      <c r="AB9" s="138">
        <f>IFERROR(VLOOKUP(AB$3,Data_Entry!$C:$AB,Data_Entry!$A7,0),"")</f>
        <v>0</v>
      </c>
      <c r="AC9" s="138">
        <f>IFERROR(VLOOKUP(AC$3,Data_Entry!$C:$AB,Data_Entry!$A7,0),"")</f>
        <v>0</v>
      </c>
      <c r="AD9" s="138">
        <f>IFERROR(VLOOKUP(AD$3,Data_Entry!$C:$AB,Data_Entry!$A7,0),"")</f>
        <v>0</v>
      </c>
      <c r="AE9" s="138">
        <f>IFERROR(VLOOKUP(AE$3,Data_Entry!$C:$AB,Data_Entry!$A7,0),"")</f>
        <v>0</v>
      </c>
      <c r="AF9" s="138">
        <f>IFERROR(VLOOKUP(AF$3,Data_Entry!$C:$AB,Data_Entry!$A7,0),"")</f>
        <v>0</v>
      </c>
      <c r="AG9" s="138">
        <f t="shared" si="1"/>
        <v>1500.1</v>
      </c>
    </row>
    <row r="10" ht="14.25" customHeight="1" spans="1:33">
      <c r="A10" s="137" t="s">
        <v>41</v>
      </c>
      <c r="B10" s="138">
        <f>IFERROR(VLOOKUP(B$3,Data_Entry!$C:$AB,Data_Entry!$A8,0),"")</f>
        <v>1455.77</v>
      </c>
      <c r="C10" s="138">
        <f>IFERROR(VLOOKUP(C$3,Data_Entry!$C:$AB,Data_Entry!$A8,0),"")</f>
        <v>0</v>
      </c>
      <c r="D10" s="138">
        <f>IFERROR(VLOOKUP(D$3,Data_Entry!$C:$AB,Data_Entry!$A8,0),"")</f>
        <v>0</v>
      </c>
      <c r="E10" s="138">
        <f>IFERROR(VLOOKUP(E$3,Data_Entry!$C:$AB,Data_Entry!$A8,0),"")</f>
        <v>0</v>
      </c>
      <c r="F10" s="138">
        <f>IFERROR(VLOOKUP(F$3,Data_Entry!$C:$AB,Data_Entry!$A8,0),"")</f>
        <v>0</v>
      </c>
      <c r="G10" s="138">
        <f>IFERROR(VLOOKUP(G$3,Data_Entry!$C:$AB,Data_Entry!$A8,0),"")</f>
        <v>0</v>
      </c>
      <c r="H10" s="138">
        <f>IFERROR(VLOOKUP(H$3,Data_Entry!$C:$AB,Data_Entry!$A8,0),"")</f>
        <v>0</v>
      </c>
      <c r="I10" s="138">
        <f>IFERROR(VLOOKUP(I$3,Data_Entry!$C:$AB,Data_Entry!$A8,0),"")</f>
        <v>0</v>
      </c>
      <c r="J10" s="138">
        <f>IFERROR(VLOOKUP(J$3,Data_Entry!$C:$AB,Data_Entry!$A8,0),"")</f>
        <v>0</v>
      </c>
      <c r="K10" s="138">
        <f>IFERROR(VLOOKUP(K$3,Data_Entry!$C:$AB,Data_Entry!$A8,0),"")</f>
        <v>0</v>
      </c>
      <c r="L10" s="138">
        <f>IFERROR(VLOOKUP(L$3,Data_Entry!$C:$AB,Data_Entry!$A8,0),"")</f>
        <v>0</v>
      </c>
      <c r="M10" s="138">
        <f>IFERROR(VLOOKUP(M$3,Data_Entry!$C:$AB,Data_Entry!$A8,0),"")</f>
        <v>0</v>
      </c>
      <c r="N10" s="138">
        <f>IFERROR(VLOOKUP(N$3,Data_Entry!$C:$AB,Data_Entry!$A8,0),"")</f>
        <v>0</v>
      </c>
      <c r="O10" s="138">
        <f>IFERROR(VLOOKUP(O$3,Data_Entry!$C:$AB,Data_Entry!$A8,0),"")</f>
        <v>0</v>
      </c>
      <c r="P10" s="138">
        <f>IFERROR(VLOOKUP(P$3,Data_Entry!$C:$AB,Data_Entry!$A8,0),"")</f>
        <v>0</v>
      </c>
      <c r="Q10" s="138">
        <f>IFERROR(VLOOKUP(Q$3,Data_Entry!$C:$AB,Data_Entry!$A8,0),"")</f>
        <v>0</v>
      </c>
      <c r="R10" s="138">
        <f>IFERROR(VLOOKUP(R$3,Data_Entry!$C:$AB,Data_Entry!$A8,0),"")</f>
        <v>0</v>
      </c>
      <c r="S10" s="138">
        <f>IFERROR(VLOOKUP(S$3,Data_Entry!$C:$AB,Data_Entry!$A8,0),"")</f>
        <v>0</v>
      </c>
      <c r="T10" s="138">
        <f>IFERROR(VLOOKUP(T$3,Data_Entry!$C:$AB,Data_Entry!$A8,0),"")</f>
        <v>0</v>
      </c>
      <c r="U10" s="138">
        <f>IFERROR(VLOOKUP(U$3,Data_Entry!$C:$AB,Data_Entry!$A8,0),"")</f>
        <v>0</v>
      </c>
      <c r="V10" s="138">
        <f>IFERROR(VLOOKUP(V$3,Data_Entry!$C:$AB,Data_Entry!$A8,0),"")</f>
        <v>0</v>
      </c>
      <c r="W10" s="138">
        <f>IFERROR(VLOOKUP(W$3,Data_Entry!$C:$AB,Data_Entry!$A8,0),"")</f>
        <v>0</v>
      </c>
      <c r="X10" s="138">
        <f>IFERROR(VLOOKUP(X$3,Data_Entry!$C:$AB,Data_Entry!$A8,0),"")</f>
        <v>0</v>
      </c>
      <c r="Y10" s="138">
        <f>IFERROR(VLOOKUP(Y$3,Data_Entry!$C:$AB,Data_Entry!$A8,0),"")</f>
        <v>0</v>
      </c>
      <c r="Z10" s="138">
        <f>IFERROR(VLOOKUP(Z$3,Data_Entry!$C:$AB,Data_Entry!$A8,0),"")</f>
        <v>0</v>
      </c>
      <c r="AA10" s="138">
        <f>IFERROR(VLOOKUP(AA$3,Data_Entry!$C:$AB,Data_Entry!$A8,0),"")</f>
        <v>0</v>
      </c>
      <c r="AB10" s="138">
        <f>IFERROR(VLOOKUP(AB$3,Data_Entry!$C:$AB,Data_Entry!$A8,0),"")</f>
        <v>0</v>
      </c>
      <c r="AC10" s="138">
        <f>IFERROR(VLOOKUP(AC$3,Data_Entry!$C:$AB,Data_Entry!$A8,0),"")</f>
        <v>0</v>
      </c>
      <c r="AD10" s="138">
        <f>IFERROR(VLOOKUP(AD$3,Data_Entry!$C:$AB,Data_Entry!$A8,0),"")</f>
        <v>0</v>
      </c>
      <c r="AE10" s="138">
        <f>IFERROR(VLOOKUP(AE$3,Data_Entry!$C:$AB,Data_Entry!$A8,0),"")</f>
        <v>0</v>
      </c>
      <c r="AF10" s="138">
        <f>IFERROR(VLOOKUP(AF$3,Data_Entry!$C:$AB,Data_Entry!$A8,0),"")</f>
        <v>0</v>
      </c>
      <c r="AG10" s="138">
        <f t="shared" si="1"/>
        <v>1455.77</v>
      </c>
    </row>
    <row r="11" ht="14.25" customHeight="1" spans="1:33">
      <c r="A11" s="139" t="s">
        <v>42</v>
      </c>
      <c r="B11" s="138">
        <f>SUM(B4:B10)</f>
        <v>10364.06</v>
      </c>
      <c r="C11" s="138">
        <f t="shared" ref="C11:AG11" si="2">SUM(C4:C10)</f>
        <v>0</v>
      </c>
      <c r="D11" s="138">
        <f t="shared" si="2"/>
        <v>0</v>
      </c>
      <c r="E11" s="138">
        <f t="shared" si="2"/>
        <v>0</v>
      </c>
      <c r="F11" s="138">
        <f t="shared" si="2"/>
        <v>0</v>
      </c>
      <c r="G11" s="138">
        <f t="shared" si="2"/>
        <v>0</v>
      </c>
      <c r="H11" s="138">
        <f t="shared" si="2"/>
        <v>0</v>
      </c>
      <c r="I11" s="138">
        <f t="shared" si="2"/>
        <v>0</v>
      </c>
      <c r="J11" s="138">
        <f t="shared" si="2"/>
        <v>0</v>
      </c>
      <c r="K11" s="138">
        <f t="shared" si="2"/>
        <v>0</v>
      </c>
      <c r="L11" s="138">
        <f t="shared" si="2"/>
        <v>0</v>
      </c>
      <c r="M11" s="138">
        <f t="shared" si="2"/>
        <v>0</v>
      </c>
      <c r="N11" s="138">
        <f t="shared" si="2"/>
        <v>0</v>
      </c>
      <c r="O11" s="138">
        <f t="shared" si="2"/>
        <v>0</v>
      </c>
      <c r="P11" s="138">
        <f t="shared" si="2"/>
        <v>0</v>
      </c>
      <c r="Q11" s="138">
        <f t="shared" si="2"/>
        <v>0</v>
      </c>
      <c r="R11" s="138">
        <f t="shared" si="2"/>
        <v>0</v>
      </c>
      <c r="S11" s="138">
        <f t="shared" si="2"/>
        <v>0</v>
      </c>
      <c r="T11" s="138">
        <f t="shared" si="2"/>
        <v>0</v>
      </c>
      <c r="U11" s="138">
        <f t="shared" si="2"/>
        <v>0</v>
      </c>
      <c r="V11" s="138">
        <f t="shared" si="2"/>
        <v>0</v>
      </c>
      <c r="W11" s="138">
        <f t="shared" si="2"/>
        <v>0</v>
      </c>
      <c r="X11" s="138">
        <f t="shared" si="2"/>
        <v>0</v>
      </c>
      <c r="Y11" s="138">
        <f t="shared" si="2"/>
        <v>0</v>
      </c>
      <c r="Z11" s="138">
        <f t="shared" si="2"/>
        <v>0</v>
      </c>
      <c r="AA11" s="138">
        <f t="shared" si="2"/>
        <v>0</v>
      </c>
      <c r="AB11" s="138">
        <f t="shared" si="2"/>
        <v>0</v>
      </c>
      <c r="AC11" s="138">
        <f t="shared" si="2"/>
        <v>0</v>
      </c>
      <c r="AD11" s="138">
        <f t="shared" si="2"/>
        <v>0</v>
      </c>
      <c r="AE11" s="138">
        <f t="shared" si="2"/>
        <v>0</v>
      </c>
      <c r="AF11" s="138">
        <f t="shared" si="2"/>
        <v>0</v>
      </c>
      <c r="AG11" s="138">
        <f t="shared" si="2"/>
        <v>10364.06</v>
      </c>
    </row>
    <row r="12" ht="14.25" customHeight="1" spans="1:33">
      <c r="A12" s="139" t="s">
        <v>43</v>
      </c>
      <c r="B12" s="138">
        <f>IFERROR(VLOOKUP(B$3,Data_Entry!$C:$AB,14,0)," ")</f>
        <v>10410.0000000001</v>
      </c>
      <c r="C12" s="138">
        <f>IFERROR(VLOOKUP(C$3,Data_Entry!$C:$AB,14,0)," ")</f>
        <v>0</v>
      </c>
      <c r="D12" s="138">
        <f>IFERROR(VLOOKUP(D$3,Data_Entry!$C:$AB,14,0)," ")</f>
        <v>0</v>
      </c>
      <c r="E12" s="138">
        <f>IFERROR(VLOOKUP(E$3,Data_Entry!$C:$AB,14,0)," ")</f>
        <v>0</v>
      </c>
      <c r="F12" s="138">
        <f>IFERROR(VLOOKUP(F$3,Data_Entry!$C:$AB,14,0)," ")</f>
        <v>0</v>
      </c>
      <c r="G12" s="138">
        <f>IFERROR(VLOOKUP(G$3,Data_Entry!$C:$AB,14,0)," ")</f>
        <v>0</v>
      </c>
      <c r="H12" s="138">
        <f>IFERROR(VLOOKUP(H$3,Data_Entry!$C:$AB,14,0)," ")</f>
        <v>0</v>
      </c>
      <c r="I12" s="138">
        <f>IFERROR(VLOOKUP(I$3,Data_Entry!$C:$AB,14,0)," ")</f>
        <v>0</v>
      </c>
      <c r="J12" s="138">
        <f>IFERROR(VLOOKUP(J$3,Data_Entry!$C:$AB,14,0)," ")</f>
        <v>0</v>
      </c>
      <c r="K12" s="138">
        <f>IFERROR(VLOOKUP(K$3,Data_Entry!$C:$AB,14,0)," ")</f>
        <v>0</v>
      </c>
      <c r="L12" s="138">
        <f>IFERROR(VLOOKUP(L$3,Data_Entry!$C:$AB,14,0)," ")</f>
        <v>0</v>
      </c>
      <c r="M12" s="138">
        <f>IFERROR(VLOOKUP(M$3,Data_Entry!$C:$AB,14,0)," ")</f>
        <v>0</v>
      </c>
      <c r="N12" s="138">
        <f>IFERROR(VLOOKUP(N$3,Data_Entry!$C:$AB,14,0)," ")</f>
        <v>0</v>
      </c>
      <c r="O12" s="138">
        <f>IFERROR(VLOOKUP(O$3,Data_Entry!$C:$AB,14,0)," ")</f>
        <v>0</v>
      </c>
      <c r="P12" s="138">
        <f>IFERROR(VLOOKUP(P$3,Data_Entry!$C:$AB,14,0)," ")</f>
        <v>0</v>
      </c>
      <c r="Q12" s="138">
        <f>IFERROR(VLOOKUP(Q$3,Data_Entry!$C:$AB,14,0)," ")</f>
        <v>0</v>
      </c>
      <c r="R12" s="138">
        <f>IFERROR(VLOOKUP(R$3,Data_Entry!$C:$AB,14,0)," ")</f>
        <v>0</v>
      </c>
      <c r="S12" s="138">
        <f>IFERROR(VLOOKUP(S$3,Data_Entry!$C:$AB,14,0)," ")</f>
        <v>0</v>
      </c>
      <c r="T12" s="138">
        <f>IFERROR(VLOOKUP(T$3,Data_Entry!$C:$AB,14,0)," ")</f>
        <v>0</v>
      </c>
      <c r="U12" s="138">
        <f>IFERROR(VLOOKUP(U$3,Data_Entry!$C:$AB,14,0)," ")</f>
        <v>0</v>
      </c>
      <c r="V12" s="138">
        <f>IFERROR(VLOOKUP(V$3,Data_Entry!$C:$AB,14,0)," ")</f>
        <v>0</v>
      </c>
      <c r="W12" s="138">
        <f>IFERROR(VLOOKUP(W$3,Data_Entry!$C:$AB,14,0)," ")</f>
        <v>0</v>
      </c>
      <c r="X12" s="138">
        <f>IFERROR(VLOOKUP(X$3,Data_Entry!$C:$AB,14,0)," ")</f>
        <v>0</v>
      </c>
      <c r="Y12" s="138">
        <f>IFERROR(VLOOKUP(Y$3,Data_Entry!$C:$AB,14,0)," ")</f>
        <v>0</v>
      </c>
      <c r="Z12" s="138">
        <f>IFERROR(VLOOKUP(Z$3,Data_Entry!$C:$AB,14,0)," ")</f>
        <v>0</v>
      </c>
      <c r="AA12" s="138">
        <f>IFERROR(VLOOKUP(AA$3,Data_Entry!$C:$AB,14,0)," ")</f>
        <v>0</v>
      </c>
      <c r="AB12" s="138">
        <f>IFERROR(VLOOKUP(AB$3,Data_Entry!$C:$AB,14,0)," ")</f>
        <v>0</v>
      </c>
      <c r="AC12" s="138">
        <f>IFERROR(VLOOKUP(AC$3,Data_Entry!$C:$AB,14,0)," ")</f>
        <v>0</v>
      </c>
      <c r="AD12" s="138">
        <f>IFERROR(VLOOKUP(AD$3,Data_Entry!$C:$AB,14,0)," ")</f>
        <v>0</v>
      </c>
      <c r="AE12" s="138">
        <f>IFERROR(VLOOKUP(AE$3,Data_Entry!$C:$AB,14,0)," ")</f>
        <v>0</v>
      </c>
      <c r="AF12" s="138">
        <f>IFERROR(VLOOKUP(AF$3,Data_Entry!$C:$AB,14,0)," ")</f>
        <v>0</v>
      </c>
      <c r="AG12" s="138" t="str">
        <f>IFERROR(VLOOKUP(AG$3,Data_Entry!$C:$AB,14,0)," ")</f>
        <v> </v>
      </c>
    </row>
    <row r="13" ht="14.25" customHeight="1" spans="1:33">
      <c r="A13" s="139" t="s">
        <v>44</v>
      </c>
      <c r="B13" s="138">
        <f>IFERROR(VLOOKUP(B$3,Data_Entry!$C:$AB,17,0)," ")</f>
        <v>59.9999999999987</v>
      </c>
      <c r="C13" s="138">
        <f>IFERROR(VLOOKUP(C$3,Data_Entry!$C:$AB,17,0)," ")</f>
        <v>0</v>
      </c>
      <c r="D13" s="138">
        <f>IFERROR(VLOOKUP(D$3,Data_Entry!$C:$AB,17,0)," ")</f>
        <v>0</v>
      </c>
      <c r="E13" s="138">
        <f>IFERROR(VLOOKUP(E$3,Data_Entry!$C:$AB,17,0)," ")</f>
        <v>0</v>
      </c>
      <c r="F13" s="138">
        <f>IFERROR(VLOOKUP(F$3,Data_Entry!$C:$AB,17,0)," ")</f>
        <v>0</v>
      </c>
      <c r="G13" s="138">
        <f>IFERROR(VLOOKUP(G$3,Data_Entry!$C:$AB,17,0)," ")</f>
        <v>0</v>
      </c>
      <c r="H13" s="138">
        <f>IFERROR(VLOOKUP(H$3,Data_Entry!$C:$AB,17,0)," ")</f>
        <v>0</v>
      </c>
      <c r="I13" s="138">
        <f>IFERROR(VLOOKUP(I$3,Data_Entry!$C:$AB,17,0)," ")</f>
        <v>0</v>
      </c>
      <c r="J13" s="138">
        <f>IFERROR(VLOOKUP(J$3,Data_Entry!$C:$AB,17,0)," ")</f>
        <v>0</v>
      </c>
      <c r="K13" s="138">
        <f>IFERROR(VLOOKUP(K$3,Data_Entry!$C:$AB,17,0)," ")</f>
        <v>0</v>
      </c>
      <c r="L13" s="138">
        <f>IFERROR(VLOOKUP(L$3,Data_Entry!$C:$AB,17,0)," ")</f>
        <v>0</v>
      </c>
      <c r="M13" s="138">
        <f>IFERROR(VLOOKUP(M$3,Data_Entry!$C:$AB,17,0)," ")</f>
        <v>0</v>
      </c>
      <c r="N13" s="138">
        <f>IFERROR(VLOOKUP(N$3,Data_Entry!$C:$AB,17,0)," ")</f>
        <v>0</v>
      </c>
      <c r="O13" s="138">
        <f>IFERROR(VLOOKUP(O$3,Data_Entry!$C:$AB,17,0)," ")</f>
        <v>0</v>
      </c>
      <c r="P13" s="138">
        <f>IFERROR(VLOOKUP(P$3,Data_Entry!$C:$AB,17,0)," ")</f>
        <v>0</v>
      </c>
      <c r="Q13" s="138">
        <f>IFERROR(VLOOKUP(Q$3,Data_Entry!$C:$AB,17,0)," ")</f>
        <v>0</v>
      </c>
      <c r="R13" s="138">
        <f>IFERROR(VLOOKUP(R$3,Data_Entry!$C:$AB,17,0)," ")</f>
        <v>0</v>
      </c>
      <c r="S13" s="138">
        <f>IFERROR(VLOOKUP(S$3,Data_Entry!$C:$AB,17,0)," ")</f>
        <v>0</v>
      </c>
      <c r="T13" s="138">
        <f>IFERROR(VLOOKUP(T$3,Data_Entry!$C:$AB,17,0)," ")</f>
        <v>0</v>
      </c>
      <c r="U13" s="138">
        <f>IFERROR(VLOOKUP(U$3,Data_Entry!$C:$AB,17,0)," ")</f>
        <v>0</v>
      </c>
      <c r="V13" s="138">
        <f>IFERROR(VLOOKUP(V$3,Data_Entry!$C:$AB,17,0)," ")</f>
        <v>0</v>
      </c>
      <c r="W13" s="138">
        <f>IFERROR(VLOOKUP(W$3,Data_Entry!$C:$AB,17,0)," ")</f>
        <v>0</v>
      </c>
      <c r="X13" s="138">
        <f>IFERROR(VLOOKUP(X$3,Data_Entry!$C:$AB,17,0)," ")</f>
        <v>0</v>
      </c>
      <c r="Y13" s="138">
        <f>IFERROR(VLOOKUP(Y$3,Data_Entry!$C:$AB,17,0)," ")</f>
        <v>0</v>
      </c>
      <c r="Z13" s="138">
        <f>IFERROR(VLOOKUP(Z$3,Data_Entry!$C:$AB,17,0)," ")</f>
        <v>0</v>
      </c>
      <c r="AA13" s="138">
        <f>IFERROR(VLOOKUP(AA$3,Data_Entry!$C:$AB,17,0)," ")</f>
        <v>0</v>
      </c>
      <c r="AB13" s="138">
        <f>IFERROR(VLOOKUP(AB$3,Data_Entry!$C:$AB,17,0)," ")</f>
        <v>0</v>
      </c>
      <c r="AC13" s="138">
        <f>IFERROR(VLOOKUP(AC$3,Data_Entry!$C:$AB,17,0)," ")</f>
        <v>0</v>
      </c>
      <c r="AD13" s="138">
        <f>IFERROR(VLOOKUP(AD$3,Data_Entry!$C:$AB,17,0)," ")</f>
        <v>0</v>
      </c>
      <c r="AE13" s="138">
        <f>IFERROR(VLOOKUP(AE$3,Data_Entry!$C:$AB,17,0)," ")</f>
        <v>0</v>
      </c>
      <c r="AF13" s="138">
        <f>IFERROR(VLOOKUP(AF$3,Data_Entry!$C:$AB,17,0)," ")</f>
        <v>0</v>
      </c>
      <c r="AG13" s="138" t="str">
        <f>IFERROR(VLOOKUP(AG$3,Data_Entry!$C:$AB,17,0)," ")</f>
        <v> </v>
      </c>
    </row>
    <row r="14" ht="14.25" customHeight="1" spans="1:33">
      <c r="A14" s="139" t="s">
        <v>45</v>
      </c>
      <c r="B14" s="138">
        <f>IFERROR(VLOOKUP(B$3,Data_Entry!$C:$AB,18,0)," ")</f>
        <v>10350.0000000001</v>
      </c>
      <c r="C14" s="138">
        <f>IFERROR(VLOOKUP(C$3,Data_Entry!$C:$AB,18,0)," ")</f>
        <v>0</v>
      </c>
      <c r="D14" s="138">
        <f>IFERROR(VLOOKUP(D$3,Data_Entry!$C:$AB,18,0)," ")</f>
        <v>0</v>
      </c>
      <c r="E14" s="138">
        <f>IFERROR(VLOOKUP(E$3,Data_Entry!$C:$AB,18,0)," ")</f>
        <v>0</v>
      </c>
      <c r="F14" s="138">
        <f>IFERROR(VLOOKUP(F$3,Data_Entry!$C:$AB,18,0)," ")</f>
        <v>0</v>
      </c>
      <c r="G14" s="138">
        <f>IFERROR(VLOOKUP(G$3,Data_Entry!$C:$AB,18,0)," ")</f>
        <v>0</v>
      </c>
      <c r="H14" s="138">
        <f>IFERROR(VLOOKUP(H$3,Data_Entry!$C:$AB,18,0)," ")</f>
        <v>0</v>
      </c>
      <c r="I14" s="138">
        <f>IFERROR(VLOOKUP(I$3,Data_Entry!$C:$AB,18,0)," ")</f>
        <v>0</v>
      </c>
      <c r="J14" s="138">
        <f>IFERROR(VLOOKUP(J$3,Data_Entry!$C:$AB,18,0)," ")</f>
        <v>0</v>
      </c>
      <c r="K14" s="138">
        <f>IFERROR(VLOOKUP(K$3,Data_Entry!$C:$AB,18,0)," ")</f>
        <v>0</v>
      </c>
      <c r="L14" s="138">
        <f>IFERROR(VLOOKUP(L$3,Data_Entry!$C:$AB,18,0)," ")</f>
        <v>0</v>
      </c>
      <c r="M14" s="138">
        <f>IFERROR(VLOOKUP(M$3,Data_Entry!$C:$AB,18,0)," ")</f>
        <v>0</v>
      </c>
      <c r="N14" s="138">
        <f>IFERROR(VLOOKUP(N$3,Data_Entry!$C:$AB,18,0)," ")</f>
        <v>0</v>
      </c>
      <c r="O14" s="138">
        <f>IFERROR(VLOOKUP(O$3,Data_Entry!$C:$AB,18,0)," ")</f>
        <v>0</v>
      </c>
      <c r="P14" s="138">
        <f>IFERROR(VLOOKUP(P$3,Data_Entry!$C:$AB,18,0)," ")</f>
        <v>0</v>
      </c>
      <c r="Q14" s="138">
        <f>IFERROR(VLOOKUP(Q$3,Data_Entry!$C:$AB,18,0)," ")</f>
        <v>0</v>
      </c>
      <c r="R14" s="138">
        <f>IFERROR(VLOOKUP(R$3,Data_Entry!$C:$AB,18,0)," ")</f>
        <v>0</v>
      </c>
      <c r="S14" s="138">
        <f>IFERROR(VLOOKUP(S$3,Data_Entry!$C:$AB,18,0)," ")</f>
        <v>0</v>
      </c>
      <c r="T14" s="138">
        <f>IFERROR(VLOOKUP(T$3,Data_Entry!$C:$AB,18,0)," ")</f>
        <v>0</v>
      </c>
      <c r="U14" s="138">
        <f>IFERROR(VLOOKUP(U$3,Data_Entry!$C:$AB,18,0)," ")</f>
        <v>0</v>
      </c>
      <c r="V14" s="138">
        <f>IFERROR(VLOOKUP(V$3,Data_Entry!$C:$AB,18,0)," ")</f>
        <v>0</v>
      </c>
      <c r="W14" s="138">
        <f>IFERROR(VLOOKUP(W$3,Data_Entry!$C:$AB,18,0)," ")</f>
        <v>0</v>
      </c>
      <c r="X14" s="138">
        <f>IFERROR(VLOOKUP(X$3,Data_Entry!$C:$AB,18,0)," ")</f>
        <v>0</v>
      </c>
      <c r="Y14" s="138">
        <f>IFERROR(VLOOKUP(Y$3,Data_Entry!$C:$AB,18,0)," ")</f>
        <v>0</v>
      </c>
      <c r="Z14" s="138">
        <f>IFERROR(VLOOKUP(Z$3,Data_Entry!$C:$AB,18,0)," ")</f>
        <v>0</v>
      </c>
      <c r="AA14" s="138">
        <f>IFERROR(VLOOKUP(AA$3,Data_Entry!$C:$AB,18,0)," ")</f>
        <v>0</v>
      </c>
      <c r="AB14" s="138">
        <f>IFERROR(VLOOKUP(AB$3,Data_Entry!$C:$AB,18,0)," ")</f>
        <v>0</v>
      </c>
      <c r="AC14" s="138">
        <f>IFERROR(VLOOKUP(AC$3,Data_Entry!$C:$AB,18,0)," ")</f>
        <v>0</v>
      </c>
      <c r="AD14" s="138">
        <f>IFERROR(VLOOKUP(AD$3,Data_Entry!$C:$AB,18,0)," ")</f>
        <v>0</v>
      </c>
      <c r="AE14" s="138">
        <f>IFERROR(VLOOKUP(AE$3,Data_Entry!$C:$AB,18,0)," ")</f>
        <v>0</v>
      </c>
      <c r="AF14" s="138">
        <f>IFERROR(VLOOKUP(AF$3,Data_Entry!$C:$AB,18,0)," ")</f>
        <v>0</v>
      </c>
      <c r="AG14" s="138" t="str">
        <f>IFERROR(VLOOKUP(AG$3,Data_Entry!$C:$AB,18,0)," ")</f>
        <v> </v>
      </c>
    </row>
    <row r="15" ht="14.25" customHeight="1" spans="1:33">
      <c r="A15" s="139" t="s">
        <v>46</v>
      </c>
      <c r="B15" s="140">
        <f>IFERROR(VLOOKUP(B$3,Data_Entry!$C:$AB,20,0)," ")</f>
        <v>3.66</v>
      </c>
      <c r="C15" s="140">
        <f>IFERROR(VLOOKUP(C$3,Data_Entry!$C:$AB,20,0)," ")</f>
        <v>0</v>
      </c>
      <c r="D15" s="140">
        <f>IFERROR(VLOOKUP(D$3,Data_Entry!$C:$AB,20,0)," ")</f>
        <v>0</v>
      </c>
      <c r="E15" s="140">
        <f>IFERROR(VLOOKUP(E$3,Data_Entry!$C:$AB,20,0)," ")</f>
        <v>0</v>
      </c>
      <c r="F15" s="140">
        <f>IFERROR(VLOOKUP(F$3,Data_Entry!$C:$AB,20,0)," ")</f>
        <v>0</v>
      </c>
      <c r="G15" s="140">
        <f>IFERROR(VLOOKUP(G$3,Data_Entry!$C:$AB,20,0)," ")</f>
        <v>0</v>
      </c>
      <c r="H15" s="140">
        <f>IFERROR(VLOOKUP(H$3,Data_Entry!$C:$AB,20,0)," ")</f>
        <v>0</v>
      </c>
      <c r="I15" s="140">
        <f>IFERROR(VLOOKUP(I$3,Data_Entry!$C:$AB,20,0)," ")</f>
        <v>0</v>
      </c>
      <c r="J15" s="140">
        <f>IFERROR(VLOOKUP(J$3,Data_Entry!$C:$AB,20,0)," ")</f>
        <v>0</v>
      </c>
      <c r="K15" s="140">
        <f>IFERROR(VLOOKUP(K$3,Data_Entry!$C:$AB,20,0)," ")</f>
        <v>0</v>
      </c>
      <c r="L15" s="140">
        <f>IFERROR(VLOOKUP(L$3,Data_Entry!$C:$AB,20,0)," ")</f>
        <v>0</v>
      </c>
      <c r="M15" s="140">
        <f>IFERROR(VLOOKUP(M$3,Data_Entry!$C:$AB,20,0)," ")</f>
        <v>0</v>
      </c>
      <c r="N15" s="140">
        <f>IFERROR(VLOOKUP(N$3,Data_Entry!$C:$AB,20,0)," ")</f>
        <v>0</v>
      </c>
      <c r="O15" s="140">
        <f>IFERROR(VLOOKUP(O$3,Data_Entry!$C:$AB,20,0)," ")</f>
        <v>0</v>
      </c>
      <c r="P15" s="140">
        <f>IFERROR(VLOOKUP(P$3,Data_Entry!$C:$AB,20,0)," ")</f>
        <v>0</v>
      </c>
      <c r="Q15" s="140">
        <f>IFERROR(VLOOKUP(Q$3,Data_Entry!$C:$AB,20,0)," ")</f>
        <v>0</v>
      </c>
      <c r="R15" s="140">
        <f>IFERROR(VLOOKUP(R$3,Data_Entry!$C:$AB,20,0)," ")</f>
        <v>0</v>
      </c>
      <c r="S15" s="140">
        <f>IFERROR(VLOOKUP(S$3,Data_Entry!$C:$AB,20,0)," ")</f>
        <v>0</v>
      </c>
      <c r="T15" s="140">
        <f>IFERROR(VLOOKUP(T$3,Data_Entry!$C:$AB,20,0)," ")</f>
        <v>0</v>
      </c>
      <c r="U15" s="140">
        <f>IFERROR(VLOOKUP(U$3,Data_Entry!$C:$AB,20,0)," ")</f>
        <v>0</v>
      </c>
      <c r="V15" s="140">
        <f>IFERROR(VLOOKUP(V$3,Data_Entry!$C:$AB,20,0)," ")</f>
        <v>0</v>
      </c>
      <c r="W15" s="140">
        <f>IFERROR(VLOOKUP(W$3,Data_Entry!$C:$AB,20,0)," ")</f>
        <v>0</v>
      </c>
      <c r="X15" s="140">
        <f>IFERROR(VLOOKUP(X$3,Data_Entry!$C:$AB,20,0)," ")</f>
        <v>0</v>
      </c>
      <c r="Y15" s="140">
        <f>IFERROR(VLOOKUP(Y$3,Data_Entry!$C:$AB,20,0)," ")</f>
        <v>0</v>
      </c>
      <c r="Z15" s="140">
        <f>IFERROR(VLOOKUP(Z$3,Data_Entry!$C:$AB,20,0)," ")</f>
        <v>0</v>
      </c>
      <c r="AA15" s="140">
        <f>IFERROR(VLOOKUP(AA$3,Data_Entry!$C:$AB,20,0)," ")</f>
        <v>0</v>
      </c>
      <c r="AB15" s="140">
        <f>IFERROR(VLOOKUP(AB$3,Data_Entry!$C:$AB,20,0)," ")</f>
        <v>0</v>
      </c>
      <c r="AC15" s="140">
        <f>IFERROR(VLOOKUP(AC$3,Data_Entry!$C:$AB,20,0)," ")</f>
        <v>0</v>
      </c>
      <c r="AD15" s="140">
        <f>IFERROR(VLOOKUP(AD$3,Data_Entry!$C:$AB,20,0)," ")</f>
        <v>0</v>
      </c>
      <c r="AE15" s="140">
        <f>IFERROR(VLOOKUP(AE$3,Data_Entry!$C:$AB,20,0)," ")</f>
        <v>0</v>
      </c>
      <c r="AF15" s="140">
        <f>IFERROR(VLOOKUP(AF$3,Data_Entry!$C:$AB,20,0)," ")</f>
        <v>0</v>
      </c>
    </row>
    <row r="16" ht="14.25" customHeight="1" spans="1:33">
      <c r="A16" s="139" t="s">
        <v>47</v>
      </c>
      <c r="B16" s="140">
        <f>IFERROR(VLOOKUP(B$3,Data_Entry!$C:$AB,19,0)," ")</f>
        <v>0</v>
      </c>
      <c r="C16" s="140">
        <f>IFERROR(VLOOKUP(C$3,Data_Entry!$C:$AB,19,0)," ")</f>
        <v>0</v>
      </c>
      <c r="D16" s="140">
        <f>IFERROR(VLOOKUP(D$3,Data_Entry!$C:$AB,19,0)," ")</f>
        <v>0</v>
      </c>
      <c r="E16" s="140">
        <f>IFERROR(VLOOKUP(E$3,Data_Entry!$C:$AB,19,0)," ")</f>
        <v>0</v>
      </c>
      <c r="F16" s="140">
        <f>IFERROR(VLOOKUP(F$3,Data_Entry!$C:$AB,19,0)," ")</f>
        <v>0</v>
      </c>
      <c r="G16" s="140">
        <f>IFERROR(VLOOKUP(G$3,Data_Entry!$C:$AB,19,0)," ")</f>
        <v>0</v>
      </c>
      <c r="H16" s="140">
        <f>IFERROR(VLOOKUP(H$3,Data_Entry!$C:$AB,19,0)," ")</f>
        <v>0</v>
      </c>
      <c r="I16" s="140">
        <f>IFERROR(VLOOKUP(I$3,Data_Entry!$C:$AB,19,0)," ")</f>
        <v>0</v>
      </c>
      <c r="J16" s="140">
        <f>IFERROR(VLOOKUP(J$3,Data_Entry!$C:$AB,19,0)," ")</f>
        <v>0</v>
      </c>
      <c r="K16" s="140">
        <f>IFERROR(VLOOKUP(K$3,Data_Entry!$C:$AB,19,0)," ")</f>
        <v>0</v>
      </c>
      <c r="L16" s="140">
        <f>IFERROR(VLOOKUP(L$3,Data_Entry!$C:$AB,19,0)," ")</f>
        <v>0</v>
      </c>
      <c r="M16" s="140">
        <f>IFERROR(VLOOKUP(M$3,Data_Entry!$C:$AB,19,0)," ")</f>
        <v>0</v>
      </c>
      <c r="N16" s="140">
        <f>IFERROR(VLOOKUP(N$3,Data_Entry!$C:$AB,19,0)," ")</f>
        <v>0</v>
      </c>
      <c r="O16" s="140">
        <f>IFERROR(VLOOKUP(O$3,Data_Entry!$C:$AB,19,0)," ")</f>
        <v>0</v>
      </c>
      <c r="P16" s="140">
        <f>IFERROR(VLOOKUP(P$3,Data_Entry!$C:$AB,19,0)," ")</f>
        <v>0</v>
      </c>
      <c r="Q16" s="140">
        <f>IFERROR(VLOOKUP(Q$3,Data_Entry!$C:$AB,19,0)," ")</f>
        <v>0</v>
      </c>
      <c r="R16" s="140">
        <f>IFERROR(VLOOKUP(R$3,Data_Entry!$C:$AB,19,0)," ")</f>
        <v>0</v>
      </c>
      <c r="S16" s="140">
        <f>IFERROR(VLOOKUP(S$3,Data_Entry!$C:$AB,19,0)," ")</f>
        <v>0</v>
      </c>
      <c r="T16" s="140">
        <f>IFERROR(VLOOKUP(T$3,Data_Entry!$C:$AB,19,0)," ")</f>
        <v>0</v>
      </c>
      <c r="U16" s="140">
        <f>IFERROR(VLOOKUP(U$3,Data_Entry!$C:$AB,19,0)," ")</f>
        <v>0</v>
      </c>
      <c r="V16" s="140">
        <f>IFERROR(VLOOKUP(V$3,Data_Entry!$C:$AB,19,0)," ")</f>
        <v>0</v>
      </c>
      <c r="W16" s="140">
        <f>IFERROR(VLOOKUP(W$3,Data_Entry!$C:$AB,19,0)," ")</f>
        <v>0</v>
      </c>
      <c r="X16" s="140">
        <f>IFERROR(VLOOKUP(X$3,Data_Entry!$C:$AB,19,0)," ")</f>
        <v>0</v>
      </c>
      <c r="Y16" s="140">
        <f>IFERROR(VLOOKUP(Y$3,Data_Entry!$C:$AB,19,0)," ")</f>
        <v>0</v>
      </c>
      <c r="Z16" s="140">
        <f>IFERROR(VLOOKUP(Z$3,Data_Entry!$C:$AB,19,0)," ")</f>
        <v>0</v>
      </c>
      <c r="AA16" s="140">
        <f>IFERROR(VLOOKUP(AA$3,Data_Entry!$C:$AB,19,0)," ")</f>
        <v>0</v>
      </c>
      <c r="AB16" s="140">
        <f>IFERROR(VLOOKUP(AB$3,Data_Entry!$C:$AB,19,0)," ")</f>
        <v>0</v>
      </c>
      <c r="AC16" s="140">
        <f>IFERROR(VLOOKUP(AC$3,Data_Entry!$C:$AB,19,0)," ")</f>
        <v>0</v>
      </c>
      <c r="AD16" s="140">
        <f>IFERROR(VLOOKUP(AD$3,Data_Entry!$C:$AB,19,0)," ")</f>
        <v>0</v>
      </c>
      <c r="AE16" s="140">
        <f>IFERROR(VLOOKUP(AE$3,Data_Entry!$C:$AB,19,0)," ")</f>
        <v>0</v>
      </c>
      <c r="AF16" s="140">
        <f>IFERROR(VLOOKUP(AF$3,Data_Entry!$C:$AB,19,0)," ")</f>
        <v>0</v>
      </c>
    </row>
    <row r="17" ht="14.25" customHeight="1" spans="1:33">
      <c r="A17" s="139" t="s">
        <v>48</v>
      </c>
      <c r="B17" s="140">
        <f>IFERROR(VLOOKUP(B$3,Data_Entry!$C:$AB,23,0)," ")</f>
        <v>0</v>
      </c>
      <c r="C17" s="140">
        <f>IFERROR(VLOOKUP(C$3,Data_Entry!$C:$AB,23,0)," ")</f>
        <v>0</v>
      </c>
      <c r="D17" s="140">
        <f>IFERROR(VLOOKUP(D$3,Data_Entry!$C:$AB,23,0)," ")</f>
        <v>0</v>
      </c>
      <c r="E17" s="140">
        <f>IFERROR(VLOOKUP(E$3,Data_Entry!$C:$AB,23,0)," ")</f>
        <v>0</v>
      </c>
      <c r="F17" s="140">
        <f>IFERROR(VLOOKUP(F$3,Data_Entry!$C:$AB,23,0)," ")</f>
        <v>0</v>
      </c>
      <c r="G17" s="140">
        <f>IFERROR(VLOOKUP(G$3,Data_Entry!$C:$AB,23,0)," ")</f>
        <v>0</v>
      </c>
      <c r="H17" s="140">
        <f>IFERROR(VLOOKUP(H$3,Data_Entry!$C:$AB,23,0)," ")</f>
        <v>0</v>
      </c>
      <c r="I17" s="140">
        <f>IFERROR(VLOOKUP(I$3,Data_Entry!$C:$AB,23,0)," ")</f>
        <v>0</v>
      </c>
      <c r="J17" s="140">
        <f>IFERROR(VLOOKUP(J$3,Data_Entry!$C:$AB,23,0)," ")</f>
        <v>0</v>
      </c>
      <c r="K17" s="140">
        <f>IFERROR(VLOOKUP(K$3,Data_Entry!$C:$AB,23,0)," ")</f>
        <v>0</v>
      </c>
      <c r="L17" s="140">
        <f>IFERROR(VLOOKUP(L$3,Data_Entry!$C:$AB,23,0)," ")</f>
        <v>0</v>
      </c>
      <c r="M17" s="140">
        <f>IFERROR(VLOOKUP(M$3,Data_Entry!$C:$AB,23,0)," ")</f>
        <v>0</v>
      </c>
      <c r="N17" s="140">
        <f>IFERROR(VLOOKUP(N$3,Data_Entry!$C:$AB,23,0)," ")</f>
        <v>0</v>
      </c>
      <c r="O17" s="140">
        <f>IFERROR(VLOOKUP(O$3,Data_Entry!$C:$AB,23,0)," ")</f>
        <v>0</v>
      </c>
      <c r="P17" s="140">
        <f>IFERROR(VLOOKUP(P$3,Data_Entry!$C:$AB,23,0)," ")</f>
        <v>0</v>
      </c>
      <c r="Q17" s="140">
        <f>IFERROR(VLOOKUP(Q$3,Data_Entry!$C:$AB,23,0)," ")</f>
        <v>0</v>
      </c>
      <c r="R17" s="140">
        <f>IFERROR(VLOOKUP(R$3,Data_Entry!$C:$AB,23,0)," ")</f>
        <v>0</v>
      </c>
      <c r="S17" s="140">
        <f>IFERROR(VLOOKUP(S$3,Data_Entry!$C:$AB,23,0)," ")</f>
        <v>0</v>
      </c>
      <c r="T17" s="140">
        <f>IFERROR(VLOOKUP(T$3,Data_Entry!$C:$AB,23,0)," ")</f>
        <v>0</v>
      </c>
      <c r="U17" s="140">
        <f>IFERROR(VLOOKUP(U$3,Data_Entry!$C:$AB,23,0)," ")</f>
        <v>0</v>
      </c>
      <c r="V17" s="140">
        <f>IFERROR(VLOOKUP(V$3,Data_Entry!$C:$AB,23,0)," ")</f>
        <v>0</v>
      </c>
      <c r="W17" s="140">
        <f>IFERROR(VLOOKUP(W$3,Data_Entry!$C:$AB,23,0)," ")</f>
        <v>0</v>
      </c>
      <c r="X17" s="140">
        <f>IFERROR(VLOOKUP(X$3,Data_Entry!$C:$AB,23,0)," ")</f>
        <v>0</v>
      </c>
      <c r="Y17" s="140">
        <f>IFERROR(VLOOKUP(Y$3,Data_Entry!$C:$AB,23,0)," ")</f>
        <v>0</v>
      </c>
      <c r="Z17" s="140">
        <f>IFERROR(VLOOKUP(Z$3,Data_Entry!$C:$AB,23,0)," ")</f>
        <v>0</v>
      </c>
      <c r="AA17" s="140">
        <f>IFERROR(VLOOKUP(AA$3,Data_Entry!$C:$AB,23,0)," ")</f>
        <v>0</v>
      </c>
      <c r="AB17" s="140">
        <f>IFERROR(VLOOKUP(AB$3,Data_Entry!$C:$AB,23,0)," ")</f>
        <v>0</v>
      </c>
      <c r="AC17" s="140">
        <f>IFERROR(VLOOKUP(AC$3,Data_Entry!$C:$AB,23,0)," ")</f>
        <v>0</v>
      </c>
      <c r="AD17" s="140">
        <f>IFERROR(VLOOKUP(AD$3,Data_Entry!$C:$AB,23,0)," ")</f>
        <v>0</v>
      </c>
      <c r="AE17" s="140">
        <f>IFERROR(VLOOKUP(AE$3,Data_Entry!$C:$AB,23,0)," ")</f>
        <v>0</v>
      </c>
      <c r="AF17" s="140">
        <f>IFERROR(VLOOKUP(AF$3,Data_Entry!$C:$AB,23,0)," ")</f>
        <v>0</v>
      </c>
    </row>
    <row r="18" ht="14.25" customHeight="1" spans="1:33">
      <c r="A18" s="139" t="s">
        <v>49</v>
      </c>
      <c r="B18" s="140">
        <f>IFERROR(VLOOKUP(B$3,Data_Entry!$C:$AB,21,0)," ")</f>
        <v>34.09</v>
      </c>
      <c r="C18" s="140">
        <f>IFERROR(VLOOKUP(C$3,Data_Entry!$C:$AB,21,0)," ")</f>
        <v>0</v>
      </c>
      <c r="D18" s="140">
        <f>IFERROR(VLOOKUP(D$3,Data_Entry!$C:$AB,21,0)," ")</f>
        <v>0</v>
      </c>
      <c r="E18" s="140">
        <f>IFERROR(VLOOKUP(E$3,Data_Entry!$C:$AB,21,0)," ")</f>
        <v>0</v>
      </c>
      <c r="F18" s="140">
        <f>IFERROR(VLOOKUP(F$3,Data_Entry!$C:$AB,21,0)," ")</f>
        <v>0</v>
      </c>
      <c r="G18" s="140">
        <f>IFERROR(VLOOKUP(G$3,Data_Entry!$C:$AB,21,0)," ")</f>
        <v>0</v>
      </c>
      <c r="H18" s="140">
        <f>IFERROR(VLOOKUP(H$3,Data_Entry!$C:$AB,21,0)," ")</f>
        <v>0</v>
      </c>
      <c r="I18" s="140">
        <f>IFERROR(VLOOKUP(I$3,Data_Entry!$C:$AB,21,0)," ")</f>
        <v>0</v>
      </c>
      <c r="J18" s="140">
        <f>IFERROR(VLOOKUP(J$3,Data_Entry!$C:$AB,21,0)," ")</f>
        <v>0</v>
      </c>
      <c r="K18" s="140">
        <f>IFERROR(VLOOKUP(K$3,Data_Entry!$C:$AB,21,0)," ")</f>
        <v>0</v>
      </c>
      <c r="L18" s="140">
        <f>IFERROR(VLOOKUP(L$3,Data_Entry!$C:$AB,21,0)," ")</f>
        <v>0</v>
      </c>
      <c r="M18" s="140">
        <f>IFERROR(VLOOKUP(M$3,Data_Entry!$C:$AB,21,0)," ")</f>
        <v>0</v>
      </c>
      <c r="N18" s="140">
        <f>IFERROR(VLOOKUP(N$3,Data_Entry!$C:$AB,21,0)," ")</f>
        <v>0</v>
      </c>
      <c r="O18" s="140">
        <f>IFERROR(VLOOKUP(O$3,Data_Entry!$C:$AB,21,0)," ")</f>
        <v>0</v>
      </c>
      <c r="P18" s="140">
        <f>IFERROR(VLOOKUP(P$3,Data_Entry!$C:$AB,21,0)," ")</f>
        <v>0</v>
      </c>
      <c r="Q18" s="140">
        <f>IFERROR(VLOOKUP(Q$3,Data_Entry!$C:$AB,21,0)," ")</f>
        <v>0</v>
      </c>
      <c r="R18" s="140">
        <f>IFERROR(VLOOKUP(R$3,Data_Entry!$C:$AB,21,0)," ")</f>
        <v>0</v>
      </c>
      <c r="S18" s="140">
        <f>IFERROR(VLOOKUP(S$3,Data_Entry!$C:$AB,21,0)," ")</f>
        <v>0</v>
      </c>
      <c r="T18" s="140">
        <f>IFERROR(VLOOKUP(T$3,Data_Entry!$C:$AB,21,0)," ")</f>
        <v>0</v>
      </c>
      <c r="U18" s="140">
        <f>IFERROR(VLOOKUP(U$3,Data_Entry!$C:$AB,21,0)," ")</f>
        <v>0</v>
      </c>
      <c r="V18" s="140">
        <f>IFERROR(VLOOKUP(V$3,Data_Entry!$C:$AB,21,0)," ")</f>
        <v>0</v>
      </c>
      <c r="W18" s="140">
        <f>IFERROR(VLOOKUP(W$3,Data_Entry!$C:$AB,21,0)," ")</f>
        <v>0</v>
      </c>
      <c r="X18" s="140">
        <f>IFERROR(VLOOKUP(X$3,Data_Entry!$C:$AB,21,0)," ")</f>
        <v>0</v>
      </c>
      <c r="Y18" s="140">
        <f>IFERROR(VLOOKUP(Y$3,Data_Entry!$C:$AB,21,0)," ")</f>
        <v>0</v>
      </c>
      <c r="Z18" s="140">
        <f>IFERROR(VLOOKUP(Z$3,Data_Entry!$C:$AB,21,0)," ")</f>
        <v>0</v>
      </c>
      <c r="AA18" s="140">
        <f>IFERROR(VLOOKUP(AA$3,Data_Entry!$C:$AB,21,0)," ")</f>
        <v>0</v>
      </c>
      <c r="AB18" s="140">
        <f>IFERROR(VLOOKUP(AB$3,Data_Entry!$C:$AB,21,0)," ")</f>
        <v>0</v>
      </c>
      <c r="AC18" s="140">
        <f>IFERROR(VLOOKUP(AC$3,Data_Entry!$C:$AB,21,0)," ")</f>
        <v>0</v>
      </c>
      <c r="AD18" s="140">
        <f>IFERROR(VLOOKUP(AD$3,Data_Entry!$C:$AB,21,0)," ")</f>
        <v>0</v>
      </c>
      <c r="AE18" s="140">
        <f>IFERROR(VLOOKUP(AE$3,Data_Entry!$C:$AB,21,0)," ")</f>
        <v>0</v>
      </c>
      <c r="AF18" s="140">
        <f>IFERROR(VLOOKUP(AF$3,Data_Entry!$C:$AB,21,0)," ")</f>
        <v>0</v>
      </c>
    </row>
    <row r="19" ht="14.25" customHeight="1" spans="1:33">
      <c r="A19" s="139" t="s">
        <v>50</v>
      </c>
      <c r="B19" s="141">
        <f>IFERROR(B12/B15/(Basic_Data!$G$10),"")</f>
        <v>1.17966317794598</v>
      </c>
      <c r="C19" s="141" t="str">
        <f>IFERROR(C12/C15/(Basic_Data!$G$10),"")</f>
        <v/>
      </c>
      <c r="D19" s="141" t="str">
        <f>IFERROR(D12/D15/(Basic_Data!$G$10),"")</f>
        <v/>
      </c>
      <c r="E19" s="141" t="str">
        <f>IFERROR(E12/E15/(Basic_Data!$G$10),"")</f>
        <v/>
      </c>
      <c r="F19" s="141" t="str">
        <f>IFERROR(F12/F15/(Basic_Data!$G$10),"")</f>
        <v/>
      </c>
      <c r="G19" s="141" t="str">
        <f>IFERROR(G12/G15/(Basic_Data!$G$10),"")</f>
        <v/>
      </c>
      <c r="H19" s="141" t="str">
        <f>IFERROR(H12/H15/(Basic_Data!$G$10),"")</f>
        <v/>
      </c>
      <c r="I19" s="141" t="str">
        <f>IFERROR(I12/I15/(Basic_Data!$G$10),"")</f>
        <v/>
      </c>
      <c r="J19" s="141" t="str">
        <f>IFERROR(J12/J15/(Basic_Data!$G$10),"")</f>
        <v/>
      </c>
      <c r="K19" s="141" t="str">
        <f>IFERROR(K12/K15/(Basic_Data!$G$10),"")</f>
        <v/>
      </c>
      <c r="L19" s="141" t="str">
        <f>IFERROR(L12/L15/(Basic_Data!$G$10),"")</f>
        <v/>
      </c>
      <c r="M19" s="141" t="str">
        <f>IFERROR(M12/M15/(Basic_Data!$G$10),"")</f>
        <v/>
      </c>
      <c r="N19" s="141" t="str">
        <f>IFERROR(N12/N15/(Basic_Data!$G$10),"")</f>
        <v/>
      </c>
      <c r="O19" s="141" t="str">
        <f>IFERROR(O12/O15/(Basic_Data!$G$10),"")</f>
        <v/>
      </c>
      <c r="P19" s="141" t="str">
        <f>IFERROR(P12/P15/(Basic_Data!$G$10),"")</f>
        <v/>
      </c>
      <c r="Q19" s="141" t="str">
        <f>IFERROR(Q12/Q15/(Basic_Data!$G$10),"")</f>
        <v/>
      </c>
      <c r="R19" s="141" t="str">
        <f>IFERROR(R12/R15/(Basic_Data!$G$10),"")</f>
        <v/>
      </c>
      <c r="S19" s="141" t="str">
        <f>IFERROR(S12/S15/(Basic_Data!$G$10),"")</f>
        <v/>
      </c>
      <c r="T19" s="141" t="str">
        <f>IFERROR(T12/T15/(Basic_Data!$G$10),"")</f>
        <v/>
      </c>
      <c r="U19" s="141" t="str">
        <f>IFERROR(U12/U15/(Basic_Data!$G$10),"")</f>
        <v/>
      </c>
      <c r="V19" s="141" t="str">
        <f>IFERROR(V12/V15/(Basic_Data!$G$10),"")</f>
        <v/>
      </c>
      <c r="W19" s="141" t="str">
        <f>IFERROR(W12/W15/(Basic_Data!$G$10),"")</f>
        <v/>
      </c>
      <c r="X19" s="141" t="str">
        <f>IFERROR(X12/X15/(Basic_Data!$G$10),"")</f>
        <v/>
      </c>
      <c r="Y19" s="141" t="str">
        <f>IFERROR(Y12/Y15/(Basic_Data!$G$10),"")</f>
        <v/>
      </c>
      <c r="Z19" s="141" t="str">
        <f>IFERROR(Z12/Z15/(Basic_Data!$G$10),"")</f>
        <v/>
      </c>
      <c r="AA19" s="141" t="str">
        <f>IFERROR(AA12/AA15/(Basic_Data!$G$10),"")</f>
        <v/>
      </c>
      <c r="AB19" s="141" t="str">
        <f>IFERROR(AB12/AB15/(Basic_Data!$G$10),"")</f>
        <v/>
      </c>
      <c r="AC19" s="141" t="str">
        <f>IFERROR(AC12/AC15/(Basic_Data!$G$10),"")</f>
        <v/>
      </c>
      <c r="AD19" s="141" t="str">
        <f>IFERROR(AD12/AD15/(Basic_Data!$G$10),"")</f>
        <v/>
      </c>
      <c r="AE19" s="141" t="str">
        <f>IFERROR(AE12/AE15/(Basic_Data!$G$10),"")</f>
        <v/>
      </c>
      <c r="AF19" s="141" t="str">
        <f>IFERROR(AF12/AF15/(Basic_Data!$G$10),"")</f>
        <v/>
      </c>
      <c r="AG19" s="141" t="str">
        <f>IFERROR(AG12/AG15/(Basic_Data!$G$10),"")</f>
        <v/>
      </c>
    </row>
    <row r="20" ht="14.25" customHeight="1" spans="1:33">
      <c r="A20" s="139" t="s">
        <v>51</v>
      </c>
      <c r="B20" s="141">
        <f>IFERROR(B12/(Basic_Data!$F$10*24),"")</f>
        <v>0.225324675324677</v>
      </c>
      <c r="C20" s="141">
        <f>IFERROR(C12/(Basic_Data!$F$10*24),"")</f>
        <v>0</v>
      </c>
      <c r="D20" s="141">
        <f>IFERROR(D12/(Basic_Data!$F$10*24),"")</f>
        <v>0</v>
      </c>
      <c r="E20" s="141">
        <f>IFERROR(E12/(Basic_Data!$F$10*24),"")</f>
        <v>0</v>
      </c>
      <c r="F20" s="141">
        <f>IFERROR(F12/(Basic_Data!$F$10*24),"")</f>
        <v>0</v>
      </c>
      <c r="G20" s="141">
        <f>IFERROR(G12/(Basic_Data!$F$10*24),"")</f>
        <v>0</v>
      </c>
      <c r="H20" s="141">
        <f>IFERROR(H12/(Basic_Data!$F$10*24),"")</f>
        <v>0</v>
      </c>
      <c r="I20" s="141">
        <f>IFERROR(I12/(Basic_Data!$F$10*24),"")</f>
        <v>0</v>
      </c>
      <c r="J20" s="141">
        <f>IFERROR(J12/(Basic_Data!$F$10*24),"")</f>
        <v>0</v>
      </c>
      <c r="K20" s="141">
        <f>IFERROR(K12/(Basic_Data!$F$10*24),"")</f>
        <v>0</v>
      </c>
      <c r="L20" s="141">
        <f>IFERROR(L12/(Basic_Data!$F$10*24),"")</f>
        <v>0</v>
      </c>
      <c r="M20" s="141">
        <f>IFERROR(M12/(Basic_Data!$F$10*24),"")</f>
        <v>0</v>
      </c>
      <c r="N20" s="141">
        <f>IFERROR(N12/(Basic_Data!$F$10*24),"")</f>
        <v>0</v>
      </c>
      <c r="O20" s="141">
        <f>IFERROR(O12/(Basic_Data!$F$10*24),"")</f>
        <v>0</v>
      </c>
      <c r="P20" s="141">
        <f>IFERROR(P12/(Basic_Data!$F$10*24),"")</f>
        <v>0</v>
      </c>
      <c r="Q20" s="141">
        <f>IFERROR(Q12/(Basic_Data!$F$10*24),"")</f>
        <v>0</v>
      </c>
      <c r="R20" s="141">
        <f>IFERROR(R12/(Basic_Data!$F$10*24),"")</f>
        <v>0</v>
      </c>
      <c r="S20" s="141">
        <f>IFERROR(S12/(Basic_Data!$F$10*24),"")</f>
        <v>0</v>
      </c>
      <c r="T20" s="141">
        <f>IFERROR(T12/(Basic_Data!$F$10*24),"")</f>
        <v>0</v>
      </c>
      <c r="U20" s="141">
        <f>IFERROR(U12/(Basic_Data!$F$10*24),"")</f>
        <v>0</v>
      </c>
      <c r="V20" s="141">
        <f>IFERROR(V12/(Basic_Data!$F$10*24),"")</f>
        <v>0</v>
      </c>
      <c r="W20" s="141">
        <f>IFERROR(W12/(Basic_Data!$F$10*24),"")</f>
        <v>0</v>
      </c>
      <c r="X20" s="141">
        <f>IFERROR(X12/(Basic_Data!$F$10*24),"")</f>
        <v>0</v>
      </c>
      <c r="Y20" s="141">
        <f>IFERROR(Y12/(Basic_Data!$F$10*24),"")</f>
        <v>0</v>
      </c>
      <c r="Z20" s="141">
        <f>IFERROR(Z12/(Basic_Data!$F$10*24),"")</f>
        <v>0</v>
      </c>
      <c r="AA20" s="141">
        <f>IFERROR(AA12/(Basic_Data!$F$10*24),"")</f>
        <v>0</v>
      </c>
      <c r="AB20" s="141">
        <f>IFERROR(AB12/(Basic_Data!$F$10*24),"")</f>
        <v>0</v>
      </c>
      <c r="AC20" s="141">
        <f>IFERROR(AC12/(Basic_Data!$F$10*24),"")</f>
        <v>0</v>
      </c>
      <c r="AD20" s="141">
        <f>IFERROR(AD12/(Basic_Data!$F$10*24),"")</f>
        <v>0</v>
      </c>
      <c r="AE20" s="141">
        <f>IFERROR(AE12/(Basic_Data!$F$10*24),"")</f>
        <v>0</v>
      </c>
      <c r="AF20" s="141">
        <f>IFERROR(AF12/(Basic_Data!$F$10*24),"")</f>
        <v>0</v>
      </c>
      <c r="AG20" s="141" t="str">
        <f>IFERROR(AG12/(Basic_Data!$F$10*24),"")</f>
        <v/>
      </c>
    </row>
    <row r="21" ht="14.25" customHeight="1" spans="1:33">
      <c r="A21" s="139" t="s">
        <v>52</v>
      </c>
      <c r="B21" s="141">
        <f>IFERROR((B11-B12)/B11,"")</f>
        <v>-0.00443262582425039</v>
      </c>
      <c r="C21" s="141" t="str">
        <f t="shared" ref="C21:AG21" si="3">IFERROR((C11-C12)/C11,"")</f>
        <v/>
      </c>
      <c r="D21" s="141" t="str">
        <f t="shared" si="3"/>
        <v/>
      </c>
      <c r="E21" s="141" t="str">
        <f t="shared" si="3"/>
        <v/>
      </c>
      <c r="F21" s="141" t="str">
        <f t="shared" si="3"/>
        <v/>
      </c>
      <c r="G21" s="141" t="str">
        <f t="shared" si="3"/>
        <v/>
      </c>
      <c r="H21" s="141" t="str">
        <f t="shared" si="3"/>
        <v/>
      </c>
      <c r="I21" s="141" t="str">
        <f t="shared" si="3"/>
        <v/>
      </c>
      <c r="J21" s="141" t="str">
        <f t="shared" si="3"/>
        <v/>
      </c>
      <c r="K21" s="141" t="str">
        <f t="shared" si="3"/>
        <v/>
      </c>
      <c r="L21" s="141" t="str">
        <f t="shared" si="3"/>
        <v/>
      </c>
      <c r="M21" s="141" t="str">
        <f t="shared" si="3"/>
        <v/>
      </c>
      <c r="N21" s="141" t="str">
        <f t="shared" si="3"/>
        <v/>
      </c>
      <c r="O21" s="141" t="str">
        <f t="shared" si="3"/>
        <v/>
      </c>
      <c r="P21" s="141" t="str">
        <f t="shared" si="3"/>
        <v/>
      </c>
      <c r="Q21" s="141" t="str">
        <f t="shared" si="3"/>
        <v/>
      </c>
      <c r="R21" s="141" t="str">
        <f t="shared" si="3"/>
        <v/>
      </c>
      <c r="S21" s="141" t="str">
        <f t="shared" si="3"/>
        <v/>
      </c>
      <c r="T21" s="141" t="str">
        <f t="shared" si="3"/>
        <v/>
      </c>
      <c r="U21" s="141" t="str">
        <f t="shared" si="3"/>
        <v/>
      </c>
      <c r="V21" s="141" t="str">
        <f t="shared" si="3"/>
        <v/>
      </c>
      <c r="W21" s="141" t="str">
        <f t="shared" si="3"/>
        <v/>
      </c>
      <c r="X21" s="141" t="str">
        <f t="shared" si="3"/>
        <v/>
      </c>
      <c r="Y21" s="141" t="str">
        <f t="shared" si="3"/>
        <v/>
      </c>
      <c r="Z21" s="141" t="str">
        <f t="shared" si="3"/>
        <v/>
      </c>
      <c r="AA21" s="141" t="str">
        <f t="shared" si="3"/>
        <v/>
      </c>
      <c r="AB21" s="141" t="str">
        <f t="shared" si="3"/>
        <v/>
      </c>
      <c r="AC21" s="141" t="str">
        <f t="shared" si="3"/>
        <v/>
      </c>
      <c r="AD21" s="141" t="str">
        <f t="shared" si="3"/>
        <v/>
      </c>
      <c r="AE21" s="141" t="str">
        <f t="shared" si="3"/>
        <v/>
      </c>
      <c r="AF21" s="141" t="str">
        <f t="shared" si="3"/>
        <v/>
      </c>
      <c r="AG21" s="141" t="str">
        <f t="shared" si="3"/>
        <v/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sheetProtection sheet="1" objects="1" scenarios="1"/>
  <pageMargins left="0.7" right="0.7" top="0.75" bottom="0.75" header="0" footer="0"/>
  <pageSetup paperSize="9" fitToWidth="0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B615"/>
  <sheetViews>
    <sheetView workbookViewId="0">
      <pane xSplit="5" ySplit="1" topLeftCell="F415" activePane="bottomRight" state="frozen"/>
      <selection/>
      <selection pane="topRight"/>
      <selection pane="bottomLeft"/>
      <selection pane="bottomRight" activeCell="AB433" sqref="AB433"/>
    </sheetView>
  </sheetViews>
  <sheetFormatPr defaultColWidth="8.75" defaultRowHeight="15"/>
  <cols>
    <col min="1" max="1" width="4" style="56" customWidth="1"/>
    <col min="2" max="2" width="6.5" style="56" customWidth="1"/>
    <col min="3" max="3" width="8.875" style="56" customWidth="1"/>
    <col min="4" max="4" width="12.5" style="56" customWidth="1"/>
    <col min="5" max="5" width="10.5" style="56" customWidth="1"/>
    <col min="6" max="6" width="8.375" style="56" customWidth="1"/>
    <col min="7" max="7" width="7.25" style="56" customWidth="1"/>
    <col min="8" max="8" width="8.625" style="56" customWidth="1"/>
    <col min="9" max="12" width="7.25" style="56" customWidth="1"/>
    <col min="13" max="13" width="14.875" style="56" customWidth="1"/>
    <col min="14" max="14" width="14.875" style="115" customWidth="1"/>
    <col min="15" max="15" width="14.25" style="56" customWidth="1"/>
    <col min="16" max="16" width="10.5" style="56" customWidth="1"/>
    <col min="17" max="17" width="15.25" style="56" customWidth="1"/>
    <col min="18" max="18" width="14.5" style="56" customWidth="1"/>
    <col min="19" max="19" width="10.75" style="56" customWidth="1"/>
    <col min="20" max="20" width="11.875" style="116" customWidth="1"/>
    <col min="21" max="21" width="11.375" style="56" customWidth="1"/>
    <col min="22" max="22" width="11" style="56" customWidth="1"/>
    <col min="23" max="23" width="14.25" style="56" customWidth="1"/>
    <col min="24" max="24" width="15.875" style="56" customWidth="1"/>
    <col min="25" max="25" width="16.25" style="56" customWidth="1"/>
    <col min="26" max="26" width="10" style="56" customWidth="1"/>
    <col min="27" max="27" width="13.25" style="56" customWidth="1"/>
    <col min="28" max="28" width="15.75" style="56" customWidth="1"/>
    <col min="29" max="16384" width="8.75" style="56"/>
  </cols>
  <sheetData>
    <row r="1" ht="14.45" customHeight="1" spans="1:28">
      <c r="B1" s="117" t="s">
        <v>2</v>
      </c>
      <c r="C1" s="117" t="s">
        <v>1</v>
      </c>
      <c r="D1" s="117" t="s">
        <v>53</v>
      </c>
      <c r="E1" s="118" t="s">
        <v>54</v>
      </c>
      <c r="F1" s="119" t="s">
        <v>35</v>
      </c>
      <c r="G1" s="117" t="s">
        <v>36</v>
      </c>
      <c r="H1" s="117" t="s">
        <v>37</v>
      </c>
      <c r="I1" s="117" t="s">
        <v>38</v>
      </c>
      <c r="J1" s="117" t="s">
        <v>39</v>
      </c>
      <c r="K1" s="117" t="s">
        <v>40</v>
      </c>
      <c r="L1" s="117" t="s">
        <v>41</v>
      </c>
      <c r="M1" s="120" t="s">
        <v>55</v>
      </c>
      <c r="N1" s="117" t="s">
        <v>56</v>
      </c>
      <c r="O1" s="117" t="s">
        <v>57</v>
      </c>
      <c r="P1" s="117" t="s">
        <v>58</v>
      </c>
      <c r="Q1" s="117" t="s">
        <v>59</v>
      </c>
      <c r="R1" s="117" t="s">
        <v>60</v>
      </c>
      <c r="S1" s="117" t="s">
        <v>61</v>
      </c>
      <c r="T1" s="118" t="s">
        <v>62</v>
      </c>
      <c r="U1" s="119" t="s">
        <v>63</v>
      </c>
      <c r="V1" s="117" t="s">
        <v>64</v>
      </c>
      <c r="W1" s="117" t="s">
        <v>65</v>
      </c>
      <c r="X1" s="117" t="s">
        <v>66</v>
      </c>
      <c r="Y1" s="117" t="s">
        <v>29</v>
      </c>
      <c r="Z1" s="117" t="s">
        <v>67</v>
      </c>
      <c r="AA1" s="117" t="s">
        <v>68</v>
      </c>
      <c r="AB1" s="118" t="s">
        <v>69</v>
      </c>
    </row>
    <row r="2" spans="1:28">
      <c r="A2" s="56">
        <v>4</v>
      </c>
      <c r="B2" s="111">
        <v>45747</v>
      </c>
      <c r="C2" s="29">
        <v>45747</v>
      </c>
      <c r="D2" s="52"/>
      <c r="E2" s="121"/>
      <c r="F2" s="122"/>
      <c r="G2" s="122"/>
      <c r="H2" s="122"/>
      <c r="I2" s="122"/>
      <c r="J2" s="122"/>
      <c r="K2" s="122"/>
      <c r="L2" s="122"/>
      <c r="M2" s="123">
        <f>SUM(F2:L2)</f>
        <v>0</v>
      </c>
      <c r="N2" s="124"/>
      <c r="O2" s="52"/>
      <c r="P2" s="52">
        <f>MAX((O2-N2)*3000,0)</f>
        <v>0</v>
      </c>
      <c r="Q2" s="52"/>
      <c r="R2" s="52"/>
      <c r="S2" s="52">
        <f>MAX((R2-Q2)*3000,0)</f>
        <v>0</v>
      </c>
      <c r="T2" s="121">
        <f>P2-S2</f>
        <v>0</v>
      </c>
      <c r="U2" s="63"/>
      <c r="V2" s="52"/>
      <c r="W2" s="125"/>
      <c r="X2" s="125"/>
      <c r="Y2" s="125"/>
      <c r="Z2" s="52"/>
      <c r="AA2" s="52"/>
      <c r="AB2" s="121"/>
    </row>
    <row r="3" spans="1:28">
      <c r="A3" s="56">
        <f t="shared" ref="A3:A66" si="0">A2+1</f>
        <v>5</v>
      </c>
      <c r="B3" s="111">
        <v>45748</v>
      </c>
      <c r="C3" s="29">
        <v>45748</v>
      </c>
      <c r="D3" s="52"/>
      <c r="E3" s="121"/>
      <c r="F3" s="122">
        <v>1835.13</v>
      </c>
      <c r="G3" s="122">
        <v>1870.19</v>
      </c>
      <c r="H3" s="122">
        <v>1924.81</v>
      </c>
      <c r="I3" s="122">
        <v>2024.97</v>
      </c>
      <c r="J3" s="122">
        <v>2015.38</v>
      </c>
      <c r="K3" s="122">
        <v>1981.68</v>
      </c>
      <c r="L3" s="122">
        <v>1940.1</v>
      </c>
      <c r="M3" s="123">
        <f>SUM(F3:L3)</f>
        <v>13592.26</v>
      </c>
      <c r="N3" s="52">
        <v>115.74</v>
      </c>
      <c r="O3" s="52">
        <v>120.23</v>
      </c>
      <c r="P3" s="52">
        <f t="shared" ref="P3:P23" si="1">MAX((O3-N3)*3000,0)</f>
        <v>13470</v>
      </c>
      <c r="Q3" s="52">
        <v>2.22</v>
      </c>
      <c r="R3" s="52">
        <v>2.23</v>
      </c>
      <c r="S3" s="52">
        <f t="shared" ref="S3:S66" si="2">MAX((R3-Q3)*3000,0)</f>
        <v>29.9999999999994</v>
      </c>
      <c r="T3" s="121">
        <f t="shared" ref="T3:T66" si="3">P3-S3</f>
        <v>13440</v>
      </c>
      <c r="U3" s="63"/>
      <c r="V3" s="107">
        <v>5.62675</v>
      </c>
      <c r="W3" s="125"/>
      <c r="X3" s="125"/>
      <c r="Y3" s="125"/>
      <c r="Z3" s="52"/>
      <c r="AA3" s="52"/>
      <c r="AB3" s="121"/>
    </row>
    <row r="4" spans="1:28">
      <c r="A4" s="56">
        <f t="shared" si="0"/>
        <v>6</v>
      </c>
      <c r="B4" s="111">
        <v>45749</v>
      </c>
      <c r="C4" s="29">
        <v>45749</v>
      </c>
      <c r="D4" s="52"/>
      <c r="E4" s="121"/>
      <c r="F4" s="122">
        <v>2030.21</v>
      </c>
      <c r="G4" s="122">
        <v>2070.38</v>
      </c>
      <c r="H4" s="122">
        <v>2050.23</v>
      </c>
      <c r="I4" s="122">
        <v>2090.84</v>
      </c>
      <c r="J4" s="122">
        <v>1976.97</v>
      </c>
      <c r="K4" s="122">
        <v>1954.77</v>
      </c>
      <c r="L4" s="122">
        <v>1964.11</v>
      </c>
      <c r="M4" s="123">
        <f t="shared" ref="M4:M67" si="4">SUM(F4:L4)</f>
        <v>14137.51</v>
      </c>
      <c r="N4" s="52">
        <v>120.23</v>
      </c>
      <c r="O4" s="52">
        <v>124.9</v>
      </c>
      <c r="P4" s="52">
        <f t="shared" si="1"/>
        <v>14010</v>
      </c>
      <c r="Q4" s="52">
        <v>2.23</v>
      </c>
      <c r="R4" s="52">
        <v>2.24</v>
      </c>
      <c r="S4" s="52">
        <f t="shared" si="2"/>
        <v>30.0000000000007</v>
      </c>
      <c r="T4" s="121">
        <f t="shared" si="3"/>
        <v>13980</v>
      </c>
      <c r="U4" s="63"/>
      <c r="V4" s="107">
        <v>5.84225</v>
      </c>
      <c r="W4" s="125"/>
      <c r="X4" s="125"/>
      <c r="Y4" s="125"/>
      <c r="Z4" s="52"/>
      <c r="AA4" s="52"/>
      <c r="AB4" s="121"/>
    </row>
    <row r="5" spans="1:28">
      <c r="A5" s="56">
        <f t="shared" si="0"/>
        <v>7</v>
      </c>
      <c r="B5" s="111">
        <v>45750</v>
      </c>
      <c r="C5" s="29">
        <v>45750</v>
      </c>
      <c r="D5" s="52"/>
      <c r="E5" s="121"/>
      <c r="F5" s="122">
        <v>1839.07</v>
      </c>
      <c r="G5" s="122">
        <v>1835.52</v>
      </c>
      <c r="H5" s="122">
        <v>1842.65</v>
      </c>
      <c r="I5" s="122">
        <v>1952.53</v>
      </c>
      <c r="J5" s="122">
        <v>1926.93</v>
      </c>
      <c r="K5" s="122">
        <v>1892.93</v>
      </c>
      <c r="L5" s="122">
        <v>1877.62</v>
      </c>
      <c r="M5" s="123">
        <f t="shared" si="4"/>
        <v>13167.25</v>
      </c>
      <c r="N5" s="52">
        <v>124.9</v>
      </c>
      <c r="O5" s="52">
        <v>129.26</v>
      </c>
      <c r="P5" s="52">
        <f t="shared" si="1"/>
        <v>13080</v>
      </c>
      <c r="Q5" s="52">
        <v>2.24</v>
      </c>
      <c r="R5" s="52">
        <v>2.25</v>
      </c>
      <c r="S5" s="52">
        <f t="shared" si="2"/>
        <v>29.9999999999994</v>
      </c>
      <c r="T5" s="121">
        <f t="shared" si="3"/>
        <v>13050</v>
      </c>
      <c r="U5" s="63"/>
      <c r="V5" s="107">
        <v>5.57625</v>
      </c>
      <c r="W5" s="125"/>
      <c r="X5" s="125"/>
      <c r="Y5" s="125"/>
      <c r="Z5" s="52"/>
      <c r="AA5" s="52"/>
      <c r="AB5" s="121"/>
    </row>
    <row r="6" spans="1:28">
      <c r="A6" s="56">
        <f t="shared" si="0"/>
        <v>8</v>
      </c>
      <c r="B6" s="111">
        <v>45751</v>
      </c>
      <c r="C6" s="29">
        <v>45751</v>
      </c>
      <c r="D6" s="52"/>
      <c r="E6" s="121"/>
      <c r="F6" s="122">
        <v>1204.78</v>
      </c>
      <c r="G6" s="122">
        <v>1204.82</v>
      </c>
      <c r="H6" s="122">
        <v>1209.34</v>
      </c>
      <c r="I6" s="122">
        <v>1280.18</v>
      </c>
      <c r="J6" s="122">
        <v>1263.44</v>
      </c>
      <c r="K6" s="122">
        <v>1261.51</v>
      </c>
      <c r="L6" s="122">
        <v>1215.94</v>
      </c>
      <c r="M6" s="123">
        <f t="shared" si="4"/>
        <v>8640.01</v>
      </c>
      <c r="N6" s="52">
        <v>129.26</v>
      </c>
      <c r="O6" s="52">
        <v>132.13</v>
      </c>
      <c r="P6" s="52">
        <f t="shared" si="1"/>
        <v>8610.00000000001</v>
      </c>
      <c r="Q6" s="52">
        <v>2.25</v>
      </c>
      <c r="R6" s="52">
        <v>2.26</v>
      </c>
      <c r="S6" s="52">
        <f t="shared" si="2"/>
        <v>29.9999999999994</v>
      </c>
      <c r="T6" s="121">
        <f t="shared" si="3"/>
        <v>8580.00000000001</v>
      </c>
      <c r="U6" s="63"/>
      <c r="V6" s="107">
        <v>3.7295</v>
      </c>
      <c r="W6" s="125"/>
      <c r="X6" s="125"/>
      <c r="Y6" s="125"/>
      <c r="Z6" s="52"/>
      <c r="AA6" s="52"/>
      <c r="AB6" s="121"/>
    </row>
    <row r="7" spans="1:28">
      <c r="A7" s="56">
        <f t="shared" si="0"/>
        <v>9</v>
      </c>
      <c r="B7" s="111">
        <v>45752</v>
      </c>
      <c r="C7" s="29">
        <v>45752</v>
      </c>
      <c r="D7" s="52"/>
      <c r="E7" s="121"/>
      <c r="F7" s="122">
        <v>1901.4</v>
      </c>
      <c r="G7" s="122">
        <v>1902.92</v>
      </c>
      <c r="H7" s="122">
        <v>1912.27</v>
      </c>
      <c r="I7" s="122">
        <v>2020.94</v>
      </c>
      <c r="J7" s="122">
        <v>2001.33</v>
      </c>
      <c r="K7" s="122">
        <v>2001.08</v>
      </c>
      <c r="L7" s="122">
        <v>1996.49</v>
      </c>
      <c r="M7" s="123">
        <f t="shared" si="4"/>
        <v>13736.43</v>
      </c>
      <c r="N7" s="52">
        <v>132.13</v>
      </c>
      <c r="O7" s="52">
        <v>136.67</v>
      </c>
      <c r="P7" s="52">
        <f t="shared" si="1"/>
        <v>13620</v>
      </c>
      <c r="Q7" s="52">
        <v>2.26</v>
      </c>
      <c r="R7" s="52">
        <v>2.27</v>
      </c>
      <c r="S7" s="52">
        <f t="shared" si="2"/>
        <v>30.0000000000007</v>
      </c>
      <c r="T7" s="121">
        <f t="shared" si="3"/>
        <v>13590</v>
      </c>
      <c r="U7" s="63"/>
      <c r="V7" s="107">
        <v>5.72925</v>
      </c>
      <c r="W7" s="125"/>
      <c r="X7" s="125"/>
      <c r="Y7" s="125"/>
      <c r="Z7" s="52"/>
      <c r="AA7" s="52"/>
      <c r="AB7" s="121"/>
    </row>
    <row r="8" spans="1:28">
      <c r="A8" s="56">
        <f t="shared" si="0"/>
        <v>10</v>
      </c>
      <c r="B8" s="111">
        <v>45753</v>
      </c>
      <c r="C8" s="29">
        <v>45753</v>
      </c>
      <c r="D8" s="52"/>
      <c r="E8" s="121"/>
      <c r="F8" s="122">
        <v>1512.52</v>
      </c>
      <c r="G8" s="122">
        <v>1506.96</v>
      </c>
      <c r="H8" s="122">
        <v>1516.89</v>
      </c>
      <c r="I8" s="122">
        <v>1599.98</v>
      </c>
      <c r="J8" s="122">
        <v>1580.61</v>
      </c>
      <c r="K8" s="122">
        <v>1529.11</v>
      </c>
      <c r="L8" s="122">
        <v>1521.58</v>
      </c>
      <c r="M8" s="123">
        <f t="shared" si="4"/>
        <v>10767.65</v>
      </c>
      <c r="N8" s="52">
        <v>136.67</v>
      </c>
      <c r="O8" s="52">
        <v>140.24</v>
      </c>
      <c r="P8" s="52">
        <f t="shared" si="1"/>
        <v>10710.0000000001</v>
      </c>
      <c r="Q8" s="52">
        <v>2.27</v>
      </c>
      <c r="R8" s="52">
        <v>2.28</v>
      </c>
      <c r="S8" s="52">
        <f t="shared" si="2"/>
        <v>29.9999999999994</v>
      </c>
      <c r="T8" s="121">
        <f t="shared" si="3"/>
        <v>10680.0000000001</v>
      </c>
      <c r="U8" s="63"/>
      <c r="V8" s="107">
        <v>4.59325</v>
      </c>
      <c r="W8" s="125"/>
      <c r="X8" s="125"/>
      <c r="Y8" s="125"/>
      <c r="Z8" s="52"/>
      <c r="AA8" s="52"/>
      <c r="AB8" s="121"/>
    </row>
    <row r="9" spans="1:28">
      <c r="A9" s="56">
        <f t="shared" si="0"/>
        <v>11</v>
      </c>
      <c r="B9" s="111">
        <v>45754</v>
      </c>
      <c r="C9" s="29">
        <v>45754</v>
      </c>
      <c r="D9" s="52"/>
      <c r="E9" s="121"/>
      <c r="F9" s="122">
        <v>1924.03</v>
      </c>
      <c r="G9" s="122">
        <v>1913.17</v>
      </c>
      <c r="H9" s="122">
        <v>1908.55</v>
      </c>
      <c r="I9" s="122">
        <v>2018.33</v>
      </c>
      <c r="J9" s="122">
        <v>1998.44</v>
      </c>
      <c r="K9" s="122">
        <v>1967.54</v>
      </c>
      <c r="L9" s="122">
        <v>1961.47</v>
      </c>
      <c r="M9" s="123">
        <f t="shared" si="4"/>
        <v>13691.53</v>
      </c>
      <c r="N9" s="52">
        <v>140.24</v>
      </c>
      <c r="O9" s="52">
        <v>144.77</v>
      </c>
      <c r="P9" s="52">
        <f t="shared" si="1"/>
        <v>13590</v>
      </c>
      <c r="Q9" s="52">
        <v>2.28</v>
      </c>
      <c r="R9" s="52">
        <v>2.29</v>
      </c>
      <c r="S9" s="52">
        <f t="shared" si="2"/>
        <v>30.0000000000007</v>
      </c>
      <c r="T9" s="121">
        <f t="shared" si="3"/>
        <v>13560</v>
      </c>
      <c r="U9" s="63"/>
      <c r="V9" s="107">
        <v>5.81075</v>
      </c>
      <c r="W9" s="125"/>
      <c r="X9" s="125"/>
      <c r="Y9" s="125"/>
      <c r="Z9" s="52"/>
      <c r="AA9" s="52"/>
      <c r="AB9" s="121"/>
    </row>
    <row r="10" spans="1:28">
      <c r="A10" s="56">
        <f t="shared" si="0"/>
        <v>12</v>
      </c>
      <c r="B10" s="111">
        <v>45755</v>
      </c>
      <c r="C10" s="29">
        <v>45755</v>
      </c>
      <c r="D10" s="52"/>
      <c r="E10" s="121"/>
      <c r="F10" s="122">
        <v>1848.32</v>
      </c>
      <c r="G10" s="122">
        <v>1867.75</v>
      </c>
      <c r="H10" s="122">
        <v>1875.25</v>
      </c>
      <c r="I10" s="122">
        <v>1959.29</v>
      </c>
      <c r="J10" s="122">
        <v>1935.92</v>
      </c>
      <c r="K10" s="122">
        <v>1903.02</v>
      </c>
      <c r="L10" s="122">
        <v>1896.16</v>
      </c>
      <c r="M10" s="123">
        <f t="shared" si="4"/>
        <v>13285.71</v>
      </c>
      <c r="N10" s="52">
        <v>144.77</v>
      </c>
      <c r="O10" s="52">
        <v>149.18</v>
      </c>
      <c r="P10" s="52">
        <f t="shared" si="1"/>
        <v>13230</v>
      </c>
      <c r="Q10" s="52">
        <v>2.29</v>
      </c>
      <c r="R10" s="52">
        <v>2.3</v>
      </c>
      <c r="S10" s="52">
        <f t="shared" si="2"/>
        <v>29.9999999999994</v>
      </c>
      <c r="T10" s="121">
        <f t="shared" si="3"/>
        <v>13200</v>
      </c>
      <c r="U10" s="63"/>
      <c r="V10" s="107">
        <v>5.62575</v>
      </c>
      <c r="W10" s="125"/>
      <c r="X10" s="125"/>
      <c r="Y10" s="125"/>
      <c r="Z10" s="52"/>
      <c r="AA10" s="52"/>
      <c r="AB10" s="121"/>
    </row>
    <row r="11" spans="1:28">
      <c r="A11" s="56">
        <f t="shared" si="0"/>
        <v>13</v>
      </c>
      <c r="B11" s="111">
        <v>45756</v>
      </c>
      <c r="C11" s="29">
        <v>45756</v>
      </c>
      <c r="D11" s="52"/>
      <c r="E11" s="121"/>
      <c r="F11" s="122">
        <v>1821.74</v>
      </c>
      <c r="G11" s="52">
        <v>1815.37</v>
      </c>
      <c r="H11" s="52">
        <v>1854.46</v>
      </c>
      <c r="I11" s="52">
        <v>1962.77</v>
      </c>
      <c r="J11" s="52">
        <v>1919.49</v>
      </c>
      <c r="K11" s="52">
        <v>1822.93</v>
      </c>
      <c r="L11" s="52">
        <v>1816.06</v>
      </c>
      <c r="M11" s="123">
        <f t="shared" si="4"/>
        <v>13012.82</v>
      </c>
      <c r="N11" s="124">
        <v>149.18</v>
      </c>
      <c r="O11" s="52">
        <v>153.49</v>
      </c>
      <c r="P11" s="52">
        <f t="shared" si="1"/>
        <v>12930</v>
      </c>
      <c r="Q11" s="52">
        <v>2.3</v>
      </c>
      <c r="R11" s="52">
        <v>2.31</v>
      </c>
      <c r="S11" s="52">
        <f t="shared" si="2"/>
        <v>30.0000000000007</v>
      </c>
      <c r="T11" s="121">
        <f t="shared" si="3"/>
        <v>12900</v>
      </c>
      <c r="U11" s="63"/>
      <c r="V11" s="107">
        <v>5.58175</v>
      </c>
      <c r="W11" s="125"/>
      <c r="X11" s="125"/>
      <c r="Y11" s="125"/>
      <c r="Z11" s="52"/>
      <c r="AA11" s="52"/>
      <c r="AB11" s="121"/>
    </row>
    <row r="12" spans="1:28">
      <c r="A12" s="56">
        <f t="shared" si="0"/>
        <v>14</v>
      </c>
      <c r="B12" s="111">
        <v>45757</v>
      </c>
      <c r="C12" s="29">
        <v>45757</v>
      </c>
      <c r="D12" s="52"/>
      <c r="E12" s="121"/>
      <c r="F12" s="63">
        <v>1842.03</v>
      </c>
      <c r="G12" s="52">
        <v>1834.36</v>
      </c>
      <c r="H12" s="52">
        <v>1847.15</v>
      </c>
      <c r="I12" s="52">
        <v>1960.9</v>
      </c>
      <c r="J12" s="52">
        <v>1944.94</v>
      </c>
      <c r="K12" s="52">
        <v>1833.69</v>
      </c>
      <c r="L12" s="52">
        <v>1833.3</v>
      </c>
      <c r="M12" s="123">
        <f t="shared" si="4"/>
        <v>13096.37</v>
      </c>
      <c r="N12" s="124">
        <f>O11</f>
        <v>153.49</v>
      </c>
      <c r="O12" s="52">
        <v>157.83</v>
      </c>
      <c r="P12" s="52">
        <f t="shared" si="1"/>
        <v>13020</v>
      </c>
      <c r="Q12" s="52">
        <f>R11</f>
        <v>2.31</v>
      </c>
      <c r="R12" s="52">
        <v>2.32</v>
      </c>
      <c r="S12" s="52">
        <f t="shared" si="2"/>
        <v>29.9999999999994</v>
      </c>
      <c r="T12" s="121">
        <f t="shared" si="3"/>
        <v>12990</v>
      </c>
      <c r="U12" s="63"/>
      <c r="V12" s="52">
        <v>5.5</v>
      </c>
      <c r="W12" s="125"/>
      <c r="X12" s="125"/>
      <c r="Y12" s="125"/>
      <c r="Z12" s="52"/>
      <c r="AA12" s="52"/>
      <c r="AB12" s="121" t="s">
        <v>70</v>
      </c>
    </row>
    <row r="13" spans="1:28">
      <c r="A13" s="56">
        <f t="shared" si="0"/>
        <v>15</v>
      </c>
      <c r="B13" s="111">
        <v>45758</v>
      </c>
      <c r="C13" s="29">
        <v>45758</v>
      </c>
      <c r="D13" s="52"/>
      <c r="E13" s="121"/>
      <c r="F13" s="122">
        <v>1963.34</v>
      </c>
      <c r="G13" s="52">
        <v>1954.17</v>
      </c>
      <c r="H13" s="52">
        <v>1964.66</v>
      </c>
      <c r="I13" s="52">
        <v>2086.81</v>
      </c>
      <c r="J13" s="52">
        <v>2068.93</v>
      </c>
      <c r="K13" s="52">
        <v>1968.66</v>
      </c>
      <c r="L13" s="52">
        <v>1945.98</v>
      </c>
      <c r="M13" s="123">
        <f t="shared" si="4"/>
        <v>13952.55</v>
      </c>
      <c r="N13" s="124">
        <f t="shared" ref="N13:N76" si="5">O12</f>
        <v>157.83</v>
      </c>
      <c r="O13" s="52">
        <v>162.47</v>
      </c>
      <c r="P13" s="52">
        <f t="shared" si="1"/>
        <v>13920</v>
      </c>
      <c r="Q13" s="52">
        <f t="shared" ref="Q13:Q76" si="6">R12</f>
        <v>2.32</v>
      </c>
      <c r="R13" s="52">
        <v>2.33</v>
      </c>
      <c r="S13" s="52">
        <f t="shared" si="2"/>
        <v>30.0000000000007</v>
      </c>
      <c r="T13" s="121">
        <f t="shared" si="3"/>
        <v>13890</v>
      </c>
      <c r="U13" s="63"/>
      <c r="V13" s="52">
        <v>5.84</v>
      </c>
      <c r="W13" s="52"/>
      <c r="X13" s="52"/>
      <c r="Y13" s="52"/>
      <c r="Z13" s="52"/>
      <c r="AA13" s="52"/>
      <c r="AB13" s="121"/>
    </row>
    <row r="14" spans="1:28">
      <c r="A14" s="56">
        <f t="shared" si="0"/>
        <v>16</v>
      </c>
      <c r="B14" s="111">
        <v>45759</v>
      </c>
      <c r="C14" s="29">
        <v>45759</v>
      </c>
      <c r="D14" s="52"/>
      <c r="E14" s="121"/>
      <c r="F14" s="122">
        <v>1842.4</v>
      </c>
      <c r="G14" s="52">
        <v>1918.81</v>
      </c>
      <c r="H14" s="52">
        <v>1928.86</v>
      </c>
      <c r="I14" s="52">
        <v>2067.29</v>
      </c>
      <c r="J14" s="52">
        <v>2060.71</v>
      </c>
      <c r="K14" s="52">
        <v>1961.26</v>
      </c>
      <c r="L14" s="52">
        <v>1889.97</v>
      </c>
      <c r="M14" s="123">
        <f t="shared" si="4"/>
        <v>13669.3</v>
      </c>
      <c r="N14" s="124">
        <f t="shared" si="5"/>
        <v>162.47</v>
      </c>
      <c r="O14" s="52">
        <v>167</v>
      </c>
      <c r="P14" s="52">
        <f t="shared" si="1"/>
        <v>13590</v>
      </c>
      <c r="Q14" s="52">
        <f t="shared" si="6"/>
        <v>2.33</v>
      </c>
      <c r="R14" s="52">
        <v>2.34</v>
      </c>
      <c r="S14" s="52">
        <f t="shared" si="2"/>
        <v>29.9999999999994</v>
      </c>
      <c r="T14" s="121">
        <f t="shared" si="3"/>
        <v>13560</v>
      </c>
      <c r="U14" s="63"/>
      <c r="V14" s="52">
        <v>5.8</v>
      </c>
      <c r="W14" s="52"/>
      <c r="X14" s="52"/>
      <c r="Y14" s="52"/>
      <c r="Z14" s="52"/>
      <c r="AA14" s="52"/>
      <c r="AB14" s="121" t="s">
        <v>70</v>
      </c>
    </row>
    <row r="15" spans="1:28">
      <c r="A15" s="56">
        <f t="shared" si="0"/>
        <v>17</v>
      </c>
      <c r="B15" s="111">
        <v>45760</v>
      </c>
      <c r="C15" s="29">
        <v>45760</v>
      </c>
      <c r="D15" s="52"/>
      <c r="E15" s="121"/>
      <c r="F15" s="122">
        <v>1673.29</v>
      </c>
      <c r="G15" s="52">
        <v>1672.24</v>
      </c>
      <c r="H15" s="52">
        <v>1680.55</v>
      </c>
      <c r="I15" s="52">
        <v>1774.79</v>
      </c>
      <c r="J15" s="52">
        <v>1766.34</v>
      </c>
      <c r="K15" s="52">
        <v>1756.63</v>
      </c>
      <c r="L15" s="52">
        <v>1707.53</v>
      </c>
      <c r="M15" s="123">
        <f t="shared" si="4"/>
        <v>12031.37</v>
      </c>
      <c r="N15" s="124">
        <f t="shared" si="5"/>
        <v>167</v>
      </c>
      <c r="O15" s="52">
        <v>171</v>
      </c>
      <c r="P15" s="52">
        <f t="shared" si="1"/>
        <v>12000</v>
      </c>
      <c r="Q15" s="52">
        <f t="shared" si="6"/>
        <v>2.34</v>
      </c>
      <c r="R15" s="52">
        <v>2.35</v>
      </c>
      <c r="S15" s="52">
        <f t="shared" si="2"/>
        <v>30.0000000000007</v>
      </c>
      <c r="T15" s="121">
        <f t="shared" si="3"/>
        <v>11970</v>
      </c>
      <c r="U15" s="63"/>
      <c r="V15" s="52">
        <v>5.18</v>
      </c>
      <c r="W15" s="52"/>
      <c r="X15" s="52"/>
      <c r="Y15" s="52"/>
      <c r="Z15" s="52"/>
      <c r="AA15" s="52"/>
      <c r="AB15" s="121" t="s">
        <v>70</v>
      </c>
    </row>
    <row r="16" spans="1:28">
      <c r="A16" s="56">
        <f t="shared" si="0"/>
        <v>18</v>
      </c>
      <c r="B16" s="111">
        <v>45761</v>
      </c>
      <c r="C16" s="29">
        <v>45761</v>
      </c>
      <c r="D16" s="52"/>
      <c r="E16" s="121"/>
      <c r="F16" s="122">
        <v>1952.59</v>
      </c>
      <c r="G16" s="52">
        <v>1988.01</v>
      </c>
      <c r="H16" s="52">
        <v>2002.92</v>
      </c>
      <c r="I16" s="52">
        <v>2108.16</v>
      </c>
      <c r="J16" s="52">
        <v>2100.86</v>
      </c>
      <c r="K16" s="52">
        <v>2029.73</v>
      </c>
      <c r="L16" s="52">
        <v>1974.38</v>
      </c>
      <c r="M16" s="123">
        <f t="shared" si="4"/>
        <v>14156.65</v>
      </c>
      <c r="N16" s="124">
        <f t="shared" si="5"/>
        <v>171</v>
      </c>
      <c r="O16" s="52">
        <v>175.69</v>
      </c>
      <c r="P16" s="52">
        <f t="shared" si="1"/>
        <v>14070</v>
      </c>
      <c r="Q16" s="52">
        <f t="shared" si="6"/>
        <v>2.35</v>
      </c>
      <c r="R16" s="52">
        <v>2.36</v>
      </c>
      <c r="S16" s="52">
        <f t="shared" si="2"/>
        <v>29.9999999999994</v>
      </c>
      <c r="T16" s="121">
        <f t="shared" si="3"/>
        <v>14040</v>
      </c>
      <c r="U16" s="63"/>
      <c r="V16" s="52">
        <v>6</v>
      </c>
      <c r="W16" s="52"/>
      <c r="X16" s="52"/>
      <c r="Y16" s="52"/>
      <c r="Z16" s="52"/>
      <c r="AA16" s="52"/>
      <c r="AB16" s="121" t="s">
        <v>70</v>
      </c>
    </row>
    <row r="17" spans="1:28">
      <c r="A17" s="56">
        <f t="shared" si="0"/>
        <v>19</v>
      </c>
      <c r="B17" s="111">
        <v>45762</v>
      </c>
      <c r="C17" s="29">
        <v>45762</v>
      </c>
      <c r="D17" s="52"/>
      <c r="E17" s="121"/>
      <c r="F17" s="122">
        <v>1974.76</v>
      </c>
      <c r="G17" s="52">
        <v>1993.71</v>
      </c>
      <c r="H17" s="52">
        <v>1977.81</v>
      </c>
      <c r="I17" s="52">
        <v>2076.65</v>
      </c>
      <c r="J17" s="52">
        <v>2065.61</v>
      </c>
      <c r="K17" s="52">
        <v>2004.68</v>
      </c>
      <c r="L17" s="52">
        <v>2001.35</v>
      </c>
      <c r="M17" s="123">
        <f t="shared" si="4"/>
        <v>14094.57</v>
      </c>
      <c r="N17" s="124">
        <f t="shared" si="5"/>
        <v>175.69</v>
      </c>
      <c r="O17" s="52">
        <v>180.36</v>
      </c>
      <c r="P17" s="52">
        <f t="shared" si="1"/>
        <v>14010</v>
      </c>
      <c r="Q17" s="52">
        <f t="shared" si="6"/>
        <v>2.36</v>
      </c>
      <c r="R17" s="52">
        <v>2.37</v>
      </c>
      <c r="S17" s="52">
        <f t="shared" si="2"/>
        <v>30.0000000000007</v>
      </c>
      <c r="T17" s="121">
        <f t="shared" si="3"/>
        <v>13980</v>
      </c>
      <c r="U17" s="63"/>
      <c r="V17" s="52">
        <v>5.85</v>
      </c>
      <c r="W17" s="52"/>
      <c r="X17" s="52"/>
      <c r="Y17" s="52"/>
      <c r="Z17" s="52"/>
      <c r="AA17" s="52"/>
      <c r="AB17" s="121" t="s">
        <v>70</v>
      </c>
    </row>
    <row r="18" spans="1:28">
      <c r="A18" s="56">
        <f t="shared" si="0"/>
        <v>20</v>
      </c>
      <c r="B18" s="111">
        <v>45763</v>
      </c>
      <c r="C18" s="29">
        <v>45763</v>
      </c>
      <c r="D18" s="52"/>
      <c r="E18" s="121"/>
      <c r="F18" s="122">
        <v>788.49</v>
      </c>
      <c r="G18" s="52">
        <v>785.73</v>
      </c>
      <c r="H18" s="52">
        <v>787.52</v>
      </c>
      <c r="I18" s="52">
        <v>828.68</v>
      </c>
      <c r="J18" s="52">
        <v>830.1</v>
      </c>
      <c r="K18" s="52">
        <v>827.23</v>
      </c>
      <c r="L18" s="52">
        <v>811.94</v>
      </c>
      <c r="M18" s="123">
        <f t="shared" si="4"/>
        <v>5659.69</v>
      </c>
      <c r="N18" s="124">
        <f t="shared" si="5"/>
        <v>180.36</v>
      </c>
      <c r="O18" s="52">
        <v>182.25</v>
      </c>
      <c r="P18" s="52">
        <f t="shared" si="1"/>
        <v>5669.99999999996</v>
      </c>
      <c r="Q18" s="52">
        <f t="shared" si="6"/>
        <v>2.37</v>
      </c>
      <c r="R18" s="52">
        <v>2.38</v>
      </c>
      <c r="S18" s="52">
        <f t="shared" si="2"/>
        <v>29.9999999999994</v>
      </c>
      <c r="T18" s="121">
        <f t="shared" si="3"/>
        <v>5639.99999999996</v>
      </c>
      <c r="U18" s="63"/>
      <c r="V18" s="126">
        <v>2.29</v>
      </c>
      <c r="W18" s="52">
        <v>35.67</v>
      </c>
      <c r="X18" s="52"/>
      <c r="Y18" s="52"/>
      <c r="Z18" s="52"/>
      <c r="AA18" s="52"/>
      <c r="AB18" s="121" t="s">
        <v>70</v>
      </c>
    </row>
    <row r="19" spans="1:28">
      <c r="A19" s="56">
        <f t="shared" si="0"/>
        <v>21</v>
      </c>
      <c r="B19" s="111">
        <v>45764</v>
      </c>
      <c r="C19" s="29">
        <v>45764</v>
      </c>
      <c r="D19" s="52"/>
      <c r="E19" s="121"/>
      <c r="F19" s="122">
        <v>1977.99</v>
      </c>
      <c r="G19" s="52">
        <v>2035.23</v>
      </c>
      <c r="H19" s="52">
        <v>2039.84</v>
      </c>
      <c r="I19" s="52">
        <v>2145.76</v>
      </c>
      <c r="J19" s="56">
        <v>2143.04</v>
      </c>
      <c r="K19" s="56">
        <v>2103.82</v>
      </c>
      <c r="L19" s="56">
        <v>2056.41</v>
      </c>
      <c r="M19" s="123">
        <f t="shared" si="4"/>
        <v>14502.09</v>
      </c>
      <c r="N19" s="124">
        <f t="shared" si="5"/>
        <v>182.25</v>
      </c>
      <c r="O19" s="56">
        <v>187.05</v>
      </c>
      <c r="P19" s="52">
        <f t="shared" si="1"/>
        <v>14400</v>
      </c>
      <c r="Q19" s="52">
        <f t="shared" si="6"/>
        <v>2.38</v>
      </c>
      <c r="R19" s="52">
        <v>2.39</v>
      </c>
      <c r="S19" s="52">
        <f t="shared" si="2"/>
        <v>30.0000000000007</v>
      </c>
      <c r="T19" s="121">
        <f t="shared" si="3"/>
        <v>14370</v>
      </c>
      <c r="U19" s="63"/>
      <c r="V19" s="52">
        <v>6.08</v>
      </c>
      <c r="W19" s="52"/>
      <c r="X19" s="52"/>
      <c r="Y19" s="52"/>
      <c r="Z19" s="52"/>
      <c r="AA19" s="52"/>
      <c r="AB19" s="121" t="s">
        <v>70</v>
      </c>
    </row>
    <row r="20" spans="1:28">
      <c r="A20" s="56">
        <f t="shared" si="0"/>
        <v>22</v>
      </c>
      <c r="B20" s="111">
        <v>45765</v>
      </c>
      <c r="C20" s="29">
        <v>45765</v>
      </c>
      <c r="D20" s="52"/>
      <c r="E20" s="121"/>
      <c r="F20" s="122">
        <v>2025.69</v>
      </c>
      <c r="G20" s="52">
        <v>2028.78</v>
      </c>
      <c r="H20" s="56">
        <v>2034.75</v>
      </c>
      <c r="I20" s="52">
        <v>2034.88</v>
      </c>
      <c r="J20" s="52">
        <v>2139.47</v>
      </c>
      <c r="K20" s="52">
        <v>2088.99</v>
      </c>
      <c r="L20" s="52">
        <v>2045.64</v>
      </c>
      <c r="M20" s="123">
        <f t="shared" si="4"/>
        <v>14398.2</v>
      </c>
      <c r="N20" s="124">
        <f t="shared" si="5"/>
        <v>187.05</v>
      </c>
      <c r="O20" s="52">
        <v>191.86</v>
      </c>
      <c r="P20" s="52">
        <f t="shared" si="1"/>
        <v>14430</v>
      </c>
      <c r="Q20" s="52">
        <f t="shared" si="6"/>
        <v>2.39</v>
      </c>
      <c r="R20" s="52">
        <v>2.4</v>
      </c>
      <c r="S20" s="52">
        <f t="shared" si="2"/>
        <v>29.9999999999994</v>
      </c>
      <c r="T20" s="121">
        <f t="shared" si="3"/>
        <v>14400</v>
      </c>
      <c r="U20" s="52"/>
      <c r="V20" s="52">
        <v>6.08</v>
      </c>
      <c r="W20" s="52">
        <v>35.57</v>
      </c>
      <c r="X20" s="123"/>
      <c r="Y20" s="124"/>
      <c r="Z20" s="52"/>
      <c r="AA20" s="52"/>
      <c r="AB20" s="121" t="s">
        <v>70</v>
      </c>
    </row>
    <row r="21" spans="1:28">
      <c r="A21" s="56">
        <f t="shared" si="0"/>
        <v>23</v>
      </c>
      <c r="B21" s="111">
        <v>45766</v>
      </c>
      <c r="C21" s="29">
        <v>45766</v>
      </c>
      <c r="D21" s="52"/>
      <c r="E21" s="121"/>
      <c r="F21" s="122">
        <v>1951.34</v>
      </c>
      <c r="G21" s="52">
        <v>2008.08</v>
      </c>
      <c r="H21" s="52">
        <v>2010.19</v>
      </c>
      <c r="I21" s="52">
        <v>2138.15</v>
      </c>
      <c r="J21" s="52">
        <v>2148.49</v>
      </c>
      <c r="K21" s="52">
        <v>2018.81</v>
      </c>
      <c r="L21" s="52">
        <v>1290.67</v>
      </c>
      <c r="M21" s="123">
        <f t="shared" si="4"/>
        <v>13565.73</v>
      </c>
      <c r="N21" s="124">
        <f t="shared" si="5"/>
        <v>191.86</v>
      </c>
      <c r="O21" s="52">
        <v>196.36</v>
      </c>
      <c r="P21" s="52">
        <f t="shared" si="1"/>
        <v>13500</v>
      </c>
      <c r="Q21" s="52">
        <f t="shared" si="6"/>
        <v>2.4</v>
      </c>
      <c r="R21" s="52">
        <v>2.41</v>
      </c>
      <c r="S21" s="52">
        <f t="shared" si="2"/>
        <v>30.0000000000007</v>
      </c>
      <c r="T21" s="121">
        <f t="shared" si="3"/>
        <v>13470</v>
      </c>
      <c r="U21" s="63"/>
      <c r="V21" s="52">
        <v>6.04</v>
      </c>
      <c r="W21" s="52">
        <v>33.8</v>
      </c>
      <c r="X21" s="52"/>
      <c r="Y21" s="52"/>
      <c r="Z21" s="52"/>
      <c r="AA21" s="52"/>
      <c r="AB21" s="121" t="s">
        <v>70</v>
      </c>
    </row>
    <row r="22" spans="1:28">
      <c r="A22" s="56">
        <f t="shared" si="0"/>
        <v>24</v>
      </c>
      <c r="B22" s="111">
        <v>45767</v>
      </c>
      <c r="C22" s="29">
        <v>45767</v>
      </c>
      <c r="D22" s="52"/>
      <c r="E22" s="121"/>
      <c r="F22" s="122">
        <v>1975.37</v>
      </c>
      <c r="G22" s="52">
        <v>2007.14</v>
      </c>
      <c r="H22" s="52">
        <v>2040.76</v>
      </c>
      <c r="I22" s="52">
        <v>2160.72</v>
      </c>
      <c r="J22" s="52">
        <v>2156.02</v>
      </c>
      <c r="K22" s="52">
        <v>2057.98</v>
      </c>
      <c r="L22" s="52">
        <v>1189.68</v>
      </c>
      <c r="M22" s="123">
        <f t="shared" si="4"/>
        <v>13587.67</v>
      </c>
      <c r="N22" s="124">
        <f t="shared" si="5"/>
        <v>196.36</v>
      </c>
      <c r="O22" s="52">
        <v>200.87</v>
      </c>
      <c r="P22" s="52">
        <f t="shared" si="1"/>
        <v>13530</v>
      </c>
      <c r="Q22" s="52">
        <f t="shared" si="6"/>
        <v>2.41</v>
      </c>
      <c r="R22" s="52">
        <v>2.42</v>
      </c>
      <c r="S22" s="52">
        <f t="shared" si="2"/>
        <v>29.9999999999994</v>
      </c>
      <c r="T22" s="121">
        <f t="shared" si="3"/>
        <v>13500</v>
      </c>
      <c r="U22" s="63"/>
      <c r="V22" s="52">
        <v>6.13</v>
      </c>
      <c r="W22" s="52">
        <v>34.14</v>
      </c>
      <c r="X22" s="52"/>
      <c r="Y22" s="52"/>
      <c r="Z22" s="52"/>
      <c r="AA22" s="52"/>
      <c r="AB22" s="121" t="s">
        <v>70</v>
      </c>
    </row>
    <row r="23" spans="1:28">
      <c r="A23" s="56">
        <f t="shared" si="0"/>
        <v>25</v>
      </c>
      <c r="B23" s="111">
        <v>45768</v>
      </c>
      <c r="C23" s="29">
        <v>45768</v>
      </c>
      <c r="D23" s="52"/>
      <c r="E23" s="121"/>
      <c r="F23" s="122">
        <v>1788.16</v>
      </c>
      <c r="G23" s="52">
        <v>1896.38</v>
      </c>
      <c r="H23" s="52">
        <v>1951.13</v>
      </c>
      <c r="I23" s="52">
        <v>2079.83</v>
      </c>
      <c r="J23" s="52">
        <v>2062.5</v>
      </c>
      <c r="K23" s="52">
        <v>1839.86</v>
      </c>
      <c r="L23" s="52">
        <v>1795.23</v>
      </c>
      <c r="M23" s="123">
        <f t="shared" si="4"/>
        <v>13413.09</v>
      </c>
      <c r="N23" s="124">
        <f t="shared" si="5"/>
        <v>200.87</v>
      </c>
      <c r="O23" s="52">
        <v>205.32</v>
      </c>
      <c r="P23" s="52">
        <f t="shared" si="1"/>
        <v>13350</v>
      </c>
      <c r="Q23" s="52">
        <f t="shared" si="6"/>
        <v>2.42</v>
      </c>
      <c r="R23" s="52">
        <v>2.43</v>
      </c>
      <c r="S23" s="52">
        <f t="shared" si="2"/>
        <v>30.0000000000007</v>
      </c>
      <c r="T23" s="121">
        <f t="shared" si="3"/>
        <v>13320</v>
      </c>
      <c r="U23" s="63"/>
      <c r="V23" s="52">
        <v>6.1</v>
      </c>
      <c r="W23" s="52">
        <v>34.98</v>
      </c>
      <c r="X23" s="52"/>
      <c r="Y23" s="52"/>
      <c r="Z23" s="52"/>
      <c r="AA23" s="52"/>
      <c r="AB23" s="121" t="s">
        <v>70</v>
      </c>
    </row>
    <row r="24" spans="1:28">
      <c r="A24" s="56">
        <f t="shared" si="0"/>
        <v>26</v>
      </c>
      <c r="B24" s="111">
        <v>45769</v>
      </c>
      <c r="C24" s="29">
        <v>45769</v>
      </c>
      <c r="D24" s="52"/>
      <c r="E24" s="121"/>
      <c r="F24" s="122">
        <v>1901.85</v>
      </c>
      <c r="G24" s="52">
        <v>1985.07</v>
      </c>
      <c r="H24" s="52">
        <v>2029.06</v>
      </c>
      <c r="I24" s="52">
        <v>2114.2</v>
      </c>
      <c r="J24" s="52">
        <v>2117.29</v>
      </c>
      <c r="K24" s="52">
        <v>2022.86</v>
      </c>
      <c r="L24" s="52">
        <v>1985.33</v>
      </c>
      <c r="M24" s="123">
        <f t="shared" si="4"/>
        <v>14155.66</v>
      </c>
      <c r="N24" s="124">
        <f t="shared" si="5"/>
        <v>205.32</v>
      </c>
      <c r="O24" s="52">
        <v>210</v>
      </c>
      <c r="P24" s="52">
        <f t="shared" ref="P24:P87" si="7">MAX((O24-N24)*3000,0)</f>
        <v>14040</v>
      </c>
      <c r="Q24" s="52">
        <f t="shared" si="6"/>
        <v>2.43</v>
      </c>
      <c r="R24" s="52">
        <v>2.44</v>
      </c>
      <c r="S24" s="52">
        <f t="shared" si="2"/>
        <v>29.9999999999994</v>
      </c>
      <c r="T24" s="121">
        <f t="shared" si="3"/>
        <v>14010</v>
      </c>
      <c r="U24" s="63"/>
      <c r="V24" s="52">
        <v>6.18</v>
      </c>
      <c r="W24" s="52">
        <v>36.39</v>
      </c>
      <c r="X24" s="52"/>
      <c r="Y24" s="52"/>
      <c r="Z24" s="52"/>
      <c r="AA24" s="52"/>
      <c r="AB24" s="121" t="s">
        <v>70</v>
      </c>
    </row>
    <row r="25" spans="1:28">
      <c r="A25" s="56">
        <f t="shared" si="0"/>
        <v>27</v>
      </c>
      <c r="B25" s="111">
        <v>45770</v>
      </c>
      <c r="C25" s="29">
        <v>45770</v>
      </c>
      <c r="D25" s="52"/>
      <c r="E25" s="121"/>
      <c r="F25" s="122">
        <v>1878.4</v>
      </c>
      <c r="G25" s="52">
        <v>1882.51</v>
      </c>
      <c r="H25" s="52">
        <v>1884.98</v>
      </c>
      <c r="I25" s="52">
        <v>1996.83</v>
      </c>
      <c r="J25" s="52">
        <v>1975.88</v>
      </c>
      <c r="K25" s="52">
        <v>1966.1</v>
      </c>
      <c r="L25" s="52">
        <v>1934.02</v>
      </c>
      <c r="M25" s="123">
        <f t="shared" si="4"/>
        <v>13518.72</v>
      </c>
      <c r="N25" s="124">
        <f t="shared" si="5"/>
        <v>210</v>
      </c>
      <c r="O25" s="52">
        <v>214.47</v>
      </c>
      <c r="P25" s="52">
        <f t="shared" si="7"/>
        <v>13410</v>
      </c>
      <c r="Q25" s="52">
        <f t="shared" si="6"/>
        <v>2.44</v>
      </c>
      <c r="R25" s="52">
        <v>2.45</v>
      </c>
      <c r="S25" s="52">
        <f t="shared" si="2"/>
        <v>30.0000000000007</v>
      </c>
      <c r="T25" s="121">
        <f t="shared" si="3"/>
        <v>13380</v>
      </c>
      <c r="U25" s="63"/>
      <c r="V25" s="52">
        <v>6</v>
      </c>
      <c r="W25" s="52">
        <v>36.39</v>
      </c>
      <c r="X25" s="52"/>
      <c r="Y25" s="52"/>
      <c r="Z25" s="52"/>
      <c r="AA25" s="52"/>
      <c r="AB25" s="121" t="s">
        <v>70</v>
      </c>
    </row>
    <row r="26" spans="1:28">
      <c r="A26" s="56">
        <f t="shared" si="0"/>
        <v>28</v>
      </c>
      <c r="B26" s="111">
        <v>45771</v>
      </c>
      <c r="C26" s="29">
        <v>45771</v>
      </c>
      <c r="D26" s="52"/>
      <c r="E26" s="121"/>
      <c r="F26" s="122">
        <v>1995.4</v>
      </c>
      <c r="G26" s="52">
        <v>1987.48</v>
      </c>
      <c r="H26" s="52">
        <v>1989.32</v>
      </c>
      <c r="I26" s="52">
        <v>2083.5</v>
      </c>
      <c r="J26" s="52">
        <v>2094.35</v>
      </c>
      <c r="K26" s="52">
        <v>2090.27</v>
      </c>
      <c r="L26" s="52">
        <v>2077.18</v>
      </c>
      <c r="M26" s="123">
        <f t="shared" si="4"/>
        <v>14317.5</v>
      </c>
      <c r="N26" s="124">
        <f t="shared" si="5"/>
        <v>214.47</v>
      </c>
      <c r="O26" s="52">
        <v>219.22</v>
      </c>
      <c r="P26" s="52">
        <f t="shared" si="7"/>
        <v>14250</v>
      </c>
      <c r="Q26" s="52">
        <f t="shared" si="6"/>
        <v>2.45</v>
      </c>
      <c r="R26" s="52">
        <v>2.46</v>
      </c>
      <c r="S26" s="52">
        <f t="shared" si="2"/>
        <v>29.9999999999994</v>
      </c>
      <c r="T26" s="121">
        <f t="shared" si="3"/>
        <v>14220</v>
      </c>
      <c r="U26" s="63"/>
      <c r="V26" s="52">
        <v>6.14</v>
      </c>
      <c r="W26" s="52">
        <v>35.07</v>
      </c>
      <c r="X26" s="52"/>
      <c r="Y26" s="52"/>
      <c r="Z26" s="52"/>
      <c r="AA26" s="52"/>
      <c r="AB26" s="121" t="s">
        <v>70</v>
      </c>
    </row>
    <row r="27" spans="1:28">
      <c r="A27" s="56">
        <f t="shared" si="0"/>
        <v>29</v>
      </c>
      <c r="B27" s="111">
        <v>45772</v>
      </c>
      <c r="C27" s="29">
        <v>45772</v>
      </c>
      <c r="D27" s="52"/>
      <c r="E27" s="121"/>
      <c r="F27" s="122">
        <v>2028.14</v>
      </c>
      <c r="G27" s="52">
        <v>2036.48</v>
      </c>
      <c r="H27" s="52">
        <v>2041.13</v>
      </c>
      <c r="I27" s="52">
        <v>2130.61</v>
      </c>
      <c r="J27" s="52">
        <v>2116.63</v>
      </c>
      <c r="K27" s="52">
        <v>2114.42</v>
      </c>
      <c r="L27" s="52">
        <v>2089.69</v>
      </c>
      <c r="M27" s="123">
        <f t="shared" si="4"/>
        <v>14557.1</v>
      </c>
      <c r="N27" s="124">
        <f t="shared" si="5"/>
        <v>219.22</v>
      </c>
      <c r="O27" s="52">
        <v>224.05</v>
      </c>
      <c r="P27" s="52">
        <f t="shared" si="7"/>
        <v>14490</v>
      </c>
      <c r="Q27" s="52">
        <f t="shared" si="6"/>
        <v>2.46</v>
      </c>
      <c r="R27" s="52">
        <v>2.47</v>
      </c>
      <c r="S27" s="52">
        <f t="shared" si="2"/>
        <v>30.0000000000007</v>
      </c>
      <c r="T27" s="121">
        <f t="shared" si="3"/>
        <v>14460</v>
      </c>
      <c r="U27" s="63"/>
      <c r="V27" s="52">
        <v>6.26</v>
      </c>
      <c r="W27" s="52">
        <v>34.21</v>
      </c>
      <c r="X27" s="52"/>
      <c r="Y27" s="52"/>
      <c r="Z27" s="52"/>
      <c r="AA27" s="52"/>
      <c r="AB27" s="121" t="s">
        <v>70</v>
      </c>
    </row>
    <row r="28" spans="1:28">
      <c r="A28" s="56">
        <f t="shared" si="0"/>
        <v>30</v>
      </c>
      <c r="B28" s="111">
        <v>45773</v>
      </c>
      <c r="C28" s="29">
        <v>45773</v>
      </c>
      <c r="D28" s="52"/>
      <c r="E28" s="121"/>
      <c r="F28" s="122">
        <v>2029.62</v>
      </c>
      <c r="G28" s="52">
        <v>2024.87</v>
      </c>
      <c r="H28" s="52">
        <v>2030.4</v>
      </c>
      <c r="I28" s="52">
        <v>2126.02</v>
      </c>
      <c r="J28" s="52">
        <v>2110.91</v>
      </c>
      <c r="K28" s="52">
        <v>2111.38</v>
      </c>
      <c r="L28" s="52">
        <v>2085.91</v>
      </c>
      <c r="M28" s="123">
        <f t="shared" si="4"/>
        <v>14519.11</v>
      </c>
      <c r="N28" s="124">
        <f t="shared" si="5"/>
        <v>224.05</v>
      </c>
      <c r="O28" s="52">
        <v>228.86</v>
      </c>
      <c r="P28" s="52">
        <f t="shared" si="7"/>
        <v>14430</v>
      </c>
      <c r="Q28" s="52">
        <f t="shared" si="6"/>
        <v>2.47</v>
      </c>
      <c r="R28" s="52">
        <v>2.48</v>
      </c>
      <c r="S28" s="52">
        <f t="shared" si="2"/>
        <v>29.9999999999994</v>
      </c>
      <c r="T28" s="121">
        <f t="shared" si="3"/>
        <v>14400</v>
      </c>
      <c r="U28" s="63"/>
      <c r="V28" s="126">
        <v>4.79</v>
      </c>
      <c r="W28" s="52">
        <v>34.5</v>
      </c>
      <c r="X28" s="52"/>
      <c r="Y28" s="52"/>
      <c r="Z28" s="52"/>
      <c r="AA28" s="52"/>
      <c r="AB28" s="121" t="s">
        <v>70</v>
      </c>
    </row>
    <row r="29" spans="1:28">
      <c r="A29" s="56">
        <f t="shared" si="0"/>
        <v>31</v>
      </c>
      <c r="B29" s="111">
        <v>45774</v>
      </c>
      <c r="C29" s="29">
        <v>45774</v>
      </c>
      <c r="D29" s="52"/>
      <c r="E29" s="121"/>
      <c r="F29" s="122">
        <v>1994.33</v>
      </c>
      <c r="G29" s="52">
        <v>1989.53</v>
      </c>
      <c r="H29" s="52">
        <v>1995.49</v>
      </c>
      <c r="I29" s="52">
        <v>2088.54</v>
      </c>
      <c r="J29" s="52">
        <v>2074.3</v>
      </c>
      <c r="K29" s="52">
        <v>2077.1</v>
      </c>
      <c r="L29" s="52">
        <v>2048.8</v>
      </c>
      <c r="M29" s="123">
        <f t="shared" si="4"/>
        <v>14268.09</v>
      </c>
      <c r="N29" s="124">
        <f t="shared" si="5"/>
        <v>228.86</v>
      </c>
      <c r="O29" s="52">
        <v>233.6</v>
      </c>
      <c r="P29" s="52">
        <f t="shared" si="7"/>
        <v>14219.9999999999</v>
      </c>
      <c r="Q29" s="52">
        <f t="shared" si="6"/>
        <v>2.48</v>
      </c>
      <c r="R29" s="52">
        <v>2.49</v>
      </c>
      <c r="S29" s="52">
        <f t="shared" si="2"/>
        <v>30.0000000000007</v>
      </c>
      <c r="T29" s="121">
        <f t="shared" si="3"/>
        <v>14189.9999999999</v>
      </c>
      <c r="U29" s="63"/>
      <c r="V29" s="126">
        <v>5.39</v>
      </c>
      <c r="W29" s="52">
        <v>35.93</v>
      </c>
      <c r="X29" s="52"/>
      <c r="Y29" s="52"/>
      <c r="Z29" s="52"/>
      <c r="AA29" s="52"/>
      <c r="AB29" s="121" t="s">
        <v>70</v>
      </c>
    </row>
    <row r="30" spans="1:28">
      <c r="A30" s="56">
        <f t="shared" si="0"/>
        <v>32</v>
      </c>
      <c r="B30" s="111">
        <v>45775</v>
      </c>
      <c r="C30" s="29">
        <v>45775</v>
      </c>
      <c r="D30" s="80">
        <v>0.28125</v>
      </c>
      <c r="E30" s="127">
        <v>0.78125</v>
      </c>
      <c r="F30" s="122">
        <v>1996.71</v>
      </c>
      <c r="G30" s="52">
        <v>1984.21</v>
      </c>
      <c r="H30" s="52">
        <v>1988.57</v>
      </c>
      <c r="I30" s="52">
        <v>2088.69</v>
      </c>
      <c r="J30" s="52">
        <v>2073.65</v>
      </c>
      <c r="K30" s="52">
        <v>2076.25</v>
      </c>
      <c r="L30" s="52">
        <v>2045.55</v>
      </c>
      <c r="M30" s="123">
        <f t="shared" si="4"/>
        <v>14253.63</v>
      </c>
      <c r="N30" s="124">
        <f t="shared" si="5"/>
        <v>233.6</v>
      </c>
      <c r="O30" s="52">
        <v>238.33</v>
      </c>
      <c r="P30" s="52">
        <f t="shared" si="7"/>
        <v>14190.0000000001</v>
      </c>
      <c r="Q30" s="52">
        <f t="shared" si="6"/>
        <v>2.49</v>
      </c>
      <c r="R30" s="52">
        <v>2.5</v>
      </c>
      <c r="S30" s="52">
        <f t="shared" si="2"/>
        <v>29.9999999999994</v>
      </c>
      <c r="T30" s="121">
        <f t="shared" si="3"/>
        <v>14160.0000000001</v>
      </c>
      <c r="U30" s="63"/>
      <c r="V30" s="52">
        <v>6.19</v>
      </c>
      <c r="W30" s="52">
        <v>36.38</v>
      </c>
      <c r="X30" s="52"/>
      <c r="Y30" s="52"/>
      <c r="Z30" s="52"/>
      <c r="AA30" s="52"/>
      <c r="AB30" s="121" t="s">
        <v>70</v>
      </c>
    </row>
    <row r="31" spans="1:28">
      <c r="A31" s="56">
        <f t="shared" si="0"/>
        <v>33</v>
      </c>
      <c r="B31" s="111">
        <v>45776</v>
      </c>
      <c r="C31" s="29">
        <v>45776</v>
      </c>
      <c r="D31" s="80">
        <v>0.28125</v>
      </c>
      <c r="E31" s="127">
        <v>0.78125</v>
      </c>
      <c r="F31" s="122">
        <v>2044.76</v>
      </c>
      <c r="G31" s="52">
        <v>2019.81</v>
      </c>
      <c r="H31" s="52">
        <v>2026.65</v>
      </c>
      <c r="I31" s="52">
        <v>2130.06</v>
      </c>
      <c r="J31" s="52">
        <v>2115.2</v>
      </c>
      <c r="K31" s="52">
        <v>2112.2</v>
      </c>
      <c r="L31" s="52">
        <v>2083.24</v>
      </c>
      <c r="M31" s="123">
        <f t="shared" si="4"/>
        <v>14531.92</v>
      </c>
      <c r="N31" s="124">
        <f t="shared" si="5"/>
        <v>238.33</v>
      </c>
      <c r="O31" s="52">
        <v>243.15</v>
      </c>
      <c r="P31" s="52">
        <f t="shared" si="7"/>
        <v>14460</v>
      </c>
      <c r="Q31" s="52">
        <f t="shared" si="6"/>
        <v>2.5</v>
      </c>
      <c r="R31" s="52">
        <v>2.51</v>
      </c>
      <c r="S31" s="52">
        <f t="shared" si="2"/>
        <v>29.9999999999994</v>
      </c>
      <c r="T31" s="121">
        <f t="shared" si="3"/>
        <v>14430</v>
      </c>
      <c r="U31" s="63"/>
      <c r="V31" s="52">
        <v>6.29</v>
      </c>
      <c r="W31" s="52">
        <v>36.86</v>
      </c>
      <c r="X31" s="52"/>
      <c r="Y31" s="52"/>
      <c r="Z31" s="52"/>
      <c r="AA31" s="52"/>
      <c r="AB31" s="121" t="s">
        <v>70</v>
      </c>
    </row>
    <row r="32" spans="1:28">
      <c r="A32" s="56">
        <f t="shared" si="0"/>
        <v>34</v>
      </c>
      <c r="B32" s="111">
        <v>45777</v>
      </c>
      <c r="C32" s="29">
        <v>45777</v>
      </c>
      <c r="D32" s="80">
        <v>0.28125</v>
      </c>
      <c r="E32" s="127">
        <v>0.78125</v>
      </c>
      <c r="F32" s="122">
        <v>1996.33</v>
      </c>
      <c r="G32" s="52">
        <v>1970.12</v>
      </c>
      <c r="H32" s="52">
        <v>1975.8</v>
      </c>
      <c r="I32" s="52">
        <v>2077.24</v>
      </c>
      <c r="J32" s="52">
        <v>2057.78</v>
      </c>
      <c r="K32" s="52">
        <v>2054.03</v>
      </c>
      <c r="L32" s="52">
        <v>2030.39</v>
      </c>
      <c r="M32" s="123">
        <f t="shared" si="4"/>
        <v>14161.69</v>
      </c>
      <c r="N32" s="124">
        <f t="shared" si="5"/>
        <v>243.15</v>
      </c>
      <c r="O32" s="52">
        <v>247.85</v>
      </c>
      <c r="P32" s="52">
        <f t="shared" si="7"/>
        <v>14100</v>
      </c>
      <c r="Q32" s="52">
        <f t="shared" si="6"/>
        <v>2.51</v>
      </c>
      <c r="R32" s="52">
        <v>2.52</v>
      </c>
      <c r="S32" s="52">
        <f t="shared" si="2"/>
        <v>30.0000000000007</v>
      </c>
      <c r="T32" s="121">
        <f t="shared" si="3"/>
        <v>14070</v>
      </c>
      <c r="U32" s="63"/>
      <c r="V32" s="52">
        <v>6.11</v>
      </c>
      <c r="W32" s="52">
        <v>35.7</v>
      </c>
      <c r="X32" s="52"/>
      <c r="Y32" s="52"/>
      <c r="Z32" s="52"/>
      <c r="AA32" s="52"/>
      <c r="AB32" s="121" t="s">
        <v>70</v>
      </c>
    </row>
    <row r="33" spans="1:28">
      <c r="A33" s="56">
        <f t="shared" si="0"/>
        <v>35</v>
      </c>
      <c r="B33" s="111">
        <v>45778</v>
      </c>
      <c r="C33" s="29">
        <v>45778</v>
      </c>
      <c r="D33" s="80">
        <v>0.28125</v>
      </c>
      <c r="E33" s="127">
        <v>0.78125</v>
      </c>
      <c r="F33" s="122">
        <v>2026.21</v>
      </c>
      <c r="G33" s="52">
        <v>2013.32</v>
      </c>
      <c r="H33" s="52">
        <v>1985.18</v>
      </c>
      <c r="I33" s="52">
        <v>2083.83</v>
      </c>
      <c r="J33" s="52">
        <v>2062.34</v>
      </c>
      <c r="K33" s="52">
        <v>2062.25</v>
      </c>
      <c r="L33" s="52">
        <v>2033.98</v>
      </c>
      <c r="M33" s="123">
        <f t="shared" si="4"/>
        <v>14267.11</v>
      </c>
      <c r="N33" s="124">
        <f t="shared" si="5"/>
        <v>247.85</v>
      </c>
      <c r="O33" s="52">
        <v>252.57</v>
      </c>
      <c r="P33" s="52">
        <f t="shared" si="7"/>
        <v>14160</v>
      </c>
      <c r="Q33" s="52">
        <f t="shared" si="6"/>
        <v>2.52</v>
      </c>
      <c r="R33" s="52">
        <v>2.54</v>
      </c>
      <c r="S33" s="52">
        <f t="shared" si="2"/>
        <v>60.0000000000001</v>
      </c>
      <c r="T33" s="121">
        <f t="shared" si="3"/>
        <v>14100</v>
      </c>
      <c r="U33" s="63"/>
      <c r="V33" s="52">
        <v>6.15</v>
      </c>
      <c r="W33" s="52">
        <v>35.41</v>
      </c>
      <c r="X33" s="52"/>
      <c r="Y33" s="52"/>
      <c r="Z33" s="52"/>
      <c r="AA33" s="52"/>
      <c r="AB33" s="121" t="s">
        <v>70</v>
      </c>
    </row>
    <row r="34" spans="1:28">
      <c r="A34" s="56">
        <f t="shared" si="0"/>
        <v>36</v>
      </c>
      <c r="B34" s="111">
        <v>45779</v>
      </c>
      <c r="C34" s="29">
        <v>45779</v>
      </c>
      <c r="D34" s="80">
        <v>0.28125</v>
      </c>
      <c r="E34" s="127">
        <v>0.78125</v>
      </c>
      <c r="F34" s="122">
        <v>2090.6</v>
      </c>
      <c r="G34" s="52">
        <v>2100.55</v>
      </c>
      <c r="H34" s="52">
        <v>2084.02</v>
      </c>
      <c r="I34" s="52">
        <v>2136.4</v>
      </c>
      <c r="J34" s="52">
        <v>2108.4</v>
      </c>
      <c r="K34" s="52">
        <v>2077.87</v>
      </c>
      <c r="L34" s="52">
        <v>2059.08</v>
      </c>
      <c r="M34" s="123">
        <f t="shared" si="4"/>
        <v>14656.92</v>
      </c>
      <c r="N34" s="124">
        <f t="shared" si="5"/>
        <v>252.57</v>
      </c>
      <c r="O34" s="52">
        <v>257.43</v>
      </c>
      <c r="P34" s="52">
        <f t="shared" si="7"/>
        <v>14580</v>
      </c>
      <c r="Q34" s="52">
        <f t="shared" si="6"/>
        <v>2.54</v>
      </c>
      <c r="R34" s="52">
        <v>2.55</v>
      </c>
      <c r="S34" s="52">
        <f t="shared" si="2"/>
        <v>29.9999999999994</v>
      </c>
      <c r="T34" s="121">
        <f t="shared" si="3"/>
        <v>14550</v>
      </c>
      <c r="U34" s="63"/>
      <c r="V34" s="52">
        <v>6.37</v>
      </c>
      <c r="W34" s="52">
        <v>35.15</v>
      </c>
      <c r="X34" s="52"/>
      <c r="Y34" s="52"/>
      <c r="Z34" s="52"/>
      <c r="AA34" s="52"/>
      <c r="AB34" s="121" t="s">
        <v>70</v>
      </c>
    </row>
    <row r="35" spans="1:28">
      <c r="A35" s="56">
        <f t="shared" si="0"/>
        <v>37</v>
      </c>
      <c r="B35" s="111">
        <v>45780</v>
      </c>
      <c r="C35" s="29">
        <v>45780</v>
      </c>
      <c r="D35" s="80">
        <v>0.28125</v>
      </c>
      <c r="E35" s="127">
        <v>0.78125</v>
      </c>
      <c r="F35" s="122">
        <v>2017.9</v>
      </c>
      <c r="G35" s="52">
        <v>2001.08</v>
      </c>
      <c r="H35" s="52">
        <v>1998.29</v>
      </c>
      <c r="I35" s="52">
        <v>2107.24</v>
      </c>
      <c r="J35" s="52">
        <v>2090.08</v>
      </c>
      <c r="K35" s="52">
        <v>2072.24</v>
      </c>
      <c r="L35" s="52">
        <v>2064.53</v>
      </c>
      <c r="M35" s="123">
        <f t="shared" si="4"/>
        <v>14351.36</v>
      </c>
      <c r="N35" s="124">
        <f t="shared" si="5"/>
        <v>257.43</v>
      </c>
      <c r="O35" s="52">
        <v>262.19</v>
      </c>
      <c r="P35" s="52">
        <f t="shared" si="7"/>
        <v>14280</v>
      </c>
      <c r="Q35" s="52">
        <f t="shared" si="6"/>
        <v>2.55</v>
      </c>
      <c r="R35" s="52">
        <v>2.56</v>
      </c>
      <c r="S35" s="52">
        <f t="shared" si="2"/>
        <v>30.0000000000007</v>
      </c>
      <c r="T35" s="121">
        <f t="shared" si="3"/>
        <v>14250</v>
      </c>
      <c r="U35" s="63"/>
      <c r="V35" s="52">
        <v>6.04</v>
      </c>
      <c r="W35" s="52">
        <v>33.5</v>
      </c>
      <c r="X35" s="52"/>
      <c r="Y35" s="52"/>
      <c r="Z35" s="52"/>
      <c r="AA35" s="52"/>
      <c r="AB35" s="121" t="s">
        <v>70</v>
      </c>
    </row>
    <row r="36" spans="1:28">
      <c r="A36" s="56">
        <f t="shared" si="0"/>
        <v>38</v>
      </c>
      <c r="B36" s="111">
        <v>45781</v>
      </c>
      <c r="C36" s="29">
        <v>45781</v>
      </c>
      <c r="D36" s="80">
        <v>0.28125</v>
      </c>
      <c r="E36" s="127">
        <v>0.78125</v>
      </c>
      <c r="F36" s="122">
        <v>1834.03</v>
      </c>
      <c r="G36" s="52">
        <v>1817.55</v>
      </c>
      <c r="H36" s="52">
        <v>1818.25</v>
      </c>
      <c r="I36" s="52">
        <v>1922.44</v>
      </c>
      <c r="J36" s="52">
        <v>1908</v>
      </c>
      <c r="K36" s="52">
        <v>1891.53</v>
      </c>
      <c r="L36" s="52">
        <v>1895.28</v>
      </c>
      <c r="M36" s="123">
        <f t="shared" si="4"/>
        <v>13087.08</v>
      </c>
      <c r="N36" s="124">
        <f t="shared" si="5"/>
        <v>262.19</v>
      </c>
      <c r="O36" s="52">
        <v>266.54</v>
      </c>
      <c r="P36" s="52">
        <f t="shared" si="7"/>
        <v>13050.0000000001</v>
      </c>
      <c r="Q36" s="52">
        <f t="shared" si="6"/>
        <v>2.56</v>
      </c>
      <c r="R36" s="52">
        <v>2.57</v>
      </c>
      <c r="S36" s="52">
        <f t="shared" si="2"/>
        <v>29.9999999999994</v>
      </c>
      <c r="T36" s="121">
        <f t="shared" si="3"/>
        <v>13020.0000000001</v>
      </c>
      <c r="U36" s="63"/>
      <c r="V36" s="52">
        <v>5.46</v>
      </c>
      <c r="W36" s="52">
        <v>33.43</v>
      </c>
      <c r="X36" s="52"/>
      <c r="Y36" s="52"/>
      <c r="Z36" s="52"/>
      <c r="AA36" s="52"/>
      <c r="AB36" s="121" t="s">
        <v>70</v>
      </c>
    </row>
    <row r="37" spans="1:28">
      <c r="A37" s="56">
        <f t="shared" si="0"/>
        <v>39</v>
      </c>
      <c r="B37" s="111">
        <v>45782</v>
      </c>
      <c r="C37" s="29">
        <v>45782</v>
      </c>
      <c r="D37" s="80">
        <v>0.28125</v>
      </c>
      <c r="E37" s="127">
        <v>0.78125</v>
      </c>
      <c r="F37" s="122">
        <v>1806.97</v>
      </c>
      <c r="G37" s="52">
        <v>1791.49</v>
      </c>
      <c r="H37" s="52">
        <v>1791.72</v>
      </c>
      <c r="I37" s="52">
        <v>1888.35</v>
      </c>
      <c r="J37" s="52">
        <v>1876.54</v>
      </c>
      <c r="K37" s="52">
        <v>1858.44</v>
      </c>
      <c r="L37" s="52">
        <v>1859.93</v>
      </c>
      <c r="M37" s="123">
        <f t="shared" si="4"/>
        <v>12873.44</v>
      </c>
      <c r="N37" s="124">
        <f t="shared" si="5"/>
        <v>266.54</v>
      </c>
      <c r="O37" s="52">
        <v>270.82</v>
      </c>
      <c r="P37" s="52">
        <f t="shared" si="7"/>
        <v>12839.9999999999</v>
      </c>
      <c r="Q37" s="52">
        <f t="shared" si="6"/>
        <v>2.57</v>
      </c>
      <c r="R37" s="52">
        <v>2.58</v>
      </c>
      <c r="S37" s="52">
        <f t="shared" si="2"/>
        <v>30.0000000000007</v>
      </c>
      <c r="T37" s="121">
        <f t="shared" si="3"/>
        <v>12809.9999999999</v>
      </c>
      <c r="U37" s="63"/>
      <c r="V37" s="52">
        <v>5.35</v>
      </c>
      <c r="W37" s="52">
        <v>33.26</v>
      </c>
      <c r="X37" s="52"/>
      <c r="Y37" s="52"/>
      <c r="Z37" s="52"/>
      <c r="AA37" s="52"/>
      <c r="AB37" s="121" t="s">
        <v>71</v>
      </c>
    </row>
    <row r="38" spans="1:28">
      <c r="A38" s="56">
        <f t="shared" si="0"/>
        <v>40</v>
      </c>
      <c r="B38" s="111">
        <v>45783</v>
      </c>
      <c r="C38" s="29">
        <v>45783</v>
      </c>
      <c r="D38" s="80">
        <v>0.345833333333333</v>
      </c>
      <c r="E38" s="127">
        <v>0.6875</v>
      </c>
      <c r="F38" s="122">
        <v>1317.3</v>
      </c>
      <c r="G38" s="52">
        <v>1309.2</v>
      </c>
      <c r="H38" s="52">
        <v>1313.71</v>
      </c>
      <c r="I38" s="52">
        <v>1373.91</v>
      </c>
      <c r="J38" s="52">
        <v>1370.27</v>
      </c>
      <c r="K38" s="52">
        <v>1376.01</v>
      </c>
      <c r="L38" s="52">
        <v>1363.9</v>
      </c>
      <c r="M38" s="123">
        <f t="shared" si="4"/>
        <v>9424.3</v>
      </c>
      <c r="N38" s="124">
        <f t="shared" si="5"/>
        <v>270.82</v>
      </c>
      <c r="O38" s="52">
        <v>273.96</v>
      </c>
      <c r="P38" s="52">
        <f t="shared" si="7"/>
        <v>9419.99999999996</v>
      </c>
      <c r="Q38" s="52">
        <f t="shared" si="6"/>
        <v>2.58</v>
      </c>
      <c r="R38" s="52">
        <v>2.59</v>
      </c>
      <c r="S38" s="52">
        <f t="shared" si="2"/>
        <v>29.9999999999994</v>
      </c>
      <c r="T38" s="121">
        <f t="shared" si="3"/>
        <v>9389.99999999996</v>
      </c>
      <c r="U38" s="63"/>
      <c r="V38" s="52">
        <v>3.55</v>
      </c>
      <c r="W38" s="52">
        <v>31.94</v>
      </c>
      <c r="X38" s="52"/>
      <c r="Y38" s="52"/>
      <c r="Z38" s="52"/>
      <c r="AA38" s="52"/>
      <c r="AB38" s="121" t="s">
        <v>72</v>
      </c>
    </row>
    <row r="39" spans="1:28">
      <c r="A39" s="56">
        <f t="shared" si="0"/>
        <v>41</v>
      </c>
      <c r="B39" s="111">
        <v>45784</v>
      </c>
      <c r="C39" s="29">
        <v>45784</v>
      </c>
      <c r="D39" s="80">
        <v>0.28125</v>
      </c>
      <c r="E39" s="127">
        <v>0.770833333333333</v>
      </c>
      <c r="F39" s="122">
        <v>929.05</v>
      </c>
      <c r="G39" s="52">
        <v>925.15</v>
      </c>
      <c r="H39" s="52">
        <v>927.51</v>
      </c>
      <c r="I39" s="52">
        <v>966.02</v>
      </c>
      <c r="J39" s="52">
        <v>956.79</v>
      </c>
      <c r="K39" s="52">
        <v>959.16</v>
      </c>
      <c r="L39" s="52">
        <v>951.02</v>
      </c>
      <c r="M39" s="123">
        <f t="shared" si="4"/>
        <v>6614.7</v>
      </c>
      <c r="N39" s="124">
        <f t="shared" si="5"/>
        <v>273.96</v>
      </c>
      <c r="O39" s="52">
        <v>276.14</v>
      </c>
      <c r="P39" s="52">
        <f t="shared" si="7"/>
        <v>6540.00000000002</v>
      </c>
      <c r="Q39" s="52">
        <f t="shared" si="6"/>
        <v>2.59</v>
      </c>
      <c r="R39" s="52">
        <v>2.6</v>
      </c>
      <c r="S39" s="52">
        <f t="shared" si="2"/>
        <v>30.0000000000007</v>
      </c>
      <c r="T39" s="121">
        <f t="shared" si="3"/>
        <v>6510.00000000002</v>
      </c>
      <c r="U39" s="63"/>
      <c r="V39" s="52">
        <v>3.33</v>
      </c>
      <c r="W39" s="52">
        <v>26.75</v>
      </c>
      <c r="X39" s="52"/>
      <c r="Y39" s="52"/>
      <c r="Z39" s="52"/>
      <c r="AA39" s="52"/>
      <c r="AB39" s="121" t="s">
        <v>73</v>
      </c>
    </row>
    <row r="40" spans="1:28">
      <c r="A40" s="56">
        <f t="shared" si="0"/>
        <v>42</v>
      </c>
      <c r="B40" s="111">
        <v>45785</v>
      </c>
      <c r="C40" s="29">
        <v>45785</v>
      </c>
      <c r="D40" s="80">
        <v>0.28125</v>
      </c>
      <c r="E40" s="127">
        <v>0.770833333333333</v>
      </c>
      <c r="F40" s="122">
        <v>1838.54</v>
      </c>
      <c r="G40" s="52">
        <v>1835.84</v>
      </c>
      <c r="H40" s="52">
        <v>1842.84</v>
      </c>
      <c r="I40" s="52">
        <v>1939.87</v>
      </c>
      <c r="J40" s="52">
        <v>1933.94</v>
      </c>
      <c r="K40" s="52">
        <v>1918.22</v>
      </c>
      <c r="L40" s="52">
        <v>1889.83</v>
      </c>
      <c r="M40" s="123">
        <f t="shared" si="4"/>
        <v>13199.08</v>
      </c>
      <c r="N40" s="124">
        <f t="shared" si="5"/>
        <v>276.14</v>
      </c>
      <c r="O40" s="52">
        <v>280.55</v>
      </c>
      <c r="P40" s="52">
        <f t="shared" si="7"/>
        <v>13230.0000000001</v>
      </c>
      <c r="Q40" s="52">
        <f t="shared" si="6"/>
        <v>2.6</v>
      </c>
      <c r="R40" s="52">
        <v>2.61</v>
      </c>
      <c r="S40" s="52">
        <f t="shared" si="2"/>
        <v>29.9999999999994</v>
      </c>
      <c r="T40" s="121">
        <f t="shared" si="3"/>
        <v>13200.0000000001</v>
      </c>
      <c r="U40" s="63"/>
      <c r="V40" s="52">
        <v>5.53</v>
      </c>
      <c r="W40" s="52">
        <v>31.24</v>
      </c>
      <c r="X40" s="52"/>
      <c r="Y40" s="52"/>
      <c r="Z40" s="52"/>
      <c r="AA40" s="52"/>
      <c r="AB40" s="121" t="s">
        <v>72</v>
      </c>
    </row>
    <row r="41" spans="1:28">
      <c r="A41" s="56">
        <f t="shared" si="0"/>
        <v>43</v>
      </c>
      <c r="B41" s="111">
        <v>45786</v>
      </c>
      <c r="C41" s="29">
        <v>45786</v>
      </c>
      <c r="D41" s="80">
        <v>0.28125</v>
      </c>
      <c r="E41" s="127">
        <v>0.739583333333333</v>
      </c>
      <c r="F41" s="122">
        <v>1515.61</v>
      </c>
      <c r="G41" s="52">
        <v>1500.45</v>
      </c>
      <c r="H41" s="52">
        <v>1500.77</v>
      </c>
      <c r="I41" s="52">
        <v>1568.9</v>
      </c>
      <c r="J41" s="52">
        <v>1558.6</v>
      </c>
      <c r="K41" s="52">
        <v>1563.39</v>
      </c>
      <c r="L41" s="52">
        <v>1554.15</v>
      </c>
      <c r="M41" s="123">
        <f t="shared" si="4"/>
        <v>10761.87</v>
      </c>
      <c r="N41" s="124">
        <f t="shared" si="5"/>
        <v>280.55</v>
      </c>
      <c r="O41" s="52">
        <v>284.12</v>
      </c>
      <c r="P41" s="52">
        <f t="shared" si="7"/>
        <v>10710</v>
      </c>
      <c r="Q41" s="52">
        <f t="shared" si="6"/>
        <v>2.61</v>
      </c>
      <c r="R41" s="52">
        <v>2.62</v>
      </c>
      <c r="S41" s="52">
        <f t="shared" si="2"/>
        <v>30.0000000000007</v>
      </c>
      <c r="T41" s="121">
        <f t="shared" si="3"/>
        <v>10680</v>
      </c>
      <c r="U41" s="63"/>
      <c r="V41" s="52">
        <v>4.81</v>
      </c>
      <c r="W41" s="52">
        <v>31.95</v>
      </c>
      <c r="X41" s="52"/>
      <c r="Y41" s="52"/>
      <c r="Z41" s="52"/>
      <c r="AA41" s="52"/>
      <c r="AB41" s="121" t="s">
        <v>72</v>
      </c>
    </row>
    <row r="42" spans="1:28">
      <c r="A42" s="56">
        <f t="shared" si="0"/>
        <v>44</v>
      </c>
      <c r="B42" s="111">
        <v>45787</v>
      </c>
      <c r="C42" s="29">
        <v>45787</v>
      </c>
      <c r="D42" s="80">
        <v>0.28125</v>
      </c>
      <c r="E42" s="121">
        <v>16.31</v>
      </c>
      <c r="F42" s="122">
        <v>1459.02</v>
      </c>
      <c r="G42" s="52">
        <v>1453.74</v>
      </c>
      <c r="H42" s="52">
        <v>1461.87</v>
      </c>
      <c r="I42" s="52">
        <v>1533.37</v>
      </c>
      <c r="J42" s="52">
        <v>1524.11</v>
      </c>
      <c r="K42" s="52">
        <v>1531.14</v>
      </c>
      <c r="L42" s="52">
        <v>1423.17</v>
      </c>
      <c r="M42" s="123">
        <f t="shared" si="4"/>
        <v>10386.42</v>
      </c>
      <c r="N42" s="124">
        <f t="shared" si="5"/>
        <v>284.12</v>
      </c>
      <c r="O42" s="52">
        <v>287.58</v>
      </c>
      <c r="P42" s="52">
        <f t="shared" si="7"/>
        <v>10379.9999999999</v>
      </c>
      <c r="Q42" s="52">
        <f t="shared" si="6"/>
        <v>2.62</v>
      </c>
      <c r="R42" s="52">
        <v>2.63</v>
      </c>
      <c r="S42" s="52">
        <f t="shared" si="2"/>
        <v>29.9999999999994</v>
      </c>
      <c r="T42" s="121">
        <f t="shared" si="3"/>
        <v>10349.9999999999</v>
      </c>
      <c r="U42" s="63"/>
      <c r="V42" s="52">
        <v>4.18</v>
      </c>
      <c r="W42" s="52">
        <v>32.25</v>
      </c>
      <c r="X42" s="52"/>
      <c r="Y42" s="52"/>
      <c r="Z42" s="52"/>
      <c r="AA42" s="52"/>
      <c r="AB42" s="121" t="s">
        <v>73</v>
      </c>
    </row>
    <row r="43" spans="1:28">
      <c r="A43" s="56">
        <f t="shared" si="0"/>
        <v>45</v>
      </c>
      <c r="B43" s="111">
        <v>45788</v>
      </c>
      <c r="C43" s="29">
        <v>45788</v>
      </c>
      <c r="D43" s="80">
        <v>0.28125</v>
      </c>
      <c r="E43" s="127">
        <v>0.770833333333333</v>
      </c>
      <c r="F43" s="122">
        <v>1386.08</v>
      </c>
      <c r="G43" s="52">
        <v>1378.79</v>
      </c>
      <c r="H43" s="52">
        <v>1386.43</v>
      </c>
      <c r="I43" s="52">
        <v>1451.17</v>
      </c>
      <c r="J43" s="52">
        <v>1444.8</v>
      </c>
      <c r="K43" s="52">
        <v>1440.44</v>
      </c>
      <c r="L43" s="52">
        <v>1431</v>
      </c>
      <c r="M43" s="123">
        <f t="shared" si="4"/>
        <v>9918.71</v>
      </c>
      <c r="N43" s="124">
        <f t="shared" si="5"/>
        <v>287.58</v>
      </c>
      <c r="O43" s="52">
        <v>290.87</v>
      </c>
      <c r="P43" s="52">
        <f t="shared" si="7"/>
        <v>9870.00000000006</v>
      </c>
      <c r="Q43" s="52">
        <f t="shared" si="6"/>
        <v>2.63</v>
      </c>
      <c r="R43" s="52">
        <v>2.65</v>
      </c>
      <c r="S43" s="52">
        <f t="shared" si="2"/>
        <v>60.0000000000001</v>
      </c>
      <c r="T43" s="121">
        <f t="shared" si="3"/>
        <v>9810.00000000006</v>
      </c>
      <c r="U43" s="63"/>
      <c r="V43" s="52">
        <v>4.33</v>
      </c>
      <c r="W43" s="52">
        <v>30.16</v>
      </c>
      <c r="X43" s="52"/>
      <c r="Y43" s="52"/>
      <c r="Z43" s="52"/>
      <c r="AA43" s="52"/>
      <c r="AB43" s="121" t="s">
        <v>72</v>
      </c>
    </row>
    <row r="44" spans="1:28">
      <c r="A44" s="56">
        <f t="shared" si="0"/>
        <v>46</v>
      </c>
      <c r="B44" s="111">
        <v>45789</v>
      </c>
      <c r="C44" s="29">
        <v>45789</v>
      </c>
      <c r="D44" s="80">
        <v>0.28125</v>
      </c>
      <c r="E44" s="127">
        <v>0.78125</v>
      </c>
      <c r="F44" s="122">
        <v>1603.74</v>
      </c>
      <c r="G44" s="52">
        <v>1595.3</v>
      </c>
      <c r="H44" s="52">
        <v>1595.51</v>
      </c>
      <c r="I44" s="52">
        <v>1659.53</v>
      </c>
      <c r="J44" s="52">
        <v>1631.2</v>
      </c>
      <c r="K44" s="52">
        <v>1624.15</v>
      </c>
      <c r="L44" s="52">
        <v>1608.32</v>
      </c>
      <c r="M44" s="123">
        <f t="shared" si="4"/>
        <v>11317.75</v>
      </c>
      <c r="N44" s="124">
        <f t="shared" si="5"/>
        <v>290.87</v>
      </c>
      <c r="O44" s="52">
        <v>294.66</v>
      </c>
      <c r="P44" s="52">
        <f t="shared" si="7"/>
        <v>11370.0000000001</v>
      </c>
      <c r="Q44" s="52">
        <f t="shared" si="6"/>
        <v>2.65</v>
      </c>
      <c r="R44" s="52">
        <v>2.66</v>
      </c>
      <c r="S44" s="52">
        <f t="shared" si="2"/>
        <v>30.0000000000007</v>
      </c>
      <c r="T44" s="121">
        <f t="shared" si="3"/>
        <v>11340.0000000001</v>
      </c>
      <c r="U44" s="63"/>
      <c r="V44" s="52">
        <v>5.19</v>
      </c>
      <c r="W44" s="52">
        <v>31.2</v>
      </c>
      <c r="X44" s="52"/>
      <c r="Y44" s="52"/>
      <c r="Z44" s="52"/>
      <c r="AA44" s="52"/>
      <c r="AB44" s="121" t="s">
        <v>72</v>
      </c>
    </row>
    <row r="45" spans="1:28">
      <c r="A45" s="56">
        <f t="shared" si="0"/>
        <v>47</v>
      </c>
      <c r="B45" s="111">
        <v>45790</v>
      </c>
      <c r="C45" s="29">
        <v>45790</v>
      </c>
      <c r="D45" s="80">
        <v>0.28125</v>
      </c>
      <c r="E45" s="127">
        <v>0.760416666666667</v>
      </c>
      <c r="F45" s="122">
        <v>1866.04</v>
      </c>
      <c r="G45" s="52">
        <v>1865.93</v>
      </c>
      <c r="H45" s="52">
        <v>1875.47</v>
      </c>
      <c r="I45" s="52">
        <v>1949.37</v>
      </c>
      <c r="J45" s="52">
        <v>1932.99</v>
      </c>
      <c r="K45" s="52">
        <v>1923.69</v>
      </c>
      <c r="L45" s="52">
        <v>1907.06</v>
      </c>
      <c r="M45" s="123">
        <f t="shared" si="4"/>
        <v>13320.55</v>
      </c>
      <c r="N45" s="124">
        <f t="shared" si="5"/>
        <v>294.66</v>
      </c>
      <c r="O45" s="107">
        <v>299.1</v>
      </c>
      <c r="P45" s="52">
        <f t="shared" si="7"/>
        <v>13320</v>
      </c>
      <c r="Q45" s="52">
        <f t="shared" si="6"/>
        <v>2.66</v>
      </c>
      <c r="R45" s="52">
        <v>2.67</v>
      </c>
      <c r="S45" s="52">
        <f t="shared" si="2"/>
        <v>29.9999999999994</v>
      </c>
      <c r="T45" s="121">
        <f t="shared" si="3"/>
        <v>13290</v>
      </c>
      <c r="U45" s="63"/>
      <c r="V45" s="52">
        <v>4.58</v>
      </c>
      <c r="W45" s="52">
        <v>30.36</v>
      </c>
      <c r="X45" s="52"/>
      <c r="Y45" s="52"/>
      <c r="Z45" s="52"/>
      <c r="AA45" s="52"/>
      <c r="AB45" s="121" t="s">
        <v>72</v>
      </c>
    </row>
    <row r="46" spans="1:28">
      <c r="A46" s="56">
        <f t="shared" si="0"/>
        <v>48</v>
      </c>
      <c r="B46" s="111">
        <v>45791</v>
      </c>
      <c r="C46" s="29">
        <v>45791</v>
      </c>
      <c r="D46" s="80">
        <v>0.270833333333333</v>
      </c>
      <c r="E46" s="127">
        <v>0.78125</v>
      </c>
      <c r="F46" s="122">
        <v>1982.74</v>
      </c>
      <c r="G46" s="52">
        <v>1968.1</v>
      </c>
      <c r="H46" s="52">
        <v>1973.53</v>
      </c>
      <c r="I46" s="52">
        <v>2073.64</v>
      </c>
      <c r="J46" s="52">
        <v>2064.02</v>
      </c>
      <c r="K46" s="52">
        <v>2072.04</v>
      </c>
      <c r="L46" s="52">
        <v>2053.89</v>
      </c>
      <c r="M46" s="123">
        <f t="shared" si="4"/>
        <v>14187.96</v>
      </c>
      <c r="N46" s="124">
        <f t="shared" si="5"/>
        <v>299.1</v>
      </c>
      <c r="O46" s="52">
        <v>303.8</v>
      </c>
      <c r="P46" s="52">
        <f t="shared" si="7"/>
        <v>14100</v>
      </c>
      <c r="Q46" s="52">
        <f t="shared" si="6"/>
        <v>2.67</v>
      </c>
      <c r="R46" s="52">
        <v>2.68</v>
      </c>
      <c r="S46" s="52">
        <f t="shared" si="2"/>
        <v>30.0000000000007</v>
      </c>
      <c r="T46" s="121">
        <f t="shared" si="3"/>
        <v>14070</v>
      </c>
      <c r="U46" s="63"/>
      <c r="V46" s="52">
        <v>6.4</v>
      </c>
      <c r="W46" s="52">
        <v>33.67</v>
      </c>
      <c r="X46" s="52"/>
      <c r="Y46" s="52"/>
      <c r="Z46" s="52"/>
      <c r="AA46" s="52"/>
      <c r="AB46" s="121" t="s">
        <v>70</v>
      </c>
    </row>
    <row r="47" spans="1:28">
      <c r="A47" s="56">
        <f t="shared" si="0"/>
        <v>49</v>
      </c>
      <c r="B47" s="111">
        <v>45792</v>
      </c>
      <c r="C47" s="29">
        <v>45792</v>
      </c>
      <c r="D47" s="80">
        <v>0.28125</v>
      </c>
      <c r="E47" s="127">
        <v>0.791666666666667</v>
      </c>
      <c r="F47" s="122">
        <v>1947.04</v>
      </c>
      <c r="G47" s="52">
        <v>1930.7</v>
      </c>
      <c r="H47" s="52">
        <v>1929.67</v>
      </c>
      <c r="I47" s="52">
        <v>2024.32</v>
      </c>
      <c r="J47" s="52">
        <v>1999.12</v>
      </c>
      <c r="K47" s="52">
        <v>1988.86</v>
      </c>
      <c r="L47" s="52">
        <v>1972.18</v>
      </c>
      <c r="M47" s="123">
        <f t="shared" si="4"/>
        <v>13791.89</v>
      </c>
      <c r="N47" s="124">
        <f t="shared" si="5"/>
        <v>303.8</v>
      </c>
      <c r="O47" s="52">
        <v>308.41</v>
      </c>
      <c r="P47" s="52">
        <f t="shared" si="7"/>
        <v>13830</v>
      </c>
      <c r="Q47" s="52">
        <f t="shared" si="6"/>
        <v>2.68</v>
      </c>
      <c r="R47" s="52">
        <v>2.69</v>
      </c>
      <c r="S47" s="52">
        <f t="shared" si="2"/>
        <v>29.9999999999994</v>
      </c>
      <c r="T47" s="121">
        <f t="shared" si="3"/>
        <v>13800</v>
      </c>
      <c r="U47" s="63"/>
      <c r="V47" s="52">
        <v>6.56</v>
      </c>
      <c r="W47" s="52">
        <v>33.4</v>
      </c>
      <c r="X47" s="52"/>
      <c r="Y47" s="52"/>
      <c r="Z47" s="52"/>
      <c r="AA47" s="52"/>
      <c r="AB47" s="121" t="s">
        <v>72</v>
      </c>
    </row>
    <row r="48" spans="1:28">
      <c r="A48" s="56">
        <f t="shared" si="0"/>
        <v>50</v>
      </c>
      <c r="B48" s="111">
        <v>45793</v>
      </c>
      <c r="C48" s="29">
        <v>45793</v>
      </c>
      <c r="D48" s="80">
        <v>0.270833333333333</v>
      </c>
      <c r="E48" s="127">
        <v>0.791666666666667</v>
      </c>
      <c r="F48" s="122">
        <v>2037.14</v>
      </c>
      <c r="G48" s="52">
        <v>2022.46</v>
      </c>
      <c r="H48" s="52">
        <v>2027.48</v>
      </c>
      <c r="I48" s="52">
        <v>2128.62</v>
      </c>
      <c r="J48" s="52">
        <v>2113.43</v>
      </c>
      <c r="K48" s="52">
        <v>2111.6</v>
      </c>
      <c r="L48" s="52">
        <v>2090.93</v>
      </c>
      <c r="M48" s="123">
        <f t="shared" si="4"/>
        <v>14531.66</v>
      </c>
      <c r="N48" s="124">
        <f t="shared" si="5"/>
        <v>308.41</v>
      </c>
      <c r="O48" s="52">
        <v>313.32</v>
      </c>
      <c r="P48" s="52">
        <f t="shared" si="7"/>
        <v>14729.9999999999</v>
      </c>
      <c r="Q48" s="52">
        <f t="shared" si="6"/>
        <v>2.69</v>
      </c>
      <c r="R48" s="52">
        <v>2.7</v>
      </c>
      <c r="S48" s="52">
        <f t="shared" si="2"/>
        <v>30.0000000000007</v>
      </c>
      <c r="T48" s="121">
        <f t="shared" si="3"/>
        <v>14699.9999999999</v>
      </c>
      <c r="U48" s="63"/>
      <c r="V48" s="52">
        <v>5.94</v>
      </c>
      <c r="W48" s="52">
        <v>33.45</v>
      </c>
      <c r="X48" s="52"/>
      <c r="Y48" s="52"/>
      <c r="Z48" s="52"/>
      <c r="AA48" s="52"/>
      <c r="AB48" s="121" t="s">
        <v>72</v>
      </c>
    </row>
    <row r="49" spans="1:28">
      <c r="A49" s="56">
        <f t="shared" si="0"/>
        <v>51</v>
      </c>
      <c r="B49" s="111">
        <v>45794</v>
      </c>
      <c r="C49" s="29">
        <v>45794</v>
      </c>
      <c r="D49" s="80">
        <v>0.270833333333333</v>
      </c>
      <c r="E49" s="127">
        <v>0.78125</v>
      </c>
      <c r="F49" s="122">
        <v>1989.59</v>
      </c>
      <c r="G49" s="52">
        <v>1973.06</v>
      </c>
      <c r="H49" s="52">
        <v>1978.16</v>
      </c>
      <c r="I49" s="52">
        <v>2078.67</v>
      </c>
      <c r="J49" s="52">
        <v>2059.85</v>
      </c>
      <c r="K49" s="52">
        <v>2064.48</v>
      </c>
      <c r="L49" s="52">
        <v>2035.13</v>
      </c>
      <c r="M49" s="123">
        <f t="shared" si="4"/>
        <v>14178.94</v>
      </c>
      <c r="N49" s="124">
        <f t="shared" si="5"/>
        <v>313.32</v>
      </c>
      <c r="O49" s="52">
        <v>318.03</v>
      </c>
      <c r="P49" s="52">
        <f t="shared" si="7"/>
        <v>14129.9999999999</v>
      </c>
      <c r="Q49" s="52">
        <f t="shared" si="6"/>
        <v>2.7</v>
      </c>
      <c r="R49" s="52">
        <v>2.71</v>
      </c>
      <c r="S49" s="52">
        <f t="shared" si="2"/>
        <v>29.9999999999994</v>
      </c>
      <c r="T49" s="121">
        <f t="shared" si="3"/>
        <v>14099.9999999999</v>
      </c>
      <c r="U49" s="63"/>
      <c r="V49" s="52">
        <v>6.29</v>
      </c>
      <c r="W49" s="52">
        <v>33.83</v>
      </c>
      <c r="X49" s="52"/>
      <c r="Y49" s="52"/>
      <c r="Z49" s="52"/>
      <c r="AA49" s="52"/>
      <c r="AB49" s="121" t="s">
        <v>70</v>
      </c>
    </row>
    <row r="50" spans="1:28">
      <c r="A50" s="56">
        <f t="shared" si="0"/>
        <v>52</v>
      </c>
      <c r="B50" s="111">
        <v>45795</v>
      </c>
      <c r="C50" s="29">
        <v>45795</v>
      </c>
      <c r="D50" s="80">
        <v>0.28125</v>
      </c>
      <c r="E50" s="127">
        <v>0.78125</v>
      </c>
      <c r="F50" s="122">
        <v>1926.22</v>
      </c>
      <c r="G50" s="52">
        <v>1914.89</v>
      </c>
      <c r="H50" s="52">
        <v>1990.78</v>
      </c>
      <c r="I50" s="52">
        <v>2016.6</v>
      </c>
      <c r="J50" s="52">
        <v>2005.18</v>
      </c>
      <c r="K50" s="52">
        <v>2008.58</v>
      </c>
      <c r="L50" s="52">
        <v>1981.54</v>
      </c>
      <c r="M50" s="123">
        <f t="shared" si="4"/>
        <v>13843.79</v>
      </c>
      <c r="N50" s="124">
        <f t="shared" si="5"/>
        <v>318.03</v>
      </c>
      <c r="O50" s="52">
        <v>322.59</v>
      </c>
      <c r="P50" s="52">
        <f t="shared" si="7"/>
        <v>13680</v>
      </c>
      <c r="Q50" s="52">
        <f t="shared" si="6"/>
        <v>2.71</v>
      </c>
      <c r="R50" s="52">
        <v>2.72</v>
      </c>
      <c r="S50" s="52">
        <f t="shared" si="2"/>
        <v>30.0000000000007</v>
      </c>
      <c r="T50" s="121">
        <f t="shared" si="3"/>
        <v>13650</v>
      </c>
      <c r="U50" s="63"/>
      <c r="V50" s="52">
        <v>6.62</v>
      </c>
      <c r="W50" s="52">
        <v>34.55</v>
      </c>
      <c r="X50" s="52"/>
      <c r="Y50" s="52"/>
      <c r="Z50" s="52"/>
      <c r="AA50" s="52"/>
      <c r="AB50" s="121" t="s">
        <v>70</v>
      </c>
    </row>
    <row r="51" spans="1:28">
      <c r="A51" s="56">
        <f t="shared" si="0"/>
        <v>53</v>
      </c>
      <c r="B51" s="111">
        <v>45796</v>
      </c>
      <c r="C51" s="29">
        <v>45796</v>
      </c>
      <c r="D51" s="80">
        <v>0.28125</v>
      </c>
      <c r="E51" s="127">
        <v>0.78125</v>
      </c>
      <c r="F51" s="122">
        <v>1846.75</v>
      </c>
      <c r="G51" s="52">
        <v>1833.61</v>
      </c>
      <c r="H51" s="52">
        <v>1839.33</v>
      </c>
      <c r="I51" s="52">
        <v>1832.83</v>
      </c>
      <c r="J51" s="52">
        <v>1918.12</v>
      </c>
      <c r="K51" s="52">
        <v>1923.79</v>
      </c>
      <c r="L51" s="52">
        <v>1905.22</v>
      </c>
      <c r="M51" s="123">
        <f t="shared" si="4"/>
        <v>13099.65</v>
      </c>
      <c r="N51" s="124">
        <f t="shared" si="5"/>
        <v>322.59</v>
      </c>
      <c r="O51" s="52">
        <v>326.98</v>
      </c>
      <c r="P51" s="52">
        <f t="shared" si="7"/>
        <v>13170.0000000001</v>
      </c>
      <c r="Q51" s="52">
        <f t="shared" si="6"/>
        <v>2.72</v>
      </c>
      <c r="R51" s="52">
        <v>2.73</v>
      </c>
      <c r="S51" s="52">
        <f t="shared" si="2"/>
        <v>29.9999999999994</v>
      </c>
      <c r="T51" s="121">
        <f t="shared" si="3"/>
        <v>13140.0000000001</v>
      </c>
      <c r="U51" s="63"/>
      <c r="V51" s="52">
        <v>6.1</v>
      </c>
      <c r="W51" s="52">
        <v>34.43</v>
      </c>
      <c r="X51" s="52"/>
      <c r="Y51" s="52"/>
      <c r="Z51" s="52"/>
      <c r="AA51" s="52"/>
      <c r="AB51" s="121" t="s">
        <v>70</v>
      </c>
    </row>
    <row r="52" spans="1:28">
      <c r="A52" s="56">
        <f t="shared" si="0"/>
        <v>54</v>
      </c>
      <c r="B52" s="111">
        <v>45797</v>
      </c>
      <c r="C52" s="29">
        <v>45797</v>
      </c>
      <c r="D52" s="80">
        <v>0.28125</v>
      </c>
      <c r="E52" s="127">
        <v>0.791666666666667</v>
      </c>
      <c r="F52" s="122">
        <v>1875.46</v>
      </c>
      <c r="G52" s="52">
        <v>1861.61</v>
      </c>
      <c r="H52" s="52">
        <v>1865.23</v>
      </c>
      <c r="I52" s="52">
        <v>1957.85</v>
      </c>
      <c r="J52" s="52">
        <v>1942.67</v>
      </c>
      <c r="K52" s="52">
        <v>1946.29</v>
      </c>
      <c r="L52" s="52">
        <v>1925.48</v>
      </c>
      <c r="M52" s="123">
        <f t="shared" si="4"/>
        <v>13374.59</v>
      </c>
      <c r="N52" s="124">
        <f t="shared" si="5"/>
        <v>326.98</v>
      </c>
      <c r="O52" s="52">
        <v>331.44</v>
      </c>
      <c r="P52" s="52">
        <f t="shared" si="7"/>
        <v>13379.9999999999</v>
      </c>
      <c r="Q52" s="52">
        <f t="shared" si="6"/>
        <v>2.73</v>
      </c>
      <c r="R52" s="52">
        <v>2.74</v>
      </c>
      <c r="S52" s="52">
        <f t="shared" si="2"/>
        <v>30.0000000000007</v>
      </c>
      <c r="T52" s="121">
        <f t="shared" si="3"/>
        <v>13349.9999999999</v>
      </c>
      <c r="U52" s="63"/>
      <c r="V52" s="52">
        <v>5.95</v>
      </c>
      <c r="W52" s="52">
        <v>33.8</v>
      </c>
      <c r="X52" s="52"/>
      <c r="Y52" s="52"/>
      <c r="Z52" s="52"/>
      <c r="AA52" s="52"/>
      <c r="AB52" s="121" t="s">
        <v>70</v>
      </c>
    </row>
    <row r="53" spans="1:28">
      <c r="A53" s="56">
        <f t="shared" si="0"/>
        <v>55</v>
      </c>
      <c r="B53" s="111">
        <v>45798</v>
      </c>
      <c r="C53" s="29">
        <v>45798</v>
      </c>
      <c r="D53" s="80">
        <v>0.28125</v>
      </c>
      <c r="E53" s="127">
        <v>0.791666666666667</v>
      </c>
      <c r="F53" s="122">
        <v>1575.75</v>
      </c>
      <c r="G53" s="52">
        <v>1565.95</v>
      </c>
      <c r="H53" s="52">
        <v>1568.55</v>
      </c>
      <c r="I53" s="52">
        <v>1653.98</v>
      </c>
      <c r="J53" s="52">
        <v>1635.32</v>
      </c>
      <c r="K53" s="52">
        <v>1610.63</v>
      </c>
      <c r="L53" s="52">
        <v>1587.88</v>
      </c>
      <c r="M53" s="123">
        <f t="shared" si="4"/>
        <v>11198.06</v>
      </c>
      <c r="N53" s="124">
        <f t="shared" si="5"/>
        <v>331.44</v>
      </c>
      <c r="O53" s="52">
        <v>335.16</v>
      </c>
      <c r="P53" s="52">
        <f t="shared" si="7"/>
        <v>11160.0000000001</v>
      </c>
      <c r="Q53" s="52">
        <f t="shared" si="6"/>
        <v>2.74</v>
      </c>
      <c r="R53" s="52">
        <v>2.75</v>
      </c>
      <c r="S53" s="52">
        <f t="shared" si="2"/>
        <v>29.9999999999994</v>
      </c>
      <c r="T53" s="121">
        <f t="shared" si="3"/>
        <v>11130.0000000001</v>
      </c>
      <c r="U53" s="63"/>
      <c r="V53" s="52">
        <v>4.68</v>
      </c>
      <c r="W53" s="52">
        <v>31.92</v>
      </c>
      <c r="X53" s="52"/>
      <c r="Y53" s="52"/>
      <c r="Z53" s="52"/>
      <c r="AA53" s="52"/>
      <c r="AB53" s="121" t="s">
        <v>72</v>
      </c>
    </row>
    <row r="54" spans="1:28">
      <c r="A54" s="56">
        <f t="shared" si="0"/>
        <v>56</v>
      </c>
      <c r="B54" s="111">
        <v>45799</v>
      </c>
      <c r="C54" s="29">
        <v>45799</v>
      </c>
      <c r="D54" s="80">
        <v>0.270833333333333</v>
      </c>
      <c r="E54" s="127">
        <v>0.729166666666667</v>
      </c>
      <c r="F54" s="122">
        <v>1495.03</v>
      </c>
      <c r="G54" s="52">
        <v>1481.56</v>
      </c>
      <c r="H54" s="52">
        <v>1491.79</v>
      </c>
      <c r="I54" s="52">
        <v>1559.33</v>
      </c>
      <c r="J54" s="52">
        <v>1542.98</v>
      </c>
      <c r="K54" s="52">
        <v>1546.14</v>
      </c>
      <c r="L54" s="52">
        <v>1540.24</v>
      </c>
      <c r="M54" s="123">
        <f t="shared" si="4"/>
        <v>10657.07</v>
      </c>
      <c r="N54" s="124">
        <f t="shared" si="5"/>
        <v>335.16</v>
      </c>
      <c r="O54" s="52">
        <v>338.69</v>
      </c>
      <c r="P54" s="52">
        <f t="shared" si="7"/>
        <v>10589.9999999999</v>
      </c>
      <c r="Q54" s="52">
        <f t="shared" si="6"/>
        <v>2.75</v>
      </c>
      <c r="R54" s="52">
        <v>2.76</v>
      </c>
      <c r="S54" s="52">
        <f t="shared" si="2"/>
        <v>29.9999999999994</v>
      </c>
      <c r="T54" s="121">
        <f t="shared" si="3"/>
        <v>10559.9999999999</v>
      </c>
      <c r="U54" s="63"/>
      <c r="V54" s="52">
        <v>5.61</v>
      </c>
      <c r="W54" s="52">
        <v>36.81</v>
      </c>
      <c r="X54" s="52"/>
      <c r="Y54" s="52"/>
      <c r="Z54" s="52"/>
      <c r="AA54" s="52"/>
      <c r="AB54" s="121" t="s">
        <v>72</v>
      </c>
    </row>
    <row r="55" spans="1:28">
      <c r="A55" s="56">
        <f t="shared" si="0"/>
        <v>57</v>
      </c>
      <c r="B55" s="111">
        <v>45800</v>
      </c>
      <c r="C55" s="29">
        <v>45800</v>
      </c>
      <c r="D55" s="80">
        <v>0.270833333333333</v>
      </c>
      <c r="E55" s="127">
        <v>0.802083333333333</v>
      </c>
      <c r="F55" s="122">
        <v>1783.29</v>
      </c>
      <c r="G55" s="52">
        <v>1771.54</v>
      </c>
      <c r="H55" s="52">
        <v>1776.51</v>
      </c>
      <c r="I55" s="52">
        <v>1864.28</v>
      </c>
      <c r="J55" s="52">
        <v>1851.44</v>
      </c>
      <c r="K55" s="52">
        <v>1857.99</v>
      </c>
      <c r="L55" s="52">
        <v>1846.41</v>
      </c>
      <c r="M55" s="123">
        <f t="shared" si="4"/>
        <v>12751.46</v>
      </c>
      <c r="N55" s="124">
        <f t="shared" si="5"/>
        <v>338.69</v>
      </c>
      <c r="O55" s="52">
        <v>342.92</v>
      </c>
      <c r="P55" s="52">
        <f t="shared" si="7"/>
        <v>12690.0000000001</v>
      </c>
      <c r="Q55" s="52">
        <f t="shared" si="6"/>
        <v>2.76</v>
      </c>
      <c r="R55" s="52">
        <v>2.77</v>
      </c>
      <c r="S55" s="52">
        <f t="shared" si="2"/>
        <v>30.0000000000007</v>
      </c>
      <c r="T55" s="121">
        <f t="shared" si="3"/>
        <v>12660.0000000001</v>
      </c>
      <c r="U55" s="63"/>
      <c r="V55" s="52">
        <v>5.14</v>
      </c>
      <c r="W55" s="52">
        <v>33.67</v>
      </c>
      <c r="X55" s="52"/>
      <c r="Y55" s="52"/>
      <c r="Z55" s="52"/>
      <c r="AA55" s="52"/>
      <c r="AB55" s="121" t="s">
        <v>72</v>
      </c>
    </row>
    <row r="56" spans="1:28">
      <c r="A56" s="56">
        <f t="shared" si="0"/>
        <v>58</v>
      </c>
      <c r="B56" s="111">
        <v>45801</v>
      </c>
      <c r="C56" s="29">
        <v>45801</v>
      </c>
      <c r="D56" s="80">
        <v>0.270833333333333</v>
      </c>
      <c r="E56" s="127">
        <v>0.791666666666667</v>
      </c>
      <c r="F56" s="122">
        <v>1888.82</v>
      </c>
      <c r="G56" s="52">
        <v>1871.69</v>
      </c>
      <c r="H56" s="52">
        <v>1873.1</v>
      </c>
      <c r="I56" s="52">
        <v>1963.62</v>
      </c>
      <c r="J56" s="52">
        <v>1944.34</v>
      </c>
      <c r="K56" s="52">
        <v>1946.61</v>
      </c>
      <c r="L56" s="52">
        <v>1931.25</v>
      </c>
      <c r="M56" s="123">
        <f t="shared" si="4"/>
        <v>13419.43</v>
      </c>
      <c r="N56" s="124">
        <f t="shared" si="5"/>
        <v>342.92</v>
      </c>
      <c r="O56" s="52">
        <v>347.41</v>
      </c>
      <c r="P56" s="52">
        <f t="shared" si="7"/>
        <v>13470</v>
      </c>
      <c r="Q56" s="52">
        <f t="shared" si="6"/>
        <v>2.77</v>
      </c>
      <c r="R56" s="52">
        <v>2.78</v>
      </c>
      <c r="S56" s="52">
        <f t="shared" si="2"/>
        <v>29.9999999999994</v>
      </c>
      <c r="T56" s="121">
        <f t="shared" si="3"/>
        <v>13440</v>
      </c>
      <c r="U56" s="63"/>
      <c r="V56" s="52">
        <v>5.5</v>
      </c>
      <c r="W56" s="52">
        <v>34.57</v>
      </c>
      <c r="X56" s="52"/>
      <c r="Y56" s="52"/>
      <c r="Z56" s="52"/>
      <c r="AA56" s="52"/>
      <c r="AB56" s="121" t="s">
        <v>70</v>
      </c>
    </row>
    <row r="57" spans="1:28">
      <c r="A57" s="56">
        <f t="shared" si="0"/>
        <v>59</v>
      </c>
      <c r="B57" s="111">
        <v>45802</v>
      </c>
      <c r="C57" s="29">
        <v>45802</v>
      </c>
      <c r="D57" s="80">
        <v>0.270833333333333</v>
      </c>
      <c r="E57" s="127">
        <v>0.791666666666667</v>
      </c>
      <c r="F57" s="122">
        <v>1897.61</v>
      </c>
      <c r="G57" s="52">
        <v>1878.67</v>
      </c>
      <c r="H57" s="52">
        <v>1888.47</v>
      </c>
      <c r="I57" s="52">
        <v>1979.66</v>
      </c>
      <c r="J57" s="52">
        <v>1964.68</v>
      </c>
      <c r="K57" s="52">
        <v>1965.3</v>
      </c>
      <c r="L57" s="52">
        <v>1947.18</v>
      </c>
      <c r="M57" s="123">
        <f t="shared" si="4"/>
        <v>13521.57</v>
      </c>
      <c r="N57" s="124">
        <f t="shared" si="5"/>
        <v>347.41</v>
      </c>
      <c r="O57" s="52">
        <v>351.94</v>
      </c>
      <c r="P57" s="52">
        <f t="shared" si="7"/>
        <v>13589.9999999999</v>
      </c>
      <c r="Q57" s="52">
        <f t="shared" si="6"/>
        <v>2.78</v>
      </c>
      <c r="R57" s="52">
        <v>2.79</v>
      </c>
      <c r="S57" s="52">
        <f t="shared" si="2"/>
        <v>30.0000000000007</v>
      </c>
      <c r="T57" s="121">
        <f t="shared" si="3"/>
        <v>13559.9999999999</v>
      </c>
      <c r="U57" s="63"/>
      <c r="V57" s="52">
        <v>5.86</v>
      </c>
      <c r="W57" s="52">
        <v>34.58</v>
      </c>
      <c r="X57" s="52"/>
      <c r="Y57" s="52"/>
      <c r="Z57" s="52"/>
      <c r="AA57" s="52"/>
      <c r="AB57" s="121" t="s">
        <v>70</v>
      </c>
    </row>
    <row r="58" spans="1:28">
      <c r="A58" s="56">
        <f t="shared" si="0"/>
        <v>60</v>
      </c>
      <c r="B58" s="111">
        <v>45803</v>
      </c>
      <c r="C58" s="29">
        <v>45803</v>
      </c>
      <c r="D58" s="80">
        <v>0.291666666666667</v>
      </c>
      <c r="E58" s="127">
        <v>0.791666666666667</v>
      </c>
      <c r="F58" s="122">
        <v>1515.48</v>
      </c>
      <c r="G58" s="52">
        <v>1503.39</v>
      </c>
      <c r="H58" s="52">
        <v>1507.91</v>
      </c>
      <c r="I58" s="52">
        <v>1583.75</v>
      </c>
      <c r="J58" s="52">
        <v>1571.3</v>
      </c>
      <c r="K58" s="52">
        <v>1577.24</v>
      </c>
      <c r="L58" s="52">
        <v>1561.45</v>
      </c>
      <c r="M58" s="123">
        <f t="shared" si="4"/>
        <v>10820.52</v>
      </c>
      <c r="N58" s="124">
        <f t="shared" si="5"/>
        <v>351.94</v>
      </c>
      <c r="O58" s="52">
        <v>355.56</v>
      </c>
      <c r="P58" s="52">
        <f t="shared" si="7"/>
        <v>10860</v>
      </c>
      <c r="Q58" s="52">
        <f t="shared" si="6"/>
        <v>2.79</v>
      </c>
      <c r="R58" s="52">
        <v>2.8</v>
      </c>
      <c r="S58" s="52">
        <f t="shared" si="2"/>
        <v>29.9999999999994</v>
      </c>
      <c r="T58" s="121">
        <f t="shared" si="3"/>
        <v>10830</v>
      </c>
      <c r="U58" s="63"/>
      <c r="V58" s="52">
        <v>4.5</v>
      </c>
      <c r="W58" s="52">
        <v>34.1</v>
      </c>
      <c r="X58" s="52"/>
      <c r="Y58" s="52"/>
      <c r="Z58" s="52"/>
      <c r="AA58" s="52"/>
      <c r="AB58" s="121" t="s">
        <v>72</v>
      </c>
    </row>
    <row r="59" spans="1:28">
      <c r="A59" s="56">
        <f t="shared" si="0"/>
        <v>61</v>
      </c>
      <c r="B59" s="111">
        <v>45804</v>
      </c>
      <c r="C59" s="29">
        <v>45804</v>
      </c>
      <c r="D59" s="80">
        <v>0.270833333333333</v>
      </c>
      <c r="E59" s="127">
        <v>0.791666666666667</v>
      </c>
      <c r="F59" s="122">
        <v>827.84</v>
      </c>
      <c r="G59" s="52">
        <v>821.25</v>
      </c>
      <c r="H59" s="52">
        <v>825.93</v>
      </c>
      <c r="I59" s="52">
        <v>865.98</v>
      </c>
      <c r="J59" s="52">
        <v>856.99</v>
      </c>
      <c r="K59" s="52">
        <v>856.8</v>
      </c>
      <c r="L59" s="52">
        <v>848.15</v>
      </c>
      <c r="M59" s="123">
        <f t="shared" si="4"/>
        <v>5902.94</v>
      </c>
      <c r="N59" s="124">
        <f t="shared" si="5"/>
        <v>355.56</v>
      </c>
      <c r="O59" s="52">
        <v>357.56</v>
      </c>
      <c r="P59" s="52">
        <f t="shared" si="7"/>
        <v>6000</v>
      </c>
      <c r="Q59" s="52">
        <f t="shared" si="6"/>
        <v>2.8</v>
      </c>
      <c r="R59" s="52">
        <v>2.81</v>
      </c>
      <c r="S59" s="52">
        <f t="shared" si="2"/>
        <v>30.0000000000007</v>
      </c>
      <c r="T59" s="121">
        <f t="shared" si="3"/>
        <v>5970</v>
      </c>
      <c r="U59" s="63"/>
      <c r="V59" s="52">
        <v>2.35</v>
      </c>
      <c r="W59" s="52">
        <v>29.7</v>
      </c>
      <c r="X59" s="52"/>
      <c r="Y59" s="52"/>
      <c r="Z59" s="52"/>
      <c r="AA59" s="52"/>
      <c r="AB59" s="121" t="s">
        <v>72</v>
      </c>
    </row>
    <row r="60" spans="1:28">
      <c r="A60" s="56">
        <f t="shared" si="0"/>
        <v>62</v>
      </c>
      <c r="B60" s="111">
        <v>45805</v>
      </c>
      <c r="C60" s="29">
        <v>45805</v>
      </c>
      <c r="D60" s="83"/>
      <c r="E60" s="128"/>
      <c r="F60" s="122">
        <v>1574.84</v>
      </c>
      <c r="G60" s="52">
        <v>1559.58</v>
      </c>
      <c r="H60" s="52">
        <v>1561.93</v>
      </c>
      <c r="I60" s="52">
        <v>1642.12</v>
      </c>
      <c r="J60" s="52">
        <v>1626.16</v>
      </c>
      <c r="K60" s="52">
        <v>1626.36</v>
      </c>
      <c r="L60" s="52">
        <v>1604.87</v>
      </c>
      <c r="M60" s="123">
        <f t="shared" si="4"/>
        <v>11195.86</v>
      </c>
      <c r="N60" s="124">
        <f t="shared" si="5"/>
        <v>357.56</v>
      </c>
      <c r="O60" s="52">
        <v>361.3</v>
      </c>
      <c r="P60" s="52">
        <f t="shared" si="7"/>
        <v>11220</v>
      </c>
      <c r="Q60" s="52">
        <f t="shared" si="6"/>
        <v>2.81</v>
      </c>
      <c r="R60" s="52">
        <v>2.82</v>
      </c>
      <c r="S60" s="52">
        <f t="shared" si="2"/>
        <v>29.9999999999994</v>
      </c>
      <c r="T60" s="121">
        <f t="shared" si="3"/>
        <v>11190</v>
      </c>
      <c r="U60" s="63"/>
      <c r="V60" s="83">
        <v>2.26</v>
      </c>
      <c r="W60" s="52">
        <v>34.42</v>
      </c>
      <c r="X60" s="52"/>
      <c r="Y60" s="52"/>
      <c r="Z60" s="52"/>
      <c r="AA60" s="52"/>
      <c r="AB60" s="121" t="s">
        <v>72</v>
      </c>
    </row>
    <row r="61" spans="1:28">
      <c r="A61" s="56">
        <f t="shared" si="0"/>
        <v>63</v>
      </c>
      <c r="B61" s="111">
        <v>45806</v>
      </c>
      <c r="C61" s="29">
        <v>45806</v>
      </c>
      <c r="D61" s="80">
        <v>0.28125</v>
      </c>
      <c r="E61" s="127">
        <v>0.791666666666667</v>
      </c>
      <c r="F61" s="122">
        <v>1807.57</v>
      </c>
      <c r="G61" s="52">
        <v>1792.63</v>
      </c>
      <c r="H61" s="52">
        <v>1793.85</v>
      </c>
      <c r="I61" s="52">
        <v>1884.19</v>
      </c>
      <c r="J61" s="52">
        <v>1864.4</v>
      </c>
      <c r="K61" s="52">
        <v>1867.79</v>
      </c>
      <c r="L61" s="52">
        <v>1849.54</v>
      </c>
      <c r="M61" s="123">
        <f t="shared" si="4"/>
        <v>12859.97</v>
      </c>
      <c r="N61" s="124">
        <f t="shared" si="5"/>
        <v>361.3</v>
      </c>
      <c r="O61" s="52">
        <v>365.59</v>
      </c>
      <c r="P61" s="52">
        <f t="shared" si="7"/>
        <v>12869.9999999999</v>
      </c>
      <c r="Q61" s="52">
        <f t="shared" si="6"/>
        <v>2.82</v>
      </c>
      <c r="R61" s="52">
        <v>2.83</v>
      </c>
      <c r="S61" s="52">
        <f t="shared" si="2"/>
        <v>30.0000000000007</v>
      </c>
      <c r="T61" s="121">
        <f t="shared" si="3"/>
        <v>12839.9999999999</v>
      </c>
      <c r="U61" s="63"/>
      <c r="V61" s="52">
        <v>5.53</v>
      </c>
      <c r="W61" s="52">
        <v>33.5</v>
      </c>
      <c r="X61" s="52"/>
      <c r="Y61" s="52"/>
      <c r="Z61" s="52"/>
      <c r="AA61" s="52"/>
      <c r="AB61" s="121" t="s">
        <v>72</v>
      </c>
    </row>
    <row r="62" spans="1:28">
      <c r="A62" s="56">
        <f t="shared" si="0"/>
        <v>64</v>
      </c>
      <c r="B62" s="111">
        <v>45807</v>
      </c>
      <c r="C62" s="29">
        <v>45807</v>
      </c>
      <c r="D62" s="80">
        <v>0.28125</v>
      </c>
      <c r="E62" s="127">
        <v>0.791666666666667</v>
      </c>
      <c r="F62" s="122">
        <v>1857.08</v>
      </c>
      <c r="G62" s="52">
        <v>1842.7</v>
      </c>
      <c r="H62" s="52">
        <v>1841.87</v>
      </c>
      <c r="I62" s="52">
        <v>1944.52</v>
      </c>
      <c r="J62" s="52">
        <v>1909.74</v>
      </c>
      <c r="K62" s="52">
        <v>1918.93</v>
      </c>
      <c r="L62" s="52">
        <v>1903.89</v>
      </c>
      <c r="M62" s="123">
        <f t="shared" si="4"/>
        <v>13218.73</v>
      </c>
      <c r="N62" s="124">
        <f t="shared" si="5"/>
        <v>365.59</v>
      </c>
      <c r="O62" s="52">
        <v>369.99</v>
      </c>
      <c r="P62" s="52">
        <f t="shared" si="7"/>
        <v>13200.0000000001</v>
      </c>
      <c r="Q62" s="52">
        <f t="shared" si="6"/>
        <v>2.83</v>
      </c>
      <c r="R62" s="52">
        <v>2.84</v>
      </c>
      <c r="S62" s="52">
        <f t="shared" si="2"/>
        <v>29.9999999999994</v>
      </c>
      <c r="T62" s="121">
        <f t="shared" si="3"/>
        <v>13170.0000000001</v>
      </c>
      <c r="U62" s="63"/>
      <c r="V62" s="52">
        <v>5.86</v>
      </c>
      <c r="W62" s="52">
        <v>33.58</v>
      </c>
      <c r="X62" s="52"/>
      <c r="Y62" s="52"/>
      <c r="Z62" s="52"/>
      <c r="AA62" s="52"/>
      <c r="AB62" s="121" t="s">
        <v>70</v>
      </c>
    </row>
    <row r="63" spans="1:28">
      <c r="A63" s="56">
        <f t="shared" si="0"/>
        <v>65</v>
      </c>
      <c r="B63" s="111">
        <v>45808</v>
      </c>
      <c r="C63" s="29">
        <v>45808</v>
      </c>
      <c r="D63" s="80">
        <v>0.270833333333333</v>
      </c>
      <c r="E63" s="127">
        <v>0.739583333333333</v>
      </c>
      <c r="F63" s="122">
        <v>1770</v>
      </c>
      <c r="G63" s="52">
        <v>1769.16</v>
      </c>
      <c r="H63" s="52">
        <v>1767.12</v>
      </c>
      <c r="I63" s="52">
        <v>1865.51</v>
      </c>
      <c r="J63" s="52">
        <v>1837.57</v>
      </c>
      <c r="K63" s="52">
        <v>1842.54</v>
      </c>
      <c r="L63" s="52">
        <v>1827.67</v>
      </c>
      <c r="M63" s="123">
        <f t="shared" si="4"/>
        <v>12679.57</v>
      </c>
      <c r="N63" s="124">
        <f t="shared" si="5"/>
        <v>369.99</v>
      </c>
      <c r="O63" s="52">
        <v>374.21</v>
      </c>
      <c r="P63" s="52">
        <f t="shared" si="7"/>
        <v>12659.9999999999</v>
      </c>
      <c r="Q63" s="52">
        <f t="shared" si="6"/>
        <v>2.84</v>
      </c>
      <c r="R63" s="52">
        <v>2.85</v>
      </c>
      <c r="S63" s="52">
        <f t="shared" si="2"/>
        <v>30.0000000000007</v>
      </c>
      <c r="T63" s="121">
        <f t="shared" si="3"/>
        <v>12629.9999999999</v>
      </c>
      <c r="U63" s="63"/>
      <c r="V63" s="52">
        <v>5.61</v>
      </c>
      <c r="W63" s="52">
        <v>33.52</v>
      </c>
      <c r="X63" s="52"/>
      <c r="Y63" s="52"/>
      <c r="Z63" s="52"/>
      <c r="AA63" s="52"/>
      <c r="AB63" s="121" t="s">
        <v>70</v>
      </c>
    </row>
    <row r="64" spans="1:28">
      <c r="A64" s="56">
        <f t="shared" si="0"/>
        <v>66</v>
      </c>
      <c r="B64" s="111">
        <v>45809</v>
      </c>
      <c r="C64" s="29">
        <v>45809</v>
      </c>
      <c r="D64" s="80">
        <v>0.270833333333333</v>
      </c>
      <c r="E64" s="127">
        <v>0.791666666666667</v>
      </c>
      <c r="F64" s="122">
        <v>1773.5</v>
      </c>
      <c r="G64" s="52">
        <v>1761.98</v>
      </c>
      <c r="H64" s="52">
        <v>1760.35</v>
      </c>
      <c r="I64" s="52">
        <v>1869.64</v>
      </c>
      <c r="J64" s="52">
        <v>1829.73</v>
      </c>
      <c r="K64" s="52">
        <v>1837.29</v>
      </c>
      <c r="L64" s="52">
        <v>1818.85</v>
      </c>
      <c r="M64" s="123">
        <f t="shared" si="4"/>
        <v>12651.34</v>
      </c>
      <c r="N64" s="124">
        <f t="shared" si="5"/>
        <v>374.21</v>
      </c>
      <c r="O64" s="52">
        <v>378.43</v>
      </c>
      <c r="P64" s="52">
        <f t="shared" si="7"/>
        <v>12660.0000000001</v>
      </c>
      <c r="Q64" s="52">
        <f t="shared" si="6"/>
        <v>2.85</v>
      </c>
      <c r="R64" s="52">
        <v>2.86</v>
      </c>
      <c r="S64" s="52">
        <f t="shared" si="2"/>
        <v>29.9999999999994</v>
      </c>
      <c r="T64" s="121">
        <f t="shared" si="3"/>
        <v>12630.0000000001</v>
      </c>
      <c r="U64" s="63"/>
      <c r="V64" s="52">
        <v>5.54</v>
      </c>
      <c r="W64" s="52">
        <v>33.07</v>
      </c>
      <c r="X64" s="52"/>
      <c r="Y64" s="52"/>
      <c r="Z64" s="52"/>
      <c r="AA64" s="52"/>
      <c r="AB64" s="121" t="s">
        <v>70</v>
      </c>
    </row>
    <row r="65" spans="1:28">
      <c r="A65" s="56">
        <f t="shared" si="0"/>
        <v>67</v>
      </c>
      <c r="B65" s="111">
        <v>45810</v>
      </c>
      <c r="C65" s="29">
        <v>45810</v>
      </c>
      <c r="D65" s="80">
        <v>0.270833333333333</v>
      </c>
      <c r="E65" s="127">
        <v>0.791666666666667</v>
      </c>
      <c r="F65" s="122">
        <v>1367.97</v>
      </c>
      <c r="G65" s="52">
        <v>1360.37</v>
      </c>
      <c r="H65" s="52">
        <v>1361</v>
      </c>
      <c r="I65" s="52">
        <v>1447.41</v>
      </c>
      <c r="J65" s="52">
        <v>1409.67</v>
      </c>
      <c r="K65" s="52">
        <v>1413.02</v>
      </c>
      <c r="L65" s="52">
        <v>1398.23</v>
      </c>
      <c r="M65" s="123">
        <f t="shared" si="4"/>
        <v>9757.67</v>
      </c>
      <c r="N65" s="124">
        <f t="shared" si="5"/>
        <v>378.43</v>
      </c>
      <c r="O65" s="52">
        <v>381.7</v>
      </c>
      <c r="P65" s="52">
        <f t="shared" si="7"/>
        <v>9809.99999999995</v>
      </c>
      <c r="Q65" s="52">
        <f t="shared" si="6"/>
        <v>2.86</v>
      </c>
      <c r="R65" s="52">
        <v>2.87</v>
      </c>
      <c r="S65" s="52">
        <f t="shared" si="2"/>
        <v>30.0000000000007</v>
      </c>
      <c r="T65" s="121">
        <f t="shared" si="3"/>
        <v>9779.99999999995</v>
      </c>
      <c r="U65" s="63"/>
      <c r="V65" s="52">
        <v>4.52</v>
      </c>
      <c r="W65" s="52">
        <v>32.8</v>
      </c>
      <c r="X65" s="52"/>
      <c r="Y65" s="52"/>
      <c r="Z65" s="52"/>
      <c r="AA65" s="52"/>
      <c r="AB65" s="121" t="s">
        <v>72</v>
      </c>
    </row>
    <row r="66" spans="1:28">
      <c r="A66" s="56">
        <f t="shared" si="0"/>
        <v>68</v>
      </c>
      <c r="B66" s="111">
        <v>45811</v>
      </c>
      <c r="C66" s="29">
        <v>45811</v>
      </c>
      <c r="D66" s="80">
        <v>0.270833333333333</v>
      </c>
      <c r="E66" s="127">
        <v>0.791666666666667</v>
      </c>
      <c r="F66" s="122">
        <v>1552.72</v>
      </c>
      <c r="G66" s="52">
        <v>1540.87</v>
      </c>
      <c r="H66" s="52">
        <v>1541.72</v>
      </c>
      <c r="I66" s="52">
        <v>1638.23</v>
      </c>
      <c r="J66" s="52">
        <v>1597.22</v>
      </c>
      <c r="K66" s="52">
        <v>1601.28</v>
      </c>
      <c r="L66" s="52">
        <v>1581.09</v>
      </c>
      <c r="M66" s="123">
        <f t="shared" si="4"/>
        <v>11053.13</v>
      </c>
      <c r="N66" s="124">
        <f t="shared" si="5"/>
        <v>381.7</v>
      </c>
      <c r="O66" s="52">
        <v>385.39</v>
      </c>
      <c r="P66" s="52">
        <f t="shared" si="7"/>
        <v>11070</v>
      </c>
      <c r="Q66" s="52">
        <f t="shared" si="6"/>
        <v>2.87</v>
      </c>
      <c r="R66" s="52">
        <v>2.88</v>
      </c>
      <c r="S66" s="52">
        <f t="shared" si="2"/>
        <v>29.9999999999994</v>
      </c>
      <c r="T66" s="121">
        <f t="shared" si="3"/>
        <v>11040</v>
      </c>
      <c r="U66" s="63"/>
      <c r="V66" s="52">
        <v>5.16</v>
      </c>
      <c r="W66" s="52">
        <v>33.29</v>
      </c>
      <c r="X66" s="52"/>
      <c r="Y66" s="52"/>
      <c r="Z66" s="52"/>
      <c r="AA66" s="52"/>
      <c r="AB66" s="121" t="s">
        <v>70</v>
      </c>
    </row>
    <row r="67" spans="1:28">
      <c r="A67" s="56">
        <f t="shared" ref="A67:A130" si="8">A66+1</f>
        <v>69</v>
      </c>
      <c r="B67" s="111">
        <v>45812</v>
      </c>
      <c r="C67" s="29">
        <v>45812</v>
      </c>
      <c r="D67" s="80">
        <v>0.270833333333333</v>
      </c>
      <c r="E67" s="127">
        <v>0.791666666666667</v>
      </c>
      <c r="F67" s="122">
        <v>1709.77</v>
      </c>
      <c r="G67" s="52">
        <v>1680.12</v>
      </c>
      <c r="H67" s="52">
        <v>1676.06</v>
      </c>
      <c r="I67" s="52">
        <v>1781.82</v>
      </c>
      <c r="J67" s="52">
        <v>1736.74</v>
      </c>
      <c r="K67" s="52">
        <v>1744.86</v>
      </c>
      <c r="L67" s="52">
        <v>1724.58</v>
      </c>
      <c r="M67" s="123">
        <f t="shared" si="4"/>
        <v>12053.95</v>
      </c>
      <c r="N67" s="124">
        <f t="shared" si="5"/>
        <v>385.39</v>
      </c>
      <c r="O67" s="52">
        <v>389.41</v>
      </c>
      <c r="P67" s="52">
        <f t="shared" si="7"/>
        <v>12060.0000000001</v>
      </c>
      <c r="Q67" s="52">
        <f t="shared" si="6"/>
        <v>2.88</v>
      </c>
      <c r="R67" s="52">
        <v>2.89</v>
      </c>
      <c r="S67" s="52">
        <f t="shared" ref="S67:S130" si="9">MAX((R67-Q67)*3000,0)</f>
        <v>30.0000000000007</v>
      </c>
      <c r="T67" s="121">
        <f t="shared" ref="T67:T130" si="10">P67-S67</f>
        <v>12030.0000000001</v>
      </c>
      <c r="U67" s="63"/>
      <c r="V67" s="52">
        <v>5.56</v>
      </c>
      <c r="W67" s="52">
        <v>33.27</v>
      </c>
      <c r="X67" s="52"/>
      <c r="Y67" s="52"/>
      <c r="Z67" s="52"/>
      <c r="AA67" s="52"/>
      <c r="AB67" s="121" t="s">
        <v>70</v>
      </c>
    </row>
    <row r="68" spans="1:28">
      <c r="A68" s="56">
        <f t="shared" si="8"/>
        <v>70</v>
      </c>
      <c r="B68" s="111">
        <v>45813</v>
      </c>
      <c r="C68" s="29">
        <v>45813</v>
      </c>
      <c r="D68" s="80">
        <v>0.270833333333333</v>
      </c>
      <c r="E68" s="127">
        <v>0.770833333333333</v>
      </c>
      <c r="F68" s="122">
        <v>1817.04</v>
      </c>
      <c r="G68" s="52">
        <v>1802.13</v>
      </c>
      <c r="H68" s="52">
        <v>1785.68</v>
      </c>
      <c r="I68" s="52">
        <v>1857.58</v>
      </c>
      <c r="J68" s="52">
        <v>1863.28</v>
      </c>
      <c r="K68" s="52">
        <v>1852.36</v>
      </c>
      <c r="L68" s="52">
        <v>1849.01</v>
      </c>
      <c r="M68" s="123">
        <f t="shared" ref="M68:M131" si="11">SUM(F68:L68)</f>
        <v>12827.08</v>
      </c>
      <c r="N68" s="124">
        <f t="shared" si="5"/>
        <v>389.41</v>
      </c>
      <c r="O68" s="52">
        <v>393.47</v>
      </c>
      <c r="P68" s="52">
        <f t="shared" si="7"/>
        <v>12180</v>
      </c>
      <c r="Q68" s="52">
        <f t="shared" si="6"/>
        <v>2.89</v>
      </c>
      <c r="R68" s="52">
        <v>2.9</v>
      </c>
      <c r="S68" s="52">
        <f t="shared" si="9"/>
        <v>29.9999999999994</v>
      </c>
      <c r="T68" s="121">
        <f t="shared" si="10"/>
        <v>12150</v>
      </c>
      <c r="U68" s="63"/>
      <c r="V68" s="52">
        <v>5.51</v>
      </c>
      <c r="W68" s="52">
        <v>34.65</v>
      </c>
      <c r="X68" s="52"/>
      <c r="Y68" s="52"/>
      <c r="Z68" s="52"/>
      <c r="AA68" s="52"/>
      <c r="AB68" s="121" t="s">
        <v>70</v>
      </c>
    </row>
    <row r="69" spans="1:28">
      <c r="A69" s="56">
        <f t="shared" si="8"/>
        <v>71</v>
      </c>
      <c r="B69" s="111">
        <v>45814</v>
      </c>
      <c r="C69" s="29">
        <v>45814</v>
      </c>
      <c r="D69" s="80">
        <v>0.28125</v>
      </c>
      <c r="E69" s="127">
        <v>0.791666666666667</v>
      </c>
      <c r="F69" s="122">
        <v>1720.18</v>
      </c>
      <c r="G69" s="52">
        <v>1717.79</v>
      </c>
      <c r="H69" s="52">
        <v>1734.11</v>
      </c>
      <c r="I69" s="52">
        <v>1820.47</v>
      </c>
      <c r="J69" s="52">
        <v>1781.23</v>
      </c>
      <c r="K69" s="52">
        <v>1779.1</v>
      </c>
      <c r="L69" s="52">
        <v>1758.79</v>
      </c>
      <c r="M69" s="123">
        <f t="shared" si="11"/>
        <v>12311.67</v>
      </c>
      <c r="N69" s="124">
        <f t="shared" si="5"/>
        <v>393.47</v>
      </c>
      <c r="O69" s="52">
        <v>397.56</v>
      </c>
      <c r="P69" s="52">
        <f t="shared" si="7"/>
        <v>12269.9999999999</v>
      </c>
      <c r="Q69" s="52">
        <f t="shared" si="6"/>
        <v>2.9</v>
      </c>
      <c r="R69" s="52">
        <v>2.91</v>
      </c>
      <c r="S69" s="52">
        <f t="shared" si="9"/>
        <v>30.0000000000007</v>
      </c>
      <c r="T69" s="121">
        <f t="shared" si="10"/>
        <v>12239.9999999999</v>
      </c>
      <c r="U69" s="63"/>
      <c r="V69" s="52">
        <v>5.48</v>
      </c>
      <c r="W69" s="52">
        <v>33.93</v>
      </c>
      <c r="X69" s="52"/>
      <c r="Y69" s="52"/>
      <c r="Z69" s="52"/>
      <c r="AA69" s="52"/>
      <c r="AB69" s="121" t="s">
        <v>70</v>
      </c>
    </row>
    <row r="70" spans="1:28">
      <c r="A70" s="56">
        <f t="shared" si="8"/>
        <v>72</v>
      </c>
      <c r="B70" s="111">
        <v>45815</v>
      </c>
      <c r="C70" s="29">
        <v>45815</v>
      </c>
      <c r="D70" s="80">
        <v>0.28125</v>
      </c>
      <c r="E70" s="127">
        <v>0.802083333333333</v>
      </c>
      <c r="F70" s="122">
        <v>1735.11</v>
      </c>
      <c r="G70" s="52">
        <v>1728.55</v>
      </c>
      <c r="H70" s="52">
        <v>1735.17</v>
      </c>
      <c r="I70" s="52">
        <v>1822.7</v>
      </c>
      <c r="J70" s="52">
        <v>1807.37</v>
      </c>
      <c r="K70" s="52">
        <v>1820.5</v>
      </c>
      <c r="L70" s="52">
        <v>1804.01</v>
      </c>
      <c r="M70" s="123">
        <f t="shared" si="11"/>
        <v>12453.41</v>
      </c>
      <c r="N70" s="124">
        <f t="shared" si="5"/>
        <v>397.56</v>
      </c>
      <c r="O70" s="52">
        <v>401.69</v>
      </c>
      <c r="P70" s="52">
        <f t="shared" si="7"/>
        <v>12390</v>
      </c>
      <c r="Q70" s="52">
        <f t="shared" si="6"/>
        <v>2.91</v>
      </c>
      <c r="R70" s="52">
        <v>2.92</v>
      </c>
      <c r="S70" s="52">
        <f t="shared" si="9"/>
        <v>29.9999999999994</v>
      </c>
      <c r="T70" s="121">
        <f t="shared" si="10"/>
        <v>12360</v>
      </c>
      <c r="U70" s="63"/>
      <c r="V70" s="52">
        <v>5.62</v>
      </c>
      <c r="W70" s="52">
        <v>34.2</v>
      </c>
      <c r="X70" s="52"/>
      <c r="Y70" s="52"/>
      <c r="Z70" s="52"/>
      <c r="AA70" s="52"/>
      <c r="AB70" s="121" t="s">
        <v>70</v>
      </c>
    </row>
    <row r="71" spans="1:28">
      <c r="A71" s="56">
        <f t="shared" si="8"/>
        <v>73</v>
      </c>
      <c r="B71" s="111">
        <v>45816</v>
      </c>
      <c r="C71" s="29">
        <v>45816</v>
      </c>
      <c r="D71" s="80">
        <v>0.270833333333333</v>
      </c>
      <c r="E71" s="127">
        <v>0.791666666666667</v>
      </c>
      <c r="F71" s="122">
        <v>1765.45</v>
      </c>
      <c r="G71" s="52">
        <v>1755.82</v>
      </c>
      <c r="H71" s="52">
        <v>1768.66</v>
      </c>
      <c r="I71" s="52">
        <v>1865.19</v>
      </c>
      <c r="J71" s="52">
        <v>1849.68</v>
      </c>
      <c r="K71" s="52">
        <v>1866.61</v>
      </c>
      <c r="L71" s="52">
        <v>1850.79</v>
      </c>
      <c r="M71" s="123">
        <f t="shared" si="11"/>
        <v>12722.2</v>
      </c>
      <c r="N71" s="124">
        <f t="shared" si="5"/>
        <v>401.69</v>
      </c>
      <c r="O71" s="52">
        <v>405.93</v>
      </c>
      <c r="P71" s="52">
        <f t="shared" si="7"/>
        <v>12720</v>
      </c>
      <c r="Q71" s="52">
        <f t="shared" si="6"/>
        <v>2.92</v>
      </c>
      <c r="R71" s="52">
        <v>2.93</v>
      </c>
      <c r="S71" s="52">
        <f t="shared" si="9"/>
        <v>30.0000000000007</v>
      </c>
      <c r="T71" s="121">
        <f t="shared" si="10"/>
        <v>12690</v>
      </c>
      <c r="U71" s="63"/>
      <c r="V71" s="52">
        <v>5.5</v>
      </c>
      <c r="W71" s="52">
        <v>33.5</v>
      </c>
      <c r="X71" s="52"/>
      <c r="Y71" s="52"/>
      <c r="Z71" s="52"/>
      <c r="AA71" s="52"/>
      <c r="AB71" s="121" t="s">
        <v>70</v>
      </c>
    </row>
    <row r="72" spans="1:28">
      <c r="A72" s="56">
        <f t="shared" si="8"/>
        <v>74</v>
      </c>
      <c r="B72" s="111">
        <v>45817</v>
      </c>
      <c r="C72" s="29">
        <v>45817</v>
      </c>
      <c r="D72" s="80">
        <v>0.270833333333333</v>
      </c>
      <c r="E72" s="127">
        <v>0.791666666666667</v>
      </c>
      <c r="F72" s="122">
        <v>1883.11</v>
      </c>
      <c r="G72" s="52">
        <v>1868.94</v>
      </c>
      <c r="H72" s="52">
        <v>1874.49</v>
      </c>
      <c r="I72" s="52">
        <v>1970.16</v>
      </c>
      <c r="J72" s="52">
        <v>1951.11</v>
      </c>
      <c r="K72" s="52">
        <v>1955.21</v>
      </c>
      <c r="L72" s="52">
        <v>1945.17</v>
      </c>
      <c r="M72" s="123">
        <f t="shared" si="11"/>
        <v>13448.19</v>
      </c>
      <c r="N72" s="124">
        <f t="shared" si="5"/>
        <v>405.93</v>
      </c>
      <c r="O72" s="52">
        <v>410.4</v>
      </c>
      <c r="P72" s="52">
        <f t="shared" si="7"/>
        <v>13409.9999999999</v>
      </c>
      <c r="Q72" s="52">
        <f t="shared" si="6"/>
        <v>2.93</v>
      </c>
      <c r="R72" s="52">
        <v>2.94</v>
      </c>
      <c r="S72" s="52">
        <f t="shared" si="9"/>
        <v>29.9999999999994</v>
      </c>
      <c r="T72" s="121">
        <f t="shared" si="10"/>
        <v>13379.9999999999</v>
      </c>
      <c r="U72" s="63"/>
      <c r="V72" s="52">
        <v>5.91</v>
      </c>
      <c r="W72" s="52">
        <v>33.52</v>
      </c>
      <c r="X72" s="52"/>
      <c r="Y72" s="52"/>
      <c r="Z72" s="52"/>
      <c r="AA72" s="52"/>
      <c r="AB72" s="121" t="s">
        <v>70</v>
      </c>
    </row>
    <row r="73" spans="1:28">
      <c r="A73" s="56">
        <f t="shared" si="8"/>
        <v>75</v>
      </c>
      <c r="B73" s="111">
        <v>45818</v>
      </c>
      <c r="C73" s="29">
        <v>45818</v>
      </c>
      <c r="D73" s="80">
        <v>0.270833333333333</v>
      </c>
      <c r="E73" s="127">
        <v>0.791666666666667</v>
      </c>
      <c r="F73" s="122">
        <v>1613.71</v>
      </c>
      <c r="G73" s="52">
        <v>1606.88</v>
      </c>
      <c r="H73" s="52">
        <v>1611.43</v>
      </c>
      <c r="I73" s="52">
        <v>1692.93</v>
      </c>
      <c r="J73" s="52">
        <v>1678.92</v>
      </c>
      <c r="K73" s="52">
        <v>1684.34</v>
      </c>
      <c r="L73" s="52">
        <v>1686.64</v>
      </c>
      <c r="M73" s="123">
        <f t="shared" si="11"/>
        <v>11574.85</v>
      </c>
      <c r="N73" s="124">
        <f t="shared" si="5"/>
        <v>410.4</v>
      </c>
      <c r="O73" s="52">
        <v>414.27</v>
      </c>
      <c r="P73" s="52">
        <f t="shared" si="7"/>
        <v>11610</v>
      </c>
      <c r="Q73" s="52">
        <f t="shared" si="6"/>
        <v>2.94</v>
      </c>
      <c r="R73" s="52">
        <v>2.95</v>
      </c>
      <c r="S73" s="52">
        <f t="shared" si="9"/>
        <v>30.0000000000007</v>
      </c>
      <c r="T73" s="121">
        <f t="shared" si="10"/>
        <v>11580</v>
      </c>
      <c r="U73" s="63"/>
      <c r="V73" s="52">
        <v>5.34</v>
      </c>
      <c r="W73" s="52">
        <v>33.31</v>
      </c>
      <c r="X73" s="52"/>
      <c r="Y73" s="52"/>
      <c r="Z73" s="52"/>
      <c r="AA73" s="52"/>
      <c r="AB73" s="121" t="s">
        <v>70</v>
      </c>
    </row>
    <row r="74" spans="1:28">
      <c r="A74" s="56">
        <f t="shared" si="8"/>
        <v>76</v>
      </c>
      <c r="B74" s="111">
        <v>45819</v>
      </c>
      <c r="C74" s="29">
        <v>45819</v>
      </c>
      <c r="D74" s="80">
        <v>0.270833333333333</v>
      </c>
      <c r="E74" s="127">
        <v>0.770833333333333</v>
      </c>
      <c r="F74" s="122">
        <v>1567.28</v>
      </c>
      <c r="G74" s="52">
        <v>1559.73</v>
      </c>
      <c r="H74" s="52">
        <v>1567.69</v>
      </c>
      <c r="I74" s="52">
        <v>1654.54</v>
      </c>
      <c r="J74" s="52">
        <v>1642.82</v>
      </c>
      <c r="K74" s="52">
        <v>1650.59</v>
      </c>
      <c r="L74" s="52">
        <v>1645.56</v>
      </c>
      <c r="M74" s="123">
        <f t="shared" si="11"/>
        <v>11288.21</v>
      </c>
      <c r="N74" s="124">
        <f t="shared" si="5"/>
        <v>414.27</v>
      </c>
      <c r="O74" s="52">
        <v>418.05</v>
      </c>
      <c r="P74" s="52">
        <f t="shared" si="7"/>
        <v>11340.0000000001</v>
      </c>
      <c r="Q74" s="52">
        <f t="shared" si="6"/>
        <v>2.95</v>
      </c>
      <c r="R74" s="52">
        <v>2.96</v>
      </c>
      <c r="S74" s="52">
        <f t="shared" si="9"/>
        <v>29.9999999999994</v>
      </c>
      <c r="T74" s="121">
        <f t="shared" si="10"/>
        <v>11310.0000000001</v>
      </c>
      <c r="U74" s="63"/>
      <c r="V74" s="52">
        <v>4.9</v>
      </c>
      <c r="W74" s="52">
        <v>33.89</v>
      </c>
      <c r="X74" s="52"/>
      <c r="Y74" s="52"/>
      <c r="Z74" s="52"/>
      <c r="AA74" s="52"/>
      <c r="AB74" s="121" t="s">
        <v>70</v>
      </c>
    </row>
    <row r="75" spans="1:28">
      <c r="A75" s="56">
        <f t="shared" si="8"/>
        <v>77</v>
      </c>
      <c r="B75" s="111">
        <v>45820</v>
      </c>
      <c r="C75" s="29">
        <v>45820</v>
      </c>
      <c r="D75" s="80">
        <v>0.270833333333333</v>
      </c>
      <c r="E75" s="127">
        <v>0.770833333333333</v>
      </c>
      <c r="F75" s="122">
        <v>1692.46</v>
      </c>
      <c r="G75" s="52">
        <v>1696.08</v>
      </c>
      <c r="H75" s="52">
        <v>1697.14</v>
      </c>
      <c r="I75" s="52">
        <v>1784.1</v>
      </c>
      <c r="J75" s="52">
        <v>1761.97</v>
      </c>
      <c r="K75" s="52">
        <v>1765.52</v>
      </c>
      <c r="L75" s="52">
        <v>1752.27</v>
      </c>
      <c r="M75" s="123">
        <f t="shared" si="11"/>
        <v>12149.54</v>
      </c>
      <c r="N75" s="124">
        <f t="shared" si="5"/>
        <v>418.05</v>
      </c>
      <c r="O75" s="52">
        <v>422.09</v>
      </c>
      <c r="P75" s="52">
        <f t="shared" si="7"/>
        <v>12119.9999999999</v>
      </c>
      <c r="Q75" s="52">
        <f t="shared" si="6"/>
        <v>2.96</v>
      </c>
      <c r="R75" s="52">
        <v>2.97</v>
      </c>
      <c r="S75" s="52">
        <f t="shared" si="9"/>
        <v>30.0000000000007</v>
      </c>
      <c r="T75" s="121">
        <f t="shared" si="10"/>
        <v>12089.9999999999</v>
      </c>
      <c r="U75" s="63"/>
      <c r="V75" s="52">
        <v>5.15</v>
      </c>
      <c r="W75" s="52">
        <v>34.45</v>
      </c>
      <c r="X75" s="52"/>
      <c r="Y75" s="52"/>
      <c r="Z75" s="52"/>
      <c r="AA75" s="52"/>
      <c r="AB75" s="121" t="s">
        <v>70</v>
      </c>
    </row>
    <row r="76" spans="1:28">
      <c r="A76" s="56">
        <f t="shared" si="8"/>
        <v>78</v>
      </c>
      <c r="B76" s="111">
        <v>45821</v>
      </c>
      <c r="C76" s="29">
        <v>45821</v>
      </c>
      <c r="D76" s="80">
        <v>0.270833333333333</v>
      </c>
      <c r="E76" s="127">
        <v>0.791666666666667</v>
      </c>
      <c r="F76" s="122">
        <v>1000.12</v>
      </c>
      <c r="G76" s="52">
        <v>994.09</v>
      </c>
      <c r="H76" s="52">
        <v>992.98</v>
      </c>
      <c r="I76" s="52">
        <v>1043.72</v>
      </c>
      <c r="J76" s="52">
        <v>1030.77</v>
      </c>
      <c r="K76" s="52">
        <v>1033.74</v>
      </c>
      <c r="L76" s="52">
        <v>1025.32</v>
      </c>
      <c r="M76" s="123">
        <f t="shared" si="11"/>
        <v>7120.74</v>
      </c>
      <c r="N76" s="124">
        <f t="shared" si="5"/>
        <v>422.09</v>
      </c>
      <c r="O76" s="52">
        <v>424.47</v>
      </c>
      <c r="P76" s="52">
        <f t="shared" si="7"/>
        <v>7140.00000000016</v>
      </c>
      <c r="Q76" s="52">
        <f t="shared" si="6"/>
        <v>2.97</v>
      </c>
      <c r="R76" s="52">
        <v>2.98</v>
      </c>
      <c r="S76" s="52">
        <f t="shared" si="9"/>
        <v>29.9999999999994</v>
      </c>
      <c r="T76" s="121">
        <f t="shared" si="10"/>
        <v>7110.00000000016</v>
      </c>
      <c r="U76" s="63"/>
      <c r="V76" s="52">
        <v>2.98</v>
      </c>
      <c r="W76" s="52">
        <v>31.72</v>
      </c>
      <c r="X76" s="52"/>
      <c r="Y76" s="52"/>
      <c r="Z76" s="52"/>
      <c r="AA76" s="52"/>
      <c r="AB76" s="121" t="s">
        <v>72</v>
      </c>
    </row>
    <row r="77" spans="1:28">
      <c r="A77" s="56">
        <f t="shared" si="8"/>
        <v>79</v>
      </c>
      <c r="B77" s="111">
        <v>45822</v>
      </c>
      <c r="C77" s="29">
        <v>45822</v>
      </c>
      <c r="D77" s="80">
        <v>0.28125</v>
      </c>
      <c r="E77" s="127">
        <v>0.8125</v>
      </c>
      <c r="F77" s="122">
        <v>1493.16</v>
      </c>
      <c r="G77" s="52">
        <v>1488.49</v>
      </c>
      <c r="H77" s="52">
        <v>1488.28</v>
      </c>
      <c r="I77" s="52">
        <v>1565.07</v>
      </c>
      <c r="J77" s="52">
        <v>1547.16</v>
      </c>
      <c r="K77" s="52">
        <v>1550.89</v>
      </c>
      <c r="L77" s="52">
        <v>1541.43</v>
      </c>
      <c r="M77" s="123">
        <f t="shared" si="11"/>
        <v>10674.48</v>
      </c>
      <c r="N77" s="124">
        <f t="shared" ref="N77:N140" si="12">O76</f>
        <v>424.47</v>
      </c>
      <c r="O77" s="52">
        <v>428.03</v>
      </c>
      <c r="P77" s="52">
        <f t="shared" si="7"/>
        <v>10679.9999999998</v>
      </c>
      <c r="Q77" s="52">
        <f t="shared" ref="Q77:Q140" si="13">R76</f>
        <v>2.98</v>
      </c>
      <c r="R77" s="52">
        <v>2.99</v>
      </c>
      <c r="S77" s="52">
        <f t="shared" si="9"/>
        <v>30.0000000000007</v>
      </c>
      <c r="T77" s="121">
        <f t="shared" si="10"/>
        <v>10649.9999999998</v>
      </c>
      <c r="U77" s="63"/>
      <c r="V77" s="52">
        <v>4.62</v>
      </c>
      <c r="W77" s="52">
        <v>34.65</v>
      </c>
      <c r="X77" s="52"/>
      <c r="Y77" s="52"/>
      <c r="Z77" s="52"/>
      <c r="AA77" s="52"/>
      <c r="AB77" s="121" t="s">
        <v>72</v>
      </c>
    </row>
    <row r="78" spans="1:28">
      <c r="A78" s="56">
        <f t="shared" si="8"/>
        <v>80</v>
      </c>
      <c r="B78" s="111">
        <v>45823</v>
      </c>
      <c r="C78" s="29">
        <v>45823</v>
      </c>
      <c r="D78" s="80">
        <v>0.28125</v>
      </c>
      <c r="E78" s="127">
        <v>0.770833333333333</v>
      </c>
      <c r="F78" s="122">
        <v>1229.29</v>
      </c>
      <c r="G78" s="52">
        <v>1225.59</v>
      </c>
      <c r="H78" s="52">
        <v>1228.1</v>
      </c>
      <c r="I78" s="52">
        <v>1290.32</v>
      </c>
      <c r="J78" s="52">
        <v>1277.95</v>
      </c>
      <c r="K78" s="52">
        <v>1279.98</v>
      </c>
      <c r="L78" s="52">
        <v>1267.84</v>
      </c>
      <c r="M78" s="123">
        <f t="shared" si="11"/>
        <v>8799.07</v>
      </c>
      <c r="N78" s="124">
        <f t="shared" si="12"/>
        <v>428.03</v>
      </c>
      <c r="O78" s="52">
        <v>430.95</v>
      </c>
      <c r="P78" s="52">
        <f t="shared" si="7"/>
        <v>8760.00000000005</v>
      </c>
      <c r="Q78" s="52">
        <f t="shared" si="13"/>
        <v>2.99</v>
      </c>
      <c r="R78" s="52">
        <v>3</v>
      </c>
      <c r="S78" s="52">
        <f t="shared" si="9"/>
        <v>29.9999999999994</v>
      </c>
      <c r="T78" s="121">
        <f t="shared" si="10"/>
        <v>8730.00000000005</v>
      </c>
      <c r="U78" s="63"/>
      <c r="V78" s="52">
        <v>3.6</v>
      </c>
      <c r="W78" s="52">
        <v>31.7</v>
      </c>
      <c r="X78" s="52"/>
      <c r="Y78" s="52"/>
      <c r="Z78" s="52"/>
      <c r="AA78" s="52"/>
      <c r="AB78" s="121" t="s">
        <v>73</v>
      </c>
    </row>
    <row r="79" spans="1:28">
      <c r="A79" s="56">
        <f t="shared" si="8"/>
        <v>81</v>
      </c>
      <c r="B79" s="111">
        <v>45824</v>
      </c>
      <c r="C79" s="29">
        <v>45824</v>
      </c>
      <c r="D79" s="80">
        <v>0.302083333333333</v>
      </c>
      <c r="E79" s="127">
        <v>0.6875</v>
      </c>
      <c r="F79" s="122">
        <v>90.4</v>
      </c>
      <c r="G79" s="52">
        <v>88.68</v>
      </c>
      <c r="H79" s="52">
        <v>94.81</v>
      </c>
      <c r="I79" s="52">
        <v>96.5</v>
      </c>
      <c r="J79" s="52">
        <v>92.88</v>
      </c>
      <c r="K79" s="52">
        <v>92.07</v>
      </c>
      <c r="L79" s="52">
        <v>97.19</v>
      </c>
      <c r="M79" s="123">
        <f t="shared" si="11"/>
        <v>652.53</v>
      </c>
      <c r="N79" s="124">
        <f t="shared" si="12"/>
        <v>430.95</v>
      </c>
      <c r="O79" s="52">
        <v>431.15</v>
      </c>
      <c r="P79" s="52">
        <f t="shared" si="7"/>
        <v>599.999999999966</v>
      </c>
      <c r="Q79" s="52">
        <f t="shared" si="13"/>
        <v>3</v>
      </c>
      <c r="R79" s="52">
        <v>3.01</v>
      </c>
      <c r="S79" s="52">
        <f t="shared" si="9"/>
        <v>29.9999999999994</v>
      </c>
      <c r="T79" s="121">
        <f t="shared" si="10"/>
        <v>569.999999999967</v>
      </c>
      <c r="U79" s="63"/>
      <c r="V79" s="52">
        <v>0.1</v>
      </c>
      <c r="W79" s="52">
        <v>24.81</v>
      </c>
      <c r="X79" s="52"/>
      <c r="Y79" s="52"/>
      <c r="Z79" s="52"/>
      <c r="AA79" s="52"/>
      <c r="AB79" s="121" t="s">
        <v>73</v>
      </c>
    </row>
    <row r="80" spans="1:28">
      <c r="A80" s="56">
        <f t="shared" si="8"/>
        <v>82</v>
      </c>
      <c r="B80" s="111">
        <v>45825</v>
      </c>
      <c r="C80" s="29">
        <v>45825</v>
      </c>
      <c r="D80" s="80">
        <v>0.302083333333333</v>
      </c>
      <c r="E80" s="127">
        <v>0.760416666666667</v>
      </c>
      <c r="F80" s="122">
        <v>577.48</v>
      </c>
      <c r="G80" s="52">
        <v>575.48</v>
      </c>
      <c r="H80" s="52">
        <v>580.99</v>
      </c>
      <c r="I80" s="52">
        <v>610.19</v>
      </c>
      <c r="J80" s="52">
        <v>603.12</v>
      </c>
      <c r="K80" s="52">
        <v>603.41</v>
      </c>
      <c r="L80" s="52">
        <v>598.74</v>
      </c>
      <c r="M80" s="123">
        <f t="shared" si="11"/>
        <v>4149.41</v>
      </c>
      <c r="N80" s="124">
        <f t="shared" si="12"/>
        <v>431.15</v>
      </c>
      <c r="O80" s="52">
        <v>432.53</v>
      </c>
      <c r="P80" s="52">
        <f t="shared" si="7"/>
        <v>4139.99999999999</v>
      </c>
      <c r="Q80" s="52">
        <f t="shared" si="13"/>
        <v>3.01</v>
      </c>
      <c r="R80" s="52">
        <v>3.02</v>
      </c>
      <c r="S80" s="52">
        <f t="shared" si="9"/>
        <v>30.0000000000007</v>
      </c>
      <c r="T80" s="121">
        <f t="shared" si="10"/>
        <v>4109.99999999999</v>
      </c>
      <c r="U80" s="63"/>
      <c r="V80" s="52">
        <v>1.47</v>
      </c>
      <c r="W80" s="52">
        <v>26.66</v>
      </c>
      <c r="X80" s="52"/>
      <c r="Y80" s="52"/>
      <c r="Z80" s="52"/>
      <c r="AA80" s="52"/>
      <c r="AB80" s="121" t="s">
        <v>73</v>
      </c>
    </row>
    <row r="81" spans="1:28">
      <c r="A81" s="56">
        <f t="shared" si="8"/>
        <v>83</v>
      </c>
      <c r="B81" s="111">
        <v>45826</v>
      </c>
      <c r="C81" s="29">
        <v>45826</v>
      </c>
      <c r="D81" s="80">
        <v>0.302083333333333</v>
      </c>
      <c r="E81" s="127">
        <v>0.770833333333333</v>
      </c>
      <c r="F81" s="122">
        <v>488.06</v>
      </c>
      <c r="G81" s="52">
        <v>446.8</v>
      </c>
      <c r="H81" s="52">
        <v>451.49</v>
      </c>
      <c r="I81" s="52">
        <v>472.52</v>
      </c>
      <c r="J81" s="52">
        <v>466.04</v>
      </c>
      <c r="K81" s="52">
        <v>465.77</v>
      </c>
      <c r="L81" s="52">
        <v>462.89</v>
      </c>
      <c r="M81" s="123">
        <f t="shared" si="11"/>
        <v>3253.57</v>
      </c>
      <c r="N81" s="124">
        <f t="shared" si="12"/>
        <v>432.53</v>
      </c>
      <c r="O81" s="52">
        <v>433.6</v>
      </c>
      <c r="P81" s="52">
        <f t="shared" si="7"/>
        <v>3210.00000000015</v>
      </c>
      <c r="Q81" s="52">
        <f t="shared" si="13"/>
        <v>3.02</v>
      </c>
      <c r="R81" s="52">
        <v>3.03</v>
      </c>
      <c r="S81" s="52">
        <f t="shared" si="9"/>
        <v>29.9999999999994</v>
      </c>
      <c r="T81" s="121">
        <f t="shared" si="10"/>
        <v>3180.00000000015</v>
      </c>
      <c r="U81" s="63"/>
      <c r="V81" s="52">
        <v>1.02</v>
      </c>
      <c r="W81" s="52">
        <v>27.21</v>
      </c>
      <c r="X81" s="52"/>
      <c r="Y81" s="52"/>
      <c r="Z81" s="52"/>
      <c r="AA81" s="52"/>
      <c r="AB81" s="121" t="s">
        <v>73</v>
      </c>
    </row>
    <row r="82" spans="1:28">
      <c r="A82" s="56">
        <f t="shared" si="8"/>
        <v>84</v>
      </c>
      <c r="B82" s="111">
        <v>45827</v>
      </c>
      <c r="C82" s="29">
        <v>45827</v>
      </c>
      <c r="D82" s="80">
        <v>0.28125</v>
      </c>
      <c r="E82" s="127">
        <v>0.802083333333333</v>
      </c>
      <c r="F82" s="122">
        <v>1295.17</v>
      </c>
      <c r="G82" s="52">
        <v>1295.49</v>
      </c>
      <c r="H82" s="52">
        <v>1296.83</v>
      </c>
      <c r="I82" s="52">
        <v>1363.31</v>
      </c>
      <c r="J82" s="52">
        <v>1351.34</v>
      </c>
      <c r="K82" s="52">
        <v>1355.49</v>
      </c>
      <c r="L82" s="52">
        <v>1336.75</v>
      </c>
      <c r="M82" s="123">
        <f t="shared" si="11"/>
        <v>9294.38</v>
      </c>
      <c r="N82" s="124">
        <f t="shared" si="12"/>
        <v>433.6</v>
      </c>
      <c r="O82" s="52">
        <v>436.71</v>
      </c>
      <c r="P82" s="52">
        <f t="shared" si="7"/>
        <v>9329.99999999987</v>
      </c>
      <c r="Q82" s="52">
        <f t="shared" si="13"/>
        <v>3.03</v>
      </c>
      <c r="R82" s="52">
        <v>3.04</v>
      </c>
      <c r="S82" s="52">
        <f t="shared" si="9"/>
        <v>30.0000000000007</v>
      </c>
      <c r="T82" s="121">
        <f t="shared" si="10"/>
        <v>9299.99999999987</v>
      </c>
      <c r="U82" s="63"/>
      <c r="V82" s="52">
        <v>4.1</v>
      </c>
      <c r="W82" s="52">
        <v>29.58</v>
      </c>
      <c r="X82" s="52"/>
      <c r="Y82" s="52"/>
      <c r="Z82" s="52"/>
      <c r="AA82" s="52"/>
      <c r="AB82" s="121" t="s">
        <v>72</v>
      </c>
    </row>
    <row r="83" spans="1:28">
      <c r="A83" s="56">
        <f t="shared" si="8"/>
        <v>85</v>
      </c>
      <c r="B83" s="111">
        <v>45828</v>
      </c>
      <c r="C83" s="29">
        <v>45828</v>
      </c>
      <c r="D83" s="80">
        <v>0.28125</v>
      </c>
      <c r="E83" s="127">
        <v>0.802083333333333</v>
      </c>
      <c r="F83" s="122">
        <v>1377.89</v>
      </c>
      <c r="G83" s="52">
        <v>1373.22</v>
      </c>
      <c r="H83" s="52">
        <v>1372.19</v>
      </c>
      <c r="I83" s="52">
        <v>1439.28</v>
      </c>
      <c r="J83" s="52">
        <v>1422.89</v>
      </c>
      <c r="K83" s="52">
        <v>1422.71</v>
      </c>
      <c r="L83" s="52">
        <v>1390.94</v>
      </c>
      <c r="M83" s="123">
        <f t="shared" si="11"/>
        <v>9799.12</v>
      </c>
      <c r="N83" s="124">
        <f t="shared" si="12"/>
        <v>436.71</v>
      </c>
      <c r="O83" s="52">
        <v>440</v>
      </c>
      <c r="P83" s="52">
        <f t="shared" si="7"/>
        <v>9870.00000000006</v>
      </c>
      <c r="Q83" s="52">
        <f t="shared" si="13"/>
        <v>3.04</v>
      </c>
      <c r="R83" s="52">
        <v>3.05</v>
      </c>
      <c r="S83" s="52">
        <f t="shared" si="9"/>
        <v>29.9999999999994</v>
      </c>
      <c r="T83" s="121">
        <f t="shared" si="10"/>
        <v>9840.00000000006</v>
      </c>
      <c r="U83" s="63"/>
      <c r="V83" s="52">
        <v>4.27</v>
      </c>
      <c r="W83" s="52">
        <v>30.31</v>
      </c>
      <c r="X83" s="52"/>
      <c r="Y83" s="52"/>
      <c r="Z83" s="52"/>
      <c r="AA83" s="52"/>
      <c r="AB83" s="121" t="s">
        <v>72</v>
      </c>
    </row>
    <row r="84" spans="1:28">
      <c r="A84" s="56">
        <f t="shared" si="8"/>
        <v>86</v>
      </c>
      <c r="B84" s="111">
        <v>45829</v>
      </c>
      <c r="C84" s="29">
        <v>45829</v>
      </c>
      <c r="D84" s="80">
        <v>0.291666666666667</v>
      </c>
      <c r="E84" s="127">
        <v>0.78125</v>
      </c>
      <c r="F84" s="122">
        <v>1017.56</v>
      </c>
      <c r="G84" s="52">
        <v>1016.98</v>
      </c>
      <c r="H84" s="52">
        <v>1021.5</v>
      </c>
      <c r="I84" s="52">
        <v>1072.88</v>
      </c>
      <c r="J84" s="52">
        <v>1063.45</v>
      </c>
      <c r="K84" s="52">
        <v>1064.53</v>
      </c>
      <c r="L84" s="52">
        <v>1049.09</v>
      </c>
      <c r="M84" s="123">
        <f t="shared" si="11"/>
        <v>7305.99</v>
      </c>
      <c r="N84" s="124">
        <f t="shared" si="12"/>
        <v>440</v>
      </c>
      <c r="O84" s="52">
        <v>442.46</v>
      </c>
      <c r="P84" s="52">
        <f t="shared" si="7"/>
        <v>7379.99999999994</v>
      </c>
      <c r="Q84" s="52">
        <f t="shared" si="13"/>
        <v>3.05</v>
      </c>
      <c r="R84" s="52">
        <v>3.06</v>
      </c>
      <c r="S84" s="52">
        <f t="shared" si="9"/>
        <v>30.0000000000007</v>
      </c>
      <c r="T84" s="121">
        <f t="shared" si="10"/>
        <v>7349.99999999994</v>
      </c>
      <c r="U84" s="63"/>
      <c r="V84" s="52">
        <v>3.1</v>
      </c>
      <c r="W84" s="52">
        <v>29.58</v>
      </c>
      <c r="X84" s="52"/>
      <c r="Y84" s="52"/>
      <c r="Z84" s="52"/>
      <c r="AA84" s="52"/>
      <c r="AB84" s="121" t="s">
        <v>72</v>
      </c>
    </row>
    <row r="85" spans="1:28">
      <c r="A85" s="56">
        <f t="shared" si="8"/>
        <v>87</v>
      </c>
      <c r="B85" s="111">
        <v>45830</v>
      </c>
      <c r="C85" s="29">
        <v>45830</v>
      </c>
      <c r="D85" s="80">
        <v>0.28125</v>
      </c>
      <c r="E85" s="127">
        <v>0.760416666666667</v>
      </c>
      <c r="F85" s="122">
        <v>691.17</v>
      </c>
      <c r="G85" s="52">
        <v>689.71</v>
      </c>
      <c r="H85" s="52">
        <v>693.68</v>
      </c>
      <c r="I85" s="52">
        <v>726.01</v>
      </c>
      <c r="J85" s="52">
        <v>717.85</v>
      </c>
      <c r="K85" s="52">
        <v>719.56</v>
      </c>
      <c r="L85" s="52">
        <v>712.41</v>
      </c>
      <c r="M85" s="123">
        <f t="shared" si="11"/>
        <v>4950.39</v>
      </c>
      <c r="N85" s="124">
        <f t="shared" si="12"/>
        <v>442.46</v>
      </c>
      <c r="O85" s="52">
        <v>444.1</v>
      </c>
      <c r="P85" s="52">
        <f t="shared" si="7"/>
        <v>4920.00000000013</v>
      </c>
      <c r="Q85" s="52">
        <f t="shared" si="13"/>
        <v>3.06</v>
      </c>
      <c r="R85" s="52">
        <v>3.07</v>
      </c>
      <c r="S85" s="52">
        <f t="shared" si="9"/>
        <v>29.9999999999994</v>
      </c>
      <c r="T85" s="121">
        <f t="shared" si="10"/>
        <v>4890.00000000013</v>
      </c>
      <c r="U85" s="63"/>
      <c r="V85" s="52">
        <v>1.86</v>
      </c>
      <c r="W85" s="52">
        <v>26.1</v>
      </c>
      <c r="X85" s="52"/>
      <c r="Y85" s="52"/>
      <c r="Z85" s="52"/>
      <c r="AA85" s="52"/>
      <c r="AB85" s="121" t="s">
        <v>73</v>
      </c>
    </row>
    <row r="86" spans="1:28">
      <c r="A86" s="56">
        <f t="shared" si="8"/>
        <v>88</v>
      </c>
      <c r="B86" s="111">
        <v>45831</v>
      </c>
      <c r="C86" s="29">
        <v>45831</v>
      </c>
      <c r="D86" s="80">
        <v>0.302083333333333</v>
      </c>
      <c r="E86" s="127">
        <v>0.739583333333333</v>
      </c>
      <c r="F86" s="122">
        <v>448.31</v>
      </c>
      <c r="G86" s="52">
        <v>446.87</v>
      </c>
      <c r="H86" s="52">
        <v>451.48</v>
      </c>
      <c r="I86" s="52">
        <v>472.46</v>
      </c>
      <c r="J86" s="52">
        <v>466.73</v>
      </c>
      <c r="K86" s="52">
        <v>466.47</v>
      </c>
      <c r="L86" s="52">
        <v>463.18</v>
      </c>
      <c r="M86" s="123">
        <f t="shared" si="11"/>
        <v>3215.5</v>
      </c>
      <c r="N86" s="124">
        <f t="shared" si="12"/>
        <v>444.1</v>
      </c>
      <c r="O86" s="52">
        <v>445.16</v>
      </c>
      <c r="P86" s="52">
        <f t="shared" si="7"/>
        <v>3180.00000000001</v>
      </c>
      <c r="Q86" s="52">
        <f t="shared" si="13"/>
        <v>3.07</v>
      </c>
      <c r="R86" s="52">
        <v>3.09</v>
      </c>
      <c r="S86" s="52">
        <f t="shared" si="9"/>
        <v>60.0000000000001</v>
      </c>
      <c r="T86" s="121">
        <f t="shared" si="10"/>
        <v>3120.00000000001</v>
      </c>
      <c r="U86" s="63"/>
      <c r="V86" s="52">
        <v>0.97</v>
      </c>
      <c r="W86" s="52">
        <v>26.8</v>
      </c>
      <c r="X86" s="52"/>
      <c r="Y86" s="52"/>
      <c r="Z86" s="52"/>
      <c r="AA86" s="52"/>
      <c r="AB86" s="121" t="s">
        <v>73</v>
      </c>
    </row>
    <row r="87" spans="1:28">
      <c r="A87" s="56">
        <f t="shared" si="8"/>
        <v>89</v>
      </c>
      <c r="B87" s="111">
        <v>45832</v>
      </c>
      <c r="C87" s="29">
        <v>45832</v>
      </c>
      <c r="D87" s="80">
        <v>0.302083333333333</v>
      </c>
      <c r="E87" s="127">
        <v>0.760416666666667</v>
      </c>
      <c r="F87" s="122">
        <v>799.04</v>
      </c>
      <c r="G87" s="52">
        <v>797.66</v>
      </c>
      <c r="H87" s="52">
        <v>801.04</v>
      </c>
      <c r="I87" s="52">
        <v>838.83</v>
      </c>
      <c r="J87" s="52">
        <v>830.52</v>
      </c>
      <c r="K87" s="52">
        <v>831.22</v>
      </c>
      <c r="L87" s="52">
        <v>818.45</v>
      </c>
      <c r="M87" s="123">
        <f t="shared" si="11"/>
        <v>5716.76</v>
      </c>
      <c r="N87" s="124">
        <f t="shared" si="12"/>
        <v>445.16</v>
      </c>
      <c r="O87" s="52">
        <v>447.06</v>
      </c>
      <c r="P87" s="52">
        <f t="shared" si="7"/>
        <v>5699.99999999993</v>
      </c>
      <c r="Q87" s="52">
        <f t="shared" si="13"/>
        <v>3.09</v>
      </c>
      <c r="R87" s="52">
        <v>3.1</v>
      </c>
      <c r="S87" s="52">
        <f t="shared" si="9"/>
        <v>30.0000000000007</v>
      </c>
      <c r="T87" s="121">
        <f t="shared" si="10"/>
        <v>5669.99999999993</v>
      </c>
      <c r="U87" s="63"/>
      <c r="V87" s="52">
        <v>2.13</v>
      </c>
      <c r="W87" s="52">
        <v>28.82</v>
      </c>
      <c r="X87" s="52"/>
      <c r="Y87" s="52"/>
      <c r="Z87" s="52"/>
      <c r="AA87" s="52"/>
      <c r="AB87" s="121" t="s">
        <v>72</v>
      </c>
    </row>
    <row r="88" spans="1:28">
      <c r="A88" s="56">
        <f t="shared" si="8"/>
        <v>90</v>
      </c>
      <c r="B88" s="111">
        <v>45833</v>
      </c>
      <c r="C88" s="29">
        <v>45833</v>
      </c>
      <c r="D88" s="80">
        <v>0.302083333333333</v>
      </c>
      <c r="E88" s="127">
        <v>0.770833333333333</v>
      </c>
      <c r="F88" s="122">
        <v>484.33</v>
      </c>
      <c r="G88" s="52">
        <v>481.57</v>
      </c>
      <c r="H88" s="52">
        <v>486.4</v>
      </c>
      <c r="I88" s="52">
        <v>509.18</v>
      </c>
      <c r="J88" s="52">
        <v>502.69</v>
      </c>
      <c r="K88" s="52">
        <v>503.21</v>
      </c>
      <c r="L88" s="52">
        <v>500.02</v>
      </c>
      <c r="M88" s="123">
        <f t="shared" si="11"/>
        <v>3467.4</v>
      </c>
      <c r="N88" s="124">
        <f t="shared" si="12"/>
        <v>447.06</v>
      </c>
      <c r="O88" s="52">
        <v>448.21</v>
      </c>
      <c r="P88" s="52">
        <f t="shared" ref="P88:P151" si="14">MAX((O88-N88)*3000,0)</f>
        <v>3449.99999999993</v>
      </c>
      <c r="Q88" s="52">
        <f t="shared" si="13"/>
        <v>3.1</v>
      </c>
      <c r="R88" s="52">
        <v>3.11</v>
      </c>
      <c r="S88" s="52">
        <f t="shared" si="9"/>
        <v>29.9999999999994</v>
      </c>
      <c r="T88" s="121">
        <f t="shared" si="10"/>
        <v>3419.99999999993</v>
      </c>
      <c r="U88" s="63"/>
      <c r="V88" s="52">
        <v>1.23</v>
      </c>
      <c r="W88" s="52">
        <v>27.86</v>
      </c>
      <c r="X88" s="52"/>
      <c r="Y88" s="52"/>
      <c r="Z88" s="52"/>
      <c r="AA88" s="52"/>
      <c r="AB88" s="121" t="s">
        <v>73</v>
      </c>
    </row>
    <row r="89" spans="1:28">
      <c r="A89" s="56">
        <f t="shared" si="8"/>
        <v>91</v>
      </c>
      <c r="B89" s="111">
        <v>45834</v>
      </c>
      <c r="C89" s="29">
        <v>45834</v>
      </c>
      <c r="D89" s="80">
        <v>0.322916666666667</v>
      </c>
      <c r="E89" s="127">
        <v>0.791666666666667</v>
      </c>
      <c r="F89" s="122">
        <v>608.68</v>
      </c>
      <c r="G89" s="52">
        <v>606.64</v>
      </c>
      <c r="H89" s="52">
        <v>611.47</v>
      </c>
      <c r="I89" s="52">
        <v>641.06</v>
      </c>
      <c r="J89" s="52">
        <v>635.34</v>
      </c>
      <c r="K89" s="52">
        <v>635.97</v>
      </c>
      <c r="L89" s="52">
        <v>628.51</v>
      </c>
      <c r="M89" s="123">
        <f t="shared" si="11"/>
        <v>4367.67</v>
      </c>
      <c r="N89" s="124">
        <f t="shared" si="12"/>
        <v>448.21</v>
      </c>
      <c r="O89" s="52">
        <v>449.66</v>
      </c>
      <c r="P89" s="52">
        <f t="shared" si="14"/>
        <v>4350.00000000014</v>
      </c>
      <c r="Q89" s="52">
        <f t="shared" si="13"/>
        <v>3.11</v>
      </c>
      <c r="R89" s="52">
        <v>3.13</v>
      </c>
      <c r="S89" s="52">
        <f t="shared" si="9"/>
        <v>60.0000000000001</v>
      </c>
      <c r="T89" s="121">
        <f t="shared" si="10"/>
        <v>4290.00000000014</v>
      </c>
      <c r="U89" s="63"/>
      <c r="V89" s="52">
        <v>0.1</v>
      </c>
      <c r="W89" s="52">
        <v>26.31</v>
      </c>
      <c r="X89" s="52"/>
      <c r="Y89" s="52"/>
      <c r="Z89" s="52"/>
      <c r="AA89" s="52"/>
      <c r="AB89" s="121" t="s">
        <v>73</v>
      </c>
    </row>
    <row r="90" spans="1:28">
      <c r="A90" s="56">
        <f t="shared" si="8"/>
        <v>92</v>
      </c>
      <c r="B90" s="111">
        <v>45835</v>
      </c>
      <c r="C90" s="29">
        <v>45835</v>
      </c>
      <c r="D90" s="80">
        <v>0.322916666666667</v>
      </c>
      <c r="E90" s="127">
        <v>0.802083333333333</v>
      </c>
      <c r="F90" s="122">
        <v>553.38</v>
      </c>
      <c r="G90" s="52">
        <v>550.09</v>
      </c>
      <c r="H90" s="52">
        <v>553.85</v>
      </c>
      <c r="I90" s="52">
        <v>580.22</v>
      </c>
      <c r="J90" s="52">
        <v>573.41</v>
      </c>
      <c r="K90" s="52">
        <v>572.56</v>
      </c>
      <c r="L90" s="52">
        <v>565.72</v>
      </c>
      <c r="M90" s="123">
        <f t="shared" si="11"/>
        <v>3949.23</v>
      </c>
      <c r="N90" s="124">
        <f t="shared" si="12"/>
        <v>449.66</v>
      </c>
      <c r="O90" s="52">
        <v>450.99</v>
      </c>
      <c r="P90" s="52">
        <f t="shared" si="14"/>
        <v>3989.99999999995</v>
      </c>
      <c r="Q90" s="52">
        <f t="shared" si="13"/>
        <v>3.13</v>
      </c>
      <c r="R90" s="52">
        <v>3.15</v>
      </c>
      <c r="S90" s="52">
        <f t="shared" si="9"/>
        <v>60.0000000000001</v>
      </c>
      <c r="T90" s="121">
        <f t="shared" si="10"/>
        <v>3929.99999999995</v>
      </c>
      <c r="U90" s="63"/>
      <c r="V90" s="52">
        <v>0.35</v>
      </c>
      <c r="W90" s="52">
        <v>26.6</v>
      </c>
      <c r="X90" s="52"/>
      <c r="Y90" s="52"/>
      <c r="Z90" s="52"/>
      <c r="AA90" s="52"/>
      <c r="AB90" s="121" t="s">
        <v>73</v>
      </c>
    </row>
    <row r="91" spans="1:28">
      <c r="A91" s="56">
        <f t="shared" si="8"/>
        <v>93</v>
      </c>
      <c r="B91" s="111">
        <v>45836</v>
      </c>
      <c r="C91" s="29">
        <v>45836</v>
      </c>
      <c r="D91" s="80">
        <v>0.291666666666667</v>
      </c>
      <c r="E91" s="127">
        <v>0.770833333333333</v>
      </c>
      <c r="F91" s="122">
        <v>904.07</v>
      </c>
      <c r="G91" s="52">
        <v>899.66</v>
      </c>
      <c r="H91" s="52">
        <v>903.61</v>
      </c>
      <c r="I91" s="52">
        <v>945.72</v>
      </c>
      <c r="J91" s="52">
        <v>938.19</v>
      </c>
      <c r="K91" s="52">
        <v>940.54</v>
      </c>
      <c r="L91" s="52">
        <v>925.53</v>
      </c>
      <c r="M91" s="123">
        <f t="shared" si="11"/>
        <v>6457.32</v>
      </c>
      <c r="N91" s="124">
        <f t="shared" si="12"/>
        <v>450.99</v>
      </c>
      <c r="O91" s="52">
        <v>453.15</v>
      </c>
      <c r="P91" s="52">
        <f t="shared" si="14"/>
        <v>6479.9999999999</v>
      </c>
      <c r="Q91" s="52">
        <f t="shared" si="13"/>
        <v>3.15</v>
      </c>
      <c r="R91" s="52">
        <v>3.17</v>
      </c>
      <c r="S91" s="52">
        <f t="shared" si="9"/>
        <v>60.0000000000001</v>
      </c>
      <c r="T91" s="121">
        <f t="shared" si="10"/>
        <v>6419.9999999999</v>
      </c>
      <c r="U91" s="63"/>
      <c r="V91" s="52">
        <v>2.54</v>
      </c>
      <c r="W91" s="52">
        <v>26.91</v>
      </c>
      <c r="X91" s="52"/>
      <c r="Y91" s="52"/>
      <c r="Z91" s="52"/>
      <c r="AA91" s="52"/>
      <c r="AB91" s="121" t="s">
        <v>72</v>
      </c>
    </row>
    <row r="92" spans="1:28">
      <c r="A92" s="56">
        <f t="shared" si="8"/>
        <v>94</v>
      </c>
      <c r="B92" s="111">
        <v>45837</v>
      </c>
      <c r="C92" s="29">
        <v>45837</v>
      </c>
      <c r="D92" s="80">
        <v>0.28125</v>
      </c>
      <c r="E92" s="127">
        <v>0.792361111111111</v>
      </c>
      <c r="F92" s="122">
        <v>1202.26</v>
      </c>
      <c r="G92" s="52">
        <v>1196.06</v>
      </c>
      <c r="H92" s="52">
        <v>1198.51</v>
      </c>
      <c r="I92" s="52">
        <v>1260.5</v>
      </c>
      <c r="J92" s="52">
        <v>1250.91</v>
      </c>
      <c r="K92" s="52">
        <v>1254.43</v>
      </c>
      <c r="L92" s="52">
        <v>1233.65</v>
      </c>
      <c r="M92" s="123">
        <f t="shared" si="11"/>
        <v>8596.32</v>
      </c>
      <c r="N92" s="124">
        <f t="shared" si="12"/>
        <v>453.15</v>
      </c>
      <c r="O92" s="52">
        <v>455.99</v>
      </c>
      <c r="P92" s="52">
        <f t="shared" si="14"/>
        <v>8520.00000000009</v>
      </c>
      <c r="Q92" s="52">
        <f t="shared" si="13"/>
        <v>3.17</v>
      </c>
      <c r="R92" s="52">
        <v>3.19</v>
      </c>
      <c r="S92" s="52">
        <f t="shared" si="9"/>
        <v>60.0000000000001</v>
      </c>
      <c r="T92" s="121">
        <f t="shared" si="10"/>
        <v>8460.00000000009</v>
      </c>
      <c r="U92" s="63"/>
      <c r="V92" s="52">
        <v>3.53</v>
      </c>
      <c r="W92" s="52">
        <v>29.02</v>
      </c>
      <c r="X92" s="52"/>
      <c r="Y92" s="52"/>
      <c r="Z92" s="52"/>
      <c r="AA92" s="52"/>
      <c r="AB92" s="121" t="s">
        <v>72</v>
      </c>
    </row>
    <row r="93" spans="1:28">
      <c r="A93" s="56">
        <f t="shared" si="8"/>
        <v>95</v>
      </c>
      <c r="B93" s="111">
        <v>45838</v>
      </c>
      <c r="C93" s="29">
        <v>45838</v>
      </c>
      <c r="D93" s="80">
        <v>0.474305555555556</v>
      </c>
      <c r="E93" s="127">
        <v>0.739583333333333</v>
      </c>
      <c r="F93" s="122">
        <v>395.83</v>
      </c>
      <c r="G93" s="52">
        <v>393.97</v>
      </c>
      <c r="H93" s="52">
        <v>397.2</v>
      </c>
      <c r="I93" s="52">
        <v>414.68</v>
      </c>
      <c r="J93" s="52">
        <v>409.82</v>
      </c>
      <c r="K93" s="52">
        <v>410.15</v>
      </c>
      <c r="L93" s="52">
        <v>405.58</v>
      </c>
      <c r="M93" s="123">
        <f t="shared" si="11"/>
        <v>2827.23</v>
      </c>
      <c r="N93" s="124">
        <f t="shared" si="12"/>
        <v>455.99</v>
      </c>
      <c r="O93" s="52">
        <v>456.92</v>
      </c>
      <c r="P93" s="52">
        <f t="shared" si="14"/>
        <v>2790.00000000002</v>
      </c>
      <c r="Q93" s="52">
        <f t="shared" si="13"/>
        <v>3.19</v>
      </c>
      <c r="R93" s="52">
        <v>3.2</v>
      </c>
      <c r="S93" s="52">
        <f t="shared" si="9"/>
        <v>30.0000000000007</v>
      </c>
      <c r="T93" s="121">
        <f t="shared" si="10"/>
        <v>2760.00000000002</v>
      </c>
      <c r="U93" s="63"/>
      <c r="V93" s="52">
        <v>1.23</v>
      </c>
      <c r="W93" s="52">
        <v>0</v>
      </c>
      <c r="X93" s="52"/>
      <c r="Y93" s="52"/>
      <c r="Z93" s="52"/>
      <c r="AA93" s="52"/>
      <c r="AB93" s="121" t="s">
        <v>73</v>
      </c>
    </row>
    <row r="94" spans="1:28">
      <c r="A94" s="56">
        <f t="shared" si="8"/>
        <v>96</v>
      </c>
      <c r="B94" s="111">
        <v>45839</v>
      </c>
      <c r="C94" s="29">
        <v>45839</v>
      </c>
      <c r="D94" s="80">
        <v>0.28125</v>
      </c>
      <c r="E94" s="127">
        <v>0.791666666666667</v>
      </c>
      <c r="F94" s="122">
        <v>1172.53</v>
      </c>
      <c r="G94" s="52">
        <v>1166.08</v>
      </c>
      <c r="H94" s="52">
        <v>1172.77</v>
      </c>
      <c r="I94" s="52">
        <v>1231.88</v>
      </c>
      <c r="J94" s="52">
        <v>1224.3</v>
      </c>
      <c r="K94" s="52">
        <v>1227.06</v>
      </c>
      <c r="L94" s="52">
        <v>1208.32</v>
      </c>
      <c r="M94" s="123">
        <f t="shared" si="11"/>
        <v>8402.94</v>
      </c>
      <c r="N94" s="124">
        <f t="shared" si="12"/>
        <v>456.92</v>
      </c>
      <c r="O94" s="52">
        <v>459.71</v>
      </c>
      <c r="P94" s="52">
        <f t="shared" si="14"/>
        <v>8369.99999999989</v>
      </c>
      <c r="Q94" s="52">
        <f t="shared" si="13"/>
        <v>3.2</v>
      </c>
      <c r="R94" s="52">
        <v>3.21</v>
      </c>
      <c r="S94" s="52">
        <f t="shared" si="9"/>
        <v>29.9999999999994</v>
      </c>
      <c r="T94" s="121">
        <f t="shared" si="10"/>
        <v>8339.99999999989</v>
      </c>
      <c r="U94" s="63"/>
      <c r="V94" s="52">
        <v>3.18</v>
      </c>
      <c r="W94" s="52">
        <v>0</v>
      </c>
      <c r="X94" s="52"/>
      <c r="Y94" s="52"/>
      <c r="Z94" s="52"/>
      <c r="AA94" s="52"/>
      <c r="AB94" s="121" t="s">
        <v>72</v>
      </c>
    </row>
    <row r="95" spans="1:28">
      <c r="A95" s="56">
        <f t="shared" si="8"/>
        <v>97</v>
      </c>
      <c r="B95" s="111">
        <v>45840</v>
      </c>
      <c r="C95" s="29">
        <v>45840</v>
      </c>
      <c r="D95" s="80">
        <v>0.3125</v>
      </c>
      <c r="E95" s="127">
        <v>0.760416666666667</v>
      </c>
      <c r="F95" s="122">
        <v>642.45</v>
      </c>
      <c r="G95" s="52">
        <v>647.84</v>
      </c>
      <c r="H95" s="52">
        <v>644.98</v>
      </c>
      <c r="I95" s="52">
        <v>650.15</v>
      </c>
      <c r="J95" s="52">
        <v>619.95</v>
      </c>
      <c r="K95" s="52">
        <v>613</v>
      </c>
      <c r="L95" s="52">
        <v>614.46</v>
      </c>
      <c r="M95" s="123">
        <f t="shared" si="11"/>
        <v>4432.83</v>
      </c>
      <c r="N95" s="124">
        <f t="shared" si="12"/>
        <v>459.71</v>
      </c>
      <c r="O95" s="52">
        <v>461.17</v>
      </c>
      <c r="P95" s="52">
        <f t="shared" si="14"/>
        <v>4380.00000000011</v>
      </c>
      <c r="Q95" s="52">
        <f t="shared" si="13"/>
        <v>3.21</v>
      </c>
      <c r="R95" s="52">
        <v>3.23</v>
      </c>
      <c r="S95" s="52">
        <f t="shared" si="9"/>
        <v>60.0000000000001</v>
      </c>
      <c r="T95" s="121">
        <f t="shared" si="10"/>
        <v>4320.00000000011</v>
      </c>
      <c r="U95" s="63"/>
      <c r="V95" s="52">
        <v>1.61</v>
      </c>
      <c r="W95" s="52">
        <v>0</v>
      </c>
      <c r="X95" s="52"/>
      <c r="Y95" s="52"/>
      <c r="Z95" s="52"/>
      <c r="AA95" s="52"/>
      <c r="AB95" s="121" t="s">
        <v>73</v>
      </c>
    </row>
    <row r="96" spans="1:28">
      <c r="A96" s="56">
        <f t="shared" si="8"/>
        <v>98</v>
      </c>
      <c r="B96" s="111">
        <v>45841</v>
      </c>
      <c r="C96" s="29">
        <v>45841</v>
      </c>
      <c r="D96" s="80">
        <v>0.291666666666667</v>
      </c>
      <c r="E96" s="127">
        <v>0.770833333333333</v>
      </c>
      <c r="F96" s="122">
        <v>552.12</v>
      </c>
      <c r="G96" s="52">
        <v>548.44</v>
      </c>
      <c r="H96" s="52">
        <v>553.68</v>
      </c>
      <c r="I96" s="52">
        <v>578.56</v>
      </c>
      <c r="J96" s="52">
        <v>570.98</v>
      </c>
      <c r="K96" s="52">
        <v>570.54</v>
      </c>
      <c r="L96" s="52">
        <v>564.89</v>
      </c>
      <c r="M96" s="123">
        <f t="shared" si="11"/>
        <v>3939.21</v>
      </c>
      <c r="N96" s="124">
        <f t="shared" si="12"/>
        <v>461.17</v>
      </c>
      <c r="O96" s="52">
        <v>462.46</v>
      </c>
      <c r="P96" s="52">
        <f t="shared" si="14"/>
        <v>3869.99999999989</v>
      </c>
      <c r="Q96" s="52">
        <f t="shared" si="13"/>
        <v>3.23</v>
      </c>
      <c r="R96" s="52">
        <v>3.25</v>
      </c>
      <c r="S96" s="52">
        <f t="shared" si="9"/>
        <v>60.0000000000001</v>
      </c>
      <c r="T96" s="121">
        <f t="shared" si="10"/>
        <v>3809.99999999989</v>
      </c>
      <c r="U96" s="63"/>
      <c r="V96" s="52">
        <v>1.11</v>
      </c>
      <c r="W96" s="52">
        <v>0</v>
      </c>
      <c r="X96" s="52"/>
      <c r="Y96" s="52"/>
      <c r="Z96" s="52"/>
      <c r="AA96" s="52"/>
      <c r="AB96" s="121" t="s">
        <v>73</v>
      </c>
    </row>
    <row r="97" spans="1:28">
      <c r="A97" s="56">
        <f t="shared" si="8"/>
        <v>99</v>
      </c>
      <c r="B97" s="111">
        <v>45842</v>
      </c>
      <c r="C97" s="29">
        <v>45842</v>
      </c>
      <c r="D97" s="80">
        <v>0.302083333333333</v>
      </c>
      <c r="E97" s="127">
        <v>0.729166666666667</v>
      </c>
      <c r="F97" s="122">
        <v>918.61</v>
      </c>
      <c r="G97" s="52">
        <v>914.07</v>
      </c>
      <c r="H97" s="52">
        <v>917.92</v>
      </c>
      <c r="I97" s="52">
        <v>960.93</v>
      </c>
      <c r="J97" s="52">
        <v>950.77</v>
      </c>
      <c r="K97" s="52">
        <v>954.17</v>
      </c>
      <c r="L97" s="52">
        <v>937.5</v>
      </c>
      <c r="M97" s="123">
        <f t="shared" si="11"/>
        <v>6553.97</v>
      </c>
      <c r="N97" s="124">
        <f t="shared" si="12"/>
        <v>462.46</v>
      </c>
      <c r="O97" s="52">
        <v>464.64</v>
      </c>
      <c r="P97" s="52">
        <f t="shared" si="14"/>
        <v>6540.00000000002</v>
      </c>
      <c r="Q97" s="52">
        <f t="shared" si="13"/>
        <v>3.25</v>
      </c>
      <c r="R97" s="52">
        <v>3.27</v>
      </c>
      <c r="S97" s="52">
        <f t="shared" si="9"/>
        <v>60.0000000000001</v>
      </c>
      <c r="T97" s="121">
        <f t="shared" si="10"/>
        <v>6480.00000000002</v>
      </c>
      <c r="U97" s="63"/>
      <c r="V97" s="52">
        <v>2.7</v>
      </c>
      <c r="W97" s="52">
        <v>0</v>
      </c>
      <c r="X97" s="52"/>
      <c r="Y97" s="52"/>
      <c r="Z97" s="52"/>
      <c r="AA97" s="52"/>
      <c r="AB97" s="121" t="s">
        <v>73</v>
      </c>
    </row>
    <row r="98" spans="1:28">
      <c r="A98" s="56">
        <f t="shared" si="8"/>
        <v>100</v>
      </c>
      <c r="B98" s="111">
        <v>45843</v>
      </c>
      <c r="C98" s="29">
        <v>45843</v>
      </c>
      <c r="D98" s="80">
        <v>0.302083333333333</v>
      </c>
      <c r="E98" s="127">
        <v>0.78125</v>
      </c>
      <c r="F98" s="122">
        <v>555.97</v>
      </c>
      <c r="G98" s="52">
        <v>554.69</v>
      </c>
      <c r="H98" s="52">
        <v>560.31</v>
      </c>
      <c r="I98" s="52">
        <v>587.87</v>
      </c>
      <c r="J98" s="52">
        <v>583.18</v>
      </c>
      <c r="K98" s="52">
        <v>579.78</v>
      </c>
      <c r="L98" s="52">
        <v>578.86</v>
      </c>
      <c r="M98" s="123">
        <f t="shared" si="11"/>
        <v>4000.66</v>
      </c>
      <c r="N98" s="124">
        <f t="shared" si="12"/>
        <v>464.64</v>
      </c>
      <c r="O98" s="52">
        <v>465.97</v>
      </c>
      <c r="P98" s="52">
        <f t="shared" si="14"/>
        <v>3990.00000000012</v>
      </c>
      <c r="Q98" s="52">
        <f t="shared" si="13"/>
        <v>3.27</v>
      </c>
      <c r="R98" s="52">
        <v>3.29</v>
      </c>
      <c r="S98" s="52">
        <f t="shared" si="9"/>
        <v>60.0000000000001</v>
      </c>
      <c r="T98" s="121">
        <f t="shared" si="10"/>
        <v>3930.00000000012</v>
      </c>
      <c r="U98" s="63"/>
      <c r="V98" s="52">
        <v>1.3</v>
      </c>
      <c r="W98" s="52">
        <v>0</v>
      </c>
      <c r="X98" s="52"/>
      <c r="Y98" s="52"/>
      <c r="Z98" s="52"/>
      <c r="AA98" s="52"/>
      <c r="AB98" s="121" t="s">
        <v>72</v>
      </c>
    </row>
    <row r="99" spans="1:28">
      <c r="A99" s="56">
        <f t="shared" si="8"/>
        <v>101</v>
      </c>
      <c r="B99" s="111">
        <v>45844</v>
      </c>
      <c r="C99" s="29">
        <v>45844</v>
      </c>
      <c r="D99" s="80">
        <v>0.291666666666667</v>
      </c>
      <c r="E99" s="127">
        <v>0.78125</v>
      </c>
      <c r="F99" s="122">
        <v>869.04</v>
      </c>
      <c r="G99" s="52">
        <v>866.38</v>
      </c>
      <c r="H99" s="52">
        <v>871.16</v>
      </c>
      <c r="I99" s="52">
        <v>919.06</v>
      </c>
      <c r="J99" s="52">
        <v>907.1</v>
      </c>
      <c r="K99" s="52">
        <v>908.09</v>
      </c>
      <c r="L99" s="52">
        <v>892.9</v>
      </c>
      <c r="M99" s="123">
        <f t="shared" si="11"/>
        <v>6233.73</v>
      </c>
      <c r="N99" s="124">
        <f t="shared" si="12"/>
        <v>465.97</v>
      </c>
      <c r="O99" s="52">
        <v>468.05</v>
      </c>
      <c r="P99" s="52">
        <f t="shared" si="14"/>
        <v>6239.99999999995</v>
      </c>
      <c r="Q99" s="52">
        <f t="shared" si="13"/>
        <v>3.29</v>
      </c>
      <c r="R99" s="52">
        <v>3.31</v>
      </c>
      <c r="S99" s="52">
        <f t="shared" si="9"/>
        <v>60.0000000000001</v>
      </c>
      <c r="T99" s="121">
        <f t="shared" si="10"/>
        <v>6179.99999999995</v>
      </c>
      <c r="U99" s="63"/>
      <c r="V99" s="52">
        <v>2.44</v>
      </c>
      <c r="W99" s="52">
        <v>0</v>
      </c>
      <c r="X99" s="52"/>
      <c r="Y99" s="52"/>
      <c r="Z99" s="52"/>
      <c r="AA99" s="52"/>
      <c r="AB99" s="121" t="s">
        <v>72</v>
      </c>
    </row>
    <row r="100" spans="1:28">
      <c r="A100" s="56">
        <f t="shared" si="8"/>
        <v>102</v>
      </c>
      <c r="B100" s="111">
        <v>45845</v>
      </c>
      <c r="C100" s="29">
        <v>45845</v>
      </c>
      <c r="D100" s="80">
        <v>0.291666666666667</v>
      </c>
      <c r="E100" s="127">
        <v>0.78125</v>
      </c>
      <c r="F100" s="122">
        <v>673.82</v>
      </c>
      <c r="G100" s="52">
        <v>670.72</v>
      </c>
      <c r="H100" s="52">
        <v>675.36</v>
      </c>
      <c r="I100" s="52">
        <v>708.52</v>
      </c>
      <c r="J100" s="52">
        <v>702.16</v>
      </c>
      <c r="K100" s="52">
        <v>704.08</v>
      </c>
      <c r="L100" s="52">
        <v>695.59</v>
      </c>
      <c r="M100" s="123">
        <f t="shared" si="11"/>
        <v>4830.25</v>
      </c>
      <c r="N100" s="124">
        <f t="shared" si="12"/>
        <v>468.05</v>
      </c>
      <c r="O100" s="52">
        <v>469.67</v>
      </c>
      <c r="P100" s="52">
        <f t="shared" si="14"/>
        <v>4860.00000000001</v>
      </c>
      <c r="Q100" s="52">
        <f t="shared" si="13"/>
        <v>3.31</v>
      </c>
      <c r="R100" s="52">
        <v>3.33</v>
      </c>
      <c r="S100" s="52">
        <f t="shared" si="9"/>
        <v>60.0000000000001</v>
      </c>
      <c r="T100" s="121">
        <f t="shared" si="10"/>
        <v>4800.00000000001</v>
      </c>
      <c r="U100" s="63"/>
      <c r="V100" s="52">
        <v>1.82</v>
      </c>
      <c r="W100" s="52">
        <v>0</v>
      </c>
      <c r="X100" s="52"/>
      <c r="Y100" s="52"/>
      <c r="Z100" s="52"/>
      <c r="AA100" s="52"/>
      <c r="AB100" s="121" t="s">
        <v>73</v>
      </c>
    </row>
    <row r="101" spans="1:28">
      <c r="A101" s="56">
        <f t="shared" si="8"/>
        <v>103</v>
      </c>
      <c r="B101" s="111">
        <v>45846</v>
      </c>
      <c r="C101" s="29">
        <v>45846</v>
      </c>
      <c r="D101" s="80">
        <v>0.291666666666667</v>
      </c>
      <c r="E101" s="127">
        <v>0.791666666666667</v>
      </c>
      <c r="F101" s="122">
        <v>1064.11</v>
      </c>
      <c r="G101" s="52">
        <v>1058.54</v>
      </c>
      <c r="H101" s="52">
        <v>1061.68</v>
      </c>
      <c r="I101" s="52">
        <v>1114.95</v>
      </c>
      <c r="J101" s="52">
        <v>1103.49</v>
      </c>
      <c r="K101" s="52">
        <v>1107.27</v>
      </c>
      <c r="L101" s="52">
        <v>1092.42</v>
      </c>
      <c r="M101" s="123">
        <f t="shared" si="11"/>
        <v>7602.46</v>
      </c>
      <c r="N101" s="124">
        <f t="shared" si="12"/>
        <v>469.67</v>
      </c>
      <c r="O101" s="52">
        <v>472.2</v>
      </c>
      <c r="P101" s="52">
        <f t="shared" si="14"/>
        <v>7589.99999999992</v>
      </c>
      <c r="Q101" s="52">
        <f t="shared" si="13"/>
        <v>3.33</v>
      </c>
      <c r="R101" s="52">
        <v>3.35</v>
      </c>
      <c r="S101" s="52">
        <f t="shared" si="9"/>
        <v>60.0000000000001</v>
      </c>
      <c r="T101" s="121">
        <f t="shared" si="10"/>
        <v>7529.99999999992</v>
      </c>
      <c r="U101" s="63"/>
      <c r="V101" s="52">
        <v>3.16</v>
      </c>
      <c r="W101" s="52">
        <v>0</v>
      </c>
      <c r="X101" s="52"/>
      <c r="Y101" s="52"/>
      <c r="Z101" s="52"/>
      <c r="AA101" s="52"/>
      <c r="AB101" s="121" t="s">
        <v>72</v>
      </c>
    </row>
    <row r="102" spans="1:28">
      <c r="A102" s="56">
        <f t="shared" si="8"/>
        <v>104</v>
      </c>
      <c r="B102" s="111">
        <v>45847</v>
      </c>
      <c r="C102" s="29">
        <v>45847</v>
      </c>
      <c r="D102" s="80">
        <v>0.270833333333333</v>
      </c>
      <c r="E102" s="127">
        <v>0.78125</v>
      </c>
      <c r="F102" s="122">
        <v>1649.7</v>
      </c>
      <c r="G102" s="52">
        <v>1666.83</v>
      </c>
      <c r="H102" s="52">
        <v>1657.82</v>
      </c>
      <c r="I102" s="52">
        <v>1664.91</v>
      </c>
      <c r="J102" s="52">
        <v>1578.57</v>
      </c>
      <c r="K102" s="52">
        <v>1568.82</v>
      </c>
      <c r="L102" s="52">
        <v>1568.01</v>
      </c>
      <c r="M102" s="123">
        <f t="shared" si="11"/>
        <v>11354.66</v>
      </c>
      <c r="N102" s="124">
        <f t="shared" si="12"/>
        <v>472.2</v>
      </c>
      <c r="O102" s="52">
        <v>475.99</v>
      </c>
      <c r="P102" s="52">
        <f t="shared" si="14"/>
        <v>11370.0000000001</v>
      </c>
      <c r="Q102" s="52">
        <f t="shared" si="13"/>
        <v>3.35</v>
      </c>
      <c r="R102" s="52">
        <v>3.37</v>
      </c>
      <c r="S102" s="52">
        <f t="shared" si="9"/>
        <v>60.0000000000001</v>
      </c>
      <c r="T102" s="121">
        <f t="shared" si="10"/>
        <v>11310.0000000001</v>
      </c>
      <c r="U102" s="63"/>
      <c r="V102" s="52">
        <v>4.7</v>
      </c>
      <c r="W102" s="52">
        <v>0</v>
      </c>
      <c r="X102" s="52"/>
      <c r="Y102" s="52"/>
      <c r="Z102" s="52"/>
      <c r="AA102" s="52"/>
      <c r="AB102" s="121" t="s">
        <v>72</v>
      </c>
    </row>
    <row r="103" spans="1:28">
      <c r="A103" s="56">
        <f t="shared" si="8"/>
        <v>105</v>
      </c>
      <c r="B103" s="111">
        <v>45848</v>
      </c>
      <c r="C103" s="29">
        <v>45848</v>
      </c>
      <c r="D103" s="80">
        <v>0.291666666666667</v>
      </c>
      <c r="E103" s="127">
        <v>0.791666666666667</v>
      </c>
      <c r="F103" s="122">
        <v>796.79</v>
      </c>
      <c r="G103" s="52">
        <v>794.67</v>
      </c>
      <c r="H103" s="52">
        <v>798.95</v>
      </c>
      <c r="I103" s="52">
        <v>840.2</v>
      </c>
      <c r="J103" s="52">
        <v>832.88</v>
      </c>
      <c r="K103" s="52">
        <v>834.99</v>
      </c>
      <c r="L103" s="52">
        <v>825.84</v>
      </c>
      <c r="M103" s="123">
        <f t="shared" si="11"/>
        <v>5724.32</v>
      </c>
      <c r="N103" s="124">
        <f t="shared" si="12"/>
        <v>475.99</v>
      </c>
      <c r="O103" s="52">
        <v>477.92</v>
      </c>
      <c r="P103" s="52">
        <f t="shared" si="14"/>
        <v>5790.00000000002</v>
      </c>
      <c r="Q103" s="52">
        <f t="shared" si="13"/>
        <v>3.37</v>
      </c>
      <c r="R103" s="52">
        <v>3.39</v>
      </c>
      <c r="S103" s="52">
        <f t="shared" si="9"/>
        <v>60.0000000000001</v>
      </c>
      <c r="T103" s="121">
        <f t="shared" si="10"/>
        <v>5730.00000000002</v>
      </c>
      <c r="U103" s="63"/>
      <c r="V103" s="52">
        <v>2.43</v>
      </c>
      <c r="W103" s="52">
        <v>0</v>
      </c>
      <c r="X103" s="52"/>
      <c r="Y103" s="52"/>
      <c r="Z103" s="52"/>
      <c r="AA103" s="52"/>
      <c r="AB103" s="121" t="s">
        <v>72</v>
      </c>
    </row>
    <row r="104" spans="1:28">
      <c r="A104" s="56">
        <f t="shared" si="8"/>
        <v>106</v>
      </c>
      <c r="B104" s="111">
        <v>45849</v>
      </c>
      <c r="C104" s="29">
        <v>45849</v>
      </c>
      <c r="D104" s="80">
        <v>0.291666666666667</v>
      </c>
      <c r="E104" s="127">
        <v>0.78125</v>
      </c>
      <c r="F104" s="122">
        <v>662.34</v>
      </c>
      <c r="G104" s="52">
        <v>658.97</v>
      </c>
      <c r="H104" s="52">
        <v>663.84</v>
      </c>
      <c r="I104" s="52">
        <v>695.58</v>
      </c>
      <c r="J104" s="52">
        <v>688.95</v>
      </c>
      <c r="K104" s="52">
        <v>690.75</v>
      </c>
      <c r="L104" s="52">
        <v>682.46</v>
      </c>
      <c r="M104" s="123">
        <f t="shared" si="11"/>
        <v>4742.89</v>
      </c>
      <c r="N104" s="124">
        <f t="shared" si="12"/>
        <v>477.92</v>
      </c>
      <c r="O104" s="52">
        <v>479.51</v>
      </c>
      <c r="P104" s="52">
        <f t="shared" si="14"/>
        <v>4769.99999999993</v>
      </c>
      <c r="Q104" s="52">
        <f t="shared" si="13"/>
        <v>3.39</v>
      </c>
      <c r="R104" s="52">
        <v>3.41</v>
      </c>
      <c r="S104" s="52">
        <f t="shared" si="9"/>
        <v>60.0000000000001</v>
      </c>
      <c r="T104" s="121">
        <f t="shared" si="10"/>
        <v>4709.99999999993</v>
      </c>
      <c r="U104" s="63"/>
      <c r="V104" s="52">
        <v>1.57</v>
      </c>
      <c r="W104" s="52">
        <v>0</v>
      </c>
      <c r="X104" s="52"/>
      <c r="Y104" s="52"/>
      <c r="Z104" s="52"/>
      <c r="AA104" s="52"/>
      <c r="AB104" s="121" t="s">
        <v>72</v>
      </c>
    </row>
    <row r="105" spans="1:28">
      <c r="A105" s="56">
        <f t="shared" si="8"/>
        <v>107</v>
      </c>
      <c r="B105" s="111">
        <v>45850</v>
      </c>
      <c r="C105" s="29">
        <v>45850</v>
      </c>
      <c r="D105" s="80">
        <v>0.291666666666667</v>
      </c>
      <c r="E105" s="127">
        <v>0.78125</v>
      </c>
      <c r="F105" s="122">
        <v>979.11</v>
      </c>
      <c r="G105" s="52">
        <v>971.19</v>
      </c>
      <c r="H105" s="52">
        <v>970.38</v>
      </c>
      <c r="I105" s="52">
        <v>1017.39</v>
      </c>
      <c r="J105" s="52">
        <v>1009.15</v>
      </c>
      <c r="K105" s="52">
        <v>1010.78</v>
      </c>
      <c r="L105" s="52">
        <v>990.89</v>
      </c>
      <c r="M105" s="123">
        <f t="shared" si="11"/>
        <v>6948.89</v>
      </c>
      <c r="N105" s="124">
        <f t="shared" si="12"/>
        <v>479.51</v>
      </c>
      <c r="O105" s="52">
        <v>481.82</v>
      </c>
      <c r="P105" s="52">
        <f t="shared" si="14"/>
        <v>6930.00000000001</v>
      </c>
      <c r="Q105" s="52">
        <f t="shared" si="13"/>
        <v>3.41</v>
      </c>
      <c r="R105" s="52">
        <v>3.43</v>
      </c>
      <c r="S105" s="52">
        <f t="shared" si="9"/>
        <v>60.0000000000001</v>
      </c>
      <c r="T105" s="121">
        <f t="shared" si="10"/>
        <v>6870.00000000001</v>
      </c>
      <c r="U105" s="63"/>
      <c r="V105" s="52">
        <v>3.25</v>
      </c>
      <c r="W105" s="52">
        <v>0</v>
      </c>
      <c r="X105" s="52"/>
      <c r="Y105" s="52"/>
      <c r="Z105" s="52"/>
      <c r="AA105" s="52"/>
      <c r="AB105" s="121" t="s">
        <v>72</v>
      </c>
    </row>
    <row r="106" spans="1:28">
      <c r="A106" s="56">
        <f t="shared" si="8"/>
        <v>108</v>
      </c>
      <c r="B106" s="111">
        <v>45851</v>
      </c>
      <c r="C106" s="29">
        <v>45851</v>
      </c>
      <c r="D106" s="80">
        <v>0.28125</v>
      </c>
      <c r="E106" s="127">
        <v>0.802083333333333</v>
      </c>
      <c r="F106" s="122">
        <v>1106.36</v>
      </c>
      <c r="G106" s="52">
        <v>1100.73</v>
      </c>
      <c r="H106" s="52">
        <v>1101.58</v>
      </c>
      <c r="I106" s="52">
        <v>1155.04</v>
      </c>
      <c r="J106" s="52">
        <v>1144.89</v>
      </c>
      <c r="K106" s="52">
        <v>1144.49</v>
      </c>
      <c r="L106" s="52">
        <v>1123.89</v>
      </c>
      <c r="M106" s="123">
        <f t="shared" si="11"/>
        <v>7876.98</v>
      </c>
      <c r="N106" s="124">
        <f t="shared" si="12"/>
        <v>481.82</v>
      </c>
      <c r="O106" s="52">
        <v>484.47</v>
      </c>
      <c r="P106" s="52">
        <f t="shared" si="14"/>
        <v>7950.0000000001</v>
      </c>
      <c r="Q106" s="52">
        <f t="shared" si="13"/>
        <v>3.43</v>
      </c>
      <c r="R106" s="52">
        <v>3.45</v>
      </c>
      <c r="S106" s="52">
        <f t="shared" si="9"/>
        <v>60.0000000000001</v>
      </c>
      <c r="T106" s="121">
        <f t="shared" si="10"/>
        <v>7890.0000000001</v>
      </c>
      <c r="U106" s="63"/>
      <c r="V106" s="52">
        <v>3.65</v>
      </c>
      <c r="W106" s="52">
        <v>0</v>
      </c>
      <c r="X106" s="52"/>
      <c r="Y106" s="52"/>
      <c r="Z106" s="52"/>
      <c r="AA106" s="52"/>
      <c r="AB106" s="121" t="s">
        <v>72</v>
      </c>
    </row>
    <row r="107" spans="1:28">
      <c r="A107" s="56">
        <f t="shared" si="8"/>
        <v>109</v>
      </c>
      <c r="B107" s="111">
        <v>45852</v>
      </c>
      <c r="C107" s="29">
        <v>45852</v>
      </c>
      <c r="D107" s="80">
        <v>0.291666666666667</v>
      </c>
      <c r="E107" s="127">
        <v>0.791666666666667</v>
      </c>
      <c r="F107" s="122">
        <v>1378.28</v>
      </c>
      <c r="G107" s="52">
        <v>1382.3</v>
      </c>
      <c r="H107" s="52">
        <v>1387.89</v>
      </c>
      <c r="I107" s="52">
        <v>1453.66</v>
      </c>
      <c r="J107" s="52">
        <v>1451.12</v>
      </c>
      <c r="K107" s="52">
        <v>1455.06</v>
      </c>
      <c r="L107" s="52">
        <v>1442.36</v>
      </c>
      <c r="M107" s="123">
        <f t="shared" si="11"/>
        <v>9950.67</v>
      </c>
      <c r="N107" s="124">
        <f t="shared" si="12"/>
        <v>484.47</v>
      </c>
      <c r="O107" s="52">
        <v>487.81</v>
      </c>
      <c r="P107" s="52">
        <f t="shared" si="14"/>
        <v>10019.9999999999</v>
      </c>
      <c r="Q107" s="52">
        <f t="shared" si="13"/>
        <v>3.45</v>
      </c>
      <c r="R107" s="52">
        <v>3.47</v>
      </c>
      <c r="S107" s="52">
        <f t="shared" si="9"/>
        <v>60.0000000000001</v>
      </c>
      <c r="T107" s="121">
        <f t="shared" si="10"/>
        <v>9959.99999999993</v>
      </c>
      <c r="U107" s="63"/>
      <c r="V107" s="52">
        <v>4.46</v>
      </c>
      <c r="W107" s="52">
        <v>0</v>
      </c>
      <c r="X107" s="52"/>
      <c r="Y107" s="52"/>
      <c r="Z107" s="52"/>
      <c r="AA107" s="52"/>
      <c r="AB107" s="121" t="s">
        <v>72</v>
      </c>
    </row>
    <row r="108" spans="1:28">
      <c r="A108" s="56">
        <f t="shared" si="8"/>
        <v>110</v>
      </c>
      <c r="B108" s="111">
        <v>45853</v>
      </c>
      <c r="C108" s="29">
        <v>45853</v>
      </c>
      <c r="D108" s="80">
        <v>0.291666666666667</v>
      </c>
      <c r="E108" s="127">
        <v>0.791666666666667</v>
      </c>
      <c r="F108" s="122">
        <v>1457.56</v>
      </c>
      <c r="G108" s="52">
        <v>1449.5</v>
      </c>
      <c r="H108" s="52">
        <v>1450.62</v>
      </c>
      <c r="I108" s="52">
        <v>1520.59</v>
      </c>
      <c r="J108" s="52">
        <v>1511.2</v>
      </c>
      <c r="K108" s="52">
        <v>1512.76</v>
      </c>
      <c r="L108" s="52">
        <v>1487.09</v>
      </c>
      <c r="M108" s="123">
        <f t="shared" si="11"/>
        <v>10389.32</v>
      </c>
      <c r="N108" s="124">
        <f t="shared" si="12"/>
        <v>487.81</v>
      </c>
      <c r="O108" s="52">
        <v>491.3</v>
      </c>
      <c r="P108" s="52">
        <f t="shared" si="14"/>
        <v>10470</v>
      </c>
      <c r="Q108" s="52">
        <f t="shared" si="13"/>
        <v>3.47</v>
      </c>
      <c r="R108" s="52">
        <v>3.49</v>
      </c>
      <c r="S108" s="52">
        <f t="shared" si="9"/>
        <v>60.0000000000001</v>
      </c>
      <c r="T108" s="121">
        <f t="shared" si="10"/>
        <v>10410</v>
      </c>
      <c r="U108" s="63"/>
      <c r="V108" s="52">
        <v>4.22</v>
      </c>
      <c r="W108" s="52">
        <v>0</v>
      </c>
      <c r="X108" s="52"/>
      <c r="Y108" s="52"/>
      <c r="Z108" s="52"/>
      <c r="AA108" s="52"/>
      <c r="AB108" s="121" t="s">
        <v>72</v>
      </c>
    </row>
    <row r="109" spans="1:28">
      <c r="A109" s="56">
        <f t="shared" si="8"/>
        <v>111</v>
      </c>
      <c r="B109" s="111">
        <v>45854</v>
      </c>
      <c r="C109" s="29">
        <v>45854</v>
      </c>
      <c r="D109" s="80">
        <v>0.28125</v>
      </c>
      <c r="E109" s="127">
        <v>0.791666666666667</v>
      </c>
      <c r="F109" s="122">
        <v>1473.81</v>
      </c>
      <c r="G109" s="52">
        <v>1466.16</v>
      </c>
      <c r="H109" s="52">
        <v>1472.52</v>
      </c>
      <c r="I109" s="52">
        <v>1540.77</v>
      </c>
      <c r="J109" s="52">
        <v>1528.72</v>
      </c>
      <c r="K109" s="52">
        <v>1531.53</v>
      </c>
      <c r="L109" s="52">
        <v>1511.74</v>
      </c>
      <c r="M109" s="123">
        <f t="shared" si="11"/>
        <v>10525.25</v>
      </c>
      <c r="N109" s="124">
        <f t="shared" si="12"/>
        <v>491.3</v>
      </c>
      <c r="O109" s="52">
        <v>494.82</v>
      </c>
      <c r="P109" s="52">
        <f t="shared" si="14"/>
        <v>10559.9999999999</v>
      </c>
      <c r="Q109" s="52">
        <f t="shared" si="13"/>
        <v>3.49</v>
      </c>
      <c r="R109" s="52">
        <v>3.51</v>
      </c>
      <c r="S109" s="52">
        <f t="shared" si="9"/>
        <v>59.9999999999987</v>
      </c>
      <c r="T109" s="121">
        <f t="shared" si="10"/>
        <v>10499.9999999999</v>
      </c>
      <c r="U109" s="63"/>
      <c r="V109" s="52">
        <v>4.6</v>
      </c>
      <c r="W109" s="52">
        <v>30.82</v>
      </c>
      <c r="X109" s="52"/>
      <c r="Y109" s="52"/>
      <c r="Z109" s="52"/>
      <c r="AA109" s="52"/>
      <c r="AB109" s="121" t="s">
        <v>72</v>
      </c>
    </row>
    <row r="110" spans="1:28">
      <c r="A110" s="56">
        <f t="shared" si="8"/>
        <v>112</v>
      </c>
      <c r="B110" s="111">
        <v>45855</v>
      </c>
      <c r="C110" s="29">
        <v>45855</v>
      </c>
      <c r="D110" s="80">
        <v>0.291666666666667</v>
      </c>
      <c r="E110" s="127">
        <v>0.791666666666667</v>
      </c>
      <c r="F110" s="122">
        <v>1397.56</v>
      </c>
      <c r="G110" s="52">
        <v>1395.72</v>
      </c>
      <c r="H110" s="52">
        <v>1397.75</v>
      </c>
      <c r="I110" s="52">
        <v>1472.22</v>
      </c>
      <c r="J110" s="52">
        <v>1463.74</v>
      </c>
      <c r="K110" s="52">
        <v>1467.55</v>
      </c>
      <c r="L110" s="52">
        <v>1451.36</v>
      </c>
      <c r="M110" s="123">
        <f t="shared" si="11"/>
        <v>10045.9</v>
      </c>
      <c r="N110" s="124">
        <f t="shared" si="12"/>
        <v>494.82</v>
      </c>
      <c r="O110" s="52">
        <v>498.16</v>
      </c>
      <c r="P110" s="52">
        <f t="shared" si="14"/>
        <v>10020.0000000001</v>
      </c>
      <c r="Q110" s="52">
        <f t="shared" si="13"/>
        <v>3.51</v>
      </c>
      <c r="R110" s="52">
        <v>3.52</v>
      </c>
      <c r="S110" s="52">
        <f t="shared" si="9"/>
        <v>30.0000000000007</v>
      </c>
      <c r="T110" s="121">
        <f t="shared" si="10"/>
        <v>9990.00000000009</v>
      </c>
      <c r="U110" s="63"/>
      <c r="V110" s="52">
        <v>4.7</v>
      </c>
      <c r="W110" s="52">
        <v>31.24</v>
      </c>
      <c r="X110" s="52"/>
      <c r="Y110" s="52"/>
      <c r="Z110" s="52"/>
      <c r="AA110" s="52"/>
      <c r="AB110" s="121" t="s">
        <v>72</v>
      </c>
    </row>
    <row r="111" spans="1:28">
      <c r="A111" s="56">
        <f t="shared" si="8"/>
        <v>113</v>
      </c>
      <c r="B111" s="111">
        <v>45856</v>
      </c>
      <c r="C111" s="29">
        <v>45856</v>
      </c>
      <c r="D111" s="80">
        <v>0.28125</v>
      </c>
      <c r="E111" s="127">
        <v>0.791666666666667</v>
      </c>
      <c r="F111" s="122">
        <v>1729.27</v>
      </c>
      <c r="G111" s="52">
        <v>1727.1</v>
      </c>
      <c r="H111" s="52">
        <v>1741.53</v>
      </c>
      <c r="I111" s="52">
        <v>1837.69</v>
      </c>
      <c r="J111" s="52">
        <v>1830.77</v>
      </c>
      <c r="K111" s="52">
        <v>1839.72</v>
      </c>
      <c r="L111" s="52">
        <v>1822.65</v>
      </c>
      <c r="M111" s="123">
        <f t="shared" si="11"/>
        <v>12528.73</v>
      </c>
      <c r="N111" s="124">
        <f t="shared" si="12"/>
        <v>498.16</v>
      </c>
      <c r="O111" s="52">
        <v>502.33</v>
      </c>
      <c r="P111" s="52">
        <f t="shared" si="14"/>
        <v>12509.9999999999</v>
      </c>
      <c r="Q111" s="52">
        <f t="shared" si="13"/>
        <v>3.52</v>
      </c>
      <c r="R111" s="52">
        <v>3.54</v>
      </c>
      <c r="S111" s="52">
        <f t="shared" si="9"/>
        <v>60.0000000000001</v>
      </c>
      <c r="T111" s="121">
        <f t="shared" si="10"/>
        <v>12449.9999999999</v>
      </c>
      <c r="U111" s="63"/>
      <c r="V111" s="52">
        <v>5.45</v>
      </c>
      <c r="W111" s="52">
        <v>31.67</v>
      </c>
      <c r="X111" s="52"/>
      <c r="Y111" s="52"/>
      <c r="Z111" s="52"/>
      <c r="AA111" s="52"/>
      <c r="AB111" s="121" t="s">
        <v>72</v>
      </c>
    </row>
    <row r="112" spans="1:28">
      <c r="A112" s="56">
        <f t="shared" si="8"/>
        <v>114</v>
      </c>
      <c r="B112" s="111">
        <v>45857</v>
      </c>
      <c r="C112" s="29">
        <v>45857</v>
      </c>
      <c r="D112" s="80">
        <v>0.28125</v>
      </c>
      <c r="E112" s="127">
        <v>0.760416666666667</v>
      </c>
      <c r="F112" s="122">
        <v>1202.22</v>
      </c>
      <c r="G112" s="52">
        <v>1201.82</v>
      </c>
      <c r="H112" s="52">
        <v>1208.68</v>
      </c>
      <c r="I112" s="52">
        <v>1269.91</v>
      </c>
      <c r="J112" s="52">
        <v>1260.91</v>
      </c>
      <c r="K112" s="52">
        <v>1266.8</v>
      </c>
      <c r="L112" s="52">
        <v>1249.67</v>
      </c>
      <c r="M112" s="123">
        <f t="shared" si="11"/>
        <v>8660.01</v>
      </c>
      <c r="N112" s="124">
        <f t="shared" si="12"/>
        <v>502.33</v>
      </c>
      <c r="O112" s="52">
        <v>505.23</v>
      </c>
      <c r="P112" s="52">
        <f t="shared" si="14"/>
        <v>8700.0000000001</v>
      </c>
      <c r="Q112" s="52">
        <f t="shared" si="13"/>
        <v>3.54</v>
      </c>
      <c r="R112" s="52">
        <v>3.56</v>
      </c>
      <c r="S112" s="52">
        <f t="shared" si="9"/>
        <v>60.0000000000001</v>
      </c>
      <c r="T112" s="121">
        <f t="shared" si="10"/>
        <v>8640.0000000001</v>
      </c>
      <c r="U112" s="63"/>
      <c r="V112" s="52">
        <v>3.48</v>
      </c>
      <c r="W112" s="52">
        <v>28.86</v>
      </c>
      <c r="X112" s="52"/>
      <c r="Y112" s="52"/>
      <c r="Z112" s="52"/>
      <c r="AA112" s="52"/>
      <c r="AB112" s="121" t="s">
        <v>72</v>
      </c>
    </row>
    <row r="113" spans="1:28">
      <c r="A113" s="56">
        <f t="shared" si="8"/>
        <v>115</v>
      </c>
      <c r="B113" s="111">
        <v>45858</v>
      </c>
      <c r="C113" s="29">
        <v>45858</v>
      </c>
      <c r="D113" s="80">
        <v>0.3125</v>
      </c>
      <c r="E113" s="127">
        <v>0.770833333333333</v>
      </c>
      <c r="F113" s="122">
        <v>1195.15</v>
      </c>
      <c r="G113" s="52">
        <v>1190.79</v>
      </c>
      <c r="H113" s="52">
        <v>1197.35</v>
      </c>
      <c r="I113" s="52">
        <v>1253.53</v>
      </c>
      <c r="J113" s="52">
        <v>1239.8</v>
      </c>
      <c r="K113" s="52">
        <v>1236.06</v>
      </c>
      <c r="L113" s="52">
        <v>1220.31</v>
      </c>
      <c r="M113" s="123">
        <f t="shared" si="11"/>
        <v>8532.99</v>
      </c>
      <c r="N113" s="124">
        <f t="shared" si="12"/>
        <v>505.23</v>
      </c>
      <c r="O113" s="52">
        <v>508.5</v>
      </c>
      <c r="P113" s="52">
        <f t="shared" si="14"/>
        <v>9809.99999999995</v>
      </c>
      <c r="Q113" s="52">
        <f t="shared" si="13"/>
        <v>3.56</v>
      </c>
      <c r="R113" s="52">
        <v>3.57</v>
      </c>
      <c r="S113" s="52">
        <f t="shared" si="9"/>
        <v>29.9999999999994</v>
      </c>
      <c r="T113" s="121">
        <f t="shared" si="10"/>
        <v>9779.99999999995</v>
      </c>
      <c r="U113" s="63"/>
      <c r="V113" s="52">
        <v>3.3</v>
      </c>
      <c r="W113" s="52">
        <v>28.48</v>
      </c>
      <c r="X113" s="52"/>
      <c r="Y113" s="52"/>
      <c r="Z113" s="52"/>
      <c r="AA113" s="52"/>
      <c r="AB113" s="121" t="s">
        <v>72</v>
      </c>
    </row>
    <row r="114" spans="1:28">
      <c r="A114" s="56">
        <f t="shared" si="8"/>
        <v>116</v>
      </c>
      <c r="B114" s="111">
        <v>45859</v>
      </c>
      <c r="C114" s="29">
        <v>45859</v>
      </c>
      <c r="D114" s="80">
        <v>0.291666666666667</v>
      </c>
      <c r="E114" s="127">
        <v>0.78125</v>
      </c>
      <c r="F114" s="122">
        <v>1259.16</v>
      </c>
      <c r="G114" s="52">
        <v>1265.33</v>
      </c>
      <c r="H114" s="52">
        <v>1267.23</v>
      </c>
      <c r="I114" s="52">
        <v>1325.31</v>
      </c>
      <c r="J114" s="52">
        <v>1306.83</v>
      </c>
      <c r="K114" s="52">
        <v>1306.48</v>
      </c>
      <c r="L114" s="52">
        <v>1273.69</v>
      </c>
      <c r="M114" s="123">
        <f t="shared" si="11"/>
        <v>9004.03</v>
      </c>
      <c r="N114" s="124">
        <f t="shared" si="12"/>
        <v>508.5</v>
      </c>
      <c r="O114" s="52">
        <v>511.04</v>
      </c>
      <c r="P114" s="52">
        <f t="shared" si="14"/>
        <v>7620.00000000006</v>
      </c>
      <c r="Q114" s="52">
        <f t="shared" si="13"/>
        <v>3.57</v>
      </c>
      <c r="R114" s="52">
        <v>3.59</v>
      </c>
      <c r="S114" s="52">
        <f t="shared" si="9"/>
        <v>60.0000000000001</v>
      </c>
      <c r="T114" s="121">
        <f t="shared" si="10"/>
        <v>7560.00000000006</v>
      </c>
      <c r="U114" s="63"/>
      <c r="V114" s="52">
        <v>3.27</v>
      </c>
      <c r="W114" s="52">
        <v>29.83</v>
      </c>
      <c r="X114" s="52"/>
      <c r="Y114" s="52"/>
      <c r="Z114" s="52"/>
      <c r="AA114" s="52"/>
      <c r="AB114" s="121" t="s">
        <v>72</v>
      </c>
    </row>
    <row r="115" spans="1:28">
      <c r="A115" s="56">
        <f t="shared" si="8"/>
        <v>117</v>
      </c>
      <c r="B115" s="111">
        <v>45860</v>
      </c>
      <c r="C115" s="29">
        <v>45860</v>
      </c>
      <c r="D115" s="80">
        <v>0.28125</v>
      </c>
      <c r="E115" s="127">
        <v>0.791666666666667</v>
      </c>
      <c r="F115" s="122">
        <v>1296.45</v>
      </c>
      <c r="G115" s="52">
        <v>1293.22</v>
      </c>
      <c r="H115" s="52">
        <v>1295.59</v>
      </c>
      <c r="I115" s="52">
        <v>1354.52</v>
      </c>
      <c r="J115" s="52">
        <v>1340.61</v>
      </c>
      <c r="K115" s="52">
        <v>1345.25</v>
      </c>
      <c r="L115" s="52">
        <v>1326.82</v>
      </c>
      <c r="M115" s="123">
        <f t="shared" si="11"/>
        <v>9252.46</v>
      </c>
      <c r="N115" s="124">
        <f t="shared" si="12"/>
        <v>511.04</v>
      </c>
      <c r="O115" s="52">
        <v>514.13</v>
      </c>
      <c r="P115" s="52">
        <f t="shared" si="14"/>
        <v>9269.99999999993</v>
      </c>
      <c r="Q115" s="52">
        <f t="shared" si="13"/>
        <v>3.59</v>
      </c>
      <c r="R115" s="52">
        <v>3.61</v>
      </c>
      <c r="S115" s="52">
        <f t="shared" si="9"/>
        <v>60.0000000000001</v>
      </c>
      <c r="T115" s="121">
        <f t="shared" si="10"/>
        <v>9209.99999999993</v>
      </c>
      <c r="U115" s="63"/>
      <c r="V115" s="52">
        <v>4.06</v>
      </c>
      <c r="W115" s="52">
        <v>29.06</v>
      </c>
      <c r="X115" s="52"/>
      <c r="Y115" s="52"/>
      <c r="Z115" s="52"/>
      <c r="AA115" s="52"/>
      <c r="AB115" s="121" t="s">
        <v>72</v>
      </c>
    </row>
    <row r="116" spans="1:28">
      <c r="A116" s="56">
        <f t="shared" si="8"/>
        <v>118</v>
      </c>
      <c r="B116" s="111">
        <v>45861</v>
      </c>
      <c r="C116" s="29">
        <v>45861</v>
      </c>
      <c r="D116" s="80">
        <v>0.28125</v>
      </c>
      <c r="E116" s="127">
        <v>0.78125</v>
      </c>
      <c r="F116" s="122">
        <v>854.35</v>
      </c>
      <c r="G116" s="52">
        <v>856.59</v>
      </c>
      <c r="H116" s="52">
        <v>864.19</v>
      </c>
      <c r="I116" s="52">
        <v>912.65</v>
      </c>
      <c r="J116" s="52">
        <v>908.82</v>
      </c>
      <c r="K116" s="52">
        <v>915.48</v>
      </c>
      <c r="L116" s="52">
        <v>899.2</v>
      </c>
      <c r="M116" s="123">
        <f t="shared" si="11"/>
        <v>6211.28</v>
      </c>
      <c r="N116" s="124">
        <f t="shared" si="12"/>
        <v>514.13</v>
      </c>
      <c r="O116" s="52">
        <v>516.2</v>
      </c>
      <c r="P116" s="52">
        <f t="shared" si="14"/>
        <v>6210.00000000015</v>
      </c>
      <c r="Q116" s="52">
        <f t="shared" si="13"/>
        <v>3.61</v>
      </c>
      <c r="R116" s="52">
        <v>3.63</v>
      </c>
      <c r="S116" s="52">
        <f t="shared" si="9"/>
        <v>60.0000000000001</v>
      </c>
      <c r="T116" s="121">
        <f t="shared" si="10"/>
        <v>6150.00000000015</v>
      </c>
      <c r="U116" s="63"/>
      <c r="V116" s="52">
        <v>2.6</v>
      </c>
      <c r="W116" s="52">
        <v>28.33</v>
      </c>
      <c r="X116" s="52"/>
      <c r="Y116" s="52"/>
      <c r="Z116" s="52"/>
      <c r="AA116" s="52"/>
      <c r="AB116" s="121" t="s">
        <v>72</v>
      </c>
    </row>
    <row r="117" spans="1:28">
      <c r="A117" s="56">
        <f t="shared" si="8"/>
        <v>119</v>
      </c>
      <c r="B117" s="111">
        <v>45862</v>
      </c>
      <c r="C117" s="29">
        <v>45862</v>
      </c>
      <c r="D117" s="80">
        <v>0.291666666666667</v>
      </c>
      <c r="E117" s="127">
        <v>0.791666666666667</v>
      </c>
      <c r="F117" s="122">
        <v>670.9</v>
      </c>
      <c r="G117" s="52">
        <v>668</v>
      </c>
      <c r="H117" s="52">
        <v>672.48</v>
      </c>
      <c r="I117" s="52">
        <v>705.12</v>
      </c>
      <c r="J117" s="52">
        <v>697.83</v>
      </c>
      <c r="K117" s="52">
        <v>697.89</v>
      </c>
      <c r="L117" s="52">
        <v>688.82</v>
      </c>
      <c r="M117" s="123">
        <f t="shared" si="11"/>
        <v>4801.04</v>
      </c>
      <c r="N117" s="124">
        <f t="shared" si="12"/>
        <v>516.2</v>
      </c>
      <c r="O117" s="52">
        <v>517.8</v>
      </c>
      <c r="P117" s="52">
        <f t="shared" si="14"/>
        <v>4799.99999999973</v>
      </c>
      <c r="Q117" s="52">
        <f t="shared" si="13"/>
        <v>3.63</v>
      </c>
      <c r="R117" s="52">
        <v>3.65</v>
      </c>
      <c r="S117" s="52">
        <f t="shared" si="9"/>
        <v>60.0000000000001</v>
      </c>
      <c r="T117" s="121">
        <f t="shared" si="10"/>
        <v>4739.99999999973</v>
      </c>
      <c r="U117" s="63"/>
      <c r="V117" s="52">
        <v>1.81</v>
      </c>
      <c r="W117" s="52">
        <v>26.65</v>
      </c>
      <c r="X117" s="52"/>
      <c r="Y117" s="52"/>
      <c r="Z117" s="52"/>
      <c r="AA117" s="52"/>
      <c r="AB117" s="121" t="s">
        <v>72</v>
      </c>
    </row>
    <row r="118" spans="1:28">
      <c r="A118" s="56">
        <f t="shared" si="8"/>
        <v>120</v>
      </c>
      <c r="B118" s="111">
        <v>45863</v>
      </c>
      <c r="C118" s="29">
        <v>45863</v>
      </c>
      <c r="D118" s="80">
        <v>0.3125</v>
      </c>
      <c r="E118" s="127">
        <v>0.760416666666667</v>
      </c>
      <c r="F118" s="122">
        <v>1113.65</v>
      </c>
      <c r="G118" s="52">
        <v>1112.59</v>
      </c>
      <c r="H118" s="52">
        <v>1119.34</v>
      </c>
      <c r="I118" s="52">
        <v>1182.6</v>
      </c>
      <c r="J118" s="52">
        <v>1175.31</v>
      </c>
      <c r="K118" s="52">
        <v>1168.56</v>
      </c>
      <c r="L118" s="52">
        <v>1154.59</v>
      </c>
      <c r="M118" s="123">
        <f t="shared" si="11"/>
        <v>8026.64</v>
      </c>
      <c r="N118" s="124">
        <f t="shared" si="12"/>
        <v>517.8</v>
      </c>
      <c r="O118" s="52">
        <v>520.48</v>
      </c>
      <c r="P118" s="52">
        <f t="shared" si="14"/>
        <v>8040.00000000019</v>
      </c>
      <c r="Q118" s="52">
        <f t="shared" si="13"/>
        <v>3.65</v>
      </c>
      <c r="R118" s="52">
        <v>3.67</v>
      </c>
      <c r="S118" s="52">
        <f t="shared" si="9"/>
        <v>60.0000000000001</v>
      </c>
      <c r="T118" s="121">
        <f t="shared" si="10"/>
        <v>7980.00000000019</v>
      </c>
      <c r="U118" s="63"/>
      <c r="V118" s="52">
        <v>2.8</v>
      </c>
      <c r="W118" s="52">
        <v>28.47</v>
      </c>
      <c r="X118" s="52"/>
      <c r="Y118" s="52"/>
      <c r="Z118" s="52"/>
      <c r="AA118" s="52"/>
      <c r="AB118" s="121" t="s">
        <v>72</v>
      </c>
    </row>
    <row r="119" spans="1:28">
      <c r="A119" s="56">
        <f t="shared" si="8"/>
        <v>121</v>
      </c>
      <c r="B119" s="111">
        <v>45864</v>
      </c>
      <c r="C119" s="29">
        <v>45864</v>
      </c>
      <c r="D119" s="80">
        <v>0.291666666666667</v>
      </c>
      <c r="E119" s="127">
        <v>0.78125</v>
      </c>
      <c r="F119" s="122">
        <v>636.02</v>
      </c>
      <c r="G119" s="52">
        <v>634.66</v>
      </c>
      <c r="H119" s="52">
        <v>640.56</v>
      </c>
      <c r="I119" s="52">
        <v>672.03</v>
      </c>
      <c r="J119" s="52">
        <v>667.03</v>
      </c>
      <c r="K119" s="52">
        <v>669.92</v>
      </c>
      <c r="L119" s="52">
        <v>662.81</v>
      </c>
      <c r="M119" s="123">
        <f t="shared" si="11"/>
        <v>4583.03</v>
      </c>
      <c r="N119" s="124">
        <f t="shared" si="12"/>
        <v>520.48</v>
      </c>
      <c r="O119" s="52">
        <v>522</v>
      </c>
      <c r="P119" s="52">
        <f t="shared" si="14"/>
        <v>4559.99999999995</v>
      </c>
      <c r="Q119" s="52">
        <f t="shared" si="13"/>
        <v>3.67</v>
      </c>
      <c r="R119" s="52">
        <v>3.69</v>
      </c>
      <c r="S119" s="52">
        <f t="shared" si="9"/>
        <v>60.0000000000001</v>
      </c>
      <c r="T119" s="121">
        <f t="shared" si="10"/>
        <v>4499.99999999995</v>
      </c>
      <c r="U119" s="63"/>
      <c r="V119" s="52">
        <v>1.61</v>
      </c>
      <c r="W119" s="52">
        <v>27.22</v>
      </c>
      <c r="X119" s="52"/>
      <c r="Y119" s="52"/>
      <c r="Z119" s="52"/>
      <c r="AA119" s="52"/>
      <c r="AB119" s="121" t="s">
        <v>72</v>
      </c>
    </row>
    <row r="120" spans="1:28">
      <c r="A120" s="56">
        <f t="shared" si="8"/>
        <v>122</v>
      </c>
      <c r="B120" s="111">
        <v>45865</v>
      </c>
      <c r="C120" s="29">
        <v>45865</v>
      </c>
      <c r="D120" s="80">
        <v>0.302083333333333</v>
      </c>
      <c r="E120" s="127">
        <v>0.770833333333333</v>
      </c>
      <c r="F120" s="122">
        <v>559.71</v>
      </c>
      <c r="G120" s="52">
        <v>557.14</v>
      </c>
      <c r="H120" s="52">
        <v>562.06</v>
      </c>
      <c r="I120" s="52">
        <v>588.93</v>
      </c>
      <c r="J120" s="52">
        <v>581.5</v>
      </c>
      <c r="K120" s="52">
        <v>582.07</v>
      </c>
      <c r="L120" s="52">
        <v>573.59</v>
      </c>
      <c r="M120" s="123">
        <f t="shared" si="11"/>
        <v>4005</v>
      </c>
      <c r="N120" s="124">
        <f t="shared" si="12"/>
        <v>522</v>
      </c>
      <c r="O120" s="52">
        <v>523.34</v>
      </c>
      <c r="P120" s="52">
        <f t="shared" si="14"/>
        <v>4020.0000000001</v>
      </c>
      <c r="Q120" s="52">
        <f t="shared" si="13"/>
        <v>3.69</v>
      </c>
      <c r="R120" s="52">
        <v>3.71</v>
      </c>
      <c r="S120" s="52">
        <f t="shared" si="9"/>
        <v>60.0000000000001</v>
      </c>
      <c r="T120" s="121">
        <f t="shared" si="10"/>
        <v>3960.0000000001</v>
      </c>
      <c r="U120" s="63"/>
      <c r="V120" s="52">
        <v>1.55</v>
      </c>
      <c r="W120" s="52">
        <v>26.34</v>
      </c>
      <c r="X120" s="52"/>
      <c r="Y120" s="52"/>
      <c r="Z120" s="52"/>
      <c r="AA120" s="52"/>
      <c r="AB120" s="121" t="s">
        <v>73</v>
      </c>
    </row>
    <row r="121" spans="1:28">
      <c r="A121" s="56">
        <f t="shared" si="8"/>
        <v>123</v>
      </c>
      <c r="B121" s="111">
        <v>45866</v>
      </c>
      <c r="C121" s="29">
        <v>45866</v>
      </c>
      <c r="D121" s="80">
        <v>0.333333333333333</v>
      </c>
      <c r="E121" s="127">
        <v>0.791666666666667</v>
      </c>
      <c r="F121" s="122">
        <v>819.76</v>
      </c>
      <c r="G121" s="52">
        <v>816.35</v>
      </c>
      <c r="H121" s="52">
        <v>820.25</v>
      </c>
      <c r="I121" s="52">
        <v>859.44</v>
      </c>
      <c r="J121" s="52">
        <v>852.3</v>
      </c>
      <c r="K121" s="52">
        <v>853.44</v>
      </c>
      <c r="L121" s="52">
        <v>838.32</v>
      </c>
      <c r="M121" s="123">
        <f t="shared" si="11"/>
        <v>5859.86</v>
      </c>
      <c r="N121" s="124">
        <f t="shared" si="12"/>
        <v>523.34</v>
      </c>
      <c r="O121" s="52">
        <v>525.29</v>
      </c>
      <c r="P121" s="52">
        <f t="shared" si="14"/>
        <v>5849.9999999998</v>
      </c>
      <c r="Q121" s="52">
        <f t="shared" si="13"/>
        <v>3.71</v>
      </c>
      <c r="R121" s="52">
        <v>3.73</v>
      </c>
      <c r="S121" s="52">
        <f t="shared" si="9"/>
        <v>60.0000000000001</v>
      </c>
      <c r="T121" s="121">
        <f t="shared" si="10"/>
        <v>5789.9999999998</v>
      </c>
      <c r="U121" s="63"/>
      <c r="V121" s="52">
        <v>2.32</v>
      </c>
      <c r="W121" s="52">
        <v>26.68</v>
      </c>
      <c r="X121" s="52"/>
      <c r="Y121" s="52"/>
      <c r="Z121" s="52"/>
      <c r="AA121" s="52"/>
      <c r="AB121" s="121" t="s">
        <v>72</v>
      </c>
    </row>
    <row r="122" spans="1:28">
      <c r="A122" s="56">
        <f t="shared" si="8"/>
        <v>124</v>
      </c>
      <c r="B122" s="111">
        <v>45867</v>
      </c>
      <c r="C122" s="29">
        <v>45867</v>
      </c>
      <c r="D122" s="80">
        <v>0.3125</v>
      </c>
      <c r="E122" s="127">
        <v>0.78125</v>
      </c>
      <c r="F122" s="122">
        <v>746.42</v>
      </c>
      <c r="G122" s="52">
        <v>743.1</v>
      </c>
      <c r="H122" s="52">
        <v>748.18</v>
      </c>
      <c r="I122" s="52">
        <v>784.79</v>
      </c>
      <c r="J122" s="52">
        <v>778.93</v>
      </c>
      <c r="K122" s="52">
        <v>780.94</v>
      </c>
      <c r="L122" s="52">
        <v>768.85</v>
      </c>
      <c r="M122" s="123">
        <f t="shared" si="11"/>
        <v>5351.21</v>
      </c>
      <c r="N122" s="124">
        <f t="shared" si="12"/>
        <v>525.29</v>
      </c>
      <c r="O122" s="52">
        <v>527.08</v>
      </c>
      <c r="P122" s="52">
        <f t="shared" si="14"/>
        <v>5370.00000000023</v>
      </c>
      <c r="Q122" s="52">
        <f t="shared" si="13"/>
        <v>3.73</v>
      </c>
      <c r="R122" s="52">
        <v>3.75</v>
      </c>
      <c r="S122" s="52">
        <f t="shared" si="9"/>
        <v>60.0000000000001</v>
      </c>
      <c r="T122" s="121">
        <f t="shared" si="10"/>
        <v>5310.00000000023</v>
      </c>
      <c r="U122" s="63"/>
      <c r="V122" s="52">
        <v>2.13</v>
      </c>
      <c r="W122" s="52">
        <v>28.71</v>
      </c>
      <c r="X122" s="52"/>
      <c r="Y122" s="52"/>
      <c r="Z122" s="52"/>
      <c r="AA122" s="52"/>
      <c r="AB122" s="121" t="s">
        <v>72</v>
      </c>
    </row>
    <row r="123" spans="1:28">
      <c r="A123" s="56">
        <f t="shared" si="8"/>
        <v>125</v>
      </c>
      <c r="B123" s="111">
        <v>45868</v>
      </c>
      <c r="C123" s="29">
        <v>45868</v>
      </c>
      <c r="D123" s="80">
        <v>0.3125</v>
      </c>
      <c r="E123" s="127">
        <v>0.78125</v>
      </c>
      <c r="F123" s="122">
        <v>1193.52</v>
      </c>
      <c r="G123" s="52">
        <v>1187.6</v>
      </c>
      <c r="H123" s="52">
        <v>1189.11</v>
      </c>
      <c r="I123" s="52">
        <v>1245.63</v>
      </c>
      <c r="J123" s="52">
        <v>1236.26</v>
      </c>
      <c r="K123" s="52">
        <v>1237.67</v>
      </c>
      <c r="L123" s="52">
        <v>1215.75</v>
      </c>
      <c r="M123" s="123">
        <f t="shared" si="11"/>
        <v>8505.54</v>
      </c>
      <c r="N123" s="124">
        <f t="shared" si="12"/>
        <v>527.08</v>
      </c>
      <c r="O123" s="52">
        <v>529.91</v>
      </c>
      <c r="P123" s="52">
        <f t="shared" si="14"/>
        <v>8489.99999999978</v>
      </c>
      <c r="Q123" s="52">
        <f t="shared" si="13"/>
        <v>3.75</v>
      </c>
      <c r="R123" s="52">
        <v>3.77</v>
      </c>
      <c r="S123" s="52">
        <f t="shared" si="9"/>
        <v>60.0000000000001</v>
      </c>
      <c r="T123" s="121">
        <f t="shared" si="10"/>
        <v>8429.99999999978</v>
      </c>
      <c r="U123" s="63"/>
      <c r="V123" s="52">
        <v>3.62</v>
      </c>
      <c r="W123" s="52">
        <v>28.71</v>
      </c>
      <c r="X123" s="52"/>
      <c r="Y123" s="52"/>
      <c r="Z123" s="52"/>
      <c r="AA123" s="52"/>
      <c r="AB123" s="121" t="s">
        <v>72</v>
      </c>
    </row>
    <row r="124" spans="1:28">
      <c r="A124" s="56">
        <f t="shared" si="8"/>
        <v>126</v>
      </c>
      <c r="B124" s="111">
        <v>45869</v>
      </c>
      <c r="C124" s="29">
        <v>45869</v>
      </c>
      <c r="D124" s="80">
        <v>0.3125</v>
      </c>
      <c r="E124" s="127">
        <v>0.770833333333333</v>
      </c>
      <c r="F124" s="122">
        <v>820.95</v>
      </c>
      <c r="G124" s="52">
        <v>817.84</v>
      </c>
      <c r="H124" s="52">
        <v>821.35</v>
      </c>
      <c r="I124" s="52">
        <v>861.11</v>
      </c>
      <c r="J124" s="52">
        <v>854.5</v>
      </c>
      <c r="K124" s="52">
        <v>856.04</v>
      </c>
      <c r="L124" s="52">
        <v>843.17</v>
      </c>
      <c r="M124" s="123">
        <f t="shared" si="11"/>
        <v>5874.96</v>
      </c>
      <c r="N124" s="124">
        <f t="shared" si="12"/>
        <v>529.91</v>
      </c>
      <c r="O124" s="52">
        <v>531.87</v>
      </c>
      <c r="P124" s="52">
        <f t="shared" si="14"/>
        <v>5880.00000000011</v>
      </c>
      <c r="Q124" s="52">
        <f t="shared" si="13"/>
        <v>3.77</v>
      </c>
      <c r="R124" s="52">
        <v>3.79</v>
      </c>
      <c r="S124" s="52">
        <f t="shared" si="9"/>
        <v>60.0000000000001</v>
      </c>
      <c r="T124" s="121">
        <f t="shared" si="10"/>
        <v>5820.00000000011</v>
      </c>
      <c r="U124" s="63"/>
      <c r="V124" s="52">
        <v>2.47</v>
      </c>
      <c r="W124" s="52">
        <v>27.95</v>
      </c>
      <c r="X124" s="52"/>
      <c r="Y124" s="52"/>
      <c r="Z124" s="52"/>
      <c r="AA124" s="52"/>
      <c r="AB124" s="121" t="s">
        <v>72</v>
      </c>
    </row>
    <row r="125" spans="1:28">
      <c r="A125" s="56">
        <f t="shared" si="8"/>
        <v>127</v>
      </c>
      <c r="B125" s="111">
        <v>45870</v>
      </c>
      <c r="C125" s="29">
        <v>45870</v>
      </c>
      <c r="D125" s="80">
        <v>0.291666666666667</v>
      </c>
      <c r="E125" s="127">
        <v>0.78125</v>
      </c>
      <c r="F125" s="122">
        <v>1030.22</v>
      </c>
      <c r="G125" s="52">
        <v>1026.79</v>
      </c>
      <c r="H125" s="52">
        <v>1028.06</v>
      </c>
      <c r="I125" s="52">
        <v>1078.01</v>
      </c>
      <c r="J125" s="52">
        <v>1067.21</v>
      </c>
      <c r="K125" s="52">
        <v>1065.9</v>
      </c>
      <c r="L125" s="52">
        <v>1044.08</v>
      </c>
      <c r="M125" s="123">
        <f t="shared" si="11"/>
        <v>7340.27</v>
      </c>
      <c r="N125" s="124">
        <f t="shared" si="12"/>
        <v>531.87</v>
      </c>
      <c r="O125" s="52">
        <v>534.31</v>
      </c>
      <c r="P125" s="52">
        <f t="shared" si="14"/>
        <v>7319.99999999982</v>
      </c>
      <c r="Q125" s="52">
        <f t="shared" si="13"/>
        <v>3.79</v>
      </c>
      <c r="R125" s="52">
        <v>3.81</v>
      </c>
      <c r="S125" s="52">
        <f t="shared" si="9"/>
        <v>60.0000000000001</v>
      </c>
      <c r="T125" s="121">
        <f t="shared" si="10"/>
        <v>7259.99999999982</v>
      </c>
      <c r="U125" s="63"/>
      <c r="V125" s="52">
        <v>3.14</v>
      </c>
      <c r="W125" s="52">
        <v>28.22</v>
      </c>
      <c r="X125" s="52"/>
      <c r="Y125" s="52"/>
      <c r="Z125" s="52"/>
      <c r="AA125" s="52"/>
      <c r="AB125" s="121" t="s">
        <v>72</v>
      </c>
    </row>
    <row r="126" spans="1:28">
      <c r="A126" s="56">
        <f t="shared" si="8"/>
        <v>128</v>
      </c>
      <c r="B126" s="111">
        <v>45871</v>
      </c>
      <c r="C126" s="29">
        <v>45871</v>
      </c>
      <c r="D126" s="80">
        <v>0.291666666666667</v>
      </c>
      <c r="E126" s="127">
        <v>0.791666666666667</v>
      </c>
      <c r="F126" s="122">
        <v>1007.99</v>
      </c>
      <c r="G126" s="52">
        <v>1006.54</v>
      </c>
      <c r="H126" s="52">
        <v>1012.62</v>
      </c>
      <c r="I126" s="52">
        <v>1064.75</v>
      </c>
      <c r="J126" s="52">
        <v>1058.09</v>
      </c>
      <c r="K126" s="52">
        <v>1061.84</v>
      </c>
      <c r="L126" s="52">
        <v>1039.81</v>
      </c>
      <c r="M126" s="123">
        <f t="shared" si="11"/>
        <v>7251.64</v>
      </c>
      <c r="N126" s="124">
        <f t="shared" si="12"/>
        <v>534.31</v>
      </c>
      <c r="O126" s="52">
        <v>536.74</v>
      </c>
      <c r="P126" s="52">
        <f t="shared" si="14"/>
        <v>7290.00000000019</v>
      </c>
      <c r="Q126" s="52">
        <f t="shared" si="13"/>
        <v>3.81</v>
      </c>
      <c r="R126" s="52">
        <v>3.83</v>
      </c>
      <c r="S126" s="52">
        <f t="shared" si="9"/>
        <v>60.0000000000001</v>
      </c>
      <c r="T126" s="121">
        <f t="shared" si="10"/>
        <v>7230.00000000019</v>
      </c>
      <c r="U126" s="63"/>
      <c r="V126" s="52">
        <v>2.91</v>
      </c>
      <c r="W126" s="52">
        <v>27.7</v>
      </c>
      <c r="X126" s="52"/>
      <c r="Y126" s="52"/>
      <c r="Z126" s="52"/>
      <c r="AA126" s="52"/>
      <c r="AB126" s="121" t="s">
        <v>72</v>
      </c>
    </row>
    <row r="127" spans="1:28">
      <c r="A127" s="56">
        <f t="shared" si="8"/>
        <v>129</v>
      </c>
      <c r="B127" s="111">
        <v>45872</v>
      </c>
      <c r="C127" s="29">
        <v>45872</v>
      </c>
      <c r="D127" s="80">
        <v>0.291666666666667</v>
      </c>
      <c r="E127" s="127">
        <v>0.78125</v>
      </c>
      <c r="F127" s="122">
        <v>950.77</v>
      </c>
      <c r="G127" s="52">
        <v>945.56</v>
      </c>
      <c r="H127" s="52">
        <v>950.24</v>
      </c>
      <c r="I127" s="52">
        <v>997.93</v>
      </c>
      <c r="J127" s="52">
        <v>987.31</v>
      </c>
      <c r="K127" s="52">
        <v>989.6</v>
      </c>
      <c r="L127" s="52">
        <v>969.52</v>
      </c>
      <c r="M127" s="123">
        <f t="shared" si="11"/>
        <v>6790.93</v>
      </c>
      <c r="N127" s="124">
        <f t="shared" si="12"/>
        <v>536.74</v>
      </c>
      <c r="O127" s="52">
        <v>539.03</v>
      </c>
      <c r="P127" s="52">
        <f t="shared" si="14"/>
        <v>6869.99999999989</v>
      </c>
      <c r="Q127" s="52">
        <f t="shared" si="13"/>
        <v>3.83</v>
      </c>
      <c r="R127" s="52">
        <v>3.85</v>
      </c>
      <c r="S127" s="52">
        <f t="shared" si="9"/>
        <v>60.0000000000001</v>
      </c>
      <c r="T127" s="121">
        <f t="shared" si="10"/>
        <v>6809.99999999989</v>
      </c>
      <c r="U127" s="63"/>
      <c r="V127" s="52">
        <v>2.78</v>
      </c>
      <c r="W127" s="52">
        <v>27.5</v>
      </c>
      <c r="X127" s="52"/>
      <c r="Y127" s="52"/>
      <c r="Z127" s="52"/>
      <c r="AA127" s="52"/>
      <c r="AB127" s="121" t="s">
        <v>72</v>
      </c>
    </row>
    <row r="128" spans="1:28">
      <c r="A128" s="56">
        <f t="shared" si="8"/>
        <v>130</v>
      </c>
      <c r="B128" s="111">
        <v>45873</v>
      </c>
      <c r="C128" s="29">
        <v>45873</v>
      </c>
      <c r="D128" s="80">
        <v>0.291666666666667</v>
      </c>
      <c r="E128" s="127">
        <v>0.791666666666667</v>
      </c>
      <c r="F128" s="122">
        <v>961.91</v>
      </c>
      <c r="G128" s="52">
        <v>957.52</v>
      </c>
      <c r="H128" s="52">
        <v>960.47</v>
      </c>
      <c r="I128" s="56">
        <v>1008.43</v>
      </c>
      <c r="J128" s="52">
        <v>1000.71</v>
      </c>
      <c r="K128" s="52">
        <v>1002.4</v>
      </c>
      <c r="L128" s="52">
        <v>986.26</v>
      </c>
      <c r="M128" s="123">
        <f t="shared" si="11"/>
        <v>6877.7</v>
      </c>
      <c r="N128" s="124">
        <f t="shared" si="12"/>
        <v>539.03</v>
      </c>
      <c r="O128" s="52">
        <v>541.33</v>
      </c>
      <c r="P128" s="52">
        <f t="shared" si="14"/>
        <v>6900.0000000002</v>
      </c>
      <c r="Q128" s="52">
        <f t="shared" si="13"/>
        <v>3.85</v>
      </c>
      <c r="R128" s="52">
        <v>3.87</v>
      </c>
      <c r="S128" s="52">
        <f t="shared" si="9"/>
        <v>60.0000000000001</v>
      </c>
      <c r="T128" s="121">
        <f t="shared" si="10"/>
        <v>6840.0000000002</v>
      </c>
      <c r="U128" s="63"/>
      <c r="V128" s="52">
        <v>2.5</v>
      </c>
      <c r="W128" s="52">
        <v>26.98</v>
      </c>
      <c r="X128" s="52"/>
      <c r="Y128" s="52"/>
      <c r="Z128" s="52"/>
      <c r="AA128" s="52"/>
      <c r="AB128" s="121" t="s">
        <v>72</v>
      </c>
    </row>
    <row r="129" spans="1:28">
      <c r="A129" s="56">
        <f t="shared" si="8"/>
        <v>131</v>
      </c>
      <c r="B129" s="111">
        <v>45874</v>
      </c>
      <c r="C129" s="29">
        <v>45874</v>
      </c>
      <c r="D129" s="80">
        <v>0.28125</v>
      </c>
      <c r="E129" s="127">
        <v>0.791666666666667</v>
      </c>
      <c r="F129" s="122">
        <v>926.57</v>
      </c>
      <c r="G129" s="52">
        <v>922.45</v>
      </c>
      <c r="H129" s="52">
        <v>927.16</v>
      </c>
      <c r="I129" s="52">
        <v>975.04</v>
      </c>
      <c r="J129" s="52">
        <v>971.13</v>
      </c>
      <c r="K129" s="52">
        <v>974.36</v>
      </c>
      <c r="L129" s="52">
        <v>955.07</v>
      </c>
      <c r="M129" s="123">
        <f t="shared" si="11"/>
        <v>6651.78</v>
      </c>
      <c r="N129" s="124">
        <f t="shared" si="12"/>
        <v>541.33</v>
      </c>
      <c r="O129" s="52">
        <v>543.56</v>
      </c>
      <c r="P129" s="52">
        <f t="shared" si="14"/>
        <v>6689.99999999971</v>
      </c>
      <c r="Q129" s="52">
        <f t="shared" si="13"/>
        <v>3.87</v>
      </c>
      <c r="R129" s="52">
        <v>3.89</v>
      </c>
      <c r="S129" s="52">
        <f t="shared" si="9"/>
        <v>60.0000000000001</v>
      </c>
      <c r="T129" s="121">
        <f t="shared" si="10"/>
        <v>6629.99999999971</v>
      </c>
      <c r="U129" s="63"/>
      <c r="V129" s="52">
        <v>2.64</v>
      </c>
      <c r="W129" s="52">
        <v>27.6</v>
      </c>
      <c r="X129" s="52"/>
      <c r="Y129" s="52"/>
      <c r="Z129" s="52"/>
      <c r="AA129" s="52"/>
      <c r="AB129" s="121" t="s">
        <v>72</v>
      </c>
    </row>
    <row r="130" spans="1:28">
      <c r="A130" s="56">
        <f t="shared" si="8"/>
        <v>132</v>
      </c>
      <c r="B130" s="111">
        <v>45875</v>
      </c>
      <c r="C130" s="29">
        <v>45875</v>
      </c>
      <c r="D130" s="80">
        <v>0.291666666666667</v>
      </c>
      <c r="E130" s="127">
        <v>0.791666666666667</v>
      </c>
      <c r="F130" s="122">
        <v>1488.66</v>
      </c>
      <c r="G130" s="52">
        <v>1482.07</v>
      </c>
      <c r="H130" s="52">
        <v>1486.3</v>
      </c>
      <c r="I130" s="52">
        <v>1548.27</v>
      </c>
      <c r="J130" s="52">
        <v>1536.23</v>
      </c>
      <c r="K130" s="52">
        <v>1536.92</v>
      </c>
      <c r="L130" s="52">
        <v>1513.57</v>
      </c>
      <c r="M130" s="123">
        <f t="shared" si="11"/>
        <v>10592.02</v>
      </c>
      <c r="N130" s="124">
        <f t="shared" si="12"/>
        <v>543.56</v>
      </c>
      <c r="O130" s="52">
        <v>547.07</v>
      </c>
      <c r="P130" s="52">
        <f t="shared" si="14"/>
        <v>10530.0000000003</v>
      </c>
      <c r="Q130" s="52">
        <f t="shared" si="13"/>
        <v>3.89</v>
      </c>
      <c r="R130" s="52">
        <v>3.91</v>
      </c>
      <c r="S130" s="52">
        <f t="shared" si="9"/>
        <v>60.0000000000001</v>
      </c>
      <c r="T130" s="121">
        <f t="shared" si="10"/>
        <v>10470.0000000003</v>
      </c>
      <c r="U130" s="63"/>
      <c r="V130" s="52">
        <v>4.15</v>
      </c>
      <c r="W130" s="52">
        <v>29.51</v>
      </c>
      <c r="X130" s="52"/>
      <c r="Y130" s="52"/>
      <c r="Z130" s="52"/>
      <c r="AA130" s="52"/>
      <c r="AB130" s="121" t="s">
        <v>72</v>
      </c>
    </row>
    <row r="131" spans="1:28">
      <c r="A131" s="56">
        <f t="shared" ref="A131:A194" si="15">A130+1</f>
        <v>133</v>
      </c>
      <c r="B131" s="111">
        <v>45876</v>
      </c>
      <c r="C131" s="29">
        <v>45876</v>
      </c>
      <c r="D131" s="80">
        <v>0.28125</v>
      </c>
      <c r="E131" s="127">
        <v>0.791666666666667</v>
      </c>
      <c r="F131" s="122">
        <v>1604.38</v>
      </c>
      <c r="G131" s="52">
        <v>1609.97</v>
      </c>
      <c r="H131" s="52">
        <v>1605.79</v>
      </c>
      <c r="I131" s="52">
        <v>1680.81</v>
      </c>
      <c r="J131" s="52">
        <v>1664.88</v>
      </c>
      <c r="K131" s="52">
        <v>1659.27</v>
      </c>
      <c r="L131" s="52">
        <v>1620.34</v>
      </c>
      <c r="M131" s="123">
        <f t="shared" si="11"/>
        <v>11445.44</v>
      </c>
      <c r="N131" s="124">
        <f t="shared" si="12"/>
        <v>547.07</v>
      </c>
      <c r="O131" s="52">
        <v>550.88</v>
      </c>
      <c r="P131" s="52">
        <f t="shared" si="14"/>
        <v>11429.9999999998</v>
      </c>
      <c r="Q131" s="52">
        <f t="shared" si="13"/>
        <v>3.91</v>
      </c>
      <c r="R131" s="52">
        <v>3.93</v>
      </c>
      <c r="S131" s="52">
        <f t="shared" ref="S131:S194" si="16">MAX((R131-Q131)*3000,0)</f>
        <v>60.0000000000001</v>
      </c>
      <c r="T131" s="121">
        <f t="shared" ref="T131:T194" si="17">P131-S131</f>
        <v>11369.9999999998</v>
      </c>
      <c r="U131" s="63"/>
      <c r="V131" s="52">
        <v>4.81</v>
      </c>
      <c r="W131" s="52">
        <v>30.1</v>
      </c>
      <c r="X131" s="52"/>
      <c r="Y131" s="52"/>
      <c r="Z131" s="52"/>
      <c r="AA131" s="52"/>
      <c r="AB131" s="121" t="s">
        <v>72</v>
      </c>
    </row>
    <row r="132" spans="1:28">
      <c r="A132" s="56">
        <f t="shared" si="15"/>
        <v>134</v>
      </c>
      <c r="B132" s="111">
        <v>45877</v>
      </c>
      <c r="C132" s="29">
        <v>45877</v>
      </c>
      <c r="D132" s="80">
        <v>0.291666666666667</v>
      </c>
      <c r="E132" s="127">
        <v>0.791666666666667</v>
      </c>
      <c r="F132" s="122">
        <v>1647.03</v>
      </c>
      <c r="G132" s="52">
        <v>1641.44</v>
      </c>
      <c r="H132" s="52">
        <v>1645.52</v>
      </c>
      <c r="I132" s="52">
        <v>1734.01</v>
      </c>
      <c r="J132" s="52">
        <v>1728.06</v>
      </c>
      <c r="K132" s="52">
        <v>1731.39</v>
      </c>
      <c r="L132" s="52">
        <v>1703.2</v>
      </c>
      <c r="M132" s="123">
        <f t="shared" ref="M132:M195" si="18">SUM(F132:L132)</f>
        <v>11830.65</v>
      </c>
      <c r="N132" s="124">
        <f t="shared" si="12"/>
        <v>550.88</v>
      </c>
      <c r="O132" s="52">
        <v>554.83</v>
      </c>
      <c r="P132" s="52">
        <f t="shared" si="14"/>
        <v>11850.0000000001</v>
      </c>
      <c r="Q132" s="52">
        <f t="shared" si="13"/>
        <v>3.93</v>
      </c>
      <c r="R132" s="52">
        <v>3.95</v>
      </c>
      <c r="S132" s="52">
        <f t="shared" si="16"/>
        <v>60.0000000000001</v>
      </c>
      <c r="T132" s="121">
        <f t="shared" si="17"/>
        <v>11790.0000000001</v>
      </c>
      <c r="U132" s="63"/>
      <c r="V132" s="52">
        <v>4.76</v>
      </c>
      <c r="W132" s="52">
        <v>30.06</v>
      </c>
      <c r="X132" s="52"/>
      <c r="Y132" s="52"/>
      <c r="Z132" s="52"/>
      <c r="AA132" s="52"/>
      <c r="AB132" s="121" t="s">
        <v>72</v>
      </c>
    </row>
    <row r="133" spans="1:28">
      <c r="A133" s="56">
        <f t="shared" si="15"/>
        <v>135</v>
      </c>
      <c r="B133" s="111">
        <v>45878</v>
      </c>
      <c r="C133" s="29">
        <v>45878</v>
      </c>
      <c r="D133" s="80">
        <v>0.291666666666667</v>
      </c>
      <c r="E133" s="127">
        <v>0.791666666666667</v>
      </c>
      <c r="F133" s="122">
        <v>1003.32</v>
      </c>
      <c r="G133" s="52">
        <v>997.49</v>
      </c>
      <c r="H133" s="52">
        <v>1001.4</v>
      </c>
      <c r="I133" s="52">
        <v>1050.1</v>
      </c>
      <c r="J133" s="52">
        <v>1038.2</v>
      </c>
      <c r="K133" s="52">
        <v>1037.89</v>
      </c>
      <c r="L133" s="52">
        <v>1017.81</v>
      </c>
      <c r="M133" s="123">
        <f t="shared" si="18"/>
        <v>7146.21</v>
      </c>
      <c r="N133" s="124">
        <f t="shared" si="12"/>
        <v>554.83</v>
      </c>
      <c r="O133" s="52">
        <v>557.22</v>
      </c>
      <c r="P133" s="52">
        <f t="shared" si="14"/>
        <v>7169.99999999996</v>
      </c>
      <c r="Q133" s="52">
        <f t="shared" si="13"/>
        <v>3.95</v>
      </c>
      <c r="R133" s="52">
        <v>3.96</v>
      </c>
      <c r="S133" s="52">
        <f t="shared" si="16"/>
        <v>29.9999999999994</v>
      </c>
      <c r="T133" s="121">
        <f t="shared" si="17"/>
        <v>7139.99999999996</v>
      </c>
      <c r="U133" s="63"/>
      <c r="V133" s="52">
        <v>3.13</v>
      </c>
      <c r="W133" s="52">
        <v>28.06</v>
      </c>
      <c r="X133" s="52"/>
      <c r="Y133" s="52"/>
      <c r="Z133" s="52"/>
      <c r="AA133" s="52"/>
      <c r="AB133" s="121" t="s">
        <v>72</v>
      </c>
    </row>
    <row r="134" spans="1:28">
      <c r="A134" s="56">
        <f t="shared" si="15"/>
        <v>136</v>
      </c>
      <c r="B134" s="111">
        <v>45879</v>
      </c>
      <c r="C134" s="29">
        <v>45879</v>
      </c>
      <c r="D134" s="80">
        <v>0.302083333333333</v>
      </c>
      <c r="E134" s="127">
        <v>0.78125</v>
      </c>
      <c r="F134" s="122">
        <v>1281.3</v>
      </c>
      <c r="G134" s="52">
        <v>1278.94</v>
      </c>
      <c r="H134" s="52">
        <v>1284.22</v>
      </c>
      <c r="I134" s="52">
        <v>1346.68</v>
      </c>
      <c r="J134" s="52">
        <v>1330.18</v>
      </c>
      <c r="K134" s="52">
        <v>1327.55</v>
      </c>
      <c r="L134" s="52">
        <v>1312.3</v>
      </c>
      <c r="M134" s="123">
        <f t="shared" si="18"/>
        <v>9161.17</v>
      </c>
      <c r="N134" s="124">
        <f t="shared" si="12"/>
        <v>557.22</v>
      </c>
      <c r="O134" s="52">
        <v>560.3</v>
      </c>
      <c r="P134" s="52">
        <f t="shared" si="14"/>
        <v>9239.99999999978</v>
      </c>
      <c r="Q134" s="52">
        <f t="shared" si="13"/>
        <v>3.96</v>
      </c>
      <c r="R134" s="52">
        <v>3.98</v>
      </c>
      <c r="S134" s="52">
        <f t="shared" si="16"/>
        <v>60.0000000000001</v>
      </c>
      <c r="T134" s="121">
        <f t="shared" si="17"/>
        <v>9179.99999999978</v>
      </c>
      <c r="U134" s="63"/>
      <c r="V134" s="52">
        <v>3.55</v>
      </c>
      <c r="W134" s="52">
        <v>27.72</v>
      </c>
      <c r="X134" s="52"/>
      <c r="Y134" s="52"/>
      <c r="Z134" s="52"/>
      <c r="AA134" s="52"/>
      <c r="AB134" s="121" t="s">
        <v>72</v>
      </c>
    </row>
    <row r="135" spans="1:28">
      <c r="A135" s="56">
        <f t="shared" si="15"/>
        <v>137</v>
      </c>
      <c r="B135" s="111">
        <v>45880</v>
      </c>
      <c r="C135" s="29">
        <v>45880</v>
      </c>
      <c r="D135" s="80">
        <v>0.291666666666667</v>
      </c>
      <c r="E135" s="127">
        <v>0.78125</v>
      </c>
      <c r="F135" s="122">
        <v>839.7</v>
      </c>
      <c r="G135" s="52">
        <v>836.98</v>
      </c>
      <c r="H135" s="52">
        <v>839.15</v>
      </c>
      <c r="I135" s="52">
        <v>882.44</v>
      </c>
      <c r="J135" s="52">
        <v>875.78</v>
      </c>
      <c r="K135" s="52">
        <v>875.02</v>
      </c>
      <c r="L135" s="52">
        <v>856.81</v>
      </c>
      <c r="M135" s="123">
        <f t="shared" si="18"/>
        <v>6005.88</v>
      </c>
      <c r="N135" s="124">
        <f t="shared" si="12"/>
        <v>560.3</v>
      </c>
      <c r="O135" s="52">
        <v>562.32</v>
      </c>
      <c r="P135" s="52">
        <f t="shared" si="14"/>
        <v>6060.00000000029</v>
      </c>
      <c r="Q135" s="52">
        <f t="shared" si="13"/>
        <v>3.98</v>
      </c>
      <c r="R135" s="52">
        <v>4</v>
      </c>
      <c r="S135" s="52">
        <f t="shared" si="16"/>
        <v>60.0000000000001</v>
      </c>
      <c r="T135" s="121">
        <f t="shared" si="17"/>
        <v>6000.00000000029</v>
      </c>
      <c r="U135" s="63"/>
      <c r="V135" s="52">
        <v>3.28</v>
      </c>
      <c r="W135" s="52">
        <v>29.02</v>
      </c>
      <c r="X135" s="52"/>
      <c r="Y135" s="52"/>
      <c r="Z135" s="52"/>
      <c r="AA135" s="52"/>
      <c r="AB135" s="121" t="s">
        <v>72</v>
      </c>
    </row>
    <row r="136" spans="1:28">
      <c r="A136" s="56">
        <f t="shared" si="15"/>
        <v>138</v>
      </c>
      <c r="B136" s="111">
        <v>45881</v>
      </c>
      <c r="C136" s="29">
        <v>45881</v>
      </c>
      <c r="D136" s="80">
        <v>0.291666666666667</v>
      </c>
      <c r="E136" s="127">
        <v>0.78125</v>
      </c>
      <c r="F136" s="122">
        <v>1135.43</v>
      </c>
      <c r="G136" s="52">
        <v>1132.38</v>
      </c>
      <c r="H136" s="52">
        <v>1135.78</v>
      </c>
      <c r="I136" s="52">
        <v>1176.56</v>
      </c>
      <c r="J136" s="52">
        <v>1177.5</v>
      </c>
      <c r="K136" s="52">
        <v>1177.54</v>
      </c>
      <c r="L136" s="52">
        <v>1157.54</v>
      </c>
      <c r="M136" s="123">
        <f t="shared" si="18"/>
        <v>8092.73</v>
      </c>
      <c r="N136" s="124">
        <f t="shared" si="12"/>
        <v>562.32</v>
      </c>
      <c r="O136" s="52">
        <v>565.02</v>
      </c>
      <c r="P136" s="52">
        <f t="shared" si="14"/>
        <v>8099.9999999998</v>
      </c>
      <c r="Q136" s="52">
        <f t="shared" si="13"/>
        <v>4</v>
      </c>
      <c r="R136" s="52">
        <v>4.02</v>
      </c>
      <c r="S136" s="52">
        <f t="shared" si="16"/>
        <v>59.9999999999987</v>
      </c>
      <c r="T136" s="121">
        <f t="shared" si="17"/>
        <v>8039.9999999998</v>
      </c>
      <c r="U136" s="63"/>
      <c r="V136" s="52">
        <v>2.98</v>
      </c>
      <c r="W136" s="52">
        <v>27.2</v>
      </c>
      <c r="X136" s="52"/>
      <c r="Y136" s="52"/>
      <c r="Z136" s="52"/>
      <c r="AA136" s="52"/>
      <c r="AB136" s="121" t="s">
        <v>72</v>
      </c>
    </row>
    <row r="137" spans="1:28">
      <c r="A137" s="56">
        <f t="shared" si="15"/>
        <v>139</v>
      </c>
      <c r="B137" s="111">
        <v>45882</v>
      </c>
      <c r="C137" s="29">
        <v>45882</v>
      </c>
      <c r="D137" s="80">
        <v>0.302083333333333</v>
      </c>
      <c r="E137" s="127">
        <v>0.78125</v>
      </c>
      <c r="F137" s="122">
        <v>1083.2</v>
      </c>
      <c r="G137" s="52">
        <v>1076.94</v>
      </c>
      <c r="H137" s="52">
        <v>1078.14</v>
      </c>
      <c r="I137" s="52">
        <v>1124.5</v>
      </c>
      <c r="J137" s="52">
        <v>1115.13</v>
      </c>
      <c r="K137" s="52">
        <v>1114.26</v>
      </c>
      <c r="L137" s="52">
        <v>1091.35</v>
      </c>
      <c r="M137" s="123">
        <f t="shared" si="18"/>
        <v>7683.52</v>
      </c>
      <c r="N137" s="124">
        <f t="shared" si="12"/>
        <v>565.02</v>
      </c>
      <c r="O137" s="52">
        <v>567.58</v>
      </c>
      <c r="P137" s="52">
        <f t="shared" si="14"/>
        <v>7680.00000000018</v>
      </c>
      <c r="Q137" s="52">
        <f t="shared" si="13"/>
        <v>4.02</v>
      </c>
      <c r="R137" s="52">
        <v>4.04</v>
      </c>
      <c r="S137" s="52">
        <f t="shared" si="16"/>
        <v>60.0000000000014</v>
      </c>
      <c r="T137" s="121">
        <f t="shared" si="17"/>
        <v>7620.00000000018</v>
      </c>
      <c r="U137" s="63"/>
      <c r="V137" s="52">
        <v>3.15</v>
      </c>
      <c r="W137" s="52">
        <v>28.26</v>
      </c>
      <c r="X137" s="52"/>
      <c r="Y137" s="52"/>
      <c r="Z137" s="52"/>
      <c r="AA137" s="52"/>
      <c r="AB137" s="121" t="s">
        <v>72</v>
      </c>
    </row>
    <row r="138" spans="1:28">
      <c r="A138" s="56">
        <f t="shared" si="15"/>
        <v>140</v>
      </c>
      <c r="B138" s="111">
        <v>45883</v>
      </c>
      <c r="C138" s="29">
        <v>45883</v>
      </c>
      <c r="D138" s="80">
        <v>0.291666666666667</v>
      </c>
      <c r="E138" s="127">
        <v>0.78125</v>
      </c>
      <c r="F138" s="122">
        <v>1017.78</v>
      </c>
      <c r="G138" s="52">
        <v>1016.74</v>
      </c>
      <c r="H138" s="52">
        <v>1020.47</v>
      </c>
      <c r="I138" s="52">
        <v>1070.7</v>
      </c>
      <c r="J138" s="52">
        <v>1059.97</v>
      </c>
      <c r="K138" s="52">
        <v>1060.15</v>
      </c>
      <c r="L138" s="52">
        <v>1041.76</v>
      </c>
      <c r="M138" s="123">
        <f t="shared" si="18"/>
        <v>7287.57</v>
      </c>
      <c r="N138" s="124">
        <f t="shared" si="12"/>
        <v>567.58</v>
      </c>
      <c r="O138" s="52">
        <v>570.02</v>
      </c>
      <c r="P138" s="52">
        <f t="shared" si="14"/>
        <v>7319.99999999982</v>
      </c>
      <c r="Q138" s="52">
        <f t="shared" si="13"/>
        <v>4.04</v>
      </c>
      <c r="R138" s="52">
        <v>4.06</v>
      </c>
      <c r="S138" s="52">
        <f t="shared" si="16"/>
        <v>59.9999999999987</v>
      </c>
      <c r="T138" s="121">
        <f t="shared" si="17"/>
        <v>7259.99999999982</v>
      </c>
      <c r="U138" s="63"/>
      <c r="V138" s="52">
        <v>3.1</v>
      </c>
      <c r="W138" s="52">
        <v>28.77</v>
      </c>
      <c r="X138" s="52"/>
      <c r="Y138" s="52"/>
      <c r="Z138" s="52"/>
      <c r="AA138" s="52"/>
      <c r="AB138" s="121" t="s">
        <v>73</v>
      </c>
    </row>
    <row r="139" spans="1:28">
      <c r="A139" s="56">
        <f t="shared" si="15"/>
        <v>141</v>
      </c>
      <c r="B139" s="111">
        <v>45884</v>
      </c>
      <c r="C139" s="29">
        <v>45884</v>
      </c>
      <c r="D139" s="80">
        <v>0.291666666666667</v>
      </c>
      <c r="E139" s="127">
        <v>0.78125</v>
      </c>
      <c r="F139" s="122">
        <v>1019.98</v>
      </c>
      <c r="G139" s="52">
        <v>1022.1</v>
      </c>
      <c r="H139" s="52">
        <v>1032.44</v>
      </c>
      <c r="I139" s="52">
        <v>1081.2</v>
      </c>
      <c r="J139" s="52">
        <v>1071.05</v>
      </c>
      <c r="K139" s="52">
        <v>1072.74</v>
      </c>
      <c r="L139" s="52">
        <v>1054.5</v>
      </c>
      <c r="M139" s="123">
        <f t="shared" si="18"/>
        <v>7354.01</v>
      </c>
      <c r="N139" s="124">
        <f t="shared" si="12"/>
        <v>570.02</v>
      </c>
      <c r="O139" s="52">
        <v>572.48</v>
      </c>
      <c r="P139" s="52">
        <f t="shared" si="14"/>
        <v>7380.00000000011</v>
      </c>
      <c r="Q139" s="52">
        <f t="shared" si="13"/>
        <v>4.06</v>
      </c>
      <c r="R139" s="52">
        <v>4.08</v>
      </c>
      <c r="S139" s="52">
        <f t="shared" si="16"/>
        <v>60.0000000000014</v>
      </c>
      <c r="T139" s="121">
        <f t="shared" si="17"/>
        <v>7320.00000000011</v>
      </c>
      <c r="U139" s="63"/>
      <c r="V139" s="52">
        <v>2.96</v>
      </c>
      <c r="W139" s="52">
        <v>29.35</v>
      </c>
      <c r="X139" s="52"/>
      <c r="Y139" s="52"/>
      <c r="Z139" s="52"/>
      <c r="AA139" s="52"/>
      <c r="AB139" s="121" t="s">
        <v>72</v>
      </c>
    </row>
    <row r="140" spans="1:28">
      <c r="A140" s="56">
        <f t="shared" si="15"/>
        <v>142</v>
      </c>
      <c r="B140" s="111">
        <v>45885</v>
      </c>
      <c r="C140" s="29">
        <v>45885</v>
      </c>
      <c r="D140" s="80">
        <v>0.302083333333333</v>
      </c>
      <c r="E140" s="127">
        <v>0.739583333333333</v>
      </c>
      <c r="F140" s="122">
        <v>1036</v>
      </c>
      <c r="G140" s="52">
        <v>1035.79</v>
      </c>
      <c r="H140" s="52">
        <v>1041.82</v>
      </c>
      <c r="I140" s="52">
        <v>1092.68</v>
      </c>
      <c r="J140" s="52">
        <v>1085</v>
      </c>
      <c r="K140" s="52">
        <v>1089.91</v>
      </c>
      <c r="L140" s="52">
        <v>1076.5</v>
      </c>
      <c r="M140" s="123">
        <f t="shared" si="18"/>
        <v>7457.7</v>
      </c>
      <c r="N140" s="124">
        <f t="shared" si="12"/>
        <v>572.48</v>
      </c>
      <c r="O140" s="52">
        <v>574.96</v>
      </c>
      <c r="P140" s="52">
        <f t="shared" si="14"/>
        <v>7440.00000000005</v>
      </c>
      <c r="Q140" s="52">
        <f t="shared" si="13"/>
        <v>4.08</v>
      </c>
      <c r="R140" s="52">
        <v>4.1</v>
      </c>
      <c r="S140" s="52">
        <f t="shared" si="16"/>
        <v>59.9999999999987</v>
      </c>
      <c r="T140" s="121">
        <f t="shared" si="17"/>
        <v>7380.00000000006</v>
      </c>
      <c r="U140" s="63"/>
      <c r="V140" s="52">
        <v>3.06</v>
      </c>
      <c r="W140" s="52">
        <v>29.12</v>
      </c>
      <c r="X140" s="52"/>
      <c r="Y140" s="52"/>
      <c r="Z140" s="52"/>
      <c r="AA140" s="52"/>
      <c r="AB140" s="121" t="s">
        <v>72</v>
      </c>
    </row>
    <row r="141" spans="1:28">
      <c r="A141" s="56">
        <f t="shared" si="15"/>
        <v>143</v>
      </c>
      <c r="B141" s="111">
        <v>45886</v>
      </c>
      <c r="C141" s="29">
        <v>45886</v>
      </c>
      <c r="D141" s="80">
        <v>0.291666666666667</v>
      </c>
      <c r="E141" s="127">
        <v>0.760416666666667</v>
      </c>
      <c r="F141" s="122">
        <v>1186.16</v>
      </c>
      <c r="G141" s="52">
        <v>1185.22</v>
      </c>
      <c r="H141" s="52">
        <v>1191.3</v>
      </c>
      <c r="I141" s="52">
        <v>1250.82</v>
      </c>
      <c r="J141" s="52">
        <v>1240.65</v>
      </c>
      <c r="K141" s="52">
        <v>1239.81</v>
      </c>
      <c r="L141" s="52">
        <v>1225.88</v>
      </c>
      <c r="M141" s="123">
        <f t="shared" si="18"/>
        <v>8519.84</v>
      </c>
      <c r="N141" s="124">
        <f t="shared" ref="N141:N204" si="19">O140</f>
        <v>574.96</v>
      </c>
      <c r="O141" s="52">
        <v>577.79</v>
      </c>
      <c r="P141" s="52">
        <f t="shared" si="14"/>
        <v>8489.99999999978</v>
      </c>
      <c r="Q141" s="52">
        <f t="shared" ref="Q141:Q204" si="20">R140</f>
        <v>4.1</v>
      </c>
      <c r="R141" s="52">
        <v>4.13</v>
      </c>
      <c r="S141" s="52">
        <f t="shared" si="16"/>
        <v>90.0000000000007</v>
      </c>
      <c r="T141" s="121">
        <f t="shared" si="17"/>
        <v>8399.99999999978</v>
      </c>
      <c r="U141" s="63"/>
      <c r="V141" s="52">
        <v>2.93</v>
      </c>
      <c r="W141" s="52">
        <v>28.69</v>
      </c>
      <c r="X141" s="52"/>
      <c r="Y141" s="52"/>
      <c r="Z141" s="52"/>
      <c r="AA141" s="52"/>
      <c r="AB141" s="121" t="s">
        <v>73</v>
      </c>
    </row>
    <row r="142" spans="1:28">
      <c r="A142" s="56">
        <f t="shared" si="15"/>
        <v>144</v>
      </c>
      <c r="B142" s="111">
        <v>45887</v>
      </c>
      <c r="C142" s="29">
        <v>45887</v>
      </c>
      <c r="D142" s="80">
        <v>0.291666666666667</v>
      </c>
      <c r="E142" s="127">
        <v>0.78125</v>
      </c>
      <c r="F142" s="122">
        <v>1145.57</v>
      </c>
      <c r="G142" s="52">
        <v>1139.07</v>
      </c>
      <c r="H142" s="52">
        <v>1140.12</v>
      </c>
      <c r="I142" s="52">
        <v>1180.83</v>
      </c>
      <c r="J142" s="52">
        <v>1181.56</v>
      </c>
      <c r="K142" s="52">
        <v>1183.7</v>
      </c>
      <c r="L142" s="52">
        <v>1163.79</v>
      </c>
      <c r="M142" s="123">
        <f t="shared" si="18"/>
        <v>8134.64</v>
      </c>
      <c r="N142" s="124">
        <f t="shared" si="19"/>
        <v>577.79</v>
      </c>
      <c r="O142" s="52">
        <v>580.49</v>
      </c>
      <c r="P142" s="52">
        <f t="shared" si="14"/>
        <v>8100.00000000014</v>
      </c>
      <c r="Q142" s="52">
        <f t="shared" si="20"/>
        <v>4.13</v>
      </c>
      <c r="R142" s="52">
        <v>4.14</v>
      </c>
      <c r="S142" s="52">
        <f t="shared" si="16"/>
        <v>29.9999999999994</v>
      </c>
      <c r="T142" s="121">
        <f t="shared" si="17"/>
        <v>8070.00000000014</v>
      </c>
      <c r="U142" s="63"/>
      <c r="V142" s="52">
        <v>2.69</v>
      </c>
      <c r="W142" s="52">
        <v>30.29</v>
      </c>
      <c r="X142" s="52"/>
      <c r="Y142" s="52"/>
      <c r="Z142" s="52"/>
      <c r="AA142" s="52"/>
      <c r="AB142" s="121" t="s">
        <v>73</v>
      </c>
    </row>
    <row r="143" spans="1:28">
      <c r="A143" s="56">
        <f t="shared" si="15"/>
        <v>145</v>
      </c>
      <c r="B143" s="111">
        <v>45888</v>
      </c>
      <c r="C143" s="29">
        <v>45888</v>
      </c>
      <c r="D143" s="52"/>
      <c r="E143" s="121"/>
      <c r="F143" s="122">
        <v>1380.2</v>
      </c>
      <c r="G143" s="52">
        <v>1388.46</v>
      </c>
      <c r="H143" s="52">
        <v>1406.82</v>
      </c>
      <c r="I143" s="52">
        <v>1457.52</v>
      </c>
      <c r="J143" s="52">
        <v>1474.51</v>
      </c>
      <c r="K143" s="52">
        <v>1480.19</v>
      </c>
      <c r="L143" s="52">
        <v>1456.63</v>
      </c>
      <c r="M143" s="123">
        <f t="shared" si="18"/>
        <v>10044.33</v>
      </c>
      <c r="N143" s="124">
        <f t="shared" si="19"/>
        <v>580.49</v>
      </c>
      <c r="O143" s="52">
        <v>583.79</v>
      </c>
      <c r="P143" s="52">
        <f t="shared" si="14"/>
        <v>9899.99999999986</v>
      </c>
      <c r="Q143" s="52">
        <f t="shared" si="20"/>
        <v>4.14</v>
      </c>
      <c r="R143" s="52">
        <v>4.16</v>
      </c>
      <c r="S143" s="52">
        <f t="shared" si="16"/>
        <v>60.0000000000014</v>
      </c>
      <c r="T143" s="121">
        <f t="shared" si="17"/>
        <v>9839.99999999986</v>
      </c>
      <c r="U143" s="63"/>
      <c r="V143" s="52"/>
      <c r="W143" s="52"/>
      <c r="X143" s="52"/>
      <c r="Y143" s="52"/>
      <c r="Z143" s="52"/>
      <c r="AA143" s="52"/>
      <c r="AB143" s="121"/>
    </row>
    <row r="144" spans="1:28">
      <c r="A144" s="56">
        <f t="shared" si="15"/>
        <v>146</v>
      </c>
      <c r="B144" s="111">
        <v>45889</v>
      </c>
      <c r="C144" s="29">
        <v>45889</v>
      </c>
      <c r="D144" s="52"/>
      <c r="E144" s="121"/>
      <c r="F144" s="122">
        <v>399.9</v>
      </c>
      <c r="G144" s="52">
        <v>397.14</v>
      </c>
      <c r="H144" s="52">
        <v>401.71</v>
      </c>
      <c r="I144" s="52">
        <v>417.4</v>
      </c>
      <c r="J144" s="52">
        <v>413.01</v>
      </c>
      <c r="K144" s="52">
        <v>412.18</v>
      </c>
      <c r="L144" s="52">
        <v>406.96</v>
      </c>
      <c r="M144" s="123">
        <f t="shared" si="18"/>
        <v>2848.3</v>
      </c>
      <c r="N144" s="124">
        <f t="shared" si="19"/>
        <v>583.79</v>
      </c>
      <c r="O144" s="52">
        <v>584.76</v>
      </c>
      <c r="P144" s="52">
        <f t="shared" si="14"/>
        <v>2910.00000000008</v>
      </c>
      <c r="Q144" s="52">
        <f t="shared" si="20"/>
        <v>4.16</v>
      </c>
      <c r="R144" s="52">
        <v>4.19</v>
      </c>
      <c r="S144" s="52">
        <f t="shared" si="16"/>
        <v>90.0000000000007</v>
      </c>
      <c r="T144" s="121">
        <f t="shared" si="17"/>
        <v>2820.00000000008</v>
      </c>
      <c r="U144" s="63"/>
      <c r="V144" s="52"/>
      <c r="W144" s="52"/>
      <c r="X144" s="52"/>
      <c r="Y144" s="52"/>
      <c r="Z144" s="52"/>
      <c r="AA144" s="52"/>
      <c r="AB144" s="121"/>
    </row>
    <row r="145" spans="1:28">
      <c r="A145" s="56">
        <f t="shared" si="15"/>
        <v>147</v>
      </c>
      <c r="B145" s="111">
        <v>45890</v>
      </c>
      <c r="C145" s="29">
        <v>45890</v>
      </c>
      <c r="D145" s="52"/>
      <c r="E145" s="121"/>
      <c r="F145" s="122">
        <v>1149.89</v>
      </c>
      <c r="G145" s="52">
        <v>1145.08</v>
      </c>
      <c r="H145" s="52">
        <v>1145.36</v>
      </c>
      <c r="I145" s="52">
        <v>1177.09</v>
      </c>
      <c r="J145" s="52">
        <v>1195.32</v>
      </c>
      <c r="K145" s="52">
        <v>1180.98</v>
      </c>
      <c r="L145" s="52">
        <v>1150.25</v>
      </c>
      <c r="M145" s="123">
        <f t="shared" si="18"/>
        <v>8143.97</v>
      </c>
      <c r="N145" s="124">
        <f t="shared" si="19"/>
        <v>584.76</v>
      </c>
      <c r="O145" s="52">
        <v>587.47</v>
      </c>
      <c r="P145" s="52">
        <f t="shared" si="14"/>
        <v>8130.00000000011</v>
      </c>
      <c r="Q145" s="52">
        <f t="shared" si="20"/>
        <v>4.19</v>
      </c>
      <c r="R145" s="52">
        <v>4.21</v>
      </c>
      <c r="S145" s="52">
        <f t="shared" si="16"/>
        <v>59.9999999999987</v>
      </c>
      <c r="T145" s="121">
        <f t="shared" si="17"/>
        <v>8070.00000000011</v>
      </c>
      <c r="U145" s="63"/>
      <c r="V145" s="52"/>
      <c r="W145" s="52"/>
      <c r="X145" s="52"/>
      <c r="Y145" s="52"/>
      <c r="Z145" s="52"/>
      <c r="AA145" s="52"/>
      <c r="AB145" s="121"/>
    </row>
    <row r="146" spans="1:28">
      <c r="A146" s="56">
        <f t="shared" si="15"/>
        <v>148</v>
      </c>
      <c r="B146" s="111">
        <v>45891</v>
      </c>
      <c r="C146" s="29">
        <v>45891</v>
      </c>
      <c r="D146" s="52"/>
      <c r="E146" s="121"/>
      <c r="F146" s="122">
        <v>1374.57</v>
      </c>
      <c r="G146" s="52">
        <v>1371.43</v>
      </c>
      <c r="H146" s="52">
        <v>1366.61</v>
      </c>
      <c r="I146" s="52">
        <v>1389.93</v>
      </c>
      <c r="J146" s="52">
        <v>1400.25</v>
      </c>
      <c r="K146" s="52">
        <v>1396.29</v>
      </c>
      <c r="L146" s="52">
        <v>1364.1</v>
      </c>
      <c r="M146" s="123">
        <f t="shared" si="18"/>
        <v>9663.18</v>
      </c>
      <c r="N146" s="124">
        <f t="shared" si="19"/>
        <v>587.47</v>
      </c>
      <c r="O146" s="52">
        <v>590.68</v>
      </c>
      <c r="P146" s="52">
        <f t="shared" si="14"/>
        <v>9629.99999999977</v>
      </c>
      <c r="Q146" s="52">
        <f t="shared" si="20"/>
        <v>4.21</v>
      </c>
      <c r="R146" s="52">
        <v>4.23</v>
      </c>
      <c r="S146" s="52">
        <f t="shared" si="16"/>
        <v>60.0000000000014</v>
      </c>
      <c r="T146" s="121">
        <f t="shared" si="17"/>
        <v>9569.99999999977</v>
      </c>
      <c r="U146" s="63"/>
      <c r="V146" s="52"/>
      <c r="W146" s="52"/>
      <c r="X146" s="52"/>
      <c r="Y146" s="52"/>
      <c r="Z146" s="52"/>
      <c r="AA146" s="52"/>
      <c r="AB146" s="121"/>
    </row>
    <row r="147" spans="1:28">
      <c r="A147" s="56">
        <f t="shared" si="15"/>
        <v>149</v>
      </c>
      <c r="B147" s="111">
        <v>45892</v>
      </c>
      <c r="C147" s="29">
        <v>45892</v>
      </c>
      <c r="D147" s="52"/>
      <c r="E147" s="121"/>
      <c r="F147" s="122">
        <v>762.34</v>
      </c>
      <c r="G147" s="52">
        <v>754.83</v>
      </c>
      <c r="H147" s="52">
        <v>754.33</v>
      </c>
      <c r="I147" s="52">
        <v>776.25</v>
      </c>
      <c r="J147" s="52">
        <v>776.6</v>
      </c>
      <c r="K147" s="52">
        <v>774.16</v>
      </c>
      <c r="L147" s="52">
        <v>759.27</v>
      </c>
      <c r="M147" s="123">
        <f t="shared" si="18"/>
        <v>5357.78</v>
      </c>
      <c r="N147" s="124">
        <f t="shared" si="19"/>
        <v>590.68</v>
      </c>
      <c r="O147" s="52">
        <v>592.46</v>
      </c>
      <c r="P147" s="52">
        <f t="shared" si="14"/>
        <v>5340.00000000026</v>
      </c>
      <c r="Q147" s="52">
        <f t="shared" si="20"/>
        <v>4.23</v>
      </c>
      <c r="R147" s="52">
        <v>4.25</v>
      </c>
      <c r="S147" s="52">
        <f t="shared" si="16"/>
        <v>59.9999999999987</v>
      </c>
      <c r="T147" s="121">
        <f t="shared" si="17"/>
        <v>5280.00000000026</v>
      </c>
      <c r="U147" s="63"/>
      <c r="V147" s="52"/>
      <c r="W147" s="52"/>
      <c r="X147" s="52"/>
      <c r="Y147" s="52"/>
      <c r="Z147" s="52"/>
      <c r="AA147" s="52"/>
      <c r="AB147" s="121"/>
    </row>
    <row r="148" spans="1:28">
      <c r="A148" s="56">
        <f t="shared" si="15"/>
        <v>150</v>
      </c>
      <c r="B148" s="111">
        <v>45893</v>
      </c>
      <c r="C148" s="29">
        <v>45893</v>
      </c>
      <c r="D148" s="52"/>
      <c r="E148" s="121"/>
      <c r="F148" s="122">
        <v>533.22</v>
      </c>
      <c r="G148" s="52">
        <v>526.64</v>
      </c>
      <c r="H148" s="52">
        <v>527.54</v>
      </c>
      <c r="I148" s="52">
        <v>544.76</v>
      </c>
      <c r="J148" s="52">
        <v>583.75</v>
      </c>
      <c r="K148" s="52">
        <v>535.63</v>
      </c>
      <c r="L148" s="52">
        <v>525.21</v>
      </c>
      <c r="M148" s="123">
        <f t="shared" si="18"/>
        <v>3776.75</v>
      </c>
      <c r="N148" s="124">
        <f t="shared" si="19"/>
        <v>592.46</v>
      </c>
      <c r="O148" s="52">
        <v>593.7</v>
      </c>
      <c r="P148" s="52">
        <f t="shared" si="14"/>
        <v>3720.00000000003</v>
      </c>
      <c r="Q148" s="52">
        <f t="shared" si="20"/>
        <v>4.25</v>
      </c>
      <c r="R148" s="52">
        <v>4.27</v>
      </c>
      <c r="S148" s="52">
        <f t="shared" si="16"/>
        <v>59.9999999999987</v>
      </c>
      <c r="T148" s="121">
        <f t="shared" si="17"/>
        <v>3660.00000000003</v>
      </c>
      <c r="U148" s="63"/>
      <c r="V148" s="52"/>
      <c r="W148" s="52"/>
      <c r="X148" s="52"/>
      <c r="Y148" s="52"/>
      <c r="Z148" s="52"/>
      <c r="AA148" s="52"/>
      <c r="AB148" s="121"/>
    </row>
    <row r="149" spans="1:28">
      <c r="A149" s="56">
        <f t="shared" si="15"/>
        <v>151</v>
      </c>
      <c r="B149" s="111">
        <v>45894</v>
      </c>
      <c r="C149" s="29">
        <v>45894</v>
      </c>
      <c r="D149" s="52"/>
      <c r="E149" s="121"/>
      <c r="F149" s="122">
        <v>935.02</v>
      </c>
      <c r="G149" s="52">
        <v>929.56</v>
      </c>
      <c r="H149" s="52">
        <v>931.54</v>
      </c>
      <c r="I149" s="52">
        <v>966.11</v>
      </c>
      <c r="J149" s="52">
        <v>965.56</v>
      </c>
      <c r="K149" s="52">
        <v>966.12</v>
      </c>
      <c r="L149" s="52">
        <v>948.72</v>
      </c>
      <c r="M149" s="123">
        <f t="shared" si="18"/>
        <v>6642.63</v>
      </c>
      <c r="N149" s="124">
        <f t="shared" si="19"/>
        <v>593.7</v>
      </c>
      <c r="O149" s="52">
        <v>595.9</v>
      </c>
      <c r="P149" s="52">
        <f t="shared" si="14"/>
        <v>6599.9999999998</v>
      </c>
      <c r="Q149" s="52">
        <f t="shared" si="20"/>
        <v>4.27</v>
      </c>
      <c r="R149" s="52">
        <v>4.29</v>
      </c>
      <c r="S149" s="52">
        <f t="shared" si="16"/>
        <v>60.0000000000014</v>
      </c>
      <c r="T149" s="121">
        <f t="shared" si="17"/>
        <v>6539.99999999979</v>
      </c>
      <c r="U149" s="63"/>
      <c r="V149" s="52"/>
      <c r="W149" s="52"/>
      <c r="X149" s="52"/>
      <c r="Y149" s="52"/>
      <c r="Z149" s="52"/>
      <c r="AA149" s="52"/>
      <c r="AB149" s="121"/>
    </row>
    <row r="150" spans="1:28">
      <c r="A150" s="56">
        <f t="shared" si="15"/>
        <v>152</v>
      </c>
      <c r="B150" s="111">
        <v>45895</v>
      </c>
      <c r="C150" s="29">
        <v>45895</v>
      </c>
      <c r="D150" s="52"/>
      <c r="E150" s="121"/>
      <c r="F150" s="122">
        <v>1076.69</v>
      </c>
      <c r="G150" s="52">
        <v>1068.86</v>
      </c>
      <c r="H150" s="52">
        <v>1070.9</v>
      </c>
      <c r="I150" s="52">
        <v>1107.13</v>
      </c>
      <c r="J150" s="52">
        <v>1115.43</v>
      </c>
      <c r="K150" s="52">
        <v>1114.69</v>
      </c>
      <c r="L150" s="52">
        <v>1090.97</v>
      </c>
      <c r="M150" s="123">
        <f t="shared" si="18"/>
        <v>7644.67</v>
      </c>
      <c r="N150" s="124">
        <f t="shared" si="19"/>
        <v>595.9</v>
      </c>
      <c r="O150" s="52">
        <v>598.46</v>
      </c>
      <c r="P150" s="52">
        <f t="shared" si="14"/>
        <v>7680.00000000018</v>
      </c>
      <c r="Q150" s="52">
        <f t="shared" si="20"/>
        <v>4.29</v>
      </c>
      <c r="R150" s="52">
        <v>4.31</v>
      </c>
      <c r="S150" s="52">
        <f t="shared" si="16"/>
        <v>59.9999999999987</v>
      </c>
      <c r="T150" s="121">
        <f t="shared" si="17"/>
        <v>7620.00000000018</v>
      </c>
      <c r="U150" s="63"/>
      <c r="V150" s="52"/>
      <c r="W150" s="52"/>
      <c r="X150" s="52"/>
      <c r="Y150" s="52"/>
      <c r="Z150" s="52"/>
      <c r="AA150" s="52"/>
      <c r="AB150" s="121"/>
    </row>
    <row r="151" spans="1:28">
      <c r="A151" s="56">
        <f t="shared" si="15"/>
        <v>153</v>
      </c>
      <c r="B151" s="111">
        <v>45896</v>
      </c>
      <c r="C151" s="29">
        <v>45896</v>
      </c>
      <c r="D151" s="52"/>
      <c r="E151" s="121"/>
      <c r="F151" s="122">
        <v>1127.38</v>
      </c>
      <c r="G151" s="52">
        <v>1124.91</v>
      </c>
      <c r="H151" s="52">
        <v>1127.66</v>
      </c>
      <c r="I151" s="52">
        <v>1167.77</v>
      </c>
      <c r="J151" s="52">
        <v>1175.87</v>
      </c>
      <c r="K151" s="52">
        <v>1173.46</v>
      </c>
      <c r="L151" s="52">
        <v>1149.73</v>
      </c>
      <c r="M151" s="123">
        <f t="shared" si="18"/>
        <v>8046.78</v>
      </c>
      <c r="N151" s="124">
        <f t="shared" si="19"/>
        <v>598.46</v>
      </c>
      <c r="O151" s="52">
        <v>601.16</v>
      </c>
      <c r="P151" s="52">
        <f t="shared" si="14"/>
        <v>8099.9999999998</v>
      </c>
      <c r="Q151" s="52">
        <f t="shared" si="20"/>
        <v>4.31</v>
      </c>
      <c r="R151" s="52">
        <v>4.33</v>
      </c>
      <c r="S151" s="52">
        <f t="shared" si="16"/>
        <v>60.0000000000014</v>
      </c>
      <c r="T151" s="121">
        <f t="shared" si="17"/>
        <v>8039.99999999979</v>
      </c>
      <c r="U151" s="63"/>
      <c r="V151" s="52"/>
      <c r="W151" s="52"/>
      <c r="X151" s="52"/>
      <c r="Y151" s="52"/>
      <c r="Z151" s="52"/>
      <c r="AA151" s="52"/>
      <c r="AB151" s="121"/>
    </row>
    <row r="152" spans="1:28">
      <c r="A152" s="56">
        <f t="shared" si="15"/>
        <v>154</v>
      </c>
      <c r="B152" s="111">
        <v>45897</v>
      </c>
      <c r="C152" s="29">
        <v>45897</v>
      </c>
      <c r="D152" s="52"/>
      <c r="E152" s="121"/>
      <c r="F152" s="122">
        <v>1295.42</v>
      </c>
      <c r="G152" s="52">
        <v>1291.65</v>
      </c>
      <c r="H152" s="52">
        <v>1299.83</v>
      </c>
      <c r="I152" s="52">
        <v>1341.19</v>
      </c>
      <c r="J152" s="52">
        <v>1355.54</v>
      </c>
      <c r="K152" s="52">
        <v>1359.43</v>
      </c>
      <c r="L152" s="52">
        <v>1341.46</v>
      </c>
      <c r="M152" s="123">
        <f t="shared" si="18"/>
        <v>9284.52</v>
      </c>
      <c r="N152" s="124">
        <f t="shared" si="19"/>
        <v>601.16</v>
      </c>
      <c r="O152" s="52">
        <v>604.26</v>
      </c>
      <c r="P152" s="52">
        <f t="shared" ref="P152:P215" si="21">MAX((O152-N152)*3000,0)</f>
        <v>9300.00000000007</v>
      </c>
      <c r="Q152" s="52">
        <f t="shared" si="20"/>
        <v>4.33</v>
      </c>
      <c r="R152" s="52">
        <v>4.35</v>
      </c>
      <c r="S152" s="52">
        <f t="shared" si="16"/>
        <v>59.9999999999987</v>
      </c>
      <c r="T152" s="121">
        <f t="shared" si="17"/>
        <v>9240.00000000007</v>
      </c>
      <c r="U152" s="63"/>
      <c r="V152" s="52"/>
      <c r="W152" s="52"/>
      <c r="X152" s="52"/>
      <c r="Y152" s="52"/>
      <c r="Z152" s="52"/>
      <c r="AA152" s="52"/>
      <c r="AB152" s="121"/>
    </row>
    <row r="153" spans="1:28">
      <c r="A153" s="56">
        <f t="shared" si="15"/>
        <v>155</v>
      </c>
      <c r="B153" s="111">
        <v>45898</v>
      </c>
      <c r="C153" s="29">
        <v>45898</v>
      </c>
      <c r="D153" s="52"/>
      <c r="E153" s="121"/>
      <c r="F153" s="122">
        <v>1023.06</v>
      </c>
      <c r="G153" s="52">
        <v>1020.35</v>
      </c>
      <c r="H153" s="52">
        <v>1025.9</v>
      </c>
      <c r="I153" s="52">
        <v>1060.92</v>
      </c>
      <c r="J153" s="52">
        <v>1068.4</v>
      </c>
      <c r="K153" s="52">
        <v>1071.03</v>
      </c>
      <c r="L153" s="52">
        <v>1054.28</v>
      </c>
      <c r="M153" s="123">
        <f t="shared" si="18"/>
        <v>7323.94</v>
      </c>
      <c r="N153" s="124">
        <f t="shared" si="19"/>
        <v>604.26</v>
      </c>
      <c r="O153" s="52">
        <v>606.7</v>
      </c>
      <c r="P153" s="52">
        <f t="shared" si="21"/>
        <v>7320.00000000016</v>
      </c>
      <c r="Q153" s="52">
        <f t="shared" si="20"/>
        <v>4.35</v>
      </c>
      <c r="R153" s="52">
        <v>4.37</v>
      </c>
      <c r="S153" s="52">
        <f t="shared" si="16"/>
        <v>60.0000000000014</v>
      </c>
      <c r="T153" s="121">
        <f t="shared" si="17"/>
        <v>7260.00000000016</v>
      </c>
      <c r="U153" s="63"/>
      <c r="V153" s="52"/>
      <c r="W153" s="52"/>
      <c r="X153" s="52"/>
      <c r="Y153" s="52"/>
      <c r="Z153" s="52"/>
      <c r="AA153" s="52"/>
      <c r="AB153" s="121"/>
    </row>
    <row r="154" spans="1:28">
      <c r="A154" s="56">
        <f t="shared" si="15"/>
        <v>156</v>
      </c>
      <c r="B154" s="111">
        <v>45899</v>
      </c>
      <c r="C154" s="29">
        <v>45899</v>
      </c>
      <c r="D154" s="52"/>
      <c r="E154" s="121"/>
      <c r="F154" s="122">
        <v>1070.33</v>
      </c>
      <c r="G154" s="52">
        <v>1064.26</v>
      </c>
      <c r="H154" s="52">
        <v>1066.65</v>
      </c>
      <c r="I154" s="52">
        <v>1102.71</v>
      </c>
      <c r="J154" s="52">
        <v>1109.58</v>
      </c>
      <c r="K154" s="52">
        <v>1110.57</v>
      </c>
      <c r="L154" s="52">
        <v>1093.18</v>
      </c>
      <c r="M154" s="123">
        <f t="shared" si="18"/>
        <v>7617.28</v>
      </c>
      <c r="N154" s="124">
        <f t="shared" si="19"/>
        <v>606.7</v>
      </c>
      <c r="O154" s="52">
        <v>609.23</v>
      </c>
      <c r="P154" s="52">
        <f t="shared" si="21"/>
        <v>7589.99999999992</v>
      </c>
      <c r="Q154" s="52">
        <f t="shared" si="20"/>
        <v>4.37</v>
      </c>
      <c r="R154" s="52">
        <v>4.39</v>
      </c>
      <c r="S154" s="52">
        <f t="shared" si="16"/>
        <v>59.9999999999987</v>
      </c>
      <c r="T154" s="121">
        <f t="shared" si="17"/>
        <v>7529.99999999992</v>
      </c>
      <c r="U154" s="63"/>
      <c r="V154" s="52"/>
      <c r="W154" s="52"/>
      <c r="X154" s="52"/>
      <c r="Y154" s="52"/>
      <c r="Z154" s="52"/>
      <c r="AA154" s="52"/>
      <c r="AB154" s="121"/>
    </row>
    <row r="155" spans="1:28">
      <c r="A155" s="56">
        <f t="shared" si="15"/>
        <v>157</v>
      </c>
      <c r="B155" s="111">
        <v>45900</v>
      </c>
      <c r="C155" s="29">
        <v>45900</v>
      </c>
      <c r="D155" s="52"/>
      <c r="E155" s="121"/>
      <c r="F155" s="122">
        <v>1194.42</v>
      </c>
      <c r="G155" s="52">
        <v>1186.18</v>
      </c>
      <c r="H155" s="52">
        <v>1186.65</v>
      </c>
      <c r="I155" s="52">
        <v>1227.8</v>
      </c>
      <c r="J155" s="52">
        <v>1233.98</v>
      </c>
      <c r="K155" s="52">
        <v>1234</v>
      </c>
      <c r="L155" s="52">
        <v>1213.34</v>
      </c>
      <c r="M155" s="123">
        <f t="shared" si="18"/>
        <v>8476.37</v>
      </c>
      <c r="N155" s="124">
        <f t="shared" si="19"/>
        <v>609.23</v>
      </c>
      <c r="O155" s="52">
        <v>612.05</v>
      </c>
      <c r="P155" s="52">
        <f t="shared" si="21"/>
        <v>8459.99999999981</v>
      </c>
      <c r="Q155" s="52">
        <f t="shared" si="20"/>
        <v>4.39</v>
      </c>
      <c r="R155" s="52">
        <v>4.41</v>
      </c>
      <c r="S155" s="52">
        <f t="shared" si="16"/>
        <v>60.0000000000014</v>
      </c>
      <c r="T155" s="121">
        <f t="shared" si="17"/>
        <v>8399.99999999981</v>
      </c>
      <c r="U155" s="63"/>
      <c r="V155" s="52"/>
      <c r="W155" s="52"/>
      <c r="X155" s="52"/>
      <c r="Y155" s="52"/>
      <c r="Z155" s="52"/>
      <c r="AA155" s="52"/>
      <c r="AB155" s="121"/>
    </row>
    <row r="156" spans="1:28">
      <c r="A156" s="56">
        <f t="shared" si="15"/>
        <v>158</v>
      </c>
      <c r="B156" s="111">
        <v>45901</v>
      </c>
      <c r="C156" s="29">
        <v>45901</v>
      </c>
      <c r="D156" s="52"/>
      <c r="E156" s="121"/>
      <c r="F156" s="122">
        <v>1172.96</v>
      </c>
      <c r="G156" s="52">
        <v>1168.97</v>
      </c>
      <c r="H156" s="52">
        <v>1171.56</v>
      </c>
      <c r="I156" s="52">
        <v>1207.19</v>
      </c>
      <c r="J156" s="52">
        <v>1217.57</v>
      </c>
      <c r="K156" s="52">
        <v>1216.48</v>
      </c>
      <c r="L156" s="52">
        <v>1193.17</v>
      </c>
      <c r="M156" s="123">
        <f t="shared" si="18"/>
        <v>8347.9</v>
      </c>
      <c r="N156" s="124">
        <f t="shared" si="19"/>
        <v>612.05</v>
      </c>
      <c r="O156" s="52">
        <v>614.82</v>
      </c>
      <c r="P156" s="52">
        <f t="shared" si="21"/>
        <v>8310.00000000029</v>
      </c>
      <c r="Q156" s="52">
        <f t="shared" si="20"/>
        <v>4.41</v>
      </c>
      <c r="R156" s="52">
        <v>4.43</v>
      </c>
      <c r="S156" s="52">
        <f t="shared" si="16"/>
        <v>59.9999999999987</v>
      </c>
      <c r="T156" s="121">
        <f t="shared" si="17"/>
        <v>8250.00000000029</v>
      </c>
      <c r="U156" s="63"/>
      <c r="V156" s="52"/>
      <c r="W156" s="52"/>
      <c r="X156" s="52"/>
      <c r="Y156" s="52"/>
      <c r="Z156" s="52"/>
      <c r="AA156" s="52"/>
      <c r="AB156" s="121"/>
    </row>
    <row r="157" spans="1:28">
      <c r="A157" s="56">
        <f t="shared" si="15"/>
        <v>159</v>
      </c>
      <c r="B157" s="111">
        <v>45902</v>
      </c>
      <c r="C157" s="29">
        <v>45902</v>
      </c>
      <c r="D157" s="52"/>
      <c r="E157" s="121"/>
      <c r="F157" s="122">
        <v>1585.16</v>
      </c>
      <c r="G157" s="52">
        <v>1583.2</v>
      </c>
      <c r="H157" s="52">
        <v>1589.02</v>
      </c>
      <c r="I157" s="52">
        <v>1631.07</v>
      </c>
      <c r="J157" s="52">
        <v>1650.45</v>
      </c>
      <c r="K157" s="52">
        <v>1653.96</v>
      </c>
      <c r="L157" s="52">
        <v>1621.93</v>
      </c>
      <c r="M157" s="123">
        <f t="shared" si="18"/>
        <v>11314.79</v>
      </c>
      <c r="N157" s="124">
        <f t="shared" si="19"/>
        <v>614.82</v>
      </c>
      <c r="O157" s="52">
        <v>618.57</v>
      </c>
      <c r="P157" s="52">
        <f t="shared" si="21"/>
        <v>11250</v>
      </c>
      <c r="Q157" s="52">
        <f t="shared" si="20"/>
        <v>4.43</v>
      </c>
      <c r="R157" s="52">
        <v>4.45</v>
      </c>
      <c r="S157" s="52">
        <f t="shared" si="16"/>
        <v>60.0000000000014</v>
      </c>
      <c r="T157" s="121">
        <f t="shared" si="17"/>
        <v>11190</v>
      </c>
      <c r="U157" s="63"/>
      <c r="V157" s="52"/>
      <c r="W157" s="52"/>
      <c r="X157" s="52"/>
      <c r="Y157" s="52"/>
      <c r="Z157" s="52"/>
      <c r="AA157" s="52"/>
      <c r="AB157" s="121"/>
    </row>
    <row r="158" spans="1:28">
      <c r="A158" s="56">
        <f t="shared" si="15"/>
        <v>160</v>
      </c>
      <c r="B158" s="111">
        <v>45903</v>
      </c>
      <c r="C158" s="29">
        <v>45903</v>
      </c>
      <c r="D158" s="52"/>
      <c r="E158" s="121"/>
      <c r="F158" s="122">
        <v>1647.29</v>
      </c>
      <c r="G158" s="52">
        <v>1642.62</v>
      </c>
      <c r="H158" s="52">
        <v>1646.67</v>
      </c>
      <c r="I158" s="52">
        <v>1680.48</v>
      </c>
      <c r="J158" s="52">
        <v>1702.37</v>
      </c>
      <c r="K158" s="52">
        <v>1700.21</v>
      </c>
      <c r="L158" s="52">
        <v>1663.4</v>
      </c>
      <c r="M158" s="123">
        <f t="shared" si="18"/>
        <v>11683.04</v>
      </c>
      <c r="N158" s="124">
        <f t="shared" si="19"/>
        <v>618.57</v>
      </c>
      <c r="O158" s="52">
        <v>622.46</v>
      </c>
      <c r="P158" s="52">
        <f t="shared" si="21"/>
        <v>11670</v>
      </c>
      <c r="Q158" s="52">
        <f t="shared" si="20"/>
        <v>4.45</v>
      </c>
      <c r="R158" s="52">
        <v>4.47</v>
      </c>
      <c r="S158" s="52">
        <f t="shared" si="16"/>
        <v>59.9999999999987</v>
      </c>
      <c r="T158" s="121">
        <f t="shared" si="17"/>
        <v>11610</v>
      </c>
      <c r="U158" s="63"/>
      <c r="V158" s="52"/>
      <c r="W158" s="52"/>
      <c r="X158" s="52"/>
      <c r="Y158" s="52"/>
      <c r="Z158" s="52"/>
      <c r="AA158" s="52"/>
      <c r="AB158" s="121"/>
    </row>
    <row r="159" spans="1:28">
      <c r="A159" s="56">
        <f t="shared" si="15"/>
        <v>161</v>
      </c>
      <c r="B159" s="111">
        <v>45904</v>
      </c>
      <c r="C159" s="29">
        <v>45904</v>
      </c>
      <c r="D159" s="52"/>
      <c r="E159" s="121"/>
      <c r="F159" s="122">
        <v>768.91</v>
      </c>
      <c r="G159" s="52">
        <v>765.45</v>
      </c>
      <c r="H159" s="52">
        <v>769.53</v>
      </c>
      <c r="I159" s="52">
        <v>802.1</v>
      </c>
      <c r="J159" s="52">
        <v>800.27</v>
      </c>
      <c r="K159" s="52">
        <v>799.9</v>
      </c>
      <c r="L159" s="52">
        <v>787.34</v>
      </c>
      <c r="M159" s="123">
        <f t="shared" si="18"/>
        <v>5493.5</v>
      </c>
      <c r="N159" s="124">
        <f t="shared" si="19"/>
        <v>622.46</v>
      </c>
      <c r="O159" s="52">
        <v>624.3</v>
      </c>
      <c r="P159" s="52">
        <f t="shared" si="21"/>
        <v>5519.99999999975</v>
      </c>
      <c r="Q159" s="52">
        <f t="shared" si="20"/>
        <v>4.47</v>
      </c>
      <c r="R159" s="52">
        <v>4.49</v>
      </c>
      <c r="S159" s="52">
        <f t="shared" si="16"/>
        <v>60.0000000000014</v>
      </c>
      <c r="T159" s="121">
        <f t="shared" si="17"/>
        <v>5459.99999999975</v>
      </c>
      <c r="U159" s="63"/>
      <c r="V159" s="52"/>
      <c r="W159" s="52"/>
      <c r="X159" s="52"/>
      <c r="Y159" s="52"/>
      <c r="Z159" s="52"/>
      <c r="AA159" s="52"/>
      <c r="AB159" s="121"/>
    </row>
    <row r="160" spans="1:28">
      <c r="A160" s="56">
        <f t="shared" si="15"/>
        <v>162</v>
      </c>
      <c r="B160" s="111">
        <v>45905</v>
      </c>
      <c r="C160" s="29">
        <v>45905</v>
      </c>
      <c r="D160" s="52"/>
      <c r="E160" s="121"/>
      <c r="F160" s="122">
        <v>685.56</v>
      </c>
      <c r="G160" s="52">
        <v>678.65</v>
      </c>
      <c r="H160" s="52">
        <v>683.28</v>
      </c>
      <c r="I160" s="52">
        <v>712.7</v>
      </c>
      <c r="J160" s="52">
        <v>708.56</v>
      </c>
      <c r="K160" s="52">
        <v>714.3</v>
      </c>
      <c r="L160" s="52">
        <v>693.48</v>
      </c>
      <c r="M160" s="123">
        <f t="shared" si="18"/>
        <v>4876.53</v>
      </c>
      <c r="N160" s="124">
        <f t="shared" si="19"/>
        <v>624.3</v>
      </c>
      <c r="O160" s="52">
        <v>625.93</v>
      </c>
      <c r="P160" s="52">
        <f t="shared" si="21"/>
        <v>4889.99999999999</v>
      </c>
      <c r="Q160" s="52">
        <f t="shared" si="20"/>
        <v>4.49</v>
      </c>
      <c r="R160" s="52">
        <v>4.51</v>
      </c>
      <c r="S160" s="52">
        <f t="shared" si="16"/>
        <v>59.9999999999987</v>
      </c>
      <c r="T160" s="121">
        <f t="shared" si="17"/>
        <v>4829.99999999999</v>
      </c>
      <c r="U160" s="63"/>
      <c r="V160" s="52"/>
      <c r="W160" s="52"/>
      <c r="X160" s="52"/>
      <c r="Y160" s="52"/>
      <c r="Z160" s="52"/>
      <c r="AA160" s="52"/>
      <c r="AB160" s="121"/>
    </row>
    <row r="161" spans="1:28">
      <c r="A161" s="56">
        <f t="shared" si="15"/>
        <v>163</v>
      </c>
      <c r="B161" s="111">
        <v>45906</v>
      </c>
      <c r="C161" s="29">
        <v>45906</v>
      </c>
      <c r="D161" s="52"/>
      <c r="E161" s="121"/>
      <c r="F161" s="122">
        <v>511.93</v>
      </c>
      <c r="G161" s="52">
        <v>510.59</v>
      </c>
      <c r="H161" s="52">
        <v>515.68</v>
      </c>
      <c r="I161" s="52">
        <v>536.31</v>
      </c>
      <c r="J161" s="52">
        <v>534.34</v>
      </c>
      <c r="K161" s="52">
        <v>534.56</v>
      </c>
      <c r="L161" s="52">
        <v>528.71</v>
      </c>
      <c r="M161" s="123">
        <f t="shared" si="18"/>
        <v>3672.12</v>
      </c>
      <c r="N161" s="124">
        <f t="shared" si="19"/>
        <v>625.93</v>
      </c>
      <c r="O161" s="52">
        <v>627.15</v>
      </c>
      <c r="P161" s="52">
        <f t="shared" si="21"/>
        <v>3660.00000000008</v>
      </c>
      <c r="Q161" s="52">
        <f t="shared" si="20"/>
        <v>4.51</v>
      </c>
      <c r="R161" s="52">
        <v>4.53</v>
      </c>
      <c r="S161" s="52">
        <f t="shared" si="16"/>
        <v>60.0000000000014</v>
      </c>
      <c r="T161" s="121">
        <f t="shared" si="17"/>
        <v>3600.00000000008</v>
      </c>
      <c r="U161" s="63"/>
      <c r="V161" s="52"/>
      <c r="W161" s="52"/>
      <c r="X161" s="52"/>
      <c r="Y161" s="52"/>
      <c r="Z161" s="52"/>
      <c r="AA161" s="52"/>
      <c r="AB161" s="121"/>
    </row>
    <row r="162" spans="1:28">
      <c r="A162" s="56">
        <f t="shared" si="15"/>
        <v>164</v>
      </c>
      <c r="B162" s="111">
        <v>45907</v>
      </c>
      <c r="C162" s="29">
        <v>45907</v>
      </c>
      <c r="D162" s="52"/>
      <c r="E162" s="121"/>
      <c r="F162" s="122">
        <v>485.9</v>
      </c>
      <c r="G162" s="52">
        <v>482.71</v>
      </c>
      <c r="H162" s="52">
        <v>486.8</v>
      </c>
      <c r="I162" s="52">
        <v>507.92</v>
      </c>
      <c r="J162" s="52">
        <v>501.93</v>
      </c>
      <c r="K162" s="52">
        <v>501.45</v>
      </c>
      <c r="L162" s="52">
        <v>495.72</v>
      </c>
      <c r="M162" s="123">
        <f t="shared" si="18"/>
        <v>3462.43</v>
      </c>
      <c r="N162" s="124">
        <f t="shared" si="19"/>
        <v>627.15</v>
      </c>
      <c r="O162" s="52">
        <v>628.3</v>
      </c>
      <c r="P162" s="52">
        <f t="shared" si="21"/>
        <v>3449.99999999993</v>
      </c>
      <c r="Q162" s="52">
        <f t="shared" si="20"/>
        <v>4.53</v>
      </c>
      <c r="R162" s="52">
        <v>4.55</v>
      </c>
      <c r="S162" s="52">
        <f t="shared" si="16"/>
        <v>59.9999999999987</v>
      </c>
      <c r="T162" s="121">
        <f t="shared" si="17"/>
        <v>3389.99999999993</v>
      </c>
      <c r="U162" s="63"/>
      <c r="V162" s="52"/>
      <c r="W162" s="52"/>
      <c r="X162" s="52"/>
      <c r="Y162" s="52"/>
      <c r="Z162" s="52"/>
      <c r="AA162" s="52"/>
      <c r="AB162" s="121"/>
    </row>
    <row r="163" spans="1:28">
      <c r="A163" s="56">
        <f t="shared" si="15"/>
        <v>165</v>
      </c>
      <c r="B163" s="111">
        <v>45908</v>
      </c>
      <c r="C163" s="29">
        <v>45908</v>
      </c>
      <c r="D163" s="52"/>
      <c r="E163" s="121"/>
      <c r="F163" s="122">
        <v>552.99</v>
      </c>
      <c r="G163" s="52">
        <v>550.66</v>
      </c>
      <c r="H163" s="52">
        <v>556.27</v>
      </c>
      <c r="I163" s="52">
        <v>579.1</v>
      </c>
      <c r="J163" s="52">
        <v>577.33</v>
      </c>
      <c r="K163" s="52">
        <v>577.94</v>
      </c>
      <c r="L163" s="52">
        <v>577</v>
      </c>
      <c r="M163" s="123">
        <f t="shared" si="18"/>
        <v>3971.29</v>
      </c>
      <c r="N163" s="124">
        <f t="shared" si="19"/>
        <v>628.3</v>
      </c>
      <c r="O163" s="52">
        <v>629.62</v>
      </c>
      <c r="P163" s="52">
        <f t="shared" si="21"/>
        <v>3960.00000000015</v>
      </c>
      <c r="Q163" s="52">
        <f t="shared" si="20"/>
        <v>4.55</v>
      </c>
      <c r="R163" s="52">
        <v>4.57</v>
      </c>
      <c r="S163" s="52">
        <f t="shared" si="16"/>
        <v>60.0000000000014</v>
      </c>
      <c r="T163" s="121">
        <f t="shared" si="17"/>
        <v>3900.00000000015</v>
      </c>
      <c r="U163" s="63"/>
      <c r="V163" s="52"/>
      <c r="W163" s="52"/>
      <c r="X163" s="52"/>
      <c r="Y163" s="52"/>
      <c r="Z163" s="52"/>
      <c r="AA163" s="52"/>
      <c r="AB163" s="121"/>
    </row>
    <row r="164" spans="1:28">
      <c r="A164" s="56">
        <f t="shared" si="15"/>
        <v>166</v>
      </c>
      <c r="B164" s="111">
        <v>45909</v>
      </c>
      <c r="C164" s="29">
        <v>45909</v>
      </c>
      <c r="D164" s="52"/>
      <c r="E164" s="121"/>
      <c r="F164" s="122">
        <v>1435.84</v>
      </c>
      <c r="G164" s="52">
        <v>1429.3</v>
      </c>
      <c r="H164" s="52">
        <v>1430.79</v>
      </c>
      <c r="I164" s="52">
        <v>1465.01</v>
      </c>
      <c r="J164" s="52">
        <v>1477.49</v>
      </c>
      <c r="K164" s="52">
        <v>1475.09</v>
      </c>
      <c r="L164" s="52">
        <v>1450.45</v>
      </c>
      <c r="M164" s="123">
        <f t="shared" si="18"/>
        <v>10163.97</v>
      </c>
      <c r="N164" s="124">
        <f t="shared" si="19"/>
        <v>629.62</v>
      </c>
      <c r="O164" s="52">
        <v>633</v>
      </c>
      <c r="P164" s="52">
        <f t="shared" si="21"/>
        <v>10140</v>
      </c>
      <c r="Q164" s="52">
        <f t="shared" si="20"/>
        <v>4.57</v>
      </c>
      <c r="R164" s="52">
        <v>4.59</v>
      </c>
      <c r="S164" s="52">
        <f t="shared" si="16"/>
        <v>59.9999999999987</v>
      </c>
      <c r="T164" s="121">
        <f t="shared" si="17"/>
        <v>10080</v>
      </c>
      <c r="U164" s="63"/>
      <c r="V164" s="52"/>
      <c r="W164" s="52"/>
      <c r="X164" s="52"/>
      <c r="Y164" s="52"/>
      <c r="Z164" s="52"/>
      <c r="AA164" s="52"/>
      <c r="AB164" s="121"/>
    </row>
    <row r="165" spans="1:28">
      <c r="A165" s="56">
        <f t="shared" si="15"/>
        <v>167</v>
      </c>
      <c r="B165" s="111">
        <v>45910</v>
      </c>
      <c r="C165" s="29">
        <v>45910</v>
      </c>
      <c r="D165" s="52"/>
      <c r="E165" s="121"/>
      <c r="F165" s="122">
        <v>1658.62</v>
      </c>
      <c r="G165" s="52">
        <v>1658.39</v>
      </c>
      <c r="H165" s="52">
        <v>1664.46</v>
      </c>
      <c r="I165" s="52">
        <v>1704.36</v>
      </c>
      <c r="J165" s="52">
        <v>1721.77</v>
      </c>
      <c r="K165" s="52">
        <v>1719.3</v>
      </c>
      <c r="L165" s="52">
        <v>1676.61</v>
      </c>
      <c r="M165" s="123">
        <f t="shared" si="18"/>
        <v>11803.51</v>
      </c>
      <c r="N165" s="124">
        <f t="shared" si="19"/>
        <v>633</v>
      </c>
      <c r="O165" s="52">
        <v>636.92</v>
      </c>
      <c r="P165" s="52">
        <f t="shared" si="21"/>
        <v>11759.9999999999</v>
      </c>
      <c r="Q165" s="52">
        <f t="shared" si="20"/>
        <v>4.59</v>
      </c>
      <c r="R165" s="52">
        <v>4.61</v>
      </c>
      <c r="S165" s="52">
        <f t="shared" si="16"/>
        <v>60.0000000000014</v>
      </c>
      <c r="T165" s="121">
        <f t="shared" si="17"/>
        <v>11699.9999999999</v>
      </c>
      <c r="U165" s="63"/>
      <c r="V165" s="52"/>
      <c r="W165" s="52"/>
      <c r="X165" s="52"/>
      <c r="Y165" s="52"/>
      <c r="Z165" s="52"/>
      <c r="AA165" s="52"/>
      <c r="AB165" s="121"/>
    </row>
    <row r="166" spans="1:28">
      <c r="A166" s="56">
        <f t="shared" si="15"/>
        <v>168</v>
      </c>
      <c r="B166" s="111">
        <v>45911</v>
      </c>
      <c r="C166" s="29">
        <v>45911</v>
      </c>
      <c r="D166" s="52"/>
      <c r="E166" s="121"/>
      <c r="F166" s="122">
        <v>1792.66</v>
      </c>
      <c r="G166" s="52">
        <v>1790.45</v>
      </c>
      <c r="H166" s="52">
        <v>1793.54</v>
      </c>
      <c r="I166" s="52">
        <v>1832.29</v>
      </c>
      <c r="J166" s="52">
        <v>1867.32</v>
      </c>
      <c r="K166" s="52">
        <v>1874.2</v>
      </c>
      <c r="L166" s="52">
        <v>1831.76</v>
      </c>
      <c r="M166" s="123">
        <f t="shared" si="18"/>
        <v>12782.22</v>
      </c>
      <c r="N166" s="124">
        <f t="shared" si="19"/>
        <v>636.92</v>
      </c>
      <c r="O166" s="52">
        <v>641.15</v>
      </c>
      <c r="P166" s="52">
        <f t="shared" si="21"/>
        <v>12690.0000000001</v>
      </c>
      <c r="Q166" s="52">
        <f t="shared" si="20"/>
        <v>4.61</v>
      </c>
      <c r="R166" s="52">
        <v>4.63</v>
      </c>
      <c r="S166" s="52">
        <f t="shared" si="16"/>
        <v>59.9999999999987</v>
      </c>
      <c r="T166" s="121">
        <f t="shared" si="17"/>
        <v>12630.0000000001</v>
      </c>
      <c r="U166" s="63"/>
      <c r="V166" s="52"/>
      <c r="W166" s="52"/>
      <c r="X166" s="52"/>
      <c r="Y166" s="52"/>
      <c r="Z166" s="52"/>
      <c r="AA166" s="52"/>
      <c r="AB166" s="121"/>
    </row>
    <row r="167" spans="1:28">
      <c r="A167" s="56">
        <f t="shared" si="15"/>
        <v>169</v>
      </c>
      <c r="B167" s="111">
        <v>45912</v>
      </c>
      <c r="C167" s="29">
        <v>45912</v>
      </c>
      <c r="D167" s="52"/>
      <c r="E167" s="121"/>
      <c r="F167" s="122">
        <v>1901.78</v>
      </c>
      <c r="G167" s="52">
        <v>1904.48</v>
      </c>
      <c r="H167" s="52">
        <v>1910.4</v>
      </c>
      <c r="I167" s="52">
        <v>1923.35</v>
      </c>
      <c r="J167" s="52">
        <v>1989.51</v>
      </c>
      <c r="K167" s="52">
        <v>1972.77</v>
      </c>
      <c r="L167" s="52">
        <v>1926.45</v>
      </c>
      <c r="M167" s="123">
        <f t="shared" si="18"/>
        <v>13528.74</v>
      </c>
      <c r="N167" s="124">
        <f t="shared" si="19"/>
        <v>641.15</v>
      </c>
      <c r="O167" s="52">
        <v>645.62</v>
      </c>
      <c r="P167" s="52">
        <f t="shared" si="21"/>
        <v>13410.0000000001</v>
      </c>
      <c r="Q167" s="52">
        <f t="shared" si="20"/>
        <v>4.63</v>
      </c>
      <c r="R167" s="52">
        <v>4.65</v>
      </c>
      <c r="S167" s="52">
        <f t="shared" si="16"/>
        <v>60.0000000000014</v>
      </c>
      <c r="T167" s="121">
        <f t="shared" si="17"/>
        <v>13350.0000000001</v>
      </c>
      <c r="U167" s="63"/>
      <c r="V167" s="52"/>
      <c r="W167" s="52"/>
      <c r="X167" s="52"/>
      <c r="Y167" s="52"/>
      <c r="Z167" s="52"/>
      <c r="AA167" s="52"/>
      <c r="AB167" s="121"/>
    </row>
    <row r="168" spans="1:28">
      <c r="A168" s="56">
        <f t="shared" si="15"/>
        <v>170</v>
      </c>
      <c r="B168" s="111">
        <v>45913</v>
      </c>
      <c r="C168" s="29">
        <v>45913</v>
      </c>
      <c r="D168" s="52"/>
      <c r="E168" s="121"/>
      <c r="F168" s="122">
        <v>1595.34</v>
      </c>
      <c r="G168" s="52">
        <v>1598.08</v>
      </c>
      <c r="H168" s="52">
        <v>1607.31</v>
      </c>
      <c r="I168" s="52">
        <v>1631.96</v>
      </c>
      <c r="J168" s="52">
        <v>1681.23</v>
      </c>
      <c r="K168" s="52">
        <v>1677.37</v>
      </c>
      <c r="L168" s="52">
        <v>1650.8</v>
      </c>
      <c r="M168" s="123">
        <f t="shared" si="18"/>
        <v>11442.09</v>
      </c>
      <c r="N168" s="124">
        <f t="shared" si="19"/>
        <v>645.62</v>
      </c>
      <c r="O168" s="52">
        <v>649.43</v>
      </c>
      <c r="P168" s="52">
        <f t="shared" si="21"/>
        <v>11429.9999999998</v>
      </c>
      <c r="Q168" s="52">
        <f t="shared" si="20"/>
        <v>4.65</v>
      </c>
      <c r="R168" s="52">
        <v>4.67</v>
      </c>
      <c r="S168" s="52">
        <f t="shared" si="16"/>
        <v>59.9999999999987</v>
      </c>
      <c r="T168" s="121">
        <f t="shared" si="17"/>
        <v>11369.9999999998</v>
      </c>
      <c r="U168" s="63"/>
      <c r="V168" s="52"/>
      <c r="W168" s="52"/>
      <c r="X168" s="52"/>
      <c r="Y168" s="52"/>
      <c r="Z168" s="52"/>
      <c r="AA168" s="52"/>
      <c r="AB168" s="121"/>
    </row>
    <row r="169" spans="1:28">
      <c r="A169" s="56">
        <f t="shared" si="15"/>
        <v>171</v>
      </c>
      <c r="B169" s="111">
        <v>45914</v>
      </c>
      <c r="C169" s="29">
        <v>45914</v>
      </c>
      <c r="D169" s="52"/>
      <c r="E169" s="121"/>
      <c r="F169" s="122">
        <v>1233.86</v>
      </c>
      <c r="G169" s="52">
        <v>1238.35</v>
      </c>
      <c r="H169" s="52">
        <v>1245.1</v>
      </c>
      <c r="I169" s="52">
        <v>1276.06</v>
      </c>
      <c r="J169" s="52">
        <v>1292.63</v>
      </c>
      <c r="K169" s="52">
        <v>1294.5</v>
      </c>
      <c r="L169" s="52">
        <v>1266.49</v>
      </c>
      <c r="M169" s="123">
        <f t="shared" si="18"/>
        <v>8846.99</v>
      </c>
      <c r="N169" s="124">
        <f t="shared" si="19"/>
        <v>649.43</v>
      </c>
      <c r="O169" s="52">
        <v>652.37</v>
      </c>
      <c r="P169" s="52">
        <f t="shared" si="21"/>
        <v>8820.00000000016</v>
      </c>
      <c r="Q169" s="52">
        <f t="shared" si="20"/>
        <v>4.67</v>
      </c>
      <c r="R169" s="52">
        <v>4.68</v>
      </c>
      <c r="S169" s="52">
        <f t="shared" si="16"/>
        <v>29.9999999999994</v>
      </c>
      <c r="T169" s="121">
        <f t="shared" si="17"/>
        <v>8790.00000000016</v>
      </c>
      <c r="U169" s="63"/>
      <c r="V169" s="52"/>
      <c r="W169" s="52"/>
      <c r="X169" s="52"/>
      <c r="Y169" s="52"/>
      <c r="Z169" s="52"/>
      <c r="AA169" s="52"/>
      <c r="AB169" s="121"/>
    </row>
    <row r="170" spans="1:28">
      <c r="A170" s="56">
        <f t="shared" si="15"/>
        <v>172</v>
      </c>
      <c r="B170" s="111">
        <v>45915</v>
      </c>
      <c r="C170" s="29">
        <v>45915</v>
      </c>
      <c r="D170" s="52"/>
      <c r="E170" s="121"/>
      <c r="F170" s="122">
        <v>1003.59</v>
      </c>
      <c r="G170" s="52">
        <v>993.83</v>
      </c>
      <c r="H170" s="52">
        <v>997.67</v>
      </c>
      <c r="I170" s="52">
        <v>1040.05</v>
      </c>
      <c r="J170" s="52">
        <v>1038.72</v>
      </c>
      <c r="K170" s="52">
        <v>1037.57</v>
      </c>
      <c r="L170" s="52">
        <v>1015.62</v>
      </c>
      <c r="M170" s="123">
        <f t="shared" si="18"/>
        <v>7127.05</v>
      </c>
      <c r="N170" s="124">
        <f t="shared" si="19"/>
        <v>652.37</v>
      </c>
      <c r="O170" s="52">
        <v>654.74</v>
      </c>
      <c r="P170" s="52">
        <f t="shared" si="21"/>
        <v>7110.00000000001</v>
      </c>
      <c r="Q170" s="52">
        <f t="shared" si="20"/>
        <v>4.68</v>
      </c>
      <c r="R170" s="52">
        <v>4.71</v>
      </c>
      <c r="S170" s="52">
        <f t="shared" si="16"/>
        <v>90.0000000000007</v>
      </c>
      <c r="T170" s="121">
        <f t="shared" si="17"/>
        <v>7020.00000000001</v>
      </c>
      <c r="U170" s="63"/>
      <c r="V170" s="52"/>
      <c r="W170" s="52"/>
      <c r="X170" s="52"/>
      <c r="Y170" s="52"/>
      <c r="Z170" s="52"/>
      <c r="AA170" s="52"/>
      <c r="AB170" s="121"/>
    </row>
    <row r="171" spans="1:28">
      <c r="A171" s="56">
        <f t="shared" si="15"/>
        <v>173</v>
      </c>
      <c r="B171" s="111">
        <v>45916</v>
      </c>
      <c r="C171" s="29">
        <v>45916</v>
      </c>
      <c r="D171" s="52"/>
      <c r="E171" s="121"/>
      <c r="F171" s="52">
        <v>1727.58</v>
      </c>
      <c r="G171" s="52">
        <v>1736.36</v>
      </c>
      <c r="H171" s="52">
        <v>1752.37</v>
      </c>
      <c r="I171" s="52">
        <v>1787.37</v>
      </c>
      <c r="J171" s="52">
        <v>1833.35</v>
      </c>
      <c r="K171" s="52">
        <v>1820.84</v>
      </c>
      <c r="L171" s="52">
        <v>1793.58</v>
      </c>
      <c r="M171" s="123">
        <f t="shared" si="18"/>
        <v>12451.45</v>
      </c>
      <c r="N171" s="124">
        <f t="shared" si="19"/>
        <v>654.74</v>
      </c>
      <c r="O171" s="52">
        <v>658.86</v>
      </c>
      <c r="P171" s="52">
        <f t="shared" si="21"/>
        <v>12360</v>
      </c>
      <c r="Q171" s="52">
        <f t="shared" si="20"/>
        <v>4.71</v>
      </c>
      <c r="R171" s="52">
        <v>4.72</v>
      </c>
      <c r="S171" s="52">
        <f t="shared" si="16"/>
        <v>29.9999999999994</v>
      </c>
      <c r="T171" s="121">
        <f t="shared" si="17"/>
        <v>12330</v>
      </c>
      <c r="U171" s="63"/>
      <c r="V171" s="52"/>
      <c r="W171" s="52"/>
      <c r="X171" s="52"/>
      <c r="Y171" s="52"/>
      <c r="Z171" s="52"/>
      <c r="AA171" s="52"/>
      <c r="AB171" s="121"/>
    </row>
    <row r="172" spans="1:28">
      <c r="A172" s="56">
        <f t="shared" si="15"/>
        <v>174</v>
      </c>
      <c r="B172" s="111">
        <v>45917</v>
      </c>
      <c r="C172" s="29">
        <v>45917</v>
      </c>
      <c r="D172" s="52"/>
      <c r="E172" s="121"/>
      <c r="F172" s="122">
        <v>896.62</v>
      </c>
      <c r="G172" s="52">
        <v>891.07</v>
      </c>
      <c r="H172" s="52">
        <v>897</v>
      </c>
      <c r="I172" s="52">
        <v>921.39</v>
      </c>
      <c r="J172" s="52">
        <v>930.06</v>
      </c>
      <c r="K172" s="52">
        <v>919.44</v>
      </c>
      <c r="L172" s="52">
        <v>893.03</v>
      </c>
      <c r="M172" s="123">
        <f t="shared" si="18"/>
        <v>6348.61</v>
      </c>
      <c r="N172" s="124">
        <f t="shared" si="19"/>
        <v>658.86</v>
      </c>
      <c r="O172" s="52">
        <v>660.97</v>
      </c>
      <c r="P172" s="52">
        <f t="shared" si="21"/>
        <v>6330.00000000004</v>
      </c>
      <c r="Q172" s="52">
        <f t="shared" si="20"/>
        <v>4.72</v>
      </c>
      <c r="R172" s="52">
        <v>4.74</v>
      </c>
      <c r="S172" s="52">
        <f t="shared" si="16"/>
        <v>60.0000000000014</v>
      </c>
      <c r="T172" s="121">
        <f t="shared" si="17"/>
        <v>6270.00000000004</v>
      </c>
      <c r="U172" s="63"/>
      <c r="V172" s="52"/>
      <c r="W172" s="52"/>
      <c r="X172" s="52"/>
      <c r="Y172" s="52"/>
      <c r="Z172" s="52"/>
      <c r="AA172" s="52"/>
      <c r="AB172" s="121"/>
    </row>
    <row r="173" spans="1:28">
      <c r="A173" s="56">
        <f t="shared" si="15"/>
        <v>175</v>
      </c>
      <c r="B173" s="111">
        <v>45918</v>
      </c>
      <c r="C173" s="29">
        <v>45918</v>
      </c>
      <c r="D173" s="52"/>
      <c r="E173" s="121"/>
      <c r="F173" s="122">
        <v>1872.05</v>
      </c>
      <c r="G173" s="52">
        <v>1858.5</v>
      </c>
      <c r="H173" s="52">
        <v>1894.38</v>
      </c>
      <c r="I173" s="52">
        <v>1909.91</v>
      </c>
      <c r="J173" s="52">
        <v>1966.16</v>
      </c>
      <c r="K173" s="52">
        <v>1912.65</v>
      </c>
      <c r="L173" s="52">
        <v>1875.66</v>
      </c>
      <c r="M173" s="123">
        <f t="shared" si="18"/>
        <v>13289.31</v>
      </c>
      <c r="N173" s="124">
        <f t="shared" si="19"/>
        <v>660.97</v>
      </c>
      <c r="O173" s="52">
        <v>665.36</v>
      </c>
      <c r="P173" s="52">
        <f t="shared" si="21"/>
        <v>13170</v>
      </c>
      <c r="Q173" s="52">
        <f t="shared" si="20"/>
        <v>4.74</v>
      </c>
      <c r="R173" s="52">
        <v>4.76</v>
      </c>
      <c r="S173" s="52">
        <f t="shared" si="16"/>
        <v>59.9999999999987</v>
      </c>
      <c r="T173" s="121">
        <f t="shared" si="17"/>
        <v>13110</v>
      </c>
      <c r="U173" s="63"/>
      <c r="V173" s="52"/>
      <c r="W173" s="52"/>
      <c r="X173" s="52"/>
      <c r="Y173" s="52"/>
      <c r="Z173" s="52"/>
      <c r="AA173" s="52"/>
      <c r="AB173" s="121"/>
    </row>
    <row r="174" spans="1:28">
      <c r="A174" s="56">
        <f t="shared" si="15"/>
        <v>176</v>
      </c>
      <c r="B174" s="111">
        <v>45919</v>
      </c>
      <c r="C174" s="29">
        <v>45919</v>
      </c>
      <c r="D174" s="52"/>
      <c r="E174" s="121"/>
      <c r="F174" s="122">
        <v>1717.23</v>
      </c>
      <c r="G174" s="52">
        <v>1715.6</v>
      </c>
      <c r="H174" s="52">
        <v>1721.88</v>
      </c>
      <c r="I174" s="52">
        <v>1731.23</v>
      </c>
      <c r="J174" s="52">
        <v>1762.21</v>
      </c>
      <c r="K174" s="52">
        <v>1757.34</v>
      </c>
      <c r="L174" s="52">
        <v>1743.16</v>
      </c>
      <c r="M174" s="123">
        <f t="shared" si="18"/>
        <v>12148.65</v>
      </c>
      <c r="N174" s="124">
        <f t="shared" si="19"/>
        <v>665.36</v>
      </c>
      <c r="O174" s="52">
        <v>669.38</v>
      </c>
      <c r="P174" s="52">
        <f t="shared" si="21"/>
        <v>12059.9999999999</v>
      </c>
      <c r="Q174" s="52">
        <f t="shared" si="20"/>
        <v>4.76</v>
      </c>
      <c r="R174" s="52">
        <v>4.78</v>
      </c>
      <c r="S174" s="52">
        <f t="shared" si="16"/>
        <v>60.0000000000014</v>
      </c>
      <c r="T174" s="121">
        <f t="shared" si="17"/>
        <v>11999.9999999999</v>
      </c>
      <c r="U174" s="63"/>
      <c r="V174" s="52"/>
      <c r="W174" s="52"/>
      <c r="X174" s="52"/>
      <c r="Y174" s="52"/>
      <c r="Z174" s="52"/>
      <c r="AA174" s="52"/>
      <c r="AB174" s="121"/>
    </row>
    <row r="175" spans="1:28">
      <c r="A175" s="56">
        <f t="shared" si="15"/>
        <v>177</v>
      </c>
      <c r="B175" s="111">
        <v>45920</v>
      </c>
      <c r="C175" s="29">
        <v>45920</v>
      </c>
      <c r="D175" s="52"/>
      <c r="E175" s="121"/>
      <c r="F175" s="122">
        <v>924.55</v>
      </c>
      <c r="G175" s="52">
        <v>918.24</v>
      </c>
      <c r="H175" s="52">
        <v>920.04</v>
      </c>
      <c r="I175" s="52">
        <v>953.62</v>
      </c>
      <c r="J175" s="52">
        <v>962.69</v>
      </c>
      <c r="K175" s="52">
        <v>964.06</v>
      </c>
      <c r="L175" s="52">
        <v>944.77</v>
      </c>
      <c r="M175" s="123">
        <f t="shared" si="18"/>
        <v>6587.97</v>
      </c>
      <c r="N175" s="124">
        <f t="shared" si="19"/>
        <v>669.38</v>
      </c>
      <c r="O175" s="52">
        <v>671.51</v>
      </c>
      <c r="P175" s="52">
        <f t="shared" si="21"/>
        <v>6389.99999999999</v>
      </c>
      <c r="Q175" s="52">
        <f t="shared" si="20"/>
        <v>4.78</v>
      </c>
      <c r="R175" s="52">
        <v>4.8</v>
      </c>
      <c r="S175" s="52">
        <f t="shared" si="16"/>
        <v>59.9999999999987</v>
      </c>
      <c r="T175" s="121">
        <f t="shared" si="17"/>
        <v>6329.99999999999</v>
      </c>
      <c r="U175" s="63"/>
      <c r="V175" s="52"/>
      <c r="W175" s="52"/>
      <c r="X175" s="52"/>
      <c r="Y175" s="52"/>
      <c r="Z175" s="52"/>
      <c r="AA175" s="52"/>
      <c r="AB175" s="121"/>
    </row>
    <row r="176" spans="1:28">
      <c r="A176" s="56">
        <f t="shared" si="15"/>
        <v>178</v>
      </c>
      <c r="B176" s="111">
        <v>45921</v>
      </c>
      <c r="C176" s="29">
        <v>45921</v>
      </c>
      <c r="D176" s="80">
        <v>0.302083333333333</v>
      </c>
      <c r="E176" s="127">
        <v>0.760416666666667</v>
      </c>
      <c r="F176" s="122">
        <v>1384.24</v>
      </c>
      <c r="G176" s="52">
        <v>1382.32</v>
      </c>
      <c r="H176" s="52">
        <v>1375.68</v>
      </c>
      <c r="I176" s="52">
        <v>1424.23</v>
      </c>
      <c r="J176" s="52">
        <v>1433.01</v>
      </c>
      <c r="K176" s="52">
        <v>1430.51</v>
      </c>
      <c r="L176" s="52">
        <v>1387.89</v>
      </c>
      <c r="M176" s="123">
        <f t="shared" si="18"/>
        <v>9817.88</v>
      </c>
      <c r="N176" s="124">
        <f t="shared" si="19"/>
        <v>671.51</v>
      </c>
      <c r="O176" s="52">
        <v>674.82</v>
      </c>
      <c r="P176" s="52">
        <f t="shared" si="21"/>
        <v>9930.00000000018</v>
      </c>
      <c r="Q176" s="52">
        <f t="shared" si="20"/>
        <v>4.8</v>
      </c>
      <c r="R176" s="52">
        <v>4.82</v>
      </c>
      <c r="S176" s="52">
        <f t="shared" si="16"/>
        <v>60.0000000000014</v>
      </c>
      <c r="T176" s="121">
        <f t="shared" si="17"/>
        <v>9870.00000000018</v>
      </c>
      <c r="U176" s="63"/>
      <c r="V176" s="52">
        <v>2.9</v>
      </c>
      <c r="W176" s="52">
        <v>29.51</v>
      </c>
      <c r="X176" s="52"/>
      <c r="Y176" s="52"/>
      <c r="Z176" s="52"/>
      <c r="AA176" s="52"/>
      <c r="AB176" s="121" t="s">
        <v>73</v>
      </c>
    </row>
    <row r="177" spans="1:28">
      <c r="A177" s="56">
        <f t="shared" si="15"/>
        <v>179</v>
      </c>
      <c r="B177" s="111">
        <v>45922</v>
      </c>
      <c r="C177" s="29">
        <v>45922</v>
      </c>
      <c r="D177" s="80">
        <v>0.302083333333333</v>
      </c>
      <c r="E177" s="127">
        <v>0.760416666666667</v>
      </c>
      <c r="F177" s="122">
        <v>1236.11</v>
      </c>
      <c r="G177" s="52">
        <v>1232</v>
      </c>
      <c r="H177" s="52">
        <v>1238.91</v>
      </c>
      <c r="I177" s="52">
        <v>1280.14</v>
      </c>
      <c r="J177" s="52">
        <v>1304.01</v>
      </c>
      <c r="K177" s="52">
        <v>1306.95</v>
      </c>
      <c r="L177" s="52">
        <v>1270.86</v>
      </c>
      <c r="M177" s="123">
        <f t="shared" si="18"/>
        <v>8868.98</v>
      </c>
      <c r="N177" s="124">
        <f t="shared" si="19"/>
        <v>674.82</v>
      </c>
      <c r="O177" s="52">
        <v>677.76</v>
      </c>
      <c r="P177" s="52">
        <f t="shared" si="21"/>
        <v>8819.99999999982</v>
      </c>
      <c r="Q177" s="52">
        <f t="shared" si="20"/>
        <v>4.82</v>
      </c>
      <c r="R177" s="52">
        <v>4.84</v>
      </c>
      <c r="S177" s="52">
        <f t="shared" si="16"/>
        <v>59.9999999999987</v>
      </c>
      <c r="T177" s="121">
        <f t="shared" si="17"/>
        <v>8759.99999999982</v>
      </c>
      <c r="U177" s="63"/>
      <c r="V177" s="52">
        <v>3.72</v>
      </c>
      <c r="W177" s="52">
        <v>28.93</v>
      </c>
      <c r="X177" s="52"/>
      <c r="Y177" s="52"/>
      <c r="Z177" s="52"/>
      <c r="AA177" s="52"/>
      <c r="AB177" s="121" t="s">
        <v>73</v>
      </c>
    </row>
    <row r="178" spans="1:28">
      <c r="A178" s="56">
        <f t="shared" si="15"/>
        <v>180</v>
      </c>
      <c r="B178" s="111">
        <v>45923</v>
      </c>
      <c r="C178" s="29">
        <v>45923</v>
      </c>
      <c r="D178" s="80">
        <v>0.291666666666667</v>
      </c>
      <c r="E178" s="127">
        <v>0.760416666666667</v>
      </c>
      <c r="F178" s="122">
        <v>1953.01</v>
      </c>
      <c r="G178" s="52">
        <v>1961.73</v>
      </c>
      <c r="H178" s="52">
        <v>1978.1</v>
      </c>
      <c r="I178" s="52">
        <v>2009.22</v>
      </c>
      <c r="J178" s="52">
        <v>2064.14</v>
      </c>
      <c r="K178" s="52">
        <v>2058.93</v>
      </c>
      <c r="L178" s="52">
        <v>2012.07</v>
      </c>
      <c r="M178" s="123">
        <f t="shared" si="18"/>
        <v>14037.2</v>
      </c>
      <c r="N178" s="124">
        <f t="shared" si="19"/>
        <v>677.76</v>
      </c>
      <c r="O178" s="52">
        <v>682.4</v>
      </c>
      <c r="P178" s="52">
        <f t="shared" si="21"/>
        <v>13920</v>
      </c>
      <c r="Q178" s="52">
        <f t="shared" si="20"/>
        <v>4.84</v>
      </c>
      <c r="R178" s="52">
        <v>4.86</v>
      </c>
      <c r="S178" s="52">
        <f t="shared" si="16"/>
        <v>60.0000000000014</v>
      </c>
      <c r="T178" s="121">
        <f t="shared" si="17"/>
        <v>13860</v>
      </c>
      <c r="U178" s="63"/>
      <c r="V178" s="52">
        <v>3.28</v>
      </c>
      <c r="W178" s="52">
        <v>30.41</v>
      </c>
      <c r="X178" s="52"/>
      <c r="Y178" s="52"/>
      <c r="Z178" s="52"/>
      <c r="AA178" s="52"/>
      <c r="AB178" s="121" t="s">
        <v>70</v>
      </c>
    </row>
    <row r="179" spans="1:28">
      <c r="A179" s="56">
        <f t="shared" si="15"/>
        <v>181</v>
      </c>
      <c r="B179" s="111">
        <v>45924</v>
      </c>
      <c r="C179" s="29">
        <v>45924</v>
      </c>
      <c r="D179" s="80">
        <v>0.291666666666667</v>
      </c>
      <c r="E179" s="127">
        <v>0.761111111111111</v>
      </c>
      <c r="F179" s="122">
        <v>1658.9</v>
      </c>
      <c r="G179" s="52">
        <v>1662.31</v>
      </c>
      <c r="H179" s="52">
        <v>1668.14</v>
      </c>
      <c r="I179" s="52">
        <v>1708.21</v>
      </c>
      <c r="J179" s="52">
        <v>1718.27</v>
      </c>
      <c r="K179" s="52">
        <v>1697.66</v>
      </c>
      <c r="L179" s="52">
        <v>1657.79</v>
      </c>
      <c r="M179" s="123">
        <f t="shared" si="18"/>
        <v>11771.28</v>
      </c>
      <c r="N179" s="124">
        <f t="shared" si="19"/>
        <v>682.4</v>
      </c>
      <c r="O179" s="52">
        <v>686.29</v>
      </c>
      <c r="P179" s="52">
        <f t="shared" si="21"/>
        <v>11670</v>
      </c>
      <c r="Q179" s="52">
        <f t="shared" si="20"/>
        <v>4.86</v>
      </c>
      <c r="R179" s="52">
        <v>4.88</v>
      </c>
      <c r="S179" s="52">
        <f t="shared" si="16"/>
        <v>59.9999999999987</v>
      </c>
      <c r="T179" s="121">
        <f t="shared" si="17"/>
        <v>11610</v>
      </c>
      <c r="U179" s="63"/>
      <c r="V179" s="52">
        <v>2.92</v>
      </c>
      <c r="W179" s="52">
        <v>29.76</v>
      </c>
      <c r="X179" s="52"/>
      <c r="Y179" s="52"/>
      <c r="Z179" s="52"/>
      <c r="AA179" s="52"/>
      <c r="AB179" s="121" t="s">
        <v>70</v>
      </c>
    </row>
    <row r="180" spans="1:28">
      <c r="A180" s="56">
        <f t="shared" si="15"/>
        <v>182</v>
      </c>
      <c r="B180" s="111">
        <v>45925</v>
      </c>
      <c r="C180" s="29">
        <v>45925</v>
      </c>
      <c r="D180" s="80">
        <v>0.291666666666667</v>
      </c>
      <c r="E180" s="127">
        <v>0.770833333333333</v>
      </c>
      <c r="F180" s="122">
        <v>1596.1</v>
      </c>
      <c r="G180" s="52">
        <v>1594.26</v>
      </c>
      <c r="H180" s="52">
        <v>1600.26</v>
      </c>
      <c r="I180" s="52">
        <v>1644.71</v>
      </c>
      <c r="J180" s="52">
        <v>1660.93</v>
      </c>
      <c r="K180" s="52">
        <v>1653</v>
      </c>
      <c r="L180" s="52">
        <v>1598.08</v>
      </c>
      <c r="M180" s="123">
        <f t="shared" si="18"/>
        <v>11347.34</v>
      </c>
      <c r="N180" s="124">
        <f t="shared" si="19"/>
        <v>686.29</v>
      </c>
      <c r="O180" s="52">
        <v>690.05</v>
      </c>
      <c r="P180" s="52">
        <f t="shared" si="21"/>
        <v>11280</v>
      </c>
      <c r="Q180" s="52">
        <f t="shared" si="20"/>
        <v>4.88</v>
      </c>
      <c r="R180" s="52">
        <v>4.9</v>
      </c>
      <c r="S180" s="52">
        <f t="shared" si="16"/>
        <v>60.0000000000014</v>
      </c>
      <c r="T180" s="121">
        <f t="shared" si="17"/>
        <v>11220</v>
      </c>
      <c r="U180" s="63"/>
      <c r="V180" s="52">
        <v>2.45</v>
      </c>
      <c r="W180" s="52">
        <v>31.25</v>
      </c>
      <c r="X180" s="52"/>
      <c r="Y180" s="52"/>
      <c r="Z180" s="52"/>
      <c r="AA180" s="52"/>
      <c r="AB180" s="121" t="s">
        <v>70</v>
      </c>
    </row>
    <row r="181" spans="1:28">
      <c r="A181" s="56">
        <f t="shared" si="15"/>
        <v>183</v>
      </c>
      <c r="B181" s="111">
        <v>45926</v>
      </c>
      <c r="C181" s="29">
        <v>45926</v>
      </c>
      <c r="D181" s="80">
        <v>0.28125</v>
      </c>
      <c r="E181" s="127">
        <v>0.770833333333333</v>
      </c>
      <c r="F181" s="122">
        <v>1474.7</v>
      </c>
      <c r="G181" s="52">
        <v>1467.77</v>
      </c>
      <c r="H181" s="52">
        <v>1489.98</v>
      </c>
      <c r="I181" s="52">
        <v>1529.92</v>
      </c>
      <c r="J181" s="52">
        <v>1562.47</v>
      </c>
      <c r="K181" s="52">
        <v>1563.72</v>
      </c>
      <c r="L181" s="52">
        <v>1532.32</v>
      </c>
      <c r="M181" s="123">
        <f t="shared" si="18"/>
        <v>10620.88</v>
      </c>
      <c r="N181" s="124">
        <f t="shared" si="19"/>
        <v>690.05</v>
      </c>
      <c r="O181" s="52">
        <v>693.56</v>
      </c>
      <c r="P181" s="52">
        <f t="shared" si="21"/>
        <v>10530</v>
      </c>
      <c r="Q181" s="52">
        <f t="shared" si="20"/>
        <v>4.9</v>
      </c>
      <c r="R181" s="52">
        <v>4.92</v>
      </c>
      <c r="S181" s="52">
        <f t="shared" si="16"/>
        <v>59.9999999999987</v>
      </c>
      <c r="T181" s="121">
        <f t="shared" si="17"/>
        <v>10470</v>
      </c>
      <c r="U181" s="63"/>
      <c r="V181" s="52"/>
      <c r="W181" s="52"/>
      <c r="X181" s="52"/>
      <c r="Y181" s="52"/>
      <c r="Z181" s="52"/>
      <c r="AA181" s="52"/>
      <c r="AB181" s="121"/>
    </row>
    <row r="182" spans="1:28">
      <c r="A182" s="56">
        <f t="shared" si="15"/>
        <v>184</v>
      </c>
      <c r="B182" s="111">
        <v>45927</v>
      </c>
      <c r="C182" s="29">
        <v>45927</v>
      </c>
      <c r="D182" s="80">
        <v>0.291666666666667</v>
      </c>
      <c r="E182" s="127">
        <v>0.770833333333333</v>
      </c>
      <c r="F182" s="122">
        <v>1494.29</v>
      </c>
      <c r="G182" s="52">
        <v>1491.15</v>
      </c>
      <c r="H182" s="52">
        <v>1506.64</v>
      </c>
      <c r="I182" s="52">
        <v>1541.29</v>
      </c>
      <c r="J182" s="52">
        <v>1575.42</v>
      </c>
      <c r="K182" s="52">
        <v>1577.29</v>
      </c>
      <c r="L182" s="52">
        <v>1550.98</v>
      </c>
      <c r="M182" s="123">
        <f t="shared" si="18"/>
        <v>10737.06</v>
      </c>
      <c r="N182" s="124">
        <f t="shared" si="19"/>
        <v>693.56</v>
      </c>
      <c r="O182" s="52">
        <v>697.11</v>
      </c>
      <c r="P182" s="52">
        <f t="shared" si="21"/>
        <v>10650.0000000002</v>
      </c>
      <c r="Q182" s="52">
        <f t="shared" si="20"/>
        <v>4.92</v>
      </c>
      <c r="R182" s="52">
        <v>4.94</v>
      </c>
      <c r="S182" s="52">
        <f t="shared" si="16"/>
        <v>60.0000000000014</v>
      </c>
      <c r="T182" s="121">
        <f t="shared" si="17"/>
        <v>10590.0000000002</v>
      </c>
      <c r="U182" s="63"/>
      <c r="V182" s="52"/>
      <c r="W182" s="52"/>
      <c r="X182" s="52"/>
      <c r="Y182" s="52"/>
      <c r="Z182" s="52"/>
      <c r="AA182" s="52"/>
      <c r="AB182" s="121"/>
    </row>
    <row r="183" spans="1:28">
      <c r="A183" s="56">
        <f t="shared" si="15"/>
        <v>185</v>
      </c>
      <c r="B183" s="111">
        <v>45928</v>
      </c>
      <c r="C183" s="29">
        <v>45928</v>
      </c>
      <c r="D183" s="80">
        <v>0.3125</v>
      </c>
      <c r="E183" s="127">
        <v>0.739583333333333</v>
      </c>
      <c r="F183" s="122">
        <v>493.25</v>
      </c>
      <c r="G183" s="52">
        <v>490.5</v>
      </c>
      <c r="H183" s="52">
        <v>498.11</v>
      </c>
      <c r="I183" s="52">
        <v>521.47</v>
      </c>
      <c r="J183" s="52">
        <v>518.12</v>
      </c>
      <c r="K183" s="52">
        <v>517.6</v>
      </c>
      <c r="L183" s="52">
        <v>515.16</v>
      </c>
      <c r="M183" s="123">
        <f t="shared" si="18"/>
        <v>3554.21</v>
      </c>
      <c r="N183" s="124">
        <f t="shared" si="19"/>
        <v>697.11</v>
      </c>
      <c r="O183" s="52">
        <v>698.28</v>
      </c>
      <c r="P183" s="52">
        <f t="shared" si="21"/>
        <v>3509.99999999988</v>
      </c>
      <c r="Q183" s="52">
        <f t="shared" si="20"/>
        <v>4.94</v>
      </c>
      <c r="R183" s="52">
        <v>4.96</v>
      </c>
      <c r="S183" s="52">
        <f t="shared" si="16"/>
        <v>59.9999999999987</v>
      </c>
      <c r="T183" s="121">
        <f t="shared" si="17"/>
        <v>3449.99999999988</v>
      </c>
      <c r="U183" s="63"/>
      <c r="V183" s="52"/>
      <c r="W183" s="52">
        <v>27.54</v>
      </c>
      <c r="X183" s="52"/>
      <c r="Y183" s="52"/>
      <c r="Z183" s="52"/>
      <c r="AA183" s="52"/>
      <c r="AB183" s="121" t="s">
        <v>73</v>
      </c>
    </row>
    <row r="184" spans="1:28">
      <c r="A184" s="56">
        <f t="shared" si="15"/>
        <v>186</v>
      </c>
      <c r="B184" s="111">
        <v>45929</v>
      </c>
      <c r="C184" s="29">
        <v>45929</v>
      </c>
      <c r="D184" s="80">
        <v>0.3125</v>
      </c>
      <c r="E184" s="127">
        <v>0.75</v>
      </c>
      <c r="F184" s="122">
        <v>520.06</v>
      </c>
      <c r="G184" s="52">
        <v>515.84</v>
      </c>
      <c r="H184" s="52">
        <v>525.57</v>
      </c>
      <c r="I184" s="52">
        <v>551.81</v>
      </c>
      <c r="J184" s="52">
        <v>546.09</v>
      </c>
      <c r="K184" s="52">
        <v>545.89</v>
      </c>
      <c r="L184" s="52">
        <v>540.54</v>
      </c>
      <c r="M184" s="123">
        <f t="shared" si="18"/>
        <v>3745.8</v>
      </c>
      <c r="N184" s="124">
        <f t="shared" si="19"/>
        <v>698.28</v>
      </c>
      <c r="O184" s="52">
        <v>699.52</v>
      </c>
      <c r="P184" s="52">
        <f t="shared" si="21"/>
        <v>3720.00000000003</v>
      </c>
      <c r="Q184" s="52">
        <f t="shared" si="20"/>
        <v>4.96</v>
      </c>
      <c r="R184" s="52">
        <v>4.99</v>
      </c>
      <c r="S184" s="52">
        <f t="shared" si="16"/>
        <v>90.0000000000007</v>
      </c>
      <c r="T184" s="121">
        <f t="shared" si="17"/>
        <v>3630.00000000003</v>
      </c>
      <c r="U184" s="63"/>
      <c r="V184" s="52"/>
      <c r="W184" s="52">
        <v>26.23</v>
      </c>
      <c r="X184" s="52"/>
      <c r="Y184" s="52"/>
      <c r="Z184" s="52"/>
      <c r="AA184" s="52"/>
      <c r="AB184" s="121" t="s">
        <v>73</v>
      </c>
    </row>
    <row r="185" spans="1:28">
      <c r="A185" s="56">
        <f t="shared" si="15"/>
        <v>187</v>
      </c>
      <c r="B185" s="111">
        <v>45930</v>
      </c>
      <c r="C185" s="29">
        <v>45930</v>
      </c>
      <c r="D185" s="80">
        <v>0.302083333333333</v>
      </c>
      <c r="E185" s="127">
        <v>0.739583333333333</v>
      </c>
      <c r="F185" s="122">
        <v>667.66</v>
      </c>
      <c r="G185" s="52">
        <v>665.1</v>
      </c>
      <c r="H185" s="52">
        <v>678.67</v>
      </c>
      <c r="I185" s="52">
        <v>709.38</v>
      </c>
      <c r="J185" s="52">
        <v>709.17</v>
      </c>
      <c r="K185" s="52">
        <v>710.21</v>
      </c>
      <c r="L185" s="52">
        <v>702.1</v>
      </c>
      <c r="M185" s="123">
        <f t="shared" si="18"/>
        <v>4842.29</v>
      </c>
      <c r="N185" s="124">
        <f t="shared" si="19"/>
        <v>699.52</v>
      </c>
      <c r="O185" s="52">
        <v>701.12</v>
      </c>
      <c r="P185" s="52">
        <f t="shared" si="21"/>
        <v>4800.00000000007</v>
      </c>
      <c r="Q185" s="52">
        <f t="shared" si="20"/>
        <v>4.99</v>
      </c>
      <c r="R185" s="52">
        <v>5.01</v>
      </c>
      <c r="S185" s="52">
        <f t="shared" si="16"/>
        <v>59.9999999999987</v>
      </c>
      <c r="T185" s="121">
        <f t="shared" si="17"/>
        <v>4740.00000000007</v>
      </c>
      <c r="U185" s="63"/>
      <c r="V185" s="52">
        <v>0.91</v>
      </c>
      <c r="W185" s="52">
        <v>23.52</v>
      </c>
      <c r="X185" s="52"/>
      <c r="Y185" s="52"/>
      <c r="Z185" s="52"/>
      <c r="AA185" s="52"/>
      <c r="AB185" s="121" t="s">
        <v>73</v>
      </c>
    </row>
    <row r="186" spans="1:28">
      <c r="A186" s="56">
        <f t="shared" si="15"/>
        <v>188</v>
      </c>
      <c r="B186" s="111">
        <v>45931</v>
      </c>
      <c r="C186" s="29">
        <v>45931</v>
      </c>
      <c r="D186" s="80">
        <v>0.291666666666667</v>
      </c>
      <c r="E186" s="127">
        <v>0.739583333333333</v>
      </c>
      <c r="F186" s="122">
        <v>827.53</v>
      </c>
      <c r="G186" s="52">
        <v>819.47</v>
      </c>
      <c r="H186" s="52">
        <v>835.34</v>
      </c>
      <c r="I186" s="52">
        <v>866.48</v>
      </c>
      <c r="J186" s="52">
        <v>867.81</v>
      </c>
      <c r="K186" s="52">
        <v>864.54</v>
      </c>
      <c r="L186" s="52">
        <v>852.11</v>
      </c>
      <c r="M186" s="123">
        <f t="shared" si="18"/>
        <v>5933.28</v>
      </c>
      <c r="N186" s="124">
        <f t="shared" si="19"/>
        <v>701.12</v>
      </c>
      <c r="O186" s="52">
        <v>703.08</v>
      </c>
      <c r="P186" s="52">
        <f t="shared" si="21"/>
        <v>5880.00000000011</v>
      </c>
      <c r="Q186" s="52">
        <f t="shared" si="20"/>
        <v>5.01</v>
      </c>
      <c r="R186" s="52">
        <v>5.03</v>
      </c>
      <c r="S186" s="52">
        <f t="shared" si="16"/>
        <v>60.0000000000014</v>
      </c>
      <c r="T186" s="121">
        <f t="shared" si="17"/>
        <v>5820.00000000011</v>
      </c>
      <c r="U186" s="63"/>
      <c r="V186" s="52">
        <v>1.15</v>
      </c>
      <c r="W186" s="52">
        <v>25.77</v>
      </c>
      <c r="X186" s="52"/>
      <c r="Y186" s="52"/>
      <c r="Z186" s="52"/>
      <c r="AA186" s="52"/>
      <c r="AB186" s="121" t="s">
        <v>73</v>
      </c>
    </row>
    <row r="187" spans="1:28">
      <c r="A187" s="56">
        <f t="shared" si="15"/>
        <v>189</v>
      </c>
      <c r="B187" s="111">
        <v>45932</v>
      </c>
      <c r="C187" s="29">
        <v>45932</v>
      </c>
      <c r="D187" s="80">
        <v>0.322916666666667</v>
      </c>
      <c r="E187" s="127">
        <v>0.75</v>
      </c>
      <c r="F187" s="122">
        <v>1020.05</v>
      </c>
      <c r="G187" s="52">
        <v>1012.93</v>
      </c>
      <c r="H187" s="52">
        <v>1030.72</v>
      </c>
      <c r="I187" s="52">
        <v>1052.07</v>
      </c>
      <c r="J187" s="52">
        <v>1070.48</v>
      </c>
      <c r="K187" s="52">
        <v>1068.81</v>
      </c>
      <c r="L187" s="52">
        <v>1043.41</v>
      </c>
      <c r="M187" s="123">
        <f t="shared" si="18"/>
        <v>7298.47</v>
      </c>
      <c r="N187" s="124">
        <f t="shared" si="19"/>
        <v>703.08</v>
      </c>
      <c r="O187" s="52">
        <v>705.49</v>
      </c>
      <c r="P187" s="52">
        <f t="shared" si="21"/>
        <v>7229.9999999999</v>
      </c>
      <c r="Q187" s="52">
        <f t="shared" si="20"/>
        <v>5.03</v>
      </c>
      <c r="R187" s="52">
        <v>5.05</v>
      </c>
      <c r="S187" s="52">
        <f t="shared" si="16"/>
        <v>59.9999999999987</v>
      </c>
      <c r="T187" s="121">
        <f t="shared" si="17"/>
        <v>7169.99999999991</v>
      </c>
      <c r="U187" s="63"/>
      <c r="V187" s="52">
        <v>0.94</v>
      </c>
      <c r="W187" s="52">
        <v>27.16</v>
      </c>
      <c r="X187" s="52"/>
      <c r="Y187" s="52"/>
      <c r="Z187" s="52"/>
      <c r="AA187" s="52"/>
      <c r="AB187" s="121" t="s">
        <v>73</v>
      </c>
    </row>
    <row r="188" spans="1:28">
      <c r="A188" s="56">
        <f t="shared" si="15"/>
        <v>190</v>
      </c>
      <c r="B188" s="111">
        <v>45933</v>
      </c>
      <c r="C188" s="29">
        <v>45933</v>
      </c>
      <c r="D188" s="80">
        <v>0.291666666666667</v>
      </c>
      <c r="E188" s="127">
        <v>0.75</v>
      </c>
      <c r="F188" s="122">
        <v>1236.64</v>
      </c>
      <c r="G188" s="52">
        <v>1223.65</v>
      </c>
      <c r="H188" s="52">
        <v>1252.57</v>
      </c>
      <c r="I188" s="52">
        <v>1291.37</v>
      </c>
      <c r="J188" s="52">
        <v>1307.09</v>
      </c>
      <c r="K188" s="52">
        <v>1301.73</v>
      </c>
      <c r="L188" s="52">
        <v>1261.04</v>
      </c>
      <c r="M188" s="123">
        <f t="shared" si="18"/>
        <v>8874.09</v>
      </c>
      <c r="N188" s="124">
        <f t="shared" si="19"/>
        <v>705.49</v>
      </c>
      <c r="O188" s="52">
        <v>708.42</v>
      </c>
      <c r="P188" s="52">
        <f t="shared" si="21"/>
        <v>8789.99999999985</v>
      </c>
      <c r="Q188" s="52">
        <f t="shared" si="20"/>
        <v>5.05</v>
      </c>
      <c r="R188" s="52">
        <v>5.07</v>
      </c>
      <c r="S188" s="52">
        <f t="shared" si="16"/>
        <v>60.0000000000014</v>
      </c>
      <c r="T188" s="121">
        <f t="shared" si="17"/>
        <v>8729.99999999985</v>
      </c>
      <c r="U188" s="63"/>
      <c r="V188" s="52">
        <v>4.89</v>
      </c>
      <c r="W188" s="52">
        <v>31.51</v>
      </c>
      <c r="X188" s="52"/>
      <c r="Y188" s="52"/>
      <c r="Z188" s="52"/>
      <c r="AA188" s="52"/>
      <c r="AB188" s="121" t="s">
        <v>70</v>
      </c>
    </row>
    <row r="189" spans="1:28">
      <c r="A189" s="56">
        <f t="shared" si="15"/>
        <v>191</v>
      </c>
      <c r="B189" s="111">
        <v>45934</v>
      </c>
      <c r="C189" s="29">
        <v>45934</v>
      </c>
      <c r="D189" s="80">
        <v>0.302083333333333</v>
      </c>
      <c r="E189" s="127">
        <v>0.75</v>
      </c>
      <c r="F189" s="122">
        <v>1746.2</v>
      </c>
      <c r="G189" s="52">
        <v>1724.83</v>
      </c>
      <c r="H189" s="52">
        <v>1760.91</v>
      </c>
      <c r="I189" s="52">
        <v>1798.18</v>
      </c>
      <c r="J189" s="52">
        <v>1824.1</v>
      </c>
      <c r="K189" s="52">
        <v>1810.15</v>
      </c>
      <c r="L189" s="52">
        <v>1757.03</v>
      </c>
      <c r="M189" s="123">
        <f t="shared" si="18"/>
        <v>12421.4</v>
      </c>
      <c r="N189" s="124">
        <f t="shared" si="19"/>
        <v>708.42</v>
      </c>
      <c r="O189" s="52">
        <v>712.53</v>
      </c>
      <c r="P189" s="52">
        <f t="shared" si="21"/>
        <v>12330</v>
      </c>
      <c r="Q189" s="52">
        <f t="shared" si="20"/>
        <v>5.07</v>
      </c>
      <c r="R189" s="52">
        <v>5.09</v>
      </c>
      <c r="S189" s="52">
        <f t="shared" si="16"/>
        <v>59.9999999999987</v>
      </c>
      <c r="T189" s="121">
        <f t="shared" si="17"/>
        <v>12270</v>
      </c>
      <c r="U189" s="63"/>
      <c r="V189" s="52">
        <v>1.13</v>
      </c>
      <c r="W189" s="52">
        <v>29.31</v>
      </c>
      <c r="X189" s="52"/>
      <c r="Y189" s="52"/>
      <c r="Z189" s="52"/>
      <c r="AA189" s="52"/>
      <c r="AB189" s="121" t="s">
        <v>70</v>
      </c>
    </row>
    <row r="190" spans="1:28">
      <c r="A190" s="56">
        <f t="shared" si="15"/>
        <v>192</v>
      </c>
      <c r="B190" s="111">
        <v>45935</v>
      </c>
      <c r="C190" s="29">
        <v>45935</v>
      </c>
      <c r="D190" s="80">
        <v>0.291666666666667</v>
      </c>
      <c r="E190" s="127">
        <v>0.75</v>
      </c>
      <c r="F190" s="122">
        <v>1614.91</v>
      </c>
      <c r="G190" s="52">
        <v>1599.74</v>
      </c>
      <c r="H190" s="52">
        <v>1644.89</v>
      </c>
      <c r="I190" s="52">
        <v>1682.8</v>
      </c>
      <c r="J190" s="52">
        <v>1721.87</v>
      </c>
      <c r="K190" s="52">
        <v>1706.87</v>
      </c>
      <c r="L190" s="52">
        <v>1664.87</v>
      </c>
      <c r="M190" s="123">
        <f t="shared" si="18"/>
        <v>11635.95</v>
      </c>
      <c r="N190" s="124">
        <f t="shared" si="19"/>
        <v>712.53</v>
      </c>
      <c r="O190" s="52">
        <v>716.37</v>
      </c>
      <c r="P190" s="52">
        <f t="shared" si="21"/>
        <v>11520.0000000001</v>
      </c>
      <c r="Q190" s="52">
        <f t="shared" si="20"/>
        <v>5.09</v>
      </c>
      <c r="R190" s="52">
        <v>5.12</v>
      </c>
      <c r="S190" s="52">
        <f t="shared" si="16"/>
        <v>90.0000000000007</v>
      </c>
      <c r="T190" s="121">
        <f t="shared" si="17"/>
        <v>11430.0000000001</v>
      </c>
      <c r="U190" s="63"/>
      <c r="V190" s="52">
        <v>1.13</v>
      </c>
      <c r="W190" s="52">
        <v>29.55</v>
      </c>
      <c r="X190" s="52"/>
      <c r="Y190" s="52"/>
      <c r="Z190" s="52"/>
      <c r="AA190" s="52"/>
      <c r="AB190" s="121" t="s">
        <v>70</v>
      </c>
    </row>
    <row r="191" spans="1:28">
      <c r="A191" s="56">
        <f t="shared" si="15"/>
        <v>193</v>
      </c>
      <c r="B191" s="111">
        <v>45936</v>
      </c>
      <c r="C191" s="29">
        <v>45936</v>
      </c>
      <c r="D191" s="80">
        <v>0.291666666666667</v>
      </c>
      <c r="E191" s="127">
        <v>0.75</v>
      </c>
      <c r="F191" s="122">
        <v>1335.64</v>
      </c>
      <c r="G191" s="52">
        <v>1317.96</v>
      </c>
      <c r="H191" s="52">
        <v>1358.46</v>
      </c>
      <c r="I191" s="52">
        <v>1402.46</v>
      </c>
      <c r="J191" s="52">
        <v>1433.8</v>
      </c>
      <c r="K191" s="52">
        <v>1431</v>
      </c>
      <c r="L191" s="52">
        <v>1377.34</v>
      </c>
      <c r="M191" s="123">
        <f t="shared" si="18"/>
        <v>9656.66</v>
      </c>
      <c r="N191" s="124">
        <f t="shared" si="19"/>
        <v>716.37</v>
      </c>
      <c r="O191" s="52">
        <v>719.56</v>
      </c>
      <c r="P191" s="52">
        <f t="shared" si="21"/>
        <v>9569.99999999982</v>
      </c>
      <c r="Q191" s="52">
        <f t="shared" si="20"/>
        <v>5.12</v>
      </c>
      <c r="R191" s="52">
        <v>5.14</v>
      </c>
      <c r="S191" s="52">
        <f t="shared" si="16"/>
        <v>59.9999999999987</v>
      </c>
      <c r="T191" s="121">
        <f t="shared" si="17"/>
        <v>9509.99999999982</v>
      </c>
      <c r="U191" s="63"/>
      <c r="V191" s="52">
        <v>0.84</v>
      </c>
      <c r="W191" s="52">
        <v>28.6</v>
      </c>
      <c r="X191" s="52"/>
      <c r="Y191" s="52"/>
      <c r="Z191" s="52"/>
      <c r="AA191" s="52"/>
      <c r="AB191" s="121" t="s">
        <v>70</v>
      </c>
    </row>
    <row r="192" spans="1:28">
      <c r="A192" s="56">
        <f t="shared" si="15"/>
        <v>194</v>
      </c>
      <c r="B192" s="111">
        <v>45937</v>
      </c>
      <c r="C192" s="29">
        <v>45937</v>
      </c>
      <c r="D192" s="80">
        <v>0.291666666666667</v>
      </c>
      <c r="E192" s="127">
        <v>0.75</v>
      </c>
      <c r="F192" s="122">
        <v>1721.19</v>
      </c>
      <c r="G192" s="52">
        <v>1700.17</v>
      </c>
      <c r="H192" s="52">
        <v>1774.2</v>
      </c>
      <c r="I192" s="52">
        <v>1799.1</v>
      </c>
      <c r="J192" s="52">
        <v>1823.67</v>
      </c>
      <c r="K192" s="52">
        <v>1786.18</v>
      </c>
      <c r="L192" s="52">
        <v>1707.54</v>
      </c>
      <c r="M192" s="123">
        <f t="shared" si="18"/>
        <v>12312.05</v>
      </c>
      <c r="N192" s="124">
        <f t="shared" si="19"/>
        <v>719.56</v>
      </c>
      <c r="O192" s="52">
        <v>723.62</v>
      </c>
      <c r="P192" s="52">
        <f t="shared" si="21"/>
        <v>12180.0000000002</v>
      </c>
      <c r="Q192" s="52">
        <f t="shared" si="20"/>
        <v>5.14</v>
      </c>
      <c r="R192" s="52">
        <v>5.16</v>
      </c>
      <c r="S192" s="52">
        <f t="shared" si="16"/>
        <v>60.0000000000014</v>
      </c>
      <c r="T192" s="121">
        <f t="shared" si="17"/>
        <v>12120.0000000002</v>
      </c>
      <c r="U192" s="63"/>
      <c r="V192" s="52">
        <v>0</v>
      </c>
      <c r="W192" s="52">
        <v>29.77</v>
      </c>
      <c r="X192" s="52"/>
      <c r="Y192" s="52"/>
      <c r="Z192" s="52"/>
      <c r="AA192" s="52"/>
      <c r="AB192" s="121" t="s">
        <v>70</v>
      </c>
    </row>
    <row r="193" spans="1:28">
      <c r="A193" s="56">
        <f t="shared" si="15"/>
        <v>195</v>
      </c>
      <c r="B193" s="111">
        <v>45938</v>
      </c>
      <c r="C193" s="29">
        <v>45938</v>
      </c>
      <c r="D193" s="80">
        <v>0.302083333333333</v>
      </c>
      <c r="E193" s="127">
        <v>0.75</v>
      </c>
      <c r="F193" s="122">
        <v>1593.35</v>
      </c>
      <c r="G193" s="52">
        <v>1555.41</v>
      </c>
      <c r="H193" s="52">
        <v>1605.37</v>
      </c>
      <c r="I193" s="52">
        <v>1645.99</v>
      </c>
      <c r="J193" s="52">
        <v>1679.36</v>
      </c>
      <c r="K193" s="52">
        <v>1677.02</v>
      </c>
      <c r="L193" s="52">
        <v>1640.95</v>
      </c>
      <c r="M193" s="123">
        <f t="shared" si="18"/>
        <v>11397.45</v>
      </c>
      <c r="N193" s="124">
        <f t="shared" si="19"/>
        <v>723.62</v>
      </c>
      <c r="O193" s="52">
        <v>727.38</v>
      </c>
      <c r="P193" s="52">
        <f t="shared" si="21"/>
        <v>11280</v>
      </c>
      <c r="Q193" s="52">
        <f t="shared" si="20"/>
        <v>5.16</v>
      </c>
      <c r="R193" s="52">
        <v>5.18</v>
      </c>
      <c r="S193" s="52">
        <f t="shared" si="16"/>
        <v>59.9999999999987</v>
      </c>
      <c r="T193" s="121">
        <f t="shared" si="17"/>
        <v>11220</v>
      </c>
      <c r="U193" s="63"/>
      <c r="V193" s="52">
        <v>0</v>
      </c>
      <c r="W193" s="52">
        <v>30.47</v>
      </c>
      <c r="X193" s="52"/>
      <c r="Y193" s="52"/>
      <c r="Z193" s="52"/>
      <c r="AA193" s="52"/>
      <c r="AB193" s="121" t="s">
        <v>70</v>
      </c>
    </row>
    <row r="194" spans="1:28">
      <c r="A194" s="56">
        <f t="shared" si="15"/>
        <v>196</v>
      </c>
      <c r="B194" s="111">
        <v>45939</v>
      </c>
      <c r="C194" s="29">
        <v>45939</v>
      </c>
      <c r="D194" s="80">
        <v>0.291666666666667</v>
      </c>
      <c r="E194" s="127">
        <v>0.75</v>
      </c>
      <c r="F194" s="122">
        <v>1457.06</v>
      </c>
      <c r="G194" s="52">
        <v>1419.41</v>
      </c>
      <c r="H194" s="52">
        <v>1468.1</v>
      </c>
      <c r="I194" s="52">
        <v>1512.94</v>
      </c>
      <c r="J194" s="52">
        <v>1539.4</v>
      </c>
      <c r="K194" s="52">
        <v>1536.77</v>
      </c>
      <c r="L194" s="52">
        <v>1507.13</v>
      </c>
      <c r="M194" s="123">
        <f t="shared" si="18"/>
        <v>10440.81</v>
      </c>
      <c r="N194" s="124">
        <f t="shared" si="19"/>
        <v>727.38</v>
      </c>
      <c r="O194" s="52">
        <v>730.84</v>
      </c>
      <c r="P194" s="52">
        <f t="shared" si="21"/>
        <v>10380.0000000001</v>
      </c>
      <c r="Q194" s="52">
        <f t="shared" si="20"/>
        <v>5.18</v>
      </c>
      <c r="R194" s="52">
        <v>5.2</v>
      </c>
      <c r="S194" s="52">
        <f t="shared" si="16"/>
        <v>60.0000000000014</v>
      </c>
      <c r="T194" s="121">
        <f t="shared" si="17"/>
        <v>10320.0000000001</v>
      </c>
      <c r="U194" s="63"/>
      <c r="V194" s="52">
        <v>0</v>
      </c>
      <c r="W194" s="52">
        <v>30.88</v>
      </c>
      <c r="X194" s="52"/>
      <c r="Y194" s="52"/>
      <c r="Z194" s="52"/>
      <c r="AA194" s="52"/>
      <c r="AB194" s="121" t="s">
        <v>70</v>
      </c>
    </row>
    <row r="195" spans="1:28">
      <c r="A195" s="56">
        <f t="shared" ref="A195:A258" si="22">A194+1</f>
        <v>197</v>
      </c>
      <c r="B195" s="111">
        <v>45940</v>
      </c>
      <c r="C195" s="29">
        <v>45940</v>
      </c>
      <c r="D195" s="80">
        <v>0.291666666666667</v>
      </c>
      <c r="E195" s="127">
        <v>0.75</v>
      </c>
      <c r="F195" s="122">
        <v>1678.93</v>
      </c>
      <c r="G195" s="52">
        <v>1633.78</v>
      </c>
      <c r="H195" s="52">
        <v>1696.48</v>
      </c>
      <c r="I195" s="52">
        <v>1752.69</v>
      </c>
      <c r="J195" s="52">
        <v>1783.59</v>
      </c>
      <c r="K195" s="52">
        <v>1776.58</v>
      </c>
      <c r="L195" s="52">
        <v>1732.54</v>
      </c>
      <c r="M195" s="123">
        <f t="shared" si="18"/>
        <v>12054.59</v>
      </c>
      <c r="N195" s="124">
        <f t="shared" si="19"/>
        <v>730.84</v>
      </c>
      <c r="O195" s="52">
        <v>734.82</v>
      </c>
      <c r="P195" s="52">
        <f t="shared" si="21"/>
        <v>11940.0000000001</v>
      </c>
      <c r="Q195" s="52">
        <f t="shared" si="20"/>
        <v>5.2</v>
      </c>
      <c r="R195" s="52">
        <v>5.22</v>
      </c>
      <c r="S195" s="52">
        <f t="shared" ref="S195:S258" si="23">MAX((R195-Q195)*3000,0)</f>
        <v>59.9999999999987</v>
      </c>
      <c r="T195" s="121">
        <f t="shared" ref="T195:T258" si="24">P195-S195</f>
        <v>11880.0000000001</v>
      </c>
      <c r="U195" s="63"/>
      <c r="V195" s="52">
        <v>0</v>
      </c>
      <c r="W195" s="52">
        <v>31.35</v>
      </c>
      <c r="X195" s="52"/>
      <c r="Y195" s="52"/>
      <c r="Z195" s="52"/>
      <c r="AA195" s="52"/>
      <c r="AB195" s="121" t="s">
        <v>70</v>
      </c>
    </row>
    <row r="196" spans="1:28">
      <c r="A196" s="56">
        <f t="shared" si="22"/>
        <v>198</v>
      </c>
      <c r="B196" s="111">
        <v>45941</v>
      </c>
      <c r="C196" s="29">
        <v>45941</v>
      </c>
      <c r="D196" s="80">
        <v>0.302083333333333</v>
      </c>
      <c r="E196" s="127">
        <v>0.75</v>
      </c>
      <c r="F196" s="122">
        <v>1359.85</v>
      </c>
      <c r="G196" s="52">
        <v>1306.59</v>
      </c>
      <c r="H196" s="52">
        <v>1351.72</v>
      </c>
      <c r="I196" s="52">
        <v>1417.81</v>
      </c>
      <c r="J196" s="52">
        <v>1424.82</v>
      </c>
      <c r="K196" s="52">
        <v>1416.26</v>
      </c>
      <c r="L196" s="52">
        <v>1376.61</v>
      </c>
      <c r="M196" s="123">
        <f t="shared" ref="M196:M259" si="25">SUM(F196:L196)</f>
        <v>9653.66</v>
      </c>
      <c r="N196" s="124">
        <f t="shared" si="19"/>
        <v>734.82</v>
      </c>
      <c r="O196" s="52">
        <v>738.01</v>
      </c>
      <c r="P196" s="52">
        <f t="shared" si="21"/>
        <v>9569.99999999982</v>
      </c>
      <c r="Q196" s="52">
        <f t="shared" si="20"/>
        <v>5.22</v>
      </c>
      <c r="R196" s="52">
        <v>5.24</v>
      </c>
      <c r="S196" s="52">
        <f t="shared" si="23"/>
        <v>60.0000000000014</v>
      </c>
      <c r="T196" s="121">
        <f t="shared" si="24"/>
        <v>9509.99999999982</v>
      </c>
      <c r="U196" s="63"/>
      <c r="V196" s="52">
        <v>0</v>
      </c>
      <c r="W196" s="52">
        <v>31.55</v>
      </c>
      <c r="X196" s="52"/>
      <c r="Y196" s="52"/>
      <c r="Z196" s="52"/>
      <c r="AA196" s="52"/>
      <c r="AB196" s="121" t="s">
        <v>70</v>
      </c>
    </row>
    <row r="197" spans="1:28">
      <c r="A197" s="56">
        <f t="shared" si="22"/>
        <v>199</v>
      </c>
      <c r="B197" s="111">
        <v>45942</v>
      </c>
      <c r="C197" s="29">
        <v>45942</v>
      </c>
      <c r="D197" s="80">
        <v>0.291666666666667</v>
      </c>
      <c r="E197" s="127">
        <v>0.75</v>
      </c>
      <c r="F197" s="122">
        <v>1829.32</v>
      </c>
      <c r="G197" s="52">
        <v>1757.67</v>
      </c>
      <c r="H197" s="52">
        <v>1817.23</v>
      </c>
      <c r="I197" s="52">
        <v>1882.74</v>
      </c>
      <c r="J197" s="52">
        <v>1912.67</v>
      </c>
      <c r="K197" s="52">
        <v>1902.46</v>
      </c>
      <c r="L197" s="52">
        <v>1846.2</v>
      </c>
      <c r="M197" s="123">
        <f t="shared" si="25"/>
        <v>12948.29</v>
      </c>
      <c r="N197" s="124">
        <f t="shared" si="19"/>
        <v>738.01</v>
      </c>
      <c r="O197" s="52">
        <v>742.29</v>
      </c>
      <c r="P197" s="52">
        <f t="shared" si="21"/>
        <v>12839.9999999999</v>
      </c>
      <c r="Q197" s="52">
        <f t="shared" si="20"/>
        <v>5.24</v>
      </c>
      <c r="R197" s="52">
        <v>5.26</v>
      </c>
      <c r="S197" s="52">
        <f t="shared" si="23"/>
        <v>59.9999999999987</v>
      </c>
      <c r="T197" s="121">
        <f t="shared" si="24"/>
        <v>12779.9999999999</v>
      </c>
      <c r="U197" s="63"/>
      <c r="V197" s="52">
        <v>0</v>
      </c>
      <c r="W197" s="52">
        <v>32.11</v>
      </c>
      <c r="X197" s="52"/>
      <c r="Y197" s="52"/>
      <c r="Z197" s="52"/>
      <c r="AA197" s="52"/>
      <c r="AB197" s="121" t="s">
        <v>70</v>
      </c>
    </row>
    <row r="198" spans="1:28">
      <c r="A198" s="56">
        <f t="shared" si="22"/>
        <v>200</v>
      </c>
      <c r="B198" s="111">
        <v>45943</v>
      </c>
      <c r="C198" s="29">
        <v>45943</v>
      </c>
      <c r="D198" s="80">
        <v>0.302083333333333</v>
      </c>
      <c r="E198" s="127">
        <v>0.75</v>
      </c>
      <c r="F198" s="122">
        <v>1755.89</v>
      </c>
      <c r="G198" s="52">
        <v>1695.25</v>
      </c>
      <c r="H198" s="52">
        <v>1753.93</v>
      </c>
      <c r="I198" s="52">
        <v>1816.2</v>
      </c>
      <c r="J198" s="52">
        <v>1846.2</v>
      </c>
      <c r="K198" s="52">
        <v>1833.74</v>
      </c>
      <c r="L198" s="52">
        <v>1780.89</v>
      </c>
      <c r="M198" s="123">
        <f t="shared" si="25"/>
        <v>12482.1</v>
      </c>
      <c r="N198" s="124">
        <f t="shared" si="19"/>
        <v>742.29</v>
      </c>
      <c r="O198" s="52">
        <v>746.41</v>
      </c>
      <c r="P198" s="52">
        <f t="shared" si="21"/>
        <v>12360</v>
      </c>
      <c r="Q198" s="52">
        <f t="shared" si="20"/>
        <v>5.26</v>
      </c>
      <c r="R198" s="52">
        <v>5.28</v>
      </c>
      <c r="S198" s="52">
        <f t="shared" si="23"/>
        <v>60.0000000000014</v>
      </c>
      <c r="T198" s="121">
        <f t="shared" si="24"/>
        <v>12300</v>
      </c>
      <c r="U198" s="63"/>
      <c r="V198" s="52">
        <v>0</v>
      </c>
      <c r="W198" s="52">
        <v>30.84</v>
      </c>
      <c r="X198" s="52"/>
      <c r="Y198" s="52"/>
      <c r="Z198" s="52"/>
      <c r="AA198" s="52"/>
      <c r="AB198" s="121" t="s">
        <v>70</v>
      </c>
    </row>
    <row r="199" spans="1:28">
      <c r="A199" s="56">
        <f t="shared" si="22"/>
        <v>201</v>
      </c>
      <c r="B199" s="111">
        <v>45944</v>
      </c>
      <c r="C199" s="29">
        <v>45944</v>
      </c>
      <c r="D199" s="80">
        <v>0.291666666666667</v>
      </c>
      <c r="E199" s="127">
        <v>0.75</v>
      </c>
      <c r="F199" s="122">
        <v>1791.35</v>
      </c>
      <c r="G199" s="52">
        <v>1733.51</v>
      </c>
      <c r="H199" s="52">
        <v>1784.82</v>
      </c>
      <c r="I199" s="52">
        <v>1849.43</v>
      </c>
      <c r="J199" s="52">
        <v>1878.3</v>
      </c>
      <c r="K199" s="52">
        <v>1861.95</v>
      </c>
      <c r="L199" s="52">
        <v>1805.24</v>
      </c>
      <c r="M199" s="123">
        <f t="shared" si="25"/>
        <v>12704.6</v>
      </c>
      <c r="N199" s="124">
        <f t="shared" si="19"/>
        <v>746.41</v>
      </c>
      <c r="O199" s="52">
        <v>750.61</v>
      </c>
      <c r="P199" s="52">
        <f t="shared" si="21"/>
        <v>12600.0000000001</v>
      </c>
      <c r="Q199" s="52">
        <f t="shared" si="20"/>
        <v>5.28</v>
      </c>
      <c r="R199" s="52">
        <v>5.3</v>
      </c>
      <c r="S199" s="52">
        <f t="shared" si="23"/>
        <v>59.9999999999987</v>
      </c>
      <c r="T199" s="121">
        <f t="shared" si="24"/>
        <v>12540.0000000001</v>
      </c>
      <c r="U199" s="63"/>
      <c r="V199" s="52">
        <v>0</v>
      </c>
      <c r="W199" s="52">
        <v>30.28</v>
      </c>
      <c r="X199" s="52"/>
      <c r="Y199" s="52"/>
      <c r="Z199" s="52"/>
      <c r="AA199" s="52"/>
      <c r="AB199" s="121" t="s">
        <v>70</v>
      </c>
    </row>
    <row r="200" spans="1:28">
      <c r="A200" s="56">
        <f t="shared" si="22"/>
        <v>202</v>
      </c>
      <c r="B200" s="111">
        <v>45945</v>
      </c>
      <c r="C200" s="29">
        <v>45945</v>
      </c>
      <c r="D200" s="80">
        <v>0.302083333333333</v>
      </c>
      <c r="E200" s="127">
        <v>0.75</v>
      </c>
      <c r="F200" s="122">
        <v>1818.14</v>
      </c>
      <c r="G200" s="52">
        <v>1756.5</v>
      </c>
      <c r="H200" s="52">
        <v>1809.56</v>
      </c>
      <c r="I200" s="52">
        <v>1866.4</v>
      </c>
      <c r="J200" s="52">
        <v>1903.72</v>
      </c>
      <c r="K200" s="52">
        <v>1885.48</v>
      </c>
      <c r="L200" s="52">
        <v>1824.5</v>
      </c>
      <c r="M200" s="123">
        <f t="shared" si="25"/>
        <v>12864.3</v>
      </c>
      <c r="N200" s="124">
        <f t="shared" si="19"/>
        <v>750.61</v>
      </c>
      <c r="O200" s="52">
        <v>754.86</v>
      </c>
      <c r="P200" s="52">
        <f t="shared" si="21"/>
        <v>12750</v>
      </c>
      <c r="Q200" s="52">
        <f t="shared" si="20"/>
        <v>5.3</v>
      </c>
      <c r="R200" s="52">
        <v>5.33</v>
      </c>
      <c r="S200" s="52">
        <f t="shared" si="23"/>
        <v>90.0000000000007</v>
      </c>
      <c r="T200" s="121">
        <f t="shared" si="24"/>
        <v>12660</v>
      </c>
      <c r="U200" s="63"/>
      <c r="V200" s="52">
        <v>0</v>
      </c>
      <c r="W200" s="52">
        <v>31.68</v>
      </c>
      <c r="X200" s="52"/>
      <c r="Y200" s="52"/>
      <c r="Z200" s="52"/>
      <c r="AA200" s="52"/>
      <c r="AB200" s="121" t="s">
        <v>70</v>
      </c>
    </row>
    <row r="201" spans="1:28">
      <c r="A201" s="56">
        <f t="shared" si="22"/>
        <v>203</v>
      </c>
      <c r="B201" s="111">
        <v>45946</v>
      </c>
      <c r="C201" s="29">
        <v>45946</v>
      </c>
      <c r="D201" s="80">
        <v>0.291666666666667</v>
      </c>
      <c r="E201" s="127">
        <v>0.739583333333333</v>
      </c>
      <c r="F201" s="122">
        <v>1500.06</v>
      </c>
      <c r="G201" s="52">
        <v>1459.33</v>
      </c>
      <c r="H201" s="52">
        <v>1494.64</v>
      </c>
      <c r="I201" s="52">
        <v>1549.76</v>
      </c>
      <c r="J201" s="52">
        <v>1566.07</v>
      </c>
      <c r="K201" s="52">
        <v>1555.24</v>
      </c>
      <c r="L201" s="52">
        <v>1518.16</v>
      </c>
      <c r="M201" s="123">
        <f t="shared" si="25"/>
        <v>10643.26</v>
      </c>
      <c r="N201" s="124">
        <f t="shared" si="19"/>
        <v>754.86</v>
      </c>
      <c r="O201" s="52">
        <v>758.35</v>
      </c>
      <c r="P201" s="52">
        <f t="shared" si="21"/>
        <v>10470</v>
      </c>
      <c r="Q201" s="52">
        <f t="shared" si="20"/>
        <v>5.33</v>
      </c>
      <c r="R201" s="52">
        <v>5.35</v>
      </c>
      <c r="S201" s="52">
        <f t="shared" si="23"/>
        <v>59.9999999999987</v>
      </c>
      <c r="T201" s="121">
        <f t="shared" si="24"/>
        <v>10410</v>
      </c>
      <c r="U201" s="63"/>
      <c r="V201" s="52">
        <v>0</v>
      </c>
      <c r="W201" s="52">
        <v>31.22</v>
      </c>
      <c r="X201" s="52"/>
      <c r="Y201" s="52"/>
      <c r="Z201" s="52"/>
      <c r="AA201" s="52"/>
      <c r="AB201" s="121" t="s">
        <v>70</v>
      </c>
    </row>
    <row r="202" spans="1:28">
      <c r="A202" s="56">
        <f t="shared" si="22"/>
        <v>204</v>
      </c>
      <c r="B202" s="111">
        <v>45947</v>
      </c>
      <c r="C202" s="29">
        <v>45947</v>
      </c>
      <c r="D202" s="80">
        <v>0.302083333333333</v>
      </c>
      <c r="E202" s="127">
        <v>0.75</v>
      </c>
      <c r="F202" s="122">
        <v>1657.72</v>
      </c>
      <c r="G202" s="52">
        <v>1606.28</v>
      </c>
      <c r="H202" s="52">
        <v>1616.75</v>
      </c>
      <c r="I202" s="52">
        <v>1667.73</v>
      </c>
      <c r="J202" s="52">
        <v>1696.51</v>
      </c>
      <c r="K202" s="52">
        <v>1680.62</v>
      </c>
      <c r="L202" s="52">
        <v>1631.94</v>
      </c>
      <c r="M202" s="123">
        <f t="shared" si="25"/>
        <v>11557.55</v>
      </c>
      <c r="N202" s="124">
        <f t="shared" si="19"/>
        <v>758.35</v>
      </c>
      <c r="O202" s="52">
        <v>762.2</v>
      </c>
      <c r="P202" s="52">
        <f t="shared" si="21"/>
        <v>11550.0000000001</v>
      </c>
      <c r="Q202" s="52">
        <f t="shared" si="20"/>
        <v>5.35</v>
      </c>
      <c r="R202" s="52">
        <v>5.37</v>
      </c>
      <c r="S202" s="52">
        <f t="shared" si="23"/>
        <v>60.0000000000014</v>
      </c>
      <c r="T202" s="121">
        <f t="shared" si="24"/>
        <v>11490.0000000001</v>
      </c>
      <c r="U202" s="63"/>
      <c r="V202" s="52">
        <v>0</v>
      </c>
      <c r="W202" s="52">
        <v>32.86</v>
      </c>
      <c r="X202" s="52"/>
      <c r="Y202" s="52"/>
      <c r="Z202" s="52"/>
      <c r="AA202" s="52"/>
      <c r="AB202" s="121" t="s">
        <v>70</v>
      </c>
    </row>
    <row r="203" spans="1:28">
      <c r="A203" s="56">
        <f t="shared" si="22"/>
        <v>205</v>
      </c>
      <c r="B203" s="111">
        <v>45948</v>
      </c>
      <c r="C203" s="29">
        <v>45948</v>
      </c>
      <c r="D203" s="80">
        <v>0.302083333333333</v>
      </c>
      <c r="E203" s="127">
        <v>0.71875</v>
      </c>
      <c r="F203" s="122">
        <v>1814.7</v>
      </c>
      <c r="G203" s="52">
        <v>1778.88</v>
      </c>
      <c r="H203" s="52">
        <v>1817.26</v>
      </c>
      <c r="I203" s="52">
        <v>1850.21</v>
      </c>
      <c r="J203" s="52">
        <v>1861.26</v>
      </c>
      <c r="K203" s="52">
        <v>1833.51</v>
      </c>
      <c r="L203" s="52">
        <v>1768.74</v>
      </c>
      <c r="M203" s="123">
        <f t="shared" si="25"/>
        <v>12724.56</v>
      </c>
      <c r="N203" s="124">
        <f t="shared" si="19"/>
        <v>762.2</v>
      </c>
      <c r="O203" s="52">
        <v>766.41</v>
      </c>
      <c r="P203" s="52">
        <f t="shared" si="21"/>
        <v>12629.9999999998</v>
      </c>
      <c r="Q203" s="52">
        <f t="shared" si="20"/>
        <v>5.37</v>
      </c>
      <c r="R203" s="52">
        <v>5.39</v>
      </c>
      <c r="S203" s="52">
        <f t="shared" si="23"/>
        <v>59.9999999999987</v>
      </c>
      <c r="T203" s="121">
        <f t="shared" si="24"/>
        <v>12569.9999999998</v>
      </c>
      <c r="U203" s="63"/>
      <c r="V203" s="52">
        <v>0</v>
      </c>
      <c r="W203" s="52">
        <v>32.69</v>
      </c>
      <c r="X203" s="52"/>
      <c r="Y203" s="52"/>
      <c r="Z203" s="52"/>
      <c r="AA203" s="52"/>
      <c r="AB203" s="121" t="s">
        <v>70</v>
      </c>
    </row>
    <row r="204" spans="1:28">
      <c r="A204" s="56">
        <f t="shared" si="22"/>
        <v>206</v>
      </c>
      <c r="B204" s="111">
        <v>45949</v>
      </c>
      <c r="C204" s="29">
        <v>45949</v>
      </c>
      <c r="D204" s="80">
        <v>0.302083333333333</v>
      </c>
      <c r="E204" s="127">
        <v>0.71875</v>
      </c>
      <c r="F204" s="122">
        <v>1676.74</v>
      </c>
      <c r="G204" s="52">
        <v>1647.53</v>
      </c>
      <c r="H204" s="52">
        <v>1672.25</v>
      </c>
      <c r="I204" s="52">
        <v>1720.59</v>
      </c>
      <c r="J204" s="52">
        <v>1751.56</v>
      </c>
      <c r="K204" s="52">
        <v>1744.75</v>
      </c>
      <c r="L204" s="52">
        <v>1696.47</v>
      </c>
      <c r="M204" s="123">
        <f t="shared" si="25"/>
        <v>11909.89</v>
      </c>
      <c r="N204" s="124">
        <f t="shared" si="19"/>
        <v>766.41</v>
      </c>
      <c r="O204" s="52">
        <v>770.34</v>
      </c>
      <c r="P204" s="52">
        <f t="shared" si="21"/>
        <v>11790.0000000002</v>
      </c>
      <c r="Q204" s="52">
        <f t="shared" si="20"/>
        <v>5.39</v>
      </c>
      <c r="R204" s="52">
        <v>5.41</v>
      </c>
      <c r="S204" s="52">
        <f t="shared" si="23"/>
        <v>60.0000000000014</v>
      </c>
      <c r="T204" s="121">
        <f t="shared" si="24"/>
        <v>11730.0000000002</v>
      </c>
      <c r="U204" s="63"/>
      <c r="V204" s="52">
        <v>0</v>
      </c>
      <c r="W204" s="52">
        <v>32.06</v>
      </c>
      <c r="X204" s="52"/>
      <c r="Y204" s="52"/>
      <c r="Z204" s="52"/>
      <c r="AA204" s="52"/>
      <c r="AB204" s="121" t="s">
        <v>70</v>
      </c>
    </row>
    <row r="205" spans="1:28">
      <c r="A205" s="56">
        <f t="shared" si="22"/>
        <v>207</v>
      </c>
      <c r="B205" s="111">
        <v>45950</v>
      </c>
      <c r="C205" s="29">
        <v>45950</v>
      </c>
      <c r="D205" s="80">
        <v>0.302083333333333</v>
      </c>
      <c r="E205" s="127">
        <v>0.71875</v>
      </c>
      <c r="F205" s="122">
        <v>1649.46</v>
      </c>
      <c r="G205" s="52">
        <v>1626.9</v>
      </c>
      <c r="H205" s="52">
        <v>1654.25</v>
      </c>
      <c r="I205" s="52">
        <v>1709.62</v>
      </c>
      <c r="J205" s="52">
        <v>1731.46</v>
      </c>
      <c r="K205" s="52">
        <v>1726.42</v>
      </c>
      <c r="L205" s="52">
        <v>1676.93</v>
      </c>
      <c r="M205" s="123">
        <f t="shared" si="25"/>
        <v>11775.04</v>
      </c>
      <c r="N205" s="124">
        <f t="shared" ref="N205:N268" si="26">O204</f>
        <v>770.34</v>
      </c>
      <c r="O205" s="52">
        <v>774.24</v>
      </c>
      <c r="P205" s="52">
        <f t="shared" si="21"/>
        <v>11699.9999999999</v>
      </c>
      <c r="Q205" s="52">
        <f t="shared" ref="Q205:Q268" si="27">R204</f>
        <v>5.41</v>
      </c>
      <c r="R205" s="52">
        <v>5.43</v>
      </c>
      <c r="S205" s="52">
        <f t="shared" si="23"/>
        <v>59.9999999999987</v>
      </c>
      <c r="T205" s="121">
        <f t="shared" si="24"/>
        <v>11639.9999999999</v>
      </c>
      <c r="U205" s="63"/>
      <c r="V205" s="52">
        <v>0</v>
      </c>
      <c r="W205" s="52">
        <v>32.79</v>
      </c>
      <c r="X205" s="52"/>
      <c r="Y205" s="52"/>
      <c r="Z205" s="52"/>
      <c r="AA205" s="52"/>
      <c r="AB205" s="121" t="s">
        <v>70</v>
      </c>
    </row>
    <row r="206" spans="1:28">
      <c r="A206" s="56">
        <f t="shared" si="22"/>
        <v>208</v>
      </c>
      <c r="B206" s="111">
        <v>45951</v>
      </c>
      <c r="C206" s="29">
        <v>45951</v>
      </c>
      <c r="D206" s="80">
        <v>0.302083333333333</v>
      </c>
      <c r="E206" s="127">
        <v>0.71875</v>
      </c>
      <c r="F206" s="122">
        <v>1413.52</v>
      </c>
      <c r="G206" s="52">
        <v>1394.03</v>
      </c>
      <c r="H206" s="52">
        <v>1415.81</v>
      </c>
      <c r="I206" s="52">
        <v>1464.35</v>
      </c>
      <c r="J206" s="52">
        <v>1483.87</v>
      </c>
      <c r="K206" s="52">
        <v>1480.67</v>
      </c>
      <c r="L206" s="52">
        <v>1447.86</v>
      </c>
      <c r="M206" s="123">
        <f t="shared" si="25"/>
        <v>10100.11</v>
      </c>
      <c r="N206" s="124">
        <f t="shared" si="26"/>
        <v>774.24</v>
      </c>
      <c r="O206" s="52">
        <v>777.58</v>
      </c>
      <c r="P206" s="52">
        <f t="shared" si="21"/>
        <v>10020.0000000001</v>
      </c>
      <c r="Q206" s="52">
        <f t="shared" si="27"/>
        <v>5.43</v>
      </c>
      <c r="R206" s="52">
        <v>5.45</v>
      </c>
      <c r="S206" s="52">
        <f t="shared" si="23"/>
        <v>60.0000000000014</v>
      </c>
      <c r="T206" s="121">
        <f t="shared" si="24"/>
        <v>9960.00000000009</v>
      </c>
      <c r="U206" s="63"/>
      <c r="V206" s="52">
        <v>0</v>
      </c>
      <c r="W206" s="52">
        <v>31.88</v>
      </c>
      <c r="X206" s="52"/>
      <c r="Y206" s="52"/>
      <c r="Z206" s="52"/>
      <c r="AA206" s="52"/>
      <c r="AB206" s="121" t="s">
        <v>70</v>
      </c>
    </row>
    <row r="207" spans="1:28">
      <c r="A207" s="56">
        <f t="shared" si="22"/>
        <v>209</v>
      </c>
      <c r="B207" s="111">
        <v>45952</v>
      </c>
      <c r="C207" s="29">
        <v>45952</v>
      </c>
      <c r="D207" s="80">
        <v>0.302083333333333</v>
      </c>
      <c r="E207" s="127">
        <v>0.71875</v>
      </c>
      <c r="F207" s="122">
        <v>1591.9</v>
      </c>
      <c r="G207" s="52">
        <v>1639.59</v>
      </c>
      <c r="H207" s="52">
        <v>1646.14</v>
      </c>
      <c r="I207" s="52">
        <v>1424.1</v>
      </c>
      <c r="J207" s="52">
        <v>1574.17</v>
      </c>
      <c r="K207" s="52">
        <v>1552.51</v>
      </c>
      <c r="L207" s="52">
        <v>1574.26</v>
      </c>
      <c r="M207" s="123">
        <f t="shared" si="25"/>
        <v>11002.67</v>
      </c>
      <c r="N207" s="124">
        <f t="shared" si="26"/>
        <v>777.58</v>
      </c>
      <c r="O207" s="52">
        <v>781.28</v>
      </c>
      <c r="P207" s="52">
        <f t="shared" si="21"/>
        <v>11099.9999999998</v>
      </c>
      <c r="Q207" s="52">
        <f t="shared" si="27"/>
        <v>5.45</v>
      </c>
      <c r="R207" s="52">
        <v>5.48</v>
      </c>
      <c r="S207" s="52">
        <f t="shared" si="23"/>
        <v>90.0000000000007</v>
      </c>
      <c r="T207" s="121">
        <f t="shared" si="24"/>
        <v>11009.9999999998</v>
      </c>
      <c r="U207" s="63"/>
      <c r="V207" s="52">
        <v>0</v>
      </c>
      <c r="W207" s="52">
        <v>31.34</v>
      </c>
      <c r="X207" s="52"/>
      <c r="Y207" s="52"/>
      <c r="Z207" s="52"/>
      <c r="AA207" s="52"/>
      <c r="AB207" s="121" t="s">
        <v>70</v>
      </c>
    </row>
    <row r="208" spans="1:28">
      <c r="A208" s="56">
        <f t="shared" si="22"/>
        <v>210</v>
      </c>
      <c r="B208" s="111">
        <v>45953</v>
      </c>
      <c r="C208" s="29">
        <v>45953</v>
      </c>
      <c r="D208" s="80">
        <v>0.302083333333333</v>
      </c>
      <c r="E208" s="127">
        <v>0.71875</v>
      </c>
      <c r="F208" s="52">
        <v>1535.65</v>
      </c>
      <c r="G208" s="52">
        <v>1514.1</v>
      </c>
      <c r="H208" s="52">
        <v>1534.97</v>
      </c>
      <c r="I208" s="52">
        <v>1581.53</v>
      </c>
      <c r="J208" s="52">
        <v>1603.74</v>
      </c>
      <c r="K208" s="52">
        <v>1599.29</v>
      </c>
      <c r="L208" s="52">
        <v>1551.01</v>
      </c>
      <c r="M208" s="123">
        <f t="shared" si="25"/>
        <v>10920.29</v>
      </c>
      <c r="N208" s="124">
        <f t="shared" si="26"/>
        <v>781.28</v>
      </c>
      <c r="O208" s="52">
        <v>784.89</v>
      </c>
      <c r="P208" s="52">
        <f t="shared" si="21"/>
        <v>10830</v>
      </c>
      <c r="Q208" s="52">
        <f t="shared" si="27"/>
        <v>5.48</v>
      </c>
      <c r="R208" s="52">
        <v>5.5</v>
      </c>
      <c r="S208" s="52">
        <f t="shared" si="23"/>
        <v>59.9999999999987</v>
      </c>
      <c r="T208" s="121">
        <f t="shared" si="24"/>
        <v>10770</v>
      </c>
      <c r="U208" s="63"/>
      <c r="V208" s="52">
        <v>0</v>
      </c>
      <c r="W208" s="52">
        <v>31.55</v>
      </c>
      <c r="X208" s="52"/>
      <c r="Y208" s="52"/>
      <c r="Z208" s="52"/>
      <c r="AA208" s="52"/>
      <c r="AB208" s="121" t="s">
        <v>70</v>
      </c>
    </row>
    <row r="209" spans="1:28">
      <c r="A209" s="56">
        <f t="shared" si="22"/>
        <v>211</v>
      </c>
      <c r="B209" s="111">
        <v>45954</v>
      </c>
      <c r="C209" s="29">
        <v>45954</v>
      </c>
      <c r="D209" s="80">
        <v>0.302083333333333</v>
      </c>
      <c r="E209" s="127">
        <v>0.71875</v>
      </c>
      <c r="F209" s="122">
        <v>1487.68</v>
      </c>
      <c r="G209" s="52">
        <v>1462.34</v>
      </c>
      <c r="H209" s="52">
        <v>1482.42</v>
      </c>
      <c r="I209" s="52">
        <v>1536.4</v>
      </c>
      <c r="J209" s="52">
        <v>1554.74</v>
      </c>
      <c r="K209" s="52">
        <v>1547.32</v>
      </c>
      <c r="L209" s="52">
        <v>1498.4</v>
      </c>
      <c r="M209" s="123">
        <f t="shared" si="25"/>
        <v>10569.3</v>
      </c>
      <c r="N209" s="124">
        <f t="shared" si="26"/>
        <v>784.89</v>
      </c>
      <c r="O209" s="52">
        <v>788.38</v>
      </c>
      <c r="P209" s="52">
        <f t="shared" si="21"/>
        <v>10470</v>
      </c>
      <c r="Q209" s="52">
        <f t="shared" si="27"/>
        <v>5.5</v>
      </c>
      <c r="R209" s="52">
        <v>5.52</v>
      </c>
      <c r="S209" s="52">
        <f t="shared" si="23"/>
        <v>59.9999999999987</v>
      </c>
      <c r="T209" s="121">
        <f t="shared" si="24"/>
        <v>10410</v>
      </c>
      <c r="U209" s="63"/>
      <c r="V209" s="52">
        <v>0</v>
      </c>
      <c r="W209" s="52">
        <v>31.6</v>
      </c>
      <c r="X209" s="52"/>
      <c r="Y209" s="52"/>
      <c r="Z209" s="52"/>
      <c r="AA209" s="52"/>
      <c r="AB209" s="121" t="s">
        <v>70</v>
      </c>
    </row>
    <row r="210" spans="1:28">
      <c r="A210" s="56">
        <f t="shared" si="22"/>
        <v>212</v>
      </c>
      <c r="B210" s="111">
        <v>45955</v>
      </c>
      <c r="C210" s="29">
        <v>45955</v>
      </c>
      <c r="D210" s="80">
        <v>0.302083333333333</v>
      </c>
      <c r="E210" s="127">
        <v>0.739583333333333</v>
      </c>
      <c r="F210" s="122">
        <v>1522.03</v>
      </c>
      <c r="G210" s="52">
        <v>1504.79</v>
      </c>
      <c r="H210" s="52">
        <v>1527.97</v>
      </c>
      <c r="I210" s="52">
        <v>1574.57</v>
      </c>
      <c r="J210" s="52">
        <v>1601.97</v>
      </c>
      <c r="K210" s="52">
        <v>1601.25</v>
      </c>
      <c r="L210" s="52">
        <v>1557.63</v>
      </c>
      <c r="M210" s="123">
        <f t="shared" si="25"/>
        <v>10890.21</v>
      </c>
      <c r="N210" s="124">
        <f t="shared" si="26"/>
        <v>788.38</v>
      </c>
      <c r="O210" s="52">
        <v>791.98</v>
      </c>
      <c r="P210" s="52">
        <f t="shared" si="21"/>
        <v>10800.0000000001</v>
      </c>
      <c r="Q210" s="52">
        <f t="shared" si="27"/>
        <v>5.52</v>
      </c>
      <c r="R210" s="52">
        <v>5.54</v>
      </c>
      <c r="S210" s="52">
        <f t="shared" si="23"/>
        <v>60.0000000000014</v>
      </c>
      <c r="T210" s="121">
        <f t="shared" si="24"/>
        <v>10740.0000000001</v>
      </c>
      <c r="U210" s="63"/>
      <c r="V210" s="52">
        <v>0</v>
      </c>
      <c r="W210" s="52">
        <v>31.23</v>
      </c>
      <c r="X210" s="52"/>
      <c r="Y210" s="52"/>
      <c r="Z210" s="52"/>
      <c r="AA210" s="52"/>
      <c r="AB210" s="121" t="s">
        <v>70</v>
      </c>
    </row>
    <row r="211" spans="1:28">
      <c r="A211" s="56">
        <f t="shared" si="22"/>
        <v>213</v>
      </c>
      <c r="B211" s="111">
        <v>45956</v>
      </c>
      <c r="C211" s="29">
        <v>45956</v>
      </c>
      <c r="D211" s="80">
        <v>0.3125</v>
      </c>
      <c r="E211" s="127">
        <v>0.697916666666667</v>
      </c>
      <c r="F211" s="122">
        <v>364.32</v>
      </c>
      <c r="G211" s="52">
        <v>358.74</v>
      </c>
      <c r="H211" s="52">
        <v>365.72</v>
      </c>
      <c r="I211" s="52">
        <v>381.36</v>
      </c>
      <c r="J211" s="52">
        <v>377.63</v>
      </c>
      <c r="K211" s="52">
        <v>376.99</v>
      </c>
      <c r="L211" s="52">
        <v>379.15</v>
      </c>
      <c r="M211" s="123">
        <f t="shared" si="25"/>
        <v>2603.91</v>
      </c>
      <c r="N211" s="124">
        <f t="shared" si="26"/>
        <v>791.98</v>
      </c>
      <c r="O211" s="52">
        <v>792.84</v>
      </c>
      <c r="P211" s="52">
        <f t="shared" si="21"/>
        <v>2580.00000000004</v>
      </c>
      <c r="Q211" s="52">
        <f t="shared" si="27"/>
        <v>5.54</v>
      </c>
      <c r="R211" s="52">
        <v>5.56</v>
      </c>
      <c r="S211" s="52">
        <f t="shared" si="23"/>
        <v>59.9999999999987</v>
      </c>
      <c r="T211" s="121">
        <f t="shared" si="24"/>
        <v>2520.00000000004</v>
      </c>
      <c r="U211" s="63"/>
      <c r="V211" s="52">
        <v>0</v>
      </c>
      <c r="W211" s="52">
        <v>25.44</v>
      </c>
      <c r="X211" s="52"/>
      <c r="Y211" s="52"/>
      <c r="Z211" s="52"/>
      <c r="AA211" s="52"/>
      <c r="AB211" s="121" t="s">
        <v>72</v>
      </c>
    </row>
    <row r="212" spans="1:28">
      <c r="A212" s="56">
        <f t="shared" si="22"/>
        <v>214</v>
      </c>
      <c r="B212" s="111">
        <v>45957</v>
      </c>
      <c r="C212" s="29">
        <v>45957</v>
      </c>
      <c r="D212" s="80">
        <v>0.3125</v>
      </c>
      <c r="E212" s="127">
        <v>0.729166666666667</v>
      </c>
      <c r="F212" s="122">
        <v>323.91</v>
      </c>
      <c r="G212" s="52">
        <v>318.78</v>
      </c>
      <c r="H212" s="52">
        <v>326.69</v>
      </c>
      <c r="I212" s="52">
        <v>340.52</v>
      </c>
      <c r="J212" s="52">
        <v>337.07</v>
      </c>
      <c r="K212" s="52">
        <v>335.88</v>
      </c>
      <c r="L212" s="52">
        <v>337.04</v>
      </c>
      <c r="M212" s="123">
        <f t="shared" si="25"/>
        <v>2319.89</v>
      </c>
      <c r="N212" s="124">
        <f t="shared" si="26"/>
        <v>792.84</v>
      </c>
      <c r="O212" s="52">
        <v>793.6</v>
      </c>
      <c r="P212" s="52">
        <f t="shared" si="21"/>
        <v>2279.99999999997</v>
      </c>
      <c r="Q212" s="52">
        <f t="shared" si="27"/>
        <v>5.56</v>
      </c>
      <c r="R212" s="52">
        <v>5.59</v>
      </c>
      <c r="S212" s="52">
        <f t="shared" si="23"/>
        <v>90.0000000000007</v>
      </c>
      <c r="T212" s="121">
        <f t="shared" si="24"/>
        <v>2189.99999999997</v>
      </c>
      <c r="U212" s="63"/>
      <c r="V212" s="52">
        <v>0</v>
      </c>
      <c r="W212" s="52">
        <v>23.9</v>
      </c>
      <c r="X212" s="52"/>
      <c r="Y212" s="52"/>
      <c r="Z212" s="52"/>
      <c r="AA212" s="52"/>
      <c r="AB212" s="121" t="s">
        <v>73</v>
      </c>
    </row>
    <row r="213" spans="1:28">
      <c r="A213" s="56">
        <f t="shared" si="22"/>
        <v>215</v>
      </c>
      <c r="B213" s="111">
        <v>45958</v>
      </c>
      <c r="C213" s="29">
        <v>45958</v>
      </c>
      <c r="D213" s="80">
        <v>0.395833333333333</v>
      </c>
      <c r="E213" s="127">
        <v>0.729166666666667</v>
      </c>
      <c r="F213" s="122">
        <v>240.84</v>
      </c>
      <c r="G213" s="52">
        <v>236.91</v>
      </c>
      <c r="H213" s="52">
        <v>243.4</v>
      </c>
      <c r="I213" s="52">
        <v>252.87</v>
      </c>
      <c r="J213" s="52">
        <v>249.54</v>
      </c>
      <c r="K213" s="52">
        <v>248.21</v>
      </c>
      <c r="L213" s="52">
        <v>249.64</v>
      </c>
      <c r="M213" s="123">
        <f t="shared" si="25"/>
        <v>1721.41</v>
      </c>
      <c r="N213" s="124">
        <f t="shared" si="26"/>
        <v>793.6</v>
      </c>
      <c r="O213" s="52">
        <v>794.16</v>
      </c>
      <c r="P213" s="52">
        <f t="shared" si="21"/>
        <v>1679.99999999984</v>
      </c>
      <c r="Q213" s="52">
        <f t="shared" si="27"/>
        <v>5.59</v>
      </c>
      <c r="R213" s="52">
        <v>5.61</v>
      </c>
      <c r="S213" s="52">
        <f t="shared" si="23"/>
        <v>60.0000000000014</v>
      </c>
      <c r="T213" s="121">
        <f t="shared" si="24"/>
        <v>1619.99999999983</v>
      </c>
      <c r="U213" s="63"/>
      <c r="V213" s="52">
        <v>0</v>
      </c>
      <c r="W213" s="52">
        <v>23.66</v>
      </c>
      <c r="X213" s="52"/>
      <c r="Y213" s="52"/>
      <c r="Z213" s="52"/>
      <c r="AA213" s="52"/>
      <c r="AB213" s="121" t="s">
        <v>73</v>
      </c>
    </row>
    <row r="214" spans="1:28">
      <c r="A214" s="56">
        <f t="shared" si="22"/>
        <v>216</v>
      </c>
      <c r="B214" s="111">
        <v>45959</v>
      </c>
      <c r="C214" s="29">
        <v>45959</v>
      </c>
      <c r="D214" s="80">
        <v>0.333333333333333</v>
      </c>
      <c r="E214" s="127">
        <v>0.708333333333333</v>
      </c>
      <c r="F214" s="122">
        <v>461.38</v>
      </c>
      <c r="G214" s="52">
        <v>454.13</v>
      </c>
      <c r="H214" s="52">
        <v>461.5</v>
      </c>
      <c r="I214" s="52">
        <v>479.77</v>
      </c>
      <c r="J214" s="52">
        <v>476.93</v>
      </c>
      <c r="K214" s="52">
        <v>475.35</v>
      </c>
      <c r="L214" s="52">
        <v>473.06</v>
      </c>
      <c r="M214" s="123">
        <f t="shared" si="25"/>
        <v>3282.12</v>
      </c>
      <c r="N214" s="124">
        <f t="shared" si="26"/>
        <v>794.16</v>
      </c>
      <c r="O214" s="52">
        <v>795.24</v>
      </c>
      <c r="P214" s="52">
        <f t="shared" si="21"/>
        <v>3240.00000000012</v>
      </c>
      <c r="Q214" s="52">
        <f t="shared" si="27"/>
        <v>5.61</v>
      </c>
      <c r="R214" s="52">
        <v>5.63</v>
      </c>
      <c r="S214" s="52">
        <f t="shared" si="23"/>
        <v>59.9999999999987</v>
      </c>
      <c r="T214" s="121">
        <f t="shared" si="24"/>
        <v>3180.00000000012</v>
      </c>
      <c r="U214" s="63"/>
      <c r="V214" s="52">
        <v>0</v>
      </c>
      <c r="W214" s="52">
        <v>24.37</v>
      </c>
      <c r="X214" s="52"/>
      <c r="Y214" s="52"/>
      <c r="Z214" s="52"/>
      <c r="AA214" s="52"/>
      <c r="AB214" s="121" t="s">
        <v>72</v>
      </c>
    </row>
    <row r="215" spans="1:28">
      <c r="A215" s="56">
        <f t="shared" si="22"/>
        <v>217</v>
      </c>
      <c r="B215" s="111">
        <v>45960</v>
      </c>
      <c r="C215" s="29">
        <v>45960</v>
      </c>
      <c r="D215" s="80">
        <v>0.3125</v>
      </c>
      <c r="E215" s="127">
        <v>0.729166666666667</v>
      </c>
      <c r="F215" s="122">
        <v>333.93</v>
      </c>
      <c r="G215" s="52">
        <v>328.94</v>
      </c>
      <c r="H215" s="52">
        <v>337.02</v>
      </c>
      <c r="I215" s="52">
        <v>351.83</v>
      </c>
      <c r="J215" s="52">
        <v>348.97</v>
      </c>
      <c r="K215" s="52">
        <v>347.99</v>
      </c>
      <c r="L215" s="52">
        <v>349.06</v>
      </c>
      <c r="M215" s="123">
        <f t="shared" si="25"/>
        <v>2397.74</v>
      </c>
      <c r="N215" s="124">
        <f t="shared" si="26"/>
        <v>795.24</v>
      </c>
      <c r="O215" s="52">
        <v>796.03</v>
      </c>
      <c r="P215" s="52">
        <f t="shared" si="21"/>
        <v>2369.99999999989</v>
      </c>
      <c r="Q215" s="52">
        <f t="shared" si="27"/>
        <v>5.63</v>
      </c>
      <c r="R215" s="52">
        <v>5.66</v>
      </c>
      <c r="S215" s="52">
        <f t="shared" si="23"/>
        <v>90.0000000000007</v>
      </c>
      <c r="T215" s="121">
        <f t="shared" si="24"/>
        <v>2279.99999999989</v>
      </c>
      <c r="U215" s="63"/>
      <c r="V215" s="52">
        <v>0</v>
      </c>
      <c r="W215" s="52">
        <v>23.8</v>
      </c>
      <c r="X215" s="52"/>
      <c r="Y215" s="52"/>
      <c r="Z215" s="52"/>
      <c r="AA215" s="52"/>
      <c r="AB215" s="121" t="s">
        <v>73</v>
      </c>
    </row>
    <row r="216" spans="1:28">
      <c r="A216" s="56">
        <f t="shared" si="22"/>
        <v>218</v>
      </c>
      <c r="B216" s="111">
        <v>45961</v>
      </c>
      <c r="C216" s="29">
        <v>45961</v>
      </c>
      <c r="D216" s="80">
        <v>0.333333333333333</v>
      </c>
      <c r="E216" s="127">
        <v>0.708333333333333</v>
      </c>
      <c r="F216" s="122">
        <v>382.67</v>
      </c>
      <c r="G216" s="52">
        <v>377.09</v>
      </c>
      <c r="H216" s="52">
        <v>383.96</v>
      </c>
      <c r="I216" s="52">
        <v>399.46</v>
      </c>
      <c r="J216" s="52">
        <v>396.76</v>
      </c>
      <c r="K216" s="52">
        <v>394.78</v>
      </c>
      <c r="L216" s="52">
        <v>393.47</v>
      </c>
      <c r="M216" s="123">
        <f t="shared" si="25"/>
        <v>2728.19</v>
      </c>
      <c r="N216" s="124">
        <f t="shared" si="26"/>
        <v>796.03</v>
      </c>
      <c r="O216" s="52">
        <v>796.92</v>
      </c>
      <c r="P216" s="52">
        <f t="shared" ref="P216:P279" si="28">MAX((O216-N216)*3000,0)</f>
        <v>2669.99999999996</v>
      </c>
      <c r="Q216" s="52">
        <f t="shared" si="27"/>
        <v>5.66</v>
      </c>
      <c r="R216" s="52">
        <v>5.68</v>
      </c>
      <c r="S216" s="52">
        <f t="shared" si="23"/>
        <v>59.9999999999987</v>
      </c>
      <c r="T216" s="121">
        <f t="shared" si="24"/>
        <v>2609.99999999996</v>
      </c>
      <c r="U216" s="63"/>
      <c r="V216" s="52">
        <v>0</v>
      </c>
      <c r="W216" s="52">
        <v>23.67</v>
      </c>
      <c r="X216" s="52"/>
      <c r="Y216" s="52"/>
      <c r="Z216" s="52"/>
      <c r="AA216" s="52"/>
      <c r="AB216" s="121" t="s">
        <v>72</v>
      </c>
    </row>
    <row r="217" spans="1:28">
      <c r="A217" s="56">
        <f t="shared" si="22"/>
        <v>219</v>
      </c>
      <c r="B217" s="111">
        <v>45962</v>
      </c>
      <c r="C217" s="29">
        <v>45962</v>
      </c>
      <c r="D217" s="80">
        <v>0.3125</v>
      </c>
      <c r="E217" s="127">
        <v>0.71875</v>
      </c>
      <c r="F217" s="122">
        <v>698.15</v>
      </c>
      <c r="G217" s="52">
        <v>689.06</v>
      </c>
      <c r="H217" s="52">
        <v>698.76</v>
      </c>
      <c r="I217" s="52">
        <v>728.08</v>
      </c>
      <c r="J217" s="52">
        <v>727.63</v>
      </c>
      <c r="K217" s="52">
        <v>725.11</v>
      </c>
      <c r="L217" s="52">
        <v>715.43</v>
      </c>
      <c r="M217" s="123">
        <f t="shared" si="25"/>
        <v>4982.22</v>
      </c>
      <c r="N217" s="124">
        <f t="shared" si="26"/>
        <v>796.92</v>
      </c>
      <c r="O217" s="52">
        <v>798.57</v>
      </c>
      <c r="P217" s="52">
        <f t="shared" si="28"/>
        <v>4950.00000000027</v>
      </c>
      <c r="Q217" s="52">
        <f t="shared" si="27"/>
        <v>5.68</v>
      </c>
      <c r="R217" s="52">
        <v>5.7</v>
      </c>
      <c r="S217" s="52">
        <f t="shared" si="23"/>
        <v>60.0000000000014</v>
      </c>
      <c r="T217" s="121">
        <f t="shared" si="24"/>
        <v>4890.00000000027</v>
      </c>
      <c r="U217" s="63"/>
      <c r="V217" s="52">
        <v>1.21</v>
      </c>
      <c r="W217" s="52">
        <v>26.27</v>
      </c>
      <c r="X217" s="52"/>
      <c r="Y217" s="52"/>
      <c r="Z217" s="52"/>
      <c r="AA217" s="52"/>
      <c r="AB217" s="121" t="s">
        <v>72</v>
      </c>
    </row>
    <row r="218" spans="1:28">
      <c r="A218" s="56">
        <f t="shared" si="22"/>
        <v>220</v>
      </c>
      <c r="B218" s="111">
        <v>45963</v>
      </c>
      <c r="C218" s="29">
        <v>45963</v>
      </c>
      <c r="D218" s="80">
        <v>0.302083333333333</v>
      </c>
      <c r="E218" s="127">
        <v>0.739583333333333</v>
      </c>
      <c r="F218" s="122">
        <v>1494.69</v>
      </c>
      <c r="G218" s="52">
        <v>1475.57</v>
      </c>
      <c r="H218" s="52">
        <v>1488.67</v>
      </c>
      <c r="I218" s="52">
        <v>1519.41</v>
      </c>
      <c r="J218" s="52">
        <v>1543.17</v>
      </c>
      <c r="K218" s="52">
        <v>1529.94</v>
      </c>
      <c r="L218" s="52">
        <v>1471.1</v>
      </c>
      <c r="M218" s="123">
        <f t="shared" si="25"/>
        <v>10522.55</v>
      </c>
      <c r="N218" s="124">
        <f t="shared" si="26"/>
        <v>798.57</v>
      </c>
      <c r="O218" s="52">
        <v>802.04</v>
      </c>
      <c r="P218" s="52">
        <f t="shared" si="28"/>
        <v>10409.9999999997</v>
      </c>
      <c r="Q218" s="52">
        <f t="shared" si="27"/>
        <v>5.7</v>
      </c>
      <c r="R218" s="52">
        <v>5.73</v>
      </c>
      <c r="S218" s="52">
        <f t="shared" si="23"/>
        <v>90.0000000000007</v>
      </c>
      <c r="T218" s="121">
        <f t="shared" si="24"/>
        <v>10319.9999999997</v>
      </c>
      <c r="U218" s="63"/>
      <c r="V218" s="52">
        <v>0</v>
      </c>
      <c r="W218" s="52">
        <v>29.51</v>
      </c>
      <c r="X218" s="52"/>
      <c r="Y218" s="52"/>
      <c r="Z218" s="52"/>
      <c r="AA218" s="52"/>
      <c r="AB218" s="121" t="s">
        <v>70</v>
      </c>
    </row>
    <row r="219" spans="1:28">
      <c r="A219" s="56">
        <f t="shared" si="22"/>
        <v>221</v>
      </c>
      <c r="B219" s="111">
        <v>45964</v>
      </c>
      <c r="C219" s="29">
        <v>45964</v>
      </c>
      <c r="D219" s="80">
        <v>0.302083333333333</v>
      </c>
      <c r="E219" s="127">
        <v>0.739583333333333</v>
      </c>
      <c r="F219" s="122">
        <v>1405.19</v>
      </c>
      <c r="G219" s="52">
        <v>1416.18</v>
      </c>
      <c r="H219" s="52">
        <v>1416.18</v>
      </c>
      <c r="I219" s="52">
        <v>1447.15</v>
      </c>
      <c r="J219" s="52">
        <v>1470.42</v>
      </c>
      <c r="K219" s="52">
        <v>1459.81</v>
      </c>
      <c r="L219" s="52">
        <v>1381.82</v>
      </c>
      <c r="M219" s="123">
        <f t="shared" si="25"/>
        <v>9996.75</v>
      </c>
      <c r="N219" s="124">
        <f t="shared" si="26"/>
        <v>802.04</v>
      </c>
      <c r="O219" s="52">
        <v>805.35</v>
      </c>
      <c r="P219" s="52">
        <f t="shared" si="28"/>
        <v>9930.00000000018</v>
      </c>
      <c r="Q219" s="52">
        <f t="shared" si="27"/>
        <v>5.73</v>
      </c>
      <c r="R219" s="52">
        <v>5.75</v>
      </c>
      <c r="S219" s="52">
        <f t="shared" si="23"/>
        <v>59.9999999999987</v>
      </c>
      <c r="T219" s="121">
        <f t="shared" si="24"/>
        <v>9870.00000000018</v>
      </c>
      <c r="U219" s="63"/>
      <c r="V219" s="52">
        <v>0</v>
      </c>
      <c r="W219" s="52">
        <v>29.34</v>
      </c>
      <c r="X219" s="52"/>
      <c r="Y219" s="52"/>
      <c r="Z219" s="52"/>
      <c r="AA219" s="52"/>
      <c r="AB219" s="121" t="s">
        <v>70</v>
      </c>
    </row>
    <row r="220" spans="1:28">
      <c r="A220" s="56">
        <f t="shared" si="22"/>
        <v>222</v>
      </c>
      <c r="B220" s="111">
        <v>45965</v>
      </c>
      <c r="C220" s="29">
        <v>45965</v>
      </c>
      <c r="D220" s="80">
        <v>0.302083333333333</v>
      </c>
      <c r="E220" s="127">
        <v>0.739583333333333</v>
      </c>
      <c r="F220" s="122">
        <v>1780.9</v>
      </c>
      <c r="G220" s="52">
        <v>1758.41</v>
      </c>
      <c r="H220" s="52">
        <v>1776.25</v>
      </c>
      <c r="I220" s="52">
        <v>1827.33</v>
      </c>
      <c r="J220" s="52">
        <v>1860.41</v>
      </c>
      <c r="K220" s="52">
        <v>1853.25</v>
      </c>
      <c r="L220" s="52">
        <v>1771.09</v>
      </c>
      <c r="M220" s="123">
        <f t="shared" si="25"/>
        <v>12627.64</v>
      </c>
      <c r="N220" s="124">
        <f t="shared" si="26"/>
        <v>805.35</v>
      </c>
      <c r="O220" s="52">
        <v>809.52</v>
      </c>
      <c r="P220" s="52">
        <f t="shared" si="28"/>
        <v>12509.9999999999</v>
      </c>
      <c r="Q220" s="52">
        <f t="shared" si="27"/>
        <v>5.75</v>
      </c>
      <c r="R220" s="52">
        <v>5.77</v>
      </c>
      <c r="S220" s="52">
        <f t="shared" si="23"/>
        <v>59.9999999999987</v>
      </c>
      <c r="T220" s="121">
        <f t="shared" si="24"/>
        <v>12449.9999999999</v>
      </c>
      <c r="U220" s="63"/>
      <c r="V220" s="52">
        <v>0</v>
      </c>
      <c r="W220" s="52">
        <v>28.86</v>
      </c>
      <c r="X220" s="52"/>
      <c r="Y220" s="52"/>
      <c r="Z220" s="52"/>
      <c r="AA220" s="52"/>
      <c r="AB220" s="121" t="s">
        <v>70</v>
      </c>
    </row>
    <row r="221" spans="1:28">
      <c r="A221" s="56">
        <f t="shared" si="22"/>
        <v>223</v>
      </c>
      <c r="B221" s="111">
        <v>45966</v>
      </c>
      <c r="C221" s="29">
        <v>45966</v>
      </c>
      <c r="D221" s="80">
        <v>0.302083333333333</v>
      </c>
      <c r="E221" s="127">
        <v>0.739583333333333</v>
      </c>
      <c r="F221" s="122">
        <v>1780.4</v>
      </c>
      <c r="G221" s="52">
        <v>1752.24</v>
      </c>
      <c r="H221" s="52">
        <v>1769.44</v>
      </c>
      <c r="I221" s="52">
        <v>1816.78</v>
      </c>
      <c r="J221" s="52">
        <v>1845.3</v>
      </c>
      <c r="K221" s="52">
        <v>1828.55</v>
      </c>
      <c r="L221" s="52">
        <v>1746.05</v>
      </c>
      <c r="M221" s="123">
        <f t="shared" si="25"/>
        <v>12538.76</v>
      </c>
      <c r="N221" s="124">
        <f t="shared" si="26"/>
        <v>809.52</v>
      </c>
      <c r="O221" s="52">
        <v>813.66</v>
      </c>
      <c r="P221" s="52">
        <f t="shared" si="28"/>
        <v>12420</v>
      </c>
      <c r="Q221" s="52">
        <f t="shared" si="27"/>
        <v>5.77</v>
      </c>
      <c r="R221" s="52">
        <v>5.79</v>
      </c>
      <c r="S221" s="52">
        <f t="shared" si="23"/>
        <v>60.0000000000014</v>
      </c>
      <c r="T221" s="121">
        <f t="shared" si="24"/>
        <v>12360</v>
      </c>
      <c r="U221" s="63"/>
      <c r="V221" s="52">
        <v>0</v>
      </c>
      <c r="W221" s="52">
        <v>29.79</v>
      </c>
      <c r="X221" s="52"/>
      <c r="Y221" s="52"/>
      <c r="Z221" s="52"/>
      <c r="AA221" s="52"/>
      <c r="AB221" s="121" t="s">
        <v>70</v>
      </c>
    </row>
    <row r="222" spans="1:28">
      <c r="A222" s="56">
        <f t="shared" si="22"/>
        <v>224</v>
      </c>
      <c r="B222" s="111">
        <v>45967</v>
      </c>
      <c r="C222" s="29">
        <v>45967</v>
      </c>
      <c r="D222" s="80">
        <v>0.302083333333333</v>
      </c>
      <c r="E222" s="127">
        <v>0.739583333333333</v>
      </c>
      <c r="F222" s="122">
        <v>1770.01</v>
      </c>
      <c r="G222" s="52">
        <v>1746.81</v>
      </c>
      <c r="H222" s="52">
        <v>1766.03</v>
      </c>
      <c r="I222" s="52">
        <v>1817.62</v>
      </c>
      <c r="J222" s="52">
        <v>1848.1</v>
      </c>
      <c r="K222" s="52">
        <v>1835.07</v>
      </c>
      <c r="L222" s="52">
        <v>1750.81</v>
      </c>
      <c r="M222" s="123">
        <f t="shared" si="25"/>
        <v>12534.45</v>
      </c>
      <c r="N222" s="124">
        <f t="shared" si="26"/>
        <v>813.66</v>
      </c>
      <c r="O222" s="52">
        <v>817.8</v>
      </c>
      <c r="P222" s="52">
        <f t="shared" si="28"/>
        <v>12420</v>
      </c>
      <c r="Q222" s="52">
        <f t="shared" si="27"/>
        <v>5.79</v>
      </c>
      <c r="R222" s="52">
        <v>5.81</v>
      </c>
      <c r="S222" s="52">
        <f t="shared" si="23"/>
        <v>59.9999999999987</v>
      </c>
      <c r="T222" s="121">
        <f t="shared" si="24"/>
        <v>12360</v>
      </c>
      <c r="U222" s="63"/>
      <c r="V222" s="52">
        <v>0</v>
      </c>
      <c r="W222" s="52">
        <v>29.3</v>
      </c>
      <c r="X222" s="52"/>
      <c r="Y222" s="52"/>
      <c r="Z222" s="52"/>
      <c r="AA222" s="52"/>
      <c r="AB222" s="121" t="s">
        <v>70</v>
      </c>
    </row>
    <row r="223" spans="1:28">
      <c r="A223" s="56">
        <f t="shared" si="22"/>
        <v>225</v>
      </c>
      <c r="B223" s="111">
        <v>45968</v>
      </c>
      <c r="C223" s="29">
        <v>45968</v>
      </c>
      <c r="D223" s="80">
        <v>0.302083333333333</v>
      </c>
      <c r="E223" s="127">
        <v>0.739583333333333</v>
      </c>
      <c r="F223" s="122">
        <v>1708.32</v>
      </c>
      <c r="G223" s="52">
        <v>1685.94</v>
      </c>
      <c r="H223" s="52">
        <v>1704.44</v>
      </c>
      <c r="I223" s="52">
        <v>1752.56</v>
      </c>
      <c r="J223" s="52">
        <v>1783.57</v>
      </c>
      <c r="K223" s="52">
        <v>1756.32</v>
      </c>
      <c r="L223" s="52">
        <v>1692.64</v>
      </c>
      <c r="M223" s="123">
        <f t="shared" si="25"/>
        <v>12083.79</v>
      </c>
      <c r="N223" s="124">
        <f t="shared" si="26"/>
        <v>817.8</v>
      </c>
      <c r="O223" s="52">
        <v>821.78</v>
      </c>
      <c r="P223" s="52">
        <f t="shared" si="28"/>
        <v>11940.0000000001</v>
      </c>
      <c r="Q223" s="52">
        <f t="shared" si="27"/>
        <v>5.81</v>
      </c>
      <c r="R223" s="52">
        <v>5.83</v>
      </c>
      <c r="S223" s="52">
        <f t="shared" si="23"/>
        <v>60.0000000000014</v>
      </c>
      <c r="T223" s="121">
        <f t="shared" si="24"/>
        <v>11880.0000000001</v>
      </c>
      <c r="U223" s="63"/>
      <c r="V223" s="52">
        <v>3.68</v>
      </c>
      <c r="W223" s="52">
        <v>28.83</v>
      </c>
      <c r="X223" s="52"/>
      <c r="Y223" s="52"/>
      <c r="Z223" s="52"/>
      <c r="AA223" s="52"/>
      <c r="AB223" s="121" t="s">
        <v>70</v>
      </c>
    </row>
    <row r="224" spans="1:28">
      <c r="A224" s="56">
        <f t="shared" si="22"/>
        <v>226</v>
      </c>
      <c r="B224" s="111">
        <v>45969</v>
      </c>
      <c r="C224" s="29">
        <v>45969</v>
      </c>
      <c r="D224" s="80">
        <v>0.302083333333333</v>
      </c>
      <c r="E224" s="127">
        <v>0.739583333333333</v>
      </c>
      <c r="F224" s="122">
        <v>1735.25</v>
      </c>
      <c r="G224" s="52">
        <v>1714.56</v>
      </c>
      <c r="H224" s="52">
        <v>1732.94</v>
      </c>
      <c r="I224" s="52">
        <v>1781.91</v>
      </c>
      <c r="J224" s="52">
        <v>1817.12</v>
      </c>
      <c r="K224" s="52">
        <v>1799.82</v>
      </c>
      <c r="L224" s="52">
        <v>1713.49</v>
      </c>
      <c r="M224" s="123">
        <f t="shared" si="25"/>
        <v>12295.09</v>
      </c>
      <c r="N224" s="124">
        <f t="shared" si="26"/>
        <v>821.78</v>
      </c>
      <c r="O224" s="52">
        <v>825.85</v>
      </c>
      <c r="P224" s="52">
        <f t="shared" si="28"/>
        <v>12210.0000000001</v>
      </c>
      <c r="Q224" s="52">
        <f t="shared" si="27"/>
        <v>5.83</v>
      </c>
      <c r="R224" s="52">
        <v>5.86</v>
      </c>
      <c r="S224" s="52">
        <f t="shared" si="23"/>
        <v>90.0000000000007</v>
      </c>
      <c r="T224" s="121">
        <f t="shared" si="24"/>
        <v>12120.0000000001</v>
      </c>
      <c r="U224" s="63"/>
      <c r="V224" s="52">
        <v>3.93</v>
      </c>
      <c r="W224" s="52">
        <v>28.74</v>
      </c>
      <c r="X224" s="52"/>
      <c r="Y224" s="52"/>
      <c r="Z224" s="52"/>
      <c r="AA224" s="52"/>
      <c r="AB224" s="121" t="s">
        <v>70</v>
      </c>
    </row>
    <row r="225" spans="1:28">
      <c r="A225" s="56">
        <f t="shared" si="22"/>
        <v>227</v>
      </c>
      <c r="B225" s="111">
        <v>45970</v>
      </c>
      <c r="C225" s="29">
        <v>45970</v>
      </c>
      <c r="D225" s="80">
        <v>0.302083333333333</v>
      </c>
      <c r="E225" s="127">
        <v>0.739583333333333</v>
      </c>
      <c r="F225" s="122">
        <v>1775.28</v>
      </c>
      <c r="G225" s="52">
        <v>1751.79</v>
      </c>
      <c r="H225" s="52">
        <v>1762.79</v>
      </c>
      <c r="I225" s="52">
        <v>1816.15</v>
      </c>
      <c r="J225" s="52">
        <v>1850.02</v>
      </c>
      <c r="K225" s="52">
        <v>1830.53</v>
      </c>
      <c r="L225" s="52">
        <v>1739.79</v>
      </c>
      <c r="M225" s="123">
        <f t="shared" si="25"/>
        <v>12526.35</v>
      </c>
      <c r="N225" s="124">
        <f t="shared" si="26"/>
        <v>825.85</v>
      </c>
      <c r="O225" s="52">
        <v>829.98</v>
      </c>
      <c r="P225" s="52">
        <f t="shared" si="28"/>
        <v>12390</v>
      </c>
      <c r="Q225" s="52">
        <f t="shared" si="27"/>
        <v>5.86</v>
      </c>
      <c r="R225" s="52">
        <v>5.88</v>
      </c>
      <c r="S225" s="52">
        <f t="shared" si="23"/>
        <v>59.9999999999987</v>
      </c>
      <c r="T225" s="121">
        <f t="shared" si="24"/>
        <v>12330</v>
      </c>
      <c r="U225" s="63"/>
      <c r="V225" s="52">
        <v>3.24</v>
      </c>
      <c r="W225" s="52">
        <v>27.95</v>
      </c>
      <c r="X225" s="52"/>
      <c r="Y225" s="52"/>
      <c r="Z225" s="52"/>
      <c r="AA225" s="52"/>
      <c r="AB225" s="121" t="s">
        <v>70</v>
      </c>
    </row>
    <row r="226" spans="1:28">
      <c r="A226" s="56">
        <f t="shared" si="22"/>
        <v>228</v>
      </c>
      <c r="B226" s="111">
        <v>45971</v>
      </c>
      <c r="C226" s="29">
        <v>45971</v>
      </c>
      <c r="D226" s="80">
        <v>0.302083333333333</v>
      </c>
      <c r="E226" s="127">
        <v>0.739583333333333</v>
      </c>
      <c r="F226" s="122">
        <v>1732.74</v>
      </c>
      <c r="G226" s="52">
        <v>1715.16</v>
      </c>
      <c r="H226" s="52">
        <v>1729.88</v>
      </c>
      <c r="I226" s="52">
        <v>1783.06</v>
      </c>
      <c r="J226" s="52">
        <v>1817.5</v>
      </c>
      <c r="K226" s="52">
        <v>1781.2</v>
      </c>
      <c r="L226" s="52">
        <v>1695.41</v>
      </c>
      <c r="M226" s="123">
        <f t="shared" si="25"/>
        <v>12254.95</v>
      </c>
      <c r="N226" s="124">
        <f t="shared" si="26"/>
        <v>829.98</v>
      </c>
      <c r="O226" s="52">
        <v>834.03</v>
      </c>
      <c r="P226" s="52">
        <f t="shared" si="28"/>
        <v>12149.9999999999</v>
      </c>
      <c r="Q226" s="52">
        <f t="shared" si="27"/>
        <v>5.88</v>
      </c>
      <c r="R226" s="52">
        <v>5.9</v>
      </c>
      <c r="S226" s="52">
        <f t="shared" si="23"/>
        <v>60.0000000000014</v>
      </c>
      <c r="T226" s="121">
        <f t="shared" si="24"/>
        <v>12089.9999999999</v>
      </c>
      <c r="U226" s="63"/>
      <c r="V226" s="52">
        <v>3.79</v>
      </c>
      <c r="W226" s="52">
        <v>28.39</v>
      </c>
      <c r="X226" s="52"/>
      <c r="Y226" s="52"/>
      <c r="Z226" s="52"/>
      <c r="AA226" s="52"/>
      <c r="AB226" s="121" t="s">
        <v>70</v>
      </c>
    </row>
    <row r="227" spans="1:28">
      <c r="A227" s="56">
        <f t="shared" si="22"/>
        <v>229</v>
      </c>
      <c r="B227" s="111">
        <v>45972</v>
      </c>
      <c r="C227" s="29">
        <v>45972</v>
      </c>
      <c r="D227" s="80">
        <v>0.3125</v>
      </c>
      <c r="E227" s="127">
        <v>0.739583333333333</v>
      </c>
      <c r="F227" s="122">
        <v>1294.21</v>
      </c>
      <c r="G227" s="52">
        <v>1280.57</v>
      </c>
      <c r="H227" s="52">
        <v>1291.44</v>
      </c>
      <c r="I227" s="52">
        <v>1332.78</v>
      </c>
      <c r="J227" s="52">
        <v>1385.22</v>
      </c>
      <c r="K227" s="52">
        <v>1344.5</v>
      </c>
      <c r="L227" s="52">
        <v>1265.23</v>
      </c>
      <c r="M227" s="123">
        <f t="shared" si="25"/>
        <v>9193.95</v>
      </c>
      <c r="N227" s="124">
        <f t="shared" si="26"/>
        <v>834.03</v>
      </c>
      <c r="O227" s="52">
        <v>837.06</v>
      </c>
      <c r="P227" s="52">
        <f t="shared" si="28"/>
        <v>9089.99999999992</v>
      </c>
      <c r="Q227" s="52">
        <f t="shared" si="27"/>
        <v>5.9</v>
      </c>
      <c r="R227" s="52">
        <v>5.92</v>
      </c>
      <c r="S227" s="52">
        <f t="shared" si="23"/>
        <v>59.9999999999987</v>
      </c>
      <c r="T227" s="121">
        <f t="shared" si="24"/>
        <v>9029.99999999992</v>
      </c>
      <c r="U227" s="63"/>
      <c r="V227" s="52">
        <v>0</v>
      </c>
      <c r="W227" s="52">
        <v>27.54</v>
      </c>
      <c r="X227" s="52"/>
      <c r="Y227" s="52"/>
      <c r="Z227" s="52"/>
      <c r="AA227" s="52"/>
      <c r="AB227" s="121" t="s">
        <v>70</v>
      </c>
    </row>
    <row r="228" spans="1:28">
      <c r="A228" s="56">
        <f t="shared" si="22"/>
        <v>230</v>
      </c>
      <c r="B228" s="111">
        <v>45973</v>
      </c>
      <c r="C228" s="29">
        <v>45973</v>
      </c>
      <c r="D228" s="80">
        <v>0.3125</v>
      </c>
      <c r="E228" s="127">
        <v>0.739583333333333</v>
      </c>
      <c r="F228" s="122">
        <v>1692.85</v>
      </c>
      <c r="G228" s="52">
        <v>1675.2</v>
      </c>
      <c r="H228" s="52">
        <v>1687.09</v>
      </c>
      <c r="I228" s="52">
        <v>1739.87</v>
      </c>
      <c r="J228" s="52">
        <v>1775.25</v>
      </c>
      <c r="K228" s="52">
        <v>1761.47</v>
      </c>
      <c r="L228" s="52">
        <v>1663.22</v>
      </c>
      <c r="M228" s="123">
        <f t="shared" si="25"/>
        <v>11994.95</v>
      </c>
      <c r="N228" s="124">
        <f t="shared" si="26"/>
        <v>837.06</v>
      </c>
      <c r="O228" s="52">
        <v>841.02</v>
      </c>
      <c r="P228" s="52">
        <f t="shared" si="28"/>
        <v>11880.0000000001</v>
      </c>
      <c r="Q228" s="52">
        <f t="shared" si="27"/>
        <v>5.92</v>
      </c>
      <c r="R228" s="52">
        <v>5.94</v>
      </c>
      <c r="S228" s="52">
        <f t="shared" si="23"/>
        <v>60.0000000000014</v>
      </c>
      <c r="T228" s="121">
        <f t="shared" si="24"/>
        <v>11820.0000000001</v>
      </c>
      <c r="U228" s="63"/>
      <c r="V228" s="52">
        <v>3.47</v>
      </c>
      <c r="W228" s="52">
        <v>28.66</v>
      </c>
      <c r="X228" s="52"/>
      <c r="Y228" s="52"/>
      <c r="Z228" s="52"/>
      <c r="AA228" s="52"/>
      <c r="AB228" s="121" t="s">
        <v>70</v>
      </c>
    </row>
    <row r="229" spans="1:28">
      <c r="A229" s="56">
        <f t="shared" si="22"/>
        <v>231</v>
      </c>
      <c r="B229" s="111">
        <v>45974</v>
      </c>
      <c r="C229" s="29">
        <v>45974</v>
      </c>
      <c r="D229" s="80">
        <v>0.3125</v>
      </c>
      <c r="E229" s="127">
        <v>0.739583333333333</v>
      </c>
      <c r="F229" s="122">
        <v>1687.94</v>
      </c>
      <c r="G229" s="52">
        <v>1671.06</v>
      </c>
      <c r="H229" s="52">
        <v>1683.31</v>
      </c>
      <c r="I229" s="52">
        <v>1738.22</v>
      </c>
      <c r="J229" s="52">
        <v>1772.05</v>
      </c>
      <c r="K229" s="52">
        <v>1754.77</v>
      </c>
      <c r="L229" s="52">
        <v>1656.86</v>
      </c>
      <c r="M229" s="123">
        <f t="shared" si="25"/>
        <v>11964.21</v>
      </c>
      <c r="N229" s="124">
        <f t="shared" si="26"/>
        <v>841.02</v>
      </c>
      <c r="O229" s="52">
        <v>844.97</v>
      </c>
      <c r="P229" s="52">
        <f t="shared" si="28"/>
        <v>11850.0000000001</v>
      </c>
      <c r="Q229" s="52">
        <f t="shared" si="27"/>
        <v>5.94</v>
      </c>
      <c r="R229" s="52">
        <v>5.97</v>
      </c>
      <c r="S229" s="52">
        <f t="shared" si="23"/>
        <v>89.9999999999981</v>
      </c>
      <c r="T229" s="121">
        <f t="shared" si="24"/>
        <v>11760.0000000001</v>
      </c>
      <c r="U229" s="63"/>
      <c r="V229" s="52">
        <v>3.24</v>
      </c>
      <c r="W229" s="52">
        <v>27.64</v>
      </c>
      <c r="X229" s="52"/>
      <c r="Y229" s="52"/>
      <c r="Z229" s="52"/>
      <c r="AA229" s="52"/>
      <c r="AB229" s="121" t="s">
        <v>70</v>
      </c>
    </row>
    <row r="230" spans="1:28">
      <c r="A230" s="56">
        <f t="shared" si="22"/>
        <v>232</v>
      </c>
      <c r="B230" s="111">
        <v>45975</v>
      </c>
      <c r="C230" s="29">
        <v>45975</v>
      </c>
      <c r="D230" s="80">
        <v>0.3125</v>
      </c>
      <c r="E230" s="127">
        <v>0.739583333333333</v>
      </c>
      <c r="F230" s="122">
        <v>1642.63</v>
      </c>
      <c r="G230" s="52">
        <v>1628.7</v>
      </c>
      <c r="H230" s="52">
        <v>1640.97</v>
      </c>
      <c r="I230" s="52">
        <v>1691.48</v>
      </c>
      <c r="J230" s="52">
        <v>1723.91</v>
      </c>
      <c r="K230" s="52">
        <v>1710.16</v>
      </c>
      <c r="L230" s="52">
        <v>1628.44</v>
      </c>
      <c r="M230" s="123">
        <f t="shared" si="25"/>
        <v>11666.29</v>
      </c>
      <c r="N230" s="124">
        <f t="shared" si="26"/>
        <v>844.97</v>
      </c>
      <c r="O230" s="52">
        <v>848.83</v>
      </c>
      <c r="P230" s="52">
        <f t="shared" si="28"/>
        <v>11580</v>
      </c>
      <c r="Q230" s="52">
        <f t="shared" si="27"/>
        <v>5.97</v>
      </c>
      <c r="R230" s="52">
        <v>5.99</v>
      </c>
      <c r="S230" s="52">
        <f t="shared" si="23"/>
        <v>60.0000000000014</v>
      </c>
      <c r="T230" s="121">
        <f t="shared" si="24"/>
        <v>11520</v>
      </c>
      <c r="U230" s="63"/>
      <c r="V230" s="52">
        <v>3.12</v>
      </c>
      <c r="W230" s="52">
        <v>27.63</v>
      </c>
      <c r="X230" s="52"/>
      <c r="Y230" s="52"/>
      <c r="Z230" s="52"/>
      <c r="AA230" s="52"/>
      <c r="AB230" s="121" t="s">
        <v>70</v>
      </c>
    </row>
    <row r="231" spans="1:28">
      <c r="A231" s="56">
        <f t="shared" si="22"/>
        <v>233</v>
      </c>
      <c r="B231" s="111">
        <v>45976</v>
      </c>
      <c r="C231" s="29">
        <v>45976</v>
      </c>
      <c r="D231" s="80">
        <v>0.3125</v>
      </c>
      <c r="E231" s="127">
        <v>0.729166666666667</v>
      </c>
      <c r="F231" s="122">
        <v>1616.45</v>
      </c>
      <c r="G231" s="52">
        <v>1604.68</v>
      </c>
      <c r="H231" s="52">
        <v>1612.44</v>
      </c>
      <c r="I231" s="52">
        <v>1663.22</v>
      </c>
      <c r="J231" s="52">
        <v>1697</v>
      </c>
      <c r="K231" s="52">
        <v>1681.93</v>
      </c>
      <c r="L231" s="52">
        <v>1599.59</v>
      </c>
      <c r="M231" s="123">
        <f t="shared" si="25"/>
        <v>11475.31</v>
      </c>
      <c r="N231" s="124">
        <f t="shared" si="26"/>
        <v>848.83</v>
      </c>
      <c r="O231" s="52">
        <v>852.68</v>
      </c>
      <c r="P231" s="52">
        <f t="shared" si="28"/>
        <v>11549.9999999997</v>
      </c>
      <c r="Q231" s="52">
        <f t="shared" si="27"/>
        <v>5.99</v>
      </c>
      <c r="R231" s="52">
        <v>6.01</v>
      </c>
      <c r="S231" s="52">
        <f t="shared" si="23"/>
        <v>59.9999999999987</v>
      </c>
      <c r="T231" s="121">
        <f t="shared" si="24"/>
        <v>11489.9999999997</v>
      </c>
      <c r="U231" s="63"/>
      <c r="V231" s="52">
        <v>2.98</v>
      </c>
      <c r="W231" s="52">
        <v>26.85</v>
      </c>
      <c r="X231" s="52"/>
      <c r="Y231" s="52"/>
      <c r="Z231" s="52"/>
      <c r="AA231" s="52"/>
      <c r="AB231" s="121" t="s">
        <v>70</v>
      </c>
    </row>
    <row r="232" spans="1:28">
      <c r="A232" s="56">
        <f t="shared" si="22"/>
        <v>234</v>
      </c>
      <c r="B232" s="111">
        <v>45977</v>
      </c>
      <c r="C232" s="29">
        <v>45977</v>
      </c>
      <c r="D232" s="80">
        <v>0.3125</v>
      </c>
      <c r="E232" s="127">
        <v>0.739583333333333</v>
      </c>
      <c r="F232" s="122">
        <v>1557.01</v>
      </c>
      <c r="G232" s="52">
        <v>1542.38</v>
      </c>
      <c r="H232" s="52">
        <v>1552.23</v>
      </c>
      <c r="I232" s="52">
        <v>1604.98</v>
      </c>
      <c r="J232" s="52">
        <v>1633.82</v>
      </c>
      <c r="K232" s="52">
        <v>1618.63</v>
      </c>
      <c r="L232" s="52">
        <v>1538.91</v>
      </c>
      <c r="M232" s="123">
        <f t="shared" si="25"/>
        <v>11047.96</v>
      </c>
      <c r="N232" s="124">
        <f t="shared" si="26"/>
        <v>852.68</v>
      </c>
      <c r="O232" s="52">
        <v>856.27</v>
      </c>
      <c r="P232" s="52">
        <f t="shared" si="28"/>
        <v>10770.0000000001</v>
      </c>
      <c r="Q232" s="52">
        <f t="shared" si="27"/>
        <v>6.01</v>
      </c>
      <c r="R232" s="52">
        <v>6.03</v>
      </c>
      <c r="S232" s="52">
        <f t="shared" si="23"/>
        <v>60.0000000000014</v>
      </c>
      <c r="T232" s="121">
        <f t="shared" si="24"/>
        <v>10710.0000000001</v>
      </c>
      <c r="U232" s="63"/>
      <c r="V232" s="52">
        <v>2.77</v>
      </c>
      <c r="W232" s="52">
        <v>25.88</v>
      </c>
      <c r="X232" s="52"/>
      <c r="Y232" s="52"/>
      <c r="Z232" s="52"/>
      <c r="AA232" s="52"/>
      <c r="AB232" s="121" t="s">
        <v>70</v>
      </c>
    </row>
    <row r="233" spans="1:28">
      <c r="A233" s="56">
        <f t="shared" si="22"/>
        <v>235</v>
      </c>
      <c r="B233" s="111">
        <v>45978</v>
      </c>
      <c r="C233" s="29">
        <v>45978</v>
      </c>
      <c r="D233" s="80">
        <v>0.3125</v>
      </c>
      <c r="E233" s="127">
        <v>0.729166666666667</v>
      </c>
      <c r="F233" s="122">
        <v>1641.8</v>
      </c>
      <c r="G233" s="52">
        <v>1630.41</v>
      </c>
      <c r="H233" s="52">
        <v>1636.1</v>
      </c>
      <c r="I233" s="52">
        <v>1689.4</v>
      </c>
      <c r="J233" s="52">
        <v>1722.96</v>
      </c>
      <c r="K233" s="52">
        <v>1684.61</v>
      </c>
      <c r="L233" s="52">
        <v>1596.32</v>
      </c>
      <c r="M233" s="123">
        <f t="shared" si="25"/>
        <v>11601.6</v>
      </c>
      <c r="N233" s="124">
        <f t="shared" si="26"/>
        <v>856.27</v>
      </c>
      <c r="O233" s="52">
        <v>860.1</v>
      </c>
      <c r="P233" s="52">
        <f t="shared" si="28"/>
        <v>11490.0000000001</v>
      </c>
      <c r="Q233" s="52">
        <f t="shared" si="27"/>
        <v>6.03</v>
      </c>
      <c r="R233" s="52">
        <v>6.05</v>
      </c>
      <c r="S233" s="52">
        <f t="shared" si="23"/>
        <v>59.9999999999987</v>
      </c>
      <c r="T233" s="121">
        <f t="shared" si="24"/>
        <v>11430.0000000001</v>
      </c>
      <c r="U233" s="63"/>
      <c r="V233" s="52">
        <v>2.79</v>
      </c>
      <c r="W233" s="52">
        <v>25.12</v>
      </c>
      <c r="X233" s="52"/>
      <c r="Y233" s="52"/>
      <c r="Z233" s="52"/>
      <c r="AA233" s="52"/>
      <c r="AB233" s="121" t="s">
        <v>70</v>
      </c>
    </row>
    <row r="234" spans="1:28">
      <c r="A234" s="56">
        <f t="shared" si="22"/>
        <v>236</v>
      </c>
      <c r="B234" s="111">
        <v>45979</v>
      </c>
      <c r="C234" s="29">
        <v>45979</v>
      </c>
      <c r="D234" s="80">
        <v>0.313194444444444</v>
      </c>
      <c r="E234" s="127">
        <v>0.729166666666667</v>
      </c>
      <c r="F234" s="122">
        <v>1641.55</v>
      </c>
      <c r="G234" s="52">
        <v>1631.15</v>
      </c>
      <c r="H234" s="52">
        <v>1638.56</v>
      </c>
      <c r="I234" s="52">
        <v>1689.98</v>
      </c>
      <c r="J234" s="52">
        <v>1722.76</v>
      </c>
      <c r="K234" s="52">
        <v>1709.22</v>
      </c>
      <c r="L234" s="52">
        <v>1617.84</v>
      </c>
      <c r="M234" s="123">
        <f t="shared" si="25"/>
        <v>11651.06</v>
      </c>
      <c r="N234" s="124">
        <f t="shared" si="26"/>
        <v>860.1</v>
      </c>
      <c r="O234" s="52">
        <v>863.95</v>
      </c>
      <c r="P234" s="52">
        <f t="shared" si="28"/>
        <v>11550.0000000001</v>
      </c>
      <c r="Q234" s="52">
        <f t="shared" si="27"/>
        <v>6.05</v>
      </c>
      <c r="R234" s="52">
        <v>6.08</v>
      </c>
      <c r="S234" s="52">
        <f t="shared" si="23"/>
        <v>90.0000000000007</v>
      </c>
      <c r="T234" s="121">
        <f t="shared" si="24"/>
        <v>11460.0000000001</v>
      </c>
      <c r="U234" s="63"/>
      <c r="V234" s="52">
        <v>2.74</v>
      </c>
      <c r="W234" s="52">
        <v>25.39</v>
      </c>
      <c r="X234" s="52"/>
      <c r="Y234" s="52"/>
      <c r="Z234" s="52"/>
      <c r="AA234" s="52"/>
      <c r="AB234" s="121" t="s">
        <v>70</v>
      </c>
    </row>
    <row r="235" spans="1:28">
      <c r="A235" s="56">
        <f t="shared" si="22"/>
        <v>237</v>
      </c>
      <c r="B235" s="111">
        <v>45980</v>
      </c>
      <c r="C235" s="29">
        <v>45980</v>
      </c>
      <c r="D235" s="80">
        <v>0.313194444444444</v>
      </c>
      <c r="E235" s="127">
        <v>0.729166666666667</v>
      </c>
      <c r="F235" s="52">
        <v>1518.06</v>
      </c>
      <c r="G235" s="52">
        <v>1508.09</v>
      </c>
      <c r="H235" s="52">
        <v>1515.3</v>
      </c>
      <c r="I235" s="52">
        <v>1565.76</v>
      </c>
      <c r="J235" s="52">
        <v>1595.65</v>
      </c>
      <c r="K235" s="52">
        <v>1580.55</v>
      </c>
      <c r="L235" s="52">
        <v>1499.26</v>
      </c>
      <c r="M235" s="123">
        <f t="shared" si="25"/>
        <v>10782.67</v>
      </c>
      <c r="N235" s="124">
        <f t="shared" si="26"/>
        <v>863.95</v>
      </c>
      <c r="O235" s="52">
        <v>867.52</v>
      </c>
      <c r="P235" s="52">
        <f t="shared" si="28"/>
        <v>10709.9999999998</v>
      </c>
      <c r="Q235" s="52">
        <f t="shared" si="27"/>
        <v>6.08</v>
      </c>
      <c r="R235" s="52">
        <v>6.1</v>
      </c>
      <c r="S235" s="52">
        <f t="shared" si="23"/>
        <v>59.9999999999987</v>
      </c>
      <c r="T235" s="121">
        <f t="shared" si="24"/>
        <v>10649.9999999998</v>
      </c>
      <c r="U235" s="63"/>
      <c r="V235" s="52">
        <v>2.78</v>
      </c>
      <c r="W235" s="52">
        <v>25.75</v>
      </c>
      <c r="X235" s="52"/>
      <c r="Y235" s="52"/>
      <c r="Z235" s="52"/>
      <c r="AA235" s="52"/>
      <c r="AB235" s="121" t="s">
        <v>70</v>
      </c>
    </row>
    <row r="236" spans="1:28">
      <c r="A236" s="56">
        <f t="shared" si="22"/>
        <v>238</v>
      </c>
      <c r="B236" s="111">
        <v>45981</v>
      </c>
      <c r="C236" s="29">
        <v>45981</v>
      </c>
      <c r="D236" s="80">
        <v>0.3125</v>
      </c>
      <c r="E236" s="127">
        <v>0.729166666666667</v>
      </c>
      <c r="F236" s="122">
        <v>1525.05</v>
      </c>
      <c r="G236" s="52">
        <v>1516.06</v>
      </c>
      <c r="H236" s="52">
        <v>1524.08</v>
      </c>
      <c r="I236" s="52">
        <v>1574.67</v>
      </c>
      <c r="J236" s="52">
        <v>1606.53</v>
      </c>
      <c r="K236" s="52">
        <v>1690.61</v>
      </c>
      <c r="L236" s="52">
        <v>1508.95</v>
      </c>
      <c r="M236" s="123">
        <f t="shared" si="25"/>
        <v>10945.95</v>
      </c>
      <c r="N236" s="124">
        <f t="shared" si="26"/>
        <v>867.52</v>
      </c>
      <c r="O236" s="52">
        <v>871.1</v>
      </c>
      <c r="P236" s="52">
        <f t="shared" si="28"/>
        <v>10740.0000000001</v>
      </c>
      <c r="Q236" s="52">
        <f t="shared" si="27"/>
        <v>6.1</v>
      </c>
      <c r="R236" s="52">
        <v>6.12</v>
      </c>
      <c r="S236" s="52">
        <f t="shared" si="23"/>
        <v>60.0000000000014</v>
      </c>
      <c r="T236" s="121">
        <f t="shared" si="24"/>
        <v>10680.0000000001</v>
      </c>
      <c r="U236" s="63"/>
      <c r="V236" s="52">
        <v>2.78</v>
      </c>
      <c r="W236" s="52">
        <v>25.82</v>
      </c>
      <c r="X236" s="52"/>
      <c r="Y236" s="52"/>
      <c r="Z236" s="52"/>
      <c r="AA236" s="52"/>
      <c r="AB236" s="121" t="s">
        <v>70</v>
      </c>
    </row>
    <row r="237" spans="1:28">
      <c r="A237" s="56">
        <f t="shared" si="22"/>
        <v>239</v>
      </c>
      <c r="B237" s="111">
        <v>45982</v>
      </c>
      <c r="C237" s="29">
        <v>45982</v>
      </c>
      <c r="D237" s="80">
        <v>0.3125</v>
      </c>
      <c r="E237" s="127">
        <v>0.729166666666667</v>
      </c>
      <c r="F237" s="122">
        <v>1449.14</v>
      </c>
      <c r="G237" s="52">
        <v>1439.05</v>
      </c>
      <c r="H237" s="52">
        <v>1437.3</v>
      </c>
      <c r="I237" s="52">
        <v>1497.38</v>
      </c>
      <c r="J237" s="52">
        <v>1524.83</v>
      </c>
      <c r="K237" s="52">
        <v>1511.35</v>
      </c>
      <c r="L237" s="52">
        <v>1437.61</v>
      </c>
      <c r="M237" s="123">
        <f t="shared" si="25"/>
        <v>10296.66</v>
      </c>
      <c r="N237" s="124">
        <f t="shared" si="26"/>
        <v>871.1</v>
      </c>
      <c r="O237" s="52">
        <v>874.51</v>
      </c>
      <c r="P237" s="52">
        <f t="shared" si="28"/>
        <v>10229.9999999999</v>
      </c>
      <c r="Q237" s="52">
        <f t="shared" si="27"/>
        <v>6.12</v>
      </c>
      <c r="R237" s="52">
        <v>6.14</v>
      </c>
      <c r="S237" s="52">
        <f t="shared" si="23"/>
        <v>59.9999999999987</v>
      </c>
      <c r="T237" s="121">
        <f t="shared" si="24"/>
        <v>10169.9999999999</v>
      </c>
      <c r="U237" s="63"/>
      <c r="V237" s="52">
        <v>2.85</v>
      </c>
      <c r="W237" s="52">
        <v>26.48</v>
      </c>
      <c r="X237" s="52"/>
      <c r="Y237" s="52"/>
      <c r="Z237" s="52"/>
      <c r="AA237" s="52"/>
      <c r="AB237" s="121" t="s">
        <v>70</v>
      </c>
    </row>
    <row r="238" spans="1:28">
      <c r="A238" s="56">
        <f t="shared" si="22"/>
        <v>240</v>
      </c>
      <c r="B238" s="111">
        <v>45983</v>
      </c>
      <c r="C238" s="29">
        <v>45983</v>
      </c>
      <c r="D238" s="80">
        <v>0.3125</v>
      </c>
      <c r="E238" s="127">
        <v>0.729166666666667</v>
      </c>
      <c r="F238" s="122">
        <v>1504.05</v>
      </c>
      <c r="G238" s="52">
        <v>1496.72</v>
      </c>
      <c r="H238" s="52">
        <v>1504.47</v>
      </c>
      <c r="I238" s="52">
        <v>1554.05</v>
      </c>
      <c r="J238" s="52">
        <v>1583.98</v>
      </c>
      <c r="K238" s="52">
        <v>1568.35</v>
      </c>
      <c r="L238" s="52">
        <v>1488.36</v>
      </c>
      <c r="M238" s="123">
        <f t="shared" si="25"/>
        <v>10699.98</v>
      </c>
      <c r="N238" s="124">
        <f t="shared" si="26"/>
        <v>874.51</v>
      </c>
      <c r="O238" s="52">
        <v>878.05</v>
      </c>
      <c r="P238" s="52">
        <f t="shared" si="28"/>
        <v>10619.9999999999</v>
      </c>
      <c r="Q238" s="52">
        <f t="shared" si="27"/>
        <v>6.14</v>
      </c>
      <c r="R238" s="52">
        <v>6.17</v>
      </c>
      <c r="S238" s="52">
        <f t="shared" si="23"/>
        <v>90.0000000000007</v>
      </c>
      <c r="T238" s="121">
        <f t="shared" si="24"/>
        <v>10529.9999999999</v>
      </c>
      <c r="U238" s="63"/>
      <c r="V238" s="52">
        <v>2.91</v>
      </c>
      <c r="W238" s="52">
        <v>26.87</v>
      </c>
      <c r="X238" s="52"/>
      <c r="Y238" s="52"/>
      <c r="Z238" s="52"/>
      <c r="AA238" s="52"/>
      <c r="AB238" s="121" t="s">
        <v>70</v>
      </c>
    </row>
    <row r="239" spans="1:28">
      <c r="A239" s="56">
        <f t="shared" si="22"/>
        <v>241</v>
      </c>
      <c r="B239" s="111">
        <v>45984</v>
      </c>
      <c r="C239" s="29">
        <v>45984</v>
      </c>
      <c r="D239" s="80">
        <v>0.3125</v>
      </c>
      <c r="E239" s="127">
        <v>0.729166666666667</v>
      </c>
      <c r="F239" s="122">
        <v>1551.24</v>
      </c>
      <c r="G239" s="52">
        <v>1542.22</v>
      </c>
      <c r="H239" s="52">
        <v>1550.93</v>
      </c>
      <c r="I239" s="52">
        <v>1601.7</v>
      </c>
      <c r="J239" s="52">
        <v>1628.72</v>
      </c>
      <c r="K239" s="52">
        <v>1615.61</v>
      </c>
      <c r="L239" s="52">
        <v>1505.22</v>
      </c>
      <c r="M239" s="123">
        <f t="shared" si="25"/>
        <v>10995.64</v>
      </c>
      <c r="N239" s="124">
        <f t="shared" si="26"/>
        <v>878.05</v>
      </c>
      <c r="O239" s="52">
        <v>881.68</v>
      </c>
      <c r="P239" s="52">
        <f t="shared" si="28"/>
        <v>10890</v>
      </c>
      <c r="Q239" s="52">
        <f t="shared" si="27"/>
        <v>6.17</v>
      </c>
      <c r="R239" s="52">
        <v>6.19</v>
      </c>
      <c r="S239" s="52">
        <f t="shared" si="23"/>
        <v>60.0000000000014</v>
      </c>
      <c r="T239" s="121">
        <f t="shared" si="24"/>
        <v>10830</v>
      </c>
      <c r="U239" s="63"/>
      <c r="V239" s="52">
        <v>2.36</v>
      </c>
      <c r="W239" s="52">
        <v>26.68</v>
      </c>
      <c r="X239" s="52"/>
      <c r="Y239" s="52"/>
      <c r="Z239" s="52"/>
      <c r="AA239" s="52"/>
      <c r="AB239" s="121" t="s">
        <v>70</v>
      </c>
    </row>
    <row r="240" spans="1:28">
      <c r="A240" s="56">
        <f t="shared" si="22"/>
        <v>242</v>
      </c>
      <c r="B240" s="111">
        <v>45985</v>
      </c>
      <c r="C240" s="29">
        <v>45985</v>
      </c>
      <c r="D240" s="80">
        <v>0.3125</v>
      </c>
      <c r="E240" s="127">
        <v>0.729166666666667</v>
      </c>
      <c r="F240" s="122">
        <v>1645.71</v>
      </c>
      <c r="G240" s="52">
        <v>1636.23</v>
      </c>
      <c r="H240" s="52">
        <v>1644.37</v>
      </c>
      <c r="I240" s="52">
        <v>1694.41</v>
      </c>
      <c r="J240" s="52">
        <v>1728.34</v>
      </c>
      <c r="K240" s="52">
        <v>1715.29</v>
      </c>
      <c r="L240" s="52">
        <v>1616.14</v>
      </c>
      <c r="M240" s="123">
        <f t="shared" si="25"/>
        <v>11680.49</v>
      </c>
      <c r="N240" s="124">
        <f t="shared" si="26"/>
        <v>881.68</v>
      </c>
      <c r="O240" s="52">
        <v>885.54</v>
      </c>
      <c r="P240" s="52">
        <f t="shared" si="28"/>
        <v>11580</v>
      </c>
      <c r="Q240" s="52">
        <f t="shared" si="27"/>
        <v>6.19</v>
      </c>
      <c r="R240" s="52">
        <v>6.21</v>
      </c>
      <c r="S240" s="52">
        <f t="shared" si="23"/>
        <v>59.9999999999987</v>
      </c>
      <c r="T240" s="121">
        <f t="shared" si="24"/>
        <v>11520</v>
      </c>
      <c r="U240" s="63"/>
      <c r="V240" s="52">
        <v>2.36</v>
      </c>
      <c r="W240" s="52">
        <v>27</v>
      </c>
      <c r="X240" s="52"/>
      <c r="Y240" s="52"/>
      <c r="Z240" s="52"/>
      <c r="AA240" s="52"/>
      <c r="AB240" s="121" t="s">
        <v>70</v>
      </c>
    </row>
    <row r="241" spans="1:28">
      <c r="A241" s="56">
        <f t="shared" si="22"/>
        <v>243</v>
      </c>
      <c r="B241" s="111">
        <v>45986</v>
      </c>
      <c r="C241" s="29">
        <v>45986</v>
      </c>
      <c r="D241" s="80">
        <v>0.3125</v>
      </c>
      <c r="E241" s="127">
        <v>0.729166666666667</v>
      </c>
      <c r="F241" s="122">
        <v>1494.28</v>
      </c>
      <c r="G241" s="52">
        <v>1484.64</v>
      </c>
      <c r="H241" s="52">
        <v>1490.68</v>
      </c>
      <c r="I241" s="52">
        <v>1540.11</v>
      </c>
      <c r="J241" s="52">
        <v>1567.62</v>
      </c>
      <c r="K241" s="52">
        <v>1554.57</v>
      </c>
      <c r="L241" s="52">
        <v>1469.58</v>
      </c>
      <c r="M241" s="123">
        <f t="shared" si="25"/>
        <v>10601.48</v>
      </c>
      <c r="N241" s="124">
        <f t="shared" si="26"/>
        <v>885.54</v>
      </c>
      <c r="O241" s="52">
        <v>889.05</v>
      </c>
      <c r="P241" s="52">
        <f t="shared" si="28"/>
        <v>10530</v>
      </c>
      <c r="Q241" s="52">
        <f t="shared" si="27"/>
        <v>6.21</v>
      </c>
      <c r="R241" s="52">
        <v>6.23</v>
      </c>
      <c r="S241" s="52">
        <f t="shared" si="23"/>
        <v>60.0000000000014</v>
      </c>
      <c r="T241" s="121">
        <f t="shared" si="24"/>
        <v>10470</v>
      </c>
      <c r="U241" s="63"/>
      <c r="V241" s="52">
        <v>2.3</v>
      </c>
      <c r="W241" s="52">
        <v>26.56</v>
      </c>
      <c r="X241" s="52"/>
      <c r="Y241" s="52"/>
      <c r="Z241" s="52"/>
      <c r="AA241" s="52"/>
      <c r="AB241" s="121" t="s">
        <v>70</v>
      </c>
    </row>
    <row r="242" spans="1:28">
      <c r="A242" s="56">
        <f t="shared" si="22"/>
        <v>244</v>
      </c>
      <c r="B242" s="111">
        <v>45987</v>
      </c>
      <c r="C242" s="29">
        <v>45987</v>
      </c>
      <c r="D242" s="80">
        <v>0.3125</v>
      </c>
      <c r="E242" s="127">
        <v>0.729166666666667</v>
      </c>
      <c r="F242" s="122">
        <v>1362.81</v>
      </c>
      <c r="G242" s="52">
        <v>1353.02</v>
      </c>
      <c r="H242" s="52">
        <v>1360.77</v>
      </c>
      <c r="I242" s="52">
        <v>1407.94</v>
      </c>
      <c r="J242" s="52">
        <v>1431.31</v>
      </c>
      <c r="K242" s="52">
        <v>1419.14</v>
      </c>
      <c r="L242" s="52">
        <v>1349.41</v>
      </c>
      <c r="M242" s="123">
        <f t="shared" si="25"/>
        <v>9684.4</v>
      </c>
      <c r="N242" s="124">
        <f t="shared" si="26"/>
        <v>889.05</v>
      </c>
      <c r="O242" s="52">
        <v>892.25</v>
      </c>
      <c r="P242" s="52">
        <f t="shared" si="28"/>
        <v>9600.00000000014</v>
      </c>
      <c r="Q242" s="52">
        <f t="shared" si="27"/>
        <v>6.23</v>
      </c>
      <c r="R242" s="52">
        <v>6.25</v>
      </c>
      <c r="S242" s="52">
        <f t="shared" si="23"/>
        <v>59.9999999999987</v>
      </c>
      <c r="T242" s="121">
        <f t="shared" si="24"/>
        <v>9540.00000000014</v>
      </c>
      <c r="U242" s="63"/>
      <c r="V242" s="52">
        <v>2.31</v>
      </c>
      <c r="W242" s="52">
        <v>27.31</v>
      </c>
      <c r="X242" s="52"/>
      <c r="Y242" s="52"/>
      <c r="Z242" s="52"/>
      <c r="AA242" s="52"/>
      <c r="AB242" s="121" t="s">
        <v>70</v>
      </c>
    </row>
    <row r="243" spans="1:28">
      <c r="A243" s="56">
        <f t="shared" si="22"/>
        <v>245</v>
      </c>
      <c r="B243" s="111">
        <v>45988</v>
      </c>
      <c r="C243" s="29">
        <v>45988</v>
      </c>
      <c r="D243" s="80">
        <v>0.322916666666667</v>
      </c>
      <c r="E243" s="127">
        <v>0.729166666666667</v>
      </c>
      <c r="F243" s="122">
        <v>1272.09</v>
      </c>
      <c r="G243" s="52">
        <v>1262.72</v>
      </c>
      <c r="H243" s="52">
        <v>1271.36</v>
      </c>
      <c r="I243" s="52">
        <v>1317.77</v>
      </c>
      <c r="J243" s="52">
        <v>1337.66</v>
      </c>
      <c r="K243" s="52">
        <v>1326.54</v>
      </c>
      <c r="L243" s="52">
        <v>1266.36</v>
      </c>
      <c r="M243" s="123">
        <f t="shared" si="25"/>
        <v>9054.5</v>
      </c>
      <c r="N243" s="124">
        <f t="shared" si="26"/>
        <v>892.25</v>
      </c>
      <c r="O243" s="52">
        <v>895.25</v>
      </c>
      <c r="P243" s="52">
        <f t="shared" si="28"/>
        <v>9000</v>
      </c>
      <c r="Q243" s="52">
        <f t="shared" si="27"/>
        <v>6.25</v>
      </c>
      <c r="R243" s="52">
        <v>6.27</v>
      </c>
      <c r="S243" s="52">
        <f t="shared" si="23"/>
        <v>59.9999999999987</v>
      </c>
      <c r="T243" s="121">
        <f t="shared" si="24"/>
        <v>8940</v>
      </c>
      <c r="U243" s="63"/>
      <c r="V243" s="52">
        <v>2.98</v>
      </c>
      <c r="W243" s="52">
        <v>27.95</v>
      </c>
      <c r="X243" s="52"/>
      <c r="Y243" s="52"/>
      <c r="Z243" s="52"/>
      <c r="AA243" s="52"/>
      <c r="AB243" s="121" t="s">
        <v>70</v>
      </c>
    </row>
    <row r="244" spans="1:28">
      <c r="A244" s="56">
        <f t="shared" si="22"/>
        <v>246</v>
      </c>
      <c r="B244" s="111">
        <v>45989</v>
      </c>
      <c r="C244" s="29">
        <v>45989</v>
      </c>
      <c r="D244" s="80">
        <v>0.322916666666667</v>
      </c>
      <c r="E244" s="127">
        <v>0.729166666666667</v>
      </c>
      <c r="F244" s="122">
        <v>1174.48</v>
      </c>
      <c r="G244" s="52">
        <v>1161.66</v>
      </c>
      <c r="H244" s="52">
        <v>1166.54</v>
      </c>
      <c r="I244" s="52">
        <v>1211.2</v>
      </c>
      <c r="J244" s="52">
        <v>1226.39</v>
      </c>
      <c r="K244" s="52">
        <v>1215.03</v>
      </c>
      <c r="L244" s="52">
        <v>1163.85</v>
      </c>
      <c r="M244" s="123">
        <f t="shared" si="25"/>
        <v>8319.15</v>
      </c>
      <c r="N244" s="124">
        <f t="shared" si="26"/>
        <v>895.25</v>
      </c>
      <c r="O244" s="52">
        <v>898</v>
      </c>
      <c r="P244" s="52">
        <f t="shared" si="28"/>
        <v>8250</v>
      </c>
      <c r="Q244" s="52">
        <f t="shared" si="27"/>
        <v>6.27</v>
      </c>
      <c r="R244" s="52">
        <v>6.29</v>
      </c>
      <c r="S244" s="52">
        <f t="shared" si="23"/>
        <v>60.0000000000014</v>
      </c>
      <c r="T244" s="121">
        <f t="shared" si="24"/>
        <v>8190</v>
      </c>
      <c r="U244" s="63"/>
      <c r="V244" s="52">
        <v>2.89</v>
      </c>
      <c r="W244" s="52">
        <v>28.07</v>
      </c>
      <c r="X244" s="52"/>
      <c r="Y244" s="52"/>
      <c r="Z244" s="52"/>
      <c r="AA244" s="52"/>
      <c r="AB244" s="121" t="s">
        <v>70</v>
      </c>
    </row>
    <row r="245" spans="1:28">
      <c r="A245" s="56">
        <f t="shared" si="22"/>
        <v>247</v>
      </c>
      <c r="B245" s="111">
        <v>45990</v>
      </c>
      <c r="C245" s="29">
        <v>45990</v>
      </c>
      <c r="D245" s="80">
        <v>0.322916666666667</v>
      </c>
      <c r="E245" s="127">
        <v>0.729166666666667</v>
      </c>
      <c r="F245" s="122">
        <v>1277.55</v>
      </c>
      <c r="G245" s="52">
        <v>1292.14</v>
      </c>
      <c r="H245" s="52">
        <v>1303.55</v>
      </c>
      <c r="I245" s="52">
        <v>1348.3</v>
      </c>
      <c r="J245" s="52">
        <v>1317.61</v>
      </c>
      <c r="K245" s="52">
        <v>1290.74</v>
      </c>
      <c r="L245" s="52">
        <v>1236.17</v>
      </c>
      <c r="M245" s="123">
        <f t="shared" si="25"/>
        <v>9066.06</v>
      </c>
      <c r="N245" s="124">
        <f t="shared" si="26"/>
        <v>898</v>
      </c>
      <c r="O245" s="52">
        <v>901</v>
      </c>
      <c r="P245" s="52">
        <f t="shared" si="28"/>
        <v>9000</v>
      </c>
      <c r="Q245" s="52">
        <f t="shared" si="27"/>
        <v>6.29</v>
      </c>
      <c r="R245" s="52">
        <v>6.32</v>
      </c>
      <c r="S245" s="52">
        <f t="shared" si="23"/>
        <v>90.0000000000007</v>
      </c>
      <c r="T245" s="121">
        <f t="shared" si="24"/>
        <v>8910</v>
      </c>
      <c r="U245" s="63"/>
      <c r="V245" s="52">
        <v>2.58</v>
      </c>
      <c r="W245" s="52">
        <v>27.37</v>
      </c>
      <c r="X245" s="52"/>
      <c r="Y245" s="52"/>
      <c r="Z245" s="52"/>
      <c r="AA245" s="52"/>
      <c r="AB245" s="121" t="s">
        <v>70</v>
      </c>
    </row>
    <row r="246" spans="1:28">
      <c r="A246" s="56">
        <f t="shared" si="22"/>
        <v>248</v>
      </c>
      <c r="B246" s="111">
        <v>45991</v>
      </c>
      <c r="C246" s="29">
        <v>45991</v>
      </c>
      <c r="D246" s="80">
        <v>0.3125</v>
      </c>
      <c r="E246" s="127">
        <v>0.729166666666667</v>
      </c>
      <c r="F246" s="122">
        <v>1428.54</v>
      </c>
      <c r="G246" s="52">
        <v>1448.37</v>
      </c>
      <c r="H246" s="52">
        <v>1458.92</v>
      </c>
      <c r="I246" s="52">
        <v>1512.6</v>
      </c>
      <c r="J246" s="52">
        <v>1518.32</v>
      </c>
      <c r="K246" s="52">
        <v>1517.52</v>
      </c>
      <c r="L246" s="52">
        <v>1433.34</v>
      </c>
      <c r="M246" s="123">
        <f t="shared" si="25"/>
        <v>10317.61</v>
      </c>
      <c r="N246" s="124">
        <f t="shared" si="26"/>
        <v>901</v>
      </c>
      <c r="O246" s="52">
        <v>904.41</v>
      </c>
      <c r="P246" s="52">
        <f t="shared" si="28"/>
        <v>10229.9999999999</v>
      </c>
      <c r="Q246" s="52">
        <f t="shared" si="27"/>
        <v>6.32</v>
      </c>
      <c r="R246" s="52">
        <v>6.34</v>
      </c>
      <c r="S246" s="52">
        <f t="shared" si="23"/>
        <v>59.9999999999987</v>
      </c>
      <c r="T246" s="121">
        <f t="shared" si="24"/>
        <v>10169.9999999999</v>
      </c>
      <c r="U246" s="63"/>
      <c r="V246" s="52">
        <v>3.01</v>
      </c>
      <c r="W246" s="52">
        <v>27.02</v>
      </c>
      <c r="X246" s="52"/>
      <c r="Y246" s="52"/>
      <c r="Z246" s="52"/>
      <c r="AA246" s="52"/>
      <c r="AB246" s="121" t="s">
        <v>70</v>
      </c>
    </row>
    <row r="247" spans="1:28">
      <c r="A247" s="56">
        <f t="shared" si="22"/>
        <v>249</v>
      </c>
      <c r="B247" s="111">
        <v>45992</v>
      </c>
      <c r="C247" s="29">
        <v>45992</v>
      </c>
      <c r="D247" s="80">
        <v>0.3125</v>
      </c>
      <c r="E247" s="127">
        <v>0.729166666666667</v>
      </c>
      <c r="F247" s="122">
        <v>1456.46</v>
      </c>
      <c r="G247" s="52">
        <v>1473.54</v>
      </c>
      <c r="H247" s="52">
        <v>1484.01</v>
      </c>
      <c r="I247" s="52">
        <v>1539.83</v>
      </c>
      <c r="J247" s="52">
        <v>1550.7</v>
      </c>
      <c r="K247" s="52">
        <v>1560.31</v>
      </c>
      <c r="L247" s="52">
        <v>1483.78</v>
      </c>
      <c r="M247" s="123">
        <f t="shared" si="25"/>
        <v>10548.63</v>
      </c>
      <c r="N247" s="124">
        <f t="shared" si="26"/>
        <v>904.41</v>
      </c>
      <c r="O247" s="52">
        <v>907.9</v>
      </c>
      <c r="P247" s="52">
        <f t="shared" si="28"/>
        <v>10470</v>
      </c>
      <c r="Q247" s="52">
        <f t="shared" si="27"/>
        <v>6.34</v>
      </c>
      <c r="R247" s="52">
        <v>6.36</v>
      </c>
      <c r="S247" s="52">
        <f t="shared" si="23"/>
        <v>60.0000000000014</v>
      </c>
      <c r="T247" s="121">
        <f t="shared" si="24"/>
        <v>10410</v>
      </c>
      <c r="U247" s="63"/>
      <c r="V247" s="52">
        <v>2.41</v>
      </c>
      <c r="W247" s="52">
        <v>26.12</v>
      </c>
      <c r="X247" s="52"/>
      <c r="Y247" s="52"/>
      <c r="Z247" s="52"/>
      <c r="AA247" s="52"/>
      <c r="AB247" s="121" t="s">
        <v>70</v>
      </c>
    </row>
    <row r="248" spans="1:28">
      <c r="A248" s="56">
        <f t="shared" si="22"/>
        <v>250</v>
      </c>
      <c r="B248" s="111">
        <v>45993</v>
      </c>
      <c r="C248" s="29">
        <v>45993</v>
      </c>
      <c r="D248" s="80">
        <v>0.3125</v>
      </c>
      <c r="E248" s="127">
        <v>0.739583333333333</v>
      </c>
      <c r="F248" s="122">
        <v>1407.9</v>
      </c>
      <c r="G248" s="52">
        <v>1401.26</v>
      </c>
      <c r="H248" s="52">
        <v>1418.3</v>
      </c>
      <c r="I248" s="52">
        <v>1459.3</v>
      </c>
      <c r="J248" s="52">
        <v>1478.77</v>
      </c>
      <c r="K248" s="52">
        <v>1478.93</v>
      </c>
      <c r="L248" s="52">
        <v>1409.83</v>
      </c>
      <c r="M248" s="123">
        <f t="shared" si="25"/>
        <v>10054.29</v>
      </c>
      <c r="N248" s="124">
        <f t="shared" si="26"/>
        <v>907.9</v>
      </c>
      <c r="O248" s="52">
        <v>911.23</v>
      </c>
      <c r="P248" s="52">
        <f t="shared" si="28"/>
        <v>9990.00000000012</v>
      </c>
      <c r="Q248" s="52">
        <f t="shared" si="27"/>
        <v>6.36</v>
      </c>
      <c r="R248" s="52">
        <v>6.38</v>
      </c>
      <c r="S248" s="52">
        <f t="shared" si="23"/>
        <v>59.9999999999987</v>
      </c>
      <c r="T248" s="121">
        <f t="shared" si="24"/>
        <v>9930.00000000013</v>
      </c>
      <c r="U248" s="63"/>
      <c r="V248" s="52">
        <v>3.5</v>
      </c>
      <c r="W248" s="52">
        <v>25.83</v>
      </c>
      <c r="X248" s="52"/>
      <c r="Y248" s="52"/>
      <c r="Z248" s="52"/>
      <c r="AA248" s="52"/>
      <c r="AB248" s="121" t="s">
        <v>70</v>
      </c>
    </row>
    <row r="249" spans="1:28">
      <c r="A249" s="56">
        <f t="shared" si="22"/>
        <v>251</v>
      </c>
      <c r="B249" s="111">
        <v>45994</v>
      </c>
      <c r="C249" s="29">
        <v>45994</v>
      </c>
      <c r="D249" s="80">
        <v>0.3125</v>
      </c>
      <c r="E249" s="127">
        <v>0.739583333333333</v>
      </c>
      <c r="F249" s="122">
        <v>1545.1</v>
      </c>
      <c r="G249" s="52">
        <v>1542.04</v>
      </c>
      <c r="H249" s="52">
        <v>1550.3</v>
      </c>
      <c r="I249" s="52">
        <v>1593.09</v>
      </c>
      <c r="J249" s="52">
        <v>1608.77</v>
      </c>
      <c r="K249" s="52">
        <v>1609.96</v>
      </c>
      <c r="L249" s="52">
        <v>1513.53</v>
      </c>
      <c r="M249" s="123">
        <f t="shared" si="25"/>
        <v>10962.79</v>
      </c>
      <c r="N249" s="124">
        <f t="shared" si="26"/>
        <v>911.23</v>
      </c>
      <c r="O249" s="52">
        <v>914.85</v>
      </c>
      <c r="P249" s="52">
        <f t="shared" si="28"/>
        <v>10860</v>
      </c>
      <c r="Q249" s="52">
        <f t="shared" si="27"/>
        <v>6.38</v>
      </c>
      <c r="R249" s="52">
        <v>6.4</v>
      </c>
      <c r="S249" s="52">
        <f t="shared" si="23"/>
        <v>60.0000000000014</v>
      </c>
      <c r="T249" s="121">
        <f t="shared" si="24"/>
        <v>10800</v>
      </c>
      <c r="U249" s="63"/>
      <c r="V249" s="52">
        <v>3.86</v>
      </c>
      <c r="W249" s="52">
        <v>24.75</v>
      </c>
      <c r="X249" s="52"/>
      <c r="Y249" s="52"/>
      <c r="Z249" s="52"/>
      <c r="AA249" s="52"/>
      <c r="AB249" s="121" t="s">
        <v>70</v>
      </c>
    </row>
    <row r="250" spans="1:28">
      <c r="A250" s="56">
        <f t="shared" si="22"/>
        <v>252</v>
      </c>
      <c r="B250" s="111">
        <v>45995</v>
      </c>
      <c r="C250" s="29">
        <v>45995</v>
      </c>
      <c r="D250" s="80">
        <v>0.322916666666667</v>
      </c>
      <c r="E250" s="127">
        <v>0.729166666666667</v>
      </c>
      <c r="F250" s="122">
        <v>1511.87</v>
      </c>
      <c r="G250" s="52">
        <v>1507.5</v>
      </c>
      <c r="H250" s="52">
        <v>1515.01</v>
      </c>
      <c r="I250" s="52">
        <v>1564.8</v>
      </c>
      <c r="J250" s="52">
        <v>1577.28</v>
      </c>
      <c r="K250" s="52">
        <v>1580.21</v>
      </c>
      <c r="L250" s="52">
        <v>1481.05</v>
      </c>
      <c r="M250" s="123">
        <f t="shared" si="25"/>
        <v>10737.72</v>
      </c>
      <c r="N250" s="124">
        <f t="shared" si="26"/>
        <v>914.85</v>
      </c>
      <c r="O250" s="52">
        <v>918.4</v>
      </c>
      <c r="P250" s="52">
        <f t="shared" si="28"/>
        <v>10649.9999999999</v>
      </c>
      <c r="Q250" s="52">
        <f t="shared" si="27"/>
        <v>6.4</v>
      </c>
      <c r="R250" s="52">
        <v>6.42</v>
      </c>
      <c r="S250" s="52">
        <f t="shared" si="23"/>
        <v>59.9999999999987</v>
      </c>
      <c r="T250" s="121">
        <f t="shared" si="24"/>
        <v>10589.9999999999</v>
      </c>
      <c r="U250" s="63"/>
      <c r="V250" s="52">
        <v>3.86</v>
      </c>
      <c r="W250" s="52">
        <v>24.95</v>
      </c>
      <c r="X250" s="52"/>
      <c r="Y250" s="52"/>
      <c r="Z250" s="52"/>
      <c r="AA250" s="52"/>
      <c r="AB250" s="121" t="s">
        <v>70</v>
      </c>
    </row>
    <row r="251" spans="1:28">
      <c r="A251" s="56">
        <f t="shared" si="22"/>
        <v>253</v>
      </c>
      <c r="B251" s="111">
        <v>45996</v>
      </c>
      <c r="C251" s="29">
        <v>45996</v>
      </c>
      <c r="D251" s="80">
        <v>0.322916666666667</v>
      </c>
      <c r="E251" s="127">
        <v>0.729166666666667</v>
      </c>
      <c r="F251" s="122">
        <v>1519.02</v>
      </c>
      <c r="G251" s="52">
        <v>1514.73</v>
      </c>
      <c r="H251" s="52">
        <v>1523.55</v>
      </c>
      <c r="I251" s="52">
        <v>1574.1</v>
      </c>
      <c r="J251" s="52">
        <v>1589.65</v>
      </c>
      <c r="K251" s="52">
        <v>1590.76</v>
      </c>
      <c r="L251" s="52">
        <v>1489.28</v>
      </c>
      <c r="M251" s="123">
        <f t="shared" si="25"/>
        <v>10801.09</v>
      </c>
      <c r="N251" s="124">
        <f t="shared" si="26"/>
        <v>918.4</v>
      </c>
      <c r="O251" s="52">
        <v>921.97</v>
      </c>
      <c r="P251" s="52">
        <f t="shared" si="28"/>
        <v>10710.0000000001</v>
      </c>
      <c r="Q251" s="52">
        <f t="shared" si="27"/>
        <v>6.42</v>
      </c>
      <c r="R251" s="52">
        <v>6.45</v>
      </c>
      <c r="S251" s="52">
        <f t="shared" si="23"/>
        <v>90.0000000000007</v>
      </c>
      <c r="T251" s="121">
        <f t="shared" si="24"/>
        <v>10620.0000000001</v>
      </c>
      <c r="U251" s="63"/>
      <c r="V251" s="52">
        <v>3.9</v>
      </c>
      <c r="W251" s="52">
        <v>25.02</v>
      </c>
      <c r="X251" s="52"/>
      <c r="Y251" s="52"/>
      <c r="Z251" s="52"/>
      <c r="AA251" s="52"/>
      <c r="AB251" s="121" t="s">
        <v>70</v>
      </c>
    </row>
    <row r="252" spans="1:28">
      <c r="A252" s="56">
        <f t="shared" si="22"/>
        <v>254</v>
      </c>
      <c r="B252" s="111">
        <v>45997</v>
      </c>
      <c r="C252" s="29">
        <v>45997</v>
      </c>
      <c r="D252" s="80">
        <v>0.322916666666667</v>
      </c>
      <c r="E252" s="127">
        <v>0.739583333333333</v>
      </c>
      <c r="F252" s="122">
        <v>1505.28</v>
      </c>
      <c r="G252" s="52">
        <v>1501.84</v>
      </c>
      <c r="H252" s="52">
        <v>1508.52</v>
      </c>
      <c r="I252" s="52">
        <v>1561.24</v>
      </c>
      <c r="J252" s="52">
        <v>1574.71</v>
      </c>
      <c r="K252" s="52">
        <v>1575.06</v>
      </c>
      <c r="L252" s="52">
        <v>1477.27</v>
      </c>
      <c r="M252" s="123">
        <f t="shared" si="25"/>
        <v>10703.92</v>
      </c>
      <c r="N252" s="124">
        <f t="shared" si="26"/>
        <v>921.97</v>
      </c>
      <c r="O252" s="52">
        <v>925.51</v>
      </c>
      <c r="P252" s="52">
        <f t="shared" si="28"/>
        <v>10619.9999999999</v>
      </c>
      <c r="Q252" s="52">
        <f t="shared" si="27"/>
        <v>6.45</v>
      </c>
      <c r="R252" s="52">
        <v>6.47</v>
      </c>
      <c r="S252" s="52">
        <f t="shared" si="23"/>
        <v>59.9999999999987</v>
      </c>
      <c r="T252" s="121">
        <f t="shared" si="24"/>
        <v>10559.9999999999</v>
      </c>
      <c r="U252" s="63"/>
      <c r="V252" s="52">
        <v>3.77</v>
      </c>
      <c r="W252" s="52">
        <v>25.41</v>
      </c>
      <c r="X252" s="52"/>
      <c r="Y252" s="52"/>
      <c r="Z252" s="52"/>
      <c r="AA252" s="52"/>
      <c r="AB252" s="121" t="s">
        <v>70</v>
      </c>
    </row>
    <row r="253" spans="1:28">
      <c r="A253" s="56">
        <f t="shared" si="22"/>
        <v>255</v>
      </c>
      <c r="B253" s="111">
        <v>45998</v>
      </c>
      <c r="C253" s="29">
        <v>45998</v>
      </c>
      <c r="D253" s="80">
        <v>0.322916666666667</v>
      </c>
      <c r="E253" s="127">
        <v>0.729166666666667</v>
      </c>
      <c r="F253" s="122">
        <v>1603.61</v>
      </c>
      <c r="G253" s="52">
        <v>1599.11</v>
      </c>
      <c r="H253" s="52">
        <v>1606.53</v>
      </c>
      <c r="I253" s="52">
        <v>1662.2</v>
      </c>
      <c r="J253" s="52">
        <v>1675.66</v>
      </c>
      <c r="K253" s="52">
        <v>1678.03</v>
      </c>
      <c r="L253" s="52">
        <v>1566.06</v>
      </c>
      <c r="M253" s="123">
        <f t="shared" si="25"/>
        <v>11391.2</v>
      </c>
      <c r="N253" s="124">
        <f t="shared" si="26"/>
        <v>925.51</v>
      </c>
      <c r="O253" s="52">
        <v>929.27</v>
      </c>
      <c r="P253" s="52">
        <f t="shared" si="28"/>
        <v>11280</v>
      </c>
      <c r="Q253" s="52">
        <f t="shared" si="27"/>
        <v>6.47</v>
      </c>
      <c r="R253" s="52">
        <v>6.49</v>
      </c>
      <c r="S253" s="52">
        <f t="shared" si="23"/>
        <v>60.0000000000014</v>
      </c>
      <c r="T253" s="121">
        <f t="shared" si="24"/>
        <v>11220</v>
      </c>
      <c r="U253" s="63"/>
      <c r="V253" s="52">
        <v>4.14</v>
      </c>
      <c r="W253" s="52">
        <v>25.65</v>
      </c>
      <c r="X253" s="52"/>
      <c r="Y253" s="52"/>
      <c r="Z253" s="52"/>
      <c r="AA253" s="52"/>
      <c r="AB253" s="121" t="s">
        <v>70</v>
      </c>
    </row>
    <row r="254" spans="1:28">
      <c r="A254" s="56">
        <f t="shared" si="22"/>
        <v>256</v>
      </c>
      <c r="B254" s="111">
        <v>45999</v>
      </c>
      <c r="C254" s="29">
        <v>45999</v>
      </c>
      <c r="D254" s="80">
        <v>0.322916666666667</v>
      </c>
      <c r="E254" s="127">
        <v>0.729166666666667</v>
      </c>
      <c r="F254" s="122">
        <v>1571.59</v>
      </c>
      <c r="G254" s="52">
        <v>1569.12</v>
      </c>
      <c r="H254" s="52">
        <v>1574.66</v>
      </c>
      <c r="I254" s="52">
        <v>1627.32</v>
      </c>
      <c r="J254" s="52">
        <v>1644.27</v>
      </c>
      <c r="K254" s="52">
        <v>1644.56</v>
      </c>
      <c r="L254" s="52">
        <v>1535.6</v>
      </c>
      <c r="M254" s="123">
        <f t="shared" si="25"/>
        <v>11167.12</v>
      </c>
      <c r="N254" s="124">
        <f t="shared" si="26"/>
        <v>929.27</v>
      </c>
      <c r="O254" s="52">
        <v>932.95</v>
      </c>
      <c r="P254" s="52">
        <f t="shared" si="28"/>
        <v>11040.0000000002</v>
      </c>
      <c r="Q254" s="52">
        <f t="shared" si="27"/>
        <v>6.49</v>
      </c>
      <c r="R254" s="52">
        <v>6.51</v>
      </c>
      <c r="S254" s="52">
        <f t="shared" si="23"/>
        <v>59.9999999999987</v>
      </c>
      <c r="T254" s="121">
        <f t="shared" si="24"/>
        <v>10980.0000000002</v>
      </c>
      <c r="U254" s="63"/>
      <c r="V254" s="52">
        <v>4.06</v>
      </c>
      <c r="W254" s="52">
        <v>25.92</v>
      </c>
      <c r="X254" s="52"/>
      <c r="Y254" s="52"/>
      <c r="Z254" s="52"/>
      <c r="AA254" s="52"/>
      <c r="AB254" s="121" t="s">
        <v>70</v>
      </c>
    </row>
    <row r="255" spans="1:28">
      <c r="A255" s="56">
        <f t="shared" si="22"/>
        <v>257</v>
      </c>
      <c r="B255" s="111">
        <v>46000</v>
      </c>
      <c r="C255" s="29">
        <v>46000</v>
      </c>
      <c r="D255" s="80">
        <v>0.322916666666667</v>
      </c>
      <c r="E255" s="127">
        <v>0.729166666666667</v>
      </c>
      <c r="F255" s="122">
        <v>1690.98</v>
      </c>
      <c r="G255" s="52">
        <v>1718.03</v>
      </c>
      <c r="H255" s="52">
        <v>1720.55</v>
      </c>
      <c r="I255" s="52">
        <v>1778.73</v>
      </c>
      <c r="J255" s="52">
        <v>1799.07</v>
      </c>
      <c r="K255" s="52">
        <v>1771.42</v>
      </c>
      <c r="L255" s="52">
        <v>1647.21</v>
      </c>
      <c r="M255" s="123">
        <f t="shared" si="25"/>
        <v>12125.99</v>
      </c>
      <c r="N255" s="124">
        <f t="shared" si="26"/>
        <v>932.95</v>
      </c>
      <c r="O255" s="52">
        <v>936.96</v>
      </c>
      <c r="P255" s="52">
        <f t="shared" si="28"/>
        <v>12030</v>
      </c>
      <c r="Q255" s="52">
        <f t="shared" si="27"/>
        <v>6.51</v>
      </c>
      <c r="R255" s="52">
        <v>6.53</v>
      </c>
      <c r="S255" s="52">
        <f t="shared" si="23"/>
        <v>60.0000000000014</v>
      </c>
      <c r="T255" s="121">
        <f t="shared" si="24"/>
        <v>11970</v>
      </c>
      <c r="U255" s="63"/>
      <c r="V255" s="52">
        <v>4.47</v>
      </c>
      <c r="W255" s="52">
        <v>26.65</v>
      </c>
      <c r="X255" s="52"/>
      <c r="Y255" s="52"/>
      <c r="Z255" s="52"/>
      <c r="AA255" s="52"/>
      <c r="AB255" s="121" t="s">
        <v>70</v>
      </c>
    </row>
    <row r="256" spans="1:28">
      <c r="A256" s="56">
        <f t="shared" si="22"/>
        <v>258</v>
      </c>
      <c r="B256" s="111">
        <v>46001</v>
      </c>
      <c r="C256" s="29">
        <v>46001</v>
      </c>
      <c r="D256" s="80">
        <v>0.322916666666667</v>
      </c>
      <c r="E256" s="127">
        <v>0.729166666666667</v>
      </c>
      <c r="F256" s="122">
        <v>1695.73</v>
      </c>
      <c r="G256" s="52">
        <v>1693.55</v>
      </c>
      <c r="H256" s="52">
        <v>1697.88</v>
      </c>
      <c r="I256" s="52">
        <v>1754.61</v>
      </c>
      <c r="J256" s="52">
        <v>1778.02</v>
      </c>
      <c r="K256" s="52">
        <v>1782.52</v>
      </c>
      <c r="L256" s="52">
        <v>1666.33</v>
      </c>
      <c r="M256" s="123">
        <f t="shared" si="25"/>
        <v>12068.64</v>
      </c>
      <c r="N256" s="124">
        <f t="shared" si="26"/>
        <v>936.96</v>
      </c>
      <c r="O256" s="52">
        <v>940.94</v>
      </c>
      <c r="P256" s="52">
        <f t="shared" si="28"/>
        <v>11940.0000000001</v>
      </c>
      <c r="Q256" s="52">
        <f t="shared" si="27"/>
        <v>6.53</v>
      </c>
      <c r="R256" s="52">
        <v>6.55</v>
      </c>
      <c r="S256" s="52">
        <f t="shared" si="23"/>
        <v>59.9999999999987</v>
      </c>
      <c r="T256" s="121">
        <f t="shared" si="24"/>
        <v>11880.0000000001</v>
      </c>
      <c r="U256" s="63"/>
      <c r="V256" s="52">
        <v>4.44</v>
      </c>
      <c r="W256" s="52">
        <v>27.02</v>
      </c>
      <c r="X256" s="52"/>
      <c r="Y256" s="52"/>
      <c r="Z256" s="52"/>
      <c r="AA256" s="52"/>
      <c r="AB256" s="121" t="s">
        <v>70</v>
      </c>
    </row>
    <row r="257" spans="1:28">
      <c r="A257" s="56">
        <f t="shared" si="22"/>
        <v>259</v>
      </c>
      <c r="B257" s="111">
        <v>46002</v>
      </c>
      <c r="C257" s="29">
        <v>46002</v>
      </c>
      <c r="D257" s="80">
        <v>0.3125</v>
      </c>
      <c r="E257" s="127">
        <v>0.729166666666667</v>
      </c>
      <c r="F257" s="122">
        <v>1713.46</v>
      </c>
      <c r="G257" s="52">
        <v>1710.27</v>
      </c>
      <c r="H257" s="52">
        <v>1711.19</v>
      </c>
      <c r="I257" s="52">
        <v>1782.16</v>
      </c>
      <c r="J257" s="52">
        <v>1798.95</v>
      </c>
      <c r="K257" s="52">
        <v>1803.81</v>
      </c>
      <c r="L257" s="52">
        <v>1679.62</v>
      </c>
      <c r="M257" s="123">
        <f t="shared" si="25"/>
        <v>12199.46</v>
      </c>
      <c r="N257" s="124">
        <f t="shared" si="26"/>
        <v>940.94</v>
      </c>
      <c r="O257" s="52">
        <v>944.97</v>
      </c>
      <c r="P257" s="52">
        <f t="shared" si="28"/>
        <v>12089.9999999999</v>
      </c>
      <c r="Q257" s="52">
        <f t="shared" si="27"/>
        <v>6.55</v>
      </c>
      <c r="R257" s="52">
        <v>6.58</v>
      </c>
      <c r="S257" s="52">
        <f t="shared" si="23"/>
        <v>90.0000000000007</v>
      </c>
      <c r="T257" s="121">
        <f t="shared" si="24"/>
        <v>11999.9999999999</v>
      </c>
      <c r="U257" s="63"/>
      <c r="V257" s="52">
        <v>4.32</v>
      </c>
      <c r="W257" s="52">
        <v>26.3</v>
      </c>
      <c r="X257" s="52"/>
      <c r="Y257" s="52"/>
      <c r="Z257" s="52"/>
      <c r="AA257" s="52"/>
      <c r="AB257" s="121" t="s">
        <v>70</v>
      </c>
    </row>
    <row r="258" spans="1:28">
      <c r="A258" s="56">
        <f t="shared" si="22"/>
        <v>260</v>
      </c>
      <c r="B258" s="111">
        <v>46003</v>
      </c>
      <c r="C258" s="29">
        <v>46003</v>
      </c>
      <c r="D258" s="80">
        <v>0.322916666666667</v>
      </c>
      <c r="E258" s="127">
        <v>0.729166666666667</v>
      </c>
      <c r="F258" s="122">
        <v>1693</v>
      </c>
      <c r="G258" s="52">
        <v>1688.21</v>
      </c>
      <c r="H258" s="52">
        <v>1692.11</v>
      </c>
      <c r="I258" s="52">
        <v>1761.74</v>
      </c>
      <c r="J258" s="52">
        <v>1780.36</v>
      </c>
      <c r="K258" s="52">
        <v>1782.67</v>
      </c>
      <c r="L258" s="52">
        <v>1664.78</v>
      </c>
      <c r="M258" s="123">
        <f t="shared" si="25"/>
        <v>12062.87</v>
      </c>
      <c r="N258" s="124">
        <f t="shared" si="26"/>
        <v>944.97</v>
      </c>
      <c r="O258" s="52">
        <v>948.95</v>
      </c>
      <c r="P258" s="52">
        <f t="shared" si="28"/>
        <v>11940.0000000001</v>
      </c>
      <c r="Q258" s="52">
        <f t="shared" si="27"/>
        <v>6.58</v>
      </c>
      <c r="R258" s="52">
        <v>6.6</v>
      </c>
      <c r="S258" s="52">
        <f t="shared" si="23"/>
        <v>59.9999999999987</v>
      </c>
      <c r="T258" s="121">
        <f t="shared" si="24"/>
        <v>11880.0000000001</v>
      </c>
      <c r="U258" s="63"/>
      <c r="V258" s="52">
        <v>4.1</v>
      </c>
      <c r="W258" s="52">
        <v>25.34</v>
      </c>
      <c r="X258" s="52"/>
      <c r="Y258" s="52"/>
      <c r="Z258" s="52"/>
      <c r="AA258" s="52"/>
      <c r="AB258" s="121" t="s">
        <v>70</v>
      </c>
    </row>
    <row r="259" spans="1:28">
      <c r="A259" s="56">
        <f t="shared" ref="A259:A322" si="29">A258+1</f>
        <v>261</v>
      </c>
      <c r="B259" s="111">
        <v>46004</v>
      </c>
      <c r="C259" s="29">
        <v>46004</v>
      </c>
      <c r="D259" s="80">
        <v>0.322916666666667</v>
      </c>
      <c r="E259" s="127">
        <v>0.729166666666667</v>
      </c>
      <c r="F259" s="122">
        <v>1663.68</v>
      </c>
      <c r="G259" s="52">
        <v>1663.43</v>
      </c>
      <c r="H259" s="52">
        <v>1664.09</v>
      </c>
      <c r="I259" s="52">
        <v>1722.34</v>
      </c>
      <c r="J259" s="52">
        <v>1740.71</v>
      </c>
      <c r="K259" s="52">
        <v>1718.62</v>
      </c>
      <c r="L259" s="52">
        <v>1601.81</v>
      </c>
      <c r="M259" s="123">
        <f t="shared" si="25"/>
        <v>11774.68</v>
      </c>
      <c r="N259" s="124">
        <f t="shared" si="26"/>
        <v>948.95</v>
      </c>
      <c r="O259" s="52">
        <v>952.85</v>
      </c>
      <c r="P259" s="52">
        <f t="shared" si="28"/>
        <v>11699.9999999999</v>
      </c>
      <c r="Q259" s="52">
        <f t="shared" si="27"/>
        <v>6.6</v>
      </c>
      <c r="R259" s="52">
        <v>6.62</v>
      </c>
      <c r="S259" s="52">
        <f t="shared" ref="S259:S322" si="30">MAX((R259-Q259)*3000,0)</f>
        <v>60.0000000000014</v>
      </c>
      <c r="T259" s="121">
        <f t="shared" ref="T259:T322" si="31">P259-S259</f>
        <v>11639.9999999999</v>
      </c>
      <c r="U259" s="63"/>
      <c r="V259" s="52">
        <v>4.3</v>
      </c>
      <c r="W259" s="52">
        <v>26.12</v>
      </c>
      <c r="X259" s="52"/>
      <c r="Y259" s="52"/>
      <c r="Z259" s="52"/>
      <c r="AA259" s="52"/>
      <c r="AB259" s="121" t="s">
        <v>70</v>
      </c>
    </row>
    <row r="260" spans="1:28">
      <c r="A260" s="56">
        <f t="shared" si="29"/>
        <v>262</v>
      </c>
      <c r="B260" s="111">
        <v>46005</v>
      </c>
      <c r="C260" s="29">
        <v>46005</v>
      </c>
      <c r="D260" s="80">
        <v>0.322916666666667</v>
      </c>
      <c r="E260" s="127">
        <v>0.739583333333333</v>
      </c>
      <c r="F260" s="122">
        <v>1644.17</v>
      </c>
      <c r="G260" s="52">
        <v>1642.7</v>
      </c>
      <c r="H260" s="52">
        <v>1643.45</v>
      </c>
      <c r="I260" s="52">
        <v>1689.85</v>
      </c>
      <c r="J260" s="52">
        <v>1705.83</v>
      </c>
      <c r="K260" s="52">
        <v>1703.17</v>
      </c>
      <c r="L260" s="52">
        <v>1589.55</v>
      </c>
      <c r="M260" s="123">
        <f t="shared" ref="M260:M323" si="32">SUM(F260:L260)</f>
        <v>11618.72</v>
      </c>
      <c r="N260" s="124">
        <f t="shared" si="26"/>
        <v>952.85</v>
      </c>
      <c r="O260" s="52">
        <v>956.68</v>
      </c>
      <c r="P260" s="52">
        <f t="shared" si="28"/>
        <v>11489.9999999998</v>
      </c>
      <c r="Q260" s="52">
        <f t="shared" si="27"/>
        <v>6.62</v>
      </c>
      <c r="R260" s="52">
        <v>6.64</v>
      </c>
      <c r="S260" s="52">
        <f t="shared" si="30"/>
        <v>59.9999999999987</v>
      </c>
      <c r="T260" s="121">
        <f t="shared" si="31"/>
        <v>11429.9999999998</v>
      </c>
      <c r="U260" s="63"/>
      <c r="V260" s="52">
        <v>4.2</v>
      </c>
      <c r="W260" s="52">
        <v>26.51</v>
      </c>
      <c r="X260" s="52"/>
      <c r="Y260" s="52"/>
      <c r="Z260" s="52"/>
      <c r="AA260" s="52"/>
      <c r="AB260" s="121" t="s">
        <v>70</v>
      </c>
    </row>
    <row r="261" spans="1:28">
      <c r="A261" s="56">
        <f t="shared" si="29"/>
        <v>263</v>
      </c>
      <c r="B261" s="111">
        <v>46006</v>
      </c>
      <c r="C261" s="29">
        <v>46006</v>
      </c>
      <c r="D261" s="80">
        <v>0.322916666666667</v>
      </c>
      <c r="E261" s="127">
        <v>0.729166666666667</v>
      </c>
      <c r="F261" s="122">
        <v>1644.47</v>
      </c>
      <c r="G261" s="52">
        <v>1651.07</v>
      </c>
      <c r="H261" s="52">
        <v>1655.35</v>
      </c>
      <c r="I261" s="52">
        <v>1702.93</v>
      </c>
      <c r="J261" s="52">
        <v>1726.41</v>
      </c>
      <c r="K261" s="52">
        <v>1731.7</v>
      </c>
      <c r="L261" s="52">
        <v>1602.21</v>
      </c>
      <c r="M261" s="123">
        <f t="shared" si="32"/>
        <v>11714.14</v>
      </c>
      <c r="N261" s="124">
        <f t="shared" si="26"/>
        <v>956.68</v>
      </c>
      <c r="O261" s="52">
        <v>960.55</v>
      </c>
      <c r="P261" s="52">
        <f t="shared" si="28"/>
        <v>11610</v>
      </c>
      <c r="Q261" s="52">
        <f t="shared" si="27"/>
        <v>6.64</v>
      </c>
      <c r="R261" s="52">
        <v>6.66</v>
      </c>
      <c r="S261" s="52">
        <f t="shared" si="30"/>
        <v>60.0000000000014</v>
      </c>
      <c r="T261" s="121">
        <f t="shared" si="31"/>
        <v>11550</v>
      </c>
      <c r="U261" s="63"/>
      <c r="V261" s="52">
        <v>4.26</v>
      </c>
      <c r="W261" s="52">
        <v>26.9</v>
      </c>
      <c r="X261" s="52"/>
      <c r="Y261" s="52"/>
      <c r="Z261" s="52"/>
      <c r="AA261" s="52"/>
      <c r="AB261" s="121" t="s">
        <v>70</v>
      </c>
    </row>
    <row r="262" spans="1:28">
      <c r="A262" s="56">
        <f t="shared" si="29"/>
        <v>264</v>
      </c>
      <c r="B262" s="111">
        <v>46007</v>
      </c>
      <c r="C262" s="29">
        <v>46007</v>
      </c>
      <c r="D262" s="80">
        <v>0.322916666666667</v>
      </c>
      <c r="E262" s="127">
        <v>0.739583333333333</v>
      </c>
      <c r="F262" s="122">
        <v>1603.72</v>
      </c>
      <c r="G262" s="52">
        <v>1605.04</v>
      </c>
      <c r="H262" s="52">
        <v>1610.45</v>
      </c>
      <c r="I262" s="52">
        <v>1655.09</v>
      </c>
      <c r="J262" s="52">
        <v>1679.28</v>
      </c>
      <c r="K262" s="52">
        <v>1677.78</v>
      </c>
      <c r="L262" s="52">
        <v>1560.32</v>
      </c>
      <c r="M262" s="123">
        <f t="shared" si="32"/>
        <v>11391.68</v>
      </c>
      <c r="N262" s="124">
        <f t="shared" si="26"/>
        <v>960.55</v>
      </c>
      <c r="O262" s="52">
        <v>964.31</v>
      </c>
      <c r="P262" s="52">
        <f t="shared" si="28"/>
        <v>11280</v>
      </c>
      <c r="Q262" s="52">
        <f t="shared" si="27"/>
        <v>6.66</v>
      </c>
      <c r="R262" s="52">
        <v>6.69</v>
      </c>
      <c r="S262" s="52">
        <f t="shared" si="30"/>
        <v>90.0000000000007</v>
      </c>
      <c r="T262" s="121">
        <f t="shared" si="31"/>
        <v>11190</v>
      </c>
      <c r="U262" s="63"/>
      <c r="V262" s="52">
        <v>4.1</v>
      </c>
      <c r="W262" s="52">
        <v>23.9</v>
      </c>
      <c r="X262" s="52"/>
      <c r="Y262" s="52"/>
      <c r="Z262" s="52"/>
      <c r="AA262" s="52"/>
      <c r="AB262" s="121" t="s">
        <v>70</v>
      </c>
    </row>
    <row r="263" spans="1:28">
      <c r="A263" s="56">
        <f t="shared" si="29"/>
        <v>265</v>
      </c>
      <c r="B263" s="111">
        <v>46008</v>
      </c>
      <c r="C263" s="29">
        <v>46008</v>
      </c>
      <c r="D263" s="80">
        <v>0.322916666666667</v>
      </c>
      <c r="E263" s="127">
        <v>0.739583333333333</v>
      </c>
      <c r="F263" s="122">
        <v>1512.64</v>
      </c>
      <c r="G263" s="52">
        <v>1513.77</v>
      </c>
      <c r="H263" s="52">
        <v>1520.08</v>
      </c>
      <c r="I263" s="52">
        <v>1563.21</v>
      </c>
      <c r="J263" s="52">
        <v>1585.07</v>
      </c>
      <c r="K263" s="52">
        <v>1584.08</v>
      </c>
      <c r="L263" s="52">
        <v>1485.35</v>
      </c>
      <c r="M263" s="123">
        <f t="shared" si="32"/>
        <v>10764.2</v>
      </c>
      <c r="N263" s="124">
        <f t="shared" si="26"/>
        <v>964.31</v>
      </c>
      <c r="O263" s="52">
        <v>967.87</v>
      </c>
      <c r="P263" s="52">
        <f t="shared" si="28"/>
        <v>10680.0000000002</v>
      </c>
      <c r="Q263" s="52">
        <f t="shared" si="27"/>
        <v>6.69</v>
      </c>
      <c r="R263" s="52">
        <v>6.71</v>
      </c>
      <c r="S263" s="52">
        <f t="shared" si="30"/>
        <v>59.9999999999987</v>
      </c>
      <c r="T263" s="121">
        <f t="shared" si="31"/>
        <v>10620.0000000002</v>
      </c>
      <c r="U263" s="63"/>
      <c r="V263" s="52">
        <v>3.88</v>
      </c>
      <c r="W263" s="52">
        <v>26.14</v>
      </c>
      <c r="X263" s="52"/>
      <c r="Y263" s="52"/>
      <c r="Z263" s="52"/>
      <c r="AA263" s="52"/>
      <c r="AB263" s="121" t="s">
        <v>70</v>
      </c>
    </row>
    <row r="264" spans="1:28">
      <c r="A264" s="56">
        <f t="shared" si="29"/>
        <v>266</v>
      </c>
      <c r="B264" s="111">
        <v>46009</v>
      </c>
      <c r="C264" s="29">
        <v>46009</v>
      </c>
      <c r="D264" s="80">
        <v>0.322916666666667</v>
      </c>
      <c r="E264" s="127">
        <v>0.739583333333333</v>
      </c>
      <c r="F264" s="122">
        <v>1599.07</v>
      </c>
      <c r="G264" s="52">
        <v>1600.21</v>
      </c>
      <c r="H264" s="52">
        <v>1608.86</v>
      </c>
      <c r="I264" s="52">
        <v>1650.82</v>
      </c>
      <c r="J264" s="52">
        <v>1682</v>
      </c>
      <c r="K264" s="52">
        <v>1710.35</v>
      </c>
      <c r="L264" s="52">
        <v>1586.36</v>
      </c>
      <c r="M264" s="123">
        <f t="shared" si="32"/>
        <v>11437.67</v>
      </c>
      <c r="N264" s="124">
        <f t="shared" si="26"/>
        <v>967.87</v>
      </c>
      <c r="O264" s="52">
        <v>971.65</v>
      </c>
      <c r="P264" s="52">
        <f t="shared" si="28"/>
        <v>11339.9999999999</v>
      </c>
      <c r="Q264" s="52">
        <f t="shared" si="27"/>
        <v>6.71</v>
      </c>
      <c r="R264" s="52">
        <v>6.73</v>
      </c>
      <c r="S264" s="52">
        <f t="shared" si="30"/>
        <v>60.0000000000014</v>
      </c>
      <c r="T264" s="121">
        <f t="shared" si="31"/>
        <v>11279.9999999999</v>
      </c>
      <c r="U264" s="63"/>
      <c r="V264" s="52">
        <v>4.08</v>
      </c>
      <c r="W264" s="52">
        <v>27.09</v>
      </c>
      <c r="X264" s="52"/>
      <c r="Y264" s="52"/>
      <c r="Z264" s="52"/>
      <c r="AA264" s="52"/>
      <c r="AB264" s="121" t="s">
        <v>70</v>
      </c>
    </row>
    <row r="265" spans="1:28">
      <c r="A265" s="56">
        <f t="shared" si="29"/>
        <v>267</v>
      </c>
      <c r="B265" s="111">
        <v>46010</v>
      </c>
      <c r="C265" s="29">
        <v>46010</v>
      </c>
      <c r="D265" s="80">
        <v>0.322916666666667</v>
      </c>
      <c r="E265" s="127">
        <v>0.739583333333333</v>
      </c>
      <c r="F265" s="122">
        <v>1722.18</v>
      </c>
      <c r="G265" s="52">
        <v>1725.3</v>
      </c>
      <c r="H265" s="52">
        <v>1733.65</v>
      </c>
      <c r="I265" s="52">
        <v>1783.18</v>
      </c>
      <c r="J265" s="52">
        <v>1805.61</v>
      </c>
      <c r="K265" s="52">
        <v>1826.3</v>
      </c>
      <c r="L265" s="52">
        <v>1691.87</v>
      </c>
      <c r="M265" s="123">
        <f t="shared" si="32"/>
        <v>12288.09</v>
      </c>
      <c r="N265" s="124">
        <f t="shared" si="26"/>
        <v>971.65</v>
      </c>
      <c r="O265" s="52">
        <v>975.71</v>
      </c>
      <c r="P265" s="52">
        <f t="shared" si="28"/>
        <v>12180.0000000002</v>
      </c>
      <c r="Q265" s="52">
        <f t="shared" si="27"/>
        <v>6.73</v>
      </c>
      <c r="R265" s="52">
        <v>6.75</v>
      </c>
      <c r="S265" s="52">
        <f t="shared" si="30"/>
        <v>59.9999999999987</v>
      </c>
      <c r="T265" s="121">
        <f t="shared" si="31"/>
        <v>12120.0000000002</v>
      </c>
      <c r="U265" s="63"/>
      <c r="V265" s="52">
        <v>4.38</v>
      </c>
      <c r="W265" s="52">
        <v>27</v>
      </c>
      <c r="X265" s="52"/>
      <c r="Y265" s="52"/>
      <c r="Z265" s="52"/>
      <c r="AA265" s="52"/>
      <c r="AB265" s="121" t="s">
        <v>70</v>
      </c>
    </row>
    <row r="266" spans="1:28">
      <c r="A266" s="56">
        <f t="shared" si="29"/>
        <v>268</v>
      </c>
      <c r="B266" s="111">
        <v>46011</v>
      </c>
      <c r="C266" s="29">
        <v>46011</v>
      </c>
      <c r="D266" s="80">
        <v>0.322916666666667</v>
      </c>
      <c r="E266" s="127">
        <v>0.739583333333333</v>
      </c>
      <c r="F266" s="122">
        <v>1774.68</v>
      </c>
      <c r="G266" s="52">
        <v>1705.96</v>
      </c>
      <c r="H266" s="52">
        <v>1714.3</v>
      </c>
      <c r="I266" s="52">
        <v>1763.95</v>
      </c>
      <c r="J266" s="52">
        <v>1786.95</v>
      </c>
      <c r="K266" s="52">
        <v>1775.62</v>
      </c>
      <c r="L266" s="52">
        <v>1645.99</v>
      </c>
      <c r="M266" s="123">
        <f t="shared" si="32"/>
        <v>12167.45</v>
      </c>
      <c r="N266" s="124">
        <f t="shared" si="26"/>
        <v>975.71</v>
      </c>
      <c r="O266" s="52">
        <v>979.69</v>
      </c>
      <c r="P266" s="52">
        <f t="shared" si="28"/>
        <v>11940.0000000001</v>
      </c>
      <c r="Q266" s="52">
        <f t="shared" si="27"/>
        <v>6.75</v>
      </c>
      <c r="R266" s="52">
        <v>6.77</v>
      </c>
      <c r="S266" s="52">
        <f t="shared" si="30"/>
        <v>59.9999999999987</v>
      </c>
      <c r="T266" s="121">
        <f t="shared" si="31"/>
        <v>11880.0000000001</v>
      </c>
      <c r="U266" s="63"/>
      <c r="V266" s="52">
        <v>4.35</v>
      </c>
      <c r="W266" s="52">
        <v>29.04</v>
      </c>
      <c r="X266" s="52"/>
      <c r="Y266" s="52"/>
      <c r="Z266" s="52"/>
      <c r="AA266" s="52"/>
      <c r="AB266" s="121" t="s">
        <v>70</v>
      </c>
    </row>
    <row r="267" spans="1:28">
      <c r="A267" s="56">
        <f t="shared" si="29"/>
        <v>269</v>
      </c>
      <c r="B267" s="111">
        <v>46012</v>
      </c>
      <c r="C267" s="29">
        <v>46012</v>
      </c>
      <c r="D267" s="80">
        <v>0.322916666666667</v>
      </c>
      <c r="E267" s="127">
        <v>0.739583333333333</v>
      </c>
      <c r="F267" s="122">
        <v>1140.86</v>
      </c>
      <c r="G267" s="52">
        <v>1140.66</v>
      </c>
      <c r="H267" s="52">
        <v>1202.17</v>
      </c>
      <c r="I267" s="52">
        <v>1147.77</v>
      </c>
      <c r="J267" s="52">
        <v>1192.99</v>
      </c>
      <c r="K267" s="52">
        <v>1202.36</v>
      </c>
      <c r="L267" s="52">
        <v>1124.04</v>
      </c>
      <c r="M267" s="123">
        <f t="shared" si="32"/>
        <v>8150.85</v>
      </c>
      <c r="N267" s="124">
        <f t="shared" si="26"/>
        <v>979.69</v>
      </c>
      <c r="O267" s="52">
        <v>982.39</v>
      </c>
      <c r="P267" s="52">
        <f t="shared" si="28"/>
        <v>8099.9999999998</v>
      </c>
      <c r="Q267" s="52">
        <f t="shared" si="27"/>
        <v>6.77</v>
      </c>
      <c r="R267" s="52">
        <v>6.8</v>
      </c>
      <c r="S267" s="52">
        <f t="shared" si="30"/>
        <v>90.0000000000007</v>
      </c>
      <c r="T267" s="121">
        <f t="shared" si="31"/>
        <v>8009.99999999979</v>
      </c>
      <c r="U267" s="63"/>
      <c r="V267" s="52">
        <v>3.07</v>
      </c>
      <c r="W267" s="52">
        <v>26.19</v>
      </c>
      <c r="X267" s="52"/>
      <c r="Y267" s="52"/>
      <c r="Z267" s="52"/>
      <c r="AA267" s="52"/>
      <c r="AB267" s="121" t="s">
        <v>70</v>
      </c>
    </row>
    <row r="268" spans="1:28">
      <c r="A268" s="56">
        <f t="shared" si="29"/>
        <v>270</v>
      </c>
      <c r="B268" s="111">
        <v>46013</v>
      </c>
      <c r="C268" s="29">
        <v>46013</v>
      </c>
      <c r="D268" s="80">
        <v>0.333333333333333</v>
      </c>
      <c r="E268" s="127">
        <v>0.739583333333333</v>
      </c>
      <c r="F268" s="122">
        <v>1565.8</v>
      </c>
      <c r="G268" s="52">
        <v>1617.06</v>
      </c>
      <c r="H268" s="52">
        <v>1624.82</v>
      </c>
      <c r="I268" s="52">
        <v>1671.62</v>
      </c>
      <c r="J268" s="52">
        <v>1690.33</v>
      </c>
      <c r="K268" s="52">
        <v>1703.98</v>
      </c>
      <c r="L268" s="52">
        <v>1558.77</v>
      </c>
      <c r="M268" s="123">
        <f t="shared" si="32"/>
        <v>11432.38</v>
      </c>
      <c r="N268" s="124">
        <f t="shared" si="26"/>
        <v>982.39</v>
      </c>
      <c r="O268" s="52">
        <v>986.16</v>
      </c>
      <c r="P268" s="52">
        <f t="shared" si="28"/>
        <v>11309.9999999999</v>
      </c>
      <c r="Q268" s="52">
        <f t="shared" si="27"/>
        <v>6.8</v>
      </c>
      <c r="R268" s="52">
        <v>6.82</v>
      </c>
      <c r="S268" s="52">
        <f t="shared" si="30"/>
        <v>60.0000000000014</v>
      </c>
      <c r="T268" s="121">
        <f t="shared" si="31"/>
        <v>11249.9999999999</v>
      </c>
      <c r="U268" s="63"/>
      <c r="V268" s="52">
        <v>4.03</v>
      </c>
      <c r="W268" s="52">
        <v>26.53</v>
      </c>
      <c r="X268" s="52"/>
      <c r="Y268" s="52"/>
      <c r="Z268" s="52"/>
      <c r="AA268" s="52"/>
      <c r="AB268" s="121" t="s">
        <v>70</v>
      </c>
    </row>
    <row r="269" spans="1:28">
      <c r="A269" s="56">
        <f t="shared" si="29"/>
        <v>271</v>
      </c>
      <c r="B269" s="111">
        <v>46014</v>
      </c>
      <c r="C269" s="29">
        <v>46014</v>
      </c>
      <c r="D269" s="80">
        <v>0.322916666666667</v>
      </c>
      <c r="E269" s="127">
        <v>0.739583333333333</v>
      </c>
      <c r="F269" s="122">
        <v>1618.73</v>
      </c>
      <c r="G269" s="52">
        <v>1746.55</v>
      </c>
      <c r="H269" s="52">
        <v>1732.06</v>
      </c>
      <c r="I269" s="52">
        <v>1711.12</v>
      </c>
      <c r="J269" s="52">
        <v>1660.84</v>
      </c>
      <c r="K269" s="52">
        <v>1653.21</v>
      </c>
      <c r="L269" s="52">
        <v>1650.84</v>
      </c>
      <c r="M269" s="123">
        <f t="shared" si="32"/>
        <v>11773.35</v>
      </c>
      <c r="N269" s="124">
        <f t="shared" ref="N269:N332" si="33">O268</f>
        <v>986.16</v>
      </c>
      <c r="O269" s="52">
        <v>990.05</v>
      </c>
      <c r="P269" s="52">
        <f t="shared" si="28"/>
        <v>11670</v>
      </c>
      <c r="Q269" s="52">
        <f t="shared" ref="Q269:Q332" si="34">R268</f>
        <v>6.82</v>
      </c>
      <c r="R269" s="52">
        <v>6.84</v>
      </c>
      <c r="S269" s="52">
        <f t="shared" si="30"/>
        <v>59.9999999999987</v>
      </c>
      <c r="T269" s="121">
        <f t="shared" si="31"/>
        <v>11610</v>
      </c>
      <c r="U269" s="63"/>
      <c r="V269" s="52">
        <v>4.14</v>
      </c>
      <c r="W269" s="52">
        <v>26.09</v>
      </c>
      <c r="X269" s="52"/>
      <c r="Y269" s="52"/>
      <c r="Z269" s="52"/>
      <c r="AA269" s="52"/>
      <c r="AB269" s="121" t="s">
        <v>70</v>
      </c>
    </row>
    <row r="270" spans="1:28">
      <c r="A270" s="56">
        <f t="shared" si="29"/>
        <v>272</v>
      </c>
      <c r="B270" s="111">
        <v>46015</v>
      </c>
      <c r="C270" s="29">
        <v>46015</v>
      </c>
      <c r="D270" s="80">
        <v>0.322916666666667</v>
      </c>
      <c r="E270" s="127">
        <v>0.739583333333333</v>
      </c>
      <c r="F270" s="122">
        <v>1657.68</v>
      </c>
      <c r="G270" s="52">
        <v>1660.54</v>
      </c>
      <c r="H270" s="52">
        <v>1667.51</v>
      </c>
      <c r="I270" s="52">
        <v>1714.79</v>
      </c>
      <c r="J270" s="52">
        <v>1742.66</v>
      </c>
      <c r="K270" s="52">
        <v>1766.34</v>
      </c>
      <c r="L270" s="52">
        <v>1634.92</v>
      </c>
      <c r="M270" s="123">
        <f t="shared" si="32"/>
        <v>11844.44</v>
      </c>
      <c r="N270" s="124">
        <f t="shared" si="33"/>
        <v>990.05</v>
      </c>
      <c r="O270" s="52">
        <v>993.96</v>
      </c>
      <c r="P270" s="52">
        <f t="shared" si="28"/>
        <v>11730.0000000002</v>
      </c>
      <c r="Q270" s="52">
        <f t="shared" si="34"/>
        <v>6.84</v>
      </c>
      <c r="R270" s="52">
        <v>6.86</v>
      </c>
      <c r="S270" s="52">
        <f t="shared" si="30"/>
        <v>60.0000000000014</v>
      </c>
      <c r="T270" s="121">
        <f t="shared" si="31"/>
        <v>11670.0000000002</v>
      </c>
      <c r="U270" s="63"/>
      <c r="V270" s="52">
        <v>4.19</v>
      </c>
      <c r="W270" s="52">
        <v>25.95</v>
      </c>
      <c r="X270" s="52"/>
      <c r="Y270" s="52"/>
      <c r="Z270" s="52"/>
      <c r="AA270" s="52"/>
      <c r="AB270" s="121" t="s">
        <v>70</v>
      </c>
    </row>
    <row r="271" spans="1:28">
      <c r="A271" s="56">
        <f t="shared" si="29"/>
        <v>273</v>
      </c>
      <c r="B271" s="111">
        <v>46016</v>
      </c>
      <c r="C271" s="29">
        <v>46016</v>
      </c>
      <c r="D271" s="80">
        <v>0.322916666666667</v>
      </c>
      <c r="E271" s="127">
        <v>0.739583333333333</v>
      </c>
      <c r="F271" s="122">
        <v>1552.05</v>
      </c>
      <c r="G271" s="52">
        <v>1557.98</v>
      </c>
      <c r="H271" s="52">
        <v>1566.26</v>
      </c>
      <c r="I271" s="52">
        <v>1621.96</v>
      </c>
      <c r="J271" s="52">
        <v>1633.43</v>
      </c>
      <c r="K271" s="52">
        <v>1628.28</v>
      </c>
      <c r="L271" s="52">
        <v>1535.11</v>
      </c>
      <c r="M271" s="123">
        <f t="shared" si="32"/>
        <v>11095.07</v>
      </c>
      <c r="N271" s="124">
        <f t="shared" si="33"/>
        <v>993.96</v>
      </c>
      <c r="O271" s="52">
        <v>997.63</v>
      </c>
      <c r="P271" s="52">
        <f t="shared" si="28"/>
        <v>11009.9999999999</v>
      </c>
      <c r="Q271" s="52">
        <f t="shared" si="34"/>
        <v>6.86</v>
      </c>
      <c r="R271" s="52">
        <v>6.88</v>
      </c>
      <c r="S271" s="52">
        <f t="shared" si="30"/>
        <v>59.9999999999987</v>
      </c>
      <c r="T271" s="121">
        <f t="shared" si="31"/>
        <v>10949.9999999999</v>
      </c>
      <c r="U271" s="63"/>
      <c r="V271" s="52">
        <v>4.12</v>
      </c>
      <c r="W271" s="52">
        <v>25.65</v>
      </c>
      <c r="X271" s="52"/>
      <c r="Y271" s="52"/>
      <c r="Z271" s="52"/>
      <c r="AA271" s="52"/>
      <c r="AB271" s="121" t="s">
        <v>70</v>
      </c>
    </row>
    <row r="272" spans="1:28">
      <c r="A272" s="56">
        <f t="shared" si="29"/>
        <v>274</v>
      </c>
      <c r="B272" s="111">
        <v>46017</v>
      </c>
      <c r="C272" s="29">
        <v>46017</v>
      </c>
      <c r="D272" s="80">
        <v>0.322916666666667</v>
      </c>
      <c r="E272" s="127">
        <v>0.739583333333333</v>
      </c>
      <c r="F272" s="122">
        <v>1558.12</v>
      </c>
      <c r="G272" s="52">
        <v>1558.51</v>
      </c>
      <c r="H272" s="52">
        <v>1572.6</v>
      </c>
      <c r="I272" s="52">
        <v>1614.16</v>
      </c>
      <c r="J272" s="52">
        <v>1644.5</v>
      </c>
      <c r="K272" s="52">
        <v>1669.43</v>
      </c>
      <c r="L272" s="52">
        <v>1552.62</v>
      </c>
      <c r="M272" s="123">
        <f t="shared" si="32"/>
        <v>11169.94</v>
      </c>
      <c r="N272" s="124">
        <f t="shared" si="33"/>
        <v>997.63</v>
      </c>
      <c r="O272" s="52">
        <v>1001.31</v>
      </c>
      <c r="P272" s="52">
        <f t="shared" si="28"/>
        <v>11039.9999999999</v>
      </c>
      <c r="Q272" s="52">
        <f t="shared" si="34"/>
        <v>6.88</v>
      </c>
      <c r="R272" s="52">
        <v>6.9</v>
      </c>
      <c r="S272" s="52">
        <f t="shared" si="30"/>
        <v>60.0000000000014</v>
      </c>
      <c r="T272" s="121">
        <f t="shared" si="31"/>
        <v>10979.9999999998</v>
      </c>
      <c r="U272" s="63"/>
      <c r="V272" s="52">
        <v>3.95</v>
      </c>
      <c r="W272" s="52">
        <v>25.09</v>
      </c>
      <c r="X272" s="52"/>
      <c r="Y272" s="52"/>
      <c r="Z272" s="52"/>
      <c r="AA272" s="52"/>
      <c r="AB272" s="121" t="s">
        <v>70</v>
      </c>
    </row>
    <row r="273" spans="1:28">
      <c r="A273" s="56">
        <f t="shared" si="29"/>
        <v>275</v>
      </c>
      <c r="B273" s="111">
        <v>46018</v>
      </c>
      <c r="C273" s="29">
        <v>46018</v>
      </c>
      <c r="D273" s="80">
        <v>0.322916666666667</v>
      </c>
      <c r="E273" s="127">
        <v>0.739583333333333</v>
      </c>
      <c r="F273" s="122">
        <v>1493.86</v>
      </c>
      <c r="G273" s="52">
        <v>1493.43</v>
      </c>
      <c r="H273" s="52">
        <v>1501.61</v>
      </c>
      <c r="I273" s="52">
        <v>1538.74</v>
      </c>
      <c r="J273" s="52">
        <v>1563.13</v>
      </c>
      <c r="K273" s="52">
        <v>1586.7</v>
      </c>
      <c r="L273" s="52">
        <v>1479.08</v>
      </c>
      <c r="M273" s="123">
        <f t="shared" si="32"/>
        <v>10656.55</v>
      </c>
      <c r="N273" s="124">
        <f t="shared" si="33"/>
        <v>1001.31</v>
      </c>
      <c r="O273" s="52">
        <v>1004.83</v>
      </c>
      <c r="P273" s="52">
        <f t="shared" si="28"/>
        <v>10560.0000000003</v>
      </c>
      <c r="Q273" s="52">
        <f t="shared" si="34"/>
        <v>6.9</v>
      </c>
      <c r="R273" s="52">
        <v>6.93</v>
      </c>
      <c r="S273" s="52">
        <f t="shared" si="30"/>
        <v>89.9999999999981</v>
      </c>
      <c r="T273" s="121">
        <f t="shared" si="31"/>
        <v>10470.0000000003</v>
      </c>
      <c r="U273" s="63"/>
      <c r="V273" s="52">
        <v>3.75</v>
      </c>
      <c r="W273" s="52">
        <v>24.75</v>
      </c>
      <c r="X273" s="52"/>
      <c r="Y273" s="52"/>
      <c r="Z273" s="52"/>
      <c r="AA273" s="52"/>
      <c r="AB273" s="121" t="s">
        <v>70</v>
      </c>
    </row>
    <row r="274" spans="1:28">
      <c r="A274" s="56">
        <f t="shared" si="29"/>
        <v>276</v>
      </c>
      <c r="B274" s="111">
        <v>46019</v>
      </c>
      <c r="C274" s="29">
        <v>46019</v>
      </c>
      <c r="D274" s="80">
        <v>0.322916666666667</v>
      </c>
      <c r="E274" s="127">
        <v>0.739583333333333</v>
      </c>
      <c r="F274" s="122">
        <v>1495.68</v>
      </c>
      <c r="G274" s="52">
        <v>1497.5</v>
      </c>
      <c r="H274" s="52">
        <v>1505.36</v>
      </c>
      <c r="I274" s="52">
        <v>1549.24</v>
      </c>
      <c r="J274" s="52">
        <v>1568.15</v>
      </c>
      <c r="K274" s="52">
        <v>1583.6</v>
      </c>
      <c r="L274" s="52">
        <v>1478.56</v>
      </c>
      <c r="M274" s="123">
        <f t="shared" si="32"/>
        <v>10678.09</v>
      </c>
      <c r="N274" s="124">
        <f t="shared" si="33"/>
        <v>1004.83</v>
      </c>
      <c r="O274" s="52">
        <v>1008.37</v>
      </c>
      <c r="P274" s="52">
        <f t="shared" si="28"/>
        <v>10619.9999999999</v>
      </c>
      <c r="Q274" s="52">
        <f t="shared" si="34"/>
        <v>6.93</v>
      </c>
      <c r="R274" s="52">
        <v>6.94</v>
      </c>
      <c r="S274" s="52">
        <f t="shared" si="30"/>
        <v>30.000000000002</v>
      </c>
      <c r="T274" s="121">
        <f t="shared" si="31"/>
        <v>10589.9999999999</v>
      </c>
      <c r="U274" s="63"/>
      <c r="V274" s="52"/>
      <c r="W274" s="52">
        <v>23.8</v>
      </c>
      <c r="X274" s="52"/>
      <c r="Y274" s="52"/>
      <c r="Z274" s="52"/>
      <c r="AA274" s="52"/>
      <c r="AB274" s="121" t="s">
        <v>70</v>
      </c>
    </row>
    <row r="275" spans="1:28">
      <c r="A275" s="56">
        <f t="shared" si="29"/>
        <v>277</v>
      </c>
      <c r="B275" s="111">
        <v>46020</v>
      </c>
      <c r="C275" s="29">
        <v>46020</v>
      </c>
      <c r="D275" s="80">
        <v>0.322916666666667</v>
      </c>
      <c r="E275" s="127">
        <v>0.739583333333333</v>
      </c>
      <c r="F275" s="122">
        <v>1411.57</v>
      </c>
      <c r="G275" s="52">
        <v>1412.63</v>
      </c>
      <c r="H275" s="52">
        <v>1419.07</v>
      </c>
      <c r="I275" s="52">
        <v>1467.11</v>
      </c>
      <c r="J275" s="52">
        <v>1478.75</v>
      </c>
      <c r="K275" s="52">
        <v>1495.17</v>
      </c>
      <c r="L275" s="52">
        <v>1396.9</v>
      </c>
      <c r="M275" s="123">
        <f t="shared" si="32"/>
        <v>10081.2</v>
      </c>
      <c r="N275" s="124">
        <f t="shared" si="33"/>
        <v>1008.37</v>
      </c>
      <c r="O275" s="52">
        <v>1011.7</v>
      </c>
      <c r="P275" s="52">
        <f t="shared" si="28"/>
        <v>9990.00000000012</v>
      </c>
      <c r="Q275" s="52">
        <f t="shared" si="34"/>
        <v>6.94</v>
      </c>
      <c r="R275" s="52">
        <v>6.96</v>
      </c>
      <c r="S275" s="52">
        <f t="shared" si="30"/>
        <v>59.9999999999987</v>
      </c>
      <c r="T275" s="121">
        <f t="shared" si="31"/>
        <v>9930.00000000013</v>
      </c>
      <c r="U275" s="63"/>
      <c r="V275" s="52">
        <v>3.76</v>
      </c>
      <c r="W275" s="52">
        <v>25.63</v>
      </c>
      <c r="X275" s="52"/>
      <c r="Y275" s="52"/>
      <c r="Z275" s="52"/>
      <c r="AA275" s="52"/>
      <c r="AB275" s="121" t="s">
        <v>70</v>
      </c>
    </row>
    <row r="276" spans="1:28">
      <c r="A276" s="56">
        <f t="shared" si="29"/>
        <v>278</v>
      </c>
      <c r="B276" s="111">
        <v>46021</v>
      </c>
      <c r="C276" s="29">
        <v>46021</v>
      </c>
      <c r="D276" s="80">
        <v>0.322916666666667</v>
      </c>
      <c r="E276" s="127">
        <v>0.739583333333333</v>
      </c>
      <c r="F276" s="122">
        <v>1476.15</v>
      </c>
      <c r="G276" s="52">
        <v>1478.75</v>
      </c>
      <c r="H276" s="52">
        <v>1487.54</v>
      </c>
      <c r="I276" s="52">
        <v>1528.73</v>
      </c>
      <c r="J276" s="52">
        <v>1553.46</v>
      </c>
      <c r="K276" s="52">
        <v>1546.68</v>
      </c>
      <c r="L276" s="52">
        <v>1442.35</v>
      </c>
      <c r="M276" s="123">
        <f t="shared" si="32"/>
        <v>10513.66</v>
      </c>
      <c r="N276" s="124">
        <f t="shared" si="33"/>
        <v>1011.7</v>
      </c>
      <c r="O276" s="52">
        <v>1015.17</v>
      </c>
      <c r="P276" s="52">
        <f t="shared" si="28"/>
        <v>10409.9999999997</v>
      </c>
      <c r="Q276" s="52">
        <f t="shared" si="34"/>
        <v>6.96</v>
      </c>
      <c r="R276" s="52">
        <v>6.98</v>
      </c>
      <c r="S276" s="52">
        <f t="shared" si="30"/>
        <v>60.0000000000014</v>
      </c>
      <c r="T276" s="121">
        <f t="shared" si="31"/>
        <v>10349.9999999997</v>
      </c>
      <c r="U276" s="63"/>
      <c r="V276" s="52">
        <v>3.72</v>
      </c>
      <c r="W276" s="52">
        <v>24.75</v>
      </c>
      <c r="X276" s="52"/>
      <c r="Y276" s="52"/>
      <c r="Z276" s="52"/>
      <c r="AA276" s="52"/>
      <c r="AB276" s="121" t="s">
        <v>70</v>
      </c>
    </row>
    <row r="277" spans="1:28">
      <c r="A277" s="56">
        <f t="shared" si="29"/>
        <v>279</v>
      </c>
      <c r="B277" s="111">
        <v>46022</v>
      </c>
      <c r="C277" s="29">
        <v>46022</v>
      </c>
      <c r="D277" s="80">
        <v>0.322916666666667</v>
      </c>
      <c r="E277" s="127">
        <v>0.729166666666667</v>
      </c>
      <c r="F277" s="122">
        <v>1219.06</v>
      </c>
      <c r="G277" s="52">
        <v>1217.23</v>
      </c>
      <c r="H277" s="52">
        <v>1222.88</v>
      </c>
      <c r="I277" s="52">
        <v>1261.28</v>
      </c>
      <c r="J277" s="52">
        <v>1270.68</v>
      </c>
      <c r="K277" s="52">
        <v>1283.43</v>
      </c>
      <c r="L277" s="52">
        <v>1217.53</v>
      </c>
      <c r="M277" s="123">
        <f t="shared" si="32"/>
        <v>8692.09</v>
      </c>
      <c r="N277" s="124">
        <f t="shared" si="33"/>
        <v>1015.17</v>
      </c>
      <c r="O277" s="52">
        <v>1018.04</v>
      </c>
      <c r="P277" s="52">
        <f t="shared" si="28"/>
        <v>8610.00000000001</v>
      </c>
      <c r="Q277" s="52">
        <f t="shared" si="34"/>
        <v>6.98</v>
      </c>
      <c r="R277" s="52">
        <v>7</v>
      </c>
      <c r="S277" s="52">
        <f t="shared" si="30"/>
        <v>59.9999999999987</v>
      </c>
      <c r="T277" s="121">
        <f t="shared" si="31"/>
        <v>8550.00000000002</v>
      </c>
      <c r="U277" s="63"/>
      <c r="V277" s="52">
        <v>3.22</v>
      </c>
      <c r="W277" s="52">
        <v>25.41</v>
      </c>
      <c r="X277" s="52"/>
      <c r="Y277" s="52"/>
      <c r="Z277" s="52"/>
      <c r="AA277" s="52"/>
      <c r="AB277" s="121" t="s">
        <v>70</v>
      </c>
    </row>
    <row r="278" spans="1:28">
      <c r="A278" s="56">
        <f t="shared" si="29"/>
        <v>280</v>
      </c>
      <c r="B278" s="111">
        <v>46023</v>
      </c>
      <c r="C278" s="29">
        <v>46023</v>
      </c>
      <c r="D278" s="80">
        <v>0.322916666666667</v>
      </c>
      <c r="E278" s="127">
        <v>0.739583333333333</v>
      </c>
      <c r="F278" s="122">
        <v>1606.18</v>
      </c>
      <c r="G278" s="52">
        <v>1611.78</v>
      </c>
      <c r="H278" s="52">
        <v>1621.58</v>
      </c>
      <c r="I278" s="52">
        <v>1661.86</v>
      </c>
      <c r="J278" s="52">
        <v>1689.62</v>
      </c>
      <c r="K278" s="52">
        <v>1710.49</v>
      </c>
      <c r="L278" s="52">
        <v>1590.92</v>
      </c>
      <c r="M278" s="123">
        <f t="shared" si="32"/>
        <v>11492.43</v>
      </c>
      <c r="N278" s="124">
        <f t="shared" si="33"/>
        <v>1018.04</v>
      </c>
      <c r="O278" s="52">
        <v>1021.84</v>
      </c>
      <c r="P278" s="52">
        <f t="shared" si="28"/>
        <v>11400.0000000002</v>
      </c>
      <c r="Q278" s="52">
        <f t="shared" si="34"/>
        <v>7</v>
      </c>
      <c r="R278" s="52">
        <v>7.02</v>
      </c>
      <c r="S278" s="52">
        <f t="shared" si="30"/>
        <v>59.9999999999987</v>
      </c>
      <c r="T278" s="121">
        <f t="shared" si="31"/>
        <v>11340.0000000002</v>
      </c>
      <c r="U278" s="63"/>
      <c r="V278" s="52">
        <v>4.03</v>
      </c>
      <c r="W278" s="52">
        <v>24.46</v>
      </c>
      <c r="X278" s="52"/>
      <c r="Y278" s="52"/>
      <c r="Z278" s="52"/>
      <c r="AA278" s="52"/>
      <c r="AB278" s="121" t="s">
        <v>70</v>
      </c>
    </row>
    <row r="279" spans="1:28">
      <c r="A279" s="56">
        <f t="shared" si="29"/>
        <v>281</v>
      </c>
      <c r="B279" s="111">
        <v>46024</v>
      </c>
      <c r="C279" s="29">
        <v>46024</v>
      </c>
      <c r="D279" s="80">
        <v>0.322916666666667</v>
      </c>
      <c r="E279" s="127">
        <v>0.739583333333333</v>
      </c>
      <c r="F279" s="122">
        <v>1630.77</v>
      </c>
      <c r="G279" s="52">
        <v>1635.01</v>
      </c>
      <c r="H279" s="52">
        <v>1643.2</v>
      </c>
      <c r="I279" s="52">
        <v>1687.06</v>
      </c>
      <c r="J279" s="52">
        <v>1716.41</v>
      </c>
      <c r="K279" s="52">
        <v>1734.64</v>
      </c>
      <c r="L279" s="52">
        <v>1610.11</v>
      </c>
      <c r="M279" s="123">
        <f t="shared" si="32"/>
        <v>11657.2</v>
      </c>
      <c r="N279" s="124">
        <f t="shared" si="33"/>
        <v>1021.84</v>
      </c>
      <c r="O279" s="52">
        <v>1025.69</v>
      </c>
      <c r="P279" s="52">
        <f t="shared" si="28"/>
        <v>11550.0000000001</v>
      </c>
      <c r="Q279" s="52">
        <f t="shared" si="34"/>
        <v>7.02</v>
      </c>
      <c r="R279" s="52">
        <v>7.04</v>
      </c>
      <c r="S279" s="52">
        <f t="shared" si="30"/>
        <v>60.0000000000014</v>
      </c>
      <c r="T279" s="121">
        <f t="shared" si="31"/>
        <v>11490.0000000001</v>
      </c>
      <c r="U279" s="63"/>
      <c r="V279" s="52">
        <v>4.05</v>
      </c>
      <c r="W279" s="52">
        <v>22.95</v>
      </c>
      <c r="X279" s="52"/>
      <c r="Y279" s="52"/>
      <c r="Z279" s="52"/>
      <c r="AA279" s="52"/>
      <c r="AB279" s="121" t="s">
        <v>70</v>
      </c>
    </row>
    <row r="280" spans="1:28">
      <c r="A280" s="56">
        <f t="shared" si="29"/>
        <v>282</v>
      </c>
      <c r="B280" s="111">
        <v>46025</v>
      </c>
      <c r="C280" s="29">
        <v>46025</v>
      </c>
      <c r="D280" s="80">
        <v>0.322916666666667</v>
      </c>
      <c r="E280" s="127">
        <v>0.739583333333333</v>
      </c>
      <c r="F280" s="122">
        <v>1719.39</v>
      </c>
      <c r="G280" s="52">
        <v>1721.45</v>
      </c>
      <c r="H280" s="52">
        <v>1730.7</v>
      </c>
      <c r="I280" s="52">
        <v>1776.29</v>
      </c>
      <c r="J280" s="52">
        <v>1807.53</v>
      </c>
      <c r="K280" s="52">
        <v>1823</v>
      </c>
      <c r="L280" s="52">
        <v>1695.07</v>
      </c>
      <c r="M280" s="123">
        <f t="shared" si="32"/>
        <v>12273.43</v>
      </c>
      <c r="N280" s="124">
        <f t="shared" si="33"/>
        <v>1025.69</v>
      </c>
      <c r="O280" s="52">
        <v>1029.74</v>
      </c>
      <c r="P280" s="52">
        <f t="shared" ref="P280:P343" si="35">MAX((O280-N280)*3000,0)</f>
        <v>12149.9999999999</v>
      </c>
      <c r="Q280" s="52">
        <f t="shared" si="34"/>
        <v>7.04</v>
      </c>
      <c r="R280" s="52">
        <v>7.06</v>
      </c>
      <c r="S280" s="52">
        <f t="shared" si="30"/>
        <v>59.9999999999987</v>
      </c>
      <c r="T280" s="121">
        <f t="shared" si="31"/>
        <v>12089.9999999999</v>
      </c>
      <c r="U280" s="63"/>
      <c r="V280" s="52">
        <v>4.34</v>
      </c>
      <c r="W280" s="52">
        <v>22.14</v>
      </c>
      <c r="X280" s="52"/>
      <c r="Y280" s="52"/>
      <c r="Z280" s="52"/>
      <c r="AA280" s="52"/>
      <c r="AB280" s="121" t="s">
        <v>70</v>
      </c>
    </row>
    <row r="281" spans="1:28">
      <c r="A281" s="56">
        <f t="shared" si="29"/>
        <v>283</v>
      </c>
      <c r="B281" s="111">
        <v>46026</v>
      </c>
      <c r="C281" s="29">
        <v>46026</v>
      </c>
      <c r="D281" s="80">
        <v>0.322916666666667</v>
      </c>
      <c r="E281" s="127">
        <v>0.6875</v>
      </c>
      <c r="F281" s="122">
        <v>1639.29</v>
      </c>
      <c r="G281" s="52">
        <v>1645.03</v>
      </c>
      <c r="H281" s="52">
        <v>1652.38</v>
      </c>
      <c r="I281" s="52">
        <v>1704.05</v>
      </c>
      <c r="J281" s="52">
        <v>1720.22</v>
      </c>
      <c r="K281" s="52">
        <v>1741.73</v>
      </c>
      <c r="L281" s="52">
        <v>1610.17</v>
      </c>
      <c r="M281" s="123">
        <f t="shared" si="32"/>
        <v>11712.87</v>
      </c>
      <c r="N281" s="124">
        <f t="shared" si="33"/>
        <v>1029.74</v>
      </c>
      <c r="O281" s="52">
        <v>1033.6</v>
      </c>
      <c r="P281" s="52">
        <f t="shared" si="35"/>
        <v>11579.9999999997</v>
      </c>
      <c r="Q281" s="52">
        <f t="shared" si="34"/>
        <v>7.06</v>
      </c>
      <c r="R281" s="52">
        <v>7.08</v>
      </c>
      <c r="S281" s="52">
        <f t="shared" si="30"/>
        <v>60.0000000000014</v>
      </c>
      <c r="T281" s="121">
        <f t="shared" si="31"/>
        <v>11519.9999999997</v>
      </c>
      <c r="U281" s="63"/>
      <c r="V281" s="52">
        <v>4.1</v>
      </c>
      <c r="W281" s="52">
        <v>22.57</v>
      </c>
      <c r="X281" s="52"/>
      <c r="Y281" s="52"/>
      <c r="Z281" s="52"/>
      <c r="AA281" s="52"/>
      <c r="AB281" s="121" t="s">
        <v>70</v>
      </c>
    </row>
    <row r="282" spans="1:28">
      <c r="A282" s="56">
        <f t="shared" si="29"/>
        <v>284</v>
      </c>
      <c r="B282" s="111">
        <v>46027</v>
      </c>
      <c r="C282" s="29">
        <v>46027</v>
      </c>
      <c r="D282" s="80">
        <v>0.322916666666667</v>
      </c>
      <c r="E282" s="127">
        <v>0.739583333333333</v>
      </c>
      <c r="F282" s="122">
        <v>1606.88</v>
      </c>
      <c r="G282" s="52">
        <v>1607.81</v>
      </c>
      <c r="H282" s="52">
        <v>1617.73</v>
      </c>
      <c r="I282" s="52">
        <v>1664.23</v>
      </c>
      <c r="J282" s="52">
        <v>1687.19</v>
      </c>
      <c r="K282" s="52">
        <v>1707.91</v>
      </c>
      <c r="L282" s="52">
        <v>1587.56</v>
      </c>
      <c r="M282" s="123">
        <f t="shared" si="32"/>
        <v>11479.31</v>
      </c>
      <c r="N282" s="124">
        <f t="shared" si="33"/>
        <v>1033.6</v>
      </c>
      <c r="O282" s="52">
        <v>1037.39</v>
      </c>
      <c r="P282" s="52">
        <f t="shared" si="35"/>
        <v>11370.0000000006</v>
      </c>
      <c r="Q282" s="52">
        <f t="shared" si="34"/>
        <v>7.08</v>
      </c>
      <c r="R282" s="52">
        <v>7.1</v>
      </c>
      <c r="S282" s="52">
        <f t="shared" si="30"/>
        <v>59.9999999999987</v>
      </c>
      <c r="T282" s="121">
        <f t="shared" si="31"/>
        <v>11310.0000000006</v>
      </c>
      <c r="U282" s="63"/>
      <c r="V282" s="52">
        <v>4.03</v>
      </c>
      <c r="W282" s="52">
        <v>23.17</v>
      </c>
      <c r="X282" s="52"/>
      <c r="Y282" s="52"/>
      <c r="Z282" s="52"/>
      <c r="AA282" s="52"/>
      <c r="AB282" s="121" t="s">
        <v>70</v>
      </c>
    </row>
    <row r="283" spans="1:28">
      <c r="A283" s="56">
        <f t="shared" si="29"/>
        <v>285</v>
      </c>
      <c r="B283" s="111">
        <v>46028</v>
      </c>
      <c r="C283" s="29">
        <v>46028</v>
      </c>
      <c r="D283" s="80">
        <v>0.322916666666667</v>
      </c>
      <c r="E283" s="127">
        <v>0.75</v>
      </c>
      <c r="F283" s="122">
        <v>1540.13</v>
      </c>
      <c r="G283" s="52">
        <v>1545.13</v>
      </c>
      <c r="H283" s="52">
        <v>1552.08</v>
      </c>
      <c r="I283" s="52">
        <v>1593.02</v>
      </c>
      <c r="J283" s="52">
        <v>1615.05</v>
      </c>
      <c r="K283" s="52">
        <v>1636.78</v>
      </c>
      <c r="L283" s="52">
        <v>1522.64</v>
      </c>
      <c r="M283" s="123">
        <f t="shared" si="32"/>
        <v>11004.83</v>
      </c>
      <c r="N283" s="124">
        <f t="shared" si="33"/>
        <v>1037.39</v>
      </c>
      <c r="O283" s="52">
        <v>1041.03</v>
      </c>
      <c r="P283" s="52">
        <f t="shared" si="35"/>
        <v>10919.9999999996</v>
      </c>
      <c r="Q283" s="52">
        <f t="shared" si="34"/>
        <v>7.1</v>
      </c>
      <c r="R283" s="52">
        <v>7.12</v>
      </c>
      <c r="S283" s="52">
        <f t="shared" si="30"/>
        <v>60.0000000000014</v>
      </c>
      <c r="T283" s="121">
        <f t="shared" si="31"/>
        <v>10859.9999999996</v>
      </c>
      <c r="U283" s="63"/>
      <c r="V283" s="52">
        <v>4.09</v>
      </c>
      <c r="W283" s="52">
        <v>23.23</v>
      </c>
      <c r="X283" s="52"/>
      <c r="Y283" s="52"/>
      <c r="Z283" s="52"/>
      <c r="AA283" s="52"/>
      <c r="AB283" s="121" t="s">
        <v>70</v>
      </c>
    </row>
    <row r="284" spans="1:28">
      <c r="A284" s="56">
        <f t="shared" si="29"/>
        <v>286</v>
      </c>
      <c r="B284" s="111">
        <v>46029</v>
      </c>
      <c r="C284" s="29">
        <v>46029</v>
      </c>
      <c r="D284" s="80">
        <v>0.333333333333333</v>
      </c>
      <c r="E284" s="127">
        <v>0.739583333333333</v>
      </c>
      <c r="F284" s="122">
        <v>473.72</v>
      </c>
      <c r="G284" s="52">
        <v>475.74</v>
      </c>
      <c r="H284" s="52">
        <v>479.84</v>
      </c>
      <c r="I284" s="52">
        <v>506.23</v>
      </c>
      <c r="J284" s="52">
        <v>498.74</v>
      </c>
      <c r="K284" s="52">
        <v>505.53</v>
      </c>
      <c r="L284" s="52">
        <v>453.8</v>
      </c>
      <c r="M284" s="123">
        <f t="shared" si="32"/>
        <v>3393.6</v>
      </c>
      <c r="N284" s="124">
        <f t="shared" si="33"/>
        <v>1041.03</v>
      </c>
      <c r="O284" s="52">
        <v>1042.15</v>
      </c>
      <c r="P284" s="52">
        <f t="shared" si="35"/>
        <v>3360.00000000035</v>
      </c>
      <c r="Q284" s="52">
        <f t="shared" si="34"/>
        <v>7.12</v>
      </c>
      <c r="R284" s="52">
        <v>7.14</v>
      </c>
      <c r="S284" s="52">
        <f t="shared" si="30"/>
        <v>59.9999999999987</v>
      </c>
      <c r="T284" s="121">
        <f t="shared" si="31"/>
        <v>3300.00000000036</v>
      </c>
      <c r="U284" s="63"/>
      <c r="V284" s="52">
        <v>1.3</v>
      </c>
      <c r="W284" s="52">
        <v>20.81</v>
      </c>
      <c r="X284" s="52"/>
      <c r="Y284" s="52"/>
      <c r="Z284" s="52"/>
      <c r="AA284" s="52"/>
      <c r="AB284" s="121" t="s">
        <v>70</v>
      </c>
    </row>
    <row r="285" spans="1:28">
      <c r="A285" s="56">
        <f t="shared" si="29"/>
        <v>287</v>
      </c>
      <c r="B285" s="111">
        <v>46030</v>
      </c>
      <c r="C285" s="29">
        <v>46030</v>
      </c>
      <c r="D285" s="80">
        <v>0.333333333333333</v>
      </c>
      <c r="E285" s="127">
        <v>0.75</v>
      </c>
      <c r="F285" s="122">
        <v>1401.62</v>
      </c>
      <c r="G285" s="52">
        <v>1423.23</v>
      </c>
      <c r="H285" s="52">
        <v>1431.08</v>
      </c>
      <c r="I285" s="52">
        <v>1473.85</v>
      </c>
      <c r="J285" s="52">
        <v>1490.52</v>
      </c>
      <c r="K285" s="52">
        <v>1508.47</v>
      </c>
      <c r="L285" s="52">
        <v>1414.89</v>
      </c>
      <c r="M285" s="123">
        <f t="shared" si="32"/>
        <v>10143.66</v>
      </c>
      <c r="N285" s="124">
        <f t="shared" si="33"/>
        <v>1042.15</v>
      </c>
      <c r="O285" s="52">
        <v>1045.5</v>
      </c>
      <c r="P285" s="52">
        <f t="shared" si="35"/>
        <v>10049.9999999997</v>
      </c>
      <c r="Q285" s="52">
        <f t="shared" si="34"/>
        <v>7.14</v>
      </c>
      <c r="R285" s="52">
        <v>7.16</v>
      </c>
      <c r="S285" s="52">
        <f t="shared" si="30"/>
        <v>60.0000000000014</v>
      </c>
      <c r="T285" s="121">
        <f t="shared" si="31"/>
        <v>9989.99999999973</v>
      </c>
      <c r="U285" s="63"/>
      <c r="V285" s="52">
        <v>3.62</v>
      </c>
      <c r="W285" s="52">
        <v>21.85</v>
      </c>
      <c r="X285" s="52"/>
      <c r="Y285" s="52"/>
      <c r="Z285" s="52"/>
      <c r="AA285" s="52"/>
      <c r="AB285" s="121" t="s">
        <v>70</v>
      </c>
    </row>
    <row r="286" spans="1:28">
      <c r="A286" s="56">
        <f t="shared" si="29"/>
        <v>288</v>
      </c>
      <c r="B286" s="111">
        <v>46031</v>
      </c>
      <c r="C286" s="29">
        <v>46031</v>
      </c>
      <c r="D286" s="80">
        <v>0.322916666666667</v>
      </c>
      <c r="E286" s="127">
        <v>0.75</v>
      </c>
      <c r="F286" s="122">
        <v>1346.99</v>
      </c>
      <c r="G286" s="52">
        <v>1415.29</v>
      </c>
      <c r="H286" s="52">
        <v>1422.18</v>
      </c>
      <c r="I286" s="52">
        <v>1479.9</v>
      </c>
      <c r="J286" s="52">
        <v>1479.14</v>
      </c>
      <c r="K286" s="52">
        <v>1498.5</v>
      </c>
      <c r="L286" s="52">
        <v>1392.46</v>
      </c>
      <c r="M286" s="123">
        <f t="shared" si="32"/>
        <v>10034.46</v>
      </c>
      <c r="N286" s="124">
        <f t="shared" si="33"/>
        <v>1045.5</v>
      </c>
      <c r="O286" s="52">
        <v>1048.81</v>
      </c>
      <c r="P286" s="52">
        <f t="shared" si="35"/>
        <v>9929.99999999984</v>
      </c>
      <c r="Q286" s="52">
        <f t="shared" si="34"/>
        <v>7.16</v>
      </c>
      <c r="R286" s="52">
        <v>7.18</v>
      </c>
      <c r="S286" s="52">
        <f t="shared" si="30"/>
        <v>59.9999999999987</v>
      </c>
      <c r="T286" s="121">
        <f t="shared" si="31"/>
        <v>9869.99999999984</v>
      </c>
      <c r="U286" s="63"/>
      <c r="V286" s="52">
        <v>3.76</v>
      </c>
      <c r="W286" s="52">
        <v>20.97</v>
      </c>
      <c r="X286" s="52"/>
      <c r="Y286" s="52"/>
      <c r="Z286" s="52"/>
      <c r="AA286" s="52"/>
      <c r="AB286" s="121" t="s">
        <v>70</v>
      </c>
    </row>
    <row r="287" spans="1:28">
      <c r="A287" s="56">
        <f t="shared" si="29"/>
        <v>289</v>
      </c>
      <c r="B287" s="111">
        <v>46032</v>
      </c>
      <c r="C287" s="29">
        <v>46032</v>
      </c>
      <c r="D287" s="80">
        <v>0.333333333333333</v>
      </c>
      <c r="E287" s="127">
        <v>0.75</v>
      </c>
      <c r="F287" s="122">
        <v>1564.23</v>
      </c>
      <c r="G287" s="52">
        <v>1645.7</v>
      </c>
      <c r="H287" s="52">
        <v>1653.82</v>
      </c>
      <c r="I287" s="52">
        <v>1699.23</v>
      </c>
      <c r="J287" s="52">
        <v>1724.33</v>
      </c>
      <c r="K287" s="52">
        <v>1746.74</v>
      </c>
      <c r="L287" s="52">
        <v>1624.31</v>
      </c>
      <c r="M287" s="123">
        <f t="shared" si="32"/>
        <v>11658.36</v>
      </c>
      <c r="N287" s="124">
        <f t="shared" si="33"/>
        <v>1048.81</v>
      </c>
      <c r="O287" s="52">
        <v>1052.67</v>
      </c>
      <c r="P287" s="52">
        <f t="shared" si="35"/>
        <v>11580.0000000004</v>
      </c>
      <c r="Q287" s="52">
        <f t="shared" si="34"/>
        <v>7.18</v>
      </c>
      <c r="R287" s="52">
        <v>7.2</v>
      </c>
      <c r="S287" s="52">
        <f t="shared" si="30"/>
        <v>60.0000000000014</v>
      </c>
      <c r="T287" s="121">
        <f t="shared" si="31"/>
        <v>11520.0000000004</v>
      </c>
      <c r="U287" s="63"/>
      <c r="V287" s="52">
        <v>4.15</v>
      </c>
      <c r="W287" s="52">
        <v>21.31</v>
      </c>
      <c r="X287" s="52"/>
      <c r="Y287" s="52"/>
      <c r="Z287" s="52"/>
      <c r="AA287" s="52"/>
      <c r="AB287" s="121" t="s">
        <v>70</v>
      </c>
    </row>
    <row r="288" spans="1:28">
      <c r="A288" s="56">
        <f t="shared" si="29"/>
        <v>290</v>
      </c>
      <c r="B288" s="111">
        <v>46033</v>
      </c>
      <c r="C288" s="29">
        <v>46033</v>
      </c>
      <c r="D288" s="80">
        <v>0.333333333333333</v>
      </c>
      <c r="E288" s="127">
        <v>0.75</v>
      </c>
      <c r="F288" s="122">
        <v>1553.38</v>
      </c>
      <c r="G288" s="52">
        <v>1637.02</v>
      </c>
      <c r="H288" s="52">
        <v>1621.52</v>
      </c>
      <c r="I288" s="52">
        <v>1690.22</v>
      </c>
      <c r="J288" s="52">
        <v>1714.27</v>
      </c>
      <c r="K288" s="52">
        <v>1710.2</v>
      </c>
      <c r="L288" s="52">
        <v>1569.87</v>
      </c>
      <c r="M288" s="123">
        <f t="shared" si="32"/>
        <v>11496.48</v>
      </c>
      <c r="N288" s="124">
        <f t="shared" si="33"/>
        <v>1052.67</v>
      </c>
      <c r="O288" s="52">
        <v>1056.46</v>
      </c>
      <c r="P288" s="52">
        <f t="shared" si="35"/>
        <v>11369.9999999999</v>
      </c>
      <c r="Q288" s="52">
        <f t="shared" si="34"/>
        <v>7.2</v>
      </c>
      <c r="R288" s="52">
        <v>7.22</v>
      </c>
      <c r="S288" s="52">
        <f t="shared" si="30"/>
        <v>59.9999999999987</v>
      </c>
      <c r="T288" s="121">
        <f t="shared" si="31"/>
        <v>11309.9999999999</v>
      </c>
      <c r="U288" s="63"/>
      <c r="V288" s="52">
        <v>4.2</v>
      </c>
      <c r="W288" s="52">
        <v>21.7</v>
      </c>
      <c r="X288" s="52"/>
      <c r="Y288" s="52"/>
      <c r="Z288" s="52"/>
      <c r="AA288" s="52"/>
      <c r="AB288" s="121" t="s">
        <v>70</v>
      </c>
    </row>
    <row r="289" spans="1:28">
      <c r="A289" s="56">
        <f t="shared" si="29"/>
        <v>291</v>
      </c>
      <c r="B289" s="111">
        <v>46034</v>
      </c>
      <c r="C289" s="29">
        <v>46034</v>
      </c>
      <c r="D289" s="80">
        <v>0.439583333333333</v>
      </c>
      <c r="E289" s="127">
        <v>0.75</v>
      </c>
      <c r="F289" s="122">
        <v>1488.4</v>
      </c>
      <c r="G289" s="52">
        <v>1562.58</v>
      </c>
      <c r="H289" s="52">
        <v>1569.76</v>
      </c>
      <c r="I289" s="52">
        <v>1614.61</v>
      </c>
      <c r="J289" s="52">
        <v>1468.64</v>
      </c>
      <c r="K289" s="52">
        <v>1713.67</v>
      </c>
      <c r="L289" s="52">
        <v>1562.41</v>
      </c>
      <c r="M289" s="123">
        <f t="shared" si="32"/>
        <v>10980.07</v>
      </c>
      <c r="N289" s="124">
        <f t="shared" si="33"/>
        <v>1056.46</v>
      </c>
      <c r="O289" s="52">
        <v>1060.15</v>
      </c>
      <c r="P289" s="52">
        <f t="shared" si="35"/>
        <v>11070.0000000002</v>
      </c>
      <c r="Q289" s="52">
        <f t="shared" si="34"/>
        <v>7.22</v>
      </c>
      <c r="R289" s="52">
        <v>7.24</v>
      </c>
      <c r="S289" s="52">
        <f t="shared" si="30"/>
        <v>60.0000000000014</v>
      </c>
      <c r="T289" s="121">
        <f t="shared" si="31"/>
        <v>11010.0000000002</v>
      </c>
      <c r="U289" s="63"/>
      <c r="V289" s="52">
        <v>3.39</v>
      </c>
      <c r="W289" s="52">
        <v>25.9</v>
      </c>
      <c r="X289" s="52"/>
      <c r="Y289" s="52"/>
      <c r="Z289" s="52"/>
      <c r="AA289" s="52"/>
      <c r="AB289" s="121" t="s">
        <v>70</v>
      </c>
    </row>
    <row r="290" spans="1:28">
      <c r="A290" s="56">
        <f t="shared" si="29"/>
        <v>292</v>
      </c>
      <c r="B290" s="111">
        <v>46035</v>
      </c>
      <c r="C290" s="29">
        <v>46035</v>
      </c>
      <c r="D290" s="80">
        <v>0.333333333333333</v>
      </c>
      <c r="E290" s="127">
        <v>0.75</v>
      </c>
      <c r="F290" s="122">
        <v>1465.12</v>
      </c>
      <c r="G290" s="52">
        <v>1595.16</v>
      </c>
      <c r="H290" s="52">
        <v>1628.59</v>
      </c>
      <c r="I290" s="52">
        <v>1670.4</v>
      </c>
      <c r="J290" s="52">
        <v>1684.58</v>
      </c>
      <c r="K290" s="52">
        <v>1694.96</v>
      </c>
      <c r="L290" s="52">
        <v>1539.68</v>
      </c>
      <c r="M290" s="123">
        <f t="shared" si="32"/>
        <v>11278.49</v>
      </c>
      <c r="N290" s="124">
        <f t="shared" si="33"/>
        <v>1060.15</v>
      </c>
      <c r="O290" s="52">
        <v>1063.88</v>
      </c>
      <c r="P290" s="52">
        <f t="shared" si="35"/>
        <v>11190.0000000001</v>
      </c>
      <c r="Q290" s="52">
        <f t="shared" si="34"/>
        <v>7.24</v>
      </c>
      <c r="R290" s="52">
        <v>7.26</v>
      </c>
      <c r="S290" s="52">
        <f t="shared" si="30"/>
        <v>59.9999999999987</v>
      </c>
      <c r="T290" s="121">
        <f t="shared" si="31"/>
        <v>11130.0000000001</v>
      </c>
      <c r="U290" s="63"/>
      <c r="V290" s="52">
        <v>3.96</v>
      </c>
      <c r="W290" s="52">
        <v>24.65</v>
      </c>
      <c r="X290" s="52"/>
      <c r="Y290" s="52"/>
      <c r="Z290" s="52"/>
      <c r="AA290" s="52"/>
      <c r="AB290" s="121" t="s">
        <v>70</v>
      </c>
    </row>
    <row r="291" spans="1:28">
      <c r="A291" s="56">
        <f t="shared" si="29"/>
        <v>293</v>
      </c>
      <c r="B291" s="111">
        <v>46036</v>
      </c>
      <c r="C291" s="29">
        <v>46036</v>
      </c>
      <c r="D291" s="80">
        <v>0.333333333333333</v>
      </c>
      <c r="E291" s="127">
        <v>0.75</v>
      </c>
      <c r="F291" s="122">
        <v>1646.6</v>
      </c>
      <c r="G291" s="52">
        <v>1839.72</v>
      </c>
      <c r="H291" s="52">
        <v>1843.8</v>
      </c>
      <c r="I291" s="52">
        <v>1881.25</v>
      </c>
      <c r="J291" s="52">
        <v>1904.34</v>
      </c>
      <c r="K291" s="52">
        <v>1912.43</v>
      </c>
      <c r="L291" s="52">
        <v>1788.13</v>
      </c>
      <c r="M291" s="123">
        <f t="shared" si="32"/>
        <v>12816.27</v>
      </c>
      <c r="N291" s="124">
        <f t="shared" si="33"/>
        <v>1063.88</v>
      </c>
      <c r="O291" s="52">
        <v>1068.13</v>
      </c>
      <c r="P291" s="52">
        <f t="shared" si="35"/>
        <v>12750</v>
      </c>
      <c r="Q291" s="52">
        <f t="shared" si="34"/>
        <v>7.26</v>
      </c>
      <c r="R291" s="52">
        <v>7.28</v>
      </c>
      <c r="S291" s="52">
        <f t="shared" si="30"/>
        <v>60.0000000000014</v>
      </c>
      <c r="T291" s="121">
        <f t="shared" si="31"/>
        <v>12690</v>
      </c>
      <c r="U291" s="63"/>
      <c r="V291" s="52">
        <v>4.5</v>
      </c>
      <c r="W291" s="52">
        <v>23.29</v>
      </c>
      <c r="X291" s="52"/>
      <c r="Y291" s="52"/>
      <c r="Z291" s="52"/>
      <c r="AA291" s="52"/>
      <c r="AB291" s="121" t="s">
        <v>70</v>
      </c>
    </row>
    <row r="292" spans="1:28">
      <c r="A292" s="56">
        <f t="shared" si="29"/>
        <v>294</v>
      </c>
      <c r="B292" s="111">
        <v>46037</v>
      </c>
      <c r="C292" s="29">
        <v>46037</v>
      </c>
      <c r="D292" s="80">
        <v>0.333333333333333</v>
      </c>
      <c r="E292" s="127">
        <v>0.75</v>
      </c>
      <c r="F292" s="122">
        <v>1776.14</v>
      </c>
      <c r="G292" s="52">
        <v>1862.73</v>
      </c>
      <c r="H292" s="52">
        <v>1872.07</v>
      </c>
      <c r="I292" s="52">
        <v>1902.32</v>
      </c>
      <c r="J292" s="52">
        <v>1929</v>
      </c>
      <c r="K292" s="52">
        <v>1902.63</v>
      </c>
      <c r="L292" s="52">
        <v>1785.32</v>
      </c>
      <c r="M292" s="123">
        <f t="shared" si="32"/>
        <v>13030.21</v>
      </c>
      <c r="N292" s="124">
        <f t="shared" si="33"/>
        <v>1068.13</v>
      </c>
      <c r="O292" s="52">
        <v>1072.45</v>
      </c>
      <c r="P292" s="52">
        <f t="shared" si="35"/>
        <v>12959.9999999998</v>
      </c>
      <c r="Q292" s="52">
        <f t="shared" si="34"/>
        <v>7.28</v>
      </c>
      <c r="R292" s="52">
        <v>7.3</v>
      </c>
      <c r="S292" s="52">
        <f t="shared" si="30"/>
        <v>59.9999999999987</v>
      </c>
      <c r="T292" s="121">
        <f t="shared" si="31"/>
        <v>12899.9999999998</v>
      </c>
      <c r="U292" s="63"/>
      <c r="V292" s="52">
        <v>4.62</v>
      </c>
      <c r="W292" s="52">
        <v>24.31</v>
      </c>
      <c r="X292" s="52"/>
      <c r="Y292" s="52"/>
      <c r="Z292" s="52"/>
      <c r="AA292" s="52"/>
      <c r="AB292" s="121" t="s">
        <v>70</v>
      </c>
    </row>
    <row r="293" spans="1:28">
      <c r="A293" s="56">
        <f t="shared" si="29"/>
        <v>295</v>
      </c>
      <c r="B293" s="111">
        <v>46038</v>
      </c>
      <c r="C293" s="29">
        <v>46038</v>
      </c>
      <c r="D293" s="80">
        <v>0.333333333333333</v>
      </c>
      <c r="E293" s="127">
        <v>0.75</v>
      </c>
      <c r="F293" s="122">
        <v>1619.33</v>
      </c>
      <c r="G293" s="52">
        <v>1726.16</v>
      </c>
      <c r="H293" s="52">
        <v>1733.34</v>
      </c>
      <c r="I293" s="52">
        <v>1772.1</v>
      </c>
      <c r="J293" s="52">
        <v>1794.03</v>
      </c>
      <c r="K293" s="52">
        <v>1771.18</v>
      </c>
      <c r="L293" s="52">
        <v>1659.48</v>
      </c>
      <c r="M293" s="123">
        <f t="shared" si="32"/>
        <v>12075.62</v>
      </c>
      <c r="N293" s="124">
        <f t="shared" si="33"/>
        <v>1072.45</v>
      </c>
      <c r="O293" s="52">
        <v>1076.43</v>
      </c>
      <c r="P293" s="52">
        <f t="shared" si="35"/>
        <v>11940.0000000001</v>
      </c>
      <c r="Q293" s="52">
        <f t="shared" si="34"/>
        <v>7.3</v>
      </c>
      <c r="R293" s="52">
        <v>7.32</v>
      </c>
      <c r="S293" s="52">
        <f t="shared" si="30"/>
        <v>60.0000000000014</v>
      </c>
      <c r="T293" s="121">
        <f t="shared" si="31"/>
        <v>11880.0000000001</v>
      </c>
      <c r="U293" s="63"/>
      <c r="V293" s="52">
        <v>4.29</v>
      </c>
      <c r="W293" s="52">
        <v>25.04</v>
      </c>
      <c r="X293" s="52"/>
      <c r="Y293" s="52"/>
      <c r="Z293" s="52"/>
      <c r="AA293" s="52"/>
      <c r="AB293" s="121" t="s">
        <v>70</v>
      </c>
    </row>
    <row r="294" spans="1:28">
      <c r="A294" s="56">
        <f t="shared" si="29"/>
        <v>296</v>
      </c>
      <c r="B294" s="111">
        <v>46039</v>
      </c>
      <c r="C294" s="29">
        <v>46039</v>
      </c>
      <c r="D294" s="80">
        <v>0.333333333333333</v>
      </c>
      <c r="E294" s="127">
        <v>0.75</v>
      </c>
      <c r="F294" s="122">
        <v>1624.84</v>
      </c>
      <c r="G294" s="52">
        <v>1708.21</v>
      </c>
      <c r="H294" s="52">
        <v>1715.49</v>
      </c>
      <c r="I294" s="52">
        <v>1752.41</v>
      </c>
      <c r="J294" s="52">
        <v>1774.25</v>
      </c>
      <c r="K294" s="52">
        <v>1783.78</v>
      </c>
      <c r="L294" s="52">
        <v>1669.89</v>
      </c>
      <c r="M294" s="123">
        <f t="shared" si="32"/>
        <v>12028.87</v>
      </c>
      <c r="N294" s="124">
        <f t="shared" si="33"/>
        <v>1076.43</v>
      </c>
      <c r="O294" s="52">
        <v>1080.41</v>
      </c>
      <c r="P294" s="52">
        <f t="shared" si="35"/>
        <v>11940.0000000001</v>
      </c>
      <c r="Q294" s="52">
        <f t="shared" si="34"/>
        <v>7.32</v>
      </c>
      <c r="R294" s="52">
        <v>7.34</v>
      </c>
      <c r="S294" s="52">
        <f t="shared" si="30"/>
        <v>59.9999999999987</v>
      </c>
      <c r="T294" s="121">
        <f t="shared" si="31"/>
        <v>11880.0000000001</v>
      </c>
      <c r="U294" s="63"/>
      <c r="V294" s="52">
        <v>4.14</v>
      </c>
      <c r="W294" s="52">
        <v>23.12</v>
      </c>
      <c r="X294" s="52"/>
      <c r="Y294" s="52"/>
      <c r="Z294" s="52"/>
      <c r="AA294" s="52"/>
      <c r="AB294" s="121" t="s">
        <v>70</v>
      </c>
    </row>
    <row r="295" spans="1:28">
      <c r="A295" s="56">
        <f t="shared" si="29"/>
        <v>297</v>
      </c>
      <c r="B295" s="111">
        <v>46040</v>
      </c>
      <c r="C295" s="29">
        <v>46040</v>
      </c>
      <c r="D295" s="80">
        <v>0.333333333333333</v>
      </c>
      <c r="E295" s="127">
        <v>0.75</v>
      </c>
      <c r="F295" s="122">
        <v>1538.6</v>
      </c>
      <c r="G295" s="52">
        <v>1613.45</v>
      </c>
      <c r="H295" s="52">
        <v>1619.81</v>
      </c>
      <c r="I295" s="52">
        <v>1656.58</v>
      </c>
      <c r="J295" s="52">
        <v>1666.96</v>
      </c>
      <c r="K295" s="52">
        <v>1672.93</v>
      </c>
      <c r="L295" s="52">
        <v>1669.88</v>
      </c>
      <c r="M295" s="123">
        <f t="shared" si="32"/>
        <v>11438.21</v>
      </c>
      <c r="N295" s="124">
        <f t="shared" si="33"/>
        <v>1080.41</v>
      </c>
      <c r="O295" s="52">
        <v>1084.15</v>
      </c>
      <c r="P295" s="52">
        <f t="shared" si="35"/>
        <v>11220</v>
      </c>
      <c r="Q295" s="52">
        <f t="shared" si="34"/>
        <v>7.34</v>
      </c>
      <c r="R295" s="52">
        <v>7.36</v>
      </c>
      <c r="S295" s="52">
        <f t="shared" si="30"/>
        <v>60.0000000000014</v>
      </c>
      <c r="T295" s="121">
        <f t="shared" si="31"/>
        <v>11160</v>
      </c>
      <c r="U295" s="63"/>
      <c r="V295" s="52">
        <v>3.66</v>
      </c>
      <c r="W295" s="52">
        <v>23.53</v>
      </c>
      <c r="X295" s="52"/>
      <c r="Y295" s="52"/>
      <c r="Z295" s="52"/>
      <c r="AA295" s="52"/>
      <c r="AB295" s="121" t="s">
        <v>70</v>
      </c>
    </row>
    <row r="296" spans="1:28">
      <c r="A296" s="56">
        <f t="shared" si="29"/>
        <v>298</v>
      </c>
      <c r="B296" s="111">
        <v>46041</v>
      </c>
      <c r="C296" s="29">
        <v>46041</v>
      </c>
      <c r="D296" s="80">
        <v>0.333333333333333</v>
      </c>
      <c r="E296" s="127">
        <v>0.75</v>
      </c>
      <c r="F296" s="122">
        <v>1729.16</v>
      </c>
      <c r="G296" s="52">
        <v>1818.11</v>
      </c>
      <c r="H296" s="52">
        <v>1823.29</v>
      </c>
      <c r="I296" s="52">
        <v>1885.27</v>
      </c>
      <c r="J296" s="52">
        <v>1913.58</v>
      </c>
      <c r="K296" s="52">
        <v>1888.97</v>
      </c>
      <c r="L296" s="52">
        <v>1771.56</v>
      </c>
      <c r="M296" s="123">
        <f t="shared" si="32"/>
        <v>12829.94</v>
      </c>
      <c r="N296" s="124">
        <f t="shared" si="33"/>
        <v>1084.15</v>
      </c>
      <c r="O296" s="52">
        <v>1088.39</v>
      </c>
      <c r="P296" s="52">
        <f t="shared" si="35"/>
        <v>12720</v>
      </c>
      <c r="Q296" s="52">
        <f t="shared" si="34"/>
        <v>7.36</v>
      </c>
      <c r="R296" s="52">
        <v>7.38</v>
      </c>
      <c r="S296" s="52">
        <f t="shared" si="30"/>
        <v>59.9999999999987</v>
      </c>
      <c r="T296" s="121">
        <f t="shared" si="31"/>
        <v>12660</v>
      </c>
      <c r="U296" s="63"/>
      <c r="V296" s="52">
        <v>4.51</v>
      </c>
      <c r="W296" s="52">
        <v>24.19</v>
      </c>
      <c r="X296" s="52"/>
      <c r="Y296" s="52"/>
      <c r="Z296" s="52"/>
      <c r="AA296" s="52"/>
      <c r="AB296" s="121" t="s">
        <v>70</v>
      </c>
    </row>
    <row r="297" spans="1:28">
      <c r="A297" s="56">
        <f t="shared" si="29"/>
        <v>299</v>
      </c>
      <c r="B297" s="111">
        <v>46042</v>
      </c>
      <c r="C297" s="29">
        <v>46042</v>
      </c>
      <c r="D297" s="80">
        <v>0.333333333333333</v>
      </c>
      <c r="E297" s="127">
        <v>0.75</v>
      </c>
      <c r="F297" s="122">
        <v>1639.27</v>
      </c>
      <c r="G297" s="52">
        <v>1727.3</v>
      </c>
      <c r="H297" s="52">
        <v>1732.89</v>
      </c>
      <c r="I297" s="52">
        <v>1769.72</v>
      </c>
      <c r="J297" s="52">
        <v>1792.23</v>
      </c>
      <c r="K297" s="52">
        <v>1799.03</v>
      </c>
      <c r="L297" s="52">
        <v>1686.82</v>
      </c>
      <c r="M297" s="123">
        <f t="shared" si="32"/>
        <v>12147.26</v>
      </c>
      <c r="N297" s="124">
        <f t="shared" si="33"/>
        <v>1088.39</v>
      </c>
      <c r="O297" s="52">
        <v>1092.4</v>
      </c>
      <c r="P297" s="52">
        <f t="shared" si="35"/>
        <v>12030</v>
      </c>
      <c r="Q297" s="52">
        <f t="shared" si="34"/>
        <v>7.38</v>
      </c>
      <c r="R297" s="52">
        <v>7.4</v>
      </c>
      <c r="S297" s="52">
        <f t="shared" si="30"/>
        <v>60.0000000000014</v>
      </c>
      <c r="T297" s="121">
        <f t="shared" si="31"/>
        <v>11970</v>
      </c>
      <c r="U297" s="63"/>
      <c r="V297" s="52">
        <v>4.26</v>
      </c>
      <c r="W297" s="52">
        <v>23.78</v>
      </c>
      <c r="X297" s="52"/>
      <c r="Y297" s="52"/>
      <c r="Z297" s="52"/>
      <c r="AA297" s="52"/>
      <c r="AB297" s="121" t="s">
        <v>70</v>
      </c>
    </row>
    <row r="298" spans="1:28">
      <c r="A298" s="56">
        <f t="shared" si="29"/>
        <v>300</v>
      </c>
      <c r="B298" s="111">
        <v>46043</v>
      </c>
      <c r="C298" s="29">
        <v>46043</v>
      </c>
      <c r="D298" s="80">
        <v>0.333333333333333</v>
      </c>
      <c r="E298" s="127">
        <v>0.75</v>
      </c>
      <c r="F298" s="122">
        <v>1414.96</v>
      </c>
      <c r="G298" s="52">
        <v>1481.63</v>
      </c>
      <c r="H298" s="52">
        <v>1487.69</v>
      </c>
      <c r="I298" s="52">
        <v>1520.15</v>
      </c>
      <c r="J298" s="52">
        <v>1548.61</v>
      </c>
      <c r="K298" s="52">
        <v>1530.54</v>
      </c>
      <c r="L298" s="52">
        <v>1432.81</v>
      </c>
      <c r="M298" s="123">
        <f t="shared" si="32"/>
        <v>10416.39</v>
      </c>
      <c r="N298" s="124">
        <f t="shared" si="33"/>
        <v>1092.4</v>
      </c>
      <c r="O298" s="52">
        <v>1095.84</v>
      </c>
      <c r="P298" s="52">
        <f t="shared" si="35"/>
        <v>10319.9999999995</v>
      </c>
      <c r="Q298" s="52">
        <f t="shared" si="34"/>
        <v>7.4</v>
      </c>
      <c r="R298" s="52">
        <v>7.42</v>
      </c>
      <c r="S298" s="52">
        <f t="shared" si="30"/>
        <v>59.9999999999987</v>
      </c>
      <c r="T298" s="121">
        <f t="shared" si="31"/>
        <v>10259.9999999995</v>
      </c>
      <c r="U298" s="63"/>
      <c r="V298" s="52">
        <v>3.77</v>
      </c>
      <c r="W298" s="52">
        <v>25.26</v>
      </c>
      <c r="X298" s="52"/>
      <c r="Y298" s="52"/>
      <c r="Z298" s="52"/>
      <c r="AA298" s="52"/>
      <c r="AB298" s="121" t="s">
        <v>70</v>
      </c>
    </row>
    <row r="299" spans="1:28">
      <c r="A299" s="56">
        <f t="shared" si="29"/>
        <v>301</v>
      </c>
      <c r="B299" s="111">
        <v>46044</v>
      </c>
      <c r="C299" s="29">
        <v>46044</v>
      </c>
      <c r="D299" s="80">
        <v>0.333333333333333</v>
      </c>
      <c r="E299" s="127">
        <v>0.75</v>
      </c>
      <c r="F299" s="122">
        <v>1451.2</v>
      </c>
      <c r="G299" s="52">
        <v>1513.63</v>
      </c>
      <c r="H299" s="52">
        <v>1520.33</v>
      </c>
      <c r="I299" s="52">
        <v>1552.2</v>
      </c>
      <c r="J299" s="52">
        <v>1575.76</v>
      </c>
      <c r="K299" s="52">
        <v>1557.85</v>
      </c>
      <c r="L299" s="52">
        <v>1470.27</v>
      </c>
      <c r="M299" s="123">
        <f t="shared" si="32"/>
        <v>10641.24</v>
      </c>
      <c r="N299" s="124">
        <f t="shared" si="33"/>
        <v>1095.84</v>
      </c>
      <c r="O299" s="52">
        <v>1099.36</v>
      </c>
      <c r="P299" s="52">
        <f t="shared" si="35"/>
        <v>10559.9999999999</v>
      </c>
      <c r="Q299" s="52">
        <f t="shared" si="34"/>
        <v>7.42</v>
      </c>
      <c r="R299" s="52">
        <v>7.44</v>
      </c>
      <c r="S299" s="52">
        <f t="shared" si="30"/>
        <v>60.0000000000014</v>
      </c>
      <c r="T299" s="121">
        <f t="shared" si="31"/>
        <v>10499.9999999999</v>
      </c>
      <c r="U299" s="63"/>
      <c r="V299" s="52">
        <v>3.81</v>
      </c>
      <c r="W299" s="52">
        <v>26.14</v>
      </c>
      <c r="X299" s="52"/>
      <c r="Y299" s="52"/>
      <c r="Z299" s="52"/>
      <c r="AA299" s="52"/>
      <c r="AB299" s="121" t="s">
        <v>70</v>
      </c>
    </row>
    <row r="300" spans="1:28">
      <c r="A300" s="56">
        <f t="shared" si="29"/>
        <v>302</v>
      </c>
      <c r="B300" s="111">
        <v>46045</v>
      </c>
      <c r="C300" s="29">
        <v>46045</v>
      </c>
      <c r="D300" s="80">
        <v>0.333333333333333</v>
      </c>
      <c r="E300" s="127">
        <v>0.75</v>
      </c>
      <c r="F300" s="122">
        <v>1294.37</v>
      </c>
      <c r="G300" s="52">
        <v>1354.65</v>
      </c>
      <c r="H300" s="52">
        <v>1369.95</v>
      </c>
      <c r="I300" s="52">
        <v>1398.65</v>
      </c>
      <c r="J300" s="52">
        <v>1430.79</v>
      </c>
      <c r="K300" s="52">
        <v>1409.27</v>
      </c>
      <c r="L300" s="52">
        <v>1335.64</v>
      </c>
      <c r="M300" s="123">
        <f t="shared" si="32"/>
        <v>9593.32</v>
      </c>
      <c r="N300" s="124">
        <f t="shared" si="33"/>
        <v>1099.36</v>
      </c>
      <c r="O300" s="52">
        <v>1102.53</v>
      </c>
      <c r="P300" s="52">
        <f t="shared" si="35"/>
        <v>9510.00000000022</v>
      </c>
      <c r="Q300" s="52">
        <f t="shared" si="34"/>
        <v>7.44</v>
      </c>
      <c r="R300" s="52">
        <v>7.45</v>
      </c>
      <c r="S300" s="52">
        <f t="shared" si="30"/>
        <v>29.9999999999994</v>
      </c>
      <c r="T300" s="121">
        <f t="shared" si="31"/>
        <v>9480.00000000022</v>
      </c>
      <c r="U300" s="63"/>
      <c r="V300" s="52">
        <v>3.29</v>
      </c>
      <c r="W300" s="52">
        <v>21.76</v>
      </c>
      <c r="X300" s="52"/>
      <c r="Y300" s="52"/>
      <c r="Z300" s="52"/>
      <c r="AA300" s="52"/>
      <c r="AB300" s="121" t="s">
        <v>70</v>
      </c>
    </row>
    <row r="301" spans="1:28">
      <c r="A301" s="56">
        <f t="shared" si="29"/>
        <v>303</v>
      </c>
      <c r="B301" s="111">
        <v>46046</v>
      </c>
      <c r="C301" s="29">
        <v>46046</v>
      </c>
      <c r="D301" s="80">
        <v>0.322916666666667</v>
      </c>
      <c r="E301" s="127">
        <v>0.78125</v>
      </c>
      <c r="F301" s="122">
        <v>1584.85</v>
      </c>
      <c r="G301" s="52">
        <v>1655.54</v>
      </c>
      <c r="H301" s="52">
        <v>1662.06</v>
      </c>
      <c r="I301" s="52">
        <v>1689.24</v>
      </c>
      <c r="J301" s="52">
        <v>1715.95</v>
      </c>
      <c r="K301" s="52">
        <v>1695.98</v>
      </c>
      <c r="L301" s="52">
        <v>1601.58</v>
      </c>
      <c r="M301" s="123">
        <f t="shared" si="32"/>
        <v>11605.2</v>
      </c>
      <c r="N301" s="124">
        <f t="shared" si="33"/>
        <v>1102.53</v>
      </c>
      <c r="O301" s="52">
        <v>1106.37</v>
      </c>
      <c r="P301" s="52">
        <f t="shared" si="35"/>
        <v>11519.9999999998</v>
      </c>
      <c r="Q301" s="52">
        <f t="shared" si="34"/>
        <v>7.45</v>
      </c>
      <c r="R301" s="52">
        <v>7.47</v>
      </c>
      <c r="S301" s="52">
        <f t="shared" si="30"/>
        <v>59.9999999999987</v>
      </c>
      <c r="T301" s="121">
        <f t="shared" si="31"/>
        <v>11459.9999999998</v>
      </c>
      <c r="U301" s="63"/>
      <c r="V301" s="52">
        <v>3.82</v>
      </c>
      <c r="W301" s="52">
        <v>22.19</v>
      </c>
      <c r="X301" s="52"/>
      <c r="Y301" s="52"/>
      <c r="Z301" s="52"/>
      <c r="AA301" s="52"/>
      <c r="AB301" s="121" t="s">
        <v>70</v>
      </c>
    </row>
    <row r="302" spans="1:28">
      <c r="A302" s="56">
        <f t="shared" si="29"/>
        <v>304</v>
      </c>
      <c r="B302" s="111">
        <v>46047</v>
      </c>
      <c r="C302" s="29">
        <v>46047</v>
      </c>
      <c r="D302" s="80">
        <v>0.333333333333333</v>
      </c>
      <c r="E302" s="127">
        <v>0.760416666666667</v>
      </c>
      <c r="F302" s="122">
        <v>1579.94</v>
      </c>
      <c r="G302" s="52">
        <v>1664.1</v>
      </c>
      <c r="H302" s="52">
        <v>1670.65</v>
      </c>
      <c r="I302" s="52">
        <v>1707.82</v>
      </c>
      <c r="J302" s="52">
        <v>1705.62</v>
      </c>
      <c r="K302" s="52">
        <v>1686.71</v>
      </c>
      <c r="L302" s="52">
        <v>1599.56</v>
      </c>
      <c r="M302" s="123">
        <f t="shared" si="32"/>
        <v>11614.4</v>
      </c>
      <c r="N302" s="124">
        <f t="shared" si="33"/>
        <v>1106.37</v>
      </c>
      <c r="O302" s="52">
        <v>1110.21</v>
      </c>
      <c r="P302" s="52">
        <f t="shared" si="35"/>
        <v>11520.0000000004</v>
      </c>
      <c r="Q302" s="52">
        <f t="shared" si="34"/>
        <v>7.47</v>
      </c>
      <c r="R302" s="52">
        <v>7.49</v>
      </c>
      <c r="S302" s="52">
        <f t="shared" si="30"/>
        <v>60.0000000000014</v>
      </c>
      <c r="T302" s="121">
        <f t="shared" si="31"/>
        <v>11460.0000000004</v>
      </c>
      <c r="U302" s="63"/>
      <c r="V302" s="52">
        <v>3.64</v>
      </c>
      <c r="W302" s="52">
        <v>20.95</v>
      </c>
      <c r="X302" s="52"/>
      <c r="Y302" s="52"/>
      <c r="Z302" s="52"/>
      <c r="AA302" s="52"/>
      <c r="AB302" s="121" t="s">
        <v>70</v>
      </c>
    </row>
    <row r="303" spans="1:28">
      <c r="A303" s="56">
        <f t="shared" si="29"/>
        <v>305</v>
      </c>
      <c r="B303" s="111">
        <v>46048</v>
      </c>
      <c r="C303" s="29">
        <v>46048</v>
      </c>
      <c r="D303" s="80">
        <v>0.322916666666667</v>
      </c>
      <c r="E303" s="127">
        <v>0.75</v>
      </c>
      <c r="F303" s="122">
        <v>1529.2</v>
      </c>
      <c r="G303" s="52">
        <v>1611.8</v>
      </c>
      <c r="H303" s="52">
        <v>1615.47</v>
      </c>
      <c r="I303" s="52">
        <v>1661.43</v>
      </c>
      <c r="J303" s="52">
        <v>1654.14</v>
      </c>
      <c r="K303" s="52">
        <v>1635.71</v>
      </c>
      <c r="L303" s="52">
        <v>1555.53</v>
      </c>
      <c r="M303" s="123">
        <f t="shared" si="32"/>
        <v>11263.28</v>
      </c>
      <c r="N303" s="124">
        <f t="shared" si="33"/>
        <v>1110.21</v>
      </c>
      <c r="O303" s="52">
        <v>1113.95</v>
      </c>
      <c r="P303" s="52">
        <f t="shared" si="35"/>
        <v>11220</v>
      </c>
      <c r="Q303" s="52">
        <f t="shared" si="34"/>
        <v>7.49</v>
      </c>
      <c r="R303" s="52">
        <v>7.51</v>
      </c>
      <c r="S303" s="52">
        <f t="shared" si="30"/>
        <v>59.9999999999987</v>
      </c>
      <c r="T303" s="121">
        <f t="shared" si="31"/>
        <v>11160</v>
      </c>
      <c r="U303" s="63"/>
      <c r="V303" s="52">
        <v>4.03</v>
      </c>
      <c r="W303" s="52">
        <v>24.52</v>
      </c>
      <c r="X303" s="52"/>
      <c r="Y303" s="52"/>
      <c r="Z303" s="52"/>
      <c r="AA303" s="52"/>
      <c r="AB303" s="121" t="s">
        <v>70</v>
      </c>
    </row>
    <row r="304" spans="1:28">
      <c r="A304" s="56">
        <f t="shared" si="29"/>
        <v>306</v>
      </c>
      <c r="B304" s="111">
        <v>46049</v>
      </c>
      <c r="C304" s="29">
        <v>46049</v>
      </c>
      <c r="D304" s="80">
        <v>0.333333333333333</v>
      </c>
      <c r="E304" s="127">
        <v>0.75</v>
      </c>
      <c r="F304" s="122">
        <v>1700.04</v>
      </c>
      <c r="G304" s="52">
        <v>1791.19</v>
      </c>
      <c r="H304" s="52">
        <v>1799.34</v>
      </c>
      <c r="I304" s="52">
        <v>1844.79</v>
      </c>
      <c r="J304" s="52">
        <v>1841.72</v>
      </c>
      <c r="K304" s="52">
        <v>1822.08</v>
      </c>
      <c r="L304" s="52">
        <v>1716.06</v>
      </c>
      <c r="M304" s="123">
        <f t="shared" si="32"/>
        <v>12515.22</v>
      </c>
      <c r="N304" s="124">
        <f t="shared" si="33"/>
        <v>1113.95</v>
      </c>
      <c r="O304" s="52">
        <v>1118.08</v>
      </c>
      <c r="P304" s="52">
        <f t="shared" si="35"/>
        <v>12389.9999999996</v>
      </c>
      <c r="Q304" s="52">
        <f t="shared" si="34"/>
        <v>7.51</v>
      </c>
      <c r="R304" s="52">
        <v>7.53</v>
      </c>
      <c r="S304" s="52">
        <f t="shared" si="30"/>
        <v>60.0000000000014</v>
      </c>
      <c r="T304" s="121">
        <f t="shared" si="31"/>
        <v>12329.9999999996</v>
      </c>
      <c r="U304" s="63"/>
      <c r="V304" s="52">
        <v>4.37</v>
      </c>
      <c r="W304" s="52">
        <v>22.68</v>
      </c>
      <c r="X304" s="52"/>
      <c r="Y304" s="52"/>
      <c r="Z304" s="52"/>
      <c r="AA304" s="52"/>
      <c r="AB304" s="121" t="s">
        <v>70</v>
      </c>
    </row>
    <row r="305" spans="1:28">
      <c r="A305" s="56">
        <f t="shared" si="29"/>
        <v>307</v>
      </c>
      <c r="B305" s="111">
        <v>46050</v>
      </c>
      <c r="C305" s="29">
        <v>46050</v>
      </c>
      <c r="D305" s="80">
        <v>0.322916666666667</v>
      </c>
      <c r="E305" s="127">
        <v>0.75</v>
      </c>
      <c r="F305" s="122">
        <v>1882.39</v>
      </c>
      <c r="G305" s="52">
        <v>1968.66</v>
      </c>
      <c r="H305" s="52">
        <v>1956.81</v>
      </c>
      <c r="I305" s="52">
        <v>1764.75</v>
      </c>
      <c r="J305" s="52">
        <v>1985.43</v>
      </c>
      <c r="K305" s="52">
        <v>1962.88</v>
      </c>
      <c r="L305" s="52">
        <v>1843.56</v>
      </c>
      <c r="M305" s="123">
        <f t="shared" si="32"/>
        <v>13364.48</v>
      </c>
      <c r="N305" s="124">
        <f t="shared" si="33"/>
        <v>1118.08</v>
      </c>
      <c r="O305" s="52">
        <v>1122.49</v>
      </c>
      <c r="P305" s="52">
        <f t="shared" si="35"/>
        <v>13230.0000000002</v>
      </c>
      <c r="Q305" s="52">
        <f t="shared" si="34"/>
        <v>7.53</v>
      </c>
      <c r="R305" s="52">
        <v>7.55</v>
      </c>
      <c r="S305" s="52">
        <f t="shared" si="30"/>
        <v>59.9999999999987</v>
      </c>
      <c r="T305" s="121">
        <f t="shared" si="31"/>
        <v>13170.0000000002</v>
      </c>
      <c r="U305" s="63"/>
      <c r="V305" s="52">
        <v>4.7</v>
      </c>
      <c r="W305" s="52">
        <v>21.73</v>
      </c>
      <c r="X305" s="52"/>
      <c r="Y305" s="52"/>
      <c r="Z305" s="52"/>
      <c r="AA305" s="52"/>
      <c r="AB305" s="121" t="s">
        <v>70</v>
      </c>
    </row>
    <row r="306" spans="1:28">
      <c r="A306" s="56">
        <f t="shared" si="29"/>
        <v>308</v>
      </c>
      <c r="B306" s="111">
        <v>46051</v>
      </c>
      <c r="C306" s="29">
        <v>46051</v>
      </c>
      <c r="D306" s="80">
        <v>0.322916666666667</v>
      </c>
      <c r="E306" s="127">
        <v>0.760416666666667</v>
      </c>
      <c r="F306" s="122">
        <v>1715.11</v>
      </c>
      <c r="G306" s="52">
        <v>1794.37</v>
      </c>
      <c r="H306" s="52">
        <v>1795.17</v>
      </c>
      <c r="I306" s="52">
        <v>1830.13</v>
      </c>
      <c r="J306" s="52">
        <v>1853.94</v>
      </c>
      <c r="K306" s="52">
        <v>1846.19</v>
      </c>
      <c r="L306" s="52">
        <v>1749.44</v>
      </c>
      <c r="M306" s="123">
        <f t="shared" si="32"/>
        <v>12584.35</v>
      </c>
      <c r="N306" s="124">
        <f t="shared" si="33"/>
        <v>1122.49</v>
      </c>
      <c r="O306" s="52">
        <v>1126.65</v>
      </c>
      <c r="P306" s="52">
        <f t="shared" si="35"/>
        <v>12480.0000000002</v>
      </c>
      <c r="Q306" s="52">
        <f t="shared" si="34"/>
        <v>7.55</v>
      </c>
      <c r="R306" s="52">
        <v>7.57</v>
      </c>
      <c r="S306" s="52">
        <f t="shared" si="30"/>
        <v>60.0000000000014</v>
      </c>
      <c r="T306" s="121">
        <f t="shared" si="31"/>
        <v>12420.0000000002</v>
      </c>
      <c r="U306" s="63"/>
      <c r="V306" s="52">
        <v>4.32</v>
      </c>
      <c r="W306" s="52">
        <v>22.67</v>
      </c>
      <c r="X306" s="52"/>
      <c r="Y306" s="52"/>
      <c r="Z306" s="52"/>
      <c r="AA306" s="52"/>
      <c r="AB306" s="121" t="s">
        <v>70</v>
      </c>
    </row>
    <row r="307" spans="1:28">
      <c r="A307" s="56">
        <f t="shared" si="29"/>
        <v>309</v>
      </c>
      <c r="B307" s="111">
        <v>46052</v>
      </c>
      <c r="C307" s="29">
        <v>46052</v>
      </c>
      <c r="D307" s="80">
        <v>0.322916666666667</v>
      </c>
      <c r="E307" s="127">
        <v>0.75</v>
      </c>
      <c r="F307" s="122">
        <v>1249.96</v>
      </c>
      <c r="G307" s="52">
        <v>1306.47</v>
      </c>
      <c r="H307" s="53">
        <v>1312</v>
      </c>
      <c r="I307" s="52">
        <v>1343.43</v>
      </c>
      <c r="J307" s="52">
        <v>1369.16</v>
      </c>
      <c r="K307" s="52">
        <v>1365.59</v>
      </c>
      <c r="L307" s="52">
        <v>1311.14</v>
      </c>
      <c r="M307" s="123">
        <f t="shared" si="32"/>
        <v>9257.75</v>
      </c>
      <c r="N307" s="124">
        <f t="shared" si="33"/>
        <v>1126.65</v>
      </c>
      <c r="O307" s="53">
        <v>1129.7</v>
      </c>
      <c r="P307" s="52">
        <f t="shared" si="35"/>
        <v>9149.99999999986</v>
      </c>
      <c r="Q307" s="52">
        <f t="shared" si="34"/>
        <v>7.57</v>
      </c>
      <c r="R307" s="52">
        <v>7.59</v>
      </c>
      <c r="S307" s="52">
        <f t="shared" si="30"/>
        <v>59.9999999999987</v>
      </c>
      <c r="T307" s="121">
        <f t="shared" si="31"/>
        <v>9089.99999999987</v>
      </c>
      <c r="U307" s="63"/>
      <c r="V307" s="52">
        <v>3.11</v>
      </c>
      <c r="W307" s="53">
        <v>25.3</v>
      </c>
      <c r="X307" s="52"/>
      <c r="Y307" s="52"/>
      <c r="Z307" s="52"/>
      <c r="AA307" s="52"/>
      <c r="AB307" s="121" t="s">
        <v>70</v>
      </c>
    </row>
    <row r="308" spans="1:28">
      <c r="A308" s="56">
        <f t="shared" si="29"/>
        <v>310</v>
      </c>
      <c r="B308" s="111">
        <v>46053</v>
      </c>
      <c r="C308" s="29">
        <v>46053</v>
      </c>
      <c r="D308" s="80">
        <v>0.333333333333333</v>
      </c>
      <c r="E308" s="127">
        <v>0.75</v>
      </c>
      <c r="F308" s="122">
        <v>1195.22</v>
      </c>
      <c r="G308" s="52">
        <v>1267.06</v>
      </c>
      <c r="H308" s="52">
        <v>1272.53</v>
      </c>
      <c r="I308" s="52">
        <v>1311.58</v>
      </c>
      <c r="J308" s="52">
        <v>1327.26</v>
      </c>
      <c r="K308" s="52">
        <v>1303.25</v>
      </c>
      <c r="L308" s="52">
        <v>1258.12</v>
      </c>
      <c r="M308" s="123">
        <f t="shared" si="32"/>
        <v>8935.02</v>
      </c>
      <c r="N308" s="124">
        <f t="shared" si="33"/>
        <v>1129.7</v>
      </c>
      <c r="O308" s="52">
        <v>1132.66</v>
      </c>
      <c r="P308" s="52">
        <f t="shared" si="35"/>
        <v>8880.00000000011</v>
      </c>
      <c r="Q308" s="52">
        <f t="shared" si="34"/>
        <v>7.59</v>
      </c>
      <c r="R308" s="52">
        <v>7.61</v>
      </c>
      <c r="S308" s="52">
        <f t="shared" si="30"/>
        <v>60.0000000000014</v>
      </c>
      <c r="T308" s="121">
        <f t="shared" si="31"/>
        <v>8820.00000000011</v>
      </c>
      <c r="U308" s="63"/>
      <c r="V308" s="52">
        <v>3.36</v>
      </c>
      <c r="W308" s="52">
        <v>26.95</v>
      </c>
      <c r="X308" s="52"/>
      <c r="Y308" s="52"/>
      <c r="Z308" s="52"/>
      <c r="AA308" s="52"/>
      <c r="AB308" s="121" t="s">
        <v>70</v>
      </c>
    </row>
    <row r="309" spans="1:28">
      <c r="A309" s="56">
        <f t="shared" si="29"/>
        <v>311</v>
      </c>
      <c r="B309" s="111">
        <v>46054</v>
      </c>
      <c r="C309" s="29">
        <v>46054</v>
      </c>
      <c r="D309" s="80">
        <v>0.333333333333333</v>
      </c>
      <c r="E309" s="127">
        <v>0.75</v>
      </c>
      <c r="F309" s="122">
        <v>1284.63</v>
      </c>
      <c r="G309" s="52">
        <v>1342.54</v>
      </c>
      <c r="H309" s="52">
        <v>1345.21</v>
      </c>
      <c r="I309" s="52">
        <v>1385.35</v>
      </c>
      <c r="J309" s="52">
        <v>1402.49</v>
      </c>
      <c r="K309" s="52">
        <v>1395.6</v>
      </c>
      <c r="L309" s="52">
        <v>1339.63</v>
      </c>
      <c r="M309" s="123">
        <f t="shared" si="32"/>
        <v>9495.45</v>
      </c>
      <c r="N309" s="124">
        <f t="shared" si="33"/>
        <v>1132.66</v>
      </c>
      <c r="O309" s="52">
        <v>1135.81</v>
      </c>
      <c r="P309" s="52">
        <f t="shared" si="35"/>
        <v>9449.99999999959</v>
      </c>
      <c r="Q309" s="52">
        <f t="shared" si="34"/>
        <v>7.61</v>
      </c>
      <c r="R309" s="52">
        <v>7.63</v>
      </c>
      <c r="S309" s="52">
        <f t="shared" si="30"/>
        <v>59.9999999999987</v>
      </c>
      <c r="T309" s="121">
        <f t="shared" si="31"/>
        <v>9389.99999999959</v>
      </c>
      <c r="U309" s="63"/>
      <c r="V309" s="52">
        <v>3.43</v>
      </c>
      <c r="W309" s="52">
        <v>27.02</v>
      </c>
      <c r="X309" s="52"/>
      <c r="Y309" s="52"/>
      <c r="Z309" s="52"/>
      <c r="AA309" s="52"/>
      <c r="AB309" s="121" t="s">
        <v>70</v>
      </c>
    </row>
    <row r="310" spans="1:28">
      <c r="A310" s="56">
        <f t="shared" si="29"/>
        <v>312</v>
      </c>
      <c r="B310" s="111">
        <v>46055</v>
      </c>
      <c r="C310" s="29">
        <v>46055</v>
      </c>
      <c r="D310" s="80">
        <v>0.333333333333333</v>
      </c>
      <c r="E310" s="127">
        <v>0.75</v>
      </c>
      <c r="F310" s="122">
        <v>1280.85</v>
      </c>
      <c r="G310" s="52">
        <v>1340.08</v>
      </c>
      <c r="H310" s="52">
        <v>1345.73</v>
      </c>
      <c r="I310" s="52">
        <v>1386.13</v>
      </c>
      <c r="J310" s="52">
        <v>1398.96</v>
      </c>
      <c r="K310" s="52">
        <v>1393.55</v>
      </c>
      <c r="L310" s="52">
        <v>1339.58</v>
      </c>
      <c r="M310" s="123">
        <f t="shared" si="32"/>
        <v>9484.88</v>
      </c>
      <c r="N310" s="124">
        <f t="shared" si="33"/>
        <v>1135.81</v>
      </c>
      <c r="O310" s="52">
        <v>1138.95</v>
      </c>
      <c r="P310" s="52">
        <f t="shared" si="35"/>
        <v>9420.0000000003</v>
      </c>
      <c r="Q310" s="52">
        <f t="shared" si="34"/>
        <v>7.63</v>
      </c>
      <c r="R310" s="52">
        <v>7.65</v>
      </c>
      <c r="S310" s="52">
        <f t="shared" si="30"/>
        <v>60.0000000000014</v>
      </c>
      <c r="T310" s="121">
        <f t="shared" si="31"/>
        <v>9360.0000000003</v>
      </c>
      <c r="U310" s="63"/>
      <c r="V310" s="52">
        <v>3.46</v>
      </c>
      <c r="W310" s="52">
        <v>27.29</v>
      </c>
      <c r="X310" s="52"/>
      <c r="Y310" s="52"/>
      <c r="Z310" s="52"/>
      <c r="AA310" s="52"/>
      <c r="AB310" s="121" t="s">
        <v>70</v>
      </c>
    </row>
    <row r="311" spans="1:28">
      <c r="A311" s="56">
        <f t="shared" si="29"/>
        <v>313</v>
      </c>
      <c r="B311" s="111">
        <v>46056</v>
      </c>
      <c r="C311" s="29">
        <v>46056</v>
      </c>
      <c r="D311" s="80">
        <v>0.322916666666667</v>
      </c>
      <c r="E311" s="127">
        <v>0.739583333333333</v>
      </c>
      <c r="F311" s="122">
        <v>1393.73</v>
      </c>
      <c r="G311" s="52">
        <v>1458.43</v>
      </c>
      <c r="H311" s="52">
        <v>1466.09</v>
      </c>
      <c r="I311" s="52">
        <v>1508.76</v>
      </c>
      <c r="J311" s="52">
        <v>1521.58</v>
      </c>
      <c r="K311" s="52">
        <v>1515.34</v>
      </c>
      <c r="L311" s="52">
        <v>1451.08</v>
      </c>
      <c r="M311" s="123">
        <f t="shared" si="32"/>
        <v>10315.01</v>
      </c>
      <c r="N311" s="124">
        <f t="shared" si="33"/>
        <v>1138.95</v>
      </c>
      <c r="O311" s="52">
        <v>1142.36</v>
      </c>
      <c r="P311" s="52">
        <f t="shared" si="35"/>
        <v>10229.9999999996</v>
      </c>
      <c r="Q311" s="52">
        <f t="shared" si="34"/>
        <v>7.65</v>
      </c>
      <c r="R311" s="52">
        <v>7.67</v>
      </c>
      <c r="S311" s="52">
        <f t="shared" si="30"/>
        <v>59.9999999999987</v>
      </c>
      <c r="T311" s="121">
        <f t="shared" si="31"/>
        <v>10169.9999999996</v>
      </c>
      <c r="U311" s="63"/>
      <c r="V311" s="53">
        <v>3.7</v>
      </c>
      <c r="W311" s="52">
        <v>26.26</v>
      </c>
      <c r="X311" s="52"/>
      <c r="Y311" s="52"/>
      <c r="Z311" s="52"/>
      <c r="AA311" s="52"/>
      <c r="AB311" s="121" t="s">
        <v>70</v>
      </c>
    </row>
    <row r="312" spans="1:28">
      <c r="A312" s="56">
        <f t="shared" si="29"/>
        <v>314</v>
      </c>
      <c r="B312" s="111">
        <v>46057</v>
      </c>
      <c r="C312" s="29">
        <v>46057</v>
      </c>
      <c r="D312" s="80">
        <v>0.322916666666667</v>
      </c>
      <c r="E312" s="127">
        <v>0.760416666666667</v>
      </c>
      <c r="F312" s="122">
        <v>1421.58</v>
      </c>
      <c r="G312" s="52">
        <v>1489.09</v>
      </c>
      <c r="H312" s="52">
        <v>1493.48</v>
      </c>
      <c r="I312" s="52">
        <v>1537.83</v>
      </c>
      <c r="J312" s="52">
        <v>1554.51</v>
      </c>
      <c r="K312" s="52">
        <v>1546.71</v>
      </c>
      <c r="L312" s="52">
        <v>1477.04</v>
      </c>
      <c r="M312" s="123">
        <f t="shared" si="32"/>
        <v>10520.24</v>
      </c>
      <c r="N312" s="124">
        <f t="shared" si="33"/>
        <v>1142.36</v>
      </c>
      <c r="O312" s="52">
        <v>1145.69</v>
      </c>
      <c r="P312" s="52">
        <f t="shared" si="35"/>
        <v>9990.00000000046</v>
      </c>
      <c r="Q312" s="52">
        <f t="shared" si="34"/>
        <v>7.67</v>
      </c>
      <c r="R312" s="52">
        <v>7.69</v>
      </c>
      <c r="S312" s="52">
        <f t="shared" si="30"/>
        <v>60.0000000000014</v>
      </c>
      <c r="T312" s="121">
        <f t="shared" si="31"/>
        <v>9930.00000000046</v>
      </c>
      <c r="U312" s="63"/>
      <c r="V312" s="52">
        <v>3.76</v>
      </c>
      <c r="W312" s="52">
        <v>30.06</v>
      </c>
      <c r="X312" s="52"/>
      <c r="Y312" s="52"/>
      <c r="Z312" s="52"/>
      <c r="AA312" s="52"/>
      <c r="AB312" s="121" t="s">
        <v>70</v>
      </c>
    </row>
    <row r="313" spans="1:28">
      <c r="A313" s="56">
        <f t="shared" si="29"/>
        <v>315</v>
      </c>
      <c r="B313" s="111">
        <v>46058</v>
      </c>
      <c r="C313" s="29">
        <v>46058</v>
      </c>
      <c r="D313" s="80">
        <v>0.322916666666667</v>
      </c>
      <c r="E313" s="127">
        <v>0.760416666666667</v>
      </c>
      <c r="F313" s="122">
        <v>1467.41</v>
      </c>
      <c r="G313" s="52">
        <v>1539.95</v>
      </c>
      <c r="H313" s="52">
        <v>1544.67</v>
      </c>
      <c r="I313" s="52">
        <v>1589.81</v>
      </c>
      <c r="J313" s="52">
        <v>1607.6</v>
      </c>
      <c r="K313" s="52">
        <v>1601.04</v>
      </c>
      <c r="L313" s="52">
        <v>1529.42</v>
      </c>
      <c r="M313" s="123">
        <f t="shared" si="32"/>
        <v>10879.9</v>
      </c>
      <c r="N313" s="124">
        <f t="shared" si="33"/>
        <v>1145.69</v>
      </c>
      <c r="O313" s="52">
        <v>1149.44</v>
      </c>
      <c r="P313" s="52">
        <f t="shared" si="35"/>
        <v>11250</v>
      </c>
      <c r="Q313" s="52">
        <f t="shared" si="34"/>
        <v>7.69</v>
      </c>
      <c r="R313" s="52">
        <v>7.71</v>
      </c>
      <c r="S313" s="52">
        <f t="shared" si="30"/>
        <v>59.9999999999987</v>
      </c>
      <c r="T313" s="121">
        <f t="shared" si="31"/>
        <v>11190</v>
      </c>
      <c r="U313" s="63"/>
      <c r="V313" s="52">
        <v>3.98</v>
      </c>
      <c r="W313" s="52">
        <v>27.3</v>
      </c>
      <c r="X313" s="52"/>
      <c r="Y313" s="52"/>
      <c r="Z313" s="52"/>
      <c r="AA313" s="52"/>
      <c r="AB313" s="121" t="s">
        <v>70</v>
      </c>
    </row>
    <row r="314" spans="1:28">
      <c r="A314" s="56">
        <f t="shared" si="29"/>
        <v>316</v>
      </c>
      <c r="B314" s="111">
        <v>46059</v>
      </c>
      <c r="C314" s="29">
        <v>46059</v>
      </c>
      <c r="D314" s="80">
        <v>0.322916666666667</v>
      </c>
      <c r="E314" s="127">
        <v>0.760416666666667</v>
      </c>
      <c r="F314" s="122">
        <v>1561.83</v>
      </c>
      <c r="G314" s="52">
        <v>1637.92</v>
      </c>
      <c r="H314" s="52">
        <v>1643.74</v>
      </c>
      <c r="I314" s="52">
        <v>1690</v>
      </c>
      <c r="J314" s="52">
        <v>1713.24</v>
      </c>
      <c r="K314" s="52">
        <v>1705.25</v>
      </c>
      <c r="L314" s="52">
        <v>1619.78</v>
      </c>
      <c r="M314" s="123">
        <f t="shared" si="32"/>
        <v>11571.76</v>
      </c>
      <c r="N314" s="124">
        <f t="shared" si="33"/>
        <v>1149.44</v>
      </c>
      <c r="O314" s="52">
        <v>1153.26</v>
      </c>
      <c r="P314" s="52">
        <f t="shared" si="35"/>
        <v>11459.9999999998</v>
      </c>
      <c r="Q314" s="52">
        <f t="shared" si="34"/>
        <v>7.71</v>
      </c>
      <c r="R314" s="52">
        <v>7.73</v>
      </c>
      <c r="S314" s="52">
        <f t="shared" si="30"/>
        <v>60.0000000000014</v>
      </c>
      <c r="T314" s="121">
        <f t="shared" si="31"/>
        <v>11399.9999999998</v>
      </c>
      <c r="U314" s="63"/>
      <c r="V314" s="52">
        <v>4.18</v>
      </c>
      <c r="W314" s="52">
        <v>29.62</v>
      </c>
      <c r="X314" s="52"/>
      <c r="Y314" s="52"/>
      <c r="Z314" s="52"/>
      <c r="AA314" s="52"/>
      <c r="AB314" s="121" t="s">
        <v>70</v>
      </c>
    </row>
    <row r="315" spans="1:28">
      <c r="A315" s="56">
        <f t="shared" si="29"/>
        <v>317</v>
      </c>
      <c r="B315" s="111">
        <v>46060</v>
      </c>
      <c r="C315" s="29">
        <v>46060</v>
      </c>
      <c r="D315" s="80">
        <v>0.322916666666667</v>
      </c>
      <c r="E315" s="127">
        <v>0.760416666666667</v>
      </c>
      <c r="F315" s="122">
        <v>1493.54</v>
      </c>
      <c r="G315" s="52">
        <v>1567.57</v>
      </c>
      <c r="H315" s="52">
        <v>1568.8</v>
      </c>
      <c r="I315" s="52">
        <v>1615.16</v>
      </c>
      <c r="J315" s="52">
        <v>1634.19</v>
      </c>
      <c r="K315" s="52">
        <v>1628.72</v>
      </c>
      <c r="L315" s="52">
        <v>1553.01</v>
      </c>
      <c r="M315" s="123">
        <f t="shared" si="32"/>
        <v>11060.99</v>
      </c>
      <c r="N315" s="124">
        <f t="shared" si="33"/>
        <v>1153.26</v>
      </c>
      <c r="O315" s="52">
        <v>1156.93</v>
      </c>
      <c r="P315" s="52">
        <f t="shared" si="35"/>
        <v>11010.0000000002</v>
      </c>
      <c r="Q315" s="52">
        <f t="shared" si="34"/>
        <v>7.73</v>
      </c>
      <c r="R315" s="52">
        <v>7.74</v>
      </c>
      <c r="S315" s="52">
        <f t="shared" si="30"/>
        <v>29.9999999999994</v>
      </c>
      <c r="T315" s="121">
        <f t="shared" si="31"/>
        <v>10980.0000000002</v>
      </c>
      <c r="U315" s="63"/>
      <c r="V315" s="52">
        <v>4.05</v>
      </c>
      <c r="W315" s="52">
        <v>27.93</v>
      </c>
      <c r="X315" s="52"/>
      <c r="Y315" s="52"/>
      <c r="Z315" s="52"/>
      <c r="AA315" s="52"/>
      <c r="AB315" s="121" t="s">
        <v>70</v>
      </c>
    </row>
    <row r="316" spans="1:28">
      <c r="A316" s="56">
        <f t="shared" si="29"/>
        <v>318</v>
      </c>
      <c r="B316" s="111">
        <v>46061</v>
      </c>
      <c r="C316" s="29">
        <v>46061</v>
      </c>
      <c r="D316" s="80">
        <v>0.322916666666667</v>
      </c>
      <c r="E316" s="127">
        <v>0.760416666666667</v>
      </c>
      <c r="F316" s="122">
        <v>1534.79</v>
      </c>
      <c r="G316" s="52">
        <v>1608.51</v>
      </c>
      <c r="H316" s="52">
        <v>1614.37</v>
      </c>
      <c r="I316" s="52">
        <v>1659.44</v>
      </c>
      <c r="J316" s="52">
        <v>1682.15</v>
      </c>
      <c r="K316" s="52">
        <v>1674.56</v>
      </c>
      <c r="L316" s="52">
        <v>1593.13</v>
      </c>
      <c r="M316" s="123">
        <f t="shared" si="32"/>
        <v>11366.95</v>
      </c>
      <c r="N316" s="124">
        <f t="shared" si="33"/>
        <v>1156.93</v>
      </c>
      <c r="O316" s="52">
        <v>1160.69</v>
      </c>
      <c r="P316" s="52">
        <f t="shared" si="35"/>
        <v>11280</v>
      </c>
      <c r="Q316" s="52">
        <f t="shared" si="34"/>
        <v>7.74</v>
      </c>
      <c r="R316" s="52">
        <v>7.76</v>
      </c>
      <c r="S316" s="52">
        <f t="shared" si="30"/>
        <v>59.9999999999987</v>
      </c>
      <c r="T316" s="121">
        <f t="shared" si="31"/>
        <v>11220</v>
      </c>
      <c r="U316" s="63"/>
      <c r="V316" s="52">
        <v>4.18</v>
      </c>
      <c r="W316" s="52">
        <v>29.18</v>
      </c>
      <c r="X316" s="52"/>
      <c r="Y316" s="52"/>
      <c r="Z316" s="52"/>
      <c r="AA316" s="52"/>
      <c r="AB316" s="121" t="s">
        <v>70</v>
      </c>
    </row>
    <row r="317" spans="1:28">
      <c r="A317" s="56">
        <f t="shared" si="29"/>
        <v>319</v>
      </c>
      <c r="B317" s="111">
        <v>46062</v>
      </c>
      <c r="C317" s="29">
        <v>46062</v>
      </c>
      <c r="D317" s="80">
        <v>0.322916666666667</v>
      </c>
      <c r="E317" s="127">
        <v>0.760416666666667</v>
      </c>
      <c r="F317" s="122">
        <v>1616.28</v>
      </c>
      <c r="G317" s="52">
        <v>1718.31</v>
      </c>
      <c r="H317" s="52">
        <v>1724.04</v>
      </c>
      <c r="I317" s="52">
        <v>1771.74</v>
      </c>
      <c r="J317" s="52">
        <v>1794.88</v>
      </c>
      <c r="K317" s="52">
        <v>1739.01</v>
      </c>
      <c r="L317" s="52">
        <v>1695.76</v>
      </c>
      <c r="M317" s="123">
        <f t="shared" si="32"/>
        <v>12060.02</v>
      </c>
      <c r="N317" s="124">
        <f t="shared" si="33"/>
        <v>1160.69</v>
      </c>
      <c r="O317" s="52">
        <v>1164.67</v>
      </c>
      <c r="P317" s="52">
        <f t="shared" si="35"/>
        <v>11940.0000000001</v>
      </c>
      <c r="Q317" s="52">
        <f t="shared" si="34"/>
        <v>7.76</v>
      </c>
      <c r="R317" s="52">
        <v>7.78</v>
      </c>
      <c r="S317" s="52">
        <f t="shared" si="30"/>
        <v>60.0000000000014</v>
      </c>
      <c r="T317" s="121">
        <f t="shared" si="31"/>
        <v>11880.0000000001</v>
      </c>
      <c r="U317" s="63"/>
      <c r="V317" s="52">
        <v>4.31</v>
      </c>
      <c r="W317" s="52">
        <v>27.34</v>
      </c>
      <c r="X317" s="52"/>
      <c r="Y317" s="52"/>
      <c r="Z317" s="52"/>
      <c r="AA317" s="52"/>
      <c r="AB317" s="121" t="s">
        <v>70</v>
      </c>
    </row>
    <row r="318" spans="1:28">
      <c r="A318" s="56">
        <f t="shared" si="29"/>
        <v>320</v>
      </c>
      <c r="B318" s="111">
        <v>46063</v>
      </c>
      <c r="C318" s="29">
        <v>46063</v>
      </c>
      <c r="D318" s="80">
        <v>0.322916666666667</v>
      </c>
      <c r="E318" s="127">
        <v>0.760416666666667</v>
      </c>
      <c r="F318" s="122">
        <v>1815</v>
      </c>
      <c r="G318" s="52">
        <v>1822.26</v>
      </c>
      <c r="H318" s="52">
        <v>1825.66</v>
      </c>
      <c r="I318" s="52">
        <v>1814.9</v>
      </c>
      <c r="J318" s="52">
        <v>1901.75</v>
      </c>
      <c r="K318" s="53">
        <v>1898.92</v>
      </c>
      <c r="L318" s="52">
        <v>1799.59</v>
      </c>
      <c r="M318" s="123">
        <f t="shared" si="32"/>
        <v>12878.08</v>
      </c>
      <c r="N318" s="124">
        <f t="shared" si="33"/>
        <v>1164.67</v>
      </c>
      <c r="O318" s="52">
        <v>1168.93</v>
      </c>
      <c r="P318" s="52">
        <f t="shared" si="35"/>
        <v>12780</v>
      </c>
      <c r="Q318" s="52">
        <f t="shared" si="34"/>
        <v>7.78</v>
      </c>
      <c r="R318" s="53">
        <v>7.8</v>
      </c>
      <c r="S318" s="52">
        <f t="shared" si="30"/>
        <v>59.9999999999987</v>
      </c>
      <c r="T318" s="121">
        <f t="shared" si="31"/>
        <v>12720</v>
      </c>
      <c r="U318" s="63"/>
      <c r="V318" s="52">
        <v>4.51</v>
      </c>
      <c r="W318" s="52">
        <v>26.79</v>
      </c>
      <c r="X318" s="52"/>
      <c r="Y318" s="52"/>
      <c r="Z318" s="52"/>
      <c r="AA318" s="52"/>
      <c r="AB318" s="121" t="s">
        <v>70</v>
      </c>
    </row>
    <row r="319" spans="1:28">
      <c r="A319" s="56">
        <f t="shared" si="29"/>
        <v>321</v>
      </c>
      <c r="B319" s="111">
        <v>46064</v>
      </c>
      <c r="C319" s="29">
        <v>46064</v>
      </c>
      <c r="D319" s="80">
        <v>0.322916666666667</v>
      </c>
      <c r="E319" s="127">
        <v>0.760416666666667</v>
      </c>
      <c r="F319" s="122">
        <v>1850.18</v>
      </c>
      <c r="G319" s="52">
        <v>1855.32</v>
      </c>
      <c r="H319" s="52">
        <v>1862.02</v>
      </c>
      <c r="I319" s="52">
        <v>1700.04</v>
      </c>
      <c r="J319" s="53">
        <v>1926.4</v>
      </c>
      <c r="K319" s="52">
        <v>1925.61</v>
      </c>
      <c r="L319" s="52">
        <v>1836.34</v>
      </c>
      <c r="M319" s="123">
        <f t="shared" si="32"/>
        <v>12955.91</v>
      </c>
      <c r="N319" s="124">
        <f t="shared" si="33"/>
        <v>1168.93</v>
      </c>
      <c r="O319" s="52">
        <v>1173.21</v>
      </c>
      <c r="P319" s="52">
        <f t="shared" si="35"/>
        <v>12839.9999999999</v>
      </c>
      <c r="Q319" s="52">
        <f t="shared" si="34"/>
        <v>7.8</v>
      </c>
      <c r="R319" s="52">
        <v>7.82</v>
      </c>
      <c r="S319" s="52">
        <f t="shared" si="30"/>
        <v>60.0000000000014</v>
      </c>
      <c r="T319" s="121">
        <f t="shared" si="31"/>
        <v>12779.9999999999</v>
      </c>
      <c r="U319" s="63"/>
      <c r="V319" s="52">
        <v>4.64</v>
      </c>
      <c r="W319" s="52">
        <v>27.13</v>
      </c>
      <c r="X319" s="52"/>
      <c r="Y319" s="52"/>
      <c r="Z319" s="52"/>
      <c r="AA319" s="52"/>
      <c r="AB319" s="121" t="s">
        <v>70</v>
      </c>
    </row>
    <row r="320" spans="1:28">
      <c r="A320" s="56">
        <f t="shared" si="29"/>
        <v>322</v>
      </c>
      <c r="B320" s="111">
        <v>46065</v>
      </c>
      <c r="C320" s="29">
        <v>46065</v>
      </c>
      <c r="D320" s="80">
        <v>0.322916666666667</v>
      </c>
      <c r="E320" s="127">
        <v>0.760416666666667</v>
      </c>
      <c r="F320" s="122">
        <v>1830.87</v>
      </c>
      <c r="G320" s="52">
        <v>1835.87</v>
      </c>
      <c r="H320" s="52">
        <v>1838.78</v>
      </c>
      <c r="I320" s="52">
        <v>1883.88</v>
      </c>
      <c r="J320" s="52">
        <v>1910.22</v>
      </c>
      <c r="K320" s="52">
        <v>1909.43</v>
      </c>
      <c r="L320" s="52">
        <v>1837.24</v>
      </c>
      <c r="M320" s="123">
        <f t="shared" si="32"/>
        <v>13046.29</v>
      </c>
      <c r="N320" s="124">
        <f t="shared" si="33"/>
        <v>1173.21</v>
      </c>
      <c r="O320" s="52">
        <v>1177.51</v>
      </c>
      <c r="P320" s="52">
        <f t="shared" si="35"/>
        <v>12899.9999999999</v>
      </c>
      <c r="Q320" s="52">
        <f t="shared" si="34"/>
        <v>7.82</v>
      </c>
      <c r="R320" s="52">
        <v>7.84</v>
      </c>
      <c r="S320" s="52">
        <f t="shared" si="30"/>
        <v>59.9999999999987</v>
      </c>
      <c r="T320" s="121">
        <f t="shared" si="31"/>
        <v>12839.9999999999</v>
      </c>
      <c r="U320" s="63"/>
      <c r="V320" s="52">
        <v>4.72</v>
      </c>
      <c r="W320" s="52">
        <v>29.94</v>
      </c>
      <c r="X320" s="52"/>
      <c r="Y320" s="52"/>
      <c r="Z320" s="52"/>
      <c r="AA320" s="52"/>
      <c r="AB320" s="121" t="s">
        <v>70</v>
      </c>
    </row>
    <row r="321" spans="1:28">
      <c r="A321" s="56">
        <f t="shared" si="29"/>
        <v>323</v>
      </c>
      <c r="B321" s="111">
        <v>46066</v>
      </c>
      <c r="C321" s="29">
        <v>46066</v>
      </c>
      <c r="D321" s="80">
        <v>0.322916666666667</v>
      </c>
      <c r="E321" s="127">
        <v>0.760416666666667</v>
      </c>
      <c r="F321" s="122">
        <v>1600.82</v>
      </c>
      <c r="G321" s="52">
        <v>1601.74</v>
      </c>
      <c r="H321" s="52">
        <v>1607.23</v>
      </c>
      <c r="I321" s="52">
        <v>1652.7</v>
      </c>
      <c r="J321" s="52">
        <v>1703.22</v>
      </c>
      <c r="K321" s="52">
        <v>1741.83</v>
      </c>
      <c r="L321" s="52">
        <v>1655.97</v>
      </c>
      <c r="M321" s="123">
        <f t="shared" si="32"/>
        <v>11563.51</v>
      </c>
      <c r="N321" s="124">
        <f t="shared" si="33"/>
        <v>1177.51</v>
      </c>
      <c r="O321" s="52">
        <v>1181.33</v>
      </c>
      <c r="P321" s="52">
        <f t="shared" si="35"/>
        <v>11459.9999999998</v>
      </c>
      <c r="Q321" s="52">
        <f t="shared" si="34"/>
        <v>7.84</v>
      </c>
      <c r="R321" s="52">
        <v>7.86</v>
      </c>
      <c r="S321" s="52">
        <f t="shared" si="30"/>
        <v>60.0000000000014</v>
      </c>
      <c r="T321" s="121">
        <f t="shared" si="31"/>
        <v>11399.9999999998</v>
      </c>
      <c r="U321" s="63"/>
      <c r="V321" s="52">
        <v>4.22</v>
      </c>
      <c r="W321" s="52">
        <v>29.97</v>
      </c>
      <c r="X321" s="52"/>
      <c r="Y321" s="52"/>
      <c r="Z321" s="52"/>
      <c r="AA321" s="52"/>
      <c r="AB321" s="121" t="s">
        <v>70</v>
      </c>
    </row>
    <row r="322" spans="1:28">
      <c r="A322" s="56">
        <f t="shared" si="29"/>
        <v>324</v>
      </c>
      <c r="B322" s="111">
        <v>46067</v>
      </c>
      <c r="C322" s="29">
        <v>46067</v>
      </c>
      <c r="D322" s="80">
        <v>0.322916666666667</v>
      </c>
      <c r="E322" s="127">
        <v>0.760416666666667</v>
      </c>
      <c r="F322" s="122">
        <v>1623.21</v>
      </c>
      <c r="G322" s="52">
        <v>1660.84</v>
      </c>
      <c r="H322" s="52">
        <v>1696.78</v>
      </c>
      <c r="I322" s="52">
        <v>1753.19</v>
      </c>
      <c r="J322" s="52">
        <v>1785.33</v>
      </c>
      <c r="K322" s="52">
        <v>1782.95</v>
      </c>
      <c r="L322" s="52">
        <v>1690.97</v>
      </c>
      <c r="M322" s="123">
        <f t="shared" si="32"/>
        <v>11993.27</v>
      </c>
      <c r="N322" s="124">
        <f t="shared" si="33"/>
        <v>1181.33</v>
      </c>
      <c r="O322" s="52">
        <v>1185.28</v>
      </c>
      <c r="P322" s="52">
        <f t="shared" si="35"/>
        <v>11850.0000000001</v>
      </c>
      <c r="Q322" s="52">
        <f t="shared" si="34"/>
        <v>7.86</v>
      </c>
      <c r="R322" s="52">
        <v>7.88</v>
      </c>
      <c r="S322" s="52">
        <f t="shared" si="30"/>
        <v>59.9999999999987</v>
      </c>
      <c r="T322" s="121">
        <f t="shared" si="31"/>
        <v>11790.0000000001</v>
      </c>
      <c r="U322" s="63"/>
      <c r="V322" s="52">
        <v>4.24</v>
      </c>
      <c r="W322" s="52">
        <v>30.48</v>
      </c>
      <c r="X322" s="52"/>
      <c r="Y322" s="52"/>
      <c r="Z322" s="52"/>
      <c r="AA322" s="52"/>
      <c r="AB322" s="121" t="s">
        <v>70</v>
      </c>
    </row>
    <row r="323" spans="1:28">
      <c r="A323" s="56">
        <f t="shared" ref="A323:A386" si="36">A322+1</f>
        <v>325</v>
      </c>
      <c r="B323" s="111">
        <v>46068</v>
      </c>
      <c r="C323" s="29">
        <v>46068</v>
      </c>
      <c r="D323" s="80">
        <v>0.322916666666667</v>
      </c>
      <c r="E323" s="127">
        <v>0.760416666666667</v>
      </c>
      <c r="F323" s="122">
        <v>1894.23</v>
      </c>
      <c r="G323" s="52">
        <v>1901.03</v>
      </c>
      <c r="H323" s="52">
        <v>1908.09</v>
      </c>
      <c r="I323" s="52">
        <v>1936.22</v>
      </c>
      <c r="J323" s="52">
        <v>1965.13</v>
      </c>
      <c r="K323" s="52">
        <v>1964.22</v>
      </c>
      <c r="L323" s="52">
        <v>1883.37</v>
      </c>
      <c r="M323" s="123">
        <f t="shared" si="32"/>
        <v>13452.29</v>
      </c>
      <c r="N323" s="124">
        <f t="shared" si="33"/>
        <v>1185.28</v>
      </c>
      <c r="O323" s="52">
        <v>1189.73</v>
      </c>
      <c r="P323" s="52">
        <f t="shared" si="35"/>
        <v>13350.0000000001</v>
      </c>
      <c r="Q323" s="52">
        <f t="shared" si="34"/>
        <v>7.88</v>
      </c>
      <c r="R323" s="52">
        <v>7.89</v>
      </c>
      <c r="S323" s="52">
        <f t="shared" ref="S323:S386" si="37">MAX((R323-Q323)*3000,0)</f>
        <v>29.9999999999994</v>
      </c>
      <c r="T323" s="121">
        <f t="shared" ref="T323:T386" si="38">P323-S323</f>
        <v>13320.0000000001</v>
      </c>
      <c r="U323" s="63"/>
      <c r="V323" s="52">
        <v>4.63</v>
      </c>
      <c r="W323" s="52">
        <v>30.18</v>
      </c>
      <c r="X323" s="52"/>
      <c r="Y323" s="52"/>
      <c r="Z323" s="52"/>
      <c r="AA323" s="52"/>
      <c r="AB323" s="121" t="s">
        <v>70</v>
      </c>
    </row>
    <row r="324" spans="1:28">
      <c r="A324" s="56">
        <f t="shared" si="36"/>
        <v>326</v>
      </c>
      <c r="B324" s="111">
        <v>46069</v>
      </c>
      <c r="C324" s="29">
        <v>46069</v>
      </c>
      <c r="D324" s="80">
        <v>0.322916666666667</v>
      </c>
      <c r="E324" s="127">
        <v>0.760416666666667</v>
      </c>
      <c r="F324" s="122">
        <v>1881.56</v>
      </c>
      <c r="G324" s="52">
        <v>1886.42</v>
      </c>
      <c r="H324" s="52">
        <v>1892.74</v>
      </c>
      <c r="I324" s="52">
        <v>1925.9</v>
      </c>
      <c r="J324" s="52">
        <v>1954.24</v>
      </c>
      <c r="K324" s="52">
        <v>1953.72</v>
      </c>
      <c r="L324" s="52">
        <v>1871.72</v>
      </c>
      <c r="M324" s="123">
        <f t="shared" ref="M324:M387" si="39">SUM(F324:L324)</f>
        <v>13366.3</v>
      </c>
      <c r="N324" s="124">
        <f t="shared" si="33"/>
        <v>1189.73</v>
      </c>
      <c r="O324" s="52">
        <v>1194.15</v>
      </c>
      <c r="P324" s="52">
        <f t="shared" si="35"/>
        <v>13260.0000000002</v>
      </c>
      <c r="Q324" s="52">
        <f t="shared" si="34"/>
        <v>7.89</v>
      </c>
      <c r="R324" s="52">
        <v>7.91</v>
      </c>
      <c r="S324" s="52">
        <f t="shared" si="37"/>
        <v>60.0000000000014</v>
      </c>
      <c r="T324" s="121">
        <f t="shared" si="38"/>
        <v>13200.0000000002</v>
      </c>
      <c r="U324" s="63"/>
      <c r="V324" s="52">
        <v>4.67</v>
      </c>
      <c r="W324" s="52">
        <v>28.69</v>
      </c>
      <c r="X324" s="52"/>
      <c r="Y324" s="52"/>
      <c r="Z324" s="52"/>
      <c r="AA324" s="52"/>
      <c r="AB324" s="121" t="s">
        <v>70</v>
      </c>
    </row>
    <row r="325" spans="1:28">
      <c r="A325" s="56">
        <f t="shared" si="36"/>
        <v>327</v>
      </c>
      <c r="B325" s="111">
        <v>46070</v>
      </c>
      <c r="C325" s="29">
        <v>46070</v>
      </c>
      <c r="D325" s="80">
        <v>0.322916666666667</v>
      </c>
      <c r="E325" s="127">
        <v>0.760416666666667</v>
      </c>
      <c r="F325" s="122">
        <v>1885.77</v>
      </c>
      <c r="G325" s="52">
        <v>1888.66</v>
      </c>
      <c r="H325" s="53">
        <v>1895.8</v>
      </c>
      <c r="I325" s="52">
        <v>1933.82</v>
      </c>
      <c r="J325" s="52">
        <v>1959.88</v>
      </c>
      <c r="K325" s="52">
        <v>1948.83</v>
      </c>
      <c r="L325" s="53">
        <v>1869.3</v>
      </c>
      <c r="M325" s="123">
        <f t="shared" si="39"/>
        <v>13382.06</v>
      </c>
      <c r="N325" s="124">
        <f t="shared" si="33"/>
        <v>1194.15</v>
      </c>
      <c r="O325" s="52">
        <v>1198.57</v>
      </c>
      <c r="P325" s="52">
        <f t="shared" si="35"/>
        <v>13259.9999999995</v>
      </c>
      <c r="Q325" s="52">
        <f t="shared" si="34"/>
        <v>7.91</v>
      </c>
      <c r="R325" s="52">
        <v>7.93</v>
      </c>
      <c r="S325" s="52">
        <f t="shared" si="37"/>
        <v>59.9999999999987</v>
      </c>
      <c r="T325" s="121">
        <f t="shared" si="38"/>
        <v>13199.9999999995</v>
      </c>
      <c r="U325" s="63"/>
      <c r="V325" s="53">
        <v>4.6</v>
      </c>
      <c r="W325" s="52">
        <v>26.81</v>
      </c>
      <c r="X325" s="52"/>
      <c r="Y325" s="52"/>
      <c r="Z325" s="52"/>
      <c r="AA325" s="52"/>
      <c r="AB325" s="121" t="s">
        <v>70</v>
      </c>
    </row>
    <row r="326" spans="1:28">
      <c r="A326" s="56">
        <f t="shared" si="36"/>
        <v>328</v>
      </c>
      <c r="B326" s="111">
        <v>46071</v>
      </c>
      <c r="C326" s="29">
        <v>46071</v>
      </c>
      <c r="D326" s="80">
        <v>0.322916666666667</v>
      </c>
      <c r="E326" s="127">
        <v>0.760416666666667</v>
      </c>
      <c r="F326" s="122">
        <v>1953.66</v>
      </c>
      <c r="G326" s="52">
        <v>1953.29</v>
      </c>
      <c r="H326" s="52">
        <v>1955.95</v>
      </c>
      <c r="I326" s="52">
        <v>1979.55</v>
      </c>
      <c r="J326" s="53">
        <v>2014.2</v>
      </c>
      <c r="K326" s="52">
        <v>2011.67</v>
      </c>
      <c r="L326" s="52">
        <v>1936.28</v>
      </c>
      <c r="M326" s="123">
        <f t="shared" si="39"/>
        <v>13804.6</v>
      </c>
      <c r="N326" s="124">
        <f t="shared" si="33"/>
        <v>1198.57</v>
      </c>
      <c r="O326" s="52">
        <v>1203.14</v>
      </c>
      <c r="P326" s="52">
        <v>13710</v>
      </c>
      <c r="Q326" s="52">
        <f t="shared" si="34"/>
        <v>7.93</v>
      </c>
      <c r="R326" s="52">
        <v>7.95</v>
      </c>
      <c r="S326" s="52">
        <f t="shared" si="37"/>
        <v>60.0000000000014</v>
      </c>
      <c r="T326" s="121">
        <f t="shared" si="38"/>
        <v>13650</v>
      </c>
      <c r="U326" s="63"/>
      <c r="V326" s="52">
        <v>4.76</v>
      </c>
      <c r="W326" s="52">
        <v>27.79</v>
      </c>
      <c r="X326" s="52"/>
      <c r="Y326" s="52"/>
      <c r="Z326" s="52"/>
      <c r="AA326" s="52"/>
      <c r="AB326" s="121" t="s">
        <v>70</v>
      </c>
    </row>
    <row r="327" spans="1:28">
      <c r="A327" s="56">
        <f t="shared" si="36"/>
        <v>329</v>
      </c>
      <c r="B327" s="111">
        <v>46072</v>
      </c>
      <c r="C327" s="29">
        <v>46072</v>
      </c>
      <c r="D327" s="80">
        <v>0.322916666666667</v>
      </c>
      <c r="E327" s="127">
        <v>0.760416666666667</v>
      </c>
      <c r="F327" s="122">
        <v>1845.37</v>
      </c>
      <c r="G327" s="53">
        <v>1845.9</v>
      </c>
      <c r="H327" s="52">
        <v>1850.98</v>
      </c>
      <c r="I327" s="52">
        <v>1881.11</v>
      </c>
      <c r="J327" s="53">
        <v>1913</v>
      </c>
      <c r="K327" s="52">
        <v>1912.66</v>
      </c>
      <c r="L327" s="53">
        <v>1838.7</v>
      </c>
      <c r="M327" s="123">
        <f t="shared" si="39"/>
        <v>13087.72</v>
      </c>
      <c r="N327" s="124">
        <f t="shared" si="33"/>
        <v>1203.14</v>
      </c>
      <c r="O327" s="52">
        <v>1207.47</v>
      </c>
      <c r="P327" s="52">
        <f t="shared" si="35"/>
        <v>12989.9999999998</v>
      </c>
      <c r="Q327" s="52">
        <f t="shared" si="34"/>
        <v>7.95</v>
      </c>
      <c r="R327" s="52">
        <v>7.97</v>
      </c>
      <c r="S327" s="52">
        <f t="shared" si="37"/>
        <v>59.9999999999987</v>
      </c>
      <c r="T327" s="121">
        <f t="shared" si="38"/>
        <v>12929.9999999998</v>
      </c>
      <c r="U327" s="63"/>
      <c r="V327" s="52">
        <v>4.64</v>
      </c>
      <c r="W327" s="52">
        <v>28.58</v>
      </c>
      <c r="X327" s="52"/>
      <c r="Y327" s="52"/>
      <c r="Z327" s="52"/>
      <c r="AA327" s="52"/>
      <c r="AB327" s="121" t="s">
        <v>70</v>
      </c>
    </row>
    <row r="328" spans="1:28">
      <c r="A328" s="56">
        <f t="shared" si="36"/>
        <v>330</v>
      </c>
      <c r="B328" s="111">
        <v>46073</v>
      </c>
      <c r="C328" s="29">
        <v>46073</v>
      </c>
      <c r="D328" s="80">
        <v>0.322916666666667</v>
      </c>
      <c r="E328" s="127">
        <v>0.760416666666667</v>
      </c>
      <c r="F328" s="122">
        <v>1685.3</v>
      </c>
      <c r="G328" s="52">
        <v>1685.84</v>
      </c>
      <c r="H328" s="52">
        <v>1689.86</v>
      </c>
      <c r="I328" s="52">
        <v>1731.14</v>
      </c>
      <c r="J328" s="52">
        <v>1756.16</v>
      </c>
      <c r="K328" s="52">
        <v>1754.15</v>
      </c>
      <c r="L328" s="52">
        <v>1683.94</v>
      </c>
      <c r="M328" s="123">
        <f t="shared" si="39"/>
        <v>11986.39</v>
      </c>
      <c r="N328" s="124">
        <f t="shared" si="33"/>
        <v>1207.47</v>
      </c>
      <c r="O328" s="52">
        <v>1211.44</v>
      </c>
      <c r="P328" s="52">
        <f t="shared" si="35"/>
        <v>11910.0000000001</v>
      </c>
      <c r="Q328" s="52">
        <f t="shared" si="34"/>
        <v>7.97</v>
      </c>
      <c r="R328" s="52">
        <v>7.99</v>
      </c>
      <c r="S328" s="52">
        <f t="shared" si="37"/>
        <v>60.0000000000014</v>
      </c>
      <c r="T328" s="121">
        <f t="shared" si="38"/>
        <v>11850.0000000001</v>
      </c>
      <c r="U328" s="63"/>
      <c r="V328" s="52">
        <v>4.29</v>
      </c>
      <c r="W328" s="52">
        <v>28.58</v>
      </c>
      <c r="X328" s="52"/>
      <c r="Y328" s="52"/>
      <c r="Z328" s="52"/>
      <c r="AA328" s="52"/>
      <c r="AB328" s="121" t="s">
        <v>70</v>
      </c>
    </row>
    <row r="329" spans="1:28">
      <c r="A329" s="56">
        <f t="shared" si="36"/>
        <v>331</v>
      </c>
      <c r="B329" s="111">
        <v>0</v>
      </c>
      <c r="C329" s="29">
        <v>46074</v>
      </c>
      <c r="D329" s="80">
        <v>0.322916666666667</v>
      </c>
      <c r="E329" s="127">
        <v>0.760416666666667</v>
      </c>
      <c r="F329" s="122">
        <v>1777.47</v>
      </c>
      <c r="G329" s="52">
        <v>1778.84</v>
      </c>
      <c r="H329" s="53">
        <v>1783.7</v>
      </c>
      <c r="I329" s="52">
        <v>1825.18</v>
      </c>
      <c r="J329" s="52">
        <v>1852.24</v>
      </c>
      <c r="K329" s="52">
        <v>1851.12</v>
      </c>
      <c r="L329" s="53">
        <v>1772</v>
      </c>
      <c r="M329" s="123">
        <f t="shared" si="39"/>
        <v>12640.55</v>
      </c>
      <c r="N329" s="124">
        <f t="shared" si="33"/>
        <v>1211.44</v>
      </c>
      <c r="O329" s="52">
        <v>1215.62</v>
      </c>
      <c r="P329" s="52">
        <f t="shared" si="35"/>
        <v>12539.9999999995</v>
      </c>
      <c r="Q329" s="52">
        <f t="shared" si="34"/>
        <v>7.99</v>
      </c>
      <c r="R329" s="52">
        <v>8.01</v>
      </c>
      <c r="S329" s="52">
        <f t="shared" si="37"/>
        <v>59.9999999999987</v>
      </c>
      <c r="T329" s="121">
        <f t="shared" si="38"/>
        <v>12479.9999999995</v>
      </c>
      <c r="U329" s="63"/>
      <c r="V329" s="52">
        <v>4.46</v>
      </c>
      <c r="W329" s="52">
        <v>30.76</v>
      </c>
      <c r="X329" s="52"/>
      <c r="Y329" s="52"/>
      <c r="Z329" s="52"/>
      <c r="AA329" s="52"/>
      <c r="AB329" s="121" t="s">
        <v>70</v>
      </c>
    </row>
    <row r="330" spans="1:28">
      <c r="A330" s="56">
        <f t="shared" si="36"/>
        <v>332</v>
      </c>
      <c r="B330" s="111">
        <v>46075</v>
      </c>
      <c r="C330" s="29">
        <v>46075</v>
      </c>
      <c r="D330" s="80">
        <v>0.322916666666667</v>
      </c>
      <c r="E330" s="127">
        <v>0.770833333333333</v>
      </c>
      <c r="F330" s="122">
        <v>1557.66</v>
      </c>
      <c r="G330" s="52">
        <v>1557.55</v>
      </c>
      <c r="H330" s="52">
        <v>1564.17</v>
      </c>
      <c r="I330" s="52">
        <v>1595.89</v>
      </c>
      <c r="J330" s="52">
        <v>1622.42</v>
      </c>
      <c r="K330" s="52">
        <v>1622.45</v>
      </c>
      <c r="L330" s="52">
        <v>1569.77</v>
      </c>
      <c r="M330" s="123">
        <f t="shared" si="39"/>
        <v>11089.91</v>
      </c>
      <c r="N330" s="124">
        <f t="shared" si="33"/>
        <v>1215.62</v>
      </c>
      <c r="O330" s="52">
        <v>1219.29</v>
      </c>
      <c r="P330" s="52">
        <f t="shared" si="35"/>
        <v>11010.0000000002</v>
      </c>
      <c r="Q330" s="52">
        <f t="shared" si="34"/>
        <v>8.01</v>
      </c>
      <c r="R330" s="52">
        <v>8.02</v>
      </c>
      <c r="S330" s="52">
        <f t="shared" si="37"/>
        <v>29.9999999999994</v>
      </c>
      <c r="T330" s="121">
        <f t="shared" si="38"/>
        <v>10980.0000000002</v>
      </c>
      <c r="U330" s="63"/>
      <c r="V330" s="53">
        <v>4.2</v>
      </c>
      <c r="W330" s="52">
        <v>31.13</v>
      </c>
      <c r="X330" s="52"/>
      <c r="Y330" s="52"/>
      <c r="Z330" s="52"/>
      <c r="AA330" s="52"/>
      <c r="AB330" s="121" t="s">
        <v>70</v>
      </c>
    </row>
    <row r="331" spans="1:28">
      <c r="A331" s="56">
        <f t="shared" si="36"/>
        <v>333</v>
      </c>
      <c r="B331" s="111">
        <v>46076</v>
      </c>
      <c r="C331" s="29">
        <v>46076</v>
      </c>
      <c r="D331" s="80">
        <v>0.322916666666667</v>
      </c>
      <c r="E331" s="127">
        <v>0.75</v>
      </c>
      <c r="F331" s="122">
        <v>1423.87</v>
      </c>
      <c r="G331" s="53">
        <v>1423.4</v>
      </c>
      <c r="H331" s="52">
        <v>1425.06</v>
      </c>
      <c r="I331" s="52">
        <v>1464.06</v>
      </c>
      <c r="J331" s="52">
        <v>1478.41</v>
      </c>
      <c r="K331" s="52">
        <v>1477.54</v>
      </c>
      <c r="L331" s="52">
        <v>1434.75</v>
      </c>
      <c r="M331" s="123">
        <f t="shared" si="39"/>
        <v>10127.09</v>
      </c>
      <c r="N331" s="124">
        <v>1219.29</v>
      </c>
      <c r="O331" s="52">
        <v>1222.64</v>
      </c>
      <c r="P331" s="52">
        <v>10050</v>
      </c>
      <c r="Q331" s="52">
        <f t="shared" si="34"/>
        <v>8.02</v>
      </c>
      <c r="R331" s="52">
        <v>8.04</v>
      </c>
      <c r="S331" s="52">
        <f t="shared" si="37"/>
        <v>59.9999999999987</v>
      </c>
      <c r="T331" s="121">
        <f t="shared" si="38"/>
        <v>9990</v>
      </c>
      <c r="U331" s="63"/>
      <c r="V331" s="52">
        <v>4.13</v>
      </c>
      <c r="W331" s="52">
        <v>31.45</v>
      </c>
      <c r="X331" s="52"/>
      <c r="Y331" s="52"/>
      <c r="Z331" s="52"/>
      <c r="AA331" s="52"/>
      <c r="AB331" s="121" t="s">
        <v>70</v>
      </c>
    </row>
    <row r="332" spans="1:28">
      <c r="A332" s="56">
        <f t="shared" si="36"/>
        <v>334</v>
      </c>
      <c r="B332" s="111">
        <v>46077</v>
      </c>
      <c r="C332" s="29">
        <v>46077</v>
      </c>
      <c r="D332" s="80">
        <v>0.322916666666667</v>
      </c>
      <c r="E332" s="127">
        <v>0.770833333333333</v>
      </c>
      <c r="F332" s="122">
        <v>1580.9</v>
      </c>
      <c r="G332" s="52">
        <v>1581.36</v>
      </c>
      <c r="H332" s="52">
        <v>1582.08</v>
      </c>
      <c r="I332" s="52">
        <v>1622.33</v>
      </c>
      <c r="J332" s="52">
        <v>1634.51</v>
      </c>
      <c r="K332" s="53">
        <v>1631.4</v>
      </c>
      <c r="L332" s="52">
        <v>1572.45</v>
      </c>
      <c r="M332" s="123">
        <f t="shared" si="39"/>
        <v>11205.03</v>
      </c>
      <c r="N332" s="124">
        <f t="shared" si="33"/>
        <v>1222.64</v>
      </c>
      <c r="O332" s="52">
        <v>1226.34</v>
      </c>
      <c r="P332" s="52">
        <f t="shared" si="35"/>
        <v>11099.9999999995</v>
      </c>
      <c r="Q332" s="52">
        <f t="shared" si="34"/>
        <v>8.04</v>
      </c>
      <c r="R332" s="52">
        <v>8.06</v>
      </c>
      <c r="S332" s="52">
        <f t="shared" si="37"/>
        <v>60.0000000000041</v>
      </c>
      <c r="T332" s="121">
        <f t="shared" si="38"/>
        <v>11039.9999999995</v>
      </c>
      <c r="U332" s="63"/>
      <c r="V332" s="52">
        <v>4.13</v>
      </c>
      <c r="W332" s="52">
        <v>32.45</v>
      </c>
      <c r="X332" s="52"/>
      <c r="Y332" s="52"/>
      <c r="Z332" s="52"/>
      <c r="AA332" s="52"/>
      <c r="AB332" s="121" t="s">
        <v>70</v>
      </c>
    </row>
    <row r="333" spans="1:28">
      <c r="A333" s="56">
        <f t="shared" si="36"/>
        <v>335</v>
      </c>
      <c r="B333" s="111">
        <v>46078</v>
      </c>
      <c r="C333" s="29">
        <v>46078</v>
      </c>
      <c r="D333" s="80">
        <v>0.3125</v>
      </c>
      <c r="E333" s="127">
        <v>0.770833333333333</v>
      </c>
      <c r="F333" s="122">
        <v>1920.32</v>
      </c>
      <c r="G333" s="52">
        <v>1897.01</v>
      </c>
      <c r="H333" s="52">
        <v>1860.15</v>
      </c>
      <c r="I333" s="52">
        <v>1885.36</v>
      </c>
      <c r="J333" s="52">
        <v>1928.91</v>
      </c>
      <c r="K333" s="52">
        <v>1920.35</v>
      </c>
      <c r="L333" s="52">
        <v>1857.69</v>
      </c>
      <c r="M333" s="123">
        <f t="shared" si="39"/>
        <v>13269.79</v>
      </c>
      <c r="N333" s="124">
        <f t="shared" ref="N333:N396" si="40">O332</f>
        <v>1226.34</v>
      </c>
      <c r="O333" s="52">
        <v>1230.74</v>
      </c>
      <c r="P333" s="52">
        <f t="shared" si="35"/>
        <v>13200.0000000003</v>
      </c>
      <c r="Q333" s="52">
        <f t="shared" ref="Q333:Q396" si="41">R332</f>
        <v>8.06</v>
      </c>
      <c r="R333" s="52">
        <v>8.08</v>
      </c>
      <c r="S333" s="52">
        <f t="shared" si="37"/>
        <v>59.9999999999987</v>
      </c>
      <c r="T333" s="121">
        <f t="shared" si="38"/>
        <v>13140.0000000003</v>
      </c>
      <c r="U333" s="63"/>
      <c r="V333" s="52">
        <v>4.96</v>
      </c>
      <c r="W333" s="52">
        <v>31.15</v>
      </c>
      <c r="X333" s="52"/>
      <c r="Y333" s="52"/>
      <c r="Z333" s="52"/>
      <c r="AA333" s="52"/>
      <c r="AB333" s="121" t="s">
        <v>70</v>
      </c>
    </row>
    <row r="334" spans="1:28">
      <c r="A334" s="56">
        <f t="shared" si="36"/>
        <v>336</v>
      </c>
      <c r="B334" s="111">
        <v>46079</v>
      </c>
      <c r="C334" s="29">
        <v>46079</v>
      </c>
      <c r="D334" s="80">
        <v>0.3125</v>
      </c>
      <c r="E334" s="127">
        <v>0.770833333333333</v>
      </c>
      <c r="F334" s="122">
        <v>1963.4</v>
      </c>
      <c r="G334" s="52">
        <v>1961.63</v>
      </c>
      <c r="H334" s="52">
        <v>1964.73</v>
      </c>
      <c r="I334" s="52">
        <v>2002.92</v>
      </c>
      <c r="J334" s="53">
        <v>2032</v>
      </c>
      <c r="K334" s="52">
        <v>1990.17</v>
      </c>
      <c r="L334" s="52">
        <v>1885.64</v>
      </c>
      <c r="M334" s="123">
        <f t="shared" si="39"/>
        <v>13800.49</v>
      </c>
      <c r="N334" s="124">
        <f t="shared" si="40"/>
        <v>1230.74</v>
      </c>
      <c r="O334" s="53">
        <v>1235.3</v>
      </c>
      <c r="P334" s="52">
        <f t="shared" si="35"/>
        <v>13679.9999999998</v>
      </c>
      <c r="Q334" s="52">
        <f t="shared" si="41"/>
        <v>8.08</v>
      </c>
      <c r="R334" s="53">
        <v>8.1</v>
      </c>
      <c r="S334" s="52">
        <f t="shared" si="37"/>
        <v>59.9999999999987</v>
      </c>
      <c r="T334" s="121">
        <f t="shared" si="38"/>
        <v>13619.9999999998</v>
      </c>
      <c r="U334" s="63"/>
      <c r="V334" s="52">
        <v>4.76</v>
      </c>
      <c r="W334" s="52">
        <v>28.04</v>
      </c>
      <c r="X334" s="52"/>
      <c r="Y334" s="52"/>
      <c r="Z334" s="52"/>
      <c r="AA334" s="52"/>
      <c r="AB334" s="121" t="s">
        <v>70</v>
      </c>
    </row>
    <row r="335" spans="1:28">
      <c r="A335" s="56">
        <f t="shared" si="36"/>
        <v>337</v>
      </c>
      <c r="B335" s="111">
        <v>46080</v>
      </c>
      <c r="C335" s="29">
        <v>46080</v>
      </c>
      <c r="D335" s="80">
        <v>0.3125</v>
      </c>
      <c r="E335" s="127">
        <v>0.770833333333333</v>
      </c>
      <c r="F335" s="122">
        <v>1766.65</v>
      </c>
      <c r="G335" s="52">
        <v>1758.69</v>
      </c>
      <c r="H335" s="52">
        <v>1759.28</v>
      </c>
      <c r="I335" s="52">
        <v>1791.57</v>
      </c>
      <c r="J335" s="53">
        <v>1821.9</v>
      </c>
      <c r="K335" s="52">
        <v>1811.99</v>
      </c>
      <c r="L335" s="52">
        <v>1739.89</v>
      </c>
      <c r="M335" s="123">
        <f t="shared" si="39"/>
        <v>12449.97</v>
      </c>
      <c r="N335" s="124">
        <f t="shared" si="40"/>
        <v>1235.3</v>
      </c>
      <c r="O335" s="52">
        <v>1239.41</v>
      </c>
      <c r="P335" s="52">
        <f t="shared" si="35"/>
        <v>12330.0000000004</v>
      </c>
      <c r="Q335" s="52">
        <f t="shared" si="41"/>
        <v>8.1</v>
      </c>
      <c r="R335" s="52">
        <v>8.11</v>
      </c>
      <c r="S335" s="52">
        <f t="shared" si="37"/>
        <v>29.9999999999994</v>
      </c>
      <c r="T335" s="121">
        <f t="shared" si="38"/>
        <v>12300.0000000004</v>
      </c>
      <c r="U335" s="63"/>
      <c r="V335" s="53">
        <v>4.3</v>
      </c>
      <c r="W335" s="52">
        <v>28.28</v>
      </c>
      <c r="X335" s="52"/>
      <c r="Y335" s="52"/>
      <c r="Z335" s="52"/>
      <c r="AA335" s="52"/>
      <c r="AB335" s="121" t="s">
        <v>70</v>
      </c>
    </row>
    <row r="336" spans="1:28">
      <c r="A336" s="56">
        <f t="shared" si="36"/>
        <v>338</v>
      </c>
      <c r="B336" s="111">
        <v>46081</v>
      </c>
      <c r="C336" s="29">
        <v>46081</v>
      </c>
      <c r="D336" s="80">
        <v>0.3125</v>
      </c>
      <c r="E336" s="127">
        <v>0.770833333333333</v>
      </c>
      <c r="F336" s="122">
        <v>1997.13</v>
      </c>
      <c r="G336" s="52">
        <v>1995.07</v>
      </c>
      <c r="H336" s="52">
        <v>1997.42</v>
      </c>
      <c r="I336" s="52">
        <v>2034.32</v>
      </c>
      <c r="J336" s="52">
        <v>2070.17</v>
      </c>
      <c r="K336" s="52">
        <v>2069.87</v>
      </c>
      <c r="L336" s="52">
        <v>1972.26</v>
      </c>
      <c r="M336" s="123">
        <f t="shared" si="39"/>
        <v>14136.24</v>
      </c>
      <c r="N336" s="124">
        <f t="shared" si="40"/>
        <v>1239.41</v>
      </c>
      <c r="O336" s="52">
        <v>1244.09</v>
      </c>
      <c r="P336" s="52">
        <f t="shared" si="35"/>
        <v>14039.9999999995</v>
      </c>
      <c r="Q336" s="52">
        <f t="shared" si="41"/>
        <v>8.11</v>
      </c>
      <c r="R336" s="52">
        <v>8.13</v>
      </c>
      <c r="S336" s="52">
        <f t="shared" si="37"/>
        <v>60.0000000000041</v>
      </c>
      <c r="T336" s="121">
        <f t="shared" si="38"/>
        <v>13979.9999999995</v>
      </c>
      <c r="U336" s="63"/>
      <c r="V336" s="52">
        <v>4.83</v>
      </c>
      <c r="W336" s="52">
        <v>28.68</v>
      </c>
      <c r="X336" s="52"/>
      <c r="Y336" s="52"/>
      <c r="Z336" s="52"/>
      <c r="AA336" s="52"/>
      <c r="AB336" s="121" t="s">
        <v>70</v>
      </c>
    </row>
    <row r="337" spans="1:28">
      <c r="A337" s="56">
        <f t="shared" si="36"/>
        <v>339</v>
      </c>
      <c r="B337" s="111">
        <v>46082</v>
      </c>
      <c r="C337" s="29">
        <v>46082</v>
      </c>
      <c r="D337" s="80">
        <v>0.3125</v>
      </c>
      <c r="E337" s="127">
        <v>0.770833333333333</v>
      </c>
      <c r="F337" s="122">
        <v>1945.71</v>
      </c>
      <c r="G337" s="52">
        <v>1944.63</v>
      </c>
      <c r="H337" s="52">
        <v>1946.41</v>
      </c>
      <c r="I337" s="52">
        <v>1995.12</v>
      </c>
      <c r="J337" s="52">
        <v>2031.84</v>
      </c>
      <c r="K337" s="52">
        <v>2031.54</v>
      </c>
      <c r="L337" s="52">
        <v>1958.54</v>
      </c>
      <c r="M337" s="123">
        <f t="shared" si="39"/>
        <v>13853.79</v>
      </c>
      <c r="N337" s="124">
        <f t="shared" si="40"/>
        <v>1244.09</v>
      </c>
      <c r="O337" s="52">
        <v>1248.66</v>
      </c>
      <c r="P337" s="52">
        <f t="shared" si="35"/>
        <v>13710.0000000005</v>
      </c>
      <c r="Q337" s="52">
        <f t="shared" si="41"/>
        <v>8.13</v>
      </c>
      <c r="R337" s="52">
        <v>8.15</v>
      </c>
      <c r="S337" s="52">
        <f t="shared" si="37"/>
        <v>59.9999999999987</v>
      </c>
      <c r="T337" s="121">
        <f t="shared" si="38"/>
        <v>13650.0000000005</v>
      </c>
      <c r="U337" s="63"/>
      <c r="V337" s="52">
        <v>4.71</v>
      </c>
      <c r="W337" s="52">
        <v>28.93</v>
      </c>
      <c r="X337" s="52"/>
      <c r="Y337" s="52"/>
      <c r="Z337" s="52"/>
      <c r="AA337" s="52"/>
      <c r="AB337" s="121" t="s">
        <v>70</v>
      </c>
    </row>
    <row r="338" spans="1:28">
      <c r="A338" s="56">
        <f t="shared" si="36"/>
        <v>340</v>
      </c>
      <c r="B338" s="111">
        <v>46083</v>
      </c>
      <c r="C338" s="29">
        <v>46083</v>
      </c>
      <c r="D338" s="80">
        <v>0.3125</v>
      </c>
      <c r="E338" s="127">
        <v>0.770833333333333</v>
      </c>
      <c r="F338" s="122">
        <v>1945.47</v>
      </c>
      <c r="G338" s="53">
        <v>1943.3</v>
      </c>
      <c r="H338" s="52">
        <v>1944.81</v>
      </c>
      <c r="I338" s="52">
        <v>1987.27</v>
      </c>
      <c r="J338" s="52">
        <v>2007.53</v>
      </c>
      <c r="K338" s="52">
        <v>2011.85</v>
      </c>
      <c r="L338" s="52">
        <v>1957.29</v>
      </c>
      <c r="M338" s="123">
        <f t="shared" si="39"/>
        <v>13797.52</v>
      </c>
      <c r="N338" s="124">
        <f t="shared" si="40"/>
        <v>1248.66</v>
      </c>
      <c r="O338" s="53">
        <v>1253.2</v>
      </c>
      <c r="P338" s="52">
        <f t="shared" si="35"/>
        <v>13619.9999999999</v>
      </c>
      <c r="Q338" s="52">
        <f t="shared" si="41"/>
        <v>8.15</v>
      </c>
      <c r="R338" s="52">
        <v>8.17</v>
      </c>
      <c r="S338" s="52">
        <f t="shared" si="37"/>
        <v>59.9999999999987</v>
      </c>
      <c r="T338" s="121">
        <f t="shared" si="38"/>
        <v>13559.9999999999</v>
      </c>
      <c r="U338" s="63"/>
      <c r="V338" s="52">
        <v>4.77</v>
      </c>
      <c r="W338" s="52">
        <v>30.44</v>
      </c>
      <c r="X338" s="52"/>
      <c r="Y338" s="52"/>
      <c r="Z338" s="52"/>
      <c r="AA338" s="52"/>
      <c r="AB338" s="121" t="s">
        <v>70</v>
      </c>
    </row>
    <row r="339" spans="1:28">
      <c r="A339" s="56">
        <f t="shared" si="36"/>
        <v>341</v>
      </c>
      <c r="B339" s="111">
        <v>46084</v>
      </c>
      <c r="C339" s="29">
        <v>46084</v>
      </c>
      <c r="D339" s="80">
        <v>0.3125</v>
      </c>
      <c r="E339" s="127">
        <v>0.770833333333333</v>
      </c>
      <c r="F339" s="122">
        <v>1857.47</v>
      </c>
      <c r="G339" s="52">
        <v>1853.85</v>
      </c>
      <c r="H339" s="52">
        <v>1856.81</v>
      </c>
      <c r="I339" s="52">
        <v>1901.33</v>
      </c>
      <c r="J339" s="52">
        <v>1923.27</v>
      </c>
      <c r="K339" s="52">
        <v>1925.95</v>
      </c>
      <c r="L339" s="52">
        <v>1877.06</v>
      </c>
      <c r="M339" s="123">
        <f t="shared" si="39"/>
        <v>13195.74</v>
      </c>
      <c r="N339" s="124">
        <f t="shared" si="40"/>
        <v>1253.2</v>
      </c>
      <c r="O339" s="52">
        <v>1257.58</v>
      </c>
      <c r="P339" s="52">
        <f t="shared" si="35"/>
        <v>13139.9999999996</v>
      </c>
      <c r="Q339" s="52">
        <f t="shared" si="41"/>
        <v>8.17</v>
      </c>
      <c r="R339" s="52">
        <v>8.19</v>
      </c>
      <c r="S339" s="52">
        <f t="shared" si="37"/>
        <v>59.9999999999987</v>
      </c>
      <c r="T339" s="121">
        <f t="shared" si="38"/>
        <v>13079.9999999996</v>
      </c>
      <c r="U339" s="63"/>
      <c r="V339" s="52">
        <v>4.6</v>
      </c>
      <c r="W339" s="52">
        <v>32.53</v>
      </c>
      <c r="X339" s="52"/>
      <c r="Y339" s="52"/>
      <c r="Z339" s="52"/>
      <c r="AA339" s="52"/>
      <c r="AB339" s="121" t="s">
        <v>70</v>
      </c>
    </row>
    <row r="340" spans="1:28">
      <c r="A340" s="56">
        <f t="shared" si="36"/>
        <v>342</v>
      </c>
      <c r="B340" s="111">
        <v>46085</v>
      </c>
      <c r="C340" s="29">
        <v>46085</v>
      </c>
      <c r="D340" s="80">
        <v>0.3125</v>
      </c>
      <c r="E340" s="127">
        <v>0.770833333333333</v>
      </c>
      <c r="F340" s="122">
        <v>1864.58</v>
      </c>
      <c r="G340" s="52">
        <v>1865.41</v>
      </c>
      <c r="H340" s="52">
        <v>1871.63</v>
      </c>
      <c r="I340" s="53">
        <v>785.2</v>
      </c>
      <c r="J340" s="52">
        <v>1941.08</v>
      </c>
      <c r="K340" s="52">
        <v>1948.54</v>
      </c>
      <c r="L340" s="53">
        <v>1897.3</v>
      </c>
      <c r="M340" s="123">
        <f t="shared" si="39"/>
        <v>12173.74</v>
      </c>
      <c r="N340" s="124">
        <f t="shared" si="40"/>
        <v>1257.58</v>
      </c>
      <c r="O340" s="53">
        <v>1261.6</v>
      </c>
      <c r="P340" s="52">
        <f t="shared" si="35"/>
        <v>12059.9999999999</v>
      </c>
      <c r="Q340" s="52">
        <f t="shared" si="41"/>
        <v>8.19</v>
      </c>
      <c r="R340" s="53">
        <v>8.2</v>
      </c>
      <c r="S340" s="52">
        <f t="shared" si="37"/>
        <v>29.9999999999994</v>
      </c>
      <c r="T340" s="121">
        <f t="shared" si="38"/>
        <v>12029.9999999999</v>
      </c>
      <c r="U340" s="63"/>
      <c r="V340" s="52">
        <v>4.78</v>
      </c>
      <c r="W340" s="52">
        <v>33.73</v>
      </c>
      <c r="X340" s="52"/>
      <c r="Y340" s="52"/>
      <c r="Z340" s="52"/>
      <c r="AA340" s="52"/>
      <c r="AB340" s="121" t="s">
        <v>70</v>
      </c>
    </row>
    <row r="341" spans="1:28">
      <c r="A341" s="56">
        <f t="shared" si="36"/>
        <v>343</v>
      </c>
      <c r="B341" s="111">
        <v>46086</v>
      </c>
      <c r="C341" s="29">
        <v>46086</v>
      </c>
      <c r="D341" s="80">
        <v>0.3125</v>
      </c>
      <c r="E341" s="127">
        <v>0.770833333333333</v>
      </c>
      <c r="F341" s="122">
        <v>1913.25</v>
      </c>
      <c r="G341" s="52">
        <v>1920.08</v>
      </c>
      <c r="H341" s="52">
        <v>1928.42</v>
      </c>
      <c r="I341" s="53">
        <v>765.3</v>
      </c>
      <c r="J341" s="52">
        <v>1991.67</v>
      </c>
      <c r="K341" s="52">
        <v>1996.31</v>
      </c>
      <c r="L341" s="52">
        <v>1949.54</v>
      </c>
      <c r="M341" s="123">
        <f t="shared" si="39"/>
        <v>12464.57</v>
      </c>
      <c r="N341" s="124">
        <f t="shared" si="40"/>
        <v>1261.6</v>
      </c>
      <c r="O341" s="52">
        <v>1265.72</v>
      </c>
      <c r="P341" s="52">
        <f t="shared" si="35"/>
        <v>12360.0000000004</v>
      </c>
      <c r="Q341" s="52">
        <f t="shared" si="41"/>
        <v>8.2</v>
      </c>
      <c r="R341" s="52">
        <v>8.22</v>
      </c>
      <c r="S341" s="52">
        <f t="shared" si="37"/>
        <v>60.0000000000041</v>
      </c>
      <c r="T341" s="121">
        <f t="shared" si="38"/>
        <v>12300.0000000004</v>
      </c>
      <c r="U341" s="63"/>
      <c r="V341" s="52">
        <v>4.88</v>
      </c>
      <c r="W341" s="52">
        <v>32.17</v>
      </c>
      <c r="X341" s="52"/>
      <c r="Y341" s="52"/>
      <c r="Z341" s="52"/>
      <c r="AA341" s="52"/>
      <c r="AB341" s="121" t="s">
        <v>70</v>
      </c>
    </row>
    <row r="342" spans="1:28">
      <c r="A342" s="56">
        <f t="shared" si="36"/>
        <v>344</v>
      </c>
      <c r="B342" s="111">
        <v>46087</v>
      </c>
      <c r="C342" s="29">
        <v>46087</v>
      </c>
      <c r="D342" s="80">
        <v>0.3125</v>
      </c>
      <c r="E342" s="127">
        <v>0.770833333333333</v>
      </c>
      <c r="F342" s="122">
        <v>2015.38</v>
      </c>
      <c r="G342" s="52">
        <v>2021.98</v>
      </c>
      <c r="H342" s="52">
        <v>2032.97</v>
      </c>
      <c r="I342" s="52">
        <v>2045.57</v>
      </c>
      <c r="J342" s="52">
        <v>2100.97</v>
      </c>
      <c r="K342" s="52">
        <v>2099.96</v>
      </c>
      <c r="L342" s="52">
        <v>2055.97</v>
      </c>
      <c r="M342" s="123">
        <f t="shared" si="39"/>
        <v>14372.8</v>
      </c>
      <c r="N342" s="124">
        <f t="shared" si="40"/>
        <v>1265.72</v>
      </c>
      <c r="O342" s="52">
        <v>1270.46</v>
      </c>
      <c r="P342" s="52">
        <f t="shared" si="35"/>
        <v>14220</v>
      </c>
      <c r="Q342" s="52">
        <f t="shared" si="41"/>
        <v>8.22</v>
      </c>
      <c r="R342" s="52">
        <v>8.24</v>
      </c>
      <c r="S342" s="52">
        <f t="shared" si="37"/>
        <v>59.9999999999987</v>
      </c>
      <c r="T342" s="121">
        <f t="shared" si="38"/>
        <v>14160</v>
      </c>
      <c r="U342" s="63"/>
      <c r="V342" s="52">
        <v>5.11</v>
      </c>
      <c r="W342" s="52">
        <v>29.71</v>
      </c>
      <c r="X342" s="52"/>
      <c r="Y342" s="52"/>
      <c r="Z342" s="52"/>
      <c r="AA342" s="52"/>
      <c r="AB342" s="121" t="s">
        <v>70</v>
      </c>
    </row>
    <row r="343" spans="1:28">
      <c r="A343" s="56">
        <f t="shared" si="36"/>
        <v>345</v>
      </c>
      <c r="B343" s="111">
        <v>46088</v>
      </c>
      <c r="C343" s="29">
        <v>46088</v>
      </c>
      <c r="D343" s="80">
        <v>0.3125</v>
      </c>
      <c r="E343" s="127">
        <v>0.770833333333333</v>
      </c>
      <c r="F343" s="122">
        <v>1835.31</v>
      </c>
      <c r="G343" s="52">
        <v>1835.45</v>
      </c>
      <c r="H343" s="52">
        <v>1840.42</v>
      </c>
      <c r="I343" s="52">
        <v>1867.87</v>
      </c>
      <c r="J343" s="52">
        <v>1904.18</v>
      </c>
      <c r="K343" s="52">
        <v>1907.16</v>
      </c>
      <c r="L343" s="52">
        <v>1870.73</v>
      </c>
      <c r="M343" s="123">
        <f t="shared" si="39"/>
        <v>13061.12</v>
      </c>
      <c r="N343" s="124">
        <f t="shared" si="40"/>
        <v>1270.46</v>
      </c>
      <c r="O343" s="52">
        <v>1274.77</v>
      </c>
      <c r="P343" s="52">
        <f t="shared" si="35"/>
        <v>12929.9999999998</v>
      </c>
      <c r="Q343" s="52">
        <f t="shared" si="41"/>
        <v>8.24</v>
      </c>
      <c r="R343" s="52">
        <v>8.26</v>
      </c>
      <c r="S343" s="52">
        <f t="shared" si="37"/>
        <v>59.9999999999987</v>
      </c>
      <c r="T343" s="121">
        <f t="shared" si="38"/>
        <v>12869.9999999998</v>
      </c>
      <c r="U343" s="63"/>
      <c r="V343" s="52">
        <v>4.7</v>
      </c>
      <c r="W343" s="52">
        <v>31.86</v>
      </c>
      <c r="X343" s="52"/>
      <c r="Y343" s="52"/>
      <c r="Z343" s="52"/>
      <c r="AA343" s="52"/>
      <c r="AB343" s="121" t="s">
        <v>70</v>
      </c>
    </row>
    <row r="344" spans="1:28">
      <c r="A344" s="56">
        <f t="shared" si="36"/>
        <v>346</v>
      </c>
      <c r="B344" s="111">
        <v>46089</v>
      </c>
      <c r="C344" s="29">
        <v>46089</v>
      </c>
      <c r="D344" s="80">
        <v>0.3125</v>
      </c>
      <c r="E344" s="127">
        <v>0.770833333333333</v>
      </c>
      <c r="F344" s="122">
        <v>1892.51</v>
      </c>
      <c r="G344" s="52">
        <v>1895.11</v>
      </c>
      <c r="H344" s="52">
        <v>1899.98</v>
      </c>
      <c r="I344" s="52">
        <v>1930.49</v>
      </c>
      <c r="J344" s="52">
        <v>1967.92</v>
      </c>
      <c r="K344" s="52">
        <v>1975.78</v>
      </c>
      <c r="L344" s="52">
        <v>1934.25</v>
      </c>
      <c r="M344" s="123">
        <f t="shared" si="39"/>
        <v>13496.04</v>
      </c>
      <c r="N344" s="124">
        <f t="shared" si="40"/>
        <v>1274.77</v>
      </c>
      <c r="O344" s="52">
        <v>1279.23</v>
      </c>
      <c r="P344" s="52">
        <f t="shared" ref="P344:P407" si="42">MAX((O344-N344)*3000,0)</f>
        <v>13380.0000000001</v>
      </c>
      <c r="Q344" s="52">
        <f t="shared" si="41"/>
        <v>8.26</v>
      </c>
      <c r="R344" s="52">
        <v>8.28</v>
      </c>
      <c r="S344" s="52">
        <f t="shared" si="37"/>
        <v>59.9999999999987</v>
      </c>
      <c r="T344" s="121">
        <f t="shared" si="38"/>
        <v>13320.0000000001</v>
      </c>
      <c r="U344" s="63"/>
      <c r="V344" s="52">
        <v>4.9</v>
      </c>
      <c r="W344" s="52">
        <v>34.4</v>
      </c>
      <c r="X344" s="52"/>
      <c r="Y344" s="52"/>
      <c r="Z344" s="52"/>
      <c r="AA344" s="52"/>
      <c r="AB344" s="121" t="s">
        <v>70</v>
      </c>
    </row>
    <row r="345" spans="1:28">
      <c r="A345" s="56">
        <f t="shared" si="36"/>
        <v>347</v>
      </c>
      <c r="B345" s="111">
        <v>46090</v>
      </c>
      <c r="C345" s="29">
        <v>46090</v>
      </c>
      <c r="D345" s="80">
        <v>0.3125</v>
      </c>
      <c r="E345" s="127">
        <v>0.770833333333333</v>
      </c>
      <c r="F345" s="122">
        <v>1903.3</v>
      </c>
      <c r="G345" s="52">
        <v>1904.56</v>
      </c>
      <c r="H345" s="52">
        <v>1909.43</v>
      </c>
      <c r="I345" s="52">
        <v>1909.22</v>
      </c>
      <c r="J345" s="52">
        <v>1979.18</v>
      </c>
      <c r="K345" s="52">
        <v>1988.94</v>
      </c>
      <c r="L345" s="52">
        <v>1948.45</v>
      </c>
      <c r="M345" s="123">
        <f t="shared" si="39"/>
        <v>13543.08</v>
      </c>
      <c r="N345" s="124">
        <f t="shared" si="40"/>
        <v>1279.23</v>
      </c>
      <c r="O345" s="52">
        <v>1283.71</v>
      </c>
      <c r="P345" s="52">
        <f t="shared" si="42"/>
        <v>13440.0000000001</v>
      </c>
      <c r="Q345" s="52">
        <f t="shared" si="41"/>
        <v>8.28</v>
      </c>
      <c r="R345" s="52">
        <v>8.29</v>
      </c>
      <c r="S345" s="52">
        <f t="shared" si="37"/>
        <v>29.9999999999994</v>
      </c>
      <c r="T345" s="121">
        <f t="shared" si="38"/>
        <v>13410.0000000001</v>
      </c>
      <c r="U345" s="63"/>
      <c r="V345" s="52">
        <v>5.06</v>
      </c>
      <c r="W345" s="52">
        <v>36.4</v>
      </c>
      <c r="X345" s="52"/>
      <c r="Y345" s="52"/>
      <c r="Z345" s="52"/>
      <c r="AA345" s="52"/>
      <c r="AB345" s="121" t="s">
        <v>70</v>
      </c>
    </row>
    <row r="346" spans="1:28">
      <c r="A346" s="56">
        <f t="shared" si="36"/>
        <v>348</v>
      </c>
      <c r="B346" s="111">
        <v>46091</v>
      </c>
      <c r="C346" s="29">
        <v>46091</v>
      </c>
      <c r="D346" s="80">
        <v>0.3125</v>
      </c>
      <c r="E346" s="127">
        <v>0.770833333333333</v>
      </c>
      <c r="F346" s="122">
        <v>1876.27</v>
      </c>
      <c r="G346" s="52">
        <v>1880.24</v>
      </c>
      <c r="H346" s="52">
        <v>1883.87</v>
      </c>
      <c r="I346" s="52">
        <v>1889.46</v>
      </c>
      <c r="J346" s="52">
        <v>1955.06</v>
      </c>
      <c r="K346" s="53">
        <v>1959.1</v>
      </c>
      <c r="L346" s="52">
        <v>1924.59</v>
      </c>
      <c r="M346" s="123">
        <f t="shared" si="39"/>
        <v>13368.59</v>
      </c>
      <c r="N346" s="124">
        <f t="shared" si="40"/>
        <v>1283.71</v>
      </c>
      <c r="O346" s="52">
        <v>1288.12</v>
      </c>
      <c r="P346" s="52">
        <f t="shared" si="42"/>
        <v>13229.9999999996</v>
      </c>
      <c r="Q346" s="52">
        <f t="shared" si="41"/>
        <v>8.29</v>
      </c>
      <c r="R346" s="52">
        <v>8.31</v>
      </c>
      <c r="S346" s="52">
        <f t="shared" si="37"/>
        <v>60.0000000000041</v>
      </c>
      <c r="T346" s="121">
        <f t="shared" si="38"/>
        <v>13169.9999999996</v>
      </c>
      <c r="U346" s="63"/>
      <c r="V346" s="52">
        <v>5.02</v>
      </c>
      <c r="W346" s="52">
        <v>35.97</v>
      </c>
      <c r="X346" s="52"/>
      <c r="Y346" s="52"/>
      <c r="Z346" s="52"/>
      <c r="AA346" s="52"/>
      <c r="AB346" s="121" t="s">
        <v>70</v>
      </c>
    </row>
    <row r="347" spans="1:28">
      <c r="A347" s="56">
        <f t="shared" si="36"/>
        <v>349</v>
      </c>
      <c r="B347" s="111">
        <v>46092</v>
      </c>
      <c r="C347" s="29">
        <v>46092</v>
      </c>
      <c r="D347" s="80">
        <v>0.3125</v>
      </c>
      <c r="E347" s="127">
        <v>0.770833333333333</v>
      </c>
      <c r="F347" s="122">
        <v>1831.17</v>
      </c>
      <c r="G347" s="52">
        <v>1837.27</v>
      </c>
      <c r="H347" s="52">
        <v>1840.91</v>
      </c>
      <c r="I347" s="52">
        <v>1840.31</v>
      </c>
      <c r="J347" s="52">
        <v>1910.08</v>
      </c>
      <c r="K347" s="52">
        <v>1918.67</v>
      </c>
      <c r="L347" s="52">
        <v>1887.49</v>
      </c>
      <c r="M347" s="123">
        <f t="shared" si="39"/>
        <v>13065.9</v>
      </c>
      <c r="N347" s="124">
        <f t="shared" si="40"/>
        <v>1288.12</v>
      </c>
      <c r="O347" s="52">
        <v>1292.44</v>
      </c>
      <c r="P347" s="52">
        <f t="shared" si="42"/>
        <v>12960.0000000005</v>
      </c>
      <c r="Q347" s="52">
        <f t="shared" si="41"/>
        <v>8.31</v>
      </c>
      <c r="R347" s="52">
        <v>8.33</v>
      </c>
      <c r="S347" s="52">
        <f t="shared" si="37"/>
        <v>59.9999999999987</v>
      </c>
      <c r="T347" s="121">
        <f t="shared" si="38"/>
        <v>12900.0000000005</v>
      </c>
      <c r="U347" s="63"/>
      <c r="V347" s="52">
        <v>4.98</v>
      </c>
      <c r="W347" s="52">
        <v>35.82</v>
      </c>
      <c r="X347" s="52"/>
      <c r="Y347" s="52"/>
      <c r="Z347" s="52"/>
      <c r="AA347" s="52"/>
      <c r="AB347" s="121" t="s">
        <v>70</v>
      </c>
    </row>
    <row r="348" spans="1:28">
      <c r="A348" s="56">
        <f t="shared" si="36"/>
        <v>350</v>
      </c>
      <c r="B348" s="111">
        <v>46093</v>
      </c>
      <c r="C348" s="29">
        <v>46093</v>
      </c>
      <c r="D348" s="80">
        <v>0.3125</v>
      </c>
      <c r="E348" s="127">
        <v>0.770833333333333</v>
      </c>
      <c r="F348" s="122">
        <v>1843.09</v>
      </c>
      <c r="G348" s="52">
        <v>1845.83</v>
      </c>
      <c r="H348" s="52">
        <v>1855.51</v>
      </c>
      <c r="I348" s="52">
        <v>1893.62</v>
      </c>
      <c r="J348" s="52">
        <v>1923.24</v>
      </c>
      <c r="K348" s="52">
        <v>1928.97</v>
      </c>
      <c r="L348" s="52">
        <v>1900.93</v>
      </c>
      <c r="M348" s="123">
        <f t="shared" si="39"/>
        <v>13191.19</v>
      </c>
      <c r="N348" s="124">
        <f t="shared" si="40"/>
        <v>1292.44</v>
      </c>
      <c r="O348" s="53">
        <v>1296.8</v>
      </c>
      <c r="P348" s="52">
        <f t="shared" si="42"/>
        <v>13079.9999999997</v>
      </c>
      <c r="Q348" s="52">
        <f t="shared" si="41"/>
        <v>8.33</v>
      </c>
      <c r="R348" s="52">
        <v>8.35</v>
      </c>
      <c r="S348" s="52">
        <f t="shared" si="37"/>
        <v>59.9999999999987</v>
      </c>
      <c r="T348" s="121">
        <f t="shared" si="38"/>
        <v>13019.9999999997</v>
      </c>
      <c r="U348" s="63"/>
      <c r="V348" s="52">
        <v>4.97</v>
      </c>
      <c r="W348" s="52">
        <v>34.75</v>
      </c>
      <c r="X348" s="52"/>
      <c r="Y348" s="52"/>
      <c r="Z348" s="52"/>
      <c r="AA348" s="52"/>
      <c r="AB348" s="121" t="s">
        <v>70</v>
      </c>
    </row>
    <row r="349" spans="1:28">
      <c r="A349" s="56">
        <f t="shared" si="36"/>
        <v>351</v>
      </c>
      <c r="B349" s="111">
        <v>46094</v>
      </c>
      <c r="C349" s="29">
        <v>46094</v>
      </c>
      <c r="D349" s="80">
        <v>0.3125</v>
      </c>
      <c r="E349" s="127">
        <v>0.770833333333333</v>
      </c>
      <c r="F349" s="122">
        <v>1810.98</v>
      </c>
      <c r="G349" s="52">
        <v>1811.72</v>
      </c>
      <c r="H349" s="52">
        <v>1823.31</v>
      </c>
      <c r="I349" s="52">
        <v>1867.95</v>
      </c>
      <c r="J349" s="52">
        <v>1891.64</v>
      </c>
      <c r="K349" s="52">
        <v>1897.78</v>
      </c>
      <c r="L349" s="52">
        <v>1869.22</v>
      </c>
      <c r="M349" s="123">
        <f t="shared" si="39"/>
        <v>12972.6</v>
      </c>
      <c r="N349" s="124">
        <f t="shared" si="40"/>
        <v>1296.8</v>
      </c>
      <c r="O349" s="52">
        <v>1301.09</v>
      </c>
      <c r="P349" s="52">
        <f t="shared" si="42"/>
        <v>12869.9999999999</v>
      </c>
      <c r="Q349" s="52">
        <f t="shared" si="41"/>
        <v>8.35</v>
      </c>
      <c r="R349" s="52">
        <v>8.37</v>
      </c>
      <c r="S349" s="52">
        <f t="shared" si="37"/>
        <v>59.9999999999987</v>
      </c>
      <c r="T349" s="121">
        <f t="shared" si="38"/>
        <v>12809.9999999999</v>
      </c>
      <c r="U349" s="63"/>
      <c r="V349" s="52">
        <v>4.91</v>
      </c>
      <c r="W349" s="52">
        <v>34</v>
      </c>
      <c r="X349" s="52"/>
      <c r="Y349" s="52"/>
      <c r="Z349" s="52"/>
      <c r="AA349" s="52"/>
      <c r="AB349" s="121" t="s">
        <v>70</v>
      </c>
    </row>
    <row r="350" spans="1:28">
      <c r="A350" s="56">
        <f t="shared" si="36"/>
        <v>352</v>
      </c>
      <c r="B350" s="111">
        <v>46095</v>
      </c>
      <c r="C350" s="29">
        <v>46095</v>
      </c>
      <c r="D350" s="80">
        <v>0.302083333333333</v>
      </c>
      <c r="E350" s="127">
        <v>0.770833333333333</v>
      </c>
      <c r="F350" s="122">
        <v>1927.52</v>
      </c>
      <c r="G350" s="52">
        <v>1932.39</v>
      </c>
      <c r="H350" s="52">
        <v>1938.05</v>
      </c>
      <c r="I350" s="52">
        <v>1879.33</v>
      </c>
      <c r="J350" s="52">
        <v>2013.46</v>
      </c>
      <c r="K350" s="52">
        <v>2018.63</v>
      </c>
      <c r="L350" s="52">
        <v>1983.56</v>
      </c>
      <c r="M350" s="123">
        <f t="shared" si="39"/>
        <v>13692.94</v>
      </c>
      <c r="N350" s="124">
        <f t="shared" si="40"/>
        <v>1301.09</v>
      </c>
      <c r="O350" s="53">
        <v>1305.6</v>
      </c>
      <c r="P350" s="52">
        <f t="shared" si="42"/>
        <v>13530</v>
      </c>
      <c r="Q350" s="52">
        <f t="shared" si="41"/>
        <v>8.37</v>
      </c>
      <c r="R350" s="52">
        <v>8.38</v>
      </c>
      <c r="S350" s="52">
        <f t="shared" si="37"/>
        <v>30.0000000000047</v>
      </c>
      <c r="T350" s="121">
        <f t="shared" si="38"/>
        <v>13500</v>
      </c>
      <c r="U350" s="63"/>
      <c r="V350" s="52">
        <v>5.26</v>
      </c>
      <c r="W350" s="52">
        <v>32.02</v>
      </c>
      <c r="X350" s="52"/>
      <c r="Y350" s="52"/>
      <c r="Z350" s="52"/>
      <c r="AA350" s="52"/>
      <c r="AB350" s="121" t="s">
        <v>70</v>
      </c>
    </row>
    <row r="351" spans="1:28">
      <c r="A351" s="56">
        <f t="shared" si="36"/>
        <v>353</v>
      </c>
      <c r="B351" s="111">
        <v>46096</v>
      </c>
      <c r="C351" s="29">
        <v>46096</v>
      </c>
      <c r="D351" s="80">
        <v>0.302083333333333</v>
      </c>
      <c r="E351" s="127">
        <v>0.774305555555556</v>
      </c>
      <c r="F351" s="122">
        <v>1864.09</v>
      </c>
      <c r="G351" s="52">
        <v>1868.93</v>
      </c>
      <c r="H351" s="52">
        <v>1873.03</v>
      </c>
      <c r="I351" s="52">
        <v>1577.86</v>
      </c>
      <c r="J351" s="52">
        <v>1947.53</v>
      </c>
      <c r="K351" s="52">
        <v>1952.85</v>
      </c>
      <c r="L351" s="52">
        <v>1923.53</v>
      </c>
      <c r="M351" s="123">
        <f t="shared" si="39"/>
        <v>13007.82</v>
      </c>
      <c r="N351" s="124">
        <f t="shared" si="40"/>
        <v>1305.6</v>
      </c>
      <c r="O351" s="52">
        <v>1309.92</v>
      </c>
      <c r="P351" s="52">
        <f t="shared" si="42"/>
        <v>12960.0000000005</v>
      </c>
      <c r="Q351" s="52">
        <f t="shared" si="41"/>
        <v>8.38</v>
      </c>
      <c r="R351" s="53">
        <v>8.4</v>
      </c>
      <c r="S351" s="52">
        <f t="shared" si="37"/>
        <v>59.9999999999987</v>
      </c>
      <c r="T351" s="121">
        <f t="shared" si="38"/>
        <v>12900.0000000005</v>
      </c>
      <c r="U351" s="63"/>
      <c r="V351" s="52">
        <v>5.08</v>
      </c>
      <c r="W351" s="52">
        <v>32.13</v>
      </c>
      <c r="X351" s="52"/>
      <c r="Y351" s="52"/>
      <c r="Z351" s="52"/>
      <c r="AA351" s="52"/>
      <c r="AB351" s="121" t="s">
        <v>70</v>
      </c>
    </row>
    <row r="352" spans="1:28">
      <c r="A352" s="56">
        <f t="shared" si="36"/>
        <v>354</v>
      </c>
      <c r="B352" s="111">
        <v>46097</v>
      </c>
      <c r="C352" s="29">
        <v>46097</v>
      </c>
      <c r="D352" s="80">
        <v>0.309027777777778</v>
      </c>
      <c r="E352" s="127">
        <v>0.774305555555556</v>
      </c>
      <c r="F352" s="122">
        <v>1901.13</v>
      </c>
      <c r="G352" s="52">
        <v>1900.23</v>
      </c>
      <c r="H352" s="52">
        <v>1906.76</v>
      </c>
      <c r="I352" s="52">
        <v>1743.28</v>
      </c>
      <c r="J352" s="52">
        <v>1970.55</v>
      </c>
      <c r="K352" s="52">
        <v>1973.84</v>
      </c>
      <c r="L352" s="52">
        <v>1948.33</v>
      </c>
      <c r="M352" s="123">
        <f t="shared" si="39"/>
        <v>13344.12</v>
      </c>
      <c r="N352" s="124">
        <f t="shared" si="40"/>
        <v>1309.92</v>
      </c>
      <c r="O352" s="52">
        <v>1314.33</v>
      </c>
      <c r="P352" s="52">
        <f t="shared" si="42"/>
        <v>13229.9999999996</v>
      </c>
      <c r="Q352" s="52">
        <f t="shared" si="41"/>
        <v>8.4</v>
      </c>
      <c r="R352" s="52">
        <v>8.42</v>
      </c>
      <c r="S352" s="52">
        <f t="shared" si="37"/>
        <v>59.9999999999987</v>
      </c>
      <c r="T352" s="121">
        <f t="shared" si="38"/>
        <v>13169.9999999996</v>
      </c>
      <c r="U352" s="63"/>
      <c r="V352" s="52">
        <v>5.17</v>
      </c>
      <c r="W352" s="52">
        <v>32.13</v>
      </c>
      <c r="X352" s="52"/>
      <c r="Y352" s="52"/>
      <c r="Z352" s="52"/>
      <c r="AA352" s="52"/>
      <c r="AB352" s="121" t="s">
        <v>70</v>
      </c>
    </row>
    <row r="353" spans="1:28">
      <c r="A353" s="56">
        <f t="shared" si="36"/>
        <v>355</v>
      </c>
      <c r="B353" s="111">
        <v>46098</v>
      </c>
      <c r="C353" s="29">
        <v>46098</v>
      </c>
      <c r="D353" s="80">
        <v>0.305555555555556</v>
      </c>
      <c r="E353" s="127">
        <v>0.774305555555556</v>
      </c>
      <c r="F353" s="122">
        <v>1954.17</v>
      </c>
      <c r="G353" s="52">
        <v>1934.11</v>
      </c>
      <c r="H353" s="52">
        <v>1878.09</v>
      </c>
      <c r="I353" s="52">
        <v>1801.59</v>
      </c>
      <c r="J353" s="52">
        <v>1912.75</v>
      </c>
      <c r="K353" s="52">
        <v>1919.97</v>
      </c>
      <c r="L353" s="53">
        <v>1891.1</v>
      </c>
      <c r="M353" s="123">
        <f t="shared" si="39"/>
        <v>13291.78</v>
      </c>
      <c r="N353" s="124">
        <f t="shared" si="40"/>
        <v>1314.33</v>
      </c>
      <c r="O353" s="52">
        <v>1318.73</v>
      </c>
      <c r="P353" s="52">
        <f t="shared" si="42"/>
        <v>13200.0000000003</v>
      </c>
      <c r="Q353" s="52">
        <f t="shared" si="41"/>
        <v>8.42</v>
      </c>
      <c r="R353" s="52">
        <v>8.44</v>
      </c>
      <c r="S353" s="52">
        <f t="shared" si="37"/>
        <v>59.9999999999987</v>
      </c>
      <c r="T353" s="121">
        <f t="shared" si="38"/>
        <v>13140.0000000003</v>
      </c>
      <c r="U353" s="63"/>
      <c r="V353" s="52">
        <v>5.02</v>
      </c>
      <c r="W353" s="52">
        <v>31.79</v>
      </c>
      <c r="X353" s="52"/>
      <c r="Y353" s="52"/>
      <c r="Z353" s="52"/>
      <c r="AA353" s="52"/>
      <c r="AB353" s="121" t="s">
        <v>70</v>
      </c>
    </row>
    <row r="354" spans="1:28">
      <c r="A354" s="56">
        <f t="shared" si="36"/>
        <v>356</v>
      </c>
      <c r="B354" s="111">
        <v>46099</v>
      </c>
      <c r="C354" s="29">
        <v>46099</v>
      </c>
      <c r="D354" s="80">
        <v>0.302083333333333</v>
      </c>
      <c r="E354" s="127">
        <v>0.770833333333333</v>
      </c>
      <c r="F354" s="122">
        <v>1920.2</v>
      </c>
      <c r="G354" s="52">
        <v>1915.08</v>
      </c>
      <c r="H354" s="52">
        <v>1924.91</v>
      </c>
      <c r="I354" s="52">
        <v>1954.45</v>
      </c>
      <c r="J354" s="52">
        <v>2001.67</v>
      </c>
      <c r="K354" s="53">
        <v>1991.5</v>
      </c>
      <c r="L354" s="52">
        <v>1956.32</v>
      </c>
      <c r="M354" s="123">
        <f t="shared" si="39"/>
        <v>13664.13</v>
      </c>
      <c r="N354" s="124">
        <f t="shared" si="40"/>
        <v>1318.73</v>
      </c>
      <c r="O354" s="52">
        <v>1323.19</v>
      </c>
      <c r="P354" s="52">
        <f t="shared" si="42"/>
        <v>13380.0000000001</v>
      </c>
      <c r="Q354" s="52">
        <f t="shared" si="41"/>
        <v>8.44</v>
      </c>
      <c r="R354" s="52">
        <v>8.45</v>
      </c>
      <c r="S354" s="52">
        <f t="shared" si="37"/>
        <v>29.9999999999994</v>
      </c>
      <c r="T354" s="121">
        <f t="shared" si="38"/>
        <v>13350.0000000001</v>
      </c>
      <c r="U354" s="63"/>
      <c r="V354" s="52">
        <v>5.03</v>
      </c>
      <c r="W354" s="52">
        <v>31.39</v>
      </c>
      <c r="X354" s="52"/>
      <c r="Y354" s="52"/>
      <c r="Z354" s="52"/>
      <c r="AA354" s="52"/>
      <c r="AB354" s="121" t="s">
        <v>70</v>
      </c>
    </row>
    <row r="355" spans="1:28">
      <c r="A355" s="56">
        <f t="shared" si="36"/>
        <v>357</v>
      </c>
      <c r="B355" s="111">
        <v>46100</v>
      </c>
      <c r="C355" s="29">
        <v>46100</v>
      </c>
      <c r="D355" s="80">
        <v>0.302083333333333</v>
      </c>
      <c r="E355" s="121">
        <v>16.15</v>
      </c>
      <c r="F355" s="122">
        <v>1378.73</v>
      </c>
      <c r="G355" s="52">
        <v>1372.12</v>
      </c>
      <c r="H355" s="52">
        <v>1373.44</v>
      </c>
      <c r="I355" s="52">
        <v>1412.78</v>
      </c>
      <c r="J355" s="52">
        <v>1440.13</v>
      </c>
      <c r="K355" s="52">
        <v>1435.22</v>
      </c>
      <c r="L355" s="52">
        <v>1414.46</v>
      </c>
      <c r="M355" s="123">
        <f t="shared" si="39"/>
        <v>9826.88</v>
      </c>
      <c r="N355" s="124">
        <f t="shared" si="40"/>
        <v>1323.19</v>
      </c>
      <c r="O355" s="52">
        <v>1326.49</v>
      </c>
      <c r="P355" s="52">
        <f t="shared" si="42"/>
        <v>9899.99999999986</v>
      </c>
      <c r="Q355" s="52">
        <f t="shared" si="41"/>
        <v>8.45</v>
      </c>
      <c r="R355" s="52">
        <v>8.47</v>
      </c>
      <c r="S355" s="52">
        <f t="shared" si="37"/>
        <v>60.0000000000041</v>
      </c>
      <c r="T355" s="121">
        <f t="shared" si="38"/>
        <v>9839.99999999986</v>
      </c>
      <c r="U355" s="63"/>
      <c r="V355" s="52">
        <v>3.97</v>
      </c>
      <c r="W355" s="53">
        <v>29.4</v>
      </c>
      <c r="X355" s="52"/>
      <c r="Y355" s="52"/>
      <c r="Z355" s="52"/>
      <c r="AA355" s="52"/>
      <c r="AB355" s="121" t="s">
        <v>70</v>
      </c>
    </row>
    <row r="356" spans="1:28">
      <c r="A356" s="56">
        <f t="shared" si="36"/>
        <v>358</v>
      </c>
      <c r="B356" s="111">
        <v>46101</v>
      </c>
      <c r="C356" s="29">
        <v>46101</v>
      </c>
      <c r="D356" s="80">
        <v>0.302083333333333</v>
      </c>
      <c r="E356" s="127">
        <v>0.777777777777778</v>
      </c>
      <c r="F356" s="122">
        <v>1957.67</v>
      </c>
      <c r="G356" s="52">
        <v>1956.02</v>
      </c>
      <c r="H356" s="52">
        <v>1956.38</v>
      </c>
      <c r="I356" s="52">
        <v>732.25</v>
      </c>
      <c r="J356" s="52">
        <v>2023.37</v>
      </c>
      <c r="K356" s="52">
        <v>2026.34</v>
      </c>
      <c r="L356" s="52">
        <v>2003.23</v>
      </c>
      <c r="M356" s="123">
        <f t="shared" si="39"/>
        <v>12655.26</v>
      </c>
      <c r="N356" s="124">
        <v>1326.49</v>
      </c>
      <c r="O356" s="52">
        <v>1330.67</v>
      </c>
      <c r="P356" s="52">
        <f t="shared" si="42"/>
        <v>12540.0000000002</v>
      </c>
      <c r="Q356" s="52">
        <f t="shared" si="41"/>
        <v>8.47</v>
      </c>
      <c r="R356" s="52">
        <v>8.49</v>
      </c>
      <c r="S356" s="52">
        <f t="shared" si="37"/>
        <v>59.9999999999987</v>
      </c>
      <c r="T356" s="121">
        <f t="shared" si="38"/>
        <v>12480.0000000002</v>
      </c>
      <c r="U356" s="63"/>
      <c r="V356" s="52">
        <v>4.49</v>
      </c>
      <c r="W356" s="52">
        <v>28.97</v>
      </c>
      <c r="X356" s="52"/>
      <c r="Y356" s="52"/>
      <c r="Z356" s="52"/>
      <c r="AA356" s="52"/>
      <c r="AB356" s="121" t="s">
        <v>70</v>
      </c>
    </row>
    <row r="357" spans="1:28">
      <c r="A357" s="56">
        <f t="shared" si="36"/>
        <v>359</v>
      </c>
      <c r="B357" s="111">
        <v>46102</v>
      </c>
      <c r="C357" s="29">
        <v>46102</v>
      </c>
      <c r="D357" s="80">
        <v>0.302083333333333</v>
      </c>
      <c r="E357" s="127">
        <v>0.770833333333333</v>
      </c>
      <c r="F357" s="122">
        <v>1943.61</v>
      </c>
      <c r="G357" s="52">
        <v>1941.87</v>
      </c>
      <c r="H357" s="52">
        <v>1942.48</v>
      </c>
      <c r="I357" s="52">
        <v>1981.07</v>
      </c>
      <c r="J357" s="52">
        <v>2005.04</v>
      </c>
      <c r="K357" s="53">
        <v>2005.7</v>
      </c>
      <c r="L357" s="52">
        <v>1979.76</v>
      </c>
      <c r="M357" s="123">
        <f t="shared" si="39"/>
        <v>13799.53</v>
      </c>
      <c r="N357" s="124">
        <f t="shared" si="40"/>
        <v>1330.67</v>
      </c>
      <c r="O357" s="52">
        <v>1335.23</v>
      </c>
      <c r="P357" s="52">
        <f t="shared" si="42"/>
        <v>13679.9999999998</v>
      </c>
      <c r="Q357" s="52">
        <f t="shared" si="41"/>
        <v>8.49</v>
      </c>
      <c r="R357" s="52">
        <v>8.51</v>
      </c>
      <c r="S357" s="52">
        <f t="shared" si="37"/>
        <v>59.9999999999987</v>
      </c>
      <c r="T357" s="121">
        <f t="shared" si="38"/>
        <v>13619.9999999998</v>
      </c>
      <c r="U357" s="63"/>
      <c r="V357" s="52">
        <v>5.04</v>
      </c>
      <c r="W357" s="52">
        <v>31.06</v>
      </c>
      <c r="X357" s="52"/>
      <c r="Y357" s="52"/>
      <c r="Z357" s="52"/>
      <c r="AA357" s="52"/>
      <c r="AB357" s="121" t="s">
        <v>70</v>
      </c>
    </row>
    <row r="358" spans="1:28">
      <c r="A358" s="56">
        <f t="shared" si="36"/>
        <v>360</v>
      </c>
      <c r="B358" s="111">
        <v>46103</v>
      </c>
      <c r="C358" s="29">
        <v>46103</v>
      </c>
      <c r="D358" s="80">
        <v>0.302083333333333</v>
      </c>
      <c r="E358" s="127">
        <v>0.770833333333333</v>
      </c>
      <c r="F358" s="122">
        <v>1912.93</v>
      </c>
      <c r="G358" s="52">
        <v>1912.05</v>
      </c>
      <c r="H358" s="52">
        <v>1910.06</v>
      </c>
      <c r="I358" s="52">
        <v>1754.16</v>
      </c>
      <c r="J358" s="52">
        <v>1986.83</v>
      </c>
      <c r="K358" s="52">
        <v>1986.15</v>
      </c>
      <c r="L358" s="52">
        <v>1962.31</v>
      </c>
      <c r="M358" s="123">
        <f t="shared" si="39"/>
        <v>13424.49</v>
      </c>
      <c r="N358" s="124">
        <f t="shared" si="40"/>
        <v>1335.23</v>
      </c>
      <c r="O358" s="52">
        <v>1339.67</v>
      </c>
      <c r="P358" s="52">
        <f t="shared" si="42"/>
        <v>13320.0000000002</v>
      </c>
      <c r="Q358" s="52">
        <f t="shared" si="41"/>
        <v>8.51</v>
      </c>
      <c r="R358" s="52">
        <v>8.53</v>
      </c>
      <c r="S358" s="52">
        <f t="shared" si="37"/>
        <v>59.9999999999987</v>
      </c>
      <c r="T358" s="121">
        <f t="shared" si="38"/>
        <v>13260.0000000002</v>
      </c>
      <c r="U358" s="63"/>
      <c r="V358" s="52">
        <v>5.33</v>
      </c>
      <c r="W358" s="52">
        <v>31.73</v>
      </c>
      <c r="X358" s="52"/>
      <c r="Y358" s="52"/>
      <c r="Z358" s="52"/>
      <c r="AA358" s="52"/>
      <c r="AB358" s="121" t="s">
        <v>70</v>
      </c>
    </row>
    <row r="359" spans="1:28">
      <c r="A359" s="56">
        <f t="shared" si="36"/>
        <v>361</v>
      </c>
      <c r="B359" s="111">
        <v>46104</v>
      </c>
      <c r="C359" s="29">
        <v>46104</v>
      </c>
      <c r="D359" s="80">
        <v>0.302083333333333</v>
      </c>
      <c r="E359" s="127">
        <v>0.770833333333333</v>
      </c>
      <c r="F359" s="122">
        <v>1967.77</v>
      </c>
      <c r="G359" s="52">
        <v>1970.08</v>
      </c>
      <c r="H359" s="52">
        <v>1969.58</v>
      </c>
      <c r="I359" s="52">
        <v>1788.09</v>
      </c>
      <c r="J359" s="52">
        <v>2037.42</v>
      </c>
      <c r="K359" s="52">
        <v>2039.57</v>
      </c>
      <c r="L359" s="52">
        <v>2013.03</v>
      </c>
      <c r="M359" s="123">
        <f t="shared" si="39"/>
        <v>13785.54</v>
      </c>
      <c r="N359" s="124">
        <f t="shared" si="40"/>
        <v>1339.67</v>
      </c>
      <c r="O359" s="52">
        <v>1344.42</v>
      </c>
      <c r="P359" s="52">
        <f t="shared" si="42"/>
        <v>14250</v>
      </c>
      <c r="Q359" s="52">
        <f t="shared" si="41"/>
        <v>8.53</v>
      </c>
      <c r="R359" s="52">
        <v>8.55</v>
      </c>
      <c r="S359" s="52">
        <f t="shared" si="37"/>
        <v>60.0000000000041</v>
      </c>
      <c r="T359" s="121">
        <f t="shared" si="38"/>
        <v>14190</v>
      </c>
      <c r="U359" s="63"/>
      <c r="V359" s="52">
        <v>5.48</v>
      </c>
      <c r="W359" s="52">
        <v>32.41</v>
      </c>
      <c r="X359" s="52"/>
      <c r="Y359" s="52"/>
      <c r="Z359" s="52"/>
      <c r="AA359" s="52"/>
      <c r="AB359" s="121" t="s">
        <v>70</v>
      </c>
    </row>
    <row r="360" spans="1:28">
      <c r="A360" s="56">
        <f t="shared" si="36"/>
        <v>362</v>
      </c>
      <c r="B360" s="111">
        <v>46105</v>
      </c>
      <c r="C360" s="29">
        <v>46105</v>
      </c>
      <c r="D360" s="80">
        <v>0.302083333333333</v>
      </c>
      <c r="E360" s="127">
        <v>0.770833333333333</v>
      </c>
      <c r="F360" s="122">
        <v>1763.51</v>
      </c>
      <c r="G360" s="52">
        <v>1764.88</v>
      </c>
      <c r="H360" s="52">
        <v>1771.55</v>
      </c>
      <c r="I360" s="52">
        <v>1806.66</v>
      </c>
      <c r="J360" s="52">
        <v>1837.65</v>
      </c>
      <c r="K360" s="52">
        <v>1833.64</v>
      </c>
      <c r="L360" s="52">
        <v>1808.06</v>
      </c>
      <c r="M360" s="123">
        <f t="shared" si="39"/>
        <v>12585.95</v>
      </c>
      <c r="N360" s="124">
        <f t="shared" si="40"/>
        <v>1344.42</v>
      </c>
      <c r="O360" s="52">
        <v>1348.39</v>
      </c>
      <c r="P360" s="52">
        <f t="shared" si="42"/>
        <v>11910.0000000001</v>
      </c>
      <c r="Q360" s="52">
        <f t="shared" si="41"/>
        <v>8.55</v>
      </c>
      <c r="R360" s="52">
        <v>8.56</v>
      </c>
      <c r="S360" s="52">
        <f t="shared" si="37"/>
        <v>29.9999999999994</v>
      </c>
      <c r="T360" s="121">
        <f t="shared" si="38"/>
        <v>11880.0000000001</v>
      </c>
      <c r="U360" s="63"/>
      <c r="V360" s="52">
        <v>5.17</v>
      </c>
      <c r="W360" s="52">
        <v>32.17</v>
      </c>
      <c r="X360" s="52"/>
      <c r="Y360" s="52"/>
      <c r="Z360" s="52"/>
      <c r="AA360" s="52"/>
      <c r="AB360" s="121" t="s">
        <v>70</v>
      </c>
    </row>
    <row r="361" spans="1:28">
      <c r="A361" s="56">
        <f t="shared" si="36"/>
        <v>363</v>
      </c>
      <c r="B361" s="111">
        <v>46106</v>
      </c>
      <c r="C361" s="29">
        <v>46106</v>
      </c>
      <c r="D361" s="80">
        <v>0.302083333333333</v>
      </c>
      <c r="E361" s="127">
        <v>0.770833333333333</v>
      </c>
      <c r="F361" s="122">
        <v>1822.24</v>
      </c>
      <c r="G361" s="53">
        <v>1821</v>
      </c>
      <c r="H361" s="53">
        <v>1821.1</v>
      </c>
      <c r="I361" s="52">
        <v>1848.59</v>
      </c>
      <c r="J361" s="52">
        <v>1885.77</v>
      </c>
      <c r="K361" s="52">
        <v>1890.75</v>
      </c>
      <c r="L361" s="52">
        <v>1861.23</v>
      </c>
      <c r="M361" s="123">
        <f t="shared" si="39"/>
        <v>12950.68</v>
      </c>
      <c r="N361" s="124">
        <f t="shared" si="40"/>
        <v>1348.39</v>
      </c>
      <c r="O361" s="52">
        <v>1352.68</v>
      </c>
      <c r="P361" s="52">
        <f t="shared" si="42"/>
        <v>12869.9999999999</v>
      </c>
      <c r="Q361" s="52">
        <f t="shared" si="41"/>
        <v>8.56</v>
      </c>
      <c r="R361" s="52">
        <v>8.58</v>
      </c>
      <c r="S361" s="52">
        <f t="shared" si="37"/>
        <v>59.9999999999987</v>
      </c>
      <c r="T361" s="121">
        <f t="shared" si="38"/>
        <v>12809.9999999999</v>
      </c>
      <c r="U361" s="63"/>
      <c r="V361" s="52">
        <v>5.27</v>
      </c>
      <c r="W361" s="52">
        <v>33.65</v>
      </c>
      <c r="X361" s="52"/>
      <c r="Y361" s="52"/>
      <c r="Z361" s="52"/>
      <c r="AA361" s="52"/>
      <c r="AB361" s="121" t="s">
        <v>70</v>
      </c>
    </row>
    <row r="362" spans="1:28">
      <c r="A362" s="56">
        <f t="shared" si="36"/>
        <v>364</v>
      </c>
      <c r="B362" s="111">
        <v>46107</v>
      </c>
      <c r="C362" s="29">
        <v>46107</v>
      </c>
      <c r="D362" s="80">
        <v>0.302083333333333</v>
      </c>
      <c r="E362" s="127">
        <v>0.770833333333333</v>
      </c>
      <c r="F362" s="122">
        <v>1843.49</v>
      </c>
      <c r="G362" s="52">
        <v>1846.43</v>
      </c>
      <c r="H362" s="52">
        <v>1851.49</v>
      </c>
      <c r="I362" s="53">
        <v>1906.3</v>
      </c>
      <c r="J362" s="52">
        <v>1923.73</v>
      </c>
      <c r="K362" s="52">
        <v>1924.29</v>
      </c>
      <c r="L362" s="52">
        <v>1902.34</v>
      </c>
      <c r="M362" s="123">
        <f t="shared" si="39"/>
        <v>13198.07</v>
      </c>
      <c r="N362" s="124">
        <f t="shared" si="40"/>
        <v>1352.68</v>
      </c>
      <c r="O362" s="52">
        <v>1357.05</v>
      </c>
      <c r="P362" s="52">
        <f t="shared" si="42"/>
        <v>13109.9999999997</v>
      </c>
      <c r="Q362" s="52">
        <f t="shared" si="41"/>
        <v>8.58</v>
      </c>
      <c r="R362" s="53">
        <v>8.6</v>
      </c>
      <c r="S362" s="52">
        <f t="shared" si="37"/>
        <v>59.9999999999987</v>
      </c>
      <c r="T362" s="121">
        <f t="shared" si="38"/>
        <v>13049.9999999997</v>
      </c>
      <c r="U362" s="63"/>
      <c r="V362" s="52">
        <v>5.69</v>
      </c>
      <c r="W362" s="52">
        <v>33.56</v>
      </c>
      <c r="X362" s="52"/>
      <c r="Y362" s="52"/>
      <c r="Z362" s="52"/>
      <c r="AA362" s="52"/>
      <c r="AB362" s="121" t="s">
        <v>70</v>
      </c>
    </row>
    <row r="363" spans="1:28">
      <c r="A363" s="56">
        <f t="shared" si="36"/>
        <v>365</v>
      </c>
      <c r="B363" s="111">
        <v>46108</v>
      </c>
      <c r="C363" s="29">
        <v>46108</v>
      </c>
      <c r="D363" s="80">
        <v>0.302083333333333</v>
      </c>
      <c r="E363" s="127">
        <v>0.770833333333333</v>
      </c>
      <c r="F363" s="122">
        <v>1984.55</v>
      </c>
      <c r="G363" s="52">
        <v>1985.26</v>
      </c>
      <c r="H363" s="53">
        <v>1990.2</v>
      </c>
      <c r="I363" s="52">
        <v>1961.43</v>
      </c>
      <c r="J363" s="52">
        <v>2069.12</v>
      </c>
      <c r="K363" s="52">
        <v>2072.09</v>
      </c>
      <c r="L363" s="52">
        <v>2044.91</v>
      </c>
      <c r="M363" s="123">
        <f t="shared" si="39"/>
        <v>14107.56</v>
      </c>
      <c r="N363" s="124">
        <f t="shared" si="40"/>
        <v>1357.05</v>
      </c>
      <c r="O363" s="52">
        <v>1361.73</v>
      </c>
      <c r="P363" s="52">
        <f t="shared" si="42"/>
        <v>14040.0000000002</v>
      </c>
      <c r="Q363" s="52">
        <f t="shared" si="41"/>
        <v>8.6</v>
      </c>
      <c r="R363" s="52">
        <v>8.61</v>
      </c>
      <c r="S363" s="52">
        <f t="shared" si="37"/>
        <v>29.9999999999994</v>
      </c>
      <c r="T363" s="121">
        <f t="shared" si="38"/>
        <v>14010.0000000002</v>
      </c>
      <c r="U363" s="63"/>
      <c r="V363" s="52">
        <v>5.71</v>
      </c>
      <c r="W363" s="52">
        <v>33.63</v>
      </c>
      <c r="X363" s="52"/>
      <c r="Y363" s="52"/>
      <c r="Z363" s="52"/>
      <c r="AA363" s="52"/>
      <c r="AB363" s="121" t="s">
        <v>70</v>
      </c>
    </row>
    <row r="364" spans="1:28">
      <c r="A364" s="56">
        <f t="shared" si="36"/>
        <v>366</v>
      </c>
      <c r="B364" s="111">
        <v>46109</v>
      </c>
      <c r="C364" s="29">
        <v>46109</v>
      </c>
      <c r="D364" s="80">
        <v>0.302083333333333</v>
      </c>
      <c r="E364" s="127">
        <v>0.770833333333333</v>
      </c>
      <c r="F364" s="122">
        <v>1906.87</v>
      </c>
      <c r="G364" s="52">
        <v>1908.38</v>
      </c>
      <c r="H364" s="52">
        <v>1914.88</v>
      </c>
      <c r="I364" s="52">
        <v>1529.12</v>
      </c>
      <c r="J364" s="52">
        <v>1992.75</v>
      </c>
      <c r="K364" s="52">
        <v>1995.14</v>
      </c>
      <c r="L364" s="52">
        <v>1968.62</v>
      </c>
      <c r="M364" s="123">
        <f t="shared" si="39"/>
        <v>13215.76</v>
      </c>
      <c r="N364" s="124">
        <f t="shared" si="40"/>
        <v>1361.73</v>
      </c>
      <c r="O364" s="52">
        <v>1366.09</v>
      </c>
      <c r="P364" s="52">
        <f t="shared" si="42"/>
        <v>13079.9999999997</v>
      </c>
      <c r="Q364" s="52">
        <f t="shared" si="41"/>
        <v>8.61</v>
      </c>
      <c r="R364" s="52">
        <v>8.63</v>
      </c>
      <c r="S364" s="52">
        <f t="shared" si="37"/>
        <v>60.0000000000041</v>
      </c>
      <c r="T364" s="121">
        <f t="shared" si="38"/>
        <v>13019.9999999997</v>
      </c>
      <c r="U364" s="63"/>
      <c r="V364" s="52">
        <v>5.59</v>
      </c>
      <c r="W364" s="52">
        <v>31.86</v>
      </c>
      <c r="X364" s="52"/>
      <c r="Y364" s="52"/>
      <c r="Z364" s="52"/>
      <c r="AA364" s="52"/>
      <c r="AB364" s="121" t="s">
        <v>70</v>
      </c>
    </row>
    <row r="365" spans="1:28">
      <c r="A365" s="56">
        <f t="shared" si="36"/>
        <v>367</v>
      </c>
      <c r="B365" s="111">
        <v>46110</v>
      </c>
      <c r="C365" s="29">
        <v>46110</v>
      </c>
      <c r="D365" s="80">
        <v>0.291666666666667</v>
      </c>
      <c r="E365" s="127">
        <v>0.770833333333333</v>
      </c>
      <c r="F365" s="122">
        <v>1742.05</v>
      </c>
      <c r="G365" s="52">
        <v>1734.41</v>
      </c>
      <c r="H365" s="52">
        <v>1729.32</v>
      </c>
      <c r="I365" s="52">
        <v>1779.89</v>
      </c>
      <c r="J365" s="52">
        <v>1821.16</v>
      </c>
      <c r="K365" s="52">
        <v>1814.09</v>
      </c>
      <c r="L365" s="52">
        <v>1767.43</v>
      </c>
      <c r="M365" s="123">
        <f t="shared" si="39"/>
        <v>12388.35</v>
      </c>
      <c r="N365" s="124">
        <f t="shared" si="40"/>
        <v>1366.09</v>
      </c>
      <c r="O365" s="52">
        <v>1370.18</v>
      </c>
      <c r="P365" s="52">
        <f t="shared" si="42"/>
        <v>12270.0000000004</v>
      </c>
      <c r="Q365" s="52">
        <f t="shared" si="41"/>
        <v>8.63</v>
      </c>
      <c r="R365" s="52">
        <v>8.65</v>
      </c>
      <c r="S365" s="52">
        <f t="shared" si="37"/>
        <v>59.9999999999987</v>
      </c>
      <c r="T365" s="121">
        <f t="shared" si="38"/>
        <v>12210.0000000004</v>
      </c>
      <c r="U365" s="63"/>
      <c r="V365" s="52">
        <v>4.52</v>
      </c>
      <c r="W365" s="52">
        <v>31.02</v>
      </c>
      <c r="X365" s="52"/>
      <c r="Y365" s="52"/>
      <c r="Z365" s="52"/>
      <c r="AA365" s="52"/>
      <c r="AB365" s="121" t="s">
        <v>70</v>
      </c>
    </row>
    <row r="366" spans="1:28">
      <c r="A366" s="56">
        <f t="shared" si="36"/>
        <v>368</v>
      </c>
      <c r="B366" s="111">
        <v>46111</v>
      </c>
      <c r="C366" s="29">
        <v>46111</v>
      </c>
      <c r="D366" s="80">
        <v>0.302083333333333</v>
      </c>
      <c r="E366" s="127">
        <v>0.770833333333333</v>
      </c>
      <c r="F366" s="122">
        <v>1857.46</v>
      </c>
      <c r="G366" s="52">
        <v>1858.87</v>
      </c>
      <c r="H366" s="52">
        <v>1865.76</v>
      </c>
      <c r="I366" s="52">
        <v>1898.73</v>
      </c>
      <c r="J366" s="52">
        <v>1935.56</v>
      </c>
      <c r="K366" s="52">
        <v>1930.84</v>
      </c>
      <c r="L366" s="52">
        <v>1899.94</v>
      </c>
      <c r="M366" s="123">
        <f t="shared" si="39"/>
        <v>13247.16</v>
      </c>
      <c r="N366" s="124">
        <f t="shared" si="40"/>
        <v>1370.18</v>
      </c>
      <c r="O366" s="52">
        <v>1374.57</v>
      </c>
      <c r="P366" s="52">
        <f t="shared" si="42"/>
        <v>13169.9999999996</v>
      </c>
      <c r="Q366" s="52">
        <f t="shared" si="41"/>
        <v>8.65</v>
      </c>
      <c r="R366" s="52">
        <v>8.67</v>
      </c>
      <c r="S366" s="52">
        <f t="shared" si="37"/>
        <v>59.9999999999987</v>
      </c>
      <c r="T366" s="121">
        <f t="shared" si="38"/>
        <v>13109.9999999996</v>
      </c>
      <c r="U366" s="63"/>
      <c r="V366" s="52">
        <v>5.49</v>
      </c>
      <c r="W366" s="52">
        <v>33</v>
      </c>
      <c r="X366" s="52"/>
      <c r="Y366" s="52"/>
      <c r="Z366" s="52"/>
      <c r="AA366" s="52"/>
      <c r="AB366" s="121" t="s">
        <v>70</v>
      </c>
    </row>
    <row r="367" ht="15.75" spans="1:28">
      <c r="A367" s="56">
        <f t="shared" si="36"/>
        <v>369</v>
      </c>
      <c r="B367" s="113">
        <v>46112</v>
      </c>
      <c r="C367" s="114">
        <v>46112</v>
      </c>
      <c r="D367" s="80">
        <v>0.302083333333333</v>
      </c>
      <c r="E367" s="127">
        <v>0.770833333333333</v>
      </c>
      <c r="F367" s="122">
        <v>1686.73</v>
      </c>
      <c r="G367" s="129">
        <v>1684.2</v>
      </c>
      <c r="H367" s="130">
        <v>1680.88</v>
      </c>
      <c r="I367" s="130">
        <v>1722.53</v>
      </c>
      <c r="J367" s="130">
        <v>1735.74</v>
      </c>
      <c r="K367" s="130">
        <v>1724.99</v>
      </c>
      <c r="L367" s="130">
        <v>1685.25</v>
      </c>
      <c r="M367" s="123">
        <f t="shared" si="39"/>
        <v>11920.32</v>
      </c>
      <c r="N367" s="124">
        <f t="shared" si="40"/>
        <v>1374.57</v>
      </c>
      <c r="O367" s="130">
        <v>1378.51</v>
      </c>
      <c r="P367" s="52">
        <f t="shared" si="42"/>
        <v>11820.0000000002</v>
      </c>
      <c r="Q367" s="52">
        <f t="shared" si="41"/>
        <v>8.67</v>
      </c>
      <c r="R367" s="130">
        <v>8.68</v>
      </c>
      <c r="S367" s="52">
        <f t="shared" si="37"/>
        <v>29.9999999999994</v>
      </c>
      <c r="T367" s="131">
        <f t="shared" si="38"/>
        <v>11790.0000000002</v>
      </c>
      <c r="U367" s="132"/>
      <c r="V367" s="130">
        <v>4.89</v>
      </c>
      <c r="W367" s="130">
        <v>31.36</v>
      </c>
      <c r="X367" s="130"/>
      <c r="Y367" s="130"/>
      <c r="Z367" s="130"/>
      <c r="AA367" s="130"/>
      <c r="AB367" s="131" t="s">
        <v>70</v>
      </c>
    </row>
    <row r="368" ht="15.75" spans="1:28">
      <c r="A368" s="56">
        <f t="shared" si="36"/>
        <v>370</v>
      </c>
      <c r="B368" s="113">
        <v>46113</v>
      </c>
      <c r="C368" s="114">
        <v>46113</v>
      </c>
      <c r="D368" s="80">
        <v>0.291666666666667</v>
      </c>
      <c r="E368" s="127">
        <v>0.770833333333333</v>
      </c>
      <c r="F368" s="122">
        <v>1851.09</v>
      </c>
      <c r="G368" s="129">
        <v>1847.12</v>
      </c>
      <c r="H368" s="130">
        <v>1846.64</v>
      </c>
      <c r="I368" s="130">
        <v>1567.8</v>
      </c>
      <c r="J368" s="130">
        <v>1912.3</v>
      </c>
      <c r="K368" s="130">
        <v>1912.84</v>
      </c>
      <c r="L368" s="130">
        <v>1893.66</v>
      </c>
      <c r="M368" s="123">
        <f t="shared" si="39"/>
        <v>12831.45</v>
      </c>
      <c r="N368" s="124">
        <f t="shared" si="40"/>
        <v>1378.51</v>
      </c>
      <c r="O368" s="130">
        <v>1382.77</v>
      </c>
      <c r="P368" s="52">
        <f t="shared" si="42"/>
        <v>12780</v>
      </c>
      <c r="Q368" s="52">
        <f t="shared" si="41"/>
        <v>8.68</v>
      </c>
      <c r="R368" s="130">
        <v>8.7</v>
      </c>
      <c r="S368" s="52">
        <f t="shared" si="37"/>
        <v>59.9999999999987</v>
      </c>
      <c r="T368" s="131">
        <f t="shared" si="38"/>
        <v>12720</v>
      </c>
      <c r="U368" s="132"/>
      <c r="V368" s="130">
        <v>5.88</v>
      </c>
      <c r="W368" s="130">
        <v>29.59</v>
      </c>
      <c r="X368" s="130"/>
      <c r="Y368" s="130"/>
      <c r="Z368" s="130"/>
      <c r="AA368" s="130"/>
      <c r="AB368" s="131" t="s">
        <v>70</v>
      </c>
    </row>
    <row r="369" ht="15.75" spans="1:28">
      <c r="A369" s="56">
        <f t="shared" si="36"/>
        <v>371</v>
      </c>
      <c r="B369" s="113">
        <v>46114</v>
      </c>
      <c r="C369" s="114">
        <v>46114</v>
      </c>
      <c r="D369" s="80">
        <v>0.291666666666667</v>
      </c>
      <c r="E369" s="127">
        <v>0.770833333333333</v>
      </c>
      <c r="F369" s="122">
        <v>1777.68</v>
      </c>
      <c r="G369" s="129">
        <v>1774.37</v>
      </c>
      <c r="H369" s="130">
        <v>1775.91</v>
      </c>
      <c r="I369" s="130">
        <v>1622.65</v>
      </c>
      <c r="J369" s="130">
        <v>1846.23</v>
      </c>
      <c r="K369" s="130">
        <v>1838.28</v>
      </c>
      <c r="L369" s="130">
        <v>1804.54</v>
      </c>
      <c r="M369" s="123">
        <f t="shared" si="39"/>
        <v>12439.66</v>
      </c>
      <c r="N369" s="124">
        <f t="shared" si="40"/>
        <v>1382.77</v>
      </c>
      <c r="O369" s="130">
        <v>1386.87</v>
      </c>
      <c r="P369" s="52">
        <f t="shared" si="42"/>
        <v>12299.9999999997</v>
      </c>
      <c r="Q369" s="52">
        <f t="shared" si="41"/>
        <v>8.7</v>
      </c>
      <c r="R369" s="130">
        <v>8.72</v>
      </c>
      <c r="S369" s="52">
        <f t="shared" si="37"/>
        <v>60.0000000000041</v>
      </c>
      <c r="T369" s="131">
        <f t="shared" si="38"/>
        <v>12239.9999999997</v>
      </c>
      <c r="U369" s="132"/>
      <c r="V369" s="130">
        <v>5.36</v>
      </c>
      <c r="W369" s="130">
        <v>29.55</v>
      </c>
      <c r="X369" s="130"/>
      <c r="Y369" s="130"/>
      <c r="Z369" s="130"/>
      <c r="AA369" s="130"/>
      <c r="AB369" s="131" t="s">
        <v>70</v>
      </c>
    </row>
    <row r="370" ht="15.75" spans="1:28">
      <c r="A370" s="56">
        <f t="shared" si="36"/>
        <v>372</v>
      </c>
      <c r="B370" s="113">
        <v>46115</v>
      </c>
      <c r="C370" s="114">
        <v>46115</v>
      </c>
      <c r="D370" s="80">
        <v>0.302083333333333</v>
      </c>
      <c r="E370" s="127">
        <v>0.78125</v>
      </c>
      <c r="F370" s="122">
        <v>1334.14</v>
      </c>
      <c r="G370" s="129">
        <v>1330.97</v>
      </c>
      <c r="H370" s="130">
        <v>1335.13</v>
      </c>
      <c r="I370" s="130">
        <v>1375.9</v>
      </c>
      <c r="J370" s="130">
        <v>1391.46</v>
      </c>
      <c r="K370" s="130">
        <v>1389.67</v>
      </c>
      <c r="L370" s="130">
        <v>1366.22</v>
      </c>
      <c r="M370" s="123">
        <f t="shared" si="39"/>
        <v>9523.49</v>
      </c>
      <c r="N370" s="124">
        <f t="shared" si="40"/>
        <v>1386.87</v>
      </c>
      <c r="O370" s="130">
        <v>1390.03</v>
      </c>
      <c r="P370" s="52">
        <f t="shared" si="42"/>
        <v>9480.00000000025</v>
      </c>
      <c r="Q370" s="52">
        <f t="shared" si="41"/>
        <v>8.72</v>
      </c>
      <c r="R370" s="130">
        <v>8.74</v>
      </c>
      <c r="S370" s="52">
        <f t="shared" si="37"/>
        <v>59.9999999999987</v>
      </c>
      <c r="T370" s="131">
        <f t="shared" si="38"/>
        <v>9420.00000000025</v>
      </c>
      <c r="U370" s="132"/>
      <c r="V370" s="130">
        <v>3.54</v>
      </c>
      <c r="W370" s="130">
        <v>28.59</v>
      </c>
      <c r="X370" s="130"/>
      <c r="Y370" s="130"/>
      <c r="Z370" s="130"/>
      <c r="AA370" s="130"/>
      <c r="AB370" s="131" t="s">
        <v>70</v>
      </c>
    </row>
    <row r="371" ht="15.75" spans="1:28">
      <c r="A371" s="56">
        <f t="shared" si="36"/>
        <v>373</v>
      </c>
      <c r="B371" s="113">
        <v>46116</v>
      </c>
      <c r="C371" s="114">
        <v>46116</v>
      </c>
      <c r="D371" s="80">
        <v>0.291666666666667</v>
      </c>
      <c r="E371" s="127">
        <v>0.770833333333333</v>
      </c>
      <c r="F371" s="122">
        <v>1979.49</v>
      </c>
      <c r="G371" s="129">
        <v>1975.28</v>
      </c>
      <c r="H371" s="130">
        <v>1980.51</v>
      </c>
      <c r="I371" s="130">
        <v>2019.75</v>
      </c>
      <c r="J371" s="130">
        <v>2061.18</v>
      </c>
      <c r="K371" s="130">
        <v>2055.83</v>
      </c>
      <c r="L371" s="130">
        <v>2037.23</v>
      </c>
      <c r="M371" s="123">
        <f t="shared" si="39"/>
        <v>14109.27</v>
      </c>
      <c r="N371" s="124">
        <f t="shared" si="40"/>
        <v>1390.03</v>
      </c>
      <c r="O371" s="130">
        <v>1394.67</v>
      </c>
      <c r="P371" s="52">
        <f t="shared" si="42"/>
        <v>13920.0000000003</v>
      </c>
      <c r="Q371" s="52">
        <f t="shared" si="41"/>
        <v>8.74</v>
      </c>
      <c r="R371" s="130">
        <v>8.75</v>
      </c>
      <c r="S371" s="52">
        <f t="shared" si="37"/>
        <v>29.9999999999994</v>
      </c>
      <c r="T371" s="131">
        <f t="shared" si="38"/>
        <v>13890.0000000003</v>
      </c>
      <c r="U371" s="132"/>
      <c r="V371" s="130">
        <v>5.98</v>
      </c>
      <c r="W371" s="130">
        <v>30.95</v>
      </c>
      <c r="X371" s="130"/>
      <c r="Y371" s="130"/>
      <c r="Z371" s="130"/>
      <c r="AA371" s="130"/>
      <c r="AB371" s="131" t="s">
        <v>70</v>
      </c>
    </row>
    <row r="372" ht="15.75" spans="1:28">
      <c r="A372" s="56">
        <f t="shared" si="36"/>
        <v>374</v>
      </c>
      <c r="B372" s="113">
        <v>46117</v>
      </c>
      <c r="C372" s="114">
        <v>46117</v>
      </c>
      <c r="D372" s="80">
        <v>0.291666666666667</v>
      </c>
      <c r="E372" s="127">
        <v>0.770833333333333</v>
      </c>
      <c r="F372" s="122">
        <v>1901.92</v>
      </c>
      <c r="G372" s="129">
        <v>1901.74</v>
      </c>
      <c r="H372" s="130">
        <v>1908.13</v>
      </c>
      <c r="I372" s="130">
        <v>1668.56</v>
      </c>
      <c r="J372" s="130">
        <v>1977.4</v>
      </c>
      <c r="K372" s="130">
        <v>1978.88</v>
      </c>
      <c r="L372" s="130">
        <v>1957.63</v>
      </c>
      <c r="M372" s="123">
        <f t="shared" si="39"/>
        <v>13294.26</v>
      </c>
      <c r="N372" s="124">
        <f t="shared" si="40"/>
        <v>1394.67</v>
      </c>
      <c r="O372" s="130">
        <v>1399.08</v>
      </c>
      <c r="P372" s="52">
        <f t="shared" si="42"/>
        <v>13229.9999999996</v>
      </c>
      <c r="Q372" s="52">
        <f t="shared" si="41"/>
        <v>8.75</v>
      </c>
      <c r="R372" s="130">
        <v>8.77</v>
      </c>
      <c r="S372" s="52">
        <f t="shared" si="37"/>
        <v>59.9999999999987</v>
      </c>
      <c r="T372" s="131">
        <f t="shared" si="38"/>
        <v>13169.9999999996</v>
      </c>
      <c r="U372" s="132"/>
      <c r="V372" s="129">
        <v>5.7</v>
      </c>
      <c r="W372" s="130">
        <v>30.82</v>
      </c>
      <c r="X372" s="130"/>
      <c r="Y372" s="130"/>
      <c r="Z372" s="130"/>
      <c r="AA372" s="130"/>
      <c r="AB372" s="131" t="s">
        <v>70</v>
      </c>
    </row>
    <row r="373" ht="15.75" spans="1:28">
      <c r="A373" s="56">
        <f t="shared" si="36"/>
        <v>375</v>
      </c>
      <c r="B373" s="113">
        <v>46118</v>
      </c>
      <c r="C373" s="114">
        <v>46118</v>
      </c>
      <c r="D373" s="80">
        <v>0.291666666666667</v>
      </c>
      <c r="E373" s="127">
        <v>0.770833333333333</v>
      </c>
      <c r="F373" s="122">
        <v>1986.89</v>
      </c>
      <c r="G373" s="129">
        <v>1987.19</v>
      </c>
      <c r="H373" s="130">
        <v>1988.56</v>
      </c>
      <c r="I373" s="130">
        <v>1740.97</v>
      </c>
      <c r="J373" s="130">
        <v>2070.43</v>
      </c>
      <c r="K373" s="130">
        <v>2070.88</v>
      </c>
      <c r="L373" s="130">
        <v>2045.35</v>
      </c>
      <c r="M373" s="123">
        <f t="shared" si="39"/>
        <v>13890.27</v>
      </c>
      <c r="N373" s="124">
        <f t="shared" si="40"/>
        <v>1399.08</v>
      </c>
      <c r="O373" s="130">
        <v>1403.67</v>
      </c>
      <c r="P373" s="52">
        <f t="shared" si="42"/>
        <v>13770.0000000004</v>
      </c>
      <c r="Q373" s="52">
        <f t="shared" si="41"/>
        <v>8.77</v>
      </c>
      <c r="R373" s="130">
        <v>8.79</v>
      </c>
      <c r="S373" s="52">
        <f t="shared" si="37"/>
        <v>59.9999999999987</v>
      </c>
      <c r="T373" s="131">
        <f t="shared" si="38"/>
        <v>13710.0000000004</v>
      </c>
      <c r="U373" s="132"/>
      <c r="V373" s="130">
        <v>5.61</v>
      </c>
      <c r="W373" s="129">
        <v>31.1</v>
      </c>
      <c r="X373" s="130"/>
      <c r="Y373" s="130"/>
      <c r="Z373" s="130"/>
      <c r="AA373" s="130"/>
      <c r="AB373" s="131" t="s">
        <v>70</v>
      </c>
    </row>
    <row r="374" ht="15.75" spans="1:28">
      <c r="A374" s="56">
        <f t="shared" si="36"/>
        <v>376</v>
      </c>
      <c r="B374" s="113">
        <v>46119</v>
      </c>
      <c r="C374" s="114">
        <v>46119</v>
      </c>
      <c r="D374" s="80">
        <v>0.291666666666667</v>
      </c>
      <c r="E374" s="127">
        <v>0.770833333333333</v>
      </c>
      <c r="F374" s="122">
        <v>1362.38</v>
      </c>
      <c r="G374" s="129">
        <v>1361.14</v>
      </c>
      <c r="H374" s="130">
        <v>1363.43</v>
      </c>
      <c r="I374" s="130">
        <v>1137.79</v>
      </c>
      <c r="J374" s="130">
        <v>1421.01</v>
      </c>
      <c r="K374" s="130">
        <v>1418.33</v>
      </c>
      <c r="L374" s="130">
        <v>1395.92</v>
      </c>
      <c r="M374" s="123">
        <f t="shared" si="39"/>
        <v>9460</v>
      </c>
      <c r="N374" s="124">
        <f t="shared" si="40"/>
        <v>1403.67</v>
      </c>
      <c r="O374" s="130">
        <v>1406.81</v>
      </c>
      <c r="P374" s="52">
        <f t="shared" si="42"/>
        <v>9419.99999999962</v>
      </c>
      <c r="Q374" s="52">
        <f t="shared" si="41"/>
        <v>8.79</v>
      </c>
      <c r="R374" s="129">
        <v>8.8</v>
      </c>
      <c r="S374" s="52">
        <f t="shared" si="37"/>
        <v>30.0000000000047</v>
      </c>
      <c r="T374" s="131">
        <f t="shared" si="38"/>
        <v>9389.99999999961</v>
      </c>
      <c r="U374" s="132"/>
      <c r="V374" s="130">
        <v>4.14</v>
      </c>
      <c r="W374" s="130">
        <v>30.53</v>
      </c>
      <c r="X374" s="130"/>
      <c r="Y374" s="130"/>
      <c r="Z374" s="130"/>
      <c r="AA374" s="130"/>
      <c r="AB374" s="131" t="s">
        <v>70</v>
      </c>
    </row>
    <row r="375" ht="15.75" spans="1:28">
      <c r="A375" s="56">
        <f t="shared" si="36"/>
        <v>377</v>
      </c>
      <c r="B375" s="113">
        <v>46120</v>
      </c>
      <c r="C375" s="114">
        <v>46120</v>
      </c>
      <c r="D375" s="80">
        <v>0.291666666666667</v>
      </c>
      <c r="E375" s="127">
        <v>0.770833333333333</v>
      </c>
      <c r="F375" s="122">
        <v>1934.74</v>
      </c>
      <c r="G375" s="129">
        <v>1933.42</v>
      </c>
      <c r="H375" s="130">
        <v>1937.44</v>
      </c>
      <c r="I375" s="130">
        <v>1509.21</v>
      </c>
      <c r="J375" s="130">
        <v>2014.22</v>
      </c>
      <c r="K375" s="130">
        <v>2003.86</v>
      </c>
      <c r="L375" s="130">
        <v>1983.14</v>
      </c>
      <c r="M375" s="123">
        <f t="shared" si="39"/>
        <v>13316.03</v>
      </c>
      <c r="N375" s="124">
        <f t="shared" si="40"/>
        <v>1406.81</v>
      </c>
      <c r="O375" s="130">
        <v>1411.21</v>
      </c>
      <c r="P375" s="52">
        <f t="shared" si="42"/>
        <v>13200.0000000003</v>
      </c>
      <c r="Q375" s="52">
        <f t="shared" si="41"/>
        <v>8.8</v>
      </c>
      <c r="R375" s="130">
        <v>8.82</v>
      </c>
      <c r="S375" s="52">
        <f t="shared" si="37"/>
        <v>59.9999999999987</v>
      </c>
      <c r="T375" s="131">
        <f t="shared" si="38"/>
        <v>13140.0000000003</v>
      </c>
      <c r="U375" s="132"/>
      <c r="V375" s="130">
        <v>5.52</v>
      </c>
      <c r="W375" s="130">
        <v>31.27</v>
      </c>
      <c r="X375" s="130"/>
      <c r="Y375" s="130"/>
      <c r="Z375" s="130"/>
      <c r="AA375" s="130"/>
      <c r="AB375" s="131" t="s">
        <v>70</v>
      </c>
    </row>
    <row r="376" ht="15.75" spans="1:28">
      <c r="A376" s="56">
        <f t="shared" si="36"/>
        <v>378</v>
      </c>
      <c r="B376" s="113">
        <v>46121</v>
      </c>
      <c r="C376" s="114">
        <v>46121</v>
      </c>
      <c r="D376" s="80">
        <v>0.291666666666667</v>
      </c>
      <c r="E376" s="127">
        <v>0.770833333333333</v>
      </c>
      <c r="F376" s="122">
        <v>1947.5</v>
      </c>
      <c r="G376" s="129">
        <v>1949.31</v>
      </c>
      <c r="H376" s="130">
        <v>1951.05</v>
      </c>
      <c r="I376" s="130">
        <v>1842.72</v>
      </c>
      <c r="J376" s="130">
        <v>2039.66</v>
      </c>
      <c r="K376" s="130">
        <v>2028.68</v>
      </c>
      <c r="L376" s="130">
        <v>2015.94</v>
      </c>
      <c r="M376" s="123">
        <f t="shared" si="39"/>
        <v>13774.86</v>
      </c>
      <c r="N376" s="124">
        <f t="shared" si="40"/>
        <v>1411.21</v>
      </c>
      <c r="O376" s="130">
        <v>1415.78</v>
      </c>
      <c r="P376" s="52">
        <f t="shared" si="42"/>
        <v>13709.9999999998</v>
      </c>
      <c r="Q376" s="52">
        <f t="shared" si="41"/>
        <v>8.82</v>
      </c>
      <c r="R376" s="130">
        <v>8.84</v>
      </c>
      <c r="S376" s="52">
        <f t="shared" si="37"/>
        <v>59.9999999999987</v>
      </c>
      <c r="T376" s="131">
        <f t="shared" si="38"/>
        <v>13649.9999999998</v>
      </c>
      <c r="U376" s="132"/>
      <c r="V376" s="130">
        <v>5.55</v>
      </c>
      <c r="W376" s="130">
        <v>32.61</v>
      </c>
      <c r="X376" s="130"/>
      <c r="Y376" s="130"/>
      <c r="Z376" s="130"/>
      <c r="AA376" s="130"/>
      <c r="AB376" s="131" t="s">
        <v>70</v>
      </c>
    </row>
    <row r="377" ht="15.75" spans="1:28">
      <c r="A377" s="56">
        <f t="shared" si="36"/>
        <v>379</v>
      </c>
      <c r="B377" s="113">
        <v>46122</v>
      </c>
      <c r="C377" s="114">
        <v>46122</v>
      </c>
      <c r="D377" s="80">
        <v>0.291666666666667</v>
      </c>
      <c r="E377" s="127">
        <v>0.770833333333333</v>
      </c>
      <c r="F377" s="122">
        <v>1916.13</v>
      </c>
      <c r="G377" s="129">
        <v>1917.42</v>
      </c>
      <c r="H377" s="130">
        <v>1917.26</v>
      </c>
      <c r="I377" s="130">
        <v>1958.54</v>
      </c>
      <c r="J377" s="130">
        <v>2001.64</v>
      </c>
      <c r="K377" s="130">
        <v>1990.57</v>
      </c>
      <c r="L377" s="130">
        <v>1977.25</v>
      </c>
      <c r="M377" s="123">
        <f t="shared" si="39"/>
        <v>13678.81</v>
      </c>
      <c r="N377" s="124">
        <f t="shared" si="40"/>
        <v>1415.78</v>
      </c>
      <c r="O377" s="130">
        <v>1420.31</v>
      </c>
      <c r="P377" s="52">
        <f t="shared" si="42"/>
        <v>13589.9999999999</v>
      </c>
      <c r="Q377" s="52">
        <f t="shared" si="41"/>
        <v>8.84</v>
      </c>
      <c r="R377" s="130">
        <v>8.86</v>
      </c>
      <c r="S377" s="52">
        <f t="shared" si="37"/>
        <v>59.9999999999987</v>
      </c>
      <c r="T377" s="131">
        <f t="shared" si="38"/>
        <v>13529.9999999999</v>
      </c>
      <c r="U377" s="132"/>
      <c r="V377" s="130">
        <v>5.43</v>
      </c>
      <c r="W377" s="129">
        <v>33.7</v>
      </c>
      <c r="X377" s="130"/>
      <c r="Y377" s="130"/>
      <c r="Z377" s="130"/>
      <c r="AA377" s="130"/>
      <c r="AB377" s="131" t="s">
        <v>70</v>
      </c>
    </row>
    <row r="378" ht="15.75" spans="1:28">
      <c r="A378" s="56">
        <f t="shared" si="36"/>
        <v>380</v>
      </c>
      <c r="B378" s="113">
        <v>46123</v>
      </c>
      <c r="C378" s="114">
        <v>46123</v>
      </c>
      <c r="D378" s="80">
        <v>0.291666666666667</v>
      </c>
      <c r="E378" s="127">
        <v>0.770833333333333</v>
      </c>
      <c r="F378" s="122">
        <v>1878.52</v>
      </c>
      <c r="G378" s="129">
        <v>1881.47</v>
      </c>
      <c r="H378" s="130">
        <v>1883.29</v>
      </c>
      <c r="I378" s="130">
        <v>1916.04</v>
      </c>
      <c r="J378" s="130">
        <v>1945.68</v>
      </c>
      <c r="K378" s="129">
        <v>1952.3</v>
      </c>
      <c r="L378" s="130">
        <v>1940.98</v>
      </c>
      <c r="M378" s="123">
        <f t="shared" si="39"/>
        <v>13398.28</v>
      </c>
      <c r="N378" s="124">
        <f t="shared" si="40"/>
        <v>1420.31</v>
      </c>
      <c r="O378" s="130">
        <v>1424.73</v>
      </c>
      <c r="P378" s="52">
        <f t="shared" si="42"/>
        <v>13260.0000000002</v>
      </c>
      <c r="Q378" s="52">
        <f t="shared" si="41"/>
        <v>8.86</v>
      </c>
      <c r="R378" s="130">
        <v>8.87</v>
      </c>
      <c r="S378" s="52">
        <f t="shared" si="37"/>
        <v>29.9999999999994</v>
      </c>
      <c r="T378" s="131">
        <f t="shared" si="38"/>
        <v>13230.0000000002</v>
      </c>
      <c r="U378" s="132"/>
      <c r="V378" s="130">
        <v>5.41</v>
      </c>
      <c r="W378" s="130">
        <v>34.87</v>
      </c>
      <c r="X378" s="130"/>
      <c r="Y378" s="130"/>
      <c r="Z378" s="130"/>
      <c r="AA378" s="130"/>
      <c r="AB378" s="131" t="s">
        <v>70</v>
      </c>
    </row>
    <row r="379" ht="15.75" spans="1:28">
      <c r="A379" s="56">
        <f t="shared" si="36"/>
        <v>381</v>
      </c>
      <c r="B379" s="113">
        <v>46124</v>
      </c>
      <c r="C379" s="114">
        <v>46124</v>
      </c>
      <c r="D379" s="80">
        <v>0.291666666666667</v>
      </c>
      <c r="E379" s="127">
        <v>0.770833333333333</v>
      </c>
      <c r="F379" s="122">
        <v>1890.43</v>
      </c>
      <c r="G379" s="129">
        <v>1892.65</v>
      </c>
      <c r="H379" s="130">
        <v>1895.59</v>
      </c>
      <c r="I379" s="130">
        <v>1926.77</v>
      </c>
      <c r="J379" s="130">
        <v>1963.02</v>
      </c>
      <c r="K379" s="130">
        <v>1964.31</v>
      </c>
      <c r="L379" s="130">
        <v>1951.28</v>
      </c>
      <c r="M379" s="123">
        <f t="shared" si="39"/>
        <v>13484.05</v>
      </c>
      <c r="N379" s="124">
        <f t="shared" si="40"/>
        <v>1424.73</v>
      </c>
      <c r="O379" s="130">
        <v>1429.21</v>
      </c>
      <c r="P379" s="52">
        <f t="shared" si="42"/>
        <v>13440.0000000001</v>
      </c>
      <c r="Q379" s="52">
        <f t="shared" si="41"/>
        <v>8.87</v>
      </c>
      <c r="R379" s="130">
        <v>8.89</v>
      </c>
      <c r="S379" s="52">
        <f t="shared" si="37"/>
        <v>60.0000000000041</v>
      </c>
      <c r="T379" s="131">
        <f t="shared" si="38"/>
        <v>13380.0000000001</v>
      </c>
      <c r="U379" s="132"/>
      <c r="V379" s="129">
        <v>5.5</v>
      </c>
      <c r="W379" s="130">
        <v>35.55</v>
      </c>
      <c r="X379" s="130"/>
      <c r="Y379" s="130"/>
      <c r="Z379" s="130"/>
      <c r="AA379" s="130"/>
      <c r="AB379" s="131" t="s">
        <v>70</v>
      </c>
    </row>
    <row r="380" ht="15.75" spans="1:28">
      <c r="A380" s="56">
        <f t="shared" si="36"/>
        <v>382</v>
      </c>
      <c r="B380" s="113">
        <v>46125</v>
      </c>
      <c r="C380" s="114">
        <v>46125</v>
      </c>
      <c r="D380" s="80">
        <v>0.291666666666667</v>
      </c>
      <c r="E380" s="127">
        <v>0.770833333333333</v>
      </c>
      <c r="F380" s="122">
        <v>1900.55</v>
      </c>
      <c r="G380" s="129">
        <v>1901.79</v>
      </c>
      <c r="H380" s="130">
        <v>1906.77</v>
      </c>
      <c r="I380" s="130">
        <v>1900.08</v>
      </c>
      <c r="J380" s="130">
        <v>1977.75</v>
      </c>
      <c r="K380" s="130">
        <v>1977.94</v>
      </c>
      <c r="L380" s="130">
        <v>1963.85</v>
      </c>
      <c r="M380" s="123">
        <f t="shared" si="39"/>
        <v>13528.73</v>
      </c>
      <c r="N380" s="124">
        <f t="shared" si="40"/>
        <v>1429.21</v>
      </c>
      <c r="O380" s="130">
        <v>1433.67</v>
      </c>
      <c r="P380" s="52">
        <f t="shared" si="42"/>
        <v>13380.0000000001</v>
      </c>
      <c r="Q380" s="52">
        <f t="shared" si="41"/>
        <v>8.89</v>
      </c>
      <c r="R380" s="130">
        <v>8.91</v>
      </c>
      <c r="S380" s="52">
        <f t="shared" si="37"/>
        <v>59.9999999999987</v>
      </c>
      <c r="T380" s="131">
        <f t="shared" si="38"/>
        <v>13320.0000000001</v>
      </c>
      <c r="U380" s="132"/>
      <c r="V380" s="130">
        <v>5.55</v>
      </c>
      <c r="W380" s="130">
        <v>36.34</v>
      </c>
      <c r="X380" s="130"/>
      <c r="Y380" s="130"/>
      <c r="Z380" s="130"/>
      <c r="AA380" s="130"/>
      <c r="AB380" s="131" t="s">
        <v>70</v>
      </c>
    </row>
    <row r="381" ht="15.75" spans="1:28">
      <c r="A381" s="56">
        <f t="shared" si="36"/>
        <v>383</v>
      </c>
      <c r="B381" s="113">
        <v>46126</v>
      </c>
      <c r="C381" s="114">
        <v>46126</v>
      </c>
      <c r="D381" s="80">
        <v>0.291666666666667</v>
      </c>
      <c r="E381" s="127">
        <v>0.770833333333333</v>
      </c>
      <c r="F381" s="122">
        <v>2101.46</v>
      </c>
      <c r="G381" s="129">
        <v>2087.93</v>
      </c>
      <c r="H381" s="130">
        <v>2033.13</v>
      </c>
      <c r="I381" s="129">
        <v>1978.8</v>
      </c>
      <c r="J381" s="130">
        <v>2073.44</v>
      </c>
      <c r="K381" s="130">
        <v>2073.75</v>
      </c>
      <c r="L381" s="130">
        <v>2057.54</v>
      </c>
      <c r="M381" s="123">
        <f t="shared" si="39"/>
        <v>14406.05</v>
      </c>
      <c r="N381" s="124">
        <f t="shared" si="40"/>
        <v>1433.67</v>
      </c>
      <c r="O381" s="130">
        <v>1438.43</v>
      </c>
      <c r="P381" s="52">
        <f t="shared" si="42"/>
        <v>14280</v>
      </c>
      <c r="Q381" s="52">
        <f t="shared" si="41"/>
        <v>8.91</v>
      </c>
      <c r="R381" s="130">
        <v>8.92</v>
      </c>
      <c r="S381" s="52">
        <f t="shared" si="37"/>
        <v>29.9999999999994</v>
      </c>
      <c r="T381" s="131">
        <f t="shared" si="38"/>
        <v>14250</v>
      </c>
      <c r="U381" s="132"/>
      <c r="V381" s="130">
        <v>5.76</v>
      </c>
      <c r="W381" s="130">
        <v>35.53</v>
      </c>
      <c r="X381" s="130"/>
      <c r="Y381" s="130"/>
      <c r="Z381" s="130"/>
      <c r="AA381" s="130"/>
      <c r="AB381" s="131" t="s">
        <v>70</v>
      </c>
    </row>
    <row r="382" ht="15.75" spans="1:28">
      <c r="A382" s="56">
        <f t="shared" si="36"/>
        <v>384</v>
      </c>
      <c r="B382" s="113">
        <v>46127</v>
      </c>
      <c r="C382" s="114">
        <v>46127</v>
      </c>
      <c r="D382" s="80">
        <v>0.291666666666667</v>
      </c>
      <c r="E382" s="127">
        <v>0.770833333333333</v>
      </c>
      <c r="F382" s="122">
        <v>2062.01</v>
      </c>
      <c r="G382" s="129">
        <v>2111.87</v>
      </c>
      <c r="H382" s="130">
        <v>2117.98</v>
      </c>
      <c r="I382" s="130">
        <v>1818.33</v>
      </c>
      <c r="J382" s="129">
        <v>2097.6</v>
      </c>
      <c r="K382" s="130">
        <v>2108.16</v>
      </c>
      <c r="L382" s="130">
        <v>2100.154</v>
      </c>
      <c r="M382" s="123">
        <v>14416.1</v>
      </c>
      <c r="N382" s="124">
        <f t="shared" si="40"/>
        <v>1438.43</v>
      </c>
      <c r="O382" s="130">
        <v>1443.19</v>
      </c>
      <c r="P382" s="52">
        <f t="shared" si="42"/>
        <v>14280</v>
      </c>
      <c r="Q382" s="52">
        <f t="shared" si="41"/>
        <v>8.92</v>
      </c>
      <c r="R382" s="130">
        <v>8.94</v>
      </c>
      <c r="S382" s="52">
        <f t="shared" si="37"/>
        <v>59.9999999999987</v>
      </c>
      <c r="T382" s="131">
        <f t="shared" si="38"/>
        <v>14220</v>
      </c>
      <c r="U382" s="132"/>
      <c r="V382" s="130">
        <v>5.87</v>
      </c>
      <c r="W382" s="130">
        <v>33.59</v>
      </c>
      <c r="X382" s="130"/>
      <c r="Y382" s="130"/>
      <c r="Z382" s="130"/>
      <c r="AA382" s="130"/>
      <c r="AB382" s="131" t="s">
        <v>70</v>
      </c>
    </row>
    <row r="383" ht="15.75" spans="1:28">
      <c r="A383" s="56">
        <f t="shared" si="36"/>
        <v>385</v>
      </c>
      <c r="B383" s="113">
        <v>46128</v>
      </c>
      <c r="C383" s="114">
        <v>46128</v>
      </c>
      <c r="D383" s="80">
        <v>0.291666666666667</v>
      </c>
      <c r="E383" s="127">
        <v>0.770833333333333</v>
      </c>
      <c r="F383" s="122">
        <v>2082.41</v>
      </c>
      <c r="G383" s="129">
        <v>2083.94</v>
      </c>
      <c r="H383" s="130">
        <v>2040.45</v>
      </c>
      <c r="I383" s="130">
        <v>2055.36</v>
      </c>
      <c r="J383" s="130">
        <v>2184.98</v>
      </c>
      <c r="K383" s="130">
        <v>2188.01</v>
      </c>
      <c r="L383" s="130">
        <v>2151.32</v>
      </c>
      <c r="M383" s="123">
        <f t="shared" si="39"/>
        <v>14786.47</v>
      </c>
      <c r="N383" s="124">
        <f t="shared" si="40"/>
        <v>1443.19</v>
      </c>
      <c r="O383" s="130">
        <v>1448.08</v>
      </c>
      <c r="P383" s="52">
        <f t="shared" si="42"/>
        <v>14669.9999999996</v>
      </c>
      <c r="Q383" s="52">
        <f t="shared" si="41"/>
        <v>8.94</v>
      </c>
      <c r="R383" s="130">
        <v>8.96</v>
      </c>
      <c r="S383" s="52">
        <f t="shared" si="37"/>
        <v>60.0000000000041</v>
      </c>
      <c r="T383" s="131">
        <f t="shared" si="38"/>
        <v>14609.9999999996</v>
      </c>
      <c r="U383" s="132"/>
      <c r="V383" s="130">
        <v>5.74</v>
      </c>
      <c r="W383" s="130">
        <v>34.76</v>
      </c>
      <c r="X383" s="130"/>
      <c r="Y383" s="130"/>
      <c r="Z383" s="130"/>
      <c r="AA383" s="130"/>
      <c r="AB383" s="131" t="s">
        <v>70</v>
      </c>
    </row>
    <row r="384" ht="15.75" spans="1:28">
      <c r="A384" s="56">
        <f t="shared" si="36"/>
        <v>386</v>
      </c>
      <c r="B384" s="113">
        <v>46129</v>
      </c>
      <c r="C384" s="114">
        <v>46129</v>
      </c>
      <c r="D384" s="80">
        <v>0.291666666666667</v>
      </c>
      <c r="E384" s="127">
        <v>0.770833333333333</v>
      </c>
      <c r="F384" s="122">
        <v>1857.32</v>
      </c>
      <c r="G384" s="129">
        <v>1860.25</v>
      </c>
      <c r="H384" s="130">
        <v>1868.06</v>
      </c>
      <c r="I384" s="130">
        <v>1958.91</v>
      </c>
      <c r="J384" s="130">
        <v>1945.83</v>
      </c>
      <c r="K384" s="130">
        <v>1940.14</v>
      </c>
      <c r="L384" s="130">
        <v>1890.45</v>
      </c>
      <c r="M384" s="123">
        <f t="shared" si="39"/>
        <v>13320.96</v>
      </c>
      <c r="N384" s="124">
        <f t="shared" si="40"/>
        <v>1448.08</v>
      </c>
      <c r="O384" s="130">
        <v>1452.51</v>
      </c>
      <c r="P384" s="52">
        <f t="shared" si="42"/>
        <v>13290.0000000002</v>
      </c>
      <c r="Q384" s="52">
        <f t="shared" si="41"/>
        <v>8.96</v>
      </c>
      <c r="R384" s="130">
        <v>8.97</v>
      </c>
      <c r="S384" s="52">
        <f t="shared" si="37"/>
        <v>29.9999999999994</v>
      </c>
      <c r="T384" s="131">
        <f t="shared" si="38"/>
        <v>13260.0000000002</v>
      </c>
      <c r="U384" s="132"/>
      <c r="V384" s="130">
        <v>4.73</v>
      </c>
      <c r="W384" s="130">
        <v>34.53</v>
      </c>
      <c r="X384" s="130"/>
      <c r="Y384" s="130"/>
      <c r="Z384" s="130"/>
      <c r="AA384" s="130"/>
      <c r="AB384" s="131" t="s">
        <v>70</v>
      </c>
    </row>
    <row r="385" ht="15.75" spans="1:28">
      <c r="A385" s="56">
        <f t="shared" si="36"/>
        <v>387</v>
      </c>
      <c r="B385" s="113">
        <v>46130</v>
      </c>
      <c r="C385" s="114">
        <v>46130</v>
      </c>
      <c r="D385" s="80">
        <v>0.291666666666667</v>
      </c>
      <c r="E385" s="127">
        <v>0.78125</v>
      </c>
      <c r="F385" s="122">
        <v>1961.26</v>
      </c>
      <c r="G385" s="129">
        <v>1960.67</v>
      </c>
      <c r="H385" s="130">
        <v>1971.42</v>
      </c>
      <c r="I385" s="130">
        <v>2075.52</v>
      </c>
      <c r="J385" s="130">
        <v>1972.36</v>
      </c>
      <c r="K385" s="130">
        <v>2063.42</v>
      </c>
      <c r="L385" s="130">
        <v>2032.94</v>
      </c>
      <c r="M385" s="123">
        <f t="shared" si="39"/>
        <v>14037.59</v>
      </c>
      <c r="N385" s="124">
        <f t="shared" si="40"/>
        <v>1452.51</v>
      </c>
      <c r="O385" s="130">
        <v>1457.15</v>
      </c>
      <c r="P385" s="52">
        <f t="shared" si="42"/>
        <v>13920.0000000003</v>
      </c>
      <c r="Q385" s="52">
        <f t="shared" si="41"/>
        <v>8.97</v>
      </c>
      <c r="R385" s="130">
        <v>8.99</v>
      </c>
      <c r="S385" s="52">
        <f t="shared" si="37"/>
        <v>59.9999999999987</v>
      </c>
      <c r="T385" s="131">
        <f t="shared" si="38"/>
        <v>13860.0000000003</v>
      </c>
      <c r="U385" s="132"/>
      <c r="V385" s="130">
        <v>5.69</v>
      </c>
      <c r="W385" s="129">
        <v>35.6</v>
      </c>
      <c r="X385" s="130"/>
      <c r="Y385" s="130"/>
      <c r="Z385" s="130"/>
      <c r="AA385" s="130"/>
      <c r="AB385" s="131" t="s">
        <v>70</v>
      </c>
    </row>
    <row r="386" ht="15.75" spans="1:28">
      <c r="A386" s="56">
        <f t="shared" si="36"/>
        <v>388</v>
      </c>
      <c r="B386" s="113">
        <v>46131</v>
      </c>
      <c r="C386" s="114">
        <v>46131</v>
      </c>
      <c r="D386" s="80">
        <v>0.291666666666667</v>
      </c>
      <c r="E386" s="127">
        <v>0.78125</v>
      </c>
      <c r="F386" s="122">
        <v>1956.61</v>
      </c>
      <c r="G386" s="129">
        <v>1956.36</v>
      </c>
      <c r="H386" s="130">
        <v>1963.01</v>
      </c>
      <c r="I386" s="130">
        <v>2059.31</v>
      </c>
      <c r="J386" s="130">
        <v>1995.34</v>
      </c>
      <c r="K386" s="130">
        <v>2045.02</v>
      </c>
      <c r="L386" s="130">
        <v>2003.89</v>
      </c>
      <c r="M386" s="123">
        <f t="shared" si="39"/>
        <v>13979.54</v>
      </c>
      <c r="N386" s="124">
        <f t="shared" si="40"/>
        <v>1457.15</v>
      </c>
      <c r="O386" s="130">
        <v>1461.77</v>
      </c>
      <c r="P386" s="52">
        <f t="shared" si="42"/>
        <v>13859.9999999997</v>
      </c>
      <c r="Q386" s="52">
        <f t="shared" si="41"/>
        <v>8.99</v>
      </c>
      <c r="R386" s="130">
        <v>9.01</v>
      </c>
      <c r="S386" s="52">
        <f t="shared" si="37"/>
        <v>59.9999999999987</v>
      </c>
      <c r="T386" s="131">
        <f t="shared" si="38"/>
        <v>13799.9999999997</v>
      </c>
      <c r="U386" s="132"/>
      <c r="V386" s="130">
        <v>5.61</v>
      </c>
      <c r="W386" s="130">
        <v>33.54</v>
      </c>
      <c r="X386" s="130"/>
      <c r="Y386" s="130"/>
      <c r="Z386" s="130"/>
      <c r="AA386" s="130"/>
      <c r="AB386" s="131" t="s">
        <v>70</v>
      </c>
    </row>
    <row r="387" ht="15.75" spans="1:28">
      <c r="A387" s="56">
        <f t="shared" ref="A387:A450" si="43">A386+1</f>
        <v>389</v>
      </c>
      <c r="B387" s="113">
        <v>46132</v>
      </c>
      <c r="C387" s="114">
        <v>46132</v>
      </c>
      <c r="D387" s="80">
        <v>0.28125</v>
      </c>
      <c r="E387" s="127">
        <v>0.78125</v>
      </c>
      <c r="F387" s="122">
        <v>1994.08</v>
      </c>
      <c r="G387" s="129">
        <v>1994.22</v>
      </c>
      <c r="H387" s="130">
        <v>2003.55</v>
      </c>
      <c r="I387" s="130">
        <v>2106.12</v>
      </c>
      <c r="J387" s="130">
        <v>2095.71</v>
      </c>
      <c r="K387" s="130">
        <v>2091.76</v>
      </c>
      <c r="L387" s="130">
        <v>2061.37</v>
      </c>
      <c r="M387" s="123">
        <f t="shared" si="39"/>
        <v>14346.81</v>
      </c>
      <c r="N387" s="124">
        <f t="shared" si="40"/>
        <v>1461.77</v>
      </c>
      <c r="O387" s="130">
        <v>1466.51</v>
      </c>
      <c r="P387" s="52">
        <f t="shared" si="42"/>
        <v>14220</v>
      </c>
      <c r="Q387" s="52">
        <f t="shared" si="41"/>
        <v>9.01</v>
      </c>
      <c r="R387" s="130">
        <v>9.02</v>
      </c>
      <c r="S387" s="52">
        <f t="shared" ref="S387:S450" si="44">MAX((R387-Q387)*3000,0)</f>
        <v>29.9999999999994</v>
      </c>
      <c r="T387" s="131">
        <f t="shared" ref="T387:T450" si="45">P387-S387</f>
        <v>14190</v>
      </c>
      <c r="U387" s="132"/>
      <c r="V387" s="130">
        <v>5.66</v>
      </c>
      <c r="W387" s="130">
        <v>34.95</v>
      </c>
      <c r="X387" s="130"/>
      <c r="Y387" s="130"/>
      <c r="Z387" s="130"/>
      <c r="AA387" s="130"/>
      <c r="AB387" s="131" t="s">
        <v>70</v>
      </c>
    </row>
    <row r="388" ht="15.75" spans="1:28">
      <c r="A388" s="56">
        <f t="shared" si="43"/>
        <v>390</v>
      </c>
      <c r="B388" s="113">
        <v>46133</v>
      </c>
      <c r="C388" s="114">
        <v>46133</v>
      </c>
      <c r="D388" s="80">
        <v>0.291666666666667</v>
      </c>
      <c r="E388" s="127">
        <v>0.770833333333333</v>
      </c>
      <c r="F388" s="122">
        <v>1981.2</v>
      </c>
      <c r="G388" s="129">
        <v>1982.3</v>
      </c>
      <c r="H388" s="130">
        <v>1991.44</v>
      </c>
      <c r="I388" s="130">
        <v>2095.62</v>
      </c>
      <c r="J388" s="130">
        <v>2084.21</v>
      </c>
      <c r="K388" s="130">
        <v>2082.08</v>
      </c>
      <c r="L388" s="130">
        <v>1992.87</v>
      </c>
      <c r="M388" s="123">
        <f t="shared" ref="M388:M451" si="46">SUM(F388:L388)</f>
        <v>14209.72</v>
      </c>
      <c r="N388" s="124">
        <f t="shared" si="40"/>
        <v>1466.51</v>
      </c>
      <c r="O388" s="129">
        <v>1471.2</v>
      </c>
      <c r="P388" s="52">
        <f t="shared" si="42"/>
        <v>14070.0000000002</v>
      </c>
      <c r="Q388" s="52">
        <f t="shared" si="41"/>
        <v>9.02</v>
      </c>
      <c r="R388" s="130">
        <v>9.04</v>
      </c>
      <c r="S388" s="52">
        <f t="shared" si="44"/>
        <v>59.9999999999987</v>
      </c>
      <c r="T388" s="131">
        <f t="shared" si="45"/>
        <v>14010.0000000002</v>
      </c>
      <c r="U388" s="132"/>
      <c r="V388" s="129">
        <v>5.7</v>
      </c>
      <c r="W388" s="130">
        <v>34.93</v>
      </c>
      <c r="X388" s="130"/>
      <c r="Y388" s="130"/>
      <c r="Z388" s="130"/>
      <c r="AA388" s="130"/>
      <c r="AB388" s="131" t="s">
        <v>70</v>
      </c>
    </row>
    <row r="389" ht="15.75" spans="1:28">
      <c r="A389" s="56">
        <f t="shared" si="43"/>
        <v>391</v>
      </c>
      <c r="B389" s="113">
        <v>46134</v>
      </c>
      <c r="C389" s="114">
        <v>46134</v>
      </c>
      <c r="D389" s="80">
        <v>0.28125</v>
      </c>
      <c r="E389" s="127">
        <v>0.770833333333333</v>
      </c>
      <c r="F389" s="122">
        <v>1998.99</v>
      </c>
      <c r="G389" s="129">
        <v>1999.66</v>
      </c>
      <c r="H389" s="130">
        <v>2006.93</v>
      </c>
      <c r="I389" s="130">
        <v>2112.13</v>
      </c>
      <c r="J389" s="130">
        <v>2097.84</v>
      </c>
      <c r="K389" s="130">
        <v>2099.97</v>
      </c>
      <c r="L389" s="130">
        <v>2004.56</v>
      </c>
      <c r="M389" s="123">
        <f t="shared" si="46"/>
        <v>14320.08</v>
      </c>
      <c r="N389" s="124">
        <f t="shared" si="40"/>
        <v>1471.2</v>
      </c>
      <c r="O389" s="130">
        <v>1475.94</v>
      </c>
      <c r="P389" s="52">
        <f t="shared" si="42"/>
        <v>14220</v>
      </c>
      <c r="Q389" s="52">
        <f t="shared" si="41"/>
        <v>9.04</v>
      </c>
      <c r="R389" s="130">
        <v>9.06</v>
      </c>
      <c r="S389" s="52">
        <f t="shared" si="44"/>
        <v>60.0000000000041</v>
      </c>
      <c r="T389" s="131">
        <f t="shared" si="45"/>
        <v>14160</v>
      </c>
      <c r="U389" s="132"/>
      <c r="V389" s="130">
        <v>5.68</v>
      </c>
      <c r="W389" s="130">
        <v>33.63</v>
      </c>
      <c r="X389" s="130"/>
      <c r="Y389" s="130"/>
      <c r="Z389" s="130"/>
      <c r="AA389" s="130"/>
      <c r="AB389" s="131" t="s">
        <v>70</v>
      </c>
    </row>
    <row r="390" ht="15.75" spans="1:28">
      <c r="A390" s="56">
        <f t="shared" si="43"/>
        <v>392</v>
      </c>
      <c r="B390" s="113">
        <v>46135</v>
      </c>
      <c r="C390" s="114">
        <v>46135</v>
      </c>
      <c r="D390" s="80">
        <v>0.291666666666667</v>
      </c>
      <c r="E390" s="127">
        <v>0.78125</v>
      </c>
      <c r="F390" s="122">
        <v>1949.04</v>
      </c>
      <c r="G390" s="129">
        <v>1945.4</v>
      </c>
      <c r="H390" s="129">
        <v>1946.9</v>
      </c>
      <c r="I390" s="130">
        <v>2060.11</v>
      </c>
      <c r="J390" s="130">
        <v>1949.19</v>
      </c>
      <c r="K390" s="129">
        <v>2046.5</v>
      </c>
      <c r="L390" s="129">
        <v>1968.5</v>
      </c>
      <c r="M390" s="123">
        <f t="shared" si="46"/>
        <v>13865.64</v>
      </c>
      <c r="N390" s="124">
        <f t="shared" si="40"/>
        <v>1475.94</v>
      </c>
      <c r="O390" s="130">
        <v>1480.53</v>
      </c>
      <c r="P390" s="52">
        <f t="shared" si="42"/>
        <v>13769.9999999998</v>
      </c>
      <c r="Q390" s="52">
        <f t="shared" si="41"/>
        <v>9.06</v>
      </c>
      <c r="R390" s="130">
        <v>9.07</v>
      </c>
      <c r="S390" s="52">
        <f t="shared" si="44"/>
        <v>29.9999999999994</v>
      </c>
      <c r="T390" s="131">
        <f t="shared" si="45"/>
        <v>13739.9999999998</v>
      </c>
      <c r="U390" s="132"/>
      <c r="V390" s="130">
        <v>5.61</v>
      </c>
      <c r="W390" s="130">
        <v>35.62</v>
      </c>
      <c r="X390" s="130"/>
      <c r="Y390" s="130"/>
      <c r="Z390" s="130"/>
      <c r="AA390" s="130"/>
      <c r="AB390" s="131" t="s">
        <v>70</v>
      </c>
    </row>
    <row r="391" ht="15.75" spans="1:28">
      <c r="A391" s="56">
        <f t="shared" si="43"/>
        <v>393</v>
      </c>
      <c r="B391" s="113">
        <v>46136</v>
      </c>
      <c r="C391" s="114">
        <v>46136</v>
      </c>
      <c r="D391" s="80">
        <v>0.28125</v>
      </c>
      <c r="E391" s="127">
        <v>0.78125</v>
      </c>
      <c r="F391" s="122">
        <v>2037.71</v>
      </c>
      <c r="G391" s="129">
        <v>2037.08</v>
      </c>
      <c r="H391" s="130">
        <v>2043.67</v>
      </c>
      <c r="I391" s="130">
        <v>2144.22</v>
      </c>
      <c r="J391" s="130">
        <v>2131.59</v>
      </c>
      <c r="K391" s="130">
        <v>2130.14</v>
      </c>
      <c r="L391" s="130">
        <v>2098.02</v>
      </c>
      <c r="M391" s="123">
        <f t="shared" si="46"/>
        <v>14622.43</v>
      </c>
      <c r="N391" s="124">
        <f t="shared" si="40"/>
        <v>1480.53</v>
      </c>
      <c r="O391" s="130">
        <v>1485.37</v>
      </c>
      <c r="P391" s="52">
        <f t="shared" si="42"/>
        <v>14519.9999999998</v>
      </c>
      <c r="Q391" s="52">
        <f t="shared" si="41"/>
        <v>9.07</v>
      </c>
      <c r="R391" s="130">
        <v>9.09</v>
      </c>
      <c r="S391" s="52">
        <f t="shared" si="44"/>
        <v>59.9999999999987</v>
      </c>
      <c r="T391" s="131">
        <f t="shared" si="45"/>
        <v>14459.9999999998</v>
      </c>
      <c r="U391" s="132"/>
      <c r="V391" s="130">
        <v>5.86</v>
      </c>
      <c r="W391" s="130">
        <v>36.08</v>
      </c>
      <c r="X391" s="130"/>
      <c r="Y391" s="130"/>
      <c r="Z391" s="130"/>
      <c r="AA391" s="130"/>
      <c r="AB391" s="131" t="s">
        <v>70</v>
      </c>
    </row>
    <row r="392" ht="15.75" spans="1:28">
      <c r="A392" s="56">
        <f t="shared" si="43"/>
        <v>394</v>
      </c>
      <c r="B392" s="113">
        <v>46137</v>
      </c>
      <c r="C392" s="114">
        <v>46137</v>
      </c>
      <c r="D392" s="80">
        <v>0.28125</v>
      </c>
      <c r="E392" s="127">
        <v>0.78125</v>
      </c>
      <c r="F392" s="122">
        <v>1941.49</v>
      </c>
      <c r="G392" s="129">
        <v>1942.05</v>
      </c>
      <c r="H392" s="130">
        <v>1949.84</v>
      </c>
      <c r="I392" s="130">
        <v>2054.33</v>
      </c>
      <c r="J392" s="130">
        <v>2040.24</v>
      </c>
      <c r="K392" s="130">
        <v>2040.25</v>
      </c>
      <c r="L392" s="130">
        <v>2010.32</v>
      </c>
      <c r="M392" s="123">
        <f t="shared" si="46"/>
        <v>13978.52</v>
      </c>
      <c r="N392" s="124">
        <f t="shared" si="40"/>
        <v>1485.37</v>
      </c>
      <c r="O392" s="130">
        <v>1489.98</v>
      </c>
      <c r="P392" s="52">
        <f t="shared" si="42"/>
        <v>13830.0000000004</v>
      </c>
      <c r="Q392" s="52">
        <f t="shared" si="41"/>
        <v>9.09</v>
      </c>
      <c r="R392" s="130">
        <v>9.11</v>
      </c>
      <c r="S392" s="52">
        <f t="shared" si="44"/>
        <v>59.9999999999987</v>
      </c>
      <c r="T392" s="131">
        <f t="shared" si="45"/>
        <v>13770.0000000004</v>
      </c>
      <c r="U392" s="132"/>
      <c r="V392" s="130">
        <v>5.73</v>
      </c>
      <c r="W392" s="130">
        <v>36.81</v>
      </c>
      <c r="X392" s="130"/>
      <c r="Y392" s="130"/>
      <c r="Z392" s="130"/>
      <c r="AA392" s="130"/>
      <c r="AB392" s="131" t="s">
        <v>70</v>
      </c>
    </row>
    <row r="393" ht="15.75" spans="1:28">
      <c r="A393" s="56">
        <f t="shared" si="43"/>
        <v>395</v>
      </c>
      <c r="B393" s="113">
        <v>46138</v>
      </c>
      <c r="C393" s="114">
        <v>46138</v>
      </c>
      <c r="D393" s="80">
        <v>0.28125</v>
      </c>
      <c r="E393" s="127">
        <v>0.78125</v>
      </c>
      <c r="F393" s="122">
        <v>1876.32</v>
      </c>
      <c r="G393" s="129">
        <v>1780.35</v>
      </c>
      <c r="H393" s="130">
        <v>1883.84</v>
      </c>
      <c r="I393" s="130">
        <v>1998.92</v>
      </c>
      <c r="J393" s="130">
        <v>1796.54</v>
      </c>
      <c r="K393" s="130">
        <v>1981.69</v>
      </c>
      <c r="L393" s="130">
        <v>1952.33</v>
      </c>
      <c r="M393" s="123">
        <f t="shared" si="46"/>
        <v>13269.99</v>
      </c>
      <c r="N393" s="124">
        <f t="shared" si="40"/>
        <v>1489.98</v>
      </c>
      <c r="O393" s="130">
        <v>1494.39</v>
      </c>
      <c r="P393" s="52">
        <f t="shared" si="42"/>
        <v>13230.0000000002</v>
      </c>
      <c r="Q393" s="52">
        <f t="shared" si="41"/>
        <v>9.11</v>
      </c>
      <c r="R393" s="130">
        <v>9.12</v>
      </c>
      <c r="S393" s="52">
        <f t="shared" si="44"/>
        <v>29.9999999999994</v>
      </c>
      <c r="T393" s="131">
        <f t="shared" si="45"/>
        <v>13200.0000000002</v>
      </c>
      <c r="U393" s="132"/>
      <c r="V393" s="130">
        <v>5.58</v>
      </c>
      <c r="W393" s="130">
        <v>38.26</v>
      </c>
      <c r="X393" s="130"/>
      <c r="Y393" s="130"/>
      <c r="Z393" s="130"/>
      <c r="AA393" s="130"/>
      <c r="AB393" s="131" t="s">
        <v>70</v>
      </c>
    </row>
    <row r="394" ht="15.75" spans="1:28">
      <c r="A394" s="56">
        <f t="shared" si="43"/>
        <v>396</v>
      </c>
      <c r="B394" s="113">
        <v>46139</v>
      </c>
      <c r="C394" s="114">
        <v>46139</v>
      </c>
      <c r="D394" s="80">
        <v>0.281944444444444</v>
      </c>
      <c r="E394" s="127">
        <v>0.78125</v>
      </c>
      <c r="F394" s="122">
        <v>1815.57</v>
      </c>
      <c r="G394" s="129">
        <v>1874.42</v>
      </c>
      <c r="H394" s="130">
        <v>1883.68</v>
      </c>
      <c r="I394" s="130">
        <v>1852.94</v>
      </c>
      <c r="J394" s="129">
        <v>1988.8</v>
      </c>
      <c r="K394" s="130">
        <v>1991.87</v>
      </c>
      <c r="L394" s="130">
        <v>1892.27</v>
      </c>
      <c r="M394" s="123">
        <f t="shared" si="46"/>
        <v>13299.55</v>
      </c>
      <c r="N394" s="124">
        <f t="shared" si="40"/>
        <v>1494.39</v>
      </c>
      <c r="O394" s="130">
        <v>1498.79</v>
      </c>
      <c r="P394" s="52">
        <f t="shared" si="42"/>
        <v>13199.9999999996</v>
      </c>
      <c r="Q394" s="52">
        <f t="shared" si="41"/>
        <v>9.12</v>
      </c>
      <c r="R394" s="130">
        <v>9.14</v>
      </c>
      <c r="S394" s="52">
        <f t="shared" si="44"/>
        <v>60.0000000000041</v>
      </c>
      <c r="T394" s="131">
        <f t="shared" si="45"/>
        <v>13139.9999999996</v>
      </c>
      <c r="U394" s="132"/>
      <c r="V394" s="130">
        <v>5.58</v>
      </c>
      <c r="W394" s="130">
        <v>37.28</v>
      </c>
      <c r="X394" s="130"/>
      <c r="Y394" s="130"/>
      <c r="Z394" s="130"/>
      <c r="AA394" s="130"/>
      <c r="AB394" s="131" t="s">
        <v>70</v>
      </c>
    </row>
    <row r="395" ht="15.75" spans="1:28">
      <c r="A395" s="56">
        <f t="shared" si="43"/>
        <v>397</v>
      </c>
      <c r="B395" s="113">
        <v>46140</v>
      </c>
      <c r="C395" s="114">
        <v>46140</v>
      </c>
      <c r="D395" s="80">
        <v>0.281944444444444</v>
      </c>
      <c r="E395" s="127">
        <v>0.78125</v>
      </c>
      <c r="F395" s="122">
        <v>1976.87</v>
      </c>
      <c r="G395" s="129">
        <v>1976.34</v>
      </c>
      <c r="H395" s="130">
        <v>1984.99</v>
      </c>
      <c r="I395" s="130">
        <v>2117.36</v>
      </c>
      <c r="J395" s="130">
        <v>2108.14</v>
      </c>
      <c r="K395" s="129">
        <v>2118.4</v>
      </c>
      <c r="L395" s="130">
        <v>2081.06</v>
      </c>
      <c r="M395" s="123">
        <f t="shared" si="46"/>
        <v>14363.16</v>
      </c>
      <c r="N395" s="124">
        <f t="shared" si="40"/>
        <v>1498.79</v>
      </c>
      <c r="O395" s="130">
        <v>1503.53</v>
      </c>
      <c r="P395" s="52">
        <f t="shared" si="42"/>
        <v>14220</v>
      </c>
      <c r="Q395" s="52">
        <f t="shared" si="41"/>
        <v>9.14</v>
      </c>
      <c r="R395" s="130">
        <v>9.16</v>
      </c>
      <c r="S395" s="52">
        <f t="shared" si="44"/>
        <v>59.9999999999987</v>
      </c>
      <c r="T395" s="131">
        <f t="shared" si="45"/>
        <v>14160</v>
      </c>
      <c r="U395" s="132"/>
      <c r="V395" s="130">
        <v>5.74</v>
      </c>
      <c r="W395" s="130">
        <v>36.48</v>
      </c>
      <c r="X395" s="130"/>
      <c r="Y395" s="130"/>
      <c r="Z395" s="130"/>
      <c r="AA395" s="130"/>
      <c r="AB395" s="131" t="s">
        <v>70</v>
      </c>
    </row>
    <row r="396" ht="15.75" spans="1:28">
      <c r="A396" s="56">
        <f t="shared" si="43"/>
        <v>398</v>
      </c>
      <c r="B396" s="113">
        <v>46141</v>
      </c>
      <c r="C396" s="114">
        <v>46141</v>
      </c>
      <c r="D396" s="80">
        <v>0.281944444444444</v>
      </c>
      <c r="E396" s="127">
        <v>0.781944444444444</v>
      </c>
      <c r="F396" s="122">
        <v>1968.72</v>
      </c>
      <c r="G396" s="129">
        <v>2003.89</v>
      </c>
      <c r="H396" s="130">
        <v>2039.02</v>
      </c>
      <c r="I396" s="130">
        <v>2128.92</v>
      </c>
      <c r="J396" s="130">
        <v>2105.94</v>
      </c>
      <c r="K396" s="130">
        <v>2114.76</v>
      </c>
      <c r="L396" s="130">
        <v>2074.96</v>
      </c>
      <c r="M396" s="123">
        <f t="shared" si="46"/>
        <v>14436.21</v>
      </c>
      <c r="N396" s="124">
        <f t="shared" si="40"/>
        <v>1503.53</v>
      </c>
      <c r="O396" s="129">
        <v>1508.3</v>
      </c>
      <c r="P396" s="52">
        <f t="shared" si="42"/>
        <v>14309.9999999999</v>
      </c>
      <c r="Q396" s="52">
        <f t="shared" si="41"/>
        <v>9.16</v>
      </c>
      <c r="R396" s="130">
        <v>9.17</v>
      </c>
      <c r="S396" s="52">
        <f t="shared" si="44"/>
        <v>29.9999999999994</v>
      </c>
      <c r="T396" s="131">
        <f t="shared" si="45"/>
        <v>14279.9999999999</v>
      </c>
      <c r="U396" s="132"/>
      <c r="V396" s="129">
        <v>5.8</v>
      </c>
      <c r="W396" s="130">
        <v>36.04</v>
      </c>
      <c r="X396" s="130"/>
      <c r="Y396" s="130"/>
      <c r="Z396" s="130"/>
      <c r="AA396" s="130"/>
      <c r="AB396" s="131" t="s">
        <v>70</v>
      </c>
    </row>
    <row r="397" ht="15.75" spans="1:28">
      <c r="A397" s="56">
        <f t="shared" si="43"/>
        <v>399</v>
      </c>
      <c r="B397" s="113">
        <v>46142</v>
      </c>
      <c r="C397" s="114">
        <v>46142</v>
      </c>
      <c r="D397" s="80">
        <v>0.28125</v>
      </c>
      <c r="E397" s="127">
        <v>0.78125</v>
      </c>
      <c r="F397" s="122">
        <v>1924.76</v>
      </c>
      <c r="G397" s="129">
        <v>1927.31</v>
      </c>
      <c r="H397" s="130">
        <v>1993.76</v>
      </c>
      <c r="I397" s="130">
        <v>2084.13</v>
      </c>
      <c r="J397" s="130">
        <v>2058.48</v>
      </c>
      <c r="K397" s="130">
        <v>2067.38</v>
      </c>
      <c r="L397" s="130">
        <v>2026.06</v>
      </c>
      <c r="M397" s="123">
        <f t="shared" si="46"/>
        <v>14081.88</v>
      </c>
      <c r="N397" s="124">
        <f t="shared" ref="N397:N460" si="47">O396</f>
        <v>1508.3</v>
      </c>
      <c r="O397" s="130">
        <v>1512.96</v>
      </c>
      <c r="P397" s="52">
        <f t="shared" si="42"/>
        <v>13980.0000000002</v>
      </c>
      <c r="Q397" s="52">
        <f t="shared" ref="Q397:Q460" si="48">R396</f>
        <v>9.17</v>
      </c>
      <c r="R397" s="130">
        <v>9.18</v>
      </c>
      <c r="S397" s="52">
        <f t="shared" si="44"/>
        <v>29.9999999999994</v>
      </c>
      <c r="T397" s="131">
        <f t="shared" si="45"/>
        <v>13950.0000000002</v>
      </c>
      <c r="U397" s="132"/>
      <c r="V397" s="130">
        <v>5.65</v>
      </c>
      <c r="W397" s="130">
        <v>34.77</v>
      </c>
      <c r="X397" s="130"/>
      <c r="Y397" s="130"/>
      <c r="Z397" s="130"/>
      <c r="AA397" s="130"/>
      <c r="AB397" s="131" t="s">
        <v>70</v>
      </c>
    </row>
    <row r="398" ht="15.75" spans="1:28">
      <c r="A398" s="56">
        <f t="shared" si="43"/>
        <v>400</v>
      </c>
      <c r="B398" s="113">
        <v>46143</v>
      </c>
      <c r="C398" s="114">
        <v>46143</v>
      </c>
      <c r="D398" s="80">
        <v>0.28125</v>
      </c>
      <c r="E398" s="127">
        <v>0.78125</v>
      </c>
      <c r="F398" s="122">
        <v>1950.21</v>
      </c>
      <c r="G398" s="129">
        <v>1971.09</v>
      </c>
      <c r="H398" s="130">
        <v>1981.92</v>
      </c>
      <c r="I398" s="130">
        <v>2065.19</v>
      </c>
      <c r="J398" s="130">
        <v>2045.35</v>
      </c>
      <c r="K398" s="130">
        <v>2056.76</v>
      </c>
      <c r="L398" s="130">
        <v>2014.01</v>
      </c>
      <c r="M398" s="123">
        <f t="shared" si="46"/>
        <v>14084.53</v>
      </c>
      <c r="N398" s="124">
        <f t="shared" si="47"/>
        <v>1512.96</v>
      </c>
      <c r="O398" s="130">
        <v>1517.61</v>
      </c>
      <c r="P398" s="52">
        <f t="shared" si="42"/>
        <v>13949.9999999996</v>
      </c>
      <c r="Q398" s="52">
        <f t="shared" si="48"/>
        <v>9.18</v>
      </c>
      <c r="R398" s="129">
        <v>9.2</v>
      </c>
      <c r="S398" s="52">
        <f t="shared" si="44"/>
        <v>59.9999999999987</v>
      </c>
      <c r="T398" s="131">
        <f t="shared" si="45"/>
        <v>13889.9999999996</v>
      </c>
      <c r="U398" s="132"/>
      <c r="V398" s="130">
        <v>5.68</v>
      </c>
      <c r="W398" s="130">
        <v>34.83</v>
      </c>
      <c r="X398" s="130"/>
      <c r="Y398" s="130"/>
      <c r="Z398" s="130"/>
      <c r="AA398" s="130"/>
      <c r="AB398" s="131" t="s">
        <v>70</v>
      </c>
    </row>
    <row r="399" ht="15.75" spans="1:28">
      <c r="A399" s="56">
        <f t="shared" si="43"/>
        <v>401</v>
      </c>
      <c r="B399" s="113">
        <v>46144</v>
      </c>
      <c r="C399" s="114">
        <v>46144</v>
      </c>
      <c r="D399" s="80">
        <v>0.28125</v>
      </c>
      <c r="E399" s="127">
        <v>0.78125</v>
      </c>
      <c r="F399" s="122">
        <v>1986.25</v>
      </c>
      <c r="G399" s="129">
        <v>2006.08</v>
      </c>
      <c r="H399" s="130">
        <v>2015.43</v>
      </c>
      <c r="I399" s="130">
        <v>2102.43</v>
      </c>
      <c r="J399" s="129">
        <v>2081.8</v>
      </c>
      <c r="K399" s="130">
        <v>2089.99</v>
      </c>
      <c r="L399" s="130">
        <v>2047.05</v>
      </c>
      <c r="M399" s="123">
        <f t="shared" si="46"/>
        <v>14329.03</v>
      </c>
      <c r="N399" s="124">
        <f t="shared" si="47"/>
        <v>1517.61</v>
      </c>
      <c r="O399" s="130">
        <v>1522.36</v>
      </c>
      <c r="P399" s="52">
        <f t="shared" si="42"/>
        <v>14250</v>
      </c>
      <c r="Q399" s="52">
        <f t="shared" si="48"/>
        <v>9.2</v>
      </c>
      <c r="R399" s="130">
        <v>9.22</v>
      </c>
      <c r="S399" s="52">
        <f t="shared" si="44"/>
        <v>60.0000000000041</v>
      </c>
      <c r="T399" s="131">
        <f t="shared" si="45"/>
        <v>14190</v>
      </c>
      <c r="U399" s="132"/>
      <c r="V399" s="130">
        <v>5.85</v>
      </c>
      <c r="W399" s="130">
        <v>35.32</v>
      </c>
      <c r="X399" s="130"/>
      <c r="Y399" s="130"/>
      <c r="Z399" s="130"/>
      <c r="AA399" s="130"/>
      <c r="AB399" s="131" t="s">
        <v>70</v>
      </c>
    </row>
    <row r="400" ht="15.75" spans="1:28">
      <c r="A400" s="56">
        <f t="shared" si="43"/>
        <v>402</v>
      </c>
      <c r="B400" s="113">
        <v>46145</v>
      </c>
      <c r="C400" s="114">
        <v>46145</v>
      </c>
      <c r="D400" s="80">
        <v>0.28125</v>
      </c>
      <c r="E400" s="127">
        <v>0.78125</v>
      </c>
      <c r="F400" s="122">
        <v>2011.27</v>
      </c>
      <c r="G400" s="129">
        <v>2030.56</v>
      </c>
      <c r="H400" s="130">
        <v>2041.47</v>
      </c>
      <c r="I400" s="130">
        <v>2122.16</v>
      </c>
      <c r="J400" s="130">
        <v>2103.22</v>
      </c>
      <c r="K400" s="130">
        <v>2111.12</v>
      </c>
      <c r="L400" s="130">
        <v>2070.98</v>
      </c>
      <c r="M400" s="123">
        <f t="shared" si="46"/>
        <v>14490.78</v>
      </c>
      <c r="N400" s="124">
        <f t="shared" si="47"/>
        <v>1522.36</v>
      </c>
      <c r="O400" s="130">
        <v>1527.16</v>
      </c>
      <c r="P400" s="52">
        <f t="shared" si="42"/>
        <v>14400.0000000005</v>
      </c>
      <c r="Q400" s="52">
        <f t="shared" si="48"/>
        <v>9.22</v>
      </c>
      <c r="R400" s="130">
        <v>9.24</v>
      </c>
      <c r="S400" s="52">
        <f t="shared" si="44"/>
        <v>59.9999999999987</v>
      </c>
      <c r="T400" s="131">
        <f t="shared" si="45"/>
        <v>14340.0000000005</v>
      </c>
      <c r="U400" s="132"/>
      <c r="V400" s="130">
        <v>5.92</v>
      </c>
      <c r="W400" s="130">
        <v>34.63</v>
      </c>
      <c r="X400" s="130"/>
      <c r="Y400" s="130"/>
      <c r="Z400" s="130"/>
      <c r="AA400" s="130"/>
      <c r="AB400" s="131" t="s">
        <v>70</v>
      </c>
    </row>
    <row r="401" ht="15.75" spans="1:28">
      <c r="A401" s="56">
        <f t="shared" si="43"/>
        <v>403</v>
      </c>
      <c r="B401" s="113">
        <v>46146</v>
      </c>
      <c r="C401" s="114">
        <v>46146</v>
      </c>
      <c r="D401" s="80">
        <v>0.28125</v>
      </c>
      <c r="E401" s="127">
        <v>0.78125</v>
      </c>
      <c r="F401" s="122">
        <v>1958.35</v>
      </c>
      <c r="G401" s="129">
        <v>1967.46</v>
      </c>
      <c r="H401" s="130">
        <v>1984.17</v>
      </c>
      <c r="I401" s="129">
        <v>1988</v>
      </c>
      <c r="J401" s="130">
        <v>2055.74</v>
      </c>
      <c r="K401" s="130">
        <v>2062.19</v>
      </c>
      <c r="L401" s="130">
        <v>1997.44</v>
      </c>
      <c r="M401" s="123">
        <f t="shared" si="46"/>
        <v>14013.35</v>
      </c>
      <c r="N401" s="124">
        <f t="shared" si="47"/>
        <v>1527.16</v>
      </c>
      <c r="O401" s="129">
        <v>1531.8</v>
      </c>
      <c r="P401" s="52">
        <v>13920</v>
      </c>
      <c r="Q401" s="52">
        <v>9.24</v>
      </c>
      <c r="R401" s="130">
        <v>9.25</v>
      </c>
      <c r="S401" s="52">
        <f t="shared" si="44"/>
        <v>29.9999999999994</v>
      </c>
      <c r="T401" s="131">
        <f t="shared" si="45"/>
        <v>13890</v>
      </c>
      <c r="U401" s="132"/>
      <c r="V401" s="130">
        <v>5.77</v>
      </c>
      <c r="W401" s="130">
        <v>34.24</v>
      </c>
      <c r="X401" s="130"/>
      <c r="Y401" s="130"/>
      <c r="Z401" s="130"/>
      <c r="AA401" s="130"/>
      <c r="AB401" s="131" t="s">
        <v>70</v>
      </c>
    </row>
    <row r="402" ht="15.75" spans="1:28">
      <c r="A402" s="56">
        <f t="shared" si="43"/>
        <v>404</v>
      </c>
      <c r="B402" s="113">
        <v>46147</v>
      </c>
      <c r="C402" s="114">
        <v>46147</v>
      </c>
      <c r="D402" s="80">
        <v>0.28125</v>
      </c>
      <c r="E402" s="127">
        <v>0.78125</v>
      </c>
      <c r="F402" s="122">
        <v>1857.16</v>
      </c>
      <c r="G402" s="129">
        <v>1873.15</v>
      </c>
      <c r="H402" s="130">
        <v>1882.24</v>
      </c>
      <c r="I402" s="130">
        <v>1883.86</v>
      </c>
      <c r="J402" s="130">
        <v>1947.43</v>
      </c>
      <c r="K402" s="130">
        <v>1957.07</v>
      </c>
      <c r="L402" s="130">
        <v>1923.04</v>
      </c>
      <c r="M402" s="123">
        <v>13323.95</v>
      </c>
      <c r="N402" s="124">
        <f t="shared" si="47"/>
        <v>1531.8</v>
      </c>
      <c r="O402" s="130">
        <v>1536.21</v>
      </c>
      <c r="P402" s="52">
        <f t="shared" si="42"/>
        <v>13230.0000000002</v>
      </c>
      <c r="Q402" s="52">
        <f t="shared" si="48"/>
        <v>9.25</v>
      </c>
      <c r="R402" s="130">
        <v>9.27</v>
      </c>
      <c r="S402" s="52">
        <f t="shared" si="44"/>
        <v>59.9999999999987</v>
      </c>
      <c r="T402" s="131">
        <f t="shared" si="45"/>
        <v>13170.0000000002</v>
      </c>
      <c r="U402" s="132"/>
      <c r="V402" s="130">
        <v>5.76</v>
      </c>
      <c r="W402" s="130">
        <v>35</v>
      </c>
      <c r="X402" s="130"/>
      <c r="Y402" s="130"/>
      <c r="Z402" s="130"/>
      <c r="AA402" s="130"/>
      <c r="AB402" s="131" t="s">
        <v>70</v>
      </c>
    </row>
    <row r="403" ht="15.75" spans="1:28">
      <c r="A403" s="56">
        <f t="shared" si="43"/>
        <v>405</v>
      </c>
      <c r="B403" s="113">
        <v>46148</v>
      </c>
      <c r="C403" s="114">
        <v>46148</v>
      </c>
      <c r="D403" s="80">
        <v>0.28125</v>
      </c>
      <c r="E403" s="127">
        <v>0.78125</v>
      </c>
      <c r="F403" s="122">
        <v>1788.7</v>
      </c>
      <c r="G403" s="129">
        <v>1848.43</v>
      </c>
      <c r="H403" s="130">
        <v>1856.88</v>
      </c>
      <c r="I403" s="130">
        <v>1961.19</v>
      </c>
      <c r="J403" s="130">
        <v>1945.21</v>
      </c>
      <c r="K403" s="130">
        <v>1832.56</v>
      </c>
      <c r="L403" s="130">
        <v>1796.17</v>
      </c>
      <c r="M403" s="123">
        <f t="shared" si="46"/>
        <v>13029.14</v>
      </c>
      <c r="N403" s="124">
        <f t="shared" si="47"/>
        <v>1536.21</v>
      </c>
      <c r="O403" s="130">
        <v>1540.55</v>
      </c>
      <c r="P403" s="52">
        <f t="shared" si="42"/>
        <v>13019.9999999998</v>
      </c>
      <c r="Q403" s="52">
        <f t="shared" si="48"/>
        <v>9.27</v>
      </c>
      <c r="R403" s="130">
        <v>9.29</v>
      </c>
      <c r="S403" s="52">
        <f t="shared" si="44"/>
        <v>59.9999999999987</v>
      </c>
      <c r="T403" s="131">
        <f t="shared" si="45"/>
        <v>12959.9999999998</v>
      </c>
      <c r="U403" s="132"/>
      <c r="V403" s="130">
        <v>5.72</v>
      </c>
      <c r="W403" s="130">
        <v>35.53</v>
      </c>
      <c r="X403" s="130"/>
      <c r="Y403" s="130"/>
      <c r="Z403" s="130"/>
      <c r="AA403" s="130"/>
      <c r="AB403" s="131" t="s">
        <v>70</v>
      </c>
    </row>
    <row r="404" ht="15.75" spans="1:28">
      <c r="A404" s="56">
        <f t="shared" si="43"/>
        <v>406</v>
      </c>
      <c r="B404" s="113">
        <v>46149</v>
      </c>
      <c r="C404" s="114">
        <v>46149</v>
      </c>
      <c r="D404" s="80">
        <v>0.282638888888889</v>
      </c>
      <c r="E404" s="127">
        <v>0.78125</v>
      </c>
      <c r="F404" s="122">
        <v>1842.58</v>
      </c>
      <c r="G404" s="129">
        <v>1861.95</v>
      </c>
      <c r="H404" s="130">
        <v>1825.64</v>
      </c>
      <c r="I404" s="130">
        <v>1954.22</v>
      </c>
      <c r="J404" s="130">
        <v>1937.54</v>
      </c>
      <c r="K404" s="130">
        <v>1944.42</v>
      </c>
      <c r="L404" s="130">
        <v>1914.35</v>
      </c>
      <c r="M404" s="123">
        <f t="shared" si="46"/>
        <v>13280.7</v>
      </c>
      <c r="N404" s="124">
        <f t="shared" si="47"/>
        <v>1540.55</v>
      </c>
      <c r="O404" s="130">
        <v>1544.94</v>
      </c>
      <c r="P404" s="52">
        <f t="shared" si="42"/>
        <v>13170.0000000003</v>
      </c>
      <c r="Q404" s="52">
        <f t="shared" si="48"/>
        <v>9.29</v>
      </c>
      <c r="R404" s="129">
        <v>9.3</v>
      </c>
      <c r="S404" s="52">
        <f t="shared" si="44"/>
        <v>30.0000000000047</v>
      </c>
      <c r="T404" s="131">
        <f t="shared" si="45"/>
        <v>13140.0000000003</v>
      </c>
      <c r="U404" s="132"/>
      <c r="V404" s="130">
        <v>5.81</v>
      </c>
      <c r="W404" s="130">
        <v>36.51</v>
      </c>
      <c r="X404" s="130"/>
      <c r="Y404" s="130"/>
      <c r="Z404" s="130"/>
      <c r="AA404" s="130"/>
      <c r="AB404" s="131" t="s">
        <v>70</v>
      </c>
    </row>
    <row r="405" ht="15.75" spans="1:28">
      <c r="A405" s="56">
        <f t="shared" si="43"/>
        <v>407</v>
      </c>
      <c r="B405" s="113">
        <v>46150</v>
      </c>
      <c r="C405" s="114">
        <v>46150</v>
      </c>
      <c r="D405" s="80">
        <v>0.28125</v>
      </c>
      <c r="E405" s="127">
        <v>0.78125</v>
      </c>
      <c r="F405" s="122">
        <v>1873.01</v>
      </c>
      <c r="G405" s="129">
        <v>1891.29</v>
      </c>
      <c r="H405" s="129">
        <v>1891.3</v>
      </c>
      <c r="I405" s="129">
        <v>1975.9</v>
      </c>
      <c r="J405" s="130">
        <v>1959.36</v>
      </c>
      <c r="K405" s="130">
        <v>1970.12</v>
      </c>
      <c r="L405" s="130">
        <v>1935.24</v>
      </c>
      <c r="M405" s="123">
        <f t="shared" si="46"/>
        <v>13496.22</v>
      </c>
      <c r="N405" s="124">
        <f t="shared" si="47"/>
        <v>1544.94</v>
      </c>
      <c r="O405" s="130">
        <v>1549.41</v>
      </c>
      <c r="P405" s="52">
        <f t="shared" si="42"/>
        <v>13410.0000000001</v>
      </c>
      <c r="Q405" s="52">
        <f t="shared" si="48"/>
        <v>9.3</v>
      </c>
      <c r="R405" s="130">
        <v>9.32</v>
      </c>
      <c r="S405" s="52">
        <f t="shared" si="44"/>
        <v>59.9999999999987</v>
      </c>
      <c r="T405" s="131">
        <f t="shared" si="45"/>
        <v>13350.0000000001</v>
      </c>
      <c r="U405" s="132"/>
      <c r="V405" s="130">
        <v>5.79</v>
      </c>
      <c r="W405" s="130">
        <v>36.53</v>
      </c>
      <c r="X405" s="130"/>
      <c r="Y405" s="130"/>
      <c r="Z405" s="130"/>
      <c r="AA405" s="130"/>
      <c r="AB405" s="131" t="s">
        <v>70</v>
      </c>
    </row>
    <row r="406" ht="15.75" spans="1:28">
      <c r="A406" s="56">
        <f t="shared" si="43"/>
        <v>408</v>
      </c>
      <c r="B406" s="113">
        <v>46151</v>
      </c>
      <c r="C406" s="114">
        <v>46151</v>
      </c>
      <c r="D406" s="80">
        <v>0.28125</v>
      </c>
      <c r="E406" s="127">
        <v>0.78125</v>
      </c>
      <c r="F406" s="122">
        <v>1966.75</v>
      </c>
      <c r="G406" s="129">
        <v>1973.67</v>
      </c>
      <c r="H406" s="130">
        <v>1932.43</v>
      </c>
      <c r="I406" s="130">
        <v>1986.47</v>
      </c>
      <c r="J406" s="130">
        <v>1964.41</v>
      </c>
      <c r="K406" s="130">
        <v>1974.46</v>
      </c>
      <c r="L406" s="130">
        <v>1953.89</v>
      </c>
      <c r="M406" s="123">
        <f t="shared" si="46"/>
        <v>13752.08</v>
      </c>
      <c r="N406" s="124">
        <f t="shared" si="47"/>
        <v>1549.41</v>
      </c>
      <c r="O406" s="130">
        <v>1553.97</v>
      </c>
      <c r="P406" s="52">
        <f t="shared" si="42"/>
        <v>13679.9999999998</v>
      </c>
      <c r="Q406" s="52">
        <f t="shared" si="48"/>
        <v>9.32</v>
      </c>
      <c r="R406" s="130">
        <v>9.33</v>
      </c>
      <c r="S406" s="52">
        <f t="shared" si="44"/>
        <v>29.9999999999994</v>
      </c>
      <c r="T406" s="131">
        <f t="shared" si="45"/>
        <v>13649.9999999998</v>
      </c>
      <c r="U406" s="132"/>
      <c r="V406" s="130">
        <v>5.88</v>
      </c>
      <c r="W406" s="130">
        <v>36.97</v>
      </c>
      <c r="X406" s="130"/>
      <c r="Y406" s="130"/>
      <c r="Z406" s="130"/>
      <c r="AA406" s="130"/>
      <c r="AB406" s="131" t="s">
        <v>70</v>
      </c>
    </row>
    <row r="407" ht="15.75" spans="1:28">
      <c r="A407" s="56">
        <f t="shared" si="43"/>
        <v>409</v>
      </c>
      <c r="B407" s="113">
        <v>46152</v>
      </c>
      <c r="C407" s="114">
        <v>46152</v>
      </c>
      <c r="D407" s="80">
        <v>0.28125</v>
      </c>
      <c r="E407" s="127">
        <v>0.78125</v>
      </c>
      <c r="F407" s="122">
        <v>1995.34</v>
      </c>
      <c r="G407" s="129">
        <v>2007.09</v>
      </c>
      <c r="H407" s="130">
        <v>2007.78</v>
      </c>
      <c r="I407" s="129">
        <v>1964.8</v>
      </c>
      <c r="J407" s="130">
        <v>1917.71</v>
      </c>
      <c r="K407" s="130">
        <v>2113.73</v>
      </c>
      <c r="L407" s="130">
        <v>2079.33</v>
      </c>
      <c r="M407" s="123">
        <f t="shared" si="46"/>
        <v>14085.78</v>
      </c>
      <c r="N407" s="124">
        <f t="shared" si="47"/>
        <v>1553.97</v>
      </c>
      <c r="O407" s="130">
        <v>1558.62</v>
      </c>
      <c r="P407" s="52">
        <f t="shared" si="42"/>
        <v>13949.9999999996</v>
      </c>
      <c r="Q407" s="52">
        <f t="shared" si="48"/>
        <v>9.33</v>
      </c>
      <c r="R407" s="130">
        <v>9.35</v>
      </c>
      <c r="S407" s="52">
        <f t="shared" si="44"/>
        <v>59.9999999999987</v>
      </c>
      <c r="T407" s="131">
        <f t="shared" si="45"/>
        <v>13889.9999999996</v>
      </c>
      <c r="U407" s="132"/>
      <c r="V407" s="130">
        <v>5.98</v>
      </c>
      <c r="W407" s="130">
        <v>37.51</v>
      </c>
      <c r="X407" s="130"/>
      <c r="Y407" s="130"/>
      <c r="Z407" s="130"/>
      <c r="AA407" s="130"/>
      <c r="AB407" s="131" t="s">
        <v>70</v>
      </c>
    </row>
    <row r="408" ht="15.75" spans="1:28">
      <c r="A408" s="56">
        <f t="shared" si="43"/>
        <v>410</v>
      </c>
      <c r="B408" s="113">
        <v>46153</v>
      </c>
      <c r="C408" s="114">
        <v>46153</v>
      </c>
      <c r="D408" s="80">
        <v>0.28125</v>
      </c>
      <c r="E408" s="127">
        <v>0.78125</v>
      </c>
      <c r="F408" s="122">
        <v>1827.63</v>
      </c>
      <c r="G408" s="129">
        <v>1967.22</v>
      </c>
      <c r="H408" s="130">
        <v>1969.58</v>
      </c>
      <c r="I408" s="130">
        <v>2068.06</v>
      </c>
      <c r="J408" s="129">
        <v>2052.5</v>
      </c>
      <c r="K408" s="130">
        <v>2072.96</v>
      </c>
      <c r="L408" s="130">
        <v>2043.09</v>
      </c>
      <c r="M408" s="123">
        <f t="shared" si="46"/>
        <v>14001.04</v>
      </c>
      <c r="N408" s="124">
        <f t="shared" si="47"/>
        <v>1558.62</v>
      </c>
      <c r="O408" s="130">
        <v>1563.25</v>
      </c>
      <c r="P408" s="52">
        <f t="shared" ref="P408:P471" si="49">MAX((O408-N408)*3000,0)</f>
        <v>13890.0000000003</v>
      </c>
      <c r="Q408" s="52">
        <f t="shared" si="48"/>
        <v>9.35</v>
      </c>
      <c r="R408" s="130">
        <v>9.37</v>
      </c>
      <c r="S408" s="52">
        <f t="shared" si="44"/>
        <v>59.9999999999987</v>
      </c>
      <c r="T408" s="131">
        <f t="shared" si="45"/>
        <v>13830.0000000003</v>
      </c>
      <c r="U408" s="132"/>
      <c r="V408" s="130">
        <v>5.95</v>
      </c>
      <c r="W408" s="130">
        <v>37.51</v>
      </c>
      <c r="X408" s="130"/>
      <c r="Y408" s="130"/>
      <c r="Z408" s="130"/>
      <c r="AA408" s="130"/>
      <c r="AB408" s="131" t="s">
        <v>70</v>
      </c>
    </row>
    <row r="409" ht="15.75" spans="1:28">
      <c r="A409" s="56">
        <f t="shared" si="43"/>
        <v>411</v>
      </c>
      <c r="B409" s="113">
        <v>46154</v>
      </c>
      <c r="C409" s="114">
        <v>46154</v>
      </c>
      <c r="D409" s="80">
        <v>0.28125</v>
      </c>
      <c r="E409" s="127">
        <v>1902.35</v>
      </c>
      <c r="F409" s="122">
        <v>1902.35</v>
      </c>
      <c r="G409" s="129">
        <v>1905.23</v>
      </c>
      <c r="H409" s="130">
        <v>1907.41</v>
      </c>
      <c r="I409" s="130">
        <v>2003.73</v>
      </c>
      <c r="J409" s="130">
        <v>1987.06</v>
      </c>
      <c r="K409" s="130">
        <v>2008.85</v>
      </c>
      <c r="L409" s="130">
        <v>1975.47</v>
      </c>
      <c r="M409" s="123">
        <f t="shared" si="46"/>
        <v>13690.1</v>
      </c>
      <c r="N409" s="124">
        <f t="shared" si="47"/>
        <v>1563.25</v>
      </c>
      <c r="O409" s="130">
        <v>1567.79</v>
      </c>
      <c r="P409" s="52">
        <f t="shared" si="49"/>
        <v>13619.9999999999</v>
      </c>
      <c r="Q409" s="52">
        <f t="shared" si="48"/>
        <v>9.37</v>
      </c>
      <c r="R409" s="130">
        <v>9.38</v>
      </c>
      <c r="S409" s="52">
        <f t="shared" si="44"/>
        <v>30.0000000000047</v>
      </c>
      <c r="T409" s="131">
        <f t="shared" si="45"/>
        <v>13589.9999999999</v>
      </c>
      <c r="U409" s="132"/>
      <c r="V409" s="130">
        <v>5.77</v>
      </c>
      <c r="W409" s="130">
        <v>36.85</v>
      </c>
      <c r="X409" s="130"/>
      <c r="Y409" s="130"/>
      <c r="Z409" s="130"/>
      <c r="AA409" s="130"/>
      <c r="AB409" s="131" t="s">
        <v>70</v>
      </c>
    </row>
    <row r="410" ht="15.75" spans="1:28">
      <c r="A410" s="56">
        <f t="shared" si="43"/>
        <v>412</v>
      </c>
      <c r="B410" s="113">
        <v>46155</v>
      </c>
      <c r="C410" s="114">
        <v>46155</v>
      </c>
      <c r="D410" s="80">
        <v>0.28125</v>
      </c>
      <c r="E410" s="127">
        <v>0.78125</v>
      </c>
      <c r="F410" s="122">
        <v>51.97</v>
      </c>
      <c r="G410" s="129">
        <v>51.92</v>
      </c>
      <c r="H410" s="130">
        <v>52.73</v>
      </c>
      <c r="I410" s="130">
        <v>55.19</v>
      </c>
      <c r="J410" s="130">
        <v>54.25</v>
      </c>
      <c r="K410" s="130">
        <v>54.81</v>
      </c>
      <c r="L410" s="130">
        <v>53.99</v>
      </c>
      <c r="M410" s="123">
        <f t="shared" si="46"/>
        <v>374.86</v>
      </c>
      <c r="N410" s="124">
        <v>1567.79</v>
      </c>
      <c r="O410" s="130">
        <v>1567.91</v>
      </c>
      <c r="P410" s="52">
        <f t="shared" si="49"/>
        <v>360.000000000355</v>
      </c>
      <c r="Q410" s="53">
        <v>9.38</v>
      </c>
      <c r="R410" s="130">
        <v>9.4</v>
      </c>
      <c r="S410" s="52">
        <f t="shared" si="44"/>
        <v>59.9999999999987</v>
      </c>
      <c r="T410" s="131">
        <f t="shared" si="45"/>
        <v>300.000000000356</v>
      </c>
      <c r="U410" s="132"/>
      <c r="V410" s="130">
        <v>0.11</v>
      </c>
      <c r="W410" s="130">
        <v>35.33</v>
      </c>
      <c r="X410" s="130"/>
      <c r="Y410" s="130"/>
      <c r="Z410" s="130"/>
      <c r="AA410" s="130"/>
      <c r="AB410" s="131" t="s">
        <v>70</v>
      </c>
    </row>
    <row r="411" ht="15.75" spans="1:28">
      <c r="A411" s="56">
        <f t="shared" si="43"/>
        <v>413</v>
      </c>
      <c r="B411" s="113">
        <v>46156</v>
      </c>
      <c r="C411" s="114">
        <v>46156</v>
      </c>
      <c r="D411" s="80">
        <v>0.28125</v>
      </c>
      <c r="E411" s="127">
        <v>0.78125</v>
      </c>
      <c r="F411" s="122">
        <v>1941.95</v>
      </c>
      <c r="G411" s="129">
        <v>1936.75</v>
      </c>
      <c r="H411" s="130">
        <v>1940.41</v>
      </c>
      <c r="I411" s="129">
        <v>1955</v>
      </c>
      <c r="J411" s="129">
        <v>1923</v>
      </c>
      <c r="K411" s="130">
        <v>2050.08</v>
      </c>
      <c r="L411" s="129">
        <v>2019.4</v>
      </c>
      <c r="M411" s="123">
        <f t="shared" si="46"/>
        <v>13766.59</v>
      </c>
      <c r="N411" s="124">
        <v>1567.91</v>
      </c>
      <c r="O411" s="130">
        <v>1572.46</v>
      </c>
      <c r="P411" s="52">
        <f t="shared" si="49"/>
        <v>13649.9999999999</v>
      </c>
      <c r="Q411" s="52">
        <v>9.4</v>
      </c>
      <c r="R411" s="130">
        <v>9.41</v>
      </c>
      <c r="S411" s="52">
        <f t="shared" si="44"/>
        <v>29.9999999999994</v>
      </c>
      <c r="T411" s="131">
        <f t="shared" si="45"/>
        <v>13619.9999999999</v>
      </c>
      <c r="U411" s="132"/>
      <c r="V411" s="130">
        <v>5.88</v>
      </c>
      <c r="W411" s="130">
        <v>36.59</v>
      </c>
      <c r="X411" s="130"/>
      <c r="Y411" s="130"/>
      <c r="Z411" s="130"/>
      <c r="AA411" s="130"/>
      <c r="AB411" s="131" t="s">
        <v>70</v>
      </c>
    </row>
    <row r="412" ht="15.75" spans="1:28">
      <c r="A412" s="56">
        <f t="shared" si="43"/>
        <v>414</v>
      </c>
      <c r="B412" s="113">
        <v>46157</v>
      </c>
      <c r="C412" s="114">
        <v>46157</v>
      </c>
      <c r="D412" s="80">
        <v>0.28125</v>
      </c>
      <c r="E412" s="127">
        <v>0.78125</v>
      </c>
      <c r="F412" s="122">
        <v>1922.63</v>
      </c>
      <c r="G412" s="129">
        <v>1914.5</v>
      </c>
      <c r="H412" s="130">
        <v>1915.05</v>
      </c>
      <c r="I412" s="130">
        <v>2010.98</v>
      </c>
      <c r="J412" s="130">
        <v>1990.18</v>
      </c>
      <c r="K412" s="129">
        <v>2009</v>
      </c>
      <c r="L412" s="129">
        <v>1943.8</v>
      </c>
      <c r="M412" s="123">
        <f t="shared" si="46"/>
        <v>13706.14</v>
      </c>
      <c r="N412" s="124">
        <f t="shared" si="47"/>
        <v>1572.46</v>
      </c>
      <c r="O412" s="129">
        <v>1577</v>
      </c>
      <c r="P412" s="52">
        <f t="shared" si="49"/>
        <v>13619.9999999999</v>
      </c>
      <c r="Q412" s="52">
        <v>9.41</v>
      </c>
      <c r="R412" s="130">
        <v>9.43</v>
      </c>
      <c r="S412" s="52">
        <f t="shared" si="44"/>
        <v>59.9999999999987</v>
      </c>
      <c r="T412" s="131">
        <f t="shared" si="45"/>
        <v>13559.9999999999</v>
      </c>
      <c r="U412" s="132"/>
      <c r="V412" s="130">
        <v>5.69</v>
      </c>
      <c r="W412" s="130">
        <v>34.16</v>
      </c>
      <c r="X412" s="130"/>
      <c r="Y412" s="130"/>
      <c r="Z412" s="130"/>
      <c r="AA412" s="130"/>
      <c r="AB412" s="131" t="s">
        <v>70</v>
      </c>
    </row>
    <row r="413" ht="15.75" spans="1:28">
      <c r="A413" s="56">
        <f t="shared" si="43"/>
        <v>415</v>
      </c>
      <c r="B413" s="113">
        <v>46158</v>
      </c>
      <c r="C413" s="114">
        <v>46158</v>
      </c>
      <c r="D413" s="80">
        <v>0.28125</v>
      </c>
      <c r="E413" s="127">
        <v>0.78125</v>
      </c>
      <c r="F413" s="122">
        <v>1967.81</v>
      </c>
      <c r="G413" s="129">
        <v>1962.58</v>
      </c>
      <c r="H413" s="130">
        <v>1958.13</v>
      </c>
      <c r="I413" s="130">
        <v>2069.62</v>
      </c>
      <c r="J413" s="130">
        <v>2052.79</v>
      </c>
      <c r="K413" s="129">
        <v>2072.7</v>
      </c>
      <c r="L413" s="129">
        <v>2047</v>
      </c>
      <c r="M413" s="123">
        <f t="shared" si="46"/>
        <v>14130.63</v>
      </c>
      <c r="N413" s="124">
        <f t="shared" si="47"/>
        <v>1577</v>
      </c>
      <c r="O413" s="130">
        <v>1581.68</v>
      </c>
      <c r="P413" s="52">
        <f t="shared" si="49"/>
        <v>14040.0000000002</v>
      </c>
      <c r="Q413" s="52">
        <f t="shared" si="48"/>
        <v>9.43</v>
      </c>
      <c r="R413" s="130">
        <v>9.45</v>
      </c>
      <c r="S413" s="52">
        <f t="shared" si="44"/>
        <v>59.9999999999987</v>
      </c>
      <c r="T413" s="131">
        <f t="shared" si="45"/>
        <v>13980.0000000002</v>
      </c>
      <c r="U413" s="132"/>
      <c r="V413" s="130">
        <v>6.02</v>
      </c>
      <c r="W413" s="130">
        <v>36.18</v>
      </c>
      <c r="X413" s="130"/>
      <c r="Y413" s="130"/>
      <c r="Z413" s="130"/>
      <c r="AA413" s="130"/>
      <c r="AB413" s="131" t="s">
        <v>70</v>
      </c>
    </row>
    <row r="414" ht="15.75" spans="1:28">
      <c r="A414" s="56">
        <f t="shared" si="43"/>
        <v>416</v>
      </c>
      <c r="B414" s="113">
        <v>46159</v>
      </c>
      <c r="C414" s="114">
        <v>46159</v>
      </c>
      <c r="D414" s="80">
        <v>0.281944444444444</v>
      </c>
      <c r="E414" s="127">
        <v>0.78125</v>
      </c>
      <c r="F414" s="122">
        <v>1956.68</v>
      </c>
      <c r="G414" s="129">
        <v>1927.61</v>
      </c>
      <c r="H414" s="130">
        <v>1942.54</v>
      </c>
      <c r="I414" s="130">
        <v>2058.23</v>
      </c>
      <c r="J414" s="130">
        <v>2042.88</v>
      </c>
      <c r="K414" s="130">
        <v>2062.57</v>
      </c>
      <c r="L414" s="130">
        <v>2038.41</v>
      </c>
      <c r="M414" s="123">
        <f t="shared" si="46"/>
        <v>14028.92</v>
      </c>
      <c r="N414" s="124">
        <f t="shared" si="47"/>
        <v>1581.68</v>
      </c>
      <c r="O414" s="130">
        <v>1586.31</v>
      </c>
      <c r="P414" s="52">
        <f t="shared" si="49"/>
        <v>13889.9999999996</v>
      </c>
      <c r="Q414" s="52">
        <f t="shared" si="48"/>
        <v>9.45</v>
      </c>
      <c r="R414" s="130">
        <v>9.46</v>
      </c>
      <c r="S414" s="52">
        <f t="shared" si="44"/>
        <v>30.0000000000047</v>
      </c>
      <c r="T414" s="131">
        <f t="shared" si="45"/>
        <v>13859.9999999996</v>
      </c>
      <c r="U414" s="132"/>
      <c r="V414" s="130">
        <v>6.06</v>
      </c>
      <c r="W414" s="130">
        <v>36.59</v>
      </c>
      <c r="X414" s="130"/>
      <c r="Y414" s="130"/>
      <c r="Z414" s="130"/>
      <c r="AA414" s="130"/>
      <c r="AB414" s="131" t="s">
        <v>70</v>
      </c>
    </row>
    <row r="415" ht="15.75" spans="1:28">
      <c r="A415" s="56">
        <f t="shared" si="43"/>
        <v>417</v>
      </c>
      <c r="B415" s="113">
        <v>46160</v>
      </c>
      <c r="C415" s="114">
        <v>46160</v>
      </c>
      <c r="D415" s="80">
        <v>0.270833333333333</v>
      </c>
      <c r="E415" s="127">
        <v>0.78125</v>
      </c>
      <c r="F415" s="122">
        <v>1894.05</v>
      </c>
      <c r="G415" s="129">
        <v>1886.64</v>
      </c>
      <c r="H415" s="130">
        <v>1890.19</v>
      </c>
      <c r="I415" s="130">
        <v>1991.14</v>
      </c>
      <c r="J415" s="130">
        <v>1973.09</v>
      </c>
      <c r="K415" s="130">
        <v>1995.57</v>
      </c>
      <c r="L415" s="130">
        <v>1966.88</v>
      </c>
      <c r="M415" s="123">
        <f t="shared" si="46"/>
        <v>13597.56</v>
      </c>
      <c r="N415" s="124">
        <f t="shared" si="47"/>
        <v>1586.31</v>
      </c>
      <c r="O415" s="130">
        <v>1590.81</v>
      </c>
      <c r="P415" s="52">
        <f t="shared" si="49"/>
        <v>13500</v>
      </c>
      <c r="Q415" s="52">
        <f t="shared" si="48"/>
        <v>9.46</v>
      </c>
      <c r="R415" s="130">
        <v>9.48</v>
      </c>
      <c r="S415" s="52">
        <f t="shared" si="44"/>
        <v>59.9999999999987</v>
      </c>
      <c r="T415" s="131">
        <f t="shared" si="45"/>
        <v>13440</v>
      </c>
      <c r="U415" s="132"/>
      <c r="V415" s="130">
        <v>5.85</v>
      </c>
      <c r="W415" s="130">
        <v>35.86</v>
      </c>
      <c r="X415" s="130"/>
      <c r="Y415" s="130"/>
      <c r="Z415" s="130"/>
      <c r="AA415" s="130"/>
      <c r="AB415" s="131" t="s">
        <v>70</v>
      </c>
    </row>
    <row r="416" ht="15.75" spans="1:28">
      <c r="A416" s="56">
        <f t="shared" si="43"/>
        <v>418</v>
      </c>
      <c r="B416" s="113">
        <v>46161</v>
      </c>
      <c r="C416" s="114">
        <v>46161</v>
      </c>
      <c r="D416" s="80">
        <v>0.28125</v>
      </c>
      <c r="E416" s="127">
        <v>0.791666666666667</v>
      </c>
      <c r="F416" s="122">
        <v>1931.99</v>
      </c>
      <c r="G416" s="129">
        <v>1927.24</v>
      </c>
      <c r="H416" s="130">
        <v>1927.92</v>
      </c>
      <c r="I416" s="130">
        <v>2033.23</v>
      </c>
      <c r="J416" s="130">
        <v>2020.43</v>
      </c>
      <c r="K416" s="130">
        <v>2036.98</v>
      </c>
      <c r="L416" s="130">
        <v>2007.18</v>
      </c>
      <c r="M416" s="123">
        <f t="shared" si="46"/>
        <v>13884.97</v>
      </c>
      <c r="N416" s="124">
        <f t="shared" si="47"/>
        <v>1590.81</v>
      </c>
      <c r="O416" s="130">
        <v>1595.39</v>
      </c>
      <c r="P416" s="52">
        <f t="shared" si="49"/>
        <v>13740.0000000005</v>
      </c>
      <c r="Q416" s="52">
        <f t="shared" si="48"/>
        <v>9.48</v>
      </c>
      <c r="R416" s="130">
        <v>9.49</v>
      </c>
      <c r="S416" s="52">
        <f t="shared" si="44"/>
        <v>29.9999999999994</v>
      </c>
      <c r="T416" s="131">
        <f t="shared" si="45"/>
        <v>13710.0000000005</v>
      </c>
      <c r="U416" s="132"/>
      <c r="V416" s="130">
        <v>6.11</v>
      </c>
      <c r="W416" s="130">
        <v>35.36</v>
      </c>
      <c r="X416" s="130"/>
      <c r="Y416" s="130"/>
      <c r="Z416" s="130"/>
      <c r="AA416" s="130"/>
      <c r="AB416" s="131" t="s">
        <v>70</v>
      </c>
    </row>
    <row r="417" ht="15.75" spans="1:28">
      <c r="A417" s="56">
        <f t="shared" si="43"/>
        <v>419</v>
      </c>
      <c r="B417" s="113">
        <v>46162</v>
      </c>
      <c r="C417" s="114">
        <v>46162</v>
      </c>
      <c r="D417" s="80">
        <v>0.28125</v>
      </c>
      <c r="E417" s="127">
        <v>0.78125</v>
      </c>
      <c r="F417" s="122">
        <v>1886.75</v>
      </c>
      <c r="G417" s="129">
        <v>1874.72</v>
      </c>
      <c r="H417" s="130">
        <v>1870.04</v>
      </c>
      <c r="I417" s="130">
        <v>1976.16</v>
      </c>
      <c r="J417" s="130">
        <v>1966.73</v>
      </c>
      <c r="K417" s="130">
        <v>1993.99</v>
      </c>
      <c r="L417" s="130">
        <v>1969.08</v>
      </c>
      <c r="M417" s="123">
        <v>13537.47</v>
      </c>
      <c r="N417" s="124">
        <f t="shared" si="47"/>
        <v>1595.39</v>
      </c>
      <c r="O417" s="130">
        <v>1599.89</v>
      </c>
      <c r="P417" s="52">
        <f t="shared" si="49"/>
        <v>13500</v>
      </c>
      <c r="Q417" s="52">
        <f t="shared" si="48"/>
        <v>9.49</v>
      </c>
      <c r="R417" s="130">
        <v>9.51</v>
      </c>
      <c r="S417" s="52">
        <f t="shared" si="44"/>
        <v>59.9999999999987</v>
      </c>
      <c r="T417" s="131">
        <f t="shared" si="45"/>
        <v>13440</v>
      </c>
      <c r="U417" s="132"/>
      <c r="V417" s="130">
        <v>5.89</v>
      </c>
      <c r="W417" s="130">
        <v>35</v>
      </c>
      <c r="X417" s="130"/>
      <c r="Y417" s="130"/>
      <c r="Z417" s="130"/>
      <c r="AA417" s="130"/>
      <c r="AB417" s="131" t="s">
        <v>70</v>
      </c>
    </row>
    <row r="418" ht="15.75" spans="1:28">
      <c r="A418" s="56">
        <f t="shared" si="43"/>
        <v>420</v>
      </c>
      <c r="B418" s="113">
        <v>46163</v>
      </c>
      <c r="C418" s="114">
        <v>46163</v>
      </c>
      <c r="D418" s="80">
        <v>0.28125</v>
      </c>
      <c r="E418" s="127">
        <v>0.78125</v>
      </c>
      <c r="F418" s="122">
        <v>1770.23</v>
      </c>
      <c r="G418" s="129">
        <v>1758.92</v>
      </c>
      <c r="H418" s="130">
        <v>1761.32</v>
      </c>
      <c r="I418" s="130">
        <v>1909.16</v>
      </c>
      <c r="J418" s="130">
        <v>1880.68</v>
      </c>
      <c r="K418" s="129">
        <v>1896.7</v>
      </c>
      <c r="L418" s="130">
        <v>1883.45</v>
      </c>
      <c r="M418" s="123">
        <f t="shared" si="46"/>
        <v>12860.46</v>
      </c>
      <c r="N418" s="124">
        <f t="shared" si="47"/>
        <v>1599.89</v>
      </c>
      <c r="O418" s="130">
        <v>1604.13</v>
      </c>
      <c r="P418" s="52">
        <f t="shared" si="49"/>
        <v>12720</v>
      </c>
      <c r="Q418" s="52">
        <f t="shared" si="48"/>
        <v>9.51</v>
      </c>
      <c r="R418" s="130">
        <v>9.52</v>
      </c>
      <c r="S418" s="52">
        <f t="shared" si="44"/>
        <v>29.9999999999994</v>
      </c>
      <c r="T418" s="131">
        <f t="shared" si="45"/>
        <v>12690</v>
      </c>
      <c r="U418" s="132"/>
      <c r="V418" s="130">
        <v>5.55</v>
      </c>
      <c r="W418" s="130">
        <v>36.32</v>
      </c>
      <c r="X418" s="130"/>
      <c r="Y418" s="130"/>
      <c r="Z418" s="130"/>
      <c r="AA418" s="130"/>
      <c r="AB418" s="131" t="s">
        <v>70</v>
      </c>
    </row>
    <row r="419" ht="15.75" spans="1:28">
      <c r="A419" s="56">
        <f t="shared" si="43"/>
        <v>421</v>
      </c>
      <c r="B419" s="113">
        <v>46164</v>
      </c>
      <c r="C419" s="114">
        <v>46164</v>
      </c>
      <c r="D419" s="80">
        <v>0.28125</v>
      </c>
      <c r="E419" s="127">
        <v>0.78125</v>
      </c>
      <c r="F419" s="122">
        <v>1859.15</v>
      </c>
      <c r="G419" s="129">
        <v>1850.35</v>
      </c>
      <c r="H419" s="130">
        <v>1854.14</v>
      </c>
      <c r="I419" s="130">
        <v>1960.04</v>
      </c>
      <c r="J419" s="130">
        <v>1933.67</v>
      </c>
      <c r="K419" s="130">
        <v>1950.38</v>
      </c>
      <c r="L419" s="130">
        <v>1938.55</v>
      </c>
      <c r="M419" s="123">
        <f t="shared" si="46"/>
        <v>13346.28</v>
      </c>
      <c r="N419" s="124">
        <f t="shared" si="47"/>
        <v>1604.13</v>
      </c>
      <c r="O419" s="130">
        <v>1608.56</v>
      </c>
      <c r="P419" s="52">
        <f t="shared" si="49"/>
        <v>13289.9999999995</v>
      </c>
      <c r="Q419" s="52">
        <f t="shared" si="48"/>
        <v>9.52</v>
      </c>
      <c r="R419" s="130">
        <v>9.54</v>
      </c>
      <c r="S419" s="52">
        <f t="shared" si="44"/>
        <v>59.9999999999987</v>
      </c>
      <c r="T419" s="131">
        <f t="shared" si="45"/>
        <v>13229.9999999995</v>
      </c>
      <c r="U419" s="132"/>
      <c r="V419" s="130">
        <v>5.82</v>
      </c>
      <c r="W419" s="130">
        <v>37.12</v>
      </c>
      <c r="X419" s="130"/>
      <c r="Y419" s="130"/>
      <c r="Z419" s="130"/>
      <c r="AA419" s="130"/>
      <c r="AB419" s="131" t="s">
        <v>70</v>
      </c>
    </row>
    <row r="420" ht="15.75" spans="1:28">
      <c r="A420" s="56">
        <f t="shared" si="43"/>
        <v>422</v>
      </c>
      <c r="B420" s="113">
        <v>46165</v>
      </c>
      <c r="C420" s="114">
        <v>46165</v>
      </c>
      <c r="D420" s="80">
        <v>0.28125</v>
      </c>
      <c r="E420" s="127">
        <v>0.78125</v>
      </c>
      <c r="F420" s="122">
        <v>1744.24</v>
      </c>
      <c r="G420" s="129">
        <v>1761.86</v>
      </c>
      <c r="H420" s="129">
        <v>1765.7</v>
      </c>
      <c r="I420" s="130">
        <v>1859.49</v>
      </c>
      <c r="J420" s="129">
        <v>1832</v>
      </c>
      <c r="K420" s="130">
        <v>1843.38</v>
      </c>
      <c r="L420" s="130">
        <v>1832.16</v>
      </c>
      <c r="M420" s="123">
        <f t="shared" si="46"/>
        <v>12638.83</v>
      </c>
      <c r="N420" s="124">
        <f t="shared" si="47"/>
        <v>1608.56</v>
      </c>
      <c r="O420" s="130">
        <v>1612.76</v>
      </c>
      <c r="P420" s="52">
        <f t="shared" si="49"/>
        <v>12600.0000000001</v>
      </c>
      <c r="Q420" s="52">
        <f t="shared" si="48"/>
        <v>9.54</v>
      </c>
      <c r="R420" s="130">
        <v>9.55</v>
      </c>
      <c r="S420" s="52">
        <f t="shared" si="44"/>
        <v>30.0000000000047</v>
      </c>
      <c r="T420" s="131">
        <f t="shared" si="45"/>
        <v>12570.0000000001</v>
      </c>
      <c r="U420" s="132"/>
      <c r="V420" s="130">
        <v>5.36</v>
      </c>
      <c r="W420" s="130">
        <v>36.24</v>
      </c>
      <c r="X420" s="130"/>
      <c r="Y420" s="130"/>
      <c r="Z420" s="130"/>
      <c r="AA420" s="130"/>
      <c r="AB420" s="131" t="s">
        <v>70</v>
      </c>
    </row>
    <row r="421" ht="15.75" spans="1:28">
      <c r="A421" s="56">
        <f t="shared" si="43"/>
        <v>423</v>
      </c>
      <c r="B421" s="113">
        <v>46166</v>
      </c>
      <c r="C421" s="114">
        <v>46166</v>
      </c>
      <c r="D421" s="80">
        <v>0.28125</v>
      </c>
      <c r="E421" s="127">
        <v>1720.15</v>
      </c>
      <c r="F421" s="122">
        <v>1720.15</v>
      </c>
      <c r="G421" s="129">
        <v>1707.57</v>
      </c>
      <c r="H421" s="130">
        <v>1704.45</v>
      </c>
      <c r="I421" s="130">
        <v>1788.64</v>
      </c>
      <c r="J421" s="130">
        <v>1756.81</v>
      </c>
      <c r="K421" s="130">
        <v>1767.39</v>
      </c>
      <c r="L421" s="129">
        <v>1758.9</v>
      </c>
      <c r="M421" s="123">
        <f t="shared" si="46"/>
        <v>12203.91</v>
      </c>
      <c r="N421" s="124">
        <f t="shared" si="47"/>
        <v>1612.76</v>
      </c>
      <c r="O421" s="129">
        <v>1616.8</v>
      </c>
      <c r="P421" s="52">
        <f t="shared" si="49"/>
        <v>12119.9999999999</v>
      </c>
      <c r="Q421" s="52">
        <f t="shared" si="48"/>
        <v>9.55</v>
      </c>
      <c r="R421" s="130">
        <v>9.58</v>
      </c>
      <c r="S421" s="52">
        <f t="shared" si="44"/>
        <v>89.9999999999981</v>
      </c>
      <c r="T421" s="131">
        <f t="shared" si="45"/>
        <v>12029.9999999999</v>
      </c>
      <c r="U421" s="132"/>
      <c r="V421" s="130">
        <v>5.26</v>
      </c>
      <c r="W421" s="130">
        <v>34.75</v>
      </c>
      <c r="X421" s="130"/>
      <c r="Y421" s="130"/>
      <c r="Z421" s="130"/>
      <c r="AA421" s="130"/>
      <c r="AB421" s="131" t="s">
        <v>70</v>
      </c>
    </row>
    <row r="422" ht="15.75" spans="1:28">
      <c r="A422" s="56">
        <f t="shared" si="43"/>
        <v>424</v>
      </c>
      <c r="B422" s="113">
        <v>46167</v>
      </c>
      <c r="C422" s="114">
        <v>46167</v>
      </c>
      <c r="D422" s="80">
        <v>0.28125</v>
      </c>
      <c r="E422" s="127">
        <v>0.78125</v>
      </c>
      <c r="F422" s="122">
        <v>1856.43</v>
      </c>
      <c r="G422" s="129">
        <v>1848.11</v>
      </c>
      <c r="H422" s="130">
        <v>1849.98</v>
      </c>
      <c r="I422" s="130">
        <v>1947.45</v>
      </c>
      <c r="J422" s="130">
        <v>1918.42</v>
      </c>
      <c r="K422" s="130">
        <v>1930.05</v>
      </c>
      <c r="L422" s="130">
        <v>1911.15</v>
      </c>
      <c r="M422" s="123">
        <f t="shared" si="46"/>
        <v>13261.59</v>
      </c>
      <c r="N422" s="124">
        <f t="shared" si="47"/>
        <v>1616.8</v>
      </c>
      <c r="O422" s="130">
        <v>1621.21</v>
      </c>
      <c r="P422" s="52">
        <f t="shared" si="49"/>
        <v>13230.0000000002</v>
      </c>
      <c r="Q422" s="52">
        <f t="shared" si="48"/>
        <v>9.58</v>
      </c>
      <c r="R422" s="129">
        <v>9.6</v>
      </c>
      <c r="S422" s="52">
        <f t="shared" si="44"/>
        <v>59.9999999999987</v>
      </c>
      <c r="T422" s="131">
        <f t="shared" si="45"/>
        <v>13170.0000000002</v>
      </c>
      <c r="U422" s="132"/>
      <c r="V422" s="130">
        <v>5.83</v>
      </c>
      <c r="W422" s="130">
        <v>34.73</v>
      </c>
      <c r="X422" s="130"/>
      <c r="Y422" s="130"/>
      <c r="Z422" s="130"/>
      <c r="AA422" s="130"/>
      <c r="AB422" s="131" t="s">
        <v>70</v>
      </c>
    </row>
    <row r="423" ht="15.75" spans="1:28">
      <c r="A423" s="56">
        <f t="shared" si="43"/>
        <v>425</v>
      </c>
      <c r="B423" s="113">
        <v>46168</v>
      </c>
      <c r="C423" s="114">
        <v>46168</v>
      </c>
      <c r="D423" s="80">
        <v>5</v>
      </c>
      <c r="E423" s="127">
        <v>0.791666666666667</v>
      </c>
      <c r="F423" s="122">
        <v>1877.58</v>
      </c>
      <c r="G423" s="129">
        <v>1868.28</v>
      </c>
      <c r="H423" s="130">
        <v>1872.13</v>
      </c>
      <c r="I423" s="130">
        <v>1972.56</v>
      </c>
      <c r="J423" s="130">
        <v>1945.13</v>
      </c>
      <c r="K423" s="130">
        <v>1960.32</v>
      </c>
      <c r="L423" s="129">
        <v>1945.9</v>
      </c>
      <c r="M423" s="123">
        <f t="shared" si="46"/>
        <v>13441.9</v>
      </c>
      <c r="N423" s="124">
        <f t="shared" si="47"/>
        <v>1621.21</v>
      </c>
      <c r="O423" s="130">
        <v>1625.66</v>
      </c>
      <c r="P423" s="52">
        <f t="shared" si="49"/>
        <v>13350.0000000001</v>
      </c>
      <c r="Q423" s="52">
        <f t="shared" si="48"/>
        <v>9.6</v>
      </c>
      <c r="R423" s="130">
        <v>9.61</v>
      </c>
      <c r="S423" s="52">
        <f t="shared" si="44"/>
        <v>29.9999999999994</v>
      </c>
      <c r="T423" s="131">
        <f t="shared" si="45"/>
        <v>13320.0000000001</v>
      </c>
      <c r="U423" s="132"/>
      <c r="V423" s="129">
        <v>5.9</v>
      </c>
      <c r="W423" s="130">
        <v>35</v>
      </c>
      <c r="X423" s="130"/>
      <c r="Y423" s="130"/>
      <c r="Z423" s="130"/>
      <c r="AA423" s="130"/>
      <c r="AB423" s="131" t="s">
        <v>70</v>
      </c>
    </row>
    <row r="424" ht="15.75" spans="1:28">
      <c r="A424" s="56">
        <f t="shared" si="43"/>
        <v>426</v>
      </c>
      <c r="B424" s="113">
        <v>46169</v>
      </c>
      <c r="C424" s="114">
        <v>46169</v>
      </c>
      <c r="D424" s="80">
        <v>0.270833333333333</v>
      </c>
      <c r="E424" s="127">
        <v>0.791666666666667</v>
      </c>
      <c r="F424" s="122">
        <v>1807.66</v>
      </c>
      <c r="G424" s="129">
        <v>1806.02</v>
      </c>
      <c r="H424" s="130">
        <v>1808.62</v>
      </c>
      <c r="I424" s="130">
        <v>1964.33</v>
      </c>
      <c r="J424" s="130">
        <v>1938.75</v>
      </c>
      <c r="K424" s="130">
        <v>1957.05</v>
      </c>
      <c r="L424" s="130">
        <v>1943.36</v>
      </c>
      <c r="M424" s="123">
        <f t="shared" si="46"/>
        <v>13225.79</v>
      </c>
      <c r="N424" s="124">
        <f t="shared" si="47"/>
        <v>1625.66</v>
      </c>
      <c r="O424" s="130">
        <v>1630.05</v>
      </c>
      <c r="P424" s="52">
        <f t="shared" si="49"/>
        <v>13169.9999999996</v>
      </c>
      <c r="Q424" s="52">
        <f t="shared" si="48"/>
        <v>9.61</v>
      </c>
      <c r="R424" s="130">
        <v>9.61</v>
      </c>
      <c r="S424" s="52">
        <f t="shared" si="44"/>
        <v>0</v>
      </c>
      <c r="T424" s="131">
        <f t="shared" si="45"/>
        <v>13169.9999999996</v>
      </c>
      <c r="U424" s="132"/>
      <c r="V424" s="130">
        <v>5.91</v>
      </c>
      <c r="W424" s="130">
        <v>35.05</v>
      </c>
      <c r="X424" s="130"/>
      <c r="Y424" s="130"/>
      <c r="Z424" s="130"/>
      <c r="AA424" s="130"/>
      <c r="AB424" s="131" t="s">
        <v>70</v>
      </c>
    </row>
    <row r="425" ht="15.75" spans="1:28">
      <c r="A425" s="56">
        <f t="shared" si="43"/>
        <v>427</v>
      </c>
      <c r="B425" s="113">
        <v>46170</v>
      </c>
      <c r="C425" s="114">
        <v>46170</v>
      </c>
      <c r="D425" s="80">
        <v>0.270833333333333</v>
      </c>
      <c r="E425" s="127">
        <v>0.791666666666667</v>
      </c>
      <c r="F425" s="122">
        <v>1813.58</v>
      </c>
      <c r="G425" s="129">
        <v>1809.7</v>
      </c>
      <c r="H425" s="130">
        <v>1808.67</v>
      </c>
      <c r="I425" s="130">
        <v>1942.05</v>
      </c>
      <c r="J425" s="130">
        <v>1935.32</v>
      </c>
      <c r="K425" s="130">
        <v>1958.47</v>
      </c>
      <c r="L425" s="130">
        <v>1933.99</v>
      </c>
      <c r="M425" s="123">
        <f t="shared" si="46"/>
        <v>13201.78</v>
      </c>
      <c r="N425" s="124">
        <f t="shared" si="47"/>
        <v>1630.05</v>
      </c>
      <c r="O425" s="130">
        <v>1634.44</v>
      </c>
      <c r="P425" s="52">
        <f t="shared" si="49"/>
        <v>13170.0000000003</v>
      </c>
      <c r="Q425" s="52">
        <f t="shared" si="48"/>
        <v>9.61</v>
      </c>
      <c r="R425" s="130">
        <v>9.63</v>
      </c>
      <c r="S425" s="52">
        <f t="shared" si="44"/>
        <v>60.0000000000041</v>
      </c>
      <c r="T425" s="131">
        <f t="shared" si="45"/>
        <v>13110.0000000003</v>
      </c>
      <c r="U425" s="132"/>
      <c r="V425" s="130">
        <v>5.84</v>
      </c>
      <c r="W425" s="130">
        <v>35</v>
      </c>
      <c r="X425" s="130"/>
      <c r="Y425" s="130"/>
      <c r="Z425" s="130"/>
      <c r="AA425" s="130"/>
      <c r="AB425" s="131" t="s">
        <v>70</v>
      </c>
    </row>
    <row r="426" ht="15.75" spans="1:28">
      <c r="A426" s="56">
        <f t="shared" si="43"/>
        <v>428</v>
      </c>
      <c r="B426" s="113">
        <v>46171</v>
      </c>
      <c r="C426" s="114">
        <v>46171</v>
      </c>
      <c r="D426" s="80">
        <v>0.270833333333333</v>
      </c>
      <c r="E426" s="127">
        <v>0.791666666666667</v>
      </c>
      <c r="F426" s="122">
        <v>1780.96</v>
      </c>
      <c r="G426" s="129">
        <v>1774.37</v>
      </c>
      <c r="H426" s="130">
        <v>1776.84</v>
      </c>
      <c r="I426" s="130">
        <v>1904.36</v>
      </c>
      <c r="J426" s="130">
        <v>1890.93</v>
      </c>
      <c r="K426" s="130">
        <v>1905.55</v>
      </c>
      <c r="L426" s="130">
        <v>1874.73</v>
      </c>
      <c r="M426" s="123">
        <f t="shared" si="46"/>
        <v>12907.74</v>
      </c>
      <c r="N426" s="124">
        <f t="shared" si="47"/>
        <v>1634.44</v>
      </c>
      <c r="O426" s="130">
        <v>1638.73</v>
      </c>
      <c r="P426" s="52">
        <f t="shared" si="49"/>
        <v>12869.9999999999</v>
      </c>
      <c r="Q426" s="52">
        <f t="shared" si="48"/>
        <v>9.63</v>
      </c>
      <c r="R426" s="130">
        <v>9.64</v>
      </c>
      <c r="S426" s="52">
        <f t="shared" si="44"/>
        <v>29.9999999999994</v>
      </c>
      <c r="T426" s="131">
        <f t="shared" si="45"/>
        <v>12839.9999999999</v>
      </c>
      <c r="U426" s="132"/>
      <c r="V426" s="130">
        <v>5.74</v>
      </c>
      <c r="W426" s="130">
        <v>33.82</v>
      </c>
      <c r="X426" s="130"/>
      <c r="Y426" s="130"/>
      <c r="Z426" s="130"/>
      <c r="AA426" s="130"/>
      <c r="AB426" s="131" t="s">
        <v>70</v>
      </c>
    </row>
    <row r="427" ht="15.75" spans="1:28">
      <c r="A427" s="56">
        <f t="shared" si="43"/>
        <v>429</v>
      </c>
      <c r="B427" s="113">
        <v>46172</v>
      </c>
      <c r="C427" s="114">
        <v>46172</v>
      </c>
      <c r="D427" s="80">
        <v>0.271527777777778</v>
      </c>
      <c r="E427" s="127">
        <v>0.791666666666667</v>
      </c>
      <c r="F427" s="122">
        <v>1585.21</v>
      </c>
      <c r="G427" s="129">
        <v>1578.48</v>
      </c>
      <c r="H427" s="130">
        <v>1578.54</v>
      </c>
      <c r="I427" s="130">
        <v>1678.55</v>
      </c>
      <c r="J427" s="130">
        <v>1655.48</v>
      </c>
      <c r="K427" s="130">
        <v>1662.97</v>
      </c>
      <c r="L427" s="130">
        <v>1633.83</v>
      </c>
      <c r="M427" s="123">
        <f t="shared" si="46"/>
        <v>11373.06</v>
      </c>
      <c r="N427" s="124">
        <f t="shared" si="47"/>
        <v>1638.73</v>
      </c>
      <c r="O427" s="130">
        <v>1642.51</v>
      </c>
      <c r="P427" s="52">
        <f t="shared" si="49"/>
        <v>11339.9999999999</v>
      </c>
      <c r="Q427" s="52">
        <f t="shared" si="48"/>
        <v>9.64</v>
      </c>
      <c r="R427" s="130">
        <v>9.66</v>
      </c>
      <c r="S427" s="52">
        <f t="shared" si="44"/>
        <v>59.9999999999987</v>
      </c>
      <c r="T427" s="131">
        <f t="shared" si="45"/>
        <v>11279.9999999999</v>
      </c>
      <c r="U427" s="132"/>
      <c r="V427" s="130">
        <v>5.35</v>
      </c>
      <c r="W427" s="130">
        <v>34.31</v>
      </c>
      <c r="X427" s="130"/>
      <c r="Y427" s="130"/>
      <c r="Z427" s="130"/>
      <c r="AA427" s="130"/>
      <c r="AB427" s="131" t="s">
        <v>70</v>
      </c>
    </row>
    <row r="428" ht="15.75" spans="1:28">
      <c r="A428" s="56">
        <f t="shared" si="43"/>
        <v>430</v>
      </c>
      <c r="B428" s="113">
        <v>46173</v>
      </c>
      <c r="C428" s="114">
        <v>46173</v>
      </c>
      <c r="D428" s="80">
        <v>0.28125</v>
      </c>
      <c r="E428" s="127">
        <v>0.791666666666667</v>
      </c>
      <c r="F428" s="122">
        <v>1555.03</v>
      </c>
      <c r="G428" s="129">
        <v>1549.58</v>
      </c>
      <c r="H428" s="130">
        <v>1545.59</v>
      </c>
      <c r="I428" s="130">
        <v>1624.57</v>
      </c>
      <c r="J428" s="130">
        <v>1605.05</v>
      </c>
      <c r="K428" s="130">
        <v>1603.02</v>
      </c>
      <c r="L428" s="130">
        <v>1564.45</v>
      </c>
      <c r="M428" s="123">
        <f t="shared" si="46"/>
        <v>11047.29</v>
      </c>
      <c r="N428" s="124">
        <f t="shared" si="47"/>
        <v>1642.51</v>
      </c>
      <c r="O428" s="130">
        <v>1646.19</v>
      </c>
      <c r="P428" s="52">
        <f t="shared" si="49"/>
        <v>11040.0000000002</v>
      </c>
      <c r="Q428" s="52">
        <f t="shared" si="48"/>
        <v>9.66</v>
      </c>
      <c r="R428" s="130">
        <v>9.67</v>
      </c>
      <c r="S428" s="52">
        <f t="shared" si="44"/>
        <v>29.9999999999994</v>
      </c>
      <c r="T428" s="131">
        <f t="shared" si="45"/>
        <v>11010.0000000002</v>
      </c>
      <c r="U428" s="132"/>
      <c r="V428" s="130">
        <v>4.289</v>
      </c>
      <c r="W428" s="130">
        <v>33.04</v>
      </c>
      <c r="X428" s="130"/>
      <c r="Y428" s="130"/>
      <c r="Z428" s="130"/>
      <c r="AA428" s="130"/>
      <c r="AB428" s="131" t="s">
        <v>70</v>
      </c>
    </row>
    <row r="429" ht="15.75" spans="1:28">
      <c r="A429" s="56">
        <f t="shared" si="43"/>
        <v>431</v>
      </c>
      <c r="B429" s="113">
        <v>46174</v>
      </c>
      <c r="C429" s="114">
        <v>46174</v>
      </c>
      <c r="D429" s="80">
        <v>0.28125</v>
      </c>
      <c r="E429" s="127">
        <v>0.791666666666667</v>
      </c>
      <c r="F429" s="122">
        <v>1489.01</v>
      </c>
      <c r="G429" s="129">
        <v>1476.44</v>
      </c>
      <c r="H429" s="130">
        <v>1469.95</v>
      </c>
      <c r="I429" s="130">
        <v>1536.57</v>
      </c>
      <c r="J429" s="130">
        <v>1518.73</v>
      </c>
      <c r="K429" s="130">
        <v>1527.69</v>
      </c>
      <c r="L429" s="130">
        <v>1519.33</v>
      </c>
      <c r="M429" s="123">
        <f t="shared" si="46"/>
        <v>10537.72</v>
      </c>
      <c r="N429" s="124">
        <f t="shared" si="47"/>
        <v>1646.19</v>
      </c>
      <c r="O429" s="130">
        <v>1649.69</v>
      </c>
      <c r="P429" s="52">
        <f t="shared" si="49"/>
        <v>10500</v>
      </c>
      <c r="Q429" s="52">
        <f t="shared" si="48"/>
        <v>9.67</v>
      </c>
      <c r="R429" s="130">
        <v>9.69</v>
      </c>
      <c r="S429" s="52">
        <f t="shared" si="44"/>
        <v>59.9999999999987</v>
      </c>
      <c r="T429" s="131">
        <f t="shared" si="45"/>
        <v>10440</v>
      </c>
      <c r="U429" s="132"/>
      <c r="V429" s="130">
        <v>4.68</v>
      </c>
      <c r="W429" s="130">
        <v>34.25</v>
      </c>
      <c r="X429" s="130"/>
      <c r="Y429" s="130"/>
      <c r="Z429" s="130"/>
      <c r="AA429" s="130"/>
      <c r="AB429" s="131" t="s">
        <v>70</v>
      </c>
    </row>
    <row r="430" ht="15.75" spans="1:28">
      <c r="A430" s="56">
        <f t="shared" si="43"/>
        <v>432</v>
      </c>
      <c r="B430" s="113">
        <v>46175</v>
      </c>
      <c r="C430" s="114">
        <v>46175</v>
      </c>
      <c r="D430" s="80">
        <v>0.270833333333333</v>
      </c>
      <c r="E430" s="127">
        <v>0.78125</v>
      </c>
      <c r="F430" s="122">
        <v>1416.12</v>
      </c>
      <c r="G430" s="129">
        <v>1410.83</v>
      </c>
      <c r="H430" s="130">
        <v>1414.68</v>
      </c>
      <c r="I430" s="130">
        <v>1489.36</v>
      </c>
      <c r="J430" s="130">
        <v>1474.36</v>
      </c>
      <c r="K430" s="130">
        <v>1481.84</v>
      </c>
      <c r="L430" s="130">
        <v>1449.76</v>
      </c>
      <c r="M430" s="123">
        <f t="shared" si="46"/>
        <v>10136.95</v>
      </c>
      <c r="N430" s="124">
        <f t="shared" si="47"/>
        <v>1649.69</v>
      </c>
      <c r="O430" s="130">
        <v>1653.07</v>
      </c>
      <c r="P430" s="52">
        <f t="shared" si="49"/>
        <v>10139.9999999996</v>
      </c>
      <c r="Q430" s="52">
        <f t="shared" si="48"/>
        <v>9.69</v>
      </c>
      <c r="R430" s="129">
        <v>9.7</v>
      </c>
      <c r="S430" s="52">
        <f t="shared" si="44"/>
        <v>29.9999999999994</v>
      </c>
      <c r="T430" s="131">
        <f t="shared" si="45"/>
        <v>10109.9999999996</v>
      </c>
      <c r="U430" s="132"/>
      <c r="V430" s="130">
        <v>4.16</v>
      </c>
      <c r="W430" s="130">
        <v>33.46</v>
      </c>
      <c r="X430" s="130"/>
      <c r="Y430" s="130"/>
      <c r="Z430" s="130"/>
      <c r="AA430" s="130"/>
      <c r="AB430" s="131" t="s">
        <v>70</v>
      </c>
    </row>
    <row r="431" ht="15.75" spans="1:28">
      <c r="A431" s="56">
        <f t="shared" si="43"/>
        <v>433</v>
      </c>
      <c r="B431" s="113">
        <v>46176</v>
      </c>
      <c r="C431" s="114">
        <v>46176</v>
      </c>
      <c r="D431" s="80">
        <v>0.270833333333333</v>
      </c>
      <c r="E431" s="127">
        <v>0.791666666666667</v>
      </c>
      <c r="F431" s="122">
        <v>1794.05</v>
      </c>
      <c r="G431" s="129">
        <v>1785.62</v>
      </c>
      <c r="H431" s="130">
        <v>1789.16</v>
      </c>
      <c r="I431" s="130">
        <v>1875.82</v>
      </c>
      <c r="J431" s="130">
        <v>1896.75</v>
      </c>
      <c r="K431" s="130">
        <v>1871.84</v>
      </c>
      <c r="L431" s="130">
        <v>1829.03</v>
      </c>
      <c r="M431" s="123">
        <f t="shared" si="46"/>
        <v>12842.27</v>
      </c>
      <c r="N431" s="124">
        <f t="shared" si="47"/>
        <v>1653.07</v>
      </c>
      <c r="O431" s="130">
        <v>1657.32</v>
      </c>
      <c r="P431" s="52">
        <f t="shared" si="49"/>
        <v>12750</v>
      </c>
      <c r="Q431" s="52">
        <f t="shared" si="48"/>
        <v>9.7</v>
      </c>
      <c r="R431" s="130">
        <v>9.72</v>
      </c>
      <c r="S431" s="52">
        <f t="shared" si="44"/>
        <v>60.0000000000041</v>
      </c>
      <c r="T431" s="131">
        <f t="shared" si="45"/>
        <v>12690</v>
      </c>
      <c r="U431" s="132"/>
      <c r="V431" s="130">
        <v>5.76</v>
      </c>
      <c r="W431" s="130">
        <v>35.47</v>
      </c>
      <c r="X431" s="130"/>
      <c r="Y431" s="130"/>
      <c r="Z431" s="130"/>
      <c r="AA431" s="130"/>
      <c r="AB431" s="131" t="s">
        <v>70</v>
      </c>
    </row>
    <row r="432" ht="15.75" spans="1:28">
      <c r="A432" s="56">
        <f t="shared" si="43"/>
        <v>434</v>
      </c>
      <c r="B432" s="113">
        <v>46177</v>
      </c>
      <c r="C432" s="114">
        <v>46177</v>
      </c>
      <c r="D432" s="80">
        <v>0.270833333333333</v>
      </c>
      <c r="E432" s="127">
        <v>0.791666666666667</v>
      </c>
      <c r="F432" s="122">
        <v>1737.4</v>
      </c>
      <c r="G432" s="129">
        <v>1733.15</v>
      </c>
      <c r="H432" s="130">
        <v>1737.64</v>
      </c>
      <c r="I432" s="130">
        <v>1835.22</v>
      </c>
      <c r="J432" s="130">
        <v>1832.09</v>
      </c>
      <c r="K432" s="130">
        <v>1834.55</v>
      </c>
      <c r="L432" s="129">
        <v>1803.2</v>
      </c>
      <c r="M432" s="123">
        <f t="shared" si="46"/>
        <v>12513.25</v>
      </c>
      <c r="N432" s="124">
        <f t="shared" si="47"/>
        <v>1657.32</v>
      </c>
      <c r="O432" s="130">
        <v>1661.47</v>
      </c>
      <c r="P432" s="52">
        <f t="shared" si="49"/>
        <v>12450.0000000003</v>
      </c>
      <c r="Q432" s="52">
        <f t="shared" si="48"/>
        <v>9.72</v>
      </c>
      <c r="R432" s="130">
        <v>9.73</v>
      </c>
      <c r="S432" s="52">
        <f t="shared" si="44"/>
        <v>29.9999999999994</v>
      </c>
      <c r="T432" s="131">
        <f t="shared" si="45"/>
        <v>12420.0000000003</v>
      </c>
      <c r="U432" s="132"/>
      <c r="V432" s="130">
        <v>5.41</v>
      </c>
      <c r="W432" s="130">
        <v>34.19</v>
      </c>
      <c r="X432" s="130"/>
      <c r="Y432" s="130"/>
      <c r="Z432" s="130"/>
      <c r="AA432" s="130"/>
      <c r="AB432" s="131" t="s">
        <v>70</v>
      </c>
    </row>
    <row r="433" ht="15.75" spans="1:28">
      <c r="A433" s="56">
        <f t="shared" si="43"/>
        <v>435</v>
      </c>
      <c r="B433" s="113">
        <v>46178</v>
      </c>
      <c r="C433" s="114">
        <v>46178</v>
      </c>
      <c r="D433" s="133">
        <v>0.270833333333333</v>
      </c>
      <c r="E433" s="127">
        <v>0.791666666666667</v>
      </c>
      <c r="F433" s="122">
        <v>1463.28</v>
      </c>
      <c r="G433" s="129">
        <v>1456.63</v>
      </c>
      <c r="H433" s="130">
        <v>1461.19</v>
      </c>
      <c r="I433" s="130">
        <v>1520.01</v>
      </c>
      <c r="J433" s="130">
        <v>1507.08</v>
      </c>
      <c r="K433" s="129">
        <v>1500.1</v>
      </c>
      <c r="L433" s="130">
        <v>1455.77</v>
      </c>
      <c r="M433" s="123">
        <f t="shared" si="46"/>
        <v>10364.06</v>
      </c>
      <c r="N433" s="124">
        <f t="shared" si="47"/>
        <v>1661.47</v>
      </c>
      <c r="O433" s="130">
        <v>1664.94</v>
      </c>
      <c r="P433" s="52">
        <f t="shared" si="49"/>
        <v>10410.0000000001</v>
      </c>
      <c r="Q433" s="52">
        <f t="shared" si="48"/>
        <v>9.73</v>
      </c>
      <c r="R433" s="130">
        <v>9.75</v>
      </c>
      <c r="S433" s="52">
        <f t="shared" si="44"/>
        <v>59.9999999999987</v>
      </c>
      <c r="T433" s="131">
        <f t="shared" si="45"/>
        <v>10350.0000000001</v>
      </c>
      <c r="U433" s="132"/>
      <c r="V433" s="130">
        <v>3.66</v>
      </c>
      <c r="W433" s="130">
        <v>34.09</v>
      </c>
      <c r="X433" s="130"/>
      <c r="Y433" s="130"/>
      <c r="Z433" s="130"/>
      <c r="AA433" s="130"/>
      <c r="AB433" s="131" t="s">
        <v>70</v>
      </c>
    </row>
    <row r="434" ht="15.75" spans="1:28">
      <c r="A434" s="56">
        <f t="shared" si="43"/>
        <v>436</v>
      </c>
      <c r="B434" s="113">
        <v>46179</v>
      </c>
      <c r="C434" s="114">
        <v>46179</v>
      </c>
      <c r="D434" s="80"/>
      <c r="E434" s="127"/>
      <c r="F434" s="122"/>
      <c r="G434" s="129"/>
      <c r="H434" s="130"/>
      <c r="I434" s="130"/>
      <c r="J434" s="130"/>
      <c r="K434" s="130"/>
      <c r="L434" s="130"/>
      <c r="M434" s="123">
        <f t="shared" si="46"/>
        <v>0</v>
      </c>
      <c r="N434" s="124">
        <f t="shared" si="47"/>
        <v>1664.94</v>
      </c>
      <c r="O434" s="130"/>
      <c r="P434" s="52">
        <f t="shared" si="49"/>
        <v>0</v>
      </c>
      <c r="Q434" s="52">
        <f t="shared" si="48"/>
        <v>9.75</v>
      </c>
      <c r="R434" s="130"/>
      <c r="S434" s="52">
        <f t="shared" si="44"/>
        <v>0</v>
      </c>
      <c r="T434" s="131">
        <f t="shared" si="45"/>
        <v>0</v>
      </c>
      <c r="U434" s="132"/>
      <c r="V434" s="130"/>
      <c r="W434" s="130"/>
      <c r="X434" s="130"/>
      <c r="Y434" s="130"/>
      <c r="Z434" s="130"/>
      <c r="AA434" s="130"/>
      <c r="AB434" s="131"/>
    </row>
    <row r="435" ht="15.75" spans="1:28">
      <c r="A435" s="56">
        <f t="shared" si="43"/>
        <v>437</v>
      </c>
      <c r="B435" s="113">
        <v>46180</v>
      </c>
      <c r="C435" s="114">
        <v>46180</v>
      </c>
      <c r="D435" s="80"/>
      <c r="E435" s="127"/>
      <c r="F435" s="122"/>
      <c r="G435" s="129"/>
      <c r="H435" s="130"/>
      <c r="I435" s="130"/>
      <c r="J435" s="130"/>
      <c r="K435" s="130"/>
      <c r="L435" s="130"/>
      <c r="M435" s="123">
        <f t="shared" si="46"/>
        <v>0</v>
      </c>
      <c r="N435" s="124">
        <f t="shared" si="47"/>
        <v>0</v>
      </c>
      <c r="O435" s="130"/>
      <c r="P435" s="52">
        <f t="shared" si="49"/>
        <v>0</v>
      </c>
      <c r="Q435" s="52">
        <f t="shared" si="48"/>
        <v>0</v>
      </c>
      <c r="R435" s="130"/>
      <c r="S435" s="52">
        <f t="shared" si="44"/>
        <v>0</v>
      </c>
      <c r="T435" s="131">
        <f t="shared" si="45"/>
        <v>0</v>
      </c>
      <c r="U435" s="132"/>
      <c r="V435" s="130"/>
      <c r="W435" s="130"/>
      <c r="X435" s="130"/>
      <c r="Y435" s="130"/>
      <c r="Z435" s="130"/>
      <c r="AA435" s="130"/>
      <c r="AB435" s="131"/>
    </row>
    <row r="436" ht="15.75" spans="1:28">
      <c r="A436" s="56">
        <f t="shared" si="43"/>
        <v>438</v>
      </c>
      <c r="B436" s="113">
        <v>46181</v>
      </c>
      <c r="C436" s="114">
        <v>46181</v>
      </c>
      <c r="D436" s="80"/>
      <c r="E436" s="127"/>
      <c r="F436" s="122"/>
      <c r="G436" s="129"/>
      <c r="H436" s="130"/>
      <c r="I436" s="130"/>
      <c r="J436" s="130"/>
      <c r="K436" s="130"/>
      <c r="L436" s="130"/>
      <c r="M436" s="123">
        <f t="shared" si="46"/>
        <v>0</v>
      </c>
      <c r="N436" s="124">
        <f t="shared" si="47"/>
        <v>0</v>
      </c>
      <c r="O436" s="130"/>
      <c r="P436" s="52">
        <f t="shared" si="49"/>
        <v>0</v>
      </c>
      <c r="Q436" s="52">
        <f t="shared" si="48"/>
        <v>0</v>
      </c>
      <c r="R436" s="130"/>
      <c r="S436" s="52">
        <f t="shared" si="44"/>
        <v>0</v>
      </c>
      <c r="T436" s="131">
        <f t="shared" si="45"/>
        <v>0</v>
      </c>
      <c r="U436" s="132"/>
      <c r="V436" s="130"/>
      <c r="W436" s="130"/>
      <c r="X436" s="130"/>
      <c r="Y436" s="130"/>
      <c r="Z436" s="130"/>
      <c r="AA436" s="130"/>
      <c r="AB436" s="131"/>
    </row>
    <row r="437" ht="15.75" spans="1:28">
      <c r="A437" s="56">
        <f t="shared" si="43"/>
        <v>439</v>
      </c>
      <c r="B437" s="113">
        <v>46182</v>
      </c>
      <c r="C437" s="114">
        <v>46182</v>
      </c>
      <c r="D437" s="80"/>
      <c r="E437" s="127"/>
      <c r="F437" s="122"/>
      <c r="G437" s="129"/>
      <c r="H437" s="130"/>
      <c r="I437" s="130"/>
      <c r="J437" s="130"/>
      <c r="K437" s="130"/>
      <c r="L437" s="130"/>
      <c r="M437" s="123">
        <f t="shared" si="46"/>
        <v>0</v>
      </c>
      <c r="N437" s="124">
        <f t="shared" si="47"/>
        <v>0</v>
      </c>
      <c r="O437" s="130"/>
      <c r="P437" s="52">
        <f t="shared" si="49"/>
        <v>0</v>
      </c>
      <c r="Q437" s="52">
        <f t="shared" si="48"/>
        <v>0</v>
      </c>
      <c r="R437" s="130"/>
      <c r="S437" s="52">
        <f t="shared" si="44"/>
        <v>0</v>
      </c>
      <c r="T437" s="131">
        <f t="shared" si="45"/>
        <v>0</v>
      </c>
      <c r="U437" s="132"/>
      <c r="V437" s="130"/>
      <c r="W437" s="130"/>
      <c r="X437" s="130"/>
      <c r="Y437" s="130"/>
      <c r="Z437" s="130"/>
      <c r="AA437" s="130"/>
      <c r="AB437" s="131"/>
    </row>
    <row r="438" ht="15.75" spans="1:28">
      <c r="A438" s="56">
        <f t="shared" si="43"/>
        <v>440</v>
      </c>
      <c r="B438" s="113">
        <v>46183</v>
      </c>
      <c r="C438" s="114">
        <v>46183</v>
      </c>
      <c r="D438" s="80"/>
      <c r="E438" s="127"/>
      <c r="F438" s="122"/>
      <c r="G438" s="129"/>
      <c r="H438" s="130"/>
      <c r="I438" s="130"/>
      <c r="J438" s="130"/>
      <c r="K438" s="130"/>
      <c r="L438" s="130"/>
      <c r="M438" s="123">
        <f t="shared" si="46"/>
        <v>0</v>
      </c>
      <c r="N438" s="124">
        <f t="shared" si="47"/>
        <v>0</v>
      </c>
      <c r="O438" s="130"/>
      <c r="P438" s="52">
        <f t="shared" si="49"/>
        <v>0</v>
      </c>
      <c r="Q438" s="52">
        <f t="shared" si="48"/>
        <v>0</v>
      </c>
      <c r="R438" s="130"/>
      <c r="S438" s="52">
        <f t="shared" si="44"/>
        <v>0</v>
      </c>
      <c r="T438" s="131">
        <f t="shared" si="45"/>
        <v>0</v>
      </c>
      <c r="U438" s="132"/>
      <c r="V438" s="130"/>
      <c r="W438" s="130"/>
      <c r="X438" s="130"/>
      <c r="Y438" s="130"/>
      <c r="Z438" s="130"/>
      <c r="AA438" s="130"/>
      <c r="AB438" s="131"/>
    </row>
    <row r="439" ht="15.75" spans="1:28">
      <c r="A439" s="56">
        <f t="shared" si="43"/>
        <v>441</v>
      </c>
      <c r="B439" s="113">
        <v>46184</v>
      </c>
      <c r="C439" s="114">
        <v>46184</v>
      </c>
      <c r="D439" s="80"/>
      <c r="E439" s="127"/>
      <c r="F439" s="122"/>
      <c r="G439" s="129"/>
      <c r="H439" s="130"/>
      <c r="I439" s="130"/>
      <c r="J439" s="130"/>
      <c r="K439" s="130"/>
      <c r="L439" s="130"/>
      <c r="M439" s="123">
        <f t="shared" si="46"/>
        <v>0</v>
      </c>
      <c r="N439" s="124">
        <f t="shared" si="47"/>
        <v>0</v>
      </c>
      <c r="O439" s="130"/>
      <c r="P439" s="52">
        <f t="shared" si="49"/>
        <v>0</v>
      </c>
      <c r="Q439" s="52">
        <f t="shared" si="48"/>
        <v>0</v>
      </c>
      <c r="R439" s="130"/>
      <c r="S439" s="52">
        <f t="shared" si="44"/>
        <v>0</v>
      </c>
      <c r="T439" s="131">
        <f t="shared" si="45"/>
        <v>0</v>
      </c>
      <c r="U439" s="132"/>
      <c r="V439" s="130"/>
      <c r="W439" s="130"/>
      <c r="X439" s="130"/>
      <c r="Y439" s="130"/>
      <c r="Z439" s="130"/>
      <c r="AA439" s="130"/>
      <c r="AB439" s="131"/>
    </row>
    <row r="440" ht="15.75" spans="1:28">
      <c r="A440" s="56">
        <f t="shared" si="43"/>
        <v>442</v>
      </c>
      <c r="B440" s="113">
        <v>46185</v>
      </c>
      <c r="C440" s="114">
        <v>46185</v>
      </c>
      <c r="D440" s="80"/>
      <c r="E440" s="127"/>
      <c r="F440" s="122"/>
      <c r="G440" s="129"/>
      <c r="H440" s="130"/>
      <c r="I440" s="130"/>
      <c r="J440" s="130"/>
      <c r="K440" s="130"/>
      <c r="L440" s="130"/>
      <c r="M440" s="123">
        <f t="shared" si="46"/>
        <v>0</v>
      </c>
      <c r="N440" s="124">
        <f t="shared" si="47"/>
        <v>0</v>
      </c>
      <c r="O440" s="130"/>
      <c r="P440" s="52">
        <f t="shared" si="49"/>
        <v>0</v>
      </c>
      <c r="Q440" s="52">
        <f t="shared" si="48"/>
        <v>0</v>
      </c>
      <c r="R440" s="130"/>
      <c r="S440" s="52">
        <f t="shared" si="44"/>
        <v>0</v>
      </c>
      <c r="T440" s="131">
        <f t="shared" si="45"/>
        <v>0</v>
      </c>
      <c r="U440" s="132"/>
      <c r="V440" s="130"/>
      <c r="W440" s="130"/>
      <c r="X440" s="130"/>
      <c r="Y440" s="130"/>
      <c r="Z440" s="130"/>
      <c r="AA440" s="130"/>
      <c r="AB440" s="131"/>
    </row>
    <row r="441" ht="15.75" spans="1:28">
      <c r="A441" s="56">
        <f t="shared" si="43"/>
        <v>443</v>
      </c>
      <c r="B441" s="113">
        <v>46186</v>
      </c>
      <c r="C441" s="114">
        <v>46186</v>
      </c>
      <c r="D441" s="80"/>
      <c r="E441" s="127"/>
      <c r="F441" s="122"/>
      <c r="G441" s="129"/>
      <c r="H441" s="130"/>
      <c r="I441" s="130"/>
      <c r="J441" s="130"/>
      <c r="K441" s="130"/>
      <c r="L441" s="130"/>
      <c r="M441" s="123">
        <f t="shared" si="46"/>
        <v>0</v>
      </c>
      <c r="N441" s="124">
        <f t="shared" si="47"/>
        <v>0</v>
      </c>
      <c r="O441" s="130"/>
      <c r="P441" s="52">
        <f t="shared" si="49"/>
        <v>0</v>
      </c>
      <c r="Q441" s="52">
        <f t="shared" si="48"/>
        <v>0</v>
      </c>
      <c r="R441" s="130"/>
      <c r="S441" s="52">
        <f t="shared" si="44"/>
        <v>0</v>
      </c>
      <c r="T441" s="131">
        <f t="shared" si="45"/>
        <v>0</v>
      </c>
      <c r="U441" s="132"/>
      <c r="V441" s="130"/>
      <c r="W441" s="130"/>
      <c r="X441" s="130"/>
      <c r="Y441" s="130"/>
      <c r="Z441" s="130"/>
      <c r="AA441" s="130"/>
      <c r="AB441" s="131"/>
    </row>
    <row r="442" ht="15.75" spans="1:28">
      <c r="A442" s="56">
        <f t="shared" si="43"/>
        <v>444</v>
      </c>
      <c r="B442" s="113">
        <v>46187</v>
      </c>
      <c r="C442" s="114">
        <v>46187</v>
      </c>
      <c r="D442" s="80"/>
      <c r="E442" s="127"/>
      <c r="F442" s="122"/>
      <c r="G442" s="129"/>
      <c r="H442" s="130"/>
      <c r="I442" s="130"/>
      <c r="J442" s="130"/>
      <c r="K442" s="130"/>
      <c r="L442" s="130"/>
      <c r="M442" s="123">
        <f t="shared" si="46"/>
        <v>0</v>
      </c>
      <c r="N442" s="124">
        <f t="shared" si="47"/>
        <v>0</v>
      </c>
      <c r="O442" s="130"/>
      <c r="P442" s="52">
        <f t="shared" si="49"/>
        <v>0</v>
      </c>
      <c r="Q442" s="52">
        <f t="shared" si="48"/>
        <v>0</v>
      </c>
      <c r="R442" s="130"/>
      <c r="S442" s="52">
        <f t="shared" si="44"/>
        <v>0</v>
      </c>
      <c r="T442" s="131">
        <f t="shared" si="45"/>
        <v>0</v>
      </c>
      <c r="U442" s="132"/>
      <c r="V442" s="130"/>
      <c r="W442" s="130"/>
      <c r="X442" s="130"/>
      <c r="Y442" s="130"/>
      <c r="Z442" s="130"/>
      <c r="AA442" s="130"/>
      <c r="AB442" s="131"/>
    </row>
    <row r="443" ht="15.75" spans="1:28">
      <c r="A443" s="56">
        <f t="shared" si="43"/>
        <v>445</v>
      </c>
      <c r="B443" s="113">
        <v>46188</v>
      </c>
      <c r="C443" s="114">
        <v>46188</v>
      </c>
      <c r="D443" s="80"/>
      <c r="E443" s="127"/>
      <c r="F443" s="122"/>
      <c r="G443" s="129"/>
      <c r="H443" s="130"/>
      <c r="I443" s="130"/>
      <c r="J443" s="130"/>
      <c r="K443" s="130"/>
      <c r="L443" s="130"/>
      <c r="M443" s="123">
        <f t="shared" si="46"/>
        <v>0</v>
      </c>
      <c r="N443" s="124">
        <f t="shared" si="47"/>
        <v>0</v>
      </c>
      <c r="O443" s="130"/>
      <c r="P443" s="52">
        <f t="shared" si="49"/>
        <v>0</v>
      </c>
      <c r="Q443" s="52">
        <f t="shared" si="48"/>
        <v>0</v>
      </c>
      <c r="R443" s="130"/>
      <c r="S443" s="52">
        <f t="shared" si="44"/>
        <v>0</v>
      </c>
      <c r="T443" s="131">
        <f t="shared" si="45"/>
        <v>0</v>
      </c>
      <c r="U443" s="132"/>
      <c r="V443" s="130"/>
      <c r="W443" s="130"/>
      <c r="X443" s="130"/>
      <c r="Y443" s="130"/>
      <c r="Z443" s="130"/>
      <c r="AA443" s="130"/>
      <c r="AB443" s="131"/>
    </row>
    <row r="444" ht="15.75" spans="1:28">
      <c r="A444" s="56">
        <f t="shared" si="43"/>
        <v>446</v>
      </c>
      <c r="B444" s="113">
        <v>46189</v>
      </c>
      <c r="C444" s="114">
        <v>46189</v>
      </c>
      <c r="D444" s="80"/>
      <c r="E444" s="127"/>
      <c r="F444" s="122"/>
      <c r="G444" s="129"/>
      <c r="H444" s="130"/>
      <c r="I444" s="130"/>
      <c r="J444" s="130"/>
      <c r="K444" s="130"/>
      <c r="L444" s="130"/>
      <c r="M444" s="123">
        <f t="shared" si="46"/>
        <v>0</v>
      </c>
      <c r="N444" s="124">
        <f t="shared" si="47"/>
        <v>0</v>
      </c>
      <c r="O444" s="130"/>
      <c r="P444" s="52">
        <f t="shared" si="49"/>
        <v>0</v>
      </c>
      <c r="Q444" s="52">
        <f t="shared" si="48"/>
        <v>0</v>
      </c>
      <c r="R444" s="130"/>
      <c r="S444" s="52">
        <f t="shared" si="44"/>
        <v>0</v>
      </c>
      <c r="T444" s="131">
        <f t="shared" si="45"/>
        <v>0</v>
      </c>
      <c r="U444" s="132"/>
      <c r="V444" s="130"/>
      <c r="W444" s="130"/>
      <c r="X444" s="130"/>
      <c r="Y444" s="130"/>
      <c r="Z444" s="130"/>
      <c r="AA444" s="130"/>
      <c r="AB444" s="131"/>
    </row>
    <row r="445" ht="15.75" spans="1:28">
      <c r="A445" s="56">
        <f t="shared" si="43"/>
        <v>447</v>
      </c>
      <c r="B445" s="113">
        <v>46190</v>
      </c>
      <c r="C445" s="114">
        <v>46190</v>
      </c>
      <c r="D445" s="80"/>
      <c r="E445" s="127"/>
      <c r="F445" s="122"/>
      <c r="G445" s="129"/>
      <c r="H445" s="130"/>
      <c r="I445" s="130"/>
      <c r="J445" s="130"/>
      <c r="K445" s="130"/>
      <c r="L445" s="130"/>
      <c r="M445" s="123">
        <f t="shared" si="46"/>
        <v>0</v>
      </c>
      <c r="N445" s="124">
        <f t="shared" si="47"/>
        <v>0</v>
      </c>
      <c r="O445" s="130"/>
      <c r="P445" s="52">
        <f t="shared" si="49"/>
        <v>0</v>
      </c>
      <c r="Q445" s="52">
        <f t="shared" si="48"/>
        <v>0</v>
      </c>
      <c r="R445" s="130"/>
      <c r="S445" s="52">
        <f t="shared" si="44"/>
        <v>0</v>
      </c>
      <c r="T445" s="131">
        <f t="shared" si="45"/>
        <v>0</v>
      </c>
      <c r="U445" s="132"/>
      <c r="V445" s="130"/>
      <c r="W445" s="130"/>
      <c r="X445" s="130"/>
      <c r="Y445" s="130"/>
      <c r="Z445" s="130"/>
      <c r="AA445" s="130"/>
      <c r="AB445" s="131"/>
    </row>
    <row r="446" ht="15.75" spans="1:28">
      <c r="A446" s="56">
        <f t="shared" si="43"/>
        <v>448</v>
      </c>
      <c r="B446" s="113">
        <v>46191</v>
      </c>
      <c r="C446" s="114">
        <v>46191</v>
      </c>
      <c r="D446" s="80"/>
      <c r="E446" s="127"/>
      <c r="F446" s="122"/>
      <c r="G446" s="129"/>
      <c r="H446" s="130"/>
      <c r="I446" s="130"/>
      <c r="J446" s="130"/>
      <c r="K446" s="130"/>
      <c r="L446" s="130"/>
      <c r="M446" s="123">
        <f t="shared" si="46"/>
        <v>0</v>
      </c>
      <c r="N446" s="124">
        <f t="shared" si="47"/>
        <v>0</v>
      </c>
      <c r="O446" s="130"/>
      <c r="P446" s="52">
        <f t="shared" si="49"/>
        <v>0</v>
      </c>
      <c r="Q446" s="52">
        <f t="shared" si="48"/>
        <v>0</v>
      </c>
      <c r="R446" s="130"/>
      <c r="S446" s="52">
        <f t="shared" si="44"/>
        <v>0</v>
      </c>
      <c r="T446" s="131">
        <f t="shared" si="45"/>
        <v>0</v>
      </c>
      <c r="U446" s="132"/>
      <c r="V446" s="130"/>
      <c r="W446" s="130"/>
      <c r="X446" s="130"/>
      <c r="Y446" s="130"/>
      <c r="Z446" s="130"/>
      <c r="AA446" s="130"/>
      <c r="AB446" s="131"/>
    </row>
    <row r="447" ht="15.75" spans="1:28">
      <c r="A447" s="56">
        <f t="shared" si="43"/>
        <v>449</v>
      </c>
      <c r="B447" s="113">
        <v>46192</v>
      </c>
      <c r="C447" s="114">
        <v>46192</v>
      </c>
      <c r="D447" s="80"/>
      <c r="E447" s="127"/>
      <c r="F447" s="122"/>
      <c r="G447" s="129"/>
      <c r="H447" s="130"/>
      <c r="I447" s="130"/>
      <c r="J447" s="130"/>
      <c r="K447" s="130"/>
      <c r="L447" s="130"/>
      <c r="M447" s="123">
        <f t="shared" si="46"/>
        <v>0</v>
      </c>
      <c r="N447" s="124">
        <f t="shared" si="47"/>
        <v>0</v>
      </c>
      <c r="O447" s="130"/>
      <c r="P447" s="52">
        <f t="shared" si="49"/>
        <v>0</v>
      </c>
      <c r="Q447" s="52">
        <f t="shared" si="48"/>
        <v>0</v>
      </c>
      <c r="R447" s="130"/>
      <c r="S447" s="52">
        <f t="shared" si="44"/>
        <v>0</v>
      </c>
      <c r="T447" s="131">
        <f t="shared" si="45"/>
        <v>0</v>
      </c>
      <c r="U447" s="132"/>
      <c r="V447" s="130"/>
      <c r="W447" s="130"/>
      <c r="X447" s="130"/>
      <c r="Y447" s="130"/>
      <c r="Z447" s="130"/>
      <c r="AA447" s="130"/>
      <c r="AB447" s="131"/>
    </row>
    <row r="448" ht="15.75" spans="1:28">
      <c r="A448" s="56">
        <f t="shared" si="43"/>
        <v>450</v>
      </c>
      <c r="B448" s="113">
        <v>46193</v>
      </c>
      <c r="C448" s="114">
        <v>46193</v>
      </c>
      <c r="D448" s="80"/>
      <c r="E448" s="127"/>
      <c r="F448" s="122"/>
      <c r="G448" s="129"/>
      <c r="H448" s="130"/>
      <c r="I448" s="130"/>
      <c r="J448" s="130"/>
      <c r="K448" s="130"/>
      <c r="L448" s="130"/>
      <c r="M448" s="123">
        <f t="shared" si="46"/>
        <v>0</v>
      </c>
      <c r="N448" s="124">
        <f t="shared" si="47"/>
        <v>0</v>
      </c>
      <c r="O448" s="130"/>
      <c r="P448" s="52">
        <f t="shared" si="49"/>
        <v>0</v>
      </c>
      <c r="Q448" s="52">
        <f t="shared" si="48"/>
        <v>0</v>
      </c>
      <c r="R448" s="130"/>
      <c r="S448" s="52">
        <f t="shared" si="44"/>
        <v>0</v>
      </c>
      <c r="T448" s="131">
        <f t="shared" si="45"/>
        <v>0</v>
      </c>
      <c r="U448" s="132"/>
      <c r="V448" s="130"/>
      <c r="W448" s="130"/>
      <c r="X448" s="130"/>
      <c r="Y448" s="130"/>
      <c r="Z448" s="130"/>
      <c r="AA448" s="130"/>
      <c r="AB448" s="131"/>
    </row>
    <row r="449" ht="15.75" spans="1:28">
      <c r="A449" s="56">
        <f t="shared" si="43"/>
        <v>451</v>
      </c>
      <c r="B449" s="113">
        <v>46194</v>
      </c>
      <c r="C449" s="114">
        <v>46194</v>
      </c>
      <c r="D449" s="80"/>
      <c r="E449" s="127"/>
      <c r="F449" s="122"/>
      <c r="G449" s="129"/>
      <c r="H449" s="130"/>
      <c r="I449" s="130"/>
      <c r="J449" s="130"/>
      <c r="K449" s="130"/>
      <c r="L449" s="130"/>
      <c r="M449" s="123">
        <f t="shared" si="46"/>
        <v>0</v>
      </c>
      <c r="N449" s="124">
        <f t="shared" si="47"/>
        <v>0</v>
      </c>
      <c r="O449" s="130"/>
      <c r="P449" s="52">
        <f t="shared" si="49"/>
        <v>0</v>
      </c>
      <c r="Q449" s="52">
        <f t="shared" si="48"/>
        <v>0</v>
      </c>
      <c r="R449" s="130"/>
      <c r="S449" s="52">
        <f t="shared" si="44"/>
        <v>0</v>
      </c>
      <c r="T449" s="131">
        <f t="shared" si="45"/>
        <v>0</v>
      </c>
      <c r="U449" s="132"/>
      <c r="V449" s="130"/>
      <c r="W449" s="130"/>
      <c r="X449" s="130"/>
      <c r="Y449" s="130"/>
      <c r="Z449" s="130"/>
      <c r="AA449" s="130"/>
      <c r="AB449" s="131"/>
    </row>
    <row r="450" ht="15.75" spans="1:28">
      <c r="A450" s="56">
        <f t="shared" si="43"/>
        <v>452</v>
      </c>
      <c r="B450" s="113">
        <v>46195</v>
      </c>
      <c r="C450" s="114">
        <v>46195</v>
      </c>
      <c r="D450" s="80"/>
      <c r="E450" s="127"/>
      <c r="F450" s="122"/>
      <c r="G450" s="129"/>
      <c r="H450" s="130"/>
      <c r="I450" s="130"/>
      <c r="J450" s="130"/>
      <c r="K450" s="130"/>
      <c r="L450" s="130"/>
      <c r="M450" s="123">
        <f t="shared" si="46"/>
        <v>0</v>
      </c>
      <c r="N450" s="124">
        <f t="shared" si="47"/>
        <v>0</v>
      </c>
      <c r="O450" s="130"/>
      <c r="P450" s="52">
        <f t="shared" si="49"/>
        <v>0</v>
      </c>
      <c r="Q450" s="52">
        <f t="shared" si="48"/>
        <v>0</v>
      </c>
      <c r="R450" s="130"/>
      <c r="S450" s="52">
        <f t="shared" si="44"/>
        <v>0</v>
      </c>
      <c r="T450" s="131">
        <f t="shared" si="45"/>
        <v>0</v>
      </c>
      <c r="U450" s="132"/>
      <c r="V450" s="130"/>
      <c r="W450" s="130"/>
      <c r="X450" s="130"/>
      <c r="Y450" s="130"/>
      <c r="Z450" s="130"/>
      <c r="AA450" s="130"/>
      <c r="AB450" s="131"/>
    </row>
    <row r="451" ht="15.75" spans="1:28">
      <c r="A451" s="56">
        <f t="shared" ref="A451:A514" si="50">A450+1</f>
        <v>453</v>
      </c>
      <c r="B451" s="113">
        <v>46196</v>
      </c>
      <c r="C451" s="114">
        <v>46196</v>
      </c>
      <c r="D451" s="80"/>
      <c r="E451" s="127"/>
      <c r="F451" s="122"/>
      <c r="G451" s="129"/>
      <c r="H451" s="130"/>
      <c r="I451" s="130"/>
      <c r="J451" s="130"/>
      <c r="K451" s="130"/>
      <c r="L451" s="130"/>
      <c r="M451" s="123">
        <f t="shared" si="46"/>
        <v>0</v>
      </c>
      <c r="N451" s="124">
        <f t="shared" si="47"/>
        <v>0</v>
      </c>
      <c r="O451" s="130"/>
      <c r="P451" s="52">
        <f t="shared" si="49"/>
        <v>0</v>
      </c>
      <c r="Q451" s="52">
        <f t="shared" si="48"/>
        <v>0</v>
      </c>
      <c r="R451" s="130"/>
      <c r="S451" s="52">
        <f t="shared" ref="S451:S514" si="51">MAX((R451-Q451)*3000,0)</f>
        <v>0</v>
      </c>
      <c r="T451" s="131">
        <f t="shared" ref="T451:T514" si="52">P451-S451</f>
        <v>0</v>
      </c>
      <c r="U451" s="132"/>
      <c r="V451" s="130"/>
      <c r="W451" s="130"/>
      <c r="X451" s="130"/>
      <c r="Y451" s="130"/>
      <c r="Z451" s="130"/>
      <c r="AA451" s="130"/>
      <c r="AB451" s="131"/>
    </row>
    <row r="452" ht="15.75" spans="1:28">
      <c r="A452" s="56">
        <f t="shared" si="50"/>
        <v>454</v>
      </c>
      <c r="B452" s="113">
        <v>46197</v>
      </c>
      <c r="C452" s="114">
        <v>46197</v>
      </c>
      <c r="D452" s="80"/>
      <c r="E452" s="127"/>
      <c r="F452" s="122"/>
      <c r="G452" s="129"/>
      <c r="H452" s="130"/>
      <c r="I452" s="130"/>
      <c r="J452" s="130"/>
      <c r="K452" s="130"/>
      <c r="L452" s="130"/>
      <c r="M452" s="123">
        <f t="shared" ref="M452:M515" si="53">SUM(F452:L452)</f>
        <v>0</v>
      </c>
      <c r="N452" s="124">
        <f t="shared" si="47"/>
        <v>0</v>
      </c>
      <c r="O452" s="130"/>
      <c r="P452" s="52">
        <f t="shared" si="49"/>
        <v>0</v>
      </c>
      <c r="Q452" s="52">
        <f t="shared" si="48"/>
        <v>0</v>
      </c>
      <c r="R452" s="130"/>
      <c r="S452" s="52">
        <f t="shared" si="51"/>
        <v>0</v>
      </c>
      <c r="T452" s="131">
        <f t="shared" si="52"/>
        <v>0</v>
      </c>
      <c r="U452" s="132"/>
      <c r="V452" s="130"/>
      <c r="W452" s="130"/>
      <c r="X452" s="130"/>
      <c r="Y452" s="130"/>
      <c r="Z452" s="130"/>
      <c r="AA452" s="130"/>
      <c r="AB452" s="131"/>
    </row>
    <row r="453" ht="15.75" spans="1:28">
      <c r="A453" s="56">
        <f t="shared" si="50"/>
        <v>455</v>
      </c>
      <c r="B453" s="113">
        <v>46198</v>
      </c>
      <c r="C453" s="114">
        <v>46198</v>
      </c>
      <c r="D453" s="80"/>
      <c r="E453" s="127"/>
      <c r="F453" s="122"/>
      <c r="G453" s="129"/>
      <c r="H453" s="130"/>
      <c r="I453" s="130"/>
      <c r="J453" s="130"/>
      <c r="K453" s="130"/>
      <c r="L453" s="130"/>
      <c r="M453" s="123">
        <f t="shared" si="53"/>
        <v>0</v>
      </c>
      <c r="N453" s="124">
        <f t="shared" si="47"/>
        <v>0</v>
      </c>
      <c r="O453" s="130"/>
      <c r="P453" s="52">
        <f t="shared" si="49"/>
        <v>0</v>
      </c>
      <c r="Q453" s="52">
        <f t="shared" si="48"/>
        <v>0</v>
      </c>
      <c r="R453" s="130"/>
      <c r="S453" s="52">
        <f t="shared" si="51"/>
        <v>0</v>
      </c>
      <c r="T453" s="131">
        <f t="shared" si="52"/>
        <v>0</v>
      </c>
      <c r="U453" s="132"/>
      <c r="V453" s="130"/>
      <c r="W453" s="130"/>
      <c r="X453" s="130"/>
      <c r="Y453" s="130"/>
      <c r="Z453" s="130"/>
      <c r="AA453" s="130"/>
      <c r="AB453" s="131"/>
    </row>
    <row r="454" ht="15.75" spans="1:28">
      <c r="A454" s="56">
        <f t="shared" si="50"/>
        <v>456</v>
      </c>
      <c r="B454" s="113">
        <v>46199</v>
      </c>
      <c r="C454" s="114">
        <v>46199</v>
      </c>
      <c r="D454" s="80"/>
      <c r="E454" s="127"/>
      <c r="F454" s="122"/>
      <c r="G454" s="129"/>
      <c r="H454" s="130"/>
      <c r="I454" s="130"/>
      <c r="J454" s="130"/>
      <c r="K454" s="130"/>
      <c r="L454" s="130"/>
      <c r="M454" s="123">
        <f t="shared" si="53"/>
        <v>0</v>
      </c>
      <c r="N454" s="124">
        <f t="shared" si="47"/>
        <v>0</v>
      </c>
      <c r="O454" s="130"/>
      <c r="P454" s="52">
        <f t="shared" si="49"/>
        <v>0</v>
      </c>
      <c r="Q454" s="52">
        <f t="shared" si="48"/>
        <v>0</v>
      </c>
      <c r="R454" s="130"/>
      <c r="S454" s="52">
        <f t="shared" si="51"/>
        <v>0</v>
      </c>
      <c r="T454" s="131">
        <f t="shared" si="52"/>
        <v>0</v>
      </c>
      <c r="U454" s="132"/>
      <c r="V454" s="130"/>
      <c r="W454" s="130"/>
      <c r="X454" s="130"/>
      <c r="Y454" s="130"/>
      <c r="Z454" s="130"/>
      <c r="AA454" s="130"/>
      <c r="AB454" s="131"/>
    </row>
    <row r="455" ht="15.75" spans="1:28">
      <c r="A455" s="56">
        <f t="shared" si="50"/>
        <v>457</v>
      </c>
      <c r="B455" s="113">
        <v>46200</v>
      </c>
      <c r="C455" s="114">
        <v>46200</v>
      </c>
      <c r="D455" s="80"/>
      <c r="E455" s="127"/>
      <c r="F455" s="122"/>
      <c r="G455" s="129"/>
      <c r="H455" s="130"/>
      <c r="I455" s="130"/>
      <c r="J455" s="130"/>
      <c r="K455" s="130"/>
      <c r="L455" s="130"/>
      <c r="M455" s="123">
        <f t="shared" si="53"/>
        <v>0</v>
      </c>
      <c r="N455" s="124">
        <f t="shared" si="47"/>
        <v>0</v>
      </c>
      <c r="O455" s="130"/>
      <c r="P455" s="52">
        <f t="shared" si="49"/>
        <v>0</v>
      </c>
      <c r="Q455" s="52">
        <f t="shared" si="48"/>
        <v>0</v>
      </c>
      <c r="R455" s="130"/>
      <c r="S455" s="52">
        <f t="shared" si="51"/>
        <v>0</v>
      </c>
      <c r="T455" s="131">
        <f t="shared" si="52"/>
        <v>0</v>
      </c>
      <c r="U455" s="132"/>
      <c r="V455" s="130"/>
      <c r="W455" s="130"/>
      <c r="X455" s="130"/>
      <c r="Y455" s="130"/>
      <c r="Z455" s="130"/>
      <c r="AA455" s="130"/>
      <c r="AB455" s="131"/>
    </row>
    <row r="456" ht="15.75" spans="1:28">
      <c r="A456" s="56">
        <f t="shared" si="50"/>
        <v>458</v>
      </c>
      <c r="B456" s="113">
        <v>46201</v>
      </c>
      <c r="C456" s="114">
        <v>46201</v>
      </c>
      <c r="D456" s="80"/>
      <c r="E456" s="127"/>
      <c r="F456" s="122"/>
      <c r="G456" s="129"/>
      <c r="H456" s="130"/>
      <c r="I456" s="130"/>
      <c r="J456" s="130"/>
      <c r="K456" s="130"/>
      <c r="L456" s="130"/>
      <c r="M456" s="123">
        <f t="shared" si="53"/>
        <v>0</v>
      </c>
      <c r="N456" s="124">
        <f t="shared" si="47"/>
        <v>0</v>
      </c>
      <c r="O456" s="130"/>
      <c r="P456" s="52">
        <f t="shared" si="49"/>
        <v>0</v>
      </c>
      <c r="Q456" s="52">
        <f t="shared" si="48"/>
        <v>0</v>
      </c>
      <c r="R456" s="130"/>
      <c r="S456" s="52">
        <f t="shared" si="51"/>
        <v>0</v>
      </c>
      <c r="T456" s="131">
        <f t="shared" si="52"/>
        <v>0</v>
      </c>
      <c r="U456" s="132"/>
      <c r="V456" s="130"/>
      <c r="W456" s="130"/>
      <c r="X456" s="130"/>
      <c r="Y456" s="130"/>
      <c r="Z456" s="130"/>
      <c r="AA456" s="130"/>
      <c r="AB456" s="131"/>
    </row>
    <row r="457" ht="15.75" spans="1:28">
      <c r="A457" s="56">
        <f t="shared" si="50"/>
        <v>459</v>
      </c>
      <c r="B457" s="113">
        <v>46202</v>
      </c>
      <c r="C457" s="114">
        <v>46202</v>
      </c>
      <c r="D457" s="80"/>
      <c r="E457" s="127"/>
      <c r="F457" s="122"/>
      <c r="G457" s="129"/>
      <c r="H457" s="130"/>
      <c r="I457" s="130"/>
      <c r="J457" s="130"/>
      <c r="K457" s="130"/>
      <c r="L457" s="130"/>
      <c r="M457" s="123">
        <f t="shared" si="53"/>
        <v>0</v>
      </c>
      <c r="N457" s="124">
        <f t="shared" si="47"/>
        <v>0</v>
      </c>
      <c r="O457" s="130"/>
      <c r="P457" s="52">
        <f t="shared" si="49"/>
        <v>0</v>
      </c>
      <c r="Q457" s="52">
        <f t="shared" si="48"/>
        <v>0</v>
      </c>
      <c r="R457" s="130"/>
      <c r="S457" s="52">
        <f t="shared" si="51"/>
        <v>0</v>
      </c>
      <c r="T457" s="131">
        <f t="shared" si="52"/>
        <v>0</v>
      </c>
      <c r="U457" s="132"/>
      <c r="V457" s="130"/>
      <c r="W457" s="130"/>
      <c r="X457" s="130"/>
      <c r="Y457" s="130"/>
      <c r="Z457" s="130"/>
      <c r="AA457" s="130"/>
      <c r="AB457" s="131"/>
    </row>
    <row r="458" ht="15.75" spans="1:28">
      <c r="A458" s="56">
        <f t="shared" si="50"/>
        <v>460</v>
      </c>
      <c r="B458" s="113">
        <v>46203</v>
      </c>
      <c r="C458" s="114">
        <v>46203</v>
      </c>
      <c r="D458" s="80"/>
      <c r="E458" s="127"/>
      <c r="F458" s="122"/>
      <c r="G458" s="129"/>
      <c r="H458" s="130"/>
      <c r="I458" s="130"/>
      <c r="J458" s="130"/>
      <c r="K458" s="130"/>
      <c r="L458" s="130"/>
      <c r="M458" s="123">
        <f t="shared" si="53"/>
        <v>0</v>
      </c>
      <c r="N458" s="124">
        <f t="shared" si="47"/>
        <v>0</v>
      </c>
      <c r="O458" s="130"/>
      <c r="P458" s="52">
        <f t="shared" si="49"/>
        <v>0</v>
      </c>
      <c r="Q458" s="52">
        <f t="shared" si="48"/>
        <v>0</v>
      </c>
      <c r="R458" s="130"/>
      <c r="S458" s="52">
        <f t="shared" si="51"/>
        <v>0</v>
      </c>
      <c r="T458" s="131">
        <f t="shared" si="52"/>
        <v>0</v>
      </c>
      <c r="U458" s="132"/>
      <c r="V458" s="130"/>
      <c r="W458" s="130"/>
      <c r="X458" s="130"/>
      <c r="Y458" s="130"/>
      <c r="Z458" s="130"/>
      <c r="AA458" s="130"/>
      <c r="AB458" s="131"/>
    </row>
    <row r="459" ht="15.75" spans="1:28">
      <c r="A459" s="56">
        <f t="shared" si="50"/>
        <v>461</v>
      </c>
      <c r="B459" s="113">
        <v>46204</v>
      </c>
      <c r="C459" s="114">
        <v>46204</v>
      </c>
      <c r="D459" s="80"/>
      <c r="E459" s="127"/>
      <c r="F459" s="122"/>
      <c r="G459" s="129"/>
      <c r="H459" s="130"/>
      <c r="I459" s="130"/>
      <c r="J459" s="130"/>
      <c r="K459" s="130"/>
      <c r="L459" s="130"/>
      <c r="M459" s="123">
        <f t="shared" si="53"/>
        <v>0</v>
      </c>
      <c r="N459" s="124">
        <f t="shared" si="47"/>
        <v>0</v>
      </c>
      <c r="O459" s="130"/>
      <c r="P459" s="52">
        <f t="shared" si="49"/>
        <v>0</v>
      </c>
      <c r="Q459" s="52">
        <f t="shared" si="48"/>
        <v>0</v>
      </c>
      <c r="R459" s="130"/>
      <c r="S459" s="52">
        <f t="shared" si="51"/>
        <v>0</v>
      </c>
      <c r="T459" s="131">
        <f t="shared" si="52"/>
        <v>0</v>
      </c>
      <c r="U459" s="132"/>
      <c r="V459" s="130"/>
      <c r="W459" s="130"/>
      <c r="X459" s="130"/>
      <c r="Y459" s="130"/>
      <c r="Z459" s="130"/>
      <c r="AA459" s="130"/>
      <c r="AB459" s="131"/>
    </row>
    <row r="460" ht="15.75" spans="1:28">
      <c r="A460" s="56">
        <f t="shared" si="50"/>
        <v>462</v>
      </c>
      <c r="B460" s="113">
        <v>46205</v>
      </c>
      <c r="C460" s="114">
        <v>46205</v>
      </c>
      <c r="D460" s="80"/>
      <c r="E460" s="127"/>
      <c r="F460" s="122"/>
      <c r="G460" s="129"/>
      <c r="H460" s="130"/>
      <c r="I460" s="130"/>
      <c r="J460" s="130"/>
      <c r="K460" s="130"/>
      <c r="L460" s="130"/>
      <c r="M460" s="123">
        <f t="shared" si="53"/>
        <v>0</v>
      </c>
      <c r="N460" s="124">
        <f t="shared" si="47"/>
        <v>0</v>
      </c>
      <c r="O460" s="130"/>
      <c r="P460" s="52">
        <f t="shared" si="49"/>
        <v>0</v>
      </c>
      <c r="Q460" s="52">
        <f t="shared" si="48"/>
        <v>0</v>
      </c>
      <c r="R460" s="130"/>
      <c r="S460" s="52">
        <f t="shared" si="51"/>
        <v>0</v>
      </c>
      <c r="T460" s="131">
        <f t="shared" si="52"/>
        <v>0</v>
      </c>
      <c r="U460" s="132"/>
      <c r="V460" s="130"/>
      <c r="W460" s="130"/>
      <c r="X460" s="130"/>
      <c r="Y460" s="130"/>
      <c r="Z460" s="130"/>
      <c r="AA460" s="130"/>
      <c r="AB460" s="131"/>
    </row>
    <row r="461" ht="15.75" spans="1:28">
      <c r="A461" s="56">
        <f t="shared" si="50"/>
        <v>463</v>
      </c>
      <c r="B461" s="113">
        <v>46206</v>
      </c>
      <c r="C461" s="114">
        <v>46206</v>
      </c>
      <c r="D461" s="80"/>
      <c r="E461" s="127"/>
      <c r="F461" s="122"/>
      <c r="G461" s="129"/>
      <c r="H461" s="130"/>
      <c r="I461" s="130"/>
      <c r="J461" s="130"/>
      <c r="K461" s="130"/>
      <c r="L461" s="130"/>
      <c r="M461" s="123">
        <f t="shared" si="53"/>
        <v>0</v>
      </c>
      <c r="N461" s="124">
        <f t="shared" ref="N461:N524" si="54">O460</f>
        <v>0</v>
      </c>
      <c r="O461" s="130"/>
      <c r="P461" s="52">
        <f t="shared" si="49"/>
        <v>0</v>
      </c>
      <c r="Q461" s="52">
        <f t="shared" ref="Q461:Q524" si="55">R460</f>
        <v>0</v>
      </c>
      <c r="R461" s="130"/>
      <c r="S461" s="52">
        <f t="shared" si="51"/>
        <v>0</v>
      </c>
      <c r="T461" s="131">
        <f t="shared" si="52"/>
        <v>0</v>
      </c>
      <c r="U461" s="132"/>
      <c r="V461" s="130"/>
      <c r="W461" s="130"/>
      <c r="X461" s="130"/>
      <c r="Y461" s="130"/>
      <c r="Z461" s="130"/>
      <c r="AA461" s="130"/>
      <c r="AB461" s="131"/>
    </row>
    <row r="462" ht="15.75" spans="1:28">
      <c r="A462" s="56">
        <f t="shared" si="50"/>
        <v>464</v>
      </c>
      <c r="B462" s="113">
        <v>46207</v>
      </c>
      <c r="C462" s="114">
        <v>46207</v>
      </c>
      <c r="D462" s="80"/>
      <c r="E462" s="127"/>
      <c r="F462" s="122"/>
      <c r="G462" s="129"/>
      <c r="H462" s="130"/>
      <c r="I462" s="130"/>
      <c r="J462" s="130"/>
      <c r="K462" s="130"/>
      <c r="L462" s="130"/>
      <c r="M462" s="123">
        <f t="shared" si="53"/>
        <v>0</v>
      </c>
      <c r="N462" s="124">
        <f t="shared" si="54"/>
        <v>0</v>
      </c>
      <c r="O462" s="130"/>
      <c r="P462" s="52">
        <f t="shared" si="49"/>
        <v>0</v>
      </c>
      <c r="Q462" s="52">
        <f t="shared" si="55"/>
        <v>0</v>
      </c>
      <c r="R462" s="130"/>
      <c r="S462" s="52">
        <f t="shared" si="51"/>
        <v>0</v>
      </c>
      <c r="T462" s="131">
        <f t="shared" si="52"/>
        <v>0</v>
      </c>
      <c r="U462" s="132"/>
      <c r="V462" s="130"/>
      <c r="W462" s="130"/>
      <c r="X462" s="130"/>
      <c r="Y462" s="130"/>
      <c r="Z462" s="130"/>
      <c r="AA462" s="130"/>
      <c r="AB462" s="131"/>
    </row>
    <row r="463" ht="15.75" spans="1:28">
      <c r="A463" s="56">
        <f t="shared" si="50"/>
        <v>465</v>
      </c>
      <c r="B463" s="113">
        <v>46208</v>
      </c>
      <c r="C463" s="114">
        <v>46208</v>
      </c>
      <c r="D463" s="80"/>
      <c r="E463" s="127"/>
      <c r="F463" s="122"/>
      <c r="G463" s="129"/>
      <c r="H463" s="130"/>
      <c r="I463" s="130"/>
      <c r="J463" s="130"/>
      <c r="K463" s="130"/>
      <c r="L463" s="130"/>
      <c r="M463" s="123">
        <f t="shared" si="53"/>
        <v>0</v>
      </c>
      <c r="N463" s="124">
        <f t="shared" si="54"/>
        <v>0</v>
      </c>
      <c r="O463" s="130"/>
      <c r="P463" s="52">
        <f t="shared" si="49"/>
        <v>0</v>
      </c>
      <c r="Q463" s="52">
        <f t="shared" si="55"/>
        <v>0</v>
      </c>
      <c r="R463" s="130"/>
      <c r="S463" s="52">
        <f t="shared" si="51"/>
        <v>0</v>
      </c>
      <c r="T463" s="131">
        <f t="shared" si="52"/>
        <v>0</v>
      </c>
      <c r="U463" s="132"/>
      <c r="V463" s="130"/>
      <c r="W463" s="130"/>
      <c r="X463" s="130"/>
      <c r="Y463" s="130"/>
      <c r="Z463" s="130"/>
      <c r="AA463" s="130"/>
      <c r="AB463" s="131"/>
    </row>
    <row r="464" ht="15.75" spans="1:28">
      <c r="A464" s="56">
        <f t="shared" si="50"/>
        <v>466</v>
      </c>
      <c r="B464" s="113">
        <v>46209</v>
      </c>
      <c r="C464" s="114">
        <v>46209</v>
      </c>
      <c r="D464" s="80"/>
      <c r="E464" s="127"/>
      <c r="F464" s="122"/>
      <c r="G464" s="129"/>
      <c r="H464" s="130"/>
      <c r="I464" s="130"/>
      <c r="J464" s="130"/>
      <c r="K464" s="130"/>
      <c r="L464" s="130"/>
      <c r="M464" s="123">
        <f t="shared" si="53"/>
        <v>0</v>
      </c>
      <c r="N464" s="124">
        <f t="shared" si="54"/>
        <v>0</v>
      </c>
      <c r="O464" s="130"/>
      <c r="P464" s="52">
        <f t="shared" si="49"/>
        <v>0</v>
      </c>
      <c r="Q464" s="52">
        <f t="shared" si="55"/>
        <v>0</v>
      </c>
      <c r="R464" s="130"/>
      <c r="S464" s="52">
        <f t="shared" si="51"/>
        <v>0</v>
      </c>
      <c r="T464" s="131">
        <f t="shared" si="52"/>
        <v>0</v>
      </c>
      <c r="U464" s="132"/>
      <c r="V464" s="130"/>
      <c r="W464" s="130"/>
      <c r="X464" s="130"/>
      <c r="Y464" s="130"/>
      <c r="Z464" s="130"/>
      <c r="AA464" s="130"/>
      <c r="AB464" s="131"/>
    </row>
    <row r="465" ht="15.75" spans="1:28">
      <c r="A465" s="56">
        <f t="shared" si="50"/>
        <v>467</v>
      </c>
      <c r="B465" s="113">
        <v>46210</v>
      </c>
      <c r="C465" s="114">
        <v>46210</v>
      </c>
      <c r="D465" s="80"/>
      <c r="E465" s="127"/>
      <c r="F465" s="122"/>
      <c r="G465" s="129"/>
      <c r="H465" s="130"/>
      <c r="I465" s="130"/>
      <c r="J465" s="130"/>
      <c r="K465" s="130"/>
      <c r="L465" s="130"/>
      <c r="M465" s="123">
        <f t="shared" si="53"/>
        <v>0</v>
      </c>
      <c r="N465" s="124">
        <f t="shared" si="54"/>
        <v>0</v>
      </c>
      <c r="O465" s="130"/>
      <c r="P465" s="52">
        <f t="shared" si="49"/>
        <v>0</v>
      </c>
      <c r="Q465" s="52">
        <f t="shared" si="55"/>
        <v>0</v>
      </c>
      <c r="R465" s="130"/>
      <c r="S465" s="52">
        <f t="shared" si="51"/>
        <v>0</v>
      </c>
      <c r="T465" s="131">
        <f t="shared" si="52"/>
        <v>0</v>
      </c>
      <c r="U465" s="132"/>
      <c r="V465" s="130"/>
      <c r="W465" s="130"/>
      <c r="X465" s="130"/>
      <c r="Y465" s="130"/>
      <c r="Z465" s="130"/>
      <c r="AA465" s="130"/>
      <c r="AB465" s="131"/>
    </row>
    <row r="466" ht="15.75" spans="1:28">
      <c r="A466" s="56">
        <f t="shared" si="50"/>
        <v>468</v>
      </c>
      <c r="B466" s="113">
        <v>46211</v>
      </c>
      <c r="C466" s="114">
        <v>46211</v>
      </c>
      <c r="D466" s="80"/>
      <c r="E466" s="127"/>
      <c r="F466" s="122"/>
      <c r="G466" s="129"/>
      <c r="H466" s="130"/>
      <c r="I466" s="130"/>
      <c r="J466" s="130"/>
      <c r="K466" s="130"/>
      <c r="L466" s="130"/>
      <c r="M466" s="123">
        <f t="shared" si="53"/>
        <v>0</v>
      </c>
      <c r="N466" s="124">
        <f t="shared" si="54"/>
        <v>0</v>
      </c>
      <c r="O466" s="130"/>
      <c r="P466" s="52">
        <f t="shared" si="49"/>
        <v>0</v>
      </c>
      <c r="Q466" s="52">
        <f t="shared" si="55"/>
        <v>0</v>
      </c>
      <c r="R466" s="130"/>
      <c r="S466" s="52">
        <f t="shared" si="51"/>
        <v>0</v>
      </c>
      <c r="T466" s="131">
        <f t="shared" si="52"/>
        <v>0</v>
      </c>
      <c r="U466" s="132"/>
      <c r="V466" s="130"/>
      <c r="W466" s="130"/>
      <c r="X466" s="130"/>
      <c r="Y466" s="130"/>
      <c r="Z466" s="130"/>
      <c r="AA466" s="130"/>
      <c r="AB466" s="131"/>
    </row>
    <row r="467" ht="15.75" spans="1:28">
      <c r="A467" s="56">
        <f t="shared" si="50"/>
        <v>469</v>
      </c>
      <c r="B467" s="113">
        <v>46212</v>
      </c>
      <c r="C467" s="114">
        <v>46212</v>
      </c>
      <c r="D467" s="80"/>
      <c r="E467" s="127"/>
      <c r="F467" s="122"/>
      <c r="G467" s="129"/>
      <c r="H467" s="130"/>
      <c r="I467" s="130"/>
      <c r="J467" s="130"/>
      <c r="K467" s="130"/>
      <c r="L467" s="130"/>
      <c r="M467" s="123">
        <f t="shared" si="53"/>
        <v>0</v>
      </c>
      <c r="N467" s="124">
        <f t="shared" si="54"/>
        <v>0</v>
      </c>
      <c r="O467" s="130"/>
      <c r="P467" s="52">
        <f t="shared" si="49"/>
        <v>0</v>
      </c>
      <c r="Q467" s="52">
        <f t="shared" si="55"/>
        <v>0</v>
      </c>
      <c r="R467" s="130"/>
      <c r="S467" s="52">
        <f t="shared" si="51"/>
        <v>0</v>
      </c>
      <c r="T467" s="131">
        <f t="shared" si="52"/>
        <v>0</v>
      </c>
      <c r="U467" s="132"/>
      <c r="V467" s="130"/>
      <c r="W467" s="130"/>
      <c r="X467" s="130"/>
      <c r="Y467" s="130"/>
      <c r="Z467" s="130"/>
      <c r="AA467" s="130"/>
      <c r="AB467" s="131"/>
    </row>
    <row r="468" ht="15.75" spans="1:28">
      <c r="A468" s="56">
        <f t="shared" si="50"/>
        <v>470</v>
      </c>
      <c r="B468" s="113">
        <v>46213</v>
      </c>
      <c r="C468" s="114">
        <v>46213</v>
      </c>
      <c r="D468" s="80"/>
      <c r="E468" s="127"/>
      <c r="F468" s="122"/>
      <c r="G468" s="129"/>
      <c r="H468" s="130"/>
      <c r="I468" s="130"/>
      <c r="J468" s="130"/>
      <c r="K468" s="130"/>
      <c r="L468" s="130"/>
      <c r="M468" s="123">
        <f t="shared" si="53"/>
        <v>0</v>
      </c>
      <c r="N468" s="124">
        <f t="shared" si="54"/>
        <v>0</v>
      </c>
      <c r="O468" s="130"/>
      <c r="P468" s="52">
        <f t="shared" si="49"/>
        <v>0</v>
      </c>
      <c r="Q468" s="52">
        <f t="shared" si="55"/>
        <v>0</v>
      </c>
      <c r="R468" s="130"/>
      <c r="S468" s="52">
        <f t="shared" si="51"/>
        <v>0</v>
      </c>
      <c r="T468" s="131">
        <f t="shared" si="52"/>
        <v>0</v>
      </c>
      <c r="U468" s="132"/>
      <c r="V468" s="130"/>
      <c r="W468" s="130"/>
      <c r="X468" s="130"/>
      <c r="Y468" s="130"/>
      <c r="Z468" s="130"/>
      <c r="AA468" s="130"/>
      <c r="AB468" s="131"/>
    </row>
    <row r="469" ht="15.75" spans="1:28">
      <c r="A469" s="56">
        <f t="shared" si="50"/>
        <v>471</v>
      </c>
      <c r="B469" s="113">
        <v>46214</v>
      </c>
      <c r="C469" s="114">
        <v>46214</v>
      </c>
      <c r="D469" s="80"/>
      <c r="E469" s="127"/>
      <c r="F469" s="122"/>
      <c r="G469" s="129"/>
      <c r="H469" s="130"/>
      <c r="I469" s="130"/>
      <c r="J469" s="130"/>
      <c r="K469" s="130"/>
      <c r="L469" s="130"/>
      <c r="M469" s="123">
        <f t="shared" si="53"/>
        <v>0</v>
      </c>
      <c r="N469" s="124">
        <f t="shared" si="54"/>
        <v>0</v>
      </c>
      <c r="O469" s="130"/>
      <c r="P469" s="52">
        <f t="shared" si="49"/>
        <v>0</v>
      </c>
      <c r="Q469" s="52">
        <f t="shared" si="55"/>
        <v>0</v>
      </c>
      <c r="R469" s="130"/>
      <c r="S469" s="52">
        <f t="shared" si="51"/>
        <v>0</v>
      </c>
      <c r="T469" s="131">
        <f t="shared" si="52"/>
        <v>0</v>
      </c>
      <c r="U469" s="132"/>
      <c r="V469" s="130"/>
      <c r="W469" s="130"/>
      <c r="X469" s="130"/>
      <c r="Y469" s="130"/>
      <c r="Z469" s="130"/>
      <c r="AA469" s="130"/>
      <c r="AB469" s="131"/>
    </row>
    <row r="470" ht="15.75" spans="1:28">
      <c r="A470" s="56">
        <f t="shared" si="50"/>
        <v>472</v>
      </c>
      <c r="B470" s="113">
        <v>46215</v>
      </c>
      <c r="C470" s="114">
        <v>46215</v>
      </c>
      <c r="D470" s="80"/>
      <c r="E470" s="127"/>
      <c r="F470" s="122"/>
      <c r="G470" s="129"/>
      <c r="H470" s="130"/>
      <c r="I470" s="130"/>
      <c r="J470" s="130"/>
      <c r="K470" s="130"/>
      <c r="L470" s="130"/>
      <c r="M470" s="123">
        <f t="shared" si="53"/>
        <v>0</v>
      </c>
      <c r="N470" s="124">
        <f t="shared" si="54"/>
        <v>0</v>
      </c>
      <c r="O470" s="130"/>
      <c r="P470" s="52">
        <f t="shared" si="49"/>
        <v>0</v>
      </c>
      <c r="Q470" s="52">
        <f t="shared" si="55"/>
        <v>0</v>
      </c>
      <c r="R470" s="130"/>
      <c r="S470" s="52">
        <f t="shared" si="51"/>
        <v>0</v>
      </c>
      <c r="T470" s="131">
        <f t="shared" si="52"/>
        <v>0</v>
      </c>
      <c r="U470" s="132"/>
      <c r="V470" s="130"/>
      <c r="W470" s="130"/>
      <c r="X470" s="130"/>
      <c r="Y470" s="130"/>
      <c r="Z470" s="130"/>
      <c r="AA470" s="130"/>
      <c r="AB470" s="131"/>
    </row>
    <row r="471" ht="15.75" spans="1:28">
      <c r="A471" s="56">
        <f t="shared" si="50"/>
        <v>473</v>
      </c>
      <c r="B471" s="113">
        <v>46216</v>
      </c>
      <c r="C471" s="114">
        <v>46216</v>
      </c>
      <c r="D471" s="80"/>
      <c r="E471" s="127"/>
      <c r="F471" s="122"/>
      <c r="G471" s="129"/>
      <c r="H471" s="130"/>
      <c r="I471" s="130"/>
      <c r="J471" s="130"/>
      <c r="K471" s="130"/>
      <c r="L471" s="130"/>
      <c r="M471" s="123">
        <f t="shared" si="53"/>
        <v>0</v>
      </c>
      <c r="N471" s="124">
        <f t="shared" si="54"/>
        <v>0</v>
      </c>
      <c r="O471" s="130"/>
      <c r="P471" s="52">
        <f t="shared" si="49"/>
        <v>0</v>
      </c>
      <c r="Q471" s="52">
        <f t="shared" si="55"/>
        <v>0</v>
      </c>
      <c r="R471" s="130"/>
      <c r="S471" s="52">
        <f t="shared" si="51"/>
        <v>0</v>
      </c>
      <c r="T471" s="131">
        <f t="shared" si="52"/>
        <v>0</v>
      </c>
      <c r="U471" s="132"/>
      <c r="V471" s="130"/>
      <c r="W471" s="130"/>
      <c r="X471" s="130"/>
      <c r="Y471" s="130"/>
      <c r="Z471" s="130"/>
      <c r="AA471" s="130"/>
      <c r="AB471" s="131"/>
    </row>
    <row r="472" ht="15.75" spans="1:28">
      <c r="A472" s="56">
        <f t="shared" si="50"/>
        <v>474</v>
      </c>
      <c r="B472" s="113">
        <v>46217</v>
      </c>
      <c r="C472" s="114">
        <v>46217</v>
      </c>
      <c r="D472" s="80"/>
      <c r="E472" s="127"/>
      <c r="F472" s="122"/>
      <c r="G472" s="129"/>
      <c r="H472" s="130"/>
      <c r="I472" s="130"/>
      <c r="J472" s="130"/>
      <c r="K472" s="130"/>
      <c r="L472" s="130"/>
      <c r="M472" s="123">
        <f t="shared" si="53"/>
        <v>0</v>
      </c>
      <c r="N472" s="124">
        <f t="shared" si="54"/>
        <v>0</v>
      </c>
      <c r="O472" s="130"/>
      <c r="P472" s="52">
        <f t="shared" ref="P472:P535" si="56">MAX((O472-N472)*3000,0)</f>
        <v>0</v>
      </c>
      <c r="Q472" s="52">
        <f t="shared" si="55"/>
        <v>0</v>
      </c>
      <c r="R472" s="130"/>
      <c r="S472" s="52">
        <f t="shared" si="51"/>
        <v>0</v>
      </c>
      <c r="T472" s="131">
        <f t="shared" si="52"/>
        <v>0</v>
      </c>
      <c r="U472" s="132"/>
      <c r="V472" s="130"/>
      <c r="W472" s="130"/>
      <c r="X472" s="130"/>
      <c r="Y472" s="130"/>
      <c r="Z472" s="130"/>
      <c r="AA472" s="130"/>
      <c r="AB472" s="131"/>
    </row>
    <row r="473" ht="15.75" spans="1:28">
      <c r="A473" s="56">
        <f t="shared" si="50"/>
        <v>475</v>
      </c>
      <c r="B473" s="113">
        <v>46218</v>
      </c>
      <c r="C473" s="114">
        <v>46218</v>
      </c>
      <c r="D473" s="80"/>
      <c r="E473" s="127"/>
      <c r="F473" s="122"/>
      <c r="G473" s="129"/>
      <c r="H473" s="130"/>
      <c r="I473" s="130"/>
      <c r="J473" s="130"/>
      <c r="K473" s="130"/>
      <c r="L473" s="130"/>
      <c r="M473" s="123">
        <f t="shared" si="53"/>
        <v>0</v>
      </c>
      <c r="N473" s="124">
        <f t="shared" si="54"/>
        <v>0</v>
      </c>
      <c r="O473" s="130"/>
      <c r="P473" s="52">
        <f t="shared" si="56"/>
        <v>0</v>
      </c>
      <c r="Q473" s="52">
        <f t="shared" si="55"/>
        <v>0</v>
      </c>
      <c r="R473" s="130"/>
      <c r="S473" s="52">
        <f t="shared" si="51"/>
        <v>0</v>
      </c>
      <c r="T473" s="131">
        <f t="shared" si="52"/>
        <v>0</v>
      </c>
      <c r="U473" s="132"/>
      <c r="V473" s="130"/>
      <c r="W473" s="130"/>
      <c r="X473" s="130"/>
      <c r="Y473" s="130"/>
      <c r="Z473" s="130"/>
      <c r="AA473" s="130"/>
      <c r="AB473" s="131"/>
    </row>
    <row r="474" ht="15.75" spans="1:28">
      <c r="A474" s="56">
        <f t="shared" si="50"/>
        <v>476</v>
      </c>
      <c r="B474" s="113">
        <v>46219</v>
      </c>
      <c r="C474" s="114">
        <v>46219</v>
      </c>
      <c r="D474" s="80"/>
      <c r="E474" s="127"/>
      <c r="F474" s="122"/>
      <c r="G474" s="129"/>
      <c r="H474" s="130"/>
      <c r="I474" s="130"/>
      <c r="J474" s="130"/>
      <c r="K474" s="130"/>
      <c r="L474" s="130"/>
      <c r="M474" s="123">
        <f t="shared" si="53"/>
        <v>0</v>
      </c>
      <c r="N474" s="124">
        <f t="shared" si="54"/>
        <v>0</v>
      </c>
      <c r="O474" s="130"/>
      <c r="P474" s="52">
        <f t="shared" si="56"/>
        <v>0</v>
      </c>
      <c r="Q474" s="52">
        <f t="shared" si="55"/>
        <v>0</v>
      </c>
      <c r="R474" s="130"/>
      <c r="S474" s="52">
        <f t="shared" si="51"/>
        <v>0</v>
      </c>
      <c r="T474" s="131">
        <f t="shared" si="52"/>
        <v>0</v>
      </c>
      <c r="U474" s="132"/>
      <c r="V474" s="130"/>
      <c r="W474" s="130"/>
      <c r="X474" s="130"/>
      <c r="Y474" s="130"/>
      <c r="Z474" s="130"/>
      <c r="AA474" s="130"/>
      <c r="AB474" s="131"/>
    </row>
    <row r="475" ht="15.75" spans="1:28">
      <c r="A475" s="56">
        <f t="shared" si="50"/>
        <v>477</v>
      </c>
      <c r="B475" s="113">
        <v>46220</v>
      </c>
      <c r="C475" s="114">
        <v>46220</v>
      </c>
      <c r="D475" s="80"/>
      <c r="E475" s="127"/>
      <c r="F475" s="122"/>
      <c r="G475" s="129"/>
      <c r="H475" s="130"/>
      <c r="I475" s="130"/>
      <c r="J475" s="130"/>
      <c r="K475" s="130"/>
      <c r="L475" s="130"/>
      <c r="M475" s="123">
        <f t="shared" si="53"/>
        <v>0</v>
      </c>
      <c r="N475" s="124">
        <f t="shared" si="54"/>
        <v>0</v>
      </c>
      <c r="O475" s="130"/>
      <c r="P475" s="52">
        <f t="shared" si="56"/>
        <v>0</v>
      </c>
      <c r="Q475" s="52">
        <f t="shared" si="55"/>
        <v>0</v>
      </c>
      <c r="R475" s="130"/>
      <c r="S475" s="52">
        <f t="shared" si="51"/>
        <v>0</v>
      </c>
      <c r="T475" s="131">
        <f t="shared" si="52"/>
        <v>0</v>
      </c>
      <c r="U475" s="132"/>
      <c r="V475" s="130"/>
      <c r="W475" s="130"/>
      <c r="X475" s="130"/>
      <c r="Y475" s="130"/>
      <c r="Z475" s="130"/>
      <c r="AA475" s="130"/>
      <c r="AB475" s="131"/>
    </row>
    <row r="476" ht="15.75" spans="1:28">
      <c r="A476" s="56">
        <f t="shared" si="50"/>
        <v>478</v>
      </c>
      <c r="B476" s="113">
        <v>46221</v>
      </c>
      <c r="C476" s="114">
        <v>46221</v>
      </c>
      <c r="D476" s="80"/>
      <c r="E476" s="127"/>
      <c r="F476" s="122"/>
      <c r="G476" s="129"/>
      <c r="H476" s="130"/>
      <c r="I476" s="130"/>
      <c r="J476" s="130"/>
      <c r="K476" s="130"/>
      <c r="L476" s="130"/>
      <c r="M476" s="123">
        <f t="shared" si="53"/>
        <v>0</v>
      </c>
      <c r="N476" s="124">
        <f t="shared" si="54"/>
        <v>0</v>
      </c>
      <c r="O476" s="130"/>
      <c r="P476" s="52">
        <f t="shared" si="56"/>
        <v>0</v>
      </c>
      <c r="Q476" s="52">
        <f t="shared" si="55"/>
        <v>0</v>
      </c>
      <c r="R476" s="130"/>
      <c r="S476" s="52">
        <f t="shared" si="51"/>
        <v>0</v>
      </c>
      <c r="T476" s="131">
        <f t="shared" si="52"/>
        <v>0</v>
      </c>
      <c r="U476" s="132"/>
      <c r="V476" s="130"/>
      <c r="W476" s="130"/>
      <c r="X476" s="130"/>
      <c r="Y476" s="130"/>
      <c r="Z476" s="130"/>
      <c r="AA476" s="130"/>
      <c r="AB476" s="131"/>
    </row>
    <row r="477" ht="15.75" spans="1:28">
      <c r="A477" s="56">
        <f t="shared" si="50"/>
        <v>479</v>
      </c>
      <c r="B477" s="113">
        <v>46222</v>
      </c>
      <c r="C477" s="114">
        <v>46222</v>
      </c>
      <c r="D477" s="80"/>
      <c r="E477" s="127"/>
      <c r="F477" s="122"/>
      <c r="G477" s="129"/>
      <c r="H477" s="130"/>
      <c r="I477" s="130"/>
      <c r="J477" s="130"/>
      <c r="K477" s="130"/>
      <c r="L477" s="130"/>
      <c r="M477" s="123">
        <f t="shared" si="53"/>
        <v>0</v>
      </c>
      <c r="N477" s="124">
        <f t="shared" si="54"/>
        <v>0</v>
      </c>
      <c r="O477" s="130"/>
      <c r="P477" s="52">
        <f t="shared" si="56"/>
        <v>0</v>
      </c>
      <c r="Q477" s="52">
        <f t="shared" si="55"/>
        <v>0</v>
      </c>
      <c r="R477" s="130"/>
      <c r="S477" s="52">
        <f t="shared" si="51"/>
        <v>0</v>
      </c>
      <c r="T477" s="131">
        <f t="shared" si="52"/>
        <v>0</v>
      </c>
      <c r="U477" s="132"/>
      <c r="V477" s="130"/>
      <c r="W477" s="130"/>
      <c r="X477" s="130"/>
      <c r="Y477" s="130"/>
      <c r="Z477" s="130"/>
      <c r="AA477" s="130"/>
      <c r="AB477" s="131"/>
    </row>
    <row r="478" ht="15.75" spans="1:28">
      <c r="A478" s="56">
        <f t="shared" si="50"/>
        <v>480</v>
      </c>
      <c r="B478" s="113">
        <v>46223</v>
      </c>
      <c r="C478" s="114">
        <v>46223</v>
      </c>
      <c r="D478" s="80"/>
      <c r="E478" s="127"/>
      <c r="F478" s="122"/>
      <c r="G478" s="129"/>
      <c r="H478" s="130"/>
      <c r="I478" s="130"/>
      <c r="J478" s="130"/>
      <c r="K478" s="130"/>
      <c r="L478" s="130"/>
      <c r="M478" s="123">
        <f t="shared" si="53"/>
        <v>0</v>
      </c>
      <c r="N478" s="124">
        <f t="shared" si="54"/>
        <v>0</v>
      </c>
      <c r="O478" s="130"/>
      <c r="P478" s="52">
        <f t="shared" si="56"/>
        <v>0</v>
      </c>
      <c r="Q478" s="52">
        <f t="shared" si="55"/>
        <v>0</v>
      </c>
      <c r="R478" s="130"/>
      <c r="S478" s="52">
        <f t="shared" si="51"/>
        <v>0</v>
      </c>
      <c r="T478" s="131">
        <f t="shared" si="52"/>
        <v>0</v>
      </c>
      <c r="U478" s="132"/>
      <c r="V478" s="130"/>
      <c r="W478" s="130"/>
      <c r="X478" s="130"/>
      <c r="Y478" s="130"/>
      <c r="Z478" s="130"/>
      <c r="AA478" s="130"/>
      <c r="AB478" s="131"/>
    </row>
    <row r="479" ht="15.75" spans="1:28">
      <c r="A479" s="56">
        <f t="shared" si="50"/>
        <v>481</v>
      </c>
      <c r="B479" s="113">
        <v>46224</v>
      </c>
      <c r="C479" s="114">
        <v>46224</v>
      </c>
      <c r="D479" s="80"/>
      <c r="E479" s="127"/>
      <c r="F479" s="122"/>
      <c r="G479" s="129"/>
      <c r="H479" s="130"/>
      <c r="I479" s="130"/>
      <c r="J479" s="130"/>
      <c r="K479" s="130"/>
      <c r="L479" s="130"/>
      <c r="M479" s="123">
        <f t="shared" si="53"/>
        <v>0</v>
      </c>
      <c r="N479" s="124">
        <f t="shared" si="54"/>
        <v>0</v>
      </c>
      <c r="O479" s="130"/>
      <c r="P479" s="52">
        <f t="shared" si="56"/>
        <v>0</v>
      </c>
      <c r="Q479" s="52">
        <f t="shared" si="55"/>
        <v>0</v>
      </c>
      <c r="R479" s="130"/>
      <c r="S479" s="52">
        <f t="shared" si="51"/>
        <v>0</v>
      </c>
      <c r="T479" s="131">
        <f t="shared" si="52"/>
        <v>0</v>
      </c>
      <c r="U479" s="132"/>
      <c r="V479" s="130"/>
      <c r="W479" s="130"/>
      <c r="X479" s="130"/>
      <c r="Y479" s="130"/>
      <c r="Z479" s="130"/>
      <c r="AA479" s="130"/>
      <c r="AB479" s="131"/>
    </row>
    <row r="480" ht="15.75" spans="1:28">
      <c r="A480" s="56">
        <f t="shared" si="50"/>
        <v>482</v>
      </c>
      <c r="B480" s="113">
        <v>46225</v>
      </c>
      <c r="C480" s="114">
        <v>46225</v>
      </c>
      <c r="D480" s="80"/>
      <c r="E480" s="127"/>
      <c r="F480" s="122"/>
      <c r="G480" s="129"/>
      <c r="H480" s="130"/>
      <c r="I480" s="130"/>
      <c r="J480" s="130"/>
      <c r="K480" s="130"/>
      <c r="L480" s="130"/>
      <c r="M480" s="123">
        <f t="shared" si="53"/>
        <v>0</v>
      </c>
      <c r="N480" s="124">
        <f t="shared" si="54"/>
        <v>0</v>
      </c>
      <c r="O480" s="130"/>
      <c r="P480" s="52">
        <f t="shared" si="56"/>
        <v>0</v>
      </c>
      <c r="Q480" s="52">
        <f t="shared" si="55"/>
        <v>0</v>
      </c>
      <c r="R480" s="130"/>
      <c r="S480" s="52">
        <f t="shared" si="51"/>
        <v>0</v>
      </c>
      <c r="T480" s="131">
        <f t="shared" si="52"/>
        <v>0</v>
      </c>
      <c r="U480" s="132"/>
      <c r="V480" s="130"/>
      <c r="W480" s="130"/>
      <c r="X480" s="130"/>
      <c r="Y480" s="130"/>
      <c r="Z480" s="130"/>
      <c r="AA480" s="130"/>
      <c r="AB480" s="131"/>
    </row>
    <row r="481" ht="15.75" spans="1:28">
      <c r="A481" s="56">
        <f t="shared" si="50"/>
        <v>483</v>
      </c>
      <c r="B481" s="113">
        <v>46226</v>
      </c>
      <c r="C481" s="114">
        <v>46226</v>
      </c>
      <c r="D481" s="80"/>
      <c r="E481" s="127"/>
      <c r="F481" s="122"/>
      <c r="G481" s="129"/>
      <c r="H481" s="130"/>
      <c r="I481" s="130"/>
      <c r="J481" s="130"/>
      <c r="K481" s="130"/>
      <c r="L481" s="130"/>
      <c r="M481" s="123">
        <f t="shared" si="53"/>
        <v>0</v>
      </c>
      <c r="N481" s="124">
        <f t="shared" si="54"/>
        <v>0</v>
      </c>
      <c r="O481" s="130"/>
      <c r="P481" s="52">
        <f t="shared" si="56"/>
        <v>0</v>
      </c>
      <c r="Q481" s="52">
        <f t="shared" si="55"/>
        <v>0</v>
      </c>
      <c r="R481" s="130"/>
      <c r="S481" s="52">
        <f t="shared" si="51"/>
        <v>0</v>
      </c>
      <c r="T481" s="131">
        <f t="shared" si="52"/>
        <v>0</v>
      </c>
      <c r="U481" s="132"/>
      <c r="V481" s="130"/>
      <c r="W481" s="130"/>
      <c r="X481" s="130"/>
      <c r="Y481" s="130"/>
      <c r="Z481" s="130"/>
      <c r="AA481" s="130"/>
      <c r="AB481" s="131"/>
    </row>
    <row r="482" ht="15.75" spans="1:28">
      <c r="A482" s="56">
        <f t="shared" si="50"/>
        <v>484</v>
      </c>
      <c r="B482" s="113">
        <v>46227</v>
      </c>
      <c r="C482" s="114">
        <v>46227</v>
      </c>
      <c r="D482" s="80"/>
      <c r="E482" s="127"/>
      <c r="F482" s="122"/>
      <c r="G482" s="129"/>
      <c r="H482" s="130"/>
      <c r="I482" s="130"/>
      <c r="J482" s="130"/>
      <c r="K482" s="130"/>
      <c r="L482" s="130"/>
      <c r="M482" s="123">
        <f t="shared" si="53"/>
        <v>0</v>
      </c>
      <c r="N482" s="124">
        <f t="shared" si="54"/>
        <v>0</v>
      </c>
      <c r="O482" s="130"/>
      <c r="P482" s="52">
        <f t="shared" si="56"/>
        <v>0</v>
      </c>
      <c r="Q482" s="52">
        <f t="shared" si="55"/>
        <v>0</v>
      </c>
      <c r="R482" s="130"/>
      <c r="S482" s="52">
        <f t="shared" si="51"/>
        <v>0</v>
      </c>
      <c r="T482" s="131">
        <f t="shared" si="52"/>
        <v>0</v>
      </c>
      <c r="U482" s="132"/>
      <c r="V482" s="130"/>
      <c r="W482" s="130"/>
      <c r="X482" s="130"/>
      <c r="Y482" s="130"/>
      <c r="Z482" s="130"/>
      <c r="AA482" s="130"/>
      <c r="AB482" s="131"/>
    </row>
    <row r="483" ht="15.75" spans="1:28">
      <c r="A483" s="56">
        <f t="shared" si="50"/>
        <v>485</v>
      </c>
      <c r="B483" s="113">
        <v>46228</v>
      </c>
      <c r="C483" s="114">
        <v>46228</v>
      </c>
      <c r="D483" s="80"/>
      <c r="E483" s="127"/>
      <c r="F483" s="122"/>
      <c r="G483" s="129"/>
      <c r="H483" s="130"/>
      <c r="I483" s="130"/>
      <c r="J483" s="130"/>
      <c r="K483" s="130"/>
      <c r="L483" s="130"/>
      <c r="M483" s="123">
        <f t="shared" si="53"/>
        <v>0</v>
      </c>
      <c r="N483" s="124">
        <f t="shared" si="54"/>
        <v>0</v>
      </c>
      <c r="O483" s="130"/>
      <c r="P483" s="52">
        <f t="shared" si="56"/>
        <v>0</v>
      </c>
      <c r="Q483" s="52">
        <f t="shared" si="55"/>
        <v>0</v>
      </c>
      <c r="R483" s="130"/>
      <c r="S483" s="52">
        <f t="shared" si="51"/>
        <v>0</v>
      </c>
      <c r="T483" s="131">
        <f t="shared" si="52"/>
        <v>0</v>
      </c>
      <c r="U483" s="132"/>
      <c r="V483" s="130"/>
      <c r="W483" s="130"/>
      <c r="X483" s="130"/>
      <c r="Y483" s="130"/>
      <c r="Z483" s="130"/>
      <c r="AA483" s="130"/>
      <c r="AB483" s="131"/>
    </row>
    <row r="484" ht="15.75" spans="1:28">
      <c r="A484" s="56">
        <f t="shared" si="50"/>
        <v>486</v>
      </c>
      <c r="B484" s="113">
        <v>46229</v>
      </c>
      <c r="C484" s="114">
        <v>46229</v>
      </c>
      <c r="D484" s="80"/>
      <c r="E484" s="127"/>
      <c r="F484" s="122"/>
      <c r="G484" s="129"/>
      <c r="H484" s="130"/>
      <c r="I484" s="130"/>
      <c r="J484" s="130"/>
      <c r="K484" s="130"/>
      <c r="L484" s="130"/>
      <c r="M484" s="123">
        <f t="shared" si="53"/>
        <v>0</v>
      </c>
      <c r="N484" s="124">
        <f t="shared" si="54"/>
        <v>0</v>
      </c>
      <c r="O484" s="130"/>
      <c r="P484" s="52">
        <f t="shared" si="56"/>
        <v>0</v>
      </c>
      <c r="Q484" s="52">
        <f t="shared" si="55"/>
        <v>0</v>
      </c>
      <c r="R484" s="130"/>
      <c r="S484" s="52">
        <f t="shared" si="51"/>
        <v>0</v>
      </c>
      <c r="T484" s="131">
        <f t="shared" si="52"/>
        <v>0</v>
      </c>
      <c r="U484" s="132"/>
      <c r="V484" s="130"/>
      <c r="W484" s="130"/>
      <c r="X484" s="130"/>
      <c r="Y484" s="130"/>
      <c r="Z484" s="130"/>
      <c r="AA484" s="130"/>
      <c r="AB484" s="131"/>
    </row>
    <row r="485" ht="15.75" spans="1:28">
      <c r="A485" s="56">
        <f t="shared" si="50"/>
        <v>487</v>
      </c>
      <c r="B485" s="113">
        <v>46230</v>
      </c>
      <c r="C485" s="114">
        <v>46230</v>
      </c>
      <c r="D485" s="80"/>
      <c r="E485" s="127"/>
      <c r="F485" s="122"/>
      <c r="G485" s="129"/>
      <c r="H485" s="130"/>
      <c r="I485" s="130"/>
      <c r="J485" s="130"/>
      <c r="K485" s="130"/>
      <c r="L485" s="130"/>
      <c r="M485" s="123">
        <f t="shared" si="53"/>
        <v>0</v>
      </c>
      <c r="N485" s="124">
        <f t="shared" si="54"/>
        <v>0</v>
      </c>
      <c r="O485" s="130"/>
      <c r="P485" s="52">
        <f t="shared" si="56"/>
        <v>0</v>
      </c>
      <c r="Q485" s="52">
        <f t="shared" si="55"/>
        <v>0</v>
      </c>
      <c r="R485" s="130"/>
      <c r="S485" s="52">
        <f t="shared" si="51"/>
        <v>0</v>
      </c>
      <c r="T485" s="131">
        <f t="shared" si="52"/>
        <v>0</v>
      </c>
      <c r="U485" s="132"/>
      <c r="V485" s="130"/>
      <c r="W485" s="130"/>
      <c r="X485" s="130"/>
      <c r="Y485" s="130"/>
      <c r="Z485" s="130"/>
      <c r="AA485" s="130"/>
      <c r="AB485" s="131"/>
    </row>
    <row r="486" ht="15.75" spans="1:28">
      <c r="A486" s="56">
        <f t="shared" si="50"/>
        <v>488</v>
      </c>
      <c r="B486" s="113">
        <v>46231</v>
      </c>
      <c r="C486" s="114">
        <v>46231</v>
      </c>
      <c r="D486" s="80"/>
      <c r="E486" s="127"/>
      <c r="F486" s="122"/>
      <c r="G486" s="129"/>
      <c r="H486" s="130"/>
      <c r="I486" s="130"/>
      <c r="J486" s="130"/>
      <c r="K486" s="130"/>
      <c r="L486" s="130"/>
      <c r="M486" s="123">
        <f t="shared" si="53"/>
        <v>0</v>
      </c>
      <c r="N486" s="124">
        <f t="shared" si="54"/>
        <v>0</v>
      </c>
      <c r="O486" s="130"/>
      <c r="P486" s="52">
        <f t="shared" si="56"/>
        <v>0</v>
      </c>
      <c r="Q486" s="52">
        <f t="shared" si="55"/>
        <v>0</v>
      </c>
      <c r="R486" s="130"/>
      <c r="S486" s="52">
        <f t="shared" si="51"/>
        <v>0</v>
      </c>
      <c r="T486" s="131">
        <f t="shared" si="52"/>
        <v>0</v>
      </c>
      <c r="U486" s="132"/>
      <c r="V486" s="130"/>
      <c r="W486" s="130"/>
      <c r="X486" s="130"/>
      <c r="Y486" s="130"/>
      <c r="Z486" s="130"/>
      <c r="AA486" s="130"/>
      <c r="AB486" s="131"/>
    </row>
    <row r="487" ht="15.75" spans="1:28">
      <c r="A487" s="56">
        <f t="shared" si="50"/>
        <v>489</v>
      </c>
      <c r="B487" s="113">
        <v>46232</v>
      </c>
      <c r="C487" s="114">
        <v>46232</v>
      </c>
      <c r="D487" s="80"/>
      <c r="E487" s="127"/>
      <c r="F487" s="122"/>
      <c r="G487" s="129"/>
      <c r="H487" s="130"/>
      <c r="I487" s="130"/>
      <c r="J487" s="130"/>
      <c r="K487" s="130"/>
      <c r="L487" s="130"/>
      <c r="M487" s="123">
        <f t="shared" si="53"/>
        <v>0</v>
      </c>
      <c r="N487" s="124">
        <f t="shared" si="54"/>
        <v>0</v>
      </c>
      <c r="O487" s="130"/>
      <c r="P487" s="52">
        <f t="shared" si="56"/>
        <v>0</v>
      </c>
      <c r="Q487" s="52">
        <f t="shared" si="55"/>
        <v>0</v>
      </c>
      <c r="R487" s="130"/>
      <c r="S487" s="52">
        <f t="shared" si="51"/>
        <v>0</v>
      </c>
      <c r="T487" s="131">
        <f t="shared" si="52"/>
        <v>0</v>
      </c>
      <c r="U487" s="132"/>
      <c r="V487" s="130"/>
      <c r="W487" s="130"/>
      <c r="X487" s="130"/>
      <c r="Y487" s="130"/>
      <c r="Z487" s="130"/>
      <c r="AA487" s="130"/>
      <c r="AB487" s="131"/>
    </row>
    <row r="488" ht="15.75" spans="1:28">
      <c r="A488" s="56">
        <f t="shared" si="50"/>
        <v>490</v>
      </c>
      <c r="B488" s="113">
        <v>46233</v>
      </c>
      <c r="C488" s="114">
        <v>46233</v>
      </c>
      <c r="D488" s="80"/>
      <c r="E488" s="127"/>
      <c r="F488" s="122"/>
      <c r="G488" s="129"/>
      <c r="H488" s="130"/>
      <c r="I488" s="130"/>
      <c r="J488" s="130"/>
      <c r="K488" s="130"/>
      <c r="L488" s="130"/>
      <c r="M488" s="123">
        <f t="shared" si="53"/>
        <v>0</v>
      </c>
      <c r="N488" s="124">
        <f t="shared" si="54"/>
        <v>0</v>
      </c>
      <c r="O488" s="130"/>
      <c r="P488" s="52">
        <f t="shared" si="56"/>
        <v>0</v>
      </c>
      <c r="Q488" s="52">
        <f t="shared" si="55"/>
        <v>0</v>
      </c>
      <c r="R488" s="130"/>
      <c r="S488" s="52">
        <f t="shared" si="51"/>
        <v>0</v>
      </c>
      <c r="T488" s="131">
        <f t="shared" si="52"/>
        <v>0</v>
      </c>
      <c r="U488" s="132"/>
      <c r="V488" s="130"/>
      <c r="W488" s="130"/>
      <c r="X488" s="130"/>
      <c r="Y488" s="130"/>
      <c r="Z488" s="130"/>
      <c r="AA488" s="130"/>
      <c r="AB488" s="131"/>
    </row>
    <row r="489" ht="15.75" spans="1:28">
      <c r="A489" s="56">
        <f t="shared" si="50"/>
        <v>491</v>
      </c>
      <c r="B489" s="113">
        <v>46234</v>
      </c>
      <c r="C489" s="114">
        <v>46234</v>
      </c>
      <c r="D489" s="80"/>
      <c r="E489" s="127"/>
      <c r="F489" s="122"/>
      <c r="G489" s="129"/>
      <c r="H489" s="130"/>
      <c r="I489" s="130"/>
      <c r="J489" s="130"/>
      <c r="K489" s="130"/>
      <c r="L489" s="130"/>
      <c r="M489" s="123">
        <f t="shared" si="53"/>
        <v>0</v>
      </c>
      <c r="N489" s="124">
        <f t="shared" si="54"/>
        <v>0</v>
      </c>
      <c r="O489" s="130"/>
      <c r="P489" s="52">
        <f t="shared" si="56"/>
        <v>0</v>
      </c>
      <c r="Q489" s="52">
        <f t="shared" si="55"/>
        <v>0</v>
      </c>
      <c r="R489" s="130"/>
      <c r="S489" s="52">
        <f t="shared" si="51"/>
        <v>0</v>
      </c>
      <c r="T489" s="131">
        <f t="shared" si="52"/>
        <v>0</v>
      </c>
      <c r="U489" s="132"/>
      <c r="V489" s="130"/>
      <c r="W489" s="130"/>
      <c r="X489" s="130"/>
      <c r="Y489" s="130"/>
      <c r="Z489" s="130"/>
      <c r="AA489" s="130"/>
      <c r="AB489" s="131"/>
    </row>
    <row r="490" ht="15.75" spans="1:28">
      <c r="A490" s="56">
        <f t="shared" si="50"/>
        <v>492</v>
      </c>
      <c r="B490" s="113">
        <v>46235</v>
      </c>
      <c r="C490" s="114">
        <v>46235</v>
      </c>
      <c r="D490" s="80"/>
      <c r="E490" s="127"/>
      <c r="F490" s="122"/>
      <c r="G490" s="129"/>
      <c r="H490" s="130"/>
      <c r="I490" s="130"/>
      <c r="J490" s="130"/>
      <c r="K490" s="130"/>
      <c r="L490" s="130"/>
      <c r="M490" s="123">
        <f t="shared" si="53"/>
        <v>0</v>
      </c>
      <c r="N490" s="124">
        <f t="shared" si="54"/>
        <v>0</v>
      </c>
      <c r="O490" s="130"/>
      <c r="P490" s="52">
        <f t="shared" si="56"/>
        <v>0</v>
      </c>
      <c r="Q490" s="52">
        <f t="shared" si="55"/>
        <v>0</v>
      </c>
      <c r="R490" s="130"/>
      <c r="S490" s="52">
        <f t="shared" si="51"/>
        <v>0</v>
      </c>
      <c r="T490" s="131">
        <f t="shared" si="52"/>
        <v>0</v>
      </c>
      <c r="U490" s="132"/>
      <c r="V490" s="130"/>
      <c r="W490" s="130"/>
      <c r="X490" s="130"/>
      <c r="Y490" s="130"/>
      <c r="Z490" s="130"/>
      <c r="AA490" s="130"/>
      <c r="AB490" s="131"/>
    </row>
    <row r="491" ht="15.75" spans="1:28">
      <c r="A491" s="56">
        <f t="shared" si="50"/>
        <v>493</v>
      </c>
      <c r="B491" s="113">
        <v>46236</v>
      </c>
      <c r="C491" s="114">
        <v>46236</v>
      </c>
      <c r="D491" s="80"/>
      <c r="E491" s="127"/>
      <c r="F491" s="122"/>
      <c r="G491" s="129"/>
      <c r="H491" s="130"/>
      <c r="I491" s="130"/>
      <c r="J491" s="130"/>
      <c r="K491" s="130"/>
      <c r="L491" s="130"/>
      <c r="M491" s="123">
        <f t="shared" si="53"/>
        <v>0</v>
      </c>
      <c r="N491" s="124">
        <f t="shared" si="54"/>
        <v>0</v>
      </c>
      <c r="O491" s="130"/>
      <c r="P491" s="52">
        <f t="shared" si="56"/>
        <v>0</v>
      </c>
      <c r="Q491" s="52">
        <f t="shared" si="55"/>
        <v>0</v>
      </c>
      <c r="R491" s="130"/>
      <c r="S491" s="52">
        <f t="shared" si="51"/>
        <v>0</v>
      </c>
      <c r="T491" s="131">
        <f t="shared" si="52"/>
        <v>0</v>
      </c>
      <c r="U491" s="132"/>
      <c r="V491" s="130"/>
      <c r="W491" s="130"/>
      <c r="X491" s="130"/>
      <c r="Y491" s="130"/>
      <c r="Z491" s="130"/>
      <c r="AA491" s="130"/>
      <c r="AB491" s="131"/>
    </row>
    <row r="492" ht="15.75" spans="1:28">
      <c r="A492" s="56">
        <f t="shared" si="50"/>
        <v>494</v>
      </c>
      <c r="B492" s="113">
        <v>46237</v>
      </c>
      <c r="C492" s="114">
        <v>46237</v>
      </c>
      <c r="D492" s="80"/>
      <c r="E492" s="127"/>
      <c r="F492" s="122"/>
      <c r="G492" s="129"/>
      <c r="H492" s="130"/>
      <c r="I492" s="130"/>
      <c r="J492" s="130"/>
      <c r="K492" s="130"/>
      <c r="L492" s="130"/>
      <c r="M492" s="123">
        <f t="shared" si="53"/>
        <v>0</v>
      </c>
      <c r="N492" s="124">
        <f t="shared" si="54"/>
        <v>0</v>
      </c>
      <c r="O492" s="130"/>
      <c r="P492" s="52">
        <f t="shared" si="56"/>
        <v>0</v>
      </c>
      <c r="Q492" s="52">
        <f t="shared" si="55"/>
        <v>0</v>
      </c>
      <c r="R492" s="130"/>
      <c r="S492" s="52">
        <f t="shared" si="51"/>
        <v>0</v>
      </c>
      <c r="T492" s="131">
        <f t="shared" si="52"/>
        <v>0</v>
      </c>
      <c r="U492" s="132"/>
      <c r="V492" s="130"/>
      <c r="W492" s="130"/>
      <c r="X492" s="130"/>
      <c r="Y492" s="130"/>
      <c r="Z492" s="130"/>
      <c r="AA492" s="130"/>
      <c r="AB492" s="131"/>
    </row>
    <row r="493" ht="15.75" spans="1:28">
      <c r="A493" s="56">
        <f t="shared" si="50"/>
        <v>495</v>
      </c>
      <c r="B493" s="113">
        <v>46238</v>
      </c>
      <c r="C493" s="114">
        <v>46238</v>
      </c>
      <c r="D493" s="80"/>
      <c r="E493" s="127"/>
      <c r="F493" s="122"/>
      <c r="G493" s="129"/>
      <c r="H493" s="130"/>
      <c r="I493" s="130"/>
      <c r="J493" s="130"/>
      <c r="K493" s="130"/>
      <c r="L493" s="130"/>
      <c r="M493" s="123">
        <f t="shared" si="53"/>
        <v>0</v>
      </c>
      <c r="N493" s="124">
        <f t="shared" si="54"/>
        <v>0</v>
      </c>
      <c r="O493" s="130"/>
      <c r="P493" s="52">
        <f t="shared" si="56"/>
        <v>0</v>
      </c>
      <c r="Q493" s="52">
        <f t="shared" si="55"/>
        <v>0</v>
      </c>
      <c r="R493" s="130"/>
      <c r="S493" s="52">
        <f t="shared" si="51"/>
        <v>0</v>
      </c>
      <c r="T493" s="131">
        <f t="shared" si="52"/>
        <v>0</v>
      </c>
      <c r="U493" s="132"/>
      <c r="V493" s="130"/>
      <c r="W493" s="130"/>
      <c r="X493" s="130"/>
      <c r="Y493" s="130"/>
      <c r="Z493" s="130"/>
      <c r="AA493" s="130"/>
      <c r="AB493" s="131"/>
    </row>
    <row r="494" ht="15.75" spans="1:28">
      <c r="A494" s="56">
        <f t="shared" si="50"/>
        <v>496</v>
      </c>
      <c r="B494" s="113">
        <v>46239</v>
      </c>
      <c r="C494" s="114">
        <v>46239</v>
      </c>
      <c r="D494" s="80"/>
      <c r="E494" s="127"/>
      <c r="F494" s="122"/>
      <c r="G494" s="129"/>
      <c r="H494" s="130"/>
      <c r="I494" s="130"/>
      <c r="J494" s="130"/>
      <c r="K494" s="130"/>
      <c r="L494" s="130"/>
      <c r="M494" s="123">
        <f t="shared" si="53"/>
        <v>0</v>
      </c>
      <c r="N494" s="124">
        <f t="shared" si="54"/>
        <v>0</v>
      </c>
      <c r="O494" s="130"/>
      <c r="P494" s="52">
        <f t="shared" si="56"/>
        <v>0</v>
      </c>
      <c r="Q494" s="52">
        <f t="shared" si="55"/>
        <v>0</v>
      </c>
      <c r="R494" s="130"/>
      <c r="S494" s="52">
        <f t="shared" si="51"/>
        <v>0</v>
      </c>
      <c r="T494" s="131">
        <f t="shared" si="52"/>
        <v>0</v>
      </c>
      <c r="U494" s="132"/>
      <c r="V494" s="130"/>
      <c r="W494" s="130"/>
      <c r="X494" s="130"/>
      <c r="Y494" s="130"/>
      <c r="Z494" s="130"/>
      <c r="AA494" s="130"/>
      <c r="AB494" s="131"/>
    </row>
    <row r="495" ht="15.75" spans="1:28">
      <c r="A495" s="56">
        <f t="shared" si="50"/>
        <v>497</v>
      </c>
      <c r="B495" s="113">
        <v>46240</v>
      </c>
      <c r="C495" s="114">
        <v>46240</v>
      </c>
      <c r="D495" s="80"/>
      <c r="E495" s="127"/>
      <c r="F495" s="122"/>
      <c r="G495" s="129"/>
      <c r="H495" s="130"/>
      <c r="I495" s="130"/>
      <c r="J495" s="130"/>
      <c r="K495" s="130"/>
      <c r="L495" s="130"/>
      <c r="M495" s="123">
        <f t="shared" si="53"/>
        <v>0</v>
      </c>
      <c r="N495" s="124">
        <f t="shared" si="54"/>
        <v>0</v>
      </c>
      <c r="O495" s="130"/>
      <c r="P495" s="52">
        <f t="shared" si="56"/>
        <v>0</v>
      </c>
      <c r="Q495" s="52">
        <f t="shared" si="55"/>
        <v>0</v>
      </c>
      <c r="R495" s="130"/>
      <c r="S495" s="52">
        <f t="shared" si="51"/>
        <v>0</v>
      </c>
      <c r="T495" s="131">
        <f t="shared" si="52"/>
        <v>0</v>
      </c>
      <c r="U495" s="132"/>
      <c r="V495" s="130"/>
      <c r="W495" s="130"/>
      <c r="X495" s="130"/>
      <c r="Y495" s="130"/>
      <c r="Z495" s="130"/>
      <c r="AA495" s="130"/>
      <c r="AB495" s="131"/>
    </row>
    <row r="496" ht="15.75" spans="1:28">
      <c r="A496" s="56">
        <f t="shared" si="50"/>
        <v>498</v>
      </c>
      <c r="B496" s="113">
        <v>46241</v>
      </c>
      <c r="C496" s="114">
        <v>46241</v>
      </c>
      <c r="D496" s="80"/>
      <c r="E496" s="127"/>
      <c r="F496" s="122"/>
      <c r="G496" s="129"/>
      <c r="H496" s="130"/>
      <c r="I496" s="130"/>
      <c r="J496" s="130"/>
      <c r="K496" s="130"/>
      <c r="L496" s="130"/>
      <c r="M496" s="123">
        <f t="shared" si="53"/>
        <v>0</v>
      </c>
      <c r="N496" s="124">
        <f t="shared" si="54"/>
        <v>0</v>
      </c>
      <c r="O496" s="130"/>
      <c r="P496" s="52">
        <f t="shared" si="56"/>
        <v>0</v>
      </c>
      <c r="Q496" s="52">
        <f t="shared" si="55"/>
        <v>0</v>
      </c>
      <c r="R496" s="130"/>
      <c r="S496" s="52">
        <f t="shared" si="51"/>
        <v>0</v>
      </c>
      <c r="T496" s="131">
        <f t="shared" si="52"/>
        <v>0</v>
      </c>
      <c r="U496" s="132"/>
      <c r="V496" s="130"/>
      <c r="W496" s="130"/>
      <c r="X496" s="130"/>
      <c r="Y496" s="130"/>
      <c r="Z496" s="130"/>
      <c r="AA496" s="130"/>
      <c r="AB496" s="131"/>
    </row>
    <row r="497" ht="15.75" spans="1:28">
      <c r="A497" s="56">
        <f t="shared" si="50"/>
        <v>499</v>
      </c>
      <c r="B497" s="113">
        <v>46242</v>
      </c>
      <c r="C497" s="114">
        <v>46242</v>
      </c>
      <c r="D497" s="80"/>
      <c r="E497" s="127"/>
      <c r="F497" s="122"/>
      <c r="G497" s="129"/>
      <c r="H497" s="130"/>
      <c r="I497" s="130"/>
      <c r="J497" s="130"/>
      <c r="K497" s="130"/>
      <c r="L497" s="130"/>
      <c r="M497" s="123">
        <f t="shared" si="53"/>
        <v>0</v>
      </c>
      <c r="N497" s="124">
        <f t="shared" si="54"/>
        <v>0</v>
      </c>
      <c r="O497" s="130"/>
      <c r="P497" s="52">
        <f t="shared" si="56"/>
        <v>0</v>
      </c>
      <c r="Q497" s="52">
        <f t="shared" si="55"/>
        <v>0</v>
      </c>
      <c r="R497" s="130"/>
      <c r="S497" s="52">
        <f t="shared" si="51"/>
        <v>0</v>
      </c>
      <c r="T497" s="131">
        <f t="shared" si="52"/>
        <v>0</v>
      </c>
      <c r="U497" s="132"/>
      <c r="V497" s="130"/>
      <c r="W497" s="130"/>
      <c r="X497" s="130"/>
      <c r="Y497" s="130"/>
      <c r="Z497" s="130"/>
      <c r="AA497" s="130"/>
      <c r="AB497" s="131"/>
    </row>
    <row r="498" ht="15.75" spans="1:28">
      <c r="A498" s="56">
        <f t="shared" si="50"/>
        <v>500</v>
      </c>
      <c r="B498" s="113">
        <v>46243</v>
      </c>
      <c r="C498" s="114">
        <v>46243</v>
      </c>
      <c r="D498" s="80"/>
      <c r="E498" s="127"/>
      <c r="F498" s="122"/>
      <c r="G498" s="129"/>
      <c r="H498" s="130"/>
      <c r="I498" s="130"/>
      <c r="J498" s="130"/>
      <c r="K498" s="130"/>
      <c r="L498" s="130"/>
      <c r="M498" s="123">
        <f t="shared" si="53"/>
        <v>0</v>
      </c>
      <c r="N498" s="124">
        <f t="shared" si="54"/>
        <v>0</v>
      </c>
      <c r="O498" s="130"/>
      <c r="P498" s="52">
        <f t="shared" si="56"/>
        <v>0</v>
      </c>
      <c r="Q498" s="52">
        <f t="shared" si="55"/>
        <v>0</v>
      </c>
      <c r="R498" s="130"/>
      <c r="S498" s="52">
        <f t="shared" si="51"/>
        <v>0</v>
      </c>
      <c r="T498" s="131">
        <f t="shared" si="52"/>
        <v>0</v>
      </c>
      <c r="U498" s="132"/>
      <c r="V498" s="130"/>
      <c r="W498" s="130"/>
      <c r="X498" s="130"/>
      <c r="Y498" s="130"/>
      <c r="Z498" s="130"/>
      <c r="AA498" s="130"/>
      <c r="AB498" s="131"/>
    </row>
    <row r="499" ht="15.75" spans="1:28">
      <c r="A499" s="56">
        <f t="shared" si="50"/>
        <v>501</v>
      </c>
      <c r="B499" s="113">
        <v>46244</v>
      </c>
      <c r="C499" s="114">
        <v>46244</v>
      </c>
      <c r="D499" s="80"/>
      <c r="E499" s="127"/>
      <c r="F499" s="122"/>
      <c r="G499" s="129"/>
      <c r="H499" s="130"/>
      <c r="I499" s="130"/>
      <c r="J499" s="130"/>
      <c r="K499" s="130"/>
      <c r="L499" s="130"/>
      <c r="M499" s="123">
        <f t="shared" si="53"/>
        <v>0</v>
      </c>
      <c r="N499" s="124">
        <f t="shared" si="54"/>
        <v>0</v>
      </c>
      <c r="O499" s="130"/>
      <c r="P499" s="52">
        <f t="shared" si="56"/>
        <v>0</v>
      </c>
      <c r="Q499" s="52">
        <f t="shared" si="55"/>
        <v>0</v>
      </c>
      <c r="R499" s="130"/>
      <c r="S499" s="52">
        <f t="shared" si="51"/>
        <v>0</v>
      </c>
      <c r="T499" s="131">
        <f t="shared" si="52"/>
        <v>0</v>
      </c>
      <c r="U499" s="132"/>
      <c r="V499" s="130"/>
      <c r="W499" s="130"/>
      <c r="X499" s="130"/>
      <c r="Y499" s="130"/>
      <c r="Z499" s="130"/>
      <c r="AA499" s="130"/>
      <c r="AB499" s="131"/>
    </row>
    <row r="500" ht="15.75" spans="1:28">
      <c r="A500" s="56">
        <f t="shared" si="50"/>
        <v>502</v>
      </c>
      <c r="B500" s="113">
        <v>46245</v>
      </c>
      <c r="C500" s="114">
        <v>46245</v>
      </c>
      <c r="D500" s="80"/>
      <c r="E500" s="127"/>
      <c r="F500" s="122"/>
      <c r="G500" s="129"/>
      <c r="H500" s="130"/>
      <c r="I500" s="130"/>
      <c r="J500" s="130"/>
      <c r="K500" s="130"/>
      <c r="L500" s="130"/>
      <c r="M500" s="123">
        <f t="shared" si="53"/>
        <v>0</v>
      </c>
      <c r="N500" s="124">
        <f t="shared" si="54"/>
        <v>0</v>
      </c>
      <c r="O500" s="130"/>
      <c r="P500" s="52">
        <f t="shared" si="56"/>
        <v>0</v>
      </c>
      <c r="Q500" s="52">
        <f t="shared" si="55"/>
        <v>0</v>
      </c>
      <c r="R500" s="130"/>
      <c r="S500" s="52">
        <f t="shared" si="51"/>
        <v>0</v>
      </c>
      <c r="T500" s="131">
        <f t="shared" si="52"/>
        <v>0</v>
      </c>
      <c r="U500" s="132"/>
      <c r="V500" s="130"/>
      <c r="W500" s="130"/>
      <c r="X500" s="130"/>
      <c r="Y500" s="130"/>
      <c r="Z500" s="130"/>
      <c r="AA500" s="130"/>
      <c r="AB500" s="131"/>
    </row>
    <row r="501" ht="15.75" spans="1:28">
      <c r="A501" s="56">
        <f t="shared" si="50"/>
        <v>503</v>
      </c>
      <c r="B501" s="113">
        <v>46246</v>
      </c>
      <c r="C501" s="114">
        <v>46246</v>
      </c>
      <c r="D501" s="80"/>
      <c r="E501" s="127"/>
      <c r="F501" s="122"/>
      <c r="G501" s="129"/>
      <c r="H501" s="130"/>
      <c r="I501" s="130"/>
      <c r="J501" s="130"/>
      <c r="K501" s="130"/>
      <c r="L501" s="130"/>
      <c r="M501" s="123">
        <f t="shared" si="53"/>
        <v>0</v>
      </c>
      <c r="N501" s="124">
        <f t="shared" si="54"/>
        <v>0</v>
      </c>
      <c r="O501" s="130"/>
      <c r="P501" s="52">
        <f t="shared" si="56"/>
        <v>0</v>
      </c>
      <c r="Q501" s="52">
        <f t="shared" si="55"/>
        <v>0</v>
      </c>
      <c r="R501" s="130"/>
      <c r="S501" s="52">
        <f t="shared" si="51"/>
        <v>0</v>
      </c>
      <c r="T501" s="131">
        <f t="shared" si="52"/>
        <v>0</v>
      </c>
      <c r="U501" s="132"/>
      <c r="V501" s="130"/>
      <c r="W501" s="130"/>
      <c r="X501" s="130"/>
      <c r="Y501" s="130"/>
      <c r="Z501" s="130"/>
      <c r="AA501" s="130"/>
      <c r="AB501" s="131"/>
    </row>
    <row r="502" ht="15.75" spans="1:28">
      <c r="A502" s="56">
        <f t="shared" si="50"/>
        <v>504</v>
      </c>
      <c r="B502" s="113">
        <v>46247</v>
      </c>
      <c r="C502" s="114">
        <v>46247</v>
      </c>
      <c r="D502" s="80"/>
      <c r="E502" s="127"/>
      <c r="F502" s="122"/>
      <c r="G502" s="129"/>
      <c r="H502" s="130"/>
      <c r="I502" s="130"/>
      <c r="J502" s="130"/>
      <c r="K502" s="130"/>
      <c r="L502" s="130"/>
      <c r="M502" s="123">
        <f t="shared" si="53"/>
        <v>0</v>
      </c>
      <c r="N502" s="124">
        <f t="shared" si="54"/>
        <v>0</v>
      </c>
      <c r="O502" s="130"/>
      <c r="P502" s="52">
        <f t="shared" si="56"/>
        <v>0</v>
      </c>
      <c r="Q502" s="52">
        <f t="shared" si="55"/>
        <v>0</v>
      </c>
      <c r="R502" s="130"/>
      <c r="S502" s="52">
        <f t="shared" si="51"/>
        <v>0</v>
      </c>
      <c r="T502" s="131">
        <f t="shared" si="52"/>
        <v>0</v>
      </c>
      <c r="U502" s="132"/>
      <c r="V502" s="130"/>
      <c r="W502" s="130"/>
      <c r="X502" s="130"/>
      <c r="Y502" s="130"/>
      <c r="Z502" s="130"/>
      <c r="AA502" s="130"/>
      <c r="AB502" s="131"/>
    </row>
    <row r="503" ht="15.75" spans="1:28">
      <c r="A503" s="56">
        <f t="shared" si="50"/>
        <v>505</v>
      </c>
      <c r="B503" s="113">
        <v>46248</v>
      </c>
      <c r="C503" s="114">
        <v>46248</v>
      </c>
      <c r="D503" s="80"/>
      <c r="E503" s="127"/>
      <c r="F503" s="122"/>
      <c r="G503" s="129"/>
      <c r="H503" s="130"/>
      <c r="I503" s="130"/>
      <c r="J503" s="130"/>
      <c r="K503" s="130"/>
      <c r="L503" s="130"/>
      <c r="M503" s="123">
        <f t="shared" si="53"/>
        <v>0</v>
      </c>
      <c r="N503" s="124">
        <f t="shared" si="54"/>
        <v>0</v>
      </c>
      <c r="O503" s="130"/>
      <c r="P503" s="52">
        <f t="shared" si="56"/>
        <v>0</v>
      </c>
      <c r="Q503" s="52">
        <f t="shared" si="55"/>
        <v>0</v>
      </c>
      <c r="R503" s="130"/>
      <c r="S503" s="52">
        <f t="shared" si="51"/>
        <v>0</v>
      </c>
      <c r="T503" s="131">
        <f t="shared" si="52"/>
        <v>0</v>
      </c>
      <c r="U503" s="132"/>
      <c r="V503" s="130"/>
      <c r="W503" s="130"/>
      <c r="X503" s="130"/>
      <c r="Y503" s="130"/>
      <c r="Z503" s="130"/>
      <c r="AA503" s="130"/>
      <c r="AB503" s="131"/>
    </row>
    <row r="504" ht="15.75" spans="1:28">
      <c r="A504" s="56">
        <f t="shared" si="50"/>
        <v>506</v>
      </c>
      <c r="B504" s="113">
        <v>46249</v>
      </c>
      <c r="C504" s="114">
        <v>46249</v>
      </c>
      <c r="D504" s="80"/>
      <c r="E504" s="127"/>
      <c r="F504" s="122"/>
      <c r="G504" s="129"/>
      <c r="H504" s="130"/>
      <c r="I504" s="130"/>
      <c r="J504" s="130"/>
      <c r="K504" s="130"/>
      <c r="L504" s="130"/>
      <c r="M504" s="123">
        <f t="shared" si="53"/>
        <v>0</v>
      </c>
      <c r="N504" s="124">
        <f t="shared" si="54"/>
        <v>0</v>
      </c>
      <c r="O504" s="130"/>
      <c r="P504" s="52">
        <f t="shared" si="56"/>
        <v>0</v>
      </c>
      <c r="Q504" s="52">
        <f t="shared" si="55"/>
        <v>0</v>
      </c>
      <c r="R504" s="130"/>
      <c r="S504" s="52">
        <f t="shared" si="51"/>
        <v>0</v>
      </c>
      <c r="T504" s="131">
        <f t="shared" si="52"/>
        <v>0</v>
      </c>
      <c r="U504" s="132"/>
      <c r="V504" s="130"/>
      <c r="W504" s="130"/>
      <c r="X504" s="130"/>
      <c r="Y504" s="130"/>
      <c r="Z504" s="130"/>
      <c r="AA504" s="130"/>
      <c r="AB504" s="131"/>
    </row>
    <row r="505" ht="15.75" spans="1:28">
      <c r="A505" s="56">
        <f t="shared" si="50"/>
        <v>507</v>
      </c>
      <c r="B505" s="113">
        <v>46250</v>
      </c>
      <c r="C505" s="114">
        <v>46250</v>
      </c>
      <c r="D505" s="80"/>
      <c r="E505" s="127"/>
      <c r="F505" s="122"/>
      <c r="G505" s="129"/>
      <c r="H505" s="130"/>
      <c r="I505" s="130"/>
      <c r="J505" s="130"/>
      <c r="K505" s="130"/>
      <c r="L505" s="130"/>
      <c r="M505" s="123">
        <f t="shared" si="53"/>
        <v>0</v>
      </c>
      <c r="N505" s="124">
        <f t="shared" si="54"/>
        <v>0</v>
      </c>
      <c r="O505" s="130"/>
      <c r="P505" s="52">
        <f t="shared" si="56"/>
        <v>0</v>
      </c>
      <c r="Q505" s="52">
        <f t="shared" si="55"/>
        <v>0</v>
      </c>
      <c r="R505" s="130"/>
      <c r="S505" s="52">
        <f t="shared" si="51"/>
        <v>0</v>
      </c>
      <c r="T505" s="131">
        <f t="shared" si="52"/>
        <v>0</v>
      </c>
      <c r="U505" s="132"/>
      <c r="V505" s="130"/>
      <c r="W505" s="130"/>
      <c r="X505" s="130"/>
      <c r="Y505" s="130"/>
      <c r="Z505" s="130"/>
      <c r="AA505" s="130"/>
      <c r="AB505" s="131"/>
    </row>
    <row r="506" ht="15.75" spans="1:28">
      <c r="A506" s="56">
        <f t="shared" si="50"/>
        <v>508</v>
      </c>
      <c r="B506" s="113">
        <v>46251</v>
      </c>
      <c r="C506" s="114">
        <v>46251</v>
      </c>
      <c r="D506" s="80"/>
      <c r="E506" s="127"/>
      <c r="F506" s="122"/>
      <c r="G506" s="129"/>
      <c r="H506" s="130"/>
      <c r="I506" s="130"/>
      <c r="J506" s="130"/>
      <c r="K506" s="130"/>
      <c r="L506" s="130"/>
      <c r="M506" s="123">
        <f t="shared" si="53"/>
        <v>0</v>
      </c>
      <c r="N506" s="124">
        <f t="shared" si="54"/>
        <v>0</v>
      </c>
      <c r="O506" s="130"/>
      <c r="P506" s="52">
        <f t="shared" si="56"/>
        <v>0</v>
      </c>
      <c r="Q506" s="52">
        <f t="shared" si="55"/>
        <v>0</v>
      </c>
      <c r="R506" s="130"/>
      <c r="S506" s="52">
        <f t="shared" si="51"/>
        <v>0</v>
      </c>
      <c r="T506" s="131">
        <f t="shared" si="52"/>
        <v>0</v>
      </c>
      <c r="U506" s="132"/>
      <c r="V506" s="130"/>
      <c r="W506" s="130"/>
      <c r="X506" s="130"/>
      <c r="Y506" s="130"/>
      <c r="Z506" s="130"/>
      <c r="AA506" s="130"/>
      <c r="AB506" s="131"/>
    </row>
    <row r="507" ht="15.75" spans="1:28">
      <c r="A507" s="56">
        <f t="shared" si="50"/>
        <v>509</v>
      </c>
      <c r="B507" s="113">
        <v>46252</v>
      </c>
      <c r="C507" s="114">
        <v>46252</v>
      </c>
      <c r="D507" s="80"/>
      <c r="E507" s="127"/>
      <c r="F507" s="122"/>
      <c r="G507" s="129"/>
      <c r="H507" s="130"/>
      <c r="I507" s="130"/>
      <c r="J507" s="130"/>
      <c r="K507" s="130"/>
      <c r="L507" s="130"/>
      <c r="M507" s="123">
        <f t="shared" si="53"/>
        <v>0</v>
      </c>
      <c r="N507" s="124">
        <f t="shared" si="54"/>
        <v>0</v>
      </c>
      <c r="O507" s="130"/>
      <c r="P507" s="52">
        <f t="shared" si="56"/>
        <v>0</v>
      </c>
      <c r="Q507" s="52">
        <f t="shared" si="55"/>
        <v>0</v>
      </c>
      <c r="R507" s="130"/>
      <c r="S507" s="52">
        <f t="shared" si="51"/>
        <v>0</v>
      </c>
      <c r="T507" s="131">
        <f t="shared" si="52"/>
        <v>0</v>
      </c>
      <c r="U507" s="132"/>
      <c r="V507" s="130"/>
      <c r="W507" s="130"/>
      <c r="X507" s="130"/>
      <c r="Y507" s="130"/>
      <c r="Z507" s="130"/>
      <c r="AA507" s="130"/>
      <c r="AB507" s="131"/>
    </row>
    <row r="508" ht="15.75" spans="1:28">
      <c r="A508" s="56">
        <f t="shared" si="50"/>
        <v>510</v>
      </c>
      <c r="B508" s="113">
        <v>46253</v>
      </c>
      <c r="C508" s="114">
        <v>46253</v>
      </c>
      <c r="D508" s="80"/>
      <c r="E508" s="127"/>
      <c r="F508" s="122"/>
      <c r="G508" s="129"/>
      <c r="H508" s="130"/>
      <c r="I508" s="130"/>
      <c r="J508" s="130"/>
      <c r="K508" s="130"/>
      <c r="L508" s="130"/>
      <c r="M508" s="123">
        <f t="shared" si="53"/>
        <v>0</v>
      </c>
      <c r="N508" s="124">
        <f t="shared" si="54"/>
        <v>0</v>
      </c>
      <c r="O508" s="130"/>
      <c r="P508" s="52">
        <f t="shared" si="56"/>
        <v>0</v>
      </c>
      <c r="Q508" s="52">
        <f t="shared" si="55"/>
        <v>0</v>
      </c>
      <c r="R508" s="130"/>
      <c r="S508" s="52">
        <f t="shared" si="51"/>
        <v>0</v>
      </c>
      <c r="T508" s="131">
        <f t="shared" si="52"/>
        <v>0</v>
      </c>
      <c r="U508" s="132"/>
      <c r="V508" s="130"/>
      <c r="W508" s="130"/>
      <c r="X508" s="130"/>
      <c r="Y508" s="130"/>
      <c r="Z508" s="130"/>
      <c r="AA508" s="130"/>
      <c r="AB508" s="131"/>
    </row>
    <row r="509" ht="15.75" spans="1:28">
      <c r="A509" s="56">
        <f t="shared" si="50"/>
        <v>511</v>
      </c>
      <c r="B509" s="113">
        <v>46254</v>
      </c>
      <c r="C509" s="114">
        <v>46254</v>
      </c>
      <c r="D509" s="80"/>
      <c r="E509" s="127"/>
      <c r="F509" s="122"/>
      <c r="G509" s="129"/>
      <c r="H509" s="130"/>
      <c r="I509" s="130"/>
      <c r="J509" s="130"/>
      <c r="K509" s="130"/>
      <c r="L509" s="130"/>
      <c r="M509" s="123">
        <f t="shared" si="53"/>
        <v>0</v>
      </c>
      <c r="N509" s="124">
        <f t="shared" si="54"/>
        <v>0</v>
      </c>
      <c r="O509" s="130"/>
      <c r="P509" s="52">
        <f t="shared" si="56"/>
        <v>0</v>
      </c>
      <c r="Q509" s="52">
        <f t="shared" si="55"/>
        <v>0</v>
      </c>
      <c r="R509" s="130"/>
      <c r="S509" s="52">
        <f t="shared" si="51"/>
        <v>0</v>
      </c>
      <c r="T509" s="131">
        <f t="shared" si="52"/>
        <v>0</v>
      </c>
      <c r="U509" s="132"/>
      <c r="V509" s="130"/>
      <c r="W509" s="130"/>
      <c r="X509" s="130"/>
      <c r="Y509" s="130"/>
      <c r="Z509" s="130"/>
      <c r="AA509" s="130"/>
      <c r="AB509" s="131"/>
    </row>
    <row r="510" ht="15.75" spans="1:28">
      <c r="A510" s="56">
        <f t="shared" si="50"/>
        <v>512</v>
      </c>
      <c r="B510" s="113">
        <v>46255</v>
      </c>
      <c r="C510" s="114">
        <v>46255</v>
      </c>
      <c r="D510" s="80"/>
      <c r="E510" s="127"/>
      <c r="F510" s="122"/>
      <c r="G510" s="129"/>
      <c r="H510" s="130"/>
      <c r="I510" s="130"/>
      <c r="J510" s="130"/>
      <c r="K510" s="130"/>
      <c r="L510" s="130"/>
      <c r="M510" s="123">
        <f t="shared" si="53"/>
        <v>0</v>
      </c>
      <c r="N510" s="124">
        <f t="shared" si="54"/>
        <v>0</v>
      </c>
      <c r="O510" s="130"/>
      <c r="P510" s="52">
        <f t="shared" si="56"/>
        <v>0</v>
      </c>
      <c r="Q510" s="52">
        <f t="shared" si="55"/>
        <v>0</v>
      </c>
      <c r="R510" s="130"/>
      <c r="S510" s="52">
        <f t="shared" si="51"/>
        <v>0</v>
      </c>
      <c r="T510" s="131">
        <f t="shared" si="52"/>
        <v>0</v>
      </c>
      <c r="U510" s="132"/>
      <c r="V510" s="130"/>
      <c r="W510" s="130"/>
      <c r="X510" s="130"/>
      <c r="Y510" s="130"/>
      <c r="Z510" s="130"/>
      <c r="AA510" s="130"/>
      <c r="AB510" s="131"/>
    </row>
    <row r="511" ht="15.75" spans="1:28">
      <c r="A511" s="56">
        <f t="shared" si="50"/>
        <v>513</v>
      </c>
      <c r="B511" s="113">
        <v>46256</v>
      </c>
      <c r="C511" s="114">
        <v>46256</v>
      </c>
      <c r="D511" s="80"/>
      <c r="E511" s="127"/>
      <c r="F511" s="122"/>
      <c r="G511" s="129"/>
      <c r="H511" s="130"/>
      <c r="I511" s="130"/>
      <c r="J511" s="130"/>
      <c r="K511" s="130"/>
      <c r="L511" s="130"/>
      <c r="M511" s="123">
        <f t="shared" si="53"/>
        <v>0</v>
      </c>
      <c r="N511" s="124">
        <f t="shared" si="54"/>
        <v>0</v>
      </c>
      <c r="O511" s="130"/>
      <c r="P511" s="52">
        <f t="shared" si="56"/>
        <v>0</v>
      </c>
      <c r="Q511" s="52">
        <f t="shared" si="55"/>
        <v>0</v>
      </c>
      <c r="R511" s="130"/>
      <c r="S511" s="52">
        <f t="shared" si="51"/>
        <v>0</v>
      </c>
      <c r="T511" s="131">
        <f t="shared" si="52"/>
        <v>0</v>
      </c>
      <c r="U511" s="132"/>
      <c r="V511" s="130"/>
      <c r="W511" s="130"/>
      <c r="X511" s="130"/>
      <c r="Y511" s="130"/>
      <c r="Z511" s="130"/>
      <c r="AA511" s="130"/>
      <c r="AB511" s="131"/>
    </row>
    <row r="512" ht="15.75" spans="1:28">
      <c r="A512" s="56">
        <f t="shared" si="50"/>
        <v>514</v>
      </c>
      <c r="B512" s="113">
        <v>46257</v>
      </c>
      <c r="C512" s="114">
        <v>46257</v>
      </c>
      <c r="D512" s="80"/>
      <c r="E512" s="127"/>
      <c r="F512" s="122"/>
      <c r="G512" s="129"/>
      <c r="H512" s="130"/>
      <c r="I512" s="130"/>
      <c r="J512" s="130"/>
      <c r="K512" s="130"/>
      <c r="L512" s="130"/>
      <c r="M512" s="123">
        <f t="shared" si="53"/>
        <v>0</v>
      </c>
      <c r="N512" s="124">
        <f t="shared" si="54"/>
        <v>0</v>
      </c>
      <c r="O512" s="130"/>
      <c r="P512" s="52">
        <f t="shared" si="56"/>
        <v>0</v>
      </c>
      <c r="Q512" s="52">
        <f t="shared" si="55"/>
        <v>0</v>
      </c>
      <c r="R512" s="130"/>
      <c r="S512" s="52">
        <f t="shared" si="51"/>
        <v>0</v>
      </c>
      <c r="T512" s="131">
        <f t="shared" si="52"/>
        <v>0</v>
      </c>
      <c r="U512" s="132"/>
      <c r="V512" s="130"/>
      <c r="W512" s="130"/>
      <c r="X512" s="130"/>
      <c r="Y512" s="130"/>
      <c r="Z512" s="130"/>
      <c r="AA512" s="130"/>
      <c r="AB512" s="131"/>
    </row>
    <row r="513" ht="15.75" spans="1:28">
      <c r="A513" s="56">
        <f t="shared" si="50"/>
        <v>515</v>
      </c>
      <c r="B513" s="113">
        <v>46258</v>
      </c>
      <c r="C513" s="114">
        <v>46258</v>
      </c>
      <c r="D513" s="80"/>
      <c r="E513" s="127"/>
      <c r="F513" s="122"/>
      <c r="G513" s="129"/>
      <c r="H513" s="130"/>
      <c r="I513" s="130"/>
      <c r="J513" s="130"/>
      <c r="K513" s="130"/>
      <c r="L513" s="130"/>
      <c r="M513" s="123">
        <f t="shared" si="53"/>
        <v>0</v>
      </c>
      <c r="N513" s="124">
        <f t="shared" si="54"/>
        <v>0</v>
      </c>
      <c r="O513" s="130"/>
      <c r="P513" s="52">
        <f t="shared" si="56"/>
        <v>0</v>
      </c>
      <c r="Q513" s="52">
        <f t="shared" si="55"/>
        <v>0</v>
      </c>
      <c r="R513" s="130"/>
      <c r="S513" s="52">
        <f t="shared" si="51"/>
        <v>0</v>
      </c>
      <c r="T513" s="131">
        <f t="shared" si="52"/>
        <v>0</v>
      </c>
      <c r="U513" s="132"/>
      <c r="V513" s="130"/>
      <c r="W513" s="130"/>
      <c r="X513" s="130"/>
      <c r="Y513" s="130"/>
      <c r="Z513" s="130"/>
      <c r="AA513" s="130"/>
      <c r="AB513" s="131"/>
    </row>
    <row r="514" ht="15.75" spans="1:28">
      <c r="A514" s="56">
        <f t="shared" si="50"/>
        <v>516</v>
      </c>
      <c r="B514" s="113">
        <v>46259</v>
      </c>
      <c r="C514" s="114">
        <v>46259</v>
      </c>
      <c r="D514" s="80"/>
      <c r="E514" s="127"/>
      <c r="F514" s="122"/>
      <c r="G514" s="129"/>
      <c r="H514" s="130"/>
      <c r="I514" s="130"/>
      <c r="J514" s="130"/>
      <c r="K514" s="130"/>
      <c r="L514" s="130"/>
      <c r="M514" s="123">
        <f t="shared" si="53"/>
        <v>0</v>
      </c>
      <c r="N514" s="124">
        <f t="shared" si="54"/>
        <v>0</v>
      </c>
      <c r="O514" s="130"/>
      <c r="P514" s="52">
        <f t="shared" si="56"/>
        <v>0</v>
      </c>
      <c r="Q514" s="52">
        <f t="shared" si="55"/>
        <v>0</v>
      </c>
      <c r="R514" s="130"/>
      <c r="S514" s="52">
        <f t="shared" si="51"/>
        <v>0</v>
      </c>
      <c r="T514" s="131">
        <f t="shared" si="52"/>
        <v>0</v>
      </c>
      <c r="U514" s="132"/>
      <c r="V514" s="130"/>
      <c r="W514" s="130"/>
      <c r="X514" s="130"/>
      <c r="Y514" s="130"/>
      <c r="Z514" s="130"/>
      <c r="AA514" s="130"/>
      <c r="AB514" s="131"/>
    </row>
    <row r="515" ht="15.75" spans="1:28">
      <c r="A515" s="56">
        <f t="shared" ref="A515:A578" si="57">A514+1</f>
        <v>517</v>
      </c>
      <c r="B515" s="113">
        <v>46260</v>
      </c>
      <c r="C515" s="114">
        <v>46260</v>
      </c>
      <c r="D515" s="80"/>
      <c r="E515" s="127"/>
      <c r="F515" s="122"/>
      <c r="G515" s="129"/>
      <c r="H515" s="130"/>
      <c r="I515" s="130"/>
      <c r="J515" s="130"/>
      <c r="K515" s="130"/>
      <c r="L515" s="130"/>
      <c r="M515" s="123">
        <f t="shared" si="53"/>
        <v>0</v>
      </c>
      <c r="N515" s="124">
        <f t="shared" si="54"/>
        <v>0</v>
      </c>
      <c r="O515" s="130"/>
      <c r="P515" s="52">
        <f t="shared" si="56"/>
        <v>0</v>
      </c>
      <c r="Q515" s="52">
        <f t="shared" si="55"/>
        <v>0</v>
      </c>
      <c r="R515" s="130"/>
      <c r="S515" s="52">
        <f t="shared" ref="S515:S578" si="58">MAX((R515-Q515)*3000,0)</f>
        <v>0</v>
      </c>
      <c r="T515" s="131">
        <f t="shared" ref="T515:T578" si="59">P515-S515</f>
        <v>0</v>
      </c>
      <c r="U515" s="132"/>
      <c r="V515" s="130"/>
      <c r="W515" s="130"/>
      <c r="X515" s="130"/>
      <c r="Y515" s="130"/>
      <c r="Z515" s="130"/>
      <c r="AA515" s="130"/>
      <c r="AB515" s="131"/>
    </row>
    <row r="516" ht="15.75" spans="1:28">
      <c r="A516" s="56">
        <f t="shared" si="57"/>
        <v>518</v>
      </c>
      <c r="B516" s="113">
        <v>46261</v>
      </c>
      <c r="C516" s="114">
        <v>46261</v>
      </c>
      <c r="D516" s="80"/>
      <c r="E516" s="127"/>
      <c r="F516" s="122"/>
      <c r="G516" s="129"/>
      <c r="H516" s="130"/>
      <c r="I516" s="130"/>
      <c r="J516" s="130"/>
      <c r="K516" s="130"/>
      <c r="L516" s="130"/>
      <c r="M516" s="123">
        <f t="shared" ref="M516:M579" si="60">SUM(F516:L516)</f>
        <v>0</v>
      </c>
      <c r="N516" s="124">
        <f t="shared" si="54"/>
        <v>0</v>
      </c>
      <c r="O516" s="130"/>
      <c r="P516" s="52">
        <f t="shared" si="56"/>
        <v>0</v>
      </c>
      <c r="Q516" s="52">
        <f t="shared" si="55"/>
        <v>0</v>
      </c>
      <c r="R516" s="130"/>
      <c r="S516" s="52">
        <f t="shared" si="58"/>
        <v>0</v>
      </c>
      <c r="T516" s="131">
        <f t="shared" si="59"/>
        <v>0</v>
      </c>
      <c r="U516" s="132"/>
      <c r="V516" s="130"/>
      <c r="W516" s="130"/>
      <c r="X516" s="130"/>
      <c r="Y516" s="130"/>
      <c r="Z516" s="130"/>
      <c r="AA516" s="130"/>
      <c r="AB516" s="131"/>
    </row>
    <row r="517" ht="15.75" spans="1:28">
      <c r="A517" s="56">
        <f t="shared" si="57"/>
        <v>519</v>
      </c>
      <c r="B517" s="113">
        <v>46262</v>
      </c>
      <c r="C517" s="114">
        <v>46262</v>
      </c>
      <c r="D517" s="80"/>
      <c r="E517" s="127"/>
      <c r="F517" s="122"/>
      <c r="G517" s="129"/>
      <c r="H517" s="130"/>
      <c r="I517" s="130"/>
      <c r="J517" s="130"/>
      <c r="K517" s="130"/>
      <c r="L517" s="130"/>
      <c r="M517" s="123">
        <f t="shared" si="60"/>
        <v>0</v>
      </c>
      <c r="N517" s="124">
        <f t="shared" si="54"/>
        <v>0</v>
      </c>
      <c r="O517" s="130"/>
      <c r="P517" s="52">
        <f t="shared" si="56"/>
        <v>0</v>
      </c>
      <c r="Q517" s="52">
        <f t="shared" si="55"/>
        <v>0</v>
      </c>
      <c r="R517" s="130"/>
      <c r="S517" s="52">
        <f t="shared" si="58"/>
        <v>0</v>
      </c>
      <c r="T517" s="131">
        <f t="shared" si="59"/>
        <v>0</v>
      </c>
      <c r="U517" s="132"/>
      <c r="V517" s="130"/>
      <c r="W517" s="130"/>
      <c r="X517" s="130"/>
      <c r="Y517" s="130"/>
      <c r="Z517" s="130"/>
      <c r="AA517" s="130"/>
      <c r="AB517" s="131"/>
    </row>
    <row r="518" ht="15.75" spans="1:28">
      <c r="A518" s="56">
        <f t="shared" si="57"/>
        <v>520</v>
      </c>
      <c r="B518" s="113">
        <v>46263</v>
      </c>
      <c r="C518" s="114">
        <v>46263</v>
      </c>
      <c r="D518" s="80"/>
      <c r="E518" s="127"/>
      <c r="F518" s="122"/>
      <c r="G518" s="129"/>
      <c r="H518" s="130"/>
      <c r="I518" s="130"/>
      <c r="J518" s="130"/>
      <c r="K518" s="130"/>
      <c r="L518" s="130"/>
      <c r="M518" s="123">
        <f t="shared" si="60"/>
        <v>0</v>
      </c>
      <c r="N518" s="124">
        <f t="shared" si="54"/>
        <v>0</v>
      </c>
      <c r="O518" s="130"/>
      <c r="P518" s="52">
        <f t="shared" si="56"/>
        <v>0</v>
      </c>
      <c r="Q518" s="52">
        <f t="shared" si="55"/>
        <v>0</v>
      </c>
      <c r="R518" s="130"/>
      <c r="S518" s="52">
        <f t="shared" si="58"/>
        <v>0</v>
      </c>
      <c r="T518" s="131">
        <f t="shared" si="59"/>
        <v>0</v>
      </c>
      <c r="U518" s="132"/>
      <c r="V518" s="130"/>
      <c r="W518" s="130"/>
      <c r="X518" s="130"/>
      <c r="Y518" s="130"/>
      <c r="Z518" s="130"/>
      <c r="AA518" s="130"/>
      <c r="AB518" s="131"/>
    </row>
    <row r="519" ht="15.75" spans="1:28">
      <c r="A519" s="56">
        <f t="shared" si="57"/>
        <v>521</v>
      </c>
      <c r="B519" s="113">
        <v>46264</v>
      </c>
      <c r="C519" s="114">
        <v>46264</v>
      </c>
      <c r="D519" s="80"/>
      <c r="E519" s="127"/>
      <c r="F519" s="122"/>
      <c r="G519" s="129"/>
      <c r="H519" s="130"/>
      <c r="I519" s="130"/>
      <c r="J519" s="130"/>
      <c r="K519" s="130"/>
      <c r="L519" s="130"/>
      <c r="M519" s="123">
        <f t="shared" si="60"/>
        <v>0</v>
      </c>
      <c r="N519" s="124">
        <f t="shared" si="54"/>
        <v>0</v>
      </c>
      <c r="O519" s="130"/>
      <c r="P519" s="52">
        <f t="shared" si="56"/>
        <v>0</v>
      </c>
      <c r="Q519" s="52">
        <f t="shared" si="55"/>
        <v>0</v>
      </c>
      <c r="R519" s="130"/>
      <c r="S519" s="52">
        <f t="shared" si="58"/>
        <v>0</v>
      </c>
      <c r="T519" s="131">
        <f t="shared" si="59"/>
        <v>0</v>
      </c>
      <c r="U519" s="132"/>
      <c r="V519" s="130"/>
      <c r="W519" s="130"/>
      <c r="X519" s="130"/>
      <c r="Y519" s="130"/>
      <c r="Z519" s="130"/>
      <c r="AA519" s="130"/>
      <c r="AB519" s="131"/>
    </row>
    <row r="520" ht="15.75" spans="1:28">
      <c r="A520" s="56">
        <f t="shared" si="57"/>
        <v>522</v>
      </c>
      <c r="B520" s="113">
        <v>46265</v>
      </c>
      <c r="C520" s="114">
        <v>46265</v>
      </c>
      <c r="D520" s="80"/>
      <c r="E520" s="127"/>
      <c r="F520" s="122"/>
      <c r="G520" s="129"/>
      <c r="H520" s="130"/>
      <c r="I520" s="130"/>
      <c r="J520" s="130"/>
      <c r="K520" s="130"/>
      <c r="L520" s="130"/>
      <c r="M520" s="123">
        <f t="shared" si="60"/>
        <v>0</v>
      </c>
      <c r="N520" s="124">
        <f t="shared" si="54"/>
        <v>0</v>
      </c>
      <c r="O520" s="130"/>
      <c r="P520" s="52">
        <f t="shared" si="56"/>
        <v>0</v>
      </c>
      <c r="Q520" s="52">
        <f t="shared" si="55"/>
        <v>0</v>
      </c>
      <c r="R520" s="130"/>
      <c r="S520" s="52">
        <f t="shared" si="58"/>
        <v>0</v>
      </c>
      <c r="T520" s="131">
        <f t="shared" si="59"/>
        <v>0</v>
      </c>
      <c r="U520" s="132"/>
      <c r="V520" s="130"/>
      <c r="W520" s="130"/>
      <c r="X520" s="130"/>
      <c r="Y520" s="130"/>
      <c r="Z520" s="130"/>
      <c r="AA520" s="130"/>
      <c r="AB520" s="131"/>
    </row>
    <row r="521" ht="15.75" spans="1:28">
      <c r="A521" s="56">
        <f t="shared" si="57"/>
        <v>523</v>
      </c>
      <c r="B521" s="113">
        <v>46266</v>
      </c>
      <c r="C521" s="114">
        <v>46266</v>
      </c>
      <c r="D521" s="80"/>
      <c r="E521" s="127"/>
      <c r="F521" s="122"/>
      <c r="G521" s="129"/>
      <c r="H521" s="130"/>
      <c r="I521" s="130"/>
      <c r="J521" s="130"/>
      <c r="K521" s="130"/>
      <c r="L521" s="130"/>
      <c r="M521" s="123">
        <f t="shared" si="60"/>
        <v>0</v>
      </c>
      <c r="N521" s="124">
        <f t="shared" si="54"/>
        <v>0</v>
      </c>
      <c r="O521" s="130"/>
      <c r="P521" s="52">
        <f t="shared" si="56"/>
        <v>0</v>
      </c>
      <c r="Q521" s="52">
        <f t="shared" si="55"/>
        <v>0</v>
      </c>
      <c r="R521" s="130"/>
      <c r="S521" s="52">
        <f t="shared" si="58"/>
        <v>0</v>
      </c>
      <c r="T521" s="131">
        <f t="shared" si="59"/>
        <v>0</v>
      </c>
      <c r="U521" s="132"/>
      <c r="V521" s="130"/>
      <c r="W521" s="130"/>
      <c r="X521" s="130"/>
      <c r="Y521" s="130"/>
      <c r="Z521" s="130"/>
      <c r="AA521" s="130"/>
      <c r="AB521" s="131"/>
    </row>
    <row r="522" ht="15.75" spans="1:28">
      <c r="A522" s="56">
        <f t="shared" si="57"/>
        <v>524</v>
      </c>
      <c r="B522" s="113">
        <v>46267</v>
      </c>
      <c r="C522" s="114">
        <v>46267</v>
      </c>
      <c r="D522" s="80"/>
      <c r="E522" s="127"/>
      <c r="F522" s="122"/>
      <c r="G522" s="129"/>
      <c r="H522" s="130"/>
      <c r="I522" s="130"/>
      <c r="J522" s="130"/>
      <c r="K522" s="130"/>
      <c r="L522" s="130"/>
      <c r="M522" s="123">
        <f t="shared" si="60"/>
        <v>0</v>
      </c>
      <c r="N522" s="124">
        <f t="shared" si="54"/>
        <v>0</v>
      </c>
      <c r="O522" s="130"/>
      <c r="P522" s="52">
        <f t="shared" si="56"/>
        <v>0</v>
      </c>
      <c r="Q522" s="52">
        <f t="shared" si="55"/>
        <v>0</v>
      </c>
      <c r="R522" s="130"/>
      <c r="S522" s="52">
        <f t="shared" si="58"/>
        <v>0</v>
      </c>
      <c r="T522" s="131">
        <f t="shared" si="59"/>
        <v>0</v>
      </c>
      <c r="U522" s="132"/>
      <c r="V522" s="130"/>
      <c r="W522" s="130"/>
      <c r="X522" s="130"/>
      <c r="Y522" s="130"/>
      <c r="Z522" s="130"/>
      <c r="AA522" s="130"/>
      <c r="AB522" s="131"/>
    </row>
    <row r="523" ht="15.75" spans="1:28">
      <c r="A523" s="56">
        <f t="shared" si="57"/>
        <v>525</v>
      </c>
      <c r="B523" s="113">
        <v>46268</v>
      </c>
      <c r="C523" s="114">
        <v>46268</v>
      </c>
      <c r="D523" s="80"/>
      <c r="E523" s="127"/>
      <c r="F523" s="122"/>
      <c r="G523" s="129"/>
      <c r="H523" s="130"/>
      <c r="I523" s="130"/>
      <c r="J523" s="130"/>
      <c r="K523" s="130"/>
      <c r="L523" s="130"/>
      <c r="M523" s="123">
        <f t="shared" si="60"/>
        <v>0</v>
      </c>
      <c r="N523" s="124">
        <f t="shared" si="54"/>
        <v>0</v>
      </c>
      <c r="O523" s="130"/>
      <c r="P523" s="52">
        <f t="shared" si="56"/>
        <v>0</v>
      </c>
      <c r="Q523" s="52">
        <f t="shared" si="55"/>
        <v>0</v>
      </c>
      <c r="R523" s="130"/>
      <c r="S523" s="52">
        <f t="shared" si="58"/>
        <v>0</v>
      </c>
      <c r="T523" s="131">
        <f t="shared" si="59"/>
        <v>0</v>
      </c>
      <c r="U523" s="132"/>
      <c r="V523" s="130"/>
      <c r="W523" s="130"/>
      <c r="X523" s="130"/>
      <c r="Y523" s="130"/>
      <c r="Z523" s="130"/>
      <c r="AA523" s="130"/>
      <c r="AB523" s="131"/>
    </row>
    <row r="524" ht="15.75" spans="1:28">
      <c r="A524" s="56">
        <f t="shared" si="57"/>
        <v>526</v>
      </c>
      <c r="B524" s="113">
        <v>46269</v>
      </c>
      <c r="C524" s="114">
        <v>46269</v>
      </c>
      <c r="D524" s="80"/>
      <c r="E524" s="127"/>
      <c r="F524" s="122"/>
      <c r="G524" s="129"/>
      <c r="H524" s="130"/>
      <c r="I524" s="130"/>
      <c r="J524" s="130"/>
      <c r="K524" s="130"/>
      <c r="L524" s="130"/>
      <c r="M524" s="123">
        <f t="shared" si="60"/>
        <v>0</v>
      </c>
      <c r="N524" s="124">
        <f t="shared" si="54"/>
        <v>0</v>
      </c>
      <c r="O524" s="130"/>
      <c r="P524" s="52">
        <f t="shared" si="56"/>
        <v>0</v>
      </c>
      <c r="Q524" s="52">
        <f t="shared" si="55"/>
        <v>0</v>
      </c>
      <c r="R524" s="130"/>
      <c r="S524" s="52">
        <f t="shared" si="58"/>
        <v>0</v>
      </c>
      <c r="T524" s="131">
        <f t="shared" si="59"/>
        <v>0</v>
      </c>
      <c r="U524" s="132"/>
      <c r="V524" s="130"/>
      <c r="W524" s="130"/>
      <c r="X524" s="130"/>
      <c r="Y524" s="130"/>
      <c r="Z524" s="130"/>
      <c r="AA524" s="130"/>
      <c r="AB524" s="131"/>
    </row>
    <row r="525" ht="15.75" spans="1:28">
      <c r="A525" s="56">
        <f t="shared" si="57"/>
        <v>527</v>
      </c>
      <c r="B525" s="113">
        <v>46270</v>
      </c>
      <c r="C525" s="114">
        <v>46270</v>
      </c>
      <c r="D525" s="80"/>
      <c r="E525" s="127"/>
      <c r="F525" s="122"/>
      <c r="G525" s="129"/>
      <c r="H525" s="130"/>
      <c r="I525" s="130"/>
      <c r="J525" s="130"/>
      <c r="K525" s="130"/>
      <c r="L525" s="130"/>
      <c r="M525" s="123">
        <f t="shared" si="60"/>
        <v>0</v>
      </c>
      <c r="N525" s="124">
        <f t="shared" ref="N525:N588" si="61">O524</f>
        <v>0</v>
      </c>
      <c r="O525" s="130"/>
      <c r="P525" s="52">
        <f t="shared" si="56"/>
        <v>0</v>
      </c>
      <c r="Q525" s="52">
        <f t="shared" ref="Q525:Q588" si="62">R524</f>
        <v>0</v>
      </c>
      <c r="R525" s="130"/>
      <c r="S525" s="52">
        <f t="shared" si="58"/>
        <v>0</v>
      </c>
      <c r="T525" s="131">
        <f t="shared" si="59"/>
        <v>0</v>
      </c>
      <c r="U525" s="132"/>
      <c r="V525" s="130"/>
      <c r="W525" s="130"/>
      <c r="X525" s="130"/>
      <c r="Y525" s="130"/>
      <c r="Z525" s="130"/>
      <c r="AA525" s="130"/>
      <c r="AB525" s="131"/>
    </row>
    <row r="526" ht="15.75" spans="1:28">
      <c r="A526" s="56">
        <f t="shared" si="57"/>
        <v>528</v>
      </c>
      <c r="B526" s="113">
        <v>46271</v>
      </c>
      <c r="C526" s="114">
        <v>46271</v>
      </c>
      <c r="D526" s="80"/>
      <c r="E526" s="127"/>
      <c r="F526" s="122"/>
      <c r="G526" s="129"/>
      <c r="H526" s="130"/>
      <c r="I526" s="130"/>
      <c r="J526" s="130"/>
      <c r="K526" s="130"/>
      <c r="L526" s="130"/>
      <c r="M526" s="123">
        <f t="shared" si="60"/>
        <v>0</v>
      </c>
      <c r="N526" s="124">
        <f t="shared" si="61"/>
        <v>0</v>
      </c>
      <c r="O526" s="130"/>
      <c r="P526" s="52">
        <f t="shared" si="56"/>
        <v>0</v>
      </c>
      <c r="Q526" s="52">
        <f t="shared" si="62"/>
        <v>0</v>
      </c>
      <c r="R526" s="130"/>
      <c r="S526" s="52">
        <f t="shared" si="58"/>
        <v>0</v>
      </c>
      <c r="T526" s="131">
        <f t="shared" si="59"/>
        <v>0</v>
      </c>
      <c r="U526" s="132"/>
      <c r="V526" s="130"/>
      <c r="W526" s="130"/>
      <c r="X526" s="130"/>
      <c r="Y526" s="130"/>
      <c r="Z526" s="130"/>
      <c r="AA526" s="130"/>
      <c r="AB526" s="131"/>
    </row>
    <row r="527" ht="15.75" spans="1:28">
      <c r="A527" s="56">
        <f t="shared" si="57"/>
        <v>529</v>
      </c>
      <c r="B527" s="113">
        <v>46272</v>
      </c>
      <c r="C527" s="114">
        <v>46272</v>
      </c>
      <c r="D527" s="80"/>
      <c r="E527" s="127"/>
      <c r="F527" s="122"/>
      <c r="G527" s="129"/>
      <c r="H527" s="130"/>
      <c r="I527" s="130"/>
      <c r="J527" s="130"/>
      <c r="K527" s="130"/>
      <c r="L527" s="130"/>
      <c r="M527" s="123">
        <f t="shared" si="60"/>
        <v>0</v>
      </c>
      <c r="N527" s="124">
        <f t="shared" si="61"/>
        <v>0</v>
      </c>
      <c r="O527" s="130"/>
      <c r="P527" s="52">
        <f t="shared" si="56"/>
        <v>0</v>
      </c>
      <c r="Q527" s="52">
        <f t="shared" si="62"/>
        <v>0</v>
      </c>
      <c r="R527" s="130"/>
      <c r="S527" s="52">
        <f t="shared" si="58"/>
        <v>0</v>
      </c>
      <c r="T527" s="131">
        <f t="shared" si="59"/>
        <v>0</v>
      </c>
      <c r="U527" s="132"/>
      <c r="V527" s="130"/>
      <c r="W527" s="130"/>
      <c r="X527" s="130"/>
      <c r="Y527" s="130"/>
      <c r="Z527" s="130"/>
      <c r="AA527" s="130"/>
      <c r="AB527" s="131"/>
    </row>
    <row r="528" ht="15.75" spans="1:28">
      <c r="A528" s="56">
        <f t="shared" si="57"/>
        <v>530</v>
      </c>
      <c r="B528" s="113">
        <v>46273</v>
      </c>
      <c r="C528" s="114">
        <v>46273</v>
      </c>
      <c r="D528" s="80"/>
      <c r="E528" s="127"/>
      <c r="F528" s="122"/>
      <c r="G528" s="129"/>
      <c r="H528" s="130"/>
      <c r="I528" s="130"/>
      <c r="J528" s="130"/>
      <c r="K528" s="130"/>
      <c r="L528" s="130"/>
      <c r="M528" s="123">
        <f t="shared" si="60"/>
        <v>0</v>
      </c>
      <c r="N528" s="124">
        <f t="shared" si="61"/>
        <v>0</v>
      </c>
      <c r="O528" s="130"/>
      <c r="P528" s="52">
        <f t="shared" si="56"/>
        <v>0</v>
      </c>
      <c r="Q528" s="52">
        <f t="shared" si="62"/>
        <v>0</v>
      </c>
      <c r="R528" s="130"/>
      <c r="S528" s="52">
        <f t="shared" si="58"/>
        <v>0</v>
      </c>
      <c r="T528" s="131">
        <f t="shared" si="59"/>
        <v>0</v>
      </c>
      <c r="U528" s="132"/>
      <c r="V528" s="130"/>
      <c r="W528" s="130"/>
      <c r="X528" s="130"/>
      <c r="Y528" s="130"/>
      <c r="Z528" s="130"/>
      <c r="AA528" s="130"/>
      <c r="AB528" s="131"/>
    </row>
    <row r="529" ht="15.75" spans="1:28">
      <c r="A529" s="56">
        <f t="shared" si="57"/>
        <v>531</v>
      </c>
      <c r="B529" s="113">
        <v>46274</v>
      </c>
      <c r="C529" s="114">
        <v>46274</v>
      </c>
      <c r="D529" s="80"/>
      <c r="E529" s="127"/>
      <c r="F529" s="122"/>
      <c r="G529" s="129"/>
      <c r="H529" s="130"/>
      <c r="I529" s="130"/>
      <c r="J529" s="130"/>
      <c r="K529" s="130"/>
      <c r="L529" s="130"/>
      <c r="M529" s="123">
        <f t="shared" si="60"/>
        <v>0</v>
      </c>
      <c r="N529" s="124">
        <f t="shared" si="61"/>
        <v>0</v>
      </c>
      <c r="O529" s="130"/>
      <c r="P529" s="52">
        <f t="shared" si="56"/>
        <v>0</v>
      </c>
      <c r="Q529" s="52">
        <f t="shared" si="62"/>
        <v>0</v>
      </c>
      <c r="R529" s="130"/>
      <c r="S529" s="52">
        <f t="shared" si="58"/>
        <v>0</v>
      </c>
      <c r="T529" s="131">
        <f t="shared" si="59"/>
        <v>0</v>
      </c>
      <c r="U529" s="132"/>
      <c r="V529" s="130"/>
      <c r="W529" s="130"/>
      <c r="X529" s="130"/>
      <c r="Y529" s="130"/>
      <c r="Z529" s="130"/>
      <c r="AA529" s="130"/>
      <c r="AB529" s="131"/>
    </row>
    <row r="530" ht="15.75" spans="1:28">
      <c r="A530" s="56">
        <f t="shared" si="57"/>
        <v>532</v>
      </c>
      <c r="B530" s="113">
        <v>46275</v>
      </c>
      <c r="C530" s="114">
        <v>46275</v>
      </c>
      <c r="D530" s="80"/>
      <c r="E530" s="127"/>
      <c r="F530" s="122"/>
      <c r="G530" s="129"/>
      <c r="H530" s="130"/>
      <c r="I530" s="130"/>
      <c r="J530" s="130"/>
      <c r="K530" s="130"/>
      <c r="L530" s="130"/>
      <c r="M530" s="123">
        <f t="shared" si="60"/>
        <v>0</v>
      </c>
      <c r="N530" s="124">
        <f t="shared" si="61"/>
        <v>0</v>
      </c>
      <c r="O530" s="130"/>
      <c r="P530" s="52">
        <f t="shared" si="56"/>
        <v>0</v>
      </c>
      <c r="Q530" s="52">
        <f t="shared" si="62"/>
        <v>0</v>
      </c>
      <c r="R530" s="130"/>
      <c r="S530" s="52">
        <f t="shared" si="58"/>
        <v>0</v>
      </c>
      <c r="T530" s="131">
        <f t="shared" si="59"/>
        <v>0</v>
      </c>
      <c r="U530" s="132"/>
      <c r="V530" s="130"/>
      <c r="W530" s="130"/>
      <c r="X530" s="130"/>
      <c r="Y530" s="130"/>
      <c r="Z530" s="130"/>
      <c r="AA530" s="130"/>
      <c r="AB530" s="131"/>
    </row>
    <row r="531" ht="15.75" spans="1:28">
      <c r="A531" s="56">
        <f t="shared" si="57"/>
        <v>533</v>
      </c>
      <c r="B531" s="113">
        <v>46276</v>
      </c>
      <c r="C531" s="114">
        <v>46276</v>
      </c>
      <c r="D531" s="80"/>
      <c r="E531" s="127"/>
      <c r="F531" s="122"/>
      <c r="G531" s="129"/>
      <c r="H531" s="130"/>
      <c r="I531" s="130"/>
      <c r="J531" s="130"/>
      <c r="K531" s="130"/>
      <c r="L531" s="130"/>
      <c r="M531" s="123">
        <f t="shared" si="60"/>
        <v>0</v>
      </c>
      <c r="N531" s="124">
        <f t="shared" si="61"/>
        <v>0</v>
      </c>
      <c r="O531" s="130"/>
      <c r="P531" s="52">
        <f t="shared" si="56"/>
        <v>0</v>
      </c>
      <c r="Q531" s="52">
        <f t="shared" si="62"/>
        <v>0</v>
      </c>
      <c r="R531" s="130"/>
      <c r="S531" s="52">
        <f t="shared" si="58"/>
        <v>0</v>
      </c>
      <c r="T531" s="131">
        <f t="shared" si="59"/>
        <v>0</v>
      </c>
      <c r="U531" s="132"/>
      <c r="V531" s="130"/>
      <c r="W531" s="130"/>
      <c r="X531" s="130"/>
      <c r="Y531" s="130"/>
      <c r="Z531" s="130"/>
      <c r="AA531" s="130"/>
      <c r="AB531" s="131"/>
    </row>
    <row r="532" ht="15.75" spans="1:28">
      <c r="A532" s="56">
        <f t="shared" si="57"/>
        <v>534</v>
      </c>
      <c r="B532" s="113">
        <v>46277</v>
      </c>
      <c r="C532" s="114">
        <v>46277</v>
      </c>
      <c r="D532" s="80"/>
      <c r="E532" s="127"/>
      <c r="F532" s="122"/>
      <c r="G532" s="129"/>
      <c r="H532" s="130"/>
      <c r="I532" s="130"/>
      <c r="J532" s="130"/>
      <c r="K532" s="130"/>
      <c r="L532" s="130"/>
      <c r="M532" s="123">
        <f t="shared" si="60"/>
        <v>0</v>
      </c>
      <c r="N532" s="124">
        <f t="shared" si="61"/>
        <v>0</v>
      </c>
      <c r="O532" s="130"/>
      <c r="P532" s="52">
        <f t="shared" si="56"/>
        <v>0</v>
      </c>
      <c r="Q532" s="52">
        <f t="shared" si="62"/>
        <v>0</v>
      </c>
      <c r="R532" s="130"/>
      <c r="S532" s="52">
        <f t="shared" si="58"/>
        <v>0</v>
      </c>
      <c r="T532" s="131">
        <f t="shared" si="59"/>
        <v>0</v>
      </c>
      <c r="U532" s="132"/>
      <c r="V532" s="130"/>
      <c r="W532" s="130"/>
      <c r="X532" s="130"/>
      <c r="Y532" s="130"/>
      <c r="Z532" s="130"/>
      <c r="AA532" s="130"/>
      <c r="AB532" s="131"/>
    </row>
    <row r="533" ht="15.75" spans="1:28">
      <c r="A533" s="56">
        <f t="shared" si="57"/>
        <v>535</v>
      </c>
      <c r="B533" s="113">
        <v>46278</v>
      </c>
      <c r="C533" s="114">
        <v>46278</v>
      </c>
      <c r="D533" s="80"/>
      <c r="E533" s="127"/>
      <c r="F533" s="122"/>
      <c r="G533" s="129"/>
      <c r="H533" s="130"/>
      <c r="I533" s="130"/>
      <c r="J533" s="130"/>
      <c r="K533" s="130"/>
      <c r="L533" s="130"/>
      <c r="M533" s="123">
        <f t="shared" si="60"/>
        <v>0</v>
      </c>
      <c r="N533" s="124">
        <f t="shared" si="61"/>
        <v>0</v>
      </c>
      <c r="O533" s="130"/>
      <c r="P533" s="52">
        <f t="shared" si="56"/>
        <v>0</v>
      </c>
      <c r="Q533" s="52">
        <f t="shared" si="62"/>
        <v>0</v>
      </c>
      <c r="R533" s="130"/>
      <c r="S533" s="52">
        <f t="shared" si="58"/>
        <v>0</v>
      </c>
      <c r="T533" s="131">
        <f t="shared" si="59"/>
        <v>0</v>
      </c>
      <c r="U533" s="132"/>
      <c r="V533" s="130"/>
      <c r="W533" s="130"/>
      <c r="X533" s="130"/>
      <c r="Y533" s="130"/>
      <c r="Z533" s="130"/>
      <c r="AA533" s="130"/>
      <c r="AB533" s="131"/>
    </row>
    <row r="534" ht="15.75" spans="1:28">
      <c r="A534" s="56">
        <f t="shared" si="57"/>
        <v>536</v>
      </c>
      <c r="B534" s="113">
        <v>46279</v>
      </c>
      <c r="C534" s="114">
        <v>46279</v>
      </c>
      <c r="D534" s="80"/>
      <c r="E534" s="127"/>
      <c r="F534" s="122"/>
      <c r="G534" s="129"/>
      <c r="H534" s="130"/>
      <c r="I534" s="130"/>
      <c r="J534" s="130"/>
      <c r="K534" s="130"/>
      <c r="L534" s="130"/>
      <c r="M534" s="123">
        <f t="shared" si="60"/>
        <v>0</v>
      </c>
      <c r="N534" s="124">
        <f t="shared" si="61"/>
        <v>0</v>
      </c>
      <c r="O534" s="130"/>
      <c r="P534" s="52">
        <f t="shared" si="56"/>
        <v>0</v>
      </c>
      <c r="Q534" s="52">
        <f t="shared" si="62"/>
        <v>0</v>
      </c>
      <c r="R534" s="130"/>
      <c r="S534" s="52">
        <f t="shared" si="58"/>
        <v>0</v>
      </c>
      <c r="T534" s="131">
        <f t="shared" si="59"/>
        <v>0</v>
      </c>
      <c r="U534" s="132"/>
      <c r="V534" s="130"/>
      <c r="W534" s="130"/>
      <c r="X534" s="130"/>
      <c r="Y534" s="130"/>
      <c r="Z534" s="130"/>
      <c r="AA534" s="130"/>
      <c r="AB534" s="131"/>
    </row>
    <row r="535" ht="15.75" spans="1:28">
      <c r="A535" s="56">
        <f t="shared" si="57"/>
        <v>537</v>
      </c>
      <c r="B535" s="113">
        <v>46280</v>
      </c>
      <c r="C535" s="114">
        <v>46280</v>
      </c>
      <c r="D535" s="80"/>
      <c r="E535" s="127"/>
      <c r="F535" s="122"/>
      <c r="G535" s="129"/>
      <c r="H535" s="130"/>
      <c r="I535" s="130"/>
      <c r="J535" s="130"/>
      <c r="K535" s="130"/>
      <c r="L535" s="130"/>
      <c r="M535" s="123">
        <f t="shared" si="60"/>
        <v>0</v>
      </c>
      <c r="N535" s="124">
        <f t="shared" si="61"/>
        <v>0</v>
      </c>
      <c r="O535" s="130"/>
      <c r="P535" s="52">
        <f t="shared" si="56"/>
        <v>0</v>
      </c>
      <c r="Q535" s="52">
        <f t="shared" si="62"/>
        <v>0</v>
      </c>
      <c r="R535" s="130"/>
      <c r="S535" s="52">
        <f t="shared" si="58"/>
        <v>0</v>
      </c>
      <c r="T535" s="131">
        <f t="shared" si="59"/>
        <v>0</v>
      </c>
      <c r="U535" s="132"/>
      <c r="V535" s="130"/>
      <c r="W535" s="130"/>
      <c r="X535" s="130"/>
      <c r="Y535" s="130"/>
      <c r="Z535" s="130"/>
      <c r="AA535" s="130"/>
      <c r="AB535" s="131"/>
    </row>
    <row r="536" ht="15.75" spans="1:28">
      <c r="A536" s="56">
        <f t="shared" si="57"/>
        <v>538</v>
      </c>
      <c r="B536" s="113">
        <v>46281</v>
      </c>
      <c r="C536" s="114">
        <v>46281</v>
      </c>
      <c r="D536" s="80"/>
      <c r="E536" s="127"/>
      <c r="F536" s="122"/>
      <c r="G536" s="129"/>
      <c r="H536" s="130"/>
      <c r="I536" s="130"/>
      <c r="J536" s="130"/>
      <c r="K536" s="130"/>
      <c r="L536" s="130"/>
      <c r="M536" s="123">
        <f t="shared" si="60"/>
        <v>0</v>
      </c>
      <c r="N536" s="124">
        <f t="shared" si="61"/>
        <v>0</v>
      </c>
      <c r="O536" s="130"/>
      <c r="P536" s="52">
        <f t="shared" ref="P536:P599" si="63">MAX((O536-N536)*3000,0)</f>
        <v>0</v>
      </c>
      <c r="Q536" s="52">
        <f t="shared" si="62"/>
        <v>0</v>
      </c>
      <c r="R536" s="130"/>
      <c r="S536" s="52">
        <f t="shared" si="58"/>
        <v>0</v>
      </c>
      <c r="T536" s="131">
        <f t="shared" si="59"/>
        <v>0</v>
      </c>
      <c r="U536" s="132"/>
      <c r="V536" s="130"/>
      <c r="W536" s="130"/>
      <c r="X536" s="130"/>
      <c r="Y536" s="130"/>
      <c r="Z536" s="130"/>
      <c r="AA536" s="130"/>
      <c r="AB536" s="131"/>
    </row>
    <row r="537" ht="15.75" spans="1:28">
      <c r="A537" s="56">
        <f t="shared" si="57"/>
        <v>539</v>
      </c>
      <c r="B537" s="113">
        <v>46282</v>
      </c>
      <c r="C537" s="114">
        <v>46282</v>
      </c>
      <c r="D537" s="80"/>
      <c r="E537" s="127"/>
      <c r="F537" s="122"/>
      <c r="G537" s="129"/>
      <c r="H537" s="130"/>
      <c r="I537" s="130"/>
      <c r="J537" s="130"/>
      <c r="K537" s="130"/>
      <c r="L537" s="130"/>
      <c r="M537" s="123">
        <f t="shared" si="60"/>
        <v>0</v>
      </c>
      <c r="N537" s="124">
        <f t="shared" si="61"/>
        <v>0</v>
      </c>
      <c r="O537" s="130"/>
      <c r="P537" s="52">
        <f t="shared" si="63"/>
        <v>0</v>
      </c>
      <c r="Q537" s="52">
        <f t="shared" si="62"/>
        <v>0</v>
      </c>
      <c r="R537" s="130"/>
      <c r="S537" s="52">
        <f t="shared" si="58"/>
        <v>0</v>
      </c>
      <c r="T537" s="131">
        <f t="shared" si="59"/>
        <v>0</v>
      </c>
      <c r="U537" s="132"/>
      <c r="V537" s="130"/>
      <c r="W537" s="130"/>
      <c r="X537" s="130"/>
      <c r="Y537" s="130"/>
      <c r="Z537" s="130"/>
      <c r="AA537" s="130"/>
      <c r="AB537" s="131"/>
    </row>
    <row r="538" ht="15.75" spans="1:28">
      <c r="A538" s="56">
        <f t="shared" si="57"/>
        <v>540</v>
      </c>
      <c r="B538" s="113">
        <v>46283</v>
      </c>
      <c r="C538" s="114">
        <v>46283</v>
      </c>
      <c r="D538" s="80"/>
      <c r="E538" s="127"/>
      <c r="F538" s="122"/>
      <c r="G538" s="129"/>
      <c r="H538" s="130"/>
      <c r="I538" s="130"/>
      <c r="J538" s="130"/>
      <c r="K538" s="130"/>
      <c r="L538" s="130"/>
      <c r="M538" s="123">
        <f t="shared" si="60"/>
        <v>0</v>
      </c>
      <c r="N538" s="124">
        <f t="shared" si="61"/>
        <v>0</v>
      </c>
      <c r="O538" s="130"/>
      <c r="P538" s="52">
        <f t="shared" si="63"/>
        <v>0</v>
      </c>
      <c r="Q538" s="52">
        <f t="shared" si="62"/>
        <v>0</v>
      </c>
      <c r="R538" s="130"/>
      <c r="S538" s="52">
        <f t="shared" si="58"/>
        <v>0</v>
      </c>
      <c r="T538" s="131">
        <f t="shared" si="59"/>
        <v>0</v>
      </c>
      <c r="U538" s="132"/>
      <c r="V538" s="130"/>
      <c r="W538" s="130"/>
      <c r="X538" s="130"/>
      <c r="Y538" s="130"/>
      <c r="Z538" s="130"/>
      <c r="AA538" s="130"/>
      <c r="AB538" s="131"/>
    </row>
    <row r="539" ht="15.75" spans="1:28">
      <c r="A539" s="56">
        <f t="shared" si="57"/>
        <v>541</v>
      </c>
      <c r="B539" s="113">
        <v>46284</v>
      </c>
      <c r="C539" s="114">
        <v>46284</v>
      </c>
      <c r="D539" s="80"/>
      <c r="E539" s="127"/>
      <c r="F539" s="122"/>
      <c r="G539" s="129"/>
      <c r="H539" s="130"/>
      <c r="I539" s="130"/>
      <c r="J539" s="130"/>
      <c r="K539" s="130"/>
      <c r="L539" s="130"/>
      <c r="M539" s="123">
        <f t="shared" si="60"/>
        <v>0</v>
      </c>
      <c r="N539" s="124">
        <f t="shared" si="61"/>
        <v>0</v>
      </c>
      <c r="O539" s="130"/>
      <c r="P539" s="52">
        <f t="shared" si="63"/>
        <v>0</v>
      </c>
      <c r="Q539" s="52">
        <f t="shared" si="62"/>
        <v>0</v>
      </c>
      <c r="R539" s="130"/>
      <c r="S539" s="52">
        <f t="shared" si="58"/>
        <v>0</v>
      </c>
      <c r="T539" s="131">
        <f t="shared" si="59"/>
        <v>0</v>
      </c>
      <c r="U539" s="132"/>
      <c r="V539" s="130"/>
      <c r="W539" s="130"/>
      <c r="X539" s="130"/>
      <c r="Y539" s="130"/>
      <c r="Z539" s="130"/>
      <c r="AA539" s="130"/>
      <c r="AB539" s="131"/>
    </row>
    <row r="540" ht="15.75" spans="1:28">
      <c r="A540" s="56">
        <f t="shared" si="57"/>
        <v>542</v>
      </c>
      <c r="B540" s="113">
        <v>46285</v>
      </c>
      <c r="C540" s="114">
        <v>46285</v>
      </c>
      <c r="D540" s="80"/>
      <c r="E540" s="127"/>
      <c r="F540" s="122"/>
      <c r="G540" s="129"/>
      <c r="H540" s="130"/>
      <c r="I540" s="130"/>
      <c r="J540" s="130"/>
      <c r="K540" s="130"/>
      <c r="L540" s="130"/>
      <c r="M540" s="123">
        <f t="shared" si="60"/>
        <v>0</v>
      </c>
      <c r="N540" s="124">
        <f t="shared" si="61"/>
        <v>0</v>
      </c>
      <c r="O540" s="130"/>
      <c r="P540" s="52">
        <f t="shared" si="63"/>
        <v>0</v>
      </c>
      <c r="Q540" s="52">
        <f t="shared" si="62"/>
        <v>0</v>
      </c>
      <c r="R540" s="130"/>
      <c r="S540" s="52">
        <f t="shared" si="58"/>
        <v>0</v>
      </c>
      <c r="T540" s="131">
        <f t="shared" si="59"/>
        <v>0</v>
      </c>
      <c r="U540" s="132"/>
      <c r="V540" s="130"/>
      <c r="W540" s="130"/>
      <c r="X540" s="130"/>
      <c r="Y540" s="130"/>
      <c r="Z540" s="130"/>
      <c r="AA540" s="130"/>
      <c r="AB540" s="131"/>
    </row>
    <row r="541" ht="15.75" spans="1:28">
      <c r="A541" s="56">
        <f t="shared" si="57"/>
        <v>543</v>
      </c>
      <c r="B541" s="113">
        <v>46286</v>
      </c>
      <c r="C541" s="114">
        <v>46286</v>
      </c>
      <c r="D541" s="80"/>
      <c r="E541" s="127"/>
      <c r="F541" s="122"/>
      <c r="G541" s="129"/>
      <c r="H541" s="130"/>
      <c r="I541" s="130"/>
      <c r="J541" s="130"/>
      <c r="K541" s="130"/>
      <c r="L541" s="130"/>
      <c r="M541" s="123">
        <f t="shared" si="60"/>
        <v>0</v>
      </c>
      <c r="N541" s="124">
        <f t="shared" si="61"/>
        <v>0</v>
      </c>
      <c r="O541" s="130"/>
      <c r="P541" s="52">
        <f t="shared" si="63"/>
        <v>0</v>
      </c>
      <c r="Q541" s="52">
        <f t="shared" si="62"/>
        <v>0</v>
      </c>
      <c r="R541" s="130"/>
      <c r="S541" s="52">
        <f t="shared" si="58"/>
        <v>0</v>
      </c>
      <c r="T541" s="131">
        <f t="shared" si="59"/>
        <v>0</v>
      </c>
      <c r="U541" s="132"/>
      <c r="V541" s="130"/>
      <c r="W541" s="130"/>
      <c r="X541" s="130"/>
      <c r="Y541" s="130"/>
      <c r="Z541" s="130"/>
      <c r="AA541" s="130"/>
      <c r="AB541" s="131"/>
    </row>
    <row r="542" ht="15.75" spans="1:28">
      <c r="A542" s="56">
        <f t="shared" si="57"/>
        <v>544</v>
      </c>
      <c r="B542" s="113">
        <v>46287</v>
      </c>
      <c r="C542" s="114">
        <v>46287</v>
      </c>
      <c r="D542" s="80"/>
      <c r="E542" s="127"/>
      <c r="F542" s="122"/>
      <c r="G542" s="129"/>
      <c r="H542" s="130"/>
      <c r="I542" s="130"/>
      <c r="J542" s="130"/>
      <c r="K542" s="130"/>
      <c r="L542" s="130"/>
      <c r="M542" s="123">
        <f t="shared" si="60"/>
        <v>0</v>
      </c>
      <c r="N542" s="124">
        <f t="shared" si="61"/>
        <v>0</v>
      </c>
      <c r="O542" s="130"/>
      <c r="P542" s="52">
        <f t="shared" si="63"/>
        <v>0</v>
      </c>
      <c r="Q542" s="52">
        <f t="shared" si="62"/>
        <v>0</v>
      </c>
      <c r="R542" s="130"/>
      <c r="S542" s="52">
        <f t="shared" si="58"/>
        <v>0</v>
      </c>
      <c r="T542" s="131">
        <f t="shared" si="59"/>
        <v>0</v>
      </c>
      <c r="U542" s="132"/>
      <c r="V542" s="130"/>
      <c r="W542" s="130"/>
      <c r="X542" s="130"/>
      <c r="Y542" s="130"/>
      <c r="Z542" s="130"/>
      <c r="AA542" s="130"/>
      <c r="AB542" s="131"/>
    </row>
    <row r="543" ht="15.75" spans="1:28">
      <c r="A543" s="56">
        <f t="shared" si="57"/>
        <v>545</v>
      </c>
      <c r="B543" s="113">
        <v>46288</v>
      </c>
      <c r="C543" s="114">
        <v>46288</v>
      </c>
      <c r="D543" s="80"/>
      <c r="E543" s="127"/>
      <c r="F543" s="122"/>
      <c r="G543" s="129"/>
      <c r="H543" s="130"/>
      <c r="I543" s="130"/>
      <c r="J543" s="130"/>
      <c r="K543" s="130"/>
      <c r="L543" s="130"/>
      <c r="M543" s="123">
        <f t="shared" si="60"/>
        <v>0</v>
      </c>
      <c r="N543" s="124">
        <f t="shared" si="61"/>
        <v>0</v>
      </c>
      <c r="O543" s="130"/>
      <c r="P543" s="52">
        <f t="shared" si="63"/>
        <v>0</v>
      </c>
      <c r="Q543" s="52">
        <f t="shared" si="62"/>
        <v>0</v>
      </c>
      <c r="R543" s="130"/>
      <c r="S543" s="52">
        <f t="shared" si="58"/>
        <v>0</v>
      </c>
      <c r="T543" s="131">
        <f t="shared" si="59"/>
        <v>0</v>
      </c>
      <c r="U543" s="132"/>
      <c r="V543" s="130"/>
      <c r="W543" s="130"/>
      <c r="X543" s="130"/>
      <c r="Y543" s="130"/>
      <c r="Z543" s="130"/>
      <c r="AA543" s="130"/>
      <c r="AB543" s="131"/>
    </row>
    <row r="544" ht="15.75" spans="1:28">
      <c r="A544" s="56">
        <f t="shared" si="57"/>
        <v>546</v>
      </c>
      <c r="B544" s="113">
        <v>46289</v>
      </c>
      <c r="C544" s="114">
        <v>46289</v>
      </c>
      <c r="D544" s="80"/>
      <c r="E544" s="127"/>
      <c r="F544" s="122"/>
      <c r="G544" s="129"/>
      <c r="H544" s="130"/>
      <c r="I544" s="130"/>
      <c r="J544" s="130"/>
      <c r="K544" s="130"/>
      <c r="L544" s="130"/>
      <c r="M544" s="123">
        <f t="shared" si="60"/>
        <v>0</v>
      </c>
      <c r="N544" s="124">
        <f t="shared" si="61"/>
        <v>0</v>
      </c>
      <c r="O544" s="130"/>
      <c r="P544" s="52">
        <f t="shared" si="63"/>
        <v>0</v>
      </c>
      <c r="Q544" s="52">
        <f t="shared" si="62"/>
        <v>0</v>
      </c>
      <c r="R544" s="130"/>
      <c r="S544" s="52">
        <f t="shared" si="58"/>
        <v>0</v>
      </c>
      <c r="T544" s="131">
        <f t="shared" si="59"/>
        <v>0</v>
      </c>
      <c r="U544" s="132"/>
      <c r="V544" s="130"/>
      <c r="W544" s="130"/>
      <c r="X544" s="130"/>
      <c r="Y544" s="130"/>
      <c r="Z544" s="130"/>
      <c r="AA544" s="130"/>
      <c r="AB544" s="131"/>
    </row>
    <row r="545" ht="15.75" spans="1:28">
      <c r="A545" s="56">
        <f t="shared" si="57"/>
        <v>547</v>
      </c>
      <c r="B545" s="113">
        <v>46290</v>
      </c>
      <c r="C545" s="114">
        <v>46290</v>
      </c>
      <c r="D545" s="80"/>
      <c r="E545" s="127"/>
      <c r="F545" s="122"/>
      <c r="G545" s="129"/>
      <c r="H545" s="130"/>
      <c r="I545" s="130"/>
      <c r="J545" s="130"/>
      <c r="K545" s="130"/>
      <c r="L545" s="130"/>
      <c r="M545" s="123">
        <f t="shared" si="60"/>
        <v>0</v>
      </c>
      <c r="N545" s="124">
        <f t="shared" si="61"/>
        <v>0</v>
      </c>
      <c r="O545" s="130"/>
      <c r="P545" s="52">
        <f t="shared" si="63"/>
        <v>0</v>
      </c>
      <c r="Q545" s="52">
        <f t="shared" si="62"/>
        <v>0</v>
      </c>
      <c r="R545" s="130"/>
      <c r="S545" s="52">
        <f t="shared" si="58"/>
        <v>0</v>
      </c>
      <c r="T545" s="131">
        <f t="shared" si="59"/>
        <v>0</v>
      </c>
      <c r="U545" s="132"/>
      <c r="V545" s="130"/>
      <c r="W545" s="130"/>
      <c r="X545" s="130"/>
      <c r="Y545" s="130"/>
      <c r="Z545" s="130"/>
      <c r="AA545" s="130"/>
      <c r="AB545" s="131"/>
    </row>
    <row r="546" ht="15.75" spans="1:28">
      <c r="A546" s="56">
        <f t="shared" si="57"/>
        <v>548</v>
      </c>
      <c r="B546" s="113">
        <v>46291</v>
      </c>
      <c r="C546" s="114">
        <v>46291</v>
      </c>
      <c r="D546" s="80"/>
      <c r="E546" s="127"/>
      <c r="F546" s="122"/>
      <c r="G546" s="129"/>
      <c r="H546" s="130"/>
      <c r="I546" s="130"/>
      <c r="J546" s="130"/>
      <c r="K546" s="130"/>
      <c r="L546" s="130"/>
      <c r="M546" s="123">
        <f t="shared" si="60"/>
        <v>0</v>
      </c>
      <c r="N546" s="124">
        <f t="shared" si="61"/>
        <v>0</v>
      </c>
      <c r="O546" s="130"/>
      <c r="P546" s="52">
        <f t="shared" si="63"/>
        <v>0</v>
      </c>
      <c r="Q546" s="52">
        <f t="shared" si="62"/>
        <v>0</v>
      </c>
      <c r="R546" s="130"/>
      <c r="S546" s="52">
        <f t="shared" si="58"/>
        <v>0</v>
      </c>
      <c r="T546" s="131">
        <f t="shared" si="59"/>
        <v>0</v>
      </c>
      <c r="U546" s="132"/>
      <c r="V546" s="130"/>
      <c r="W546" s="130"/>
      <c r="X546" s="130"/>
      <c r="Y546" s="130"/>
      <c r="Z546" s="130"/>
      <c r="AA546" s="130"/>
      <c r="AB546" s="131"/>
    </row>
    <row r="547" ht="15.75" spans="1:28">
      <c r="A547" s="56">
        <f t="shared" si="57"/>
        <v>549</v>
      </c>
      <c r="B547" s="113">
        <v>46292</v>
      </c>
      <c r="C547" s="114">
        <v>46292</v>
      </c>
      <c r="D547" s="80"/>
      <c r="E547" s="127"/>
      <c r="F547" s="122"/>
      <c r="G547" s="129"/>
      <c r="H547" s="130"/>
      <c r="I547" s="130"/>
      <c r="J547" s="130"/>
      <c r="K547" s="130"/>
      <c r="L547" s="130"/>
      <c r="M547" s="123">
        <f t="shared" si="60"/>
        <v>0</v>
      </c>
      <c r="N547" s="124">
        <f t="shared" si="61"/>
        <v>0</v>
      </c>
      <c r="O547" s="130"/>
      <c r="P547" s="52">
        <f t="shared" si="63"/>
        <v>0</v>
      </c>
      <c r="Q547" s="52">
        <f t="shared" si="62"/>
        <v>0</v>
      </c>
      <c r="R547" s="130"/>
      <c r="S547" s="52">
        <f t="shared" si="58"/>
        <v>0</v>
      </c>
      <c r="T547" s="131">
        <f t="shared" si="59"/>
        <v>0</v>
      </c>
      <c r="U547" s="132"/>
      <c r="V547" s="130"/>
      <c r="W547" s="130"/>
      <c r="X547" s="130"/>
      <c r="Y547" s="130"/>
      <c r="Z547" s="130"/>
      <c r="AA547" s="130"/>
      <c r="AB547" s="131"/>
    </row>
    <row r="548" ht="15.75" spans="1:28">
      <c r="A548" s="56">
        <f t="shared" si="57"/>
        <v>550</v>
      </c>
      <c r="B548" s="113">
        <v>46293</v>
      </c>
      <c r="C548" s="114">
        <v>46293</v>
      </c>
      <c r="D548" s="80"/>
      <c r="E548" s="127"/>
      <c r="F548" s="122"/>
      <c r="G548" s="129"/>
      <c r="H548" s="130"/>
      <c r="I548" s="130"/>
      <c r="J548" s="130"/>
      <c r="K548" s="130"/>
      <c r="L548" s="130"/>
      <c r="M548" s="123">
        <f t="shared" si="60"/>
        <v>0</v>
      </c>
      <c r="N548" s="124">
        <f t="shared" si="61"/>
        <v>0</v>
      </c>
      <c r="O548" s="130"/>
      <c r="P548" s="52">
        <f t="shared" si="63"/>
        <v>0</v>
      </c>
      <c r="Q548" s="52">
        <f t="shared" si="62"/>
        <v>0</v>
      </c>
      <c r="R548" s="130"/>
      <c r="S548" s="52">
        <f t="shared" si="58"/>
        <v>0</v>
      </c>
      <c r="T548" s="131">
        <f t="shared" si="59"/>
        <v>0</v>
      </c>
      <c r="U548" s="132"/>
      <c r="V548" s="130"/>
      <c r="W548" s="130"/>
      <c r="X548" s="130"/>
      <c r="Y548" s="130"/>
      <c r="Z548" s="130"/>
      <c r="AA548" s="130"/>
      <c r="AB548" s="131"/>
    </row>
    <row r="549" ht="15.75" spans="1:28">
      <c r="A549" s="56">
        <f t="shared" si="57"/>
        <v>551</v>
      </c>
      <c r="B549" s="113">
        <v>46294</v>
      </c>
      <c r="C549" s="114">
        <v>46294</v>
      </c>
      <c r="D549" s="80"/>
      <c r="E549" s="127"/>
      <c r="F549" s="122"/>
      <c r="G549" s="129"/>
      <c r="H549" s="130"/>
      <c r="I549" s="130"/>
      <c r="J549" s="130"/>
      <c r="K549" s="130"/>
      <c r="L549" s="130"/>
      <c r="M549" s="123">
        <f t="shared" si="60"/>
        <v>0</v>
      </c>
      <c r="N549" s="124">
        <f t="shared" si="61"/>
        <v>0</v>
      </c>
      <c r="O549" s="130"/>
      <c r="P549" s="52">
        <f t="shared" si="63"/>
        <v>0</v>
      </c>
      <c r="Q549" s="52">
        <f t="shared" si="62"/>
        <v>0</v>
      </c>
      <c r="R549" s="130"/>
      <c r="S549" s="52">
        <f t="shared" si="58"/>
        <v>0</v>
      </c>
      <c r="T549" s="131">
        <f t="shared" si="59"/>
        <v>0</v>
      </c>
      <c r="U549" s="132"/>
      <c r="V549" s="130"/>
      <c r="W549" s="130"/>
      <c r="X549" s="130"/>
      <c r="Y549" s="130"/>
      <c r="Z549" s="130"/>
      <c r="AA549" s="130"/>
      <c r="AB549" s="131"/>
    </row>
    <row r="550" ht="15.75" spans="1:28">
      <c r="A550" s="56">
        <f t="shared" si="57"/>
        <v>552</v>
      </c>
      <c r="B550" s="113">
        <v>46295</v>
      </c>
      <c r="C550" s="114">
        <v>46295</v>
      </c>
      <c r="D550" s="80"/>
      <c r="E550" s="127"/>
      <c r="F550" s="122"/>
      <c r="G550" s="129"/>
      <c r="H550" s="130"/>
      <c r="I550" s="130"/>
      <c r="J550" s="130"/>
      <c r="K550" s="130"/>
      <c r="L550" s="130"/>
      <c r="M550" s="123">
        <f t="shared" si="60"/>
        <v>0</v>
      </c>
      <c r="N550" s="124">
        <f t="shared" si="61"/>
        <v>0</v>
      </c>
      <c r="O550" s="130"/>
      <c r="P550" s="52">
        <f t="shared" si="63"/>
        <v>0</v>
      </c>
      <c r="Q550" s="52">
        <f t="shared" si="62"/>
        <v>0</v>
      </c>
      <c r="R550" s="130"/>
      <c r="S550" s="52">
        <f t="shared" si="58"/>
        <v>0</v>
      </c>
      <c r="T550" s="131">
        <f t="shared" si="59"/>
        <v>0</v>
      </c>
      <c r="U550" s="132"/>
      <c r="V550" s="130"/>
      <c r="W550" s="130"/>
      <c r="X550" s="130"/>
      <c r="Y550" s="130"/>
      <c r="Z550" s="130"/>
      <c r="AA550" s="130"/>
      <c r="AB550" s="131"/>
    </row>
    <row r="551" ht="15.75" spans="1:28">
      <c r="A551" s="56">
        <f t="shared" si="57"/>
        <v>553</v>
      </c>
      <c r="B551" s="113">
        <v>46296</v>
      </c>
      <c r="C551" s="114">
        <v>46296</v>
      </c>
      <c r="D551" s="80"/>
      <c r="E551" s="127"/>
      <c r="F551" s="122"/>
      <c r="G551" s="129"/>
      <c r="H551" s="130"/>
      <c r="I551" s="130"/>
      <c r="J551" s="130"/>
      <c r="K551" s="130"/>
      <c r="L551" s="130"/>
      <c r="M551" s="123">
        <f t="shared" si="60"/>
        <v>0</v>
      </c>
      <c r="N551" s="124">
        <f t="shared" si="61"/>
        <v>0</v>
      </c>
      <c r="O551" s="130"/>
      <c r="P551" s="52">
        <f t="shared" si="63"/>
        <v>0</v>
      </c>
      <c r="Q551" s="52">
        <f t="shared" si="62"/>
        <v>0</v>
      </c>
      <c r="R551" s="130"/>
      <c r="S551" s="52">
        <f t="shared" si="58"/>
        <v>0</v>
      </c>
      <c r="T551" s="131">
        <f t="shared" si="59"/>
        <v>0</v>
      </c>
      <c r="U551" s="132"/>
      <c r="V551" s="130"/>
      <c r="W551" s="130"/>
      <c r="X551" s="130"/>
      <c r="Y551" s="130"/>
      <c r="Z551" s="130"/>
      <c r="AA551" s="130"/>
      <c r="AB551" s="131"/>
    </row>
    <row r="552" ht="15.75" spans="1:28">
      <c r="A552" s="56">
        <f t="shared" si="57"/>
        <v>554</v>
      </c>
      <c r="B552" s="113">
        <v>46297</v>
      </c>
      <c r="C552" s="114">
        <v>46297</v>
      </c>
      <c r="D552" s="80"/>
      <c r="E552" s="127"/>
      <c r="F552" s="122"/>
      <c r="G552" s="129"/>
      <c r="H552" s="130"/>
      <c r="I552" s="130"/>
      <c r="J552" s="130"/>
      <c r="K552" s="130"/>
      <c r="L552" s="130"/>
      <c r="M552" s="123">
        <f t="shared" si="60"/>
        <v>0</v>
      </c>
      <c r="N552" s="124">
        <f t="shared" si="61"/>
        <v>0</v>
      </c>
      <c r="O552" s="130"/>
      <c r="P552" s="52">
        <f t="shared" si="63"/>
        <v>0</v>
      </c>
      <c r="Q552" s="52">
        <f t="shared" si="62"/>
        <v>0</v>
      </c>
      <c r="R552" s="130"/>
      <c r="S552" s="52">
        <f t="shared" si="58"/>
        <v>0</v>
      </c>
      <c r="T552" s="131">
        <f t="shared" si="59"/>
        <v>0</v>
      </c>
      <c r="U552" s="132"/>
      <c r="V552" s="130"/>
      <c r="W552" s="130"/>
      <c r="X552" s="130"/>
      <c r="Y552" s="130"/>
      <c r="Z552" s="130"/>
      <c r="AA552" s="130"/>
      <c r="AB552" s="131"/>
    </row>
    <row r="553" ht="15.75" spans="1:28">
      <c r="A553" s="56">
        <f t="shared" si="57"/>
        <v>555</v>
      </c>
      <c r="B553" s="113">
        <v>46298</v>
      </c>
      <c r="C553" s="114">
        <v>46298</v>
      </c>
      <c r="D553" s="80"/>
      <c r="E553" s="127"/>
      <c r="F553" s="122"/>
      <c r="G553" s="129"/>
      <c r="H553" s="130"/>
      <c r="I553" s="130"/>
      <c r="J553" s="130"/>
      <c r="K553" s="130"/>
      <c r="L553" s="130"/>
      <c r="M553" s="123">
        <f t="shared" si="60"/>
        <v>0</v>
      </c>
      <c r="N553" s="124">
        <f t="shared" si="61"/>
        <v>0</v>
      </c>
      <c r="O553" s="130"/>
      <c r="P553" s="52">
        <f t="shared" si="63"/>
        <v>0</v>
      </c>
      <c r="Q553" s="52">
        <f t="shared" si="62"/>
        <v>0</v>
      </c>
      <c r="R553" s="130"/>
      <c r="S553" s="52">
        <f t="shared" si="58"/>
        <v>0</v>
      </c>
      <c r="T553" s="131">
        <f t="shared" si="59"/>
        <v>0</v>
      </c>
      <c r="U553" s="132"/>
      <c r="V553" s="130"/>
      <c r="W553" s="130"/>
      <c r="X553" s="130"/>
      <c r="Y553" s="130"/>
      <c r="Z553" s="130"/>
      <c r="AA553" s="130"/>
      <c r="AB553" s="131"/>
    </row>
    <row r="554" ht="15.75" spans="1:28">
      <c r="A554" s="56">
        <f t="shared" si="57"/>
        <v>556</v>
      </c>
      <c r="B554" s="113">
        <v>46299</v>
      </c>
      <c r="C554" s="114">
        <v>46299</v>
      </c>
      <c r="D554" s="80"/>
      <c r="E554" s="127"/>
      <c r="F554" s="122"/>
      <c r="G554" s="129"/>
      <c r="H554" s="130"/>
      <c r="I554" s="130"/>
      <c r="J554" s="130"/>
      <c r="K554" s="130"/>
      <c r="L554" s="130"/>
      <c r="M554" s="123">
        <f t="shared" si="60"/>
        <v>0</v>
      </c>
      <c r="N554" s="124">
        <f t="shared" si="61"/>
        <v>0</v>
      </c>
      <c r="O554" s="130"/>
      <c r="P554" s="52">
        <f t="shared" si="63"/>
        <v>0</v>
      </c>
      <c r="Q554" s="52">
        <f t="shared" si="62"/>
        <v>0</v>
      </c>
      <c r="R554" s="130"/>
      <c r="S554" s="52">
        <f t="shared" si="58"/>
        <v>0</v>
      </c>
      <c r="T554" s="131">
        <f t="shared" si="59"/>
        <v>0</v>
      </c>
      <c r="U554" s="132"/>
      <c r="V554" s="130"/>
      <c r="W554" s="130"/>
      <c r="X554" s="130"/>
      <c r="Y554" s="130"/>
      <c r="Z554" s="130"/>
      <c r="AA554" s="130"/>
      <c r="AB554" s="131"/>
    </row>
    <row r="555" ht="15.75" spans="1:28">
      <c r="A555" s="56">
        <f t="shared" si="57"/>
        <v>557</v>
      </c>
      <c r="B555" s="113">
        <v>46300</v>
      </c>
      <c r="C555" s="114">
        <v>46300</v>
      </c>
      <c r="D555" s="80"/>
      <c r="E555" s="127"/>
      <c r="F555" s="122"/>
      <c r="G555" s="129"/>
      <c r="H555" s="130"/>
      <c r="I555" s="130"/>
      <c r="J555" s="130"/>
      <c r="K555" s="130"/>
      <c r="L555" s="130"/>
      <c r="M555" s="123">
        <f t="shared" si="60"/>
        <v>0</v>
      </c>
      <c r="N555" s="124">
        <f t="shared" si="61"/>
        <v>0</v>
      </c>
      <c r="O555" s="130"/>
      <c r="P555" s="52">
        <f t="shared" si="63"/>
        <v>0</v>
      </c>
      <c r="Q555" s="52">
        <f t="shared" si="62"/>
        <v>0</v>
      </c>
      <c r="R555" s="130"/>
      <c r="S555" s="52">
        <f t="shared" si="58"/>
        <v>0</v>
      </c>
      <c r="T555" s="131">
        <f t="shared" si="59"/>
        <v>0</v>
      </c>
      <c r="U555" s="132"/>
      <c r="V555" s="130"/>
      <c r="W555" s="130"/>
      <c r="X555" s="130"/>
      <c r="Y555" s="130"/>
      <c r="Z555" s="130"/>
      <c r="AA555" s="130"/>
      <c r="AB555" s="131"/>
    </row>
    <row r="556" ht="15.75" spans="1:28">
      <c r="A556" s="56">
        <f t="shared" si="57"/>
        <v>558</v>
      </c>
      <c r="B556" s="113">
        <v>46301</v>
      </c>
      <c r="C556" s="114">
        <v>46301</v>
      </c>
      <c r="D556" s="80"/>
      <c r="E556" s="127"/>
      <c r="F556" s="122"/>
      <c r="G556" s="129"/>
      <c r="H556" s="130"/>
      <c r="I556" s="130"/>
      <c r="J556" s="130"/>
      <c r="K556" s="130"/>
      <c r="L556" s="130"/>
      <c r="M556" s="123">
        <f t="shared" si="60"/>
        <v>0</v>
      </c>
      <c r="N556" s="124">
        <f t="shared" si="61"/>
        <v>0</v>
      </c>
      <c r="O556" s="130"/>
      <c r="P556" s="52">
        <f t="shared" si="63"/>
        <v>0</v>
      </c>
      <c r="Q556" s="52">
        <f t="shared" si="62"/>
        <v>0</v>
      </c>
      <c r="R556" s="130"/>
      <c r="S556" s="52">
        <f t="shared" si="58"/>
        <v>0</v>
      </c>
      <c r="T556" s="131">
        <f t="shared" si="59"/>
        <v>0</v>
      </c>
      <c r="U556" s="132"/>
      <c r="V556" s="130"/>
      <c r="W556" s="130"/>
      <c r="X556" s="130"/>
      <c r="Y556" s="130"/>
      <c r="Z556" s="130"/>
      <c r="AA556" s="130"/>
      <c r="AB556" s="131"/>
    </row>
    <row r="557" ht="15.75" spans="1:28">
      <c r="A557" s="56">
        <f t="shared" si="57"/>
        <v>559</v>
      </c>
      <c r="B557" s="113">
        <v>46302</v>
      </c>
      <c r="C557" s="114">
        <v>46302</v>
      </c>
      <c r="D557" s="80"/>
      <c r="E557" s="127"/>
      <c r="F557" s="122"/>
      <c r="G557" s="129"/>
      <c r="H557" s="130"/>
      <c r="I557" s="130"/>
      <c r="J557" s="130"/>
      <c r="K557" s="130"/>
      <c r="L557" s="130"/>
      <c r="M557" s="123">
        <f t="shared" si="60"/>
        <v>0</v>
      </c>
      <c r="N557" s="124">
        <f t="shared" si="61"/>
        <v>0</v>
      </c>
      <c r="O557" s="130"/>
      <c r="P557" s="52">
        <f t="shared" si="63"/>
        <v>0</v>
      </c>
      <c r="Q557" s="52">
        <f t="shared" si="62"/>
        <v>0</v>
      </c>
      <c r="R557" s="130"/>
      <c r="S557" s="52">
        <f t="shared" si="58"/>
        <v>0</v>
      </c>
      <c r="T557" s="131">
        <f t="shared" si="59"/>
        <v>0</v>
      </c>
      <c r="U557" s="132"/>
      <c r="V557" s="130"/>
      <c r="W557" s="130"/>
      <c r="X557" s="130"/>
      <c r="Y557" s="130"/>
      <c r="Z557" s="130"/>
      <c r="AA557" s="130"/>
      <c r="AB557" s="131"/>
    </row>
    <row r="558" ht="15.75" spans="1:28">
      <c r="A558" s="56">
        <f t="shared" si="57"/>
        <v>560</v>
      </c>
      <c r="B558" s="113">
        <v>46303</v>
      </c>
      <c r="C558" s="114">
        <v>46303</v>
      </c>
      <c r="D558" s="80"/>
      <c r="E558" s="127"/>
      <c r="F558" s="122"/>
      <c r="G558" s="129"/>
      <c r="H558" s="130"/>
      <c r="I558" s="130"/>
      <c r="J558" s="130"/>
      <c r="K558" s="130"/>
      <c r="L558" s="130"/>
      <c r="M558" s="123">
        <f t="shared" si="60"/>
        <v>0</v>
      </c>
      <c r="N558" s="124">
        <f t="shared" si="61"/>
        <v>0</v>
      </c>
      <c r="O558" s="130"/>
      <c r="P558" s="52">
        <f t="shared" si="63"/>
        <v>0</v>
      </c>
      <c r="Q558" s="52">
        <f t="shared" si="62"/>
        <v>0</v>
      </c>
      <c r="R558" s="130"/>
      <c r="S558" s="52">
        <f t="shared" si="58"/>
        <v>0</v>
      </c>
      <c r="T558" s="131">
        <f t="shared" si="59"/>
        <v>0</v>
      </c>
      <c r="U558" s="132"/>
      <c r="V558" s="130"/>
      <c r="W558" s="130"/>
      <c r="X558" s="130"/>
      <c r="Y558" s="130"/>
      <c r="Z558" s="130"/>
      <c r="AA558" s="130"/>
      <c r="AB558" s="131"/>
    </row>
    <row r="559" ht="15.75" spans="1:28">
      <c r="A559" s="56">
        <f t="shared" si="57"/>
        <v>561</v>
      </c>
      <c r="B559" s="113">
        <v>46304</v>
      </c>
      <c r="C559" s="114">
        <v>46304</v>
      </c>
      <c r="D559" s="80"/>
      <c r="E559" s="127"/>
      <c r="F559" s="122"/>
      <c r="G559" s="129"/>
      <c r="H559" s="130"/>
      <c r="I559" s="130"/>
      <c r="J559" s="130"/>
      <c r="K559" s="130"/>
      <c r="L559" s="130"/>
      <c r="M559" s="123">
        <f t="shared" si="60"/>
        <v>0</v>
      </c>
      <c r="N559" s="124">
        <f t="shared" si="61"/>
        <v>0</v>
      </c>
      <c r="O559" s="130"/>
      <c r="P559" s="52">
        <f t="shared" si="63"/>
        <v>0</v>
      </c>
      <c r="Q559" s="52">
        <f t="shared" si="62"/>
        <v>0</v>
      </c>
      <c r="R559" s="130"/>
      <c r="S559" s="52">
        <f t="shared" si="58"/>
        <v>0</v>
      </c>
      <c r="T559" s="131">
        <f t="shared" si="59"/>
        <v>0</v>
      </c>
      <c r="U559" s="132"/>
      <c r="V559" s="130"/>
      <c r="W559" s="130"/>
      <c r="X559" s="130"/>
      <c r="Y559" s="130"/>
      <c r="Z559" s="130"/>
      <c r="AA559" s="130"/>
      <c r="AB559" s="131"/>
    </row>
    <row r="560" ht="15.75" spans="1:28">
      <c r="A560" s="56">
        <f t="shared" si="57"/>
        <v>562</v>
      </c>
      <c r="B560" s="113">
        <v>46305</v>
      </c>
      <c r="C560" s="114">
        <v>46305</v>
      </c>
      <c r="D560" s="80"/>
      <c r="E560" s="127"/>
      <c r="F560" s="122"/>
      <c r="G560" s="129"/>
      <c r="H560" s="130"/>
      <c r="I560" s="130"/>
      <c r="J560" s="130"/>
      <c r="K560" s="130"/>
      <c r="L560" s="130"/>
      <c r="M560" s="123">
        <f t="shared" si="60"/>
        <v>0</v>
      </c>
      <c r="N560" s="124">
        <f t="shared" si="61"/>
        <v>0</v>
      </c>
      <c r="O560" s="130"/>
      <c r="P560" s="52">
        <f t="shared" si="63"/>
        <v>0</v>
      </c>
      <c r="Q560" s="52">
        <f t="shared" si="62"/>
        <v>0</v>
      </c>
      <c r="R560" s="130"/>
      <c r="S560" s="52">
        <f t="shared" si="58"/>
        <v>0</v>
      </c>
      <c r="T560" s="131">
        <f t="shared" si="59"/>
        <v>0</v>
      </c>
      <c r="U560" s="132"/>
      <c r="V560" s="130"/>
      <c r="W560" s="130"/>
      <c r="X560" s="130"/>
      <c r="Y560" s="130"/>
      <c r="Z560" s="130"/>
      <c r="AA560" s="130"/>
      <c r="AB560" s="131"/>
    </row>
    <row r="561" ht="15.75" spans="1:28">
      <c r="A561" s="56">
        <f t="shared" si="57"/>
        <v>563</v>
      </c>
      <c r="B561" s="113">
        <v>46306</v>
      </c>
      <c r="C561" s="114">
        <v>46306</v>
      </c>
      <c r="D561" s="80"/>
      <c r="E561" s="127"/>
      <c r="F561" s="122"/>
      <c r="G561" s="129"/>
      <c r="H561" s="130"/>
      <c r="I561" s="130"/>
      <c r="J561" s="130"/>
      <c r="K561" s="130"/>
      <c r="L561" s="130"/>
      <c r="M561" s="123">
        <f t="shared" si="60"/>
        <v>0</v>
      </c>
      <c r="N561" s="124">
        <f t="shared" si="61"/>
        <v>0</v>
      </c>
      <c r="O561" s="130"/>
      <c r="P561" s="52">
        <f t="shared" si="63"/>
        <v>0</v>
      </c>
      <c r="Q561" s="52">
        <f t="shared" si="62"/>
        <v>0</v>
      </c>
      <c r="R561" s="130"/>
      <c r="S561" s="52">
        <f t="shared" si="58"/>
        <v>0</v>
      </c>
      <c r="T561" s="131">
        <f t="shared" si="59"/>
        <v>0</v>
      </c>
      <c r="U561" s="132"/>
      <c r="V561" s="130"/>
      <c r="W561" s="130"/>
      <c r="X561" s="130"/>
      <c r="Y561" s="130"/>
      <c r="Z561" s="130"/>
      <c r="AA561" s="130"/>
      <c r="AB561" s="131"/>
    </row>
    <row r="562" ht="15.75" spans="1:28">
      <c r="A562" s="56">
        <f t="shared" si="57"/>
        <v>564</v>
      </c>
      <c r="B562" s="113">
        <v>46307</v>
      </c>
      <c r="C562" s="114">
        <v>46307</v>
      </c>
      <c r="D562" s="80"/>
      <c r="E562" s="127"/>
      <c r="F562" s="122"/>
      <c r="G562" s="129"/>
      <c r="H562" s="130"/>
      <c r="I562" s="130"/>
      <c r="J562" s="130"/>
      <c r="K562" s="130"/>
      <c r="L562" s="130"/>
      <c r="M562" s="123">
        <f t="shared" si="60"/>
        <v>0</v>
      </c>
      <c r="N562" s="124">
        <f t="shared" si="61"/>
        <v>0</v>
      </c>
      <c r="O562" s="130"/>
      <c r="P562" s="52">
        <f t="shared" si="63"/>
        <v>0</v>
      </c>
      <c r="Q562" s="52">
        <f t="shared" si="62"/>
        <v>0</v>
      </c>
      <c r="R562" s="130"/>
      <c r="S562" s="52">
        <f t="shared" si="58"/>
        <v>0</v>
      </c>
      <c r="T562" s="131">
        <f t="shared" si="59"/>
        <v>0</v>
      </c>
      <c r="U562" s="132"/>
      <c r="V562" s="130"/>
      <c r="W562" s="130"/>
      <c r="X562" s="130"/>
      <c r="Y562" s="130"/>
      <c r="Z562" s="130"/>
      <c r="AA562" s="130"/>
      <c r="AB562" s="131"/>
    </row>
    <row r="563" ht="15.75" spans="1:28">
      <c r="A563" s="56">
        <f t="shared" si="57"/>
        <v>565</v>
      </c>
      <c r="B563" s="113">
        <v>46308</v>
      </c>
      <c r="C563" s="114">
        <v>46308</v>
      </c>
      <c r="D563" s="80"/>
      <c r="E563" s="127"/>
      <c r="F563" s="122"/>
      <c r="G563" s="129"/>
      <c r="H563" s="130"/>
      <c r="I563" s="130"/>
      <c r="J563" s="130"/>
      <c r="K563" s="130"/>
      <c r="L563" s="130"/>
      <c r="M563" s="123">
        <f t="shared" si="60"/>
        <v>0</v>
      </c>
      <c r="N563" s="124">
        <f t="shared" si="61"/>
        <v>0</v>
      </c>
      <c r="O563" s="130"/>
      <c r="P563" s="52">
        <f t="shared" si="63"/>
        <v>0</v>
      </c>
      <c r="Q563" s="52">
        <f t="shared" si="62"/>
        <v>0</v>
      </c>
      <c r="R563" s="130"/>
      <c r="S563" s="52">
        <f t="shared" si="58"/>
        <v>0</v>
      </c>
      <c r="T563" s="131">
        <f t="shared" si="59"/>
        <v>0</v>
      </c>
      <c r="U563" s="132"/>
      <c r="V563" s="130"/>
      <c r="W563" s="130"/>
      <c r="X563" s="130"/>
      <c r="Y563" s="130"/>
      <c r="Z563" s="130"/>
      <c r="AA563" s="130"/>
      <c r="AB563" s="131"/>
    </row>
    <row r="564" ht="15.75" spans="1:28">
      <c r="A564" s="56">
        <f t="shared" si="57"/>
        <v>566</v>
      </c>
      <c r="B564" s="113">
        <v>46309</v>
      </c>
      <c r="C564" s="114">
        <v>46309</v>
      </c>
      <c r="D564" s="80"/>
      <c r="E564" s="127"/>
      <c r="F564" s="122"/>
      <c r="G564" s="129"/>
      <c r="H564" s="130"/>
      <c r="I564" s="130"/>
      <c r="J564" s="130"/>
      <c r="K564" s="130"/>
      <c r="L564" s="130"/>
      <c r="M564" s="123">
        <f t="shared" si="60"/>
        <v>0</v>
      </c>
      <c r="N564" s="124">
        <f t="shared" si="61"/>
        <v>0</v>
      </c>
      <c r="O564" s="130"/>
      <c r="P564" s="52">
        <f t="shared" si="63"/>
        <v>0</v>
      </c>
      <c r="Q564" s="52">
        <f t="shared" si="62"/>
        <v>0</v>
      </c>
      <c r="R564" s="130"/>
      <c r="S564" s="52">
        <f t="shared" si="58"/>
        <v>0</v>
      </c>
      <c r="T564" s="131">
        <f t="shared" si="59"/>
        <v>0</v>
      </c>
      <c r="U564" s="132"/>
      <c r="V564" s="130"/>
      <c r="W564" s="130"/>
      <c r="X564" s="130"/>
      <c r="Y564" s="130"/>
      <c r="Z564" s="130"/>
      <c r="AA564" s="130"/>
      <c r="AB564" s="131"/>
    </row>
    <row r="565" ht="15.75" spans="1:28">
      <c r="A565" s="56">
        <f t="shared" si="57"/>
        <v>567</v>
      </c>
      <c r="B565" s="113">
        <v>46310</v>
      </c>
      <c r="C565" s="114">
        <v>46310</v>
      </c>
      <c r="D565" s="80"/>
      <c r="E565" s="127"/>
      <c r="F565" s="122"/>
      <c r="G565" s="129"/>
      <c r="H565" s="130"/>
      <c r="I565" s="130"/>
      <c r="J565" s="130"/>
      <c r="K565" s="130"/>
      <c r="L565" s="130"/>
      <c r="M565" s="123">
        <f t="shared" si="60"/>
        <v>0</v>
      </c>
      <c r="N565" s="124">
        <f t="shared" si="61"/>
        <v>0</v>
      </c>
      <c r="O565" s="130"/>
      <c r="P565" s="52">
        <f t="shared" si="63"/>
        <v>0</v>
      </c>
      <c r="Q565" s="52">
        <f t="shared" si="62"/>
        <v>0</v>
      </c>
      <c r="R565" s="130"/>
      <c r="S565" s="52">
        <f t="shared" si="58"/>
        <v>0</v>
      </c>
      <c r="T565" s="131">
        <f t="shared" si="59"/>
        <v>0</v>
      </c>
      <c r="U565" s="132"/>
      <c r="V565" s="130"/>
      <c r="W565" s="130"/>
      <c r="X565" s="130"/>
      <c r="Y565" s="130"/>
      <c r="Z565" s="130"/>
      <c r="AA565" s="130"/>
      <c r="AB565" s="131"/>
    </row>
    <row r="566" ht="15.75" spans="1:28">
      <c r="A566" s="56">
        <f t="shared" si="57"/>
        <v>568</v>
      </c>
      <c r="B566" s="113">
        <v>46311</v>
      </c>
      <c r="C566" s="114">
        <v>46311</v>
      </c>
      <c r="D566" s="80"/>
      <c r="E566" s="127"/>
      <c r="F566" s="122"/>
      <c r="G566" s="129"/>
      <c r="H566" s="130"/>
      <c r="I566" s="130"/>
      <c r="J566" s="130"/>
      <c r="K566" s="130"/>
      <c r="L566" s="130"/>
      <c r="M566" s="123">
        <f t="shared" si="60"/>
        <v>0</v>
      </c>
      <c r="N566" s="124">
        <f t="shared" si="61"/>
        <v>0</v>
      </c>
      <c r="O566" s="130"/>
      <c r="P566" s="52">
        <f t="shared" si="63"/>
        <v>0</v>
      </c>
      <c r="Q566" s="52">
        <f t="shared" si="62"/>
        <v>0</v>
      </c>
      <c r="R566" s="130"/>
      <c r="S566" s="52">
        <f t="shared" si="58"/>
        <v>0</v>
      </c>
      <c r="T566" s="131">
        <f t="shared" si="59"/>
        <v>0</v>
      </c>
      <c r="U566" s="132"/>
      <c r="V566" s="130"/>
      <c r="W566" s="130"/>
      <c r="X566" s="130"/>
      <c r="Y566" s="130"/>
      <c r="Z566" s="130"/>
      <c r="AA566" s="130"/>
      <c r="AB566" s="131"/>
    </row>
    <row r="567" ht="15.75" spans="1:28">
      <c r="A567" s="56">
        <f t="shared" si="57"/>
        <v>569</v>
      </c>
      <c r="B567" s="113">
        <v>46312</v>
      </c>
      <c r="C567" s="114">
        <v>46312</v>
      </c>
      <c r="D567" s="80"/>
      <c r="E567" s="127"/>
      <c r="F567" s="122"/>
      <c r="G567" s="129"/>
      <c r="H567" s="130"/>
      <c r="I567" s="130"/>
      <c r="J567" s="130"/>
      <c r="K567" s="130"/>
      <c r="L567" s="130"/>
      <c r="M567" s="123">
        <f t="shared" si="60"/>
        <v>0</v>
      </c>
      <c r="N567" s="124">
        <f t="shared" si="61"/>
        <v>0</v>
      </c>
      <c r="O567" s="130"/>
      <c r="P567" s="52">
        <f t="shared" si="63"/>
        <v>0</v>
      </c>
      <c r="Q567" s="52">
        <f t="shared" si="62"/>
        <v>0</v>
      </c>
      <c r="R567" s="130"/>
      <c r="S567" s="52">
        <f t="shared" si="58"/>
        <v>0</v>
      </c>
      <c r="T567" s="131">
        <f t="shared" si="59"/>
        <v>0</v>
      </c>
      <c r="U567" s="132"/>
      <c r="V567" s="130"/>
      <c r="W567" s="130"/>
      <c r="X567" s="130"/>
      <c r="Y567" s="130"/>
      <c r="Z567" s="130"/>
      <c r="AA567" s="130"/>
      <c r="AB567" s="131"/>
    </row>
    <row r="568" ht="15.75" spans="1:28">
      <c r="A568" s="56">
        <f t="shared" si="57"/>
        <v>570</v>
      </c>
      <c r="B568" s="113">
        <v>46313</v>
      </c>
      <c r="C568" s="114">
        <v>46313</v>
      </c>
      <c r="D568" s="80"/>
      <c r="E568" s="127"/>
      <c r="F568" s="122"/>
      <c r="G568" s="129"/>
      <c r="H568" s="130"/>
      <c r="I568" s="130"/>
      <c r="J568" s="130"/>
      <c r="K568" s="130"/>
      <c r="L568" s="130"/>
      <c r="M568" s="123">
        <f t="shared" si="60"/>
        <v>0</v>
      </c>
      <c r="N568" s="124">
        <f t="shared" si="61"/>
        <v>0</v>
      </c>
      <c r="O568" s="130"/>
      <c r="P568" s="52">
        <f t="shared" si="63"/>
        <v>0</v>
      </c>
      <c r="Q568" s="52">
        <f t="shared" si="62"/>
        <v>0</v>
      </c>
      <c r="R568" s="130"/>
      <c r="S568" s="52">
        <f t="shared" si="58"/>
        <v>0</v>
      </c>
      <c r="T568" s="131">
        <f t="shared" si="59"/>
        <v>0</v>
      </c>
      <c r="U568" s="132"/>
      <c r="V568" s="130"/>
      <c r="W568" s="130"/>
      <c r="X568" s="130"/>
      <c r="Y568" s="130"/>
      <c r="Z568" s="130"/>
      <c r="AA568" s="130"/>
      <c r="AB568" s="131"/>
    </row>
    <row r="569" ht="15.75" spans="1:28">
      <c r="A569" s="56">
        <f t="shared" si="57"/>
        <v>571</v>
      </c>
      <c r="B569" s="113">
        <v>46314</v>
      </c>
      <c r="C569" s="114">
        <v>46314</v>
      </c>
      <c r="D569" s="80"/>
      <c r="E569" s="127"/>
      <c r="F569" s="122"/>
      <c r="G569" s="129"/>
      <c r="H569" s="130"/>
      <c r="I569" s="130"/>
      <c r="J569" s="130"/>
      <c r="K569" s="130"/>
      <c r="L569" s="130"/>
      <c r="M569" s="123">
        <f t="shared" si="60"/>
        <v>0</v>
      </c>
      <c r="N569" s="124">
        <f t="shared" si="61"/>
        <v>0</v>
      </c>
      <c r="O569" s="130"/>
      <c r="P569" s="52">
        <f t="shared" si="63"/>
        <v>0</v>
      </c>
      <c r="Q569" s="52">
        <f t="shared" si="62"/>
        <v>0</v>
      </c>
      <c r="R569" s="130"/>
      <c r="S569" s="52">
        <f t="shared" si="58"/>
        <v>0</v>
      </c>
      <c r="T569" s="131">
        <f t="shared" si="59"/>
        <v>0</v>
      </c>
      <c r="U569" s="132"/>
      <c r="V569" s="130"/>
      <c r="W569" s="130"/>
      <c r="X569" s="130"/>
      <c r="Y569" s="130"/>
      <c r="Z569" s="130"/>
      <c r="AA569" s="130"/>
      <c r="AB569" s="131"/>
    </row>
    <row r="570" ht="15.75" spans="1:28">
      <c r="A570" s="56">
        <f t="shared" si="57"/>
        <v>572</v>
      </c>
      <c r="B570" s="113">
        <v>46315</v>
      </c>
      <c r="C570" s="114">
        <v>46315</v>
      </c>
      <c r="D570" s="80"/>
      <c r="E570" s="127"/>
      <c r="F570" s="122"/>
      <c r="G570" s="129"/>
      <c r="H570" s="130"/>
      <c r="I570" s="130"/>
      <c r="J570" s="130"/>
      <c r="K570" s="130"/>
      <c r="L570" s="130"/>
      <c r="M570" s="123">
        <f t="shared" si="60"/>
        <v>0</v>
      </c>
      <c r="N570" s="124">
        <f t="shared" si="61"/>
        <v>0</v>
      </c>
      <c r="O570" s="130"/>
      <c r="P570" s="52">
        <f t="shared" si="63"/>
        <v>0</v>
      </c>
      <c r="Q570" s="52">
        <f t="shared" si="62"/>
        <v>0</v>
      </c>
      <c r="R570" s="130"/>
      <c r="S570" s="52">
        <f t="shared" si="58"/>
        <v>0</v>
      </c>
      <c r="T570" s="131">
        <f t="shared" si="59"/>
        <v>0</v>
      </c>
      <c r="U570" s="132"/>
      <c r="V570" s="130"/>
      <c r="W570" s="130"/>
      <c r="X570" s="130"/>
      <c r="Y570" s="130"/>
      <c r="Z570" s="130"/>
      <c r="AA570" s="130"/>
      <c r="AB570" s="131"/>
    </row>
    <row r="571" ht="15.75" spans="1:28">
      <c r="A571" s="56">
        <f t="shared" si="57"/>
        <v>573</v>
      </c>
      <c r="B571" s="113">
        <v>46316</v>
      </c>
      <c r="C571" s="114">
        <v>46316</v>
      </c>
      <c r="D571" s="80"/>
      <c r="E571" s="127"/>
      <c r="F571" s="122"/>
      <c r="G571" s="129"/>
      <c r="H571" s="130"/>
      <c r="I571" s="130"/>
      <c r="J571" s="130"/>
      <c r="K571" s="130"/>
      <c r="L571" s="130"/>
      <c r="M571" s="123">
        <f t="shared" si="60"/>
        <v>0</v>
      </c>
      <c r="N571" s="124">
        <f t="shared" si="61"/>
        <v>0</v>
      </c>
      <c r="O571" s="130"/>
      <c r="P571" s="52">
        <f t="shared" si="63"/>
        <v>0</v>
      </c>
      <c r="Q571" s="52">
        <f t="shared" si="62"/>
        <v>0</v>
      </c>
      <c r="R571" s="130"/>
      <c r="S571" s="52">
        <f t="shared" si="58"/>
        <v>0</v>
      </c>
      <c r="T571" s="131">
        <f t="shared" si="59"/>
        <v>0</v>
      </c>
      <c r="U571" s="132"/>
      <c r="V571" s="130"/>
      <c r="W571" s="130"/>
      <c r="X571" s="130"/>
      <c r="Y571" s="130"/>
      <c r="Z571" s="130"/>
      <c r="AA571" s="130"/>
      <c r="AB571" s="131"/>
    </row>
    <row r="572" ht="15.75" spans="1:28">
      <c r="A572" s="56">
        <f t="shared" si="57"/>
        <v>574</v>
      </c>
      <c r="B572" s="113">
        <v>46317</v>
      </c>
      <c r="C572" s="114">
        <v>46317</v>
      </c>
      <c r="D572" s="80"/>
      <c r="E572" s="127"/>
      <c r="F572" s="122"/>
      <c r="G572" s="129"/>
      <c r="H572" s="130"/>
      <c r="I572" s="130"/>
      <c r="J572" s="130"/>
      <c r="K572" s="130"/>
      <c r="L572" s="130"/>
      <c r="M572" s="123">
        <f t="shared" si="60"/>
        <v>0</v>
      </c>
      <c r="N572" s="124">
        <f t="shared" si="61"/>
        <v>0</v>
      </c>
      <c r="O572" s="130"/>
      <c r="P572" s="52">
        <f t="shared" si="63"/>
        <v>0</v>
      </c>
      <c r="Q572" s="52">
        <f t="shared" si="62"/>
        <v>0</v>
      </c>
      <c r="R572" s="130"/>
      <c r="S572" s="52">
        <f t="shared" si="58"/>
        <v>0</v>
      </c>
      <c r="T572" s="131">
        <f t="shared" si="59"/>
        <v>0</v>
      </c>
      <c r="U572" s="132"/>
      <c r="V572" s="130"/>
      <c r="W572" s="130"/>
      <c r="X572" s="130"/>
      <c r="Y572" s="130"/>
      <c r="Z572" s="130"/>
      <c r="AA572" s="130"/>
      <c r="AB572" s="131"/>
    </row>
    <row r="573" ht="15.75" spans="1:28">
      <c r="A573" s="56">
        <f t="shared" si="57"/>
        <v>575</v>
      </c>
      <c r="B573" s="113">
        <v>46318</v>
      </c>
      <c r="C573" s="114">
        <v>46318</v>
      </c>
      <c r="D573" s="80"/>
      <c r="E573" s="127"/>
      <c r="F573" s="122"/>
      <c r="G573" s="129"/>
      <c r="H573" s="130"/>
      <c r="I573" s="130"/>
      <c r="J573" s="130"/>
      <c r="K573" s="130"/>
      <c r="L573" s="130"/>
      <c r="M573" s="123">
        <f t="shared" si="60"/>
        <v>0</v>
      </c>
      <c r="N573" s="124">
        <f t="shared" si="61"/>
        <v>0</v>
      </c>
      <c r="O573" s="130"/>
      <c r="P573" s="52">
        <f t="shared" si="63"/>
        <v>0</v>
      </c>
      <c r="Q573" s="52">
        <f t="shared" si="62"/>
        <v>0</v>
      </c>
      <c r="R573" s="130"/>
      <c r="S573" s="52">
        <f t="shared" si="58"/>
        <v>0</v>
      </c>
      <c r="T573" s="131">
        <f t="shared" si="59"/>
        <v>0</v>
      </c>
      <c r="U573" s="132"/>
      <c r="V573" s="130"/>
      <c r="W573" s="130"/>
      <c r="X573" s="130"/>
      <c r="Y573" s="130"/>
      <c r="Z573" s="130"/>
      <c r="AA573" s="130"/>
      <c r="AB573" s="131"/>
    </row>
    <row r="574" ht="15.75" spans="1:28">
      <c r="A574" s="56">
        <f t="shared" si="57"/>
        <v>576</v>
      </c>
      <c r="B574" s="113">
        <v>46319</v>
      </c>
      <c r="C574" s="114">
        <v>46319</v>
      </c>
      <c r="D574" s="80"/>
      <c r="E574" s="127"/>
      <c r="F574" s="122"/>
      <c r="G574" s="129"/>
      <c r="H574" s="130"/>
      <c r="I574" s="130"/>
      <c r="J574" s="130"/>
      <c r="K574" s="130"/>
      <c r="L574" s="130"/>
      <c r="M574" s="123">
        <f t="shared" si="60"/>
        <v>0</v>
      </c>
      <c r="N574" s="124">
        <f t="shared" si="61"/>
        <v>0</v>
      </c>
      <c r="O574" s="130"/>
      <c r="P574" s="52">
        <f t="shared" si="63"/>
        <v>0</v>
      </c>
      <c r="Q574" s="52">
        <f t="shared" si="62"/>
        <v>0</v>
      </c>
      <c r="R574" s="130"/>
      <c r="S574" s="52">
        <f t="shared" si="58"/>
        <v>0</v>
      </c>
      <c r="T574" s="131">
        <f t="shared" si="59"/>
        <v>0</v>
      </c>
      <c r="U574" s="132"/>
      <c r="V574" s="130"/>
      <c r="W574" s="130"/>
      <c r="X574" s="130"/>
      <c r="Y574" s="130"/>
      <c r="Z574" s="130"/>
      <c r="AA574" s="130"/>
      <c r="AB574" s="131"/>
    </row>
    <row r="575" ht="15.75" spans="1:28">
      <c r="A575" s="56">
        <f t="shared" si="57"/>
        <v>577</v>
      </c>
      <c r="B575" s="113">
        <v>46320</v>
      </c>
      <c r="C575" s="114">
        <v>46320</v>
      </c>
      <c r="D575" s="80"/>
      <c r="E575" s="127"/>
      <c r="F575" s="122"/>
      <c r="G575" s="129"/>
      <c r="H575" s="130"/>
      <c r="I575" s="130"/>
      <c r="J575" s="130"/>
      <c r="K575" s="130"/>
      <c r="L575" s="130"/>
      <c r="M575" s="123">
        <f t="shared" si="60"/>
        <v>0</v>
      </c>
      <c r="N575" s="124">
        <f t="shared" si="61"/>
        <v>0</v>
      </c>
      <c r="O575" s="130"/>
      <c r="P575" s="52">
        <f t="shared" si="63"/>
        <v>0</v>
      </c>
      <c r="Q575" s="52">
        <f t="shared" si="62"/>
        <v>0</v>
      </c>
      <c r="R575" s="130"/>
      <c r="S575" s="52">
        <f t="shared" si="58"/>
        <v>0</v>
      </c>
      <c r="T575" s="131">
        <f t="shared" si="59"/>
        <v>0</v>
      </c>
      <c r="U575" s="132"/>
      <c r="V575" s="130"/>
      <c r="W575" s="130"/>
      <c r="X575" s="130"/>
      <c r="Y575" s="130"/>
      <c r="Z575" s="130"/>
      <c r="AA575" s="130"/>
      <c r="AB575" s="131"/>
    </row>
    <row r="576" ht="15.75" spans="1:28">
      <c r="A576" s="56">
        <f t="shared" si="57"/>
        <v>578</v>
      </c>
      <c r="B576" s="113">
        <v>46321</v>
      </c>
      <c r="C576" s="114">
        <v>46321</v>
      </c>
      <c r="D576" s="80"/>
      <c r="E576" s="127"/>
      <c r="F576" s="122"/>
      <c r="G576" s="129"/>
      <c r="H576" s="130"/>
      <c r="I576" s="130"/>
      <c r="J576" s="130"/>
      <c r="K576" s="130"/>
      <c r="L576" s="130"/>
      <c r="M576" s="123">
        <f t="shared" si="60"/>
        <v>0</v>
      </c>
      <c r="N576" s="124">
        <f t="shared" si="61"/>
        <v>0</v>
      </c>
      <c r="O576" s="130"/>
      <c r="P576" s="52">
        <f t="shared" si="63"/>
        <v>0</v>
      </c>
      <c r="Q576" s="52">
        <f t="shared" si="62"/>
        <v>0</v>
      </c>
      <c r="R576" s="130"/>
      <c r="S576" s="52">
        <f t="shared" si="58"/>
        <v>0</v>
      </c>
      <c r="T576" s="131">
        <f t="shared" si="59"/>
        <v>0</v>
      </c>
      <c r="U576" s="132"/>
      <c r="V576" s="130"/>
      <c r="W576" s="130"/>
      <c r="X576" s="130"/>
      <c r="Y576" s="130"/>
      <c r="Z576" s="130"/>
      <c r="AA576" s="130"/>
      <c r="AB576" s="131"/>
    </row>
    <row r="577" ht="15.75" spans="1:28">
      <c r="A577" s="56">
        <f t="shared" si="57"/>
        <v>579</v>
      </c>
      <c r="B577" s="113">
        <v>46322</v>
      </c>
      <c r="C577" s="114">
        <v>46322</v>
      </c>
      <c r="D577" s="80"/>
      <c r="E577" s="127"/>
      <c r="F577" s="122"/>
      <c r="G577" s="129"/>
      <c r="H577" s="130"/>
      <c r="I577" s="130"/>
      <c r="J577" s="130"/>
      <c r="K577" s="130"/>
      <c r="L577" s="130"/>
      <c r="M577" s="123">
        <f t="shared" si="60"/>
        <v>0</v>
      </c>
      <c r="N577" s="124">
        <f t="shared" si="61"/>
        <v>0</v>
      </c>
      <c r="O577" s="130"/>
      <c r="P577" s="52">
        <f t="shared" si="63"/>
        <v>0</v>
      </c>
      <c r="Q577" s="52">
        <f t="shared" si="62"/>
        <v>0</v>
      </c>
      <c r="R577" s="130"/>
      <c r="S577" s="52">
        <f t="shared" si="58"/>
        <v>0</v>
      </c>
      <c r="T577" s="131">
        <f t="shared" si="59"/>
        <v>0</v>
      </c>
      <c r="U577" s="132"/>
      <c r="V577" s="130"/>
      <c r="W577" s="130"/>
      <c r="X577" s="130"/>
      <c r="Y577" s="130"/>
      <c r="Z577" s="130"/>
      <c r="AA577" s="130"/>
      <c r="AB577" s="131"/>
    </row>
    <row r="578" ht="15.75" spans="1:28">
      <c r="A578" s="56">
        <f t="shared" si="57"/>
        <v>580</v>
      </c>
      <c r="B578" s="113">
        <v>46323</v>
      </c>
      <c r="C578" s="114">
        <v>46323</v>
      </c>
      <c r="D578" s="80"/>
      <c r="E578" s="127"/>
      <c r="F578" s="122"/>
      <c r="G578" s="129"/>
      <c r="H578" s="130"/>
      <c r="I578" s="130"/>
      <c r="J578" s="130"/>
      <c r="K578" s="130"/>
      <c r="L578" s="130"/>
      <c r="M578" s="123">
        <f t="shared" si="60"/>
        <v>0</v>
      </c>
      <c r="N578" s="124">
        <f t="shared" si="61"/>
        <v>0</v>
      </c>
      <c r="O578" s="130"/>
      <c r="P578" s="52">
        <f t="shared" si="63"/>
        <v>0</v>
      </c>
      <c r="Q578" s="52">
        <f t="shared" si="62"/>
        <v>0</v>
      </c>
      <c r="R578" s="130"/>
      <c r="S578" s="52">
        <f t="shared" si="58"/>
        <v>0</v>
      </c>
      <c r="T578" s="131">
        <f t="shared" si="59"/>
        <v>0</v>
      </c>
      <c r="U578" s="132"/>
      <c r="V578" s="130"/>
      <c r="W578" s="130"/>
      <c r="X578" s="130"/>
      <c r="Y578" s="130"/>
      <c r="Z578" s="130"/>
      <c r="AA578" s="130"/>
      <c r="AB578" s="131"/>
    </row>
    <row r="579" ht="15.75" spans="1:28">
      <c r="A579" s="56">
        <f t="shared" ref="A579:A615" si="64">A578+1</f>
        <v>581</v>
      </c>
      <c r="B579" s="113">
        <v>46324</v>
      </c>
      <c r="C579" s="114">
        <v>46324</v>
      </c>
      <c r="D579" s="80"/>
      <c r="E579" s="127"/>
      <c r="F579" s="122"/>
      <c r="G579" s="129"/>
      <c r="H579" s="130"/>
      <c r="I579" s="130"/>
      <c r="J579" s="130"/>
      <c r="K579" s="130"/>
      <c r="L579" s="130"/>
      <c r="M579" s="123">
        <f t="shared" si="60"/>
        <v>0</v>
      </c>
      <c r="N579" s="124">
        <f t="shared" si="61"/>
        <v>0</v>
      </c>
      <c r="O579" s="130"/>
      <c r="P579" s="52">
        <f t="shared" si="63"/>
        <v>0</v>
      </c>
      <c r="Q579" s="52">
        <f t="shared" si="62"/>
        <v>0</v>
      </c>
      <c r="R579" s="130"/>
      <c r="S579" s="52">
        <f t="shared" ref="S579:S615" si="65">MAX((R579-Q579)*3000,0)</f>
        <v>0</v>
      </c>
      <c r="T579" s="131">
        <f t="shared" ref="T579:T615" si="66">P579-S579</f>
        <v>0</v>
      </c>
      <c r="U579" s="132"/>
      <c r="V579" s="130"/>
      <c r="W579" s="130"/>
      <c r="X579" s="130"/>
      <c r="Y579" s="130"/>
      <c r="Z579" s="130"/>
      <c r="AA579" s="130"/>
      <c r="AB579" s="131"/>
    </row>
    <row r="580" ht="15.75" spans="1:28">
      <c r="A580" s="56">
        <f t="shared" si="64"/>
        <v>582</v>
      </c>
      <c r="B580" s="113">
        <v>46325</v>
      </c>
      <c r="C580" s="114">
        <v>46325</v>
      </c>
      <c r="D580" s="80"/>
      <c r="E580" s="127"/>
      <c r="F580" s="122"/>
      <c r="G580" s="129"/>
      <c r="H580" s="130"/>
      <c r="I580" s="130"/>
      <c r="J580" s="130"/>
      <c r="K580" s="130"/>
      <c r="L580" s="130"/>
      <c r="M580" s="123">
        <f t="shared" ref="M580:M615" si="67">SUM(F580:L580)</f>
        <v>0</v>
      </c>
      <c r="N580" s="124">
        <f t="shared" si="61"/>
        <v>0</v>
      </c>
      <c r="O580" s="130"/>
      <c r="P580" s="52">
        <f t="shared" si="63"/>
        <v>0</v>
      </c>
      <c r="Q580" s="52">
        <f t="shared" si="62"/>
        <v>0</v>
      </c>
      <c r="R580" s="130"/>
      <c r="S580" s="52">
        <f t="shared" si="65"/>
        <v>0</v>
      </c>
      <c r="T580" s="131">
        <f t="shared" si="66"/>
        <v>0</v>
      </c>
      <c r="U580" s="132"/>
      <c r="V580" s="130"/>
      <c r="W580" s="130"/>
      <c r="X580" s="130"/>
      <c r="Y580" s="130"/>
      <c r="Z580" s="130"/>
      <c r="AA580" s="130"/>
      <c r="AB580" s="131"/>
    </row>
    <row r="581" ht="15.75" spans="1:28">
      <c r="A581" s="56">
        <f t="shared" si="64"/>
        <v>583</v>
      </c>
      <c r="B581" s="113">
        <v>46326</v>
      </c>
      <c r="C581" s="114">
        <v>46326</v>
      </c>
      <c r="D581" s="80"/>
      <c r="E581" s="127"/>
      <c r="F581" s="122"/>
      <c r="G581" s="129"/>
      <c r="H581" s="130"/>
      <c r="I581" s="130"/>
      <c r="J581" s="130"/>
      <c r="K581" s="130"/>
      <c r="L581" s="130"/>
      <c r="M581" s="123">
        <f t="shared" si="67"/>
        <v>0</v>
      </c>
      <c r="N581" s="124">
        <f t="shared" si="61"/>
        <v>0</v>
      </c>
      <c r="O581" s="130"/>
      <c r="P581" s="52">
        <f t="shared" si="63"/>
        <v>0</v>
      </c>
      <c r="Q581" s="52">
        <f t="shared" si="62"/>
        <v>0</v>
      </c>
      <c r="R581" s="130"/>
      <c r="S581" s="52">
        <f t="shared" si="65"/>
        <v>0</v>
      </c>
      <c r="T581" s="131">
        <f t="shared" si="66"/>
        <v>0</v>
      </c>
      <c r="U581" s="132"/>
      <c r="V581" s="130"/>
      <c r="W581" s="130"/>
      <c r="X581" s="130"/>
      <c r="Y581" s="130"/>
      <c r="Z581" s="130"/>
      <c r="AA581" s="130"/>
      <c r="AB581" s="131"/>
    </row>
    <row r="582" ht="15.75" spans="1:28">
      <c r="A582" s="56">
        <f t="shared" si="64"/>
        <v>584</v>
      </c>
      <c r="B582" s="113">
        <v>46327</v>
      </c>
      <c r="C582" s="114">
        <v>46327</v>
      </c>
      <c r="D582" s="80"/>
      <c r="E582" s="127"/>
      <c r="F582" s="122"/>
      <c r="G582" s="129"/>
      <c r="H582" s="130"/>
      <c r="I582" s="130"/>
      <c r="J582" s="130"/>
      <c r="K582" s="130"/>
      <c r="L582" s="130"/>
      <c r="M582" s="123">
        <f t="shared" si="67"/>
        <v>0</v>
      </c>
      <c r="N582" s="124">
        <f t="shared" si="61"/>
        <v>0</v>
      </c>
      <c r="O582" s="130"/>
      <c r="P582" s="52">
        <f t="shared" si="63"/>
        <v>0</v>
      </c>
      <c r="Q582" s="52">
        <f t="shared" si="62"/>
        <v>0</v>
      </c>
      <c r="R582" s="130"/>
      <c r="S582" s="52">
        <f t="shared" si="65"/>
        <v>0</v>
      </c>
      <c r="T582" s="131">
        <f t="shared" si="66"/>
        <v>0</v>
      </c>
      <c r="U582" s="132"/>
      <c r="V582" s="130"/>
      <c r="W582" s="130"/>
      <c r="X582" s="130"/>
      <c r="Y582" s="130"/>
      <c r="Z582" s="130"/>
      <c r="AA582" s="130"/>
      <c r="AB582" s="131"/>
    </row>
    <row r="583" ht="15.75" spans="1:28">
      <c r="A583" s="56">
        <f t="shared" si="64"/>
        <v>585</v>
      </c>
      <c r="B583" s="113">
        <v>46328</v>
      </c>
      <c r="C583" s="114">
        <v>46328</v>
      </c>
      <c r="D583" s="80"/>
      <c r="E583" s="127"/>
      <c r="F583" s="122"/>
      <c r="G583" s="129"/>
      <c r="H583" s="130"/>
      <c r="I583" s="130"/>
      <c r="J583" s="130"/>
      <c r="K583" s="130"/>
      <c r="L583" s="130"/>
      <c r="M583" s="123">
        <f t="shared" si="67"/>
        <v>0</v>
      </c>
      <c r="N583" s="124">
        <f t="shared" si="61"/>
        <v>0</v>
      </c>
      <c r="O583" s="130"/>
      <c r="P583" s="52">
        <f t="shared" si="63"/>
        <v>0</v>
      </c>
      <c r="Q583" s="52">
        <f t="shared" si="62"/>
        <v>0</v>
      </c>
      <c r="R583" s="130"/>
      <c r="S583" s="52">
        <f t="shared" si="65"/>
        <v>0</v>
      </c>
      <c r="T583" s="131">
        <f t="shared" si="66"/>
        <v>0</v>
      </c>
      <c r="U583" s="132"/>
      <c r="V583" s="130"/>
      <c r="W583" s="130"/>
      <c r="X583" s="130"/>
      <c r="Y583" s="130"/>
      <c r="Z583" s="130"/>
      <c r="AA583" s="130"/>
      <c r="AB583" s="131"/>
    </row>
    <row r="584" ht="15.75" spans="1:28">
      <c r="A584" s="56">
        <f t="shared" si="64"/>
        <v>586</v>
      </c>
      <c r="B584" s="113">
        <v>46329</v>
      </c>
      <c r="C584" s="114">
        <v>46329</v>
      </c>
      <c r="D584" s="80"/>
      <c r="E584" s="127"/>
      <c r="F584" s="122"/>
      <c r="G584" s="129"/>
      <c r="H584" s="130"/>
      <c r="I584" s="130"/>
      <c r="J584" s="130"/>
      <c r="K584" s="130"/>
      <c r="L584" s="130"/>
      <c r="M584" s="123">
        <f t="shared" si="67"/>
        <v>0</v>
      </c>
      <c r="N584" s="124">
        <f t="shared" si="61"/>
        <v>0</v>
      </c>
      <c r="O584" s="130"/>
      <c r="P584" s="52">
        <f t="shared" si="63"/>
        <v>0</v>
      </c>
      <c r="Q584" s="52">
        <f t="shared" si="62"/>
        <v>0</v>
      </c>
      <c r="R584" s="130"/>
      <c r="S584" s="52">
        <f t="shared" si="65"/>
        <v>0</v>
      </c>
      <c r="T584" s="131">
        <f t="shared" si="66"/>
        <v>0</v>
      </c>
      <c r="U584" s="132"/>
      <c r="V584" s="130"/>
      <c r="W584" s="130"/>
      <c r="X584" s="130"/>
      <c r="Y584" s="130"/>
      <c r="Z584" s="130"/>
      <c r="AA584" s="130"/>
      <c r="AB584" s="131"/>
    </row>
    <row r="585" ht="15.75" spans="1:28">
      <c r="A585" s="56">
        <f t="shared" si="64"/>
        <v>587</v>
      </c>
      <c r="B585" s="113">
        <v>46330</v>
      </c>
      <c r="C585" s="114">
        <v>46330</v>
      </c>
      <c r="D585" s="80"/>
      <c r="E585" s="127"/>
      <c r="F585" s="122"/>
      <c r="G585" s="129"/>
      <c r="H585" s="130"/>
      <c r="I585" s="130"/>
      <c r="J585" s="130"/>
      <c r="K585" s="130"/>
      <c r="L585" s="130"/>
      <c r="M585" s="123">
        <f t="shared" si="67"/>
        <v>0</v>
      </c>
      <c r="N585" s="124">
        <f t="shared" si="61"/>
        <v>0</v>
      </c>
      <c r="O585" s="130"/>
      <c r="P585" s="52">
        <f t="shared" si="63"/>
        <v>0</v>
      </c>
      <c r="Q585" s="52">
        <f t="shared" si="62"/>
        <v>0</v>
      </c>
      <c r="R585" s="130"/>
      <c r="S585" s="52">
        <f t="shared" si="65"/>
        <v>0</v>
      </c>
      <c r="T585" s="131">
        <f t="shared" si="66"/>
        <v>0</v>
      </c>
      <c r="U585" s="132"/>
      <c r="V585" s="130"/>
      <c r="W585" s="130"/>
      <c r="X585" s="130"/>
      <c r="Y585" s="130"/>
      <c r="Z585" s="130"/>
      <c r="AA585" s="130"/>
      <c r="AB585" s="131"/>
    </row>
    <row r="586" ht="15.75" spans="1:28">
      <c r="A586" s="56">
        <f t="shared" si="64"/>
        <v>588</v>
      </c>
      <c r="B586" s="113">
        <v>46331</v>
      </c>
      <c r="C586" s="114">
        <v>46331</v>
      </c>
      <c r="D586" s="80"/>
      <c r="E586" s="127"/>
      <c r="F586" s="122"/>
      <c r="G586" s="129"/>
      <c r="H586" s="130"/>
      <c r="I586" s="130"/>
      <c r="J586" s="130"/>
      <c r="K586" s="130"/>
      <c r="L586" s="130"/>
      <c r="M586" s="123">
        <f t="shared" si="67"/>
        <v>0</v>
      </c>
      <c r="N586" s="124">
        <f t="shared" si="61"/>
        <v>0</v>
      </c>
      <c r="O586" s="130"/>
      <c r="P586" s="52">
        <f t="shared" si="63"/>
        <v>0</v>
      </c>
      <c r="Q586" s="52">
        <f t="shared" si="62"/>
        <v>0</v>
      </c>
      <c r="R586" s="130"/>
      <c r="S586" s="52">
        <f t="shared" si="65"/>
        <v>0</v>
      </c>
      <c r="T586" s="131">
        <f t="shared" si="66"/>
        <v>0</v>
      </c>
      <c r="U586" s="132"/>
      <c r="V586" s="130"/>
      <c r="W586" s="130"/>
      <c r="X586" s="130"/>
      <c r="Y586" s="130"/>
      <c r="Z586" s="130"/>
      <c r="AA586" s="130"/>
      <c r="AB586" s="131"/>
    </row>
    <row r="587" ht="15.75" spans="1:28">
      <c r="A587" s="56">
        <f t="shared" si="64"/>
        <v>589</v>
      </c>
      <c r="B587" s="113">
        <v>46332</v>
      </c>
      <c r="C587" s="114">
        <v>46332</v>
      </c>
      <c r="D587" s="80"/>
      <c r="E587" s="127"/>
      <c r="F587" s="122"/>
      <c r="G587" s="129"/>
      <c r="H587" s="130"/>
      <c r="I587" s="130"/>
      <c r="J587" s="130"/>
      <c r="K587" s="130"/>
      <c r="L587" s="130"/>
      <c r="M587" s="123">
        <f t="shared" si="67"/>
        <v>0</v>
      </c>
      <c r="N587" s="124">
        <f t="shared" si="61"/>
        <v>0</v>
      </c>
      <c r="O587" s="130"/>
      <c r="P587" s="52">
        <f t="shared" si="63"/>
        <v>0</v>
      </c>
      <c r="Q587" s="52">
        <f t="shared" si="62"/>
        <v>0</v>
      </c>
      <c r="R587" s="130"/>
      <c r="S587" s="52">
        <f t="shared" si="65"/>
        <v>0</v>
      </c>
      <c r="T587" s="131">
        <f t="shared" si="66"/>
        <v>0</v>
      </c>
      <c r="U587" s="132"/>
      <c r="V587" s="130"/>
      <c r="W587" s="130"/>
      <c r="X587" s="130"/>
      <c r="Y587" s="130"/>
      <c r="Z587" s="130"/>
      <c r="AA587" s="130"/>
      <c r="AB587" s="131"/>
    </row>
    <row r="588" ht="15.75" spans="1:28">
      <c r="A588" s="56">
        <f t="shared" si="64"/>
        <v>590</v>
      </c>
      <c r="B588" s="113">
        <v>46333</v>
      </c>
      <c r="C588" s="114">
        <v>46333</v>
      </c>
      <c r="D588" s="80"/>
      <c r="E588" s="127"/>
      <c r="F588" s="122"/>
      <c r="G588" s="129"/>
      <c r="H588" s="130"/>
      <c r="I588" s="130"/>
      <c r="J588" s="130"/>
      <c r="K588" s="130"/>
      <c r="L588" s="130"/>
      <c r="M588" s="123">
        <f t="shared" si="67"/>
        <v>0</v>
      </c>
      <c r="N588" s="124">
        <f t="shared" si="61"/>
        <v>0</v>
      </c>
      <c r="O588" s="130"/>
      <c r="P588" s="52">
        <f t="shared" si="63"/>
        <v>0</v>
      </c>
      <c r="Q588" s="52">
        <f t="shared" si="62"/>
        <v>0</v>
      </c>
      <c r="R588" s="130"/>
      <c r="S588" s="52">
        <f t="shared" si="65"/>
        <v>0</v>
      </c>
      <c r="T588" s="131">
        <f t="shared" si="66"/>
        <v>0</v>
      </c>
      <c r="U588" s="132"/>
      <c r="V588" s="130"/>
      <c r="W588" s="130"/>
      <c r="X588" s="130"/>
      <c r="Y588" s="130"/>
      <c r="Z588" s="130"/>
      <c r="AA588" s="130"/>
      <c r="AB588" s="131"/>
    </row>
    <row r="589" ht="15.75" spans="1:28">
      <c r="A589" s="56">
        <f t="shared" si="64"/>
        <v>591</v>
      </c>
      <c r="B589" s="113">
        <v>46334</v>
      </c>
      <c r="C589" s="114">
        <v>46334</v>
      </c>
      <c r="D589" s="80"/>
      <c r="E589" s="127"/>
      <c r="F589" s="122"/>
      <c r="G589" s="129"/>
      <c r="H589" s="130"/>
      <c r="I589" s="130"/>
      <c r="J589" s="130"/>
      <c r="K589" s="130"/>
      <c r="L589" s="130"/>
      <c r="M589" s="123">
        <f t="shared" si="67"/>
        <v>0</v>
      </c>
      <c r="N589" s="124">
        <f t="shared" ref="N589:N615" si="68">O588</f>
        <v>0</v>
      </c>
      <c r="O589" s="130"/>
      <c r="P589" s="52">
        <f t="shared" si="63"/>
        <v>0</v>
      </c>
      <c r="Q589" s="52">
        <f t="shared" ref="Q589:Q615" si="69">R588</f>
        <v>0</v>
      </c>
      <c r="R589" s="130"/>
      <c r="S589" s="52">
        <f t="shared" si="65"/>
        <v>0</v>
      </c>
      <c r="T589" s="131">
        <f t="shared" si="66"/>
        <v>0</v>
      </c>
      <c r="U589" s="132"/>
      <c r="V589" s="130"/>
      <c r="W589" s="130"/>
      <c r="X589" s="130"/>
      <c r="Y589" s="130"/>
      <c r="Z589" s="130"/>
      <c r="AA589" s="130"/>
      <c r="AB589" s="131"/>
    </row>
    <row r="590" ht="15.75" spans="1:28">
      <c r="A590" s="56">
        <f t="shared" si="64"/>
        <v>592</v>
      </c>
      <c r="B590" s="113">
        <v>46335</v>
      </c>
      <c r="C590" s="114">
        <v>46335</v>
      </c>
      <c r="D590" s="80"/>
      <c r="E590" s="127"/>
      <c r="F590" s="122"/>
      <c r="G590" s="129"/>
      <c r="H590" s="130"/>
      <c r="I590" s="130"/>
      <c r="J590" s="130"/>
      <c r="K590" s="130"/>
      <c r="L590" s="130"/>
      <c r="M590" s="123">
        <f t="shared" si="67"/>
        <v>0</v>
      </c>
      <c r="N590" s="124">
        <f t="shared" si="68"/>
        <v>0</v>
      </c>
      <c r="O590" s="130"/>
      <c r="P590" s="52">
        <f t="shared" si="63"/>
        <v>0</v>
      </c>
      <c r="Q590" s="52">
        <f t="shared" si="69"/>
        <v>0</v>
      </c>
      <c r="R590" s="130"/>
      <c r="S590" s="52">
        <f t="shared" si="65"/>
        <v>0</v>
      </c>
      <c r="T590" s="131">
        <f t="shared" si="66"/>
        <v>0</v>
      </c>
      <c r="U590" s="132"/>
      <c r="V590" s="130"/>
      <c r="W590" s="130"/>
      <c r="X590" s="130"/>
      <c r="Y590" s="130"/>
      <c r="Z590" s="130"/>
      <c r="AA590" s="130"/>
      <c r="AB590" s="131"/>
    </row>
    <row r="591" ht="15.75" spans="1:28">
      <c r="A591" s="56">
        <f t="shared" si="64"/>
        <v>593</v>
      </c>
      <c r="B591" s="113">
        <v>46336</v>
      </c>
      <c r="C591" s="114">
        <v>46336</v>
      </c>
      <c r="D591" s="80"/>
      <c r="E591" s="127"/>
      <c r="F591" s="122"/>
      <c r="G591" s="129"/>
      <c r="H591" s="130"/>
      <c r="I591" s="130"/>
      <c r="J591" s="130"/>
      <c r="K591" s="130"/>
      <c r="L591" s="130"/>
      <c r="M591" s="123">
        <f t="shared" si="67"/>
        <v>0</v>
      </c>
      <c r="N591" s="124">
        <f t="shared" si="68"/>
        <v>0</v>
      </c>
      <c r="O591" s="130"/>
      <c r="P591" s="52">
        <f t="shared" si="63"/>
        <v>0</v>
      </c>
      <c r="Q591" s="52">
        <f t="shared" si="69"/>
        <v>0</v>
      </c>
      <c r="R591" s="130"/>
      <c r="S591" s="52">
        <f t="shared" si="65"/>
        <v>0</v>
      </c>
      <c r="T591" s="131">
        <f t="shared" si="66"/>
        <v>0</v>
      </c>
      <c r="U591" s="132"/>
      <c r="V591" s="130"/>
      <c r="W591" s="130"/>
      <c r="X591" s="130"/>
      <c r="Y591" s="130"/>
      <c r="Z591" s="130"/>
      <c r="AA591" s="130"/>
      <c r="AB591" s="131"/>
    </row>
    <row r="592" ht="15.75" spans="1:28">
      <c r="A592" s="56">
        <f t="shared" si="64"/>
        <v>594</v>
      </c>
      <c r="B592" s="113">
        <v>46337</v>
      </c>
      <c r="C592" s="114">
        <v>46337</v>
      </c>
      <c r="D592" s="80"/>
      <c r="E592" s="127"/>
      <c r="F592" s="122"/>
      <c r="G592" s="129"/>
      <c r="H592" s="130"/>
      <c r="I592" s="130"/>
      <c r="J592" s="130"/>
      <c r="K592" s="130"/>
      <c r="L592" s="130"/>
      <c r="M592" s="123">
        <f t="shared" si="67"/>
        <v>0</v>
      </c>
      <c r="N592" s="124">
        <f t="shared" si="68"/>
        <v>0</v>
      </c>
      <c r="O592" s="130"/>
      <c r="P592" s="52">
        <f t="shared" si="63"/>
        <v>0</v>
      </c>
      <c r="Q592" s="52">
        <f t="shared" si="69"/>
        <v>0</v>
      </c>
      <c r="R592" s="130"/>
      <c r="S592" s="52">
        <f t="shared" si="65"/>
        <v>0</v>
      </c>
      <c r="T592" s="131">
        <f t="shared" si="66"/>
        <v>0</v>
      </c>
      <c r="U592" s="132"/>
      <c r="V592" s="130"/>
      <c r="W592" s="130"/>
      <c r="X592" s="130"/>
      <c r="Y592" s="130"/>
      <c r="Z592" s="130"/>
      <c r="AA592" s="130"/>
      <c r="AB592" s="131"/>
    </row>
    <row r="593" ht="15.75" spans="1:28">
      <c r="A593" s="56">
        <f t="shared" si="64"/>
        <v>595</v>
      </c>
      <c r="B593" s="113">
        <v>46338</v>
      </c>
      <c r="C593" s="114">
        <v>46338</v>
      </c>
      <c r="D593" s="80"/>
      <c r="E593" s="127"/>
      <c r="F593" s="122"/>
      <c r="G593" s="129"/>
      <c r="H593" s="130"/>
      <c r="I593" s="130"/>
      <c r="J593" s="130"/>
      <c r="K593" s="130"/>
      <c r="L593" s="130"/>
      <c r="M593" s="123">
        <f t="shared" si="67"/>
        <v>0</v>
      </c>
      <c r="N593" s="124">
        <f t="shared" si="68"/>
        <v>0</v>
      </c>
      <c r="O593" s="130"/>
      <c r="P593" s="52">
        <f t="shared" si="63"/>
        <v>0</v>
      </c>
      <c r="Q593" s="52">
        <f t="shared" si="69"/>
        <v>0</v>
      </c>
      <c r="R593" s="130"/>
      <c r="S593" s="52">
        <f t="shared" si="65"/>
        <v>0</v>
      </c>
      <c r="T593" s="131">
        <f t="shared" si="66"/>
        <v>0</v>
      </c>
      <c r="U593" s="132"/>
      <c r="V593" s="130"/>
      <c r="W593" s="130"/>
      <c r="X593" s="130"/>
      <c r="Y593" s="130"/>
      <c r="Z593" s="130"/>
      <c r="AA593" s="130"/>
      <c r="AB593" s="131"/>
    </row>
    <row r="594" ht="15.75" spans="1:28">
      <c r="A594" s="56">
        <f t="shared" si="64"/>
        <v>596</v>
      </c>
      <c r="B594" s="113">
        <v>46339</v>
      </c>
      <c r="C594" s="114">
        <v>46339</v>
      </c>
      <c r="D594" s="80"/>
      <c r="E594" s="127"/>
      <c r="F594" s="122"/>
      <c r="G594" s="129"/>
      <c r="H594" s="130"/>
      <c r="I594" s="130"/>
      <c r="J594" s="130"/>
      <c r="K594" s="130"/>
      <c r="L594" s="130"/>
      <c r="M594" s="123">
        <f t="shared" si="67"/>
        <v>0</v>
      </c>
      <c r="N594" s="124">
        <f t="shared" si="68"/>
        <v>0</v>
      </c>
      <c r="O594" s="130"/>
      <c r="P594" s="52">
        <f t="shared" si="63"/>
        <v>0</v>
      </c>
      <c r="Q594" s="52">
        <f t="shared" si="69"/>
        <v>0</v>
      </c>
      <c r="R594" s="130"/>
      <c r="S594" s="52">
        <f t="shared" si="65"/>
        <v>0</v>
      </c>
      <c r="T594" s="131">
        <f t="shared" si="66"/>
        <v>0</v>
      </c>
      <c r="U594" s="132"/>
      <c r="V594" s="130"/>
      <c r="W594" s="130"/>
      <c r="X594" s="130"/>
      <c r="Y594" s="130"/>
      <c r="Z594" s="130"/>
      <c r="AA594" s="130"/>
      <c r="AB594" s="131"/>
    </row>
    <row r="595" ht="15.75" spans="1:28">
      <c r="A595" s="56">
        <f t="shared" si="64"/>
        <v>597</v>
      </c>
      <c r="B595" s="113">
        <v>46340</v>
      </c>
      <c r="C595" s="114">
        <v>46340</v>
      </c>
      <c r="D595" s="80"/>
      <c r="E595" s="127"/>
      <c r="F595" s="122"/>
      <c r="G595" s="129"/>
      <c r="H595" s="130"/>
      <c r="I595" s="130"/>
      <c r="J595" s="130"/>
      <c r="K595" s="130"/>
      <c r="L595" s="130"/>
      <c r="M595" s="123">
        <f t="shared" si="67"/>
        <v>0</v>
      </c>
      <c r="N595" s="124">
        <f t="shared" si="68"/>
        <v>0</v>
      </c>
      <c r="O595" s="130"/>
      <c r="P595" s="52">
        <f t="shared" si="63"/>
        <v>0</v>
      </c>
      <c r="Q595" s="52">
        <f t="shared" si="69"/>
        <v>0</v>
      </c>
      <c r="R595" s="130"/>
      <c r="S595" s="52">
        <f t="shared" si="65"/>
        <v>0</v>
      </c>
      <c r="T595" s="131">
        <f t="shared" si="66"/>
        <v>0</v>
      </c>
      <c r="U595" s="132"/>
      <c r="V595" s="130"/>
      <c r="W595" s="130"/>
      <c r="X595" s="130"/>
      <c r="Y595" s="130"/>
      <c r="Z595" s="130"/>
      <c r="AA595" s="130"/>
      <c r="AB595" s="131"/>
    </row>
    <row r="596" ht="15.75" spans="1:28">
      <c r="A596" s="56">
        <f t="shared" si="64"/>
        <v>598</v>
      </c>
      <c r="B596" s="113">
        <v>46341</v>
      </c>
      <c r="C596" s="114">
        <v>46341</v>
      </c>
      <c r="D596" s="80"/>
      <c r="E596" s="127"/>
      <c r="F596" s="122"/>
      <c r="G596" s="129"/>
      <c r="H596" s="130"/>
      <c r="I596" s="130"/>
      <c r="J596" s="130"/>
      <c r="K596" s="130"/>
      <c r="L596" s="130"/>
      <c r="M596" s="123">
        <f t="shared" si="67"/>
        <v>0</v>
      </c>
      <c r="N596" s="124">
        <f t="shared" si="68"/>
        <v>0</v>
      </c>
      <c r="O596" s="130"/>
      <c r="P596" s="52">
        <f t="shared" si="63"/>
        <v>0</v>
      </c>
      <c r="Q596" s="52">
        <f t="shared" si="69"/>
        <v>0</v>
      </c>
      <c r="R596" s="130"/>
      <c r="S596" s="52">
        <f t="shared" si="65"/>
        <v>0</v>
      </c>
      <c r="T596" s="131">
        <f t="shared" si="66"/>
        <v>0</v>
      </c>
      <c r="U596" s="132"/>
      <c r="V596" s="130"/>
      <c r="W596" s="130"/>
      <c r="X596" s="130"/>
      <c r="Y596" s="130"/>
      <c r="Z596" s="130"/>
      <c r="AA596" s="130"/>
      <c r="AB596" s="131"/>
    </row>
    <row r="597" ht="15.75" spans="1:28">
      <c r="A597" s="56">
        <f t="shared" si="64"/>
        <v>599</v>
      </c>
      <c r="B597" s="113">
        <v>46342</v>
      </c>
      <c r="C597" s="114">
        <v>46342</v>
      </c>
      <c r="D597" s="80"/>
      <c r="E597" s="127"/>
      <c r="F597" s="122"/>
      <c r="G597" s="129"/>
      <c r="H597" s="130"/>
      <c r="I597" s="130"/>
      <c r="J597" s="130"/>
      <c r="K597" s="130"/>
      <c r="L597" s="130"/>
      <c r="M597" s="123">
        <f t="shared" si="67"/>
        <v>0</v>
      </c>
      <c r="N597" s="124">
        <f t="shared" si="68"/>
        <v>0</v>
      </c>
      <c r="O597" s="130"/>
      <c r="P597" s="52">
        <f t="shared" si="63"/>
        <v>0</v>
      </c>
      <c r="Q597" s="52">
        <f t="shared" si="69"/>
        <v>0</v>
      </c>
      <c r="R597" s="130"/>
      <c r="S597" s="52">
        <f t="shared" si="65"/>
        <v>0</v>
      </c>
      <c r="T597" s="131">
        <f t="shared" si="66"/>
        <v>0</v>
      </c>
      <c r="U597" s="132"/>
      <c r="V597" s="130"/>
      <c r="W597" s="130"/>
      <c r="X597" s="130"/>
      <c r="Y597" s="130"/>
      <c r="Z597" s="130"/>
      <c r="AA597" s="130"/>
      <c r="AB597" s="131"/>
    </row>
    <row r="598" ht="15.75" spans="1:28">
      <c r="A598" s="56">
        <f t="shared" si="64"/>
        <v>600</v>
      </c>
      <c r="B598" s="113">
        <v>46343</v>
      </c>
      <c r="C598" s="114">
        <v>46343</v>
      </c>
      <c r="D598" s="80"/>
      <c r="E598" s="127"/>
      <c r="F598" s="122"/>
      <c r="G598" s="129"/>
      <c r="H598" s="130"/>
      <c r="I598" s="130"/>
      <c r="J598" s="130"/>
      <c r="K598" s="130"/>
      <c r="L598" s="130"/>
      <c r="M598" s="123">
        <f t="shared" si="67"/>
        <v>0</v>
      </c>
      <c r="N598" s="124">
        <f t="shared" si="68"/>
        <v>0</v>
      </c>
      <c r="O598" s="130"/>
      <c r="P598" s="52">
        <f t="shared" si="63"/>
        <v>0</v>
      </c>
      <c r="Q598" s="52">
        <f t="shared" si="69"/>
        <v>0</v>
      </c>
      <c r="R598" s="130"/>
      <c r="S598" s="52">
        <f t="shared" si="65"/>
        <v>0</v>
      </c>
      <c r="T598" s="131">
        <f t="shared" si="66"/>
        <v>0</v>
      </c>
      <c r="U598" s="132"/>
      <c r="V598" s="130"/>
      <c r="W598" s="130"/>
      <c r="X598" s="130"/>
      <c r="Y598" s="130"/>
      <c r="Z598" s="130"/>
      <c r="AA598" s="130"/>
      <c r="AB598" s="131"/>
    </row>
    <row r="599" ht="15.75" spans="1:28">
      <c r="A599" s="56">
        <f t="shared" si="64"/>
        <v>601</v>
      </c>
      <c r="B599" s="113">
        <v>46344</v>
      </c>
      <c r="C599" s="114">
        <v>46344</v>
      </c>
      <c r="D599" s="80"/>
      <c r="E599" s="127"/>
      <c r="F599" s="122"/>
      <c r="G599" s="129"/>
      <c r="H599" s="130"/>
      <c r="I599" s="130"/>
      <c r="J599" s="130"/>
      <c r="K599" s="130"/>
      <c r="L599" s="130"/>
      <c r="M599" s="123">
        <f t="shared" si="67"/>
        <v>0</v>
      </c>
      <c r="N599" s="124">
        <f t="shared" si="68"/>
        <v>0</v>
      </c>
      <c r="O599" s="130"/>
      <c r="P599" s="52">
        <f t="shared" si="63"/>
        <v>0</v>
      </c>
      <c r="Q599" s="52">
        <f t="shared" si="69"/>
        <v>0</v>
      </c>
      <c r="R599" s="130"/>
      <c r="S599" s="52">
        <f t="shared" si="65"/>
        <v>0</v>
      </c>
      <c r="T599" s="131">
        <f t="shared" si="66"/>
        <v>0</v>
      </c>
      <c r="U599" s="132"/>
      <c r="V599" s="130"/>
      <c r="W599" s="130"/>
      <c r="X599" s="130"/>
      <c r="Y599" s="130"/>
      <c r="Z599" s="130"/>
      <c r="AA599" s="130"/>
      <c r="AB599" s="131"/>
    </row>
    <row r="600" ht="15.75" spans="1:28">
      <c r="A600" s="56">
        <f t="shared" si="64"/>
        <v>602</v>
      </c>
      <c r="B600" s="113">
        <v>46345</v>
      </c>
      <c r="C600" s="114">
        <v>46345</v>
      </c>
      <c r="D600" s="80"/>
      <c r="E600" s="127"/>
      <c r="F600" s="122"/>
      <c r="G600" s="129"/>
      <c r="H600" s="130"/>
      <c r="I600" s="130"/>
      <c r="J600" s="130"/>
      <c r="K600" s="130"/>
      <c r="L600" s="130"/>
      <c r="M600" s="123">
        <f t="shared" si="67"/>
        <v>0</v>
      </c>
      <c r="N600" s="124">
        <f t="shared" si="68"/>
        <v>0</v>
      </c>
      <c r="O600" s="130"/>
      <c r="P600" s="52">
        <f t="shared" ref="P600:P615" si="70">MAX((O600-N600)*3000,0)</f>
        <v>0</v>
      </c>
      <c r="Q600" s="52">
        <f t="shared" si="69"/>
        <v>0</v>
      </c>
      <c r="R600" s="130"/>
      <c r="S600" s="52">
        <f t="shared" si="65"/>
        <v>0</v>
      </c>
      <c r="T600" s="131">
        <f t="shared" si="66"/>
        <v>0</v>
      </c>
      <c r="U600" s="132"/>
      <c r="V600" s="130"/>
      <c r="W600" s="130"/>
      <c r="X600" s="130"/>
      <c r="Y600" s="130"/>
      <c r="Z600" s="130"/>
      <c r="AA600" s="130"/>
      <c r="AB600" s="131"/>
    </row>
    <row r="601" ht="15.75" spans="1:28">
      <c r="A601" s="56">
        <f t="shared" si="64"/>
        <v>603</v>
      </c>
      <c r="B601" s="113">
        <v>46346</v>
      </c>
      <c r="C601" s="114">
        <v>46346</v>
      </c>
      <c r="D601" s="80"/>
      <c r="E601" s="127"/>
      <c r="F601" s="122"/>
      <c r="G601" s="129"/>
      <c r="H601" s="130"/>
      <c r="I601" s="130"/>
      <c r="J601" s="130"/>
      <c r="K601" s="130"/>
      <c r="L601" s="130"/>
      <c r="M601" s="123">
        <f t="shared" si="67"/>
        <v>0</v>
      </c>
      <c r="N601" s="124">
        <f t="shared" si="68"/>
        <v>0</v>
      </c>
      <c r="O601" s="130"/>
      <c r="P601" s="52">
        <f t="shared" si="70"/>
        <v>0</v>
      </c>
      <c r="Q601" s="52">
        <f t="shared" si="69"/>
        <v>0</v>
      </c>
      <c r="R601" s="130"/>
      <c r="S601" s="52">
        <f t="shared" si="65"/>
        <v>0</v>
      </c>
      <c r="T601" s="131">
        <f t="shared" si="66"/>
        <v>0</v>
      </c>
      <c r="U601" s="132"/>
      <c r="V601" s="130"/>
      <c r="W601" s="130"/>
      <c r="X601" s="130"/>
      <c r="Y601" s="130"/>
      <c r="Z601" s="130"/>
      <c r="AA601" s="130"/>
      <c r="AB601" s="131"/>
    </row>
    <row r="602" ht="15.75" spans="1:28">
      <c r="A602" s="56">
        <f t="shared" si="64"/>
        <v>604</v>
      </c>
      <c r="B602" s="113">
        <v>46347</v>
      </c>
      <c r="C602" s="114">
        <v>46347</v>
      </c>
      <c r="D602" s="80"/>
      <c r="E602" s="127"/>
      <c r="F602" s="122"/>
      <c r="G602" s="129"/>
      <c r="H602" s="130"/>
      <c r="I602" s="130"/>
      <c r="J602" s="130"/>
      <c r="K602" s="130"/>
      <c r="L602" s="130"/>
      <c r="M602" s="123">
        <f t="shared" si="67"/>
        <v>0</v>
      </c>
      <c r="N602" s="124">
        <f t="shared" si="68"/>
        <v>0</v>
      </c>
      <c r="O602" s="130"/>
      <c r="P602" s="52">
        <f t="shared" si="70"/>
        <v>0</v>
      </c>
      <c r="Q602" s="52">
        <f t="shared" si="69"/>
        <v>0</v>
      </c>
      <c r="R602" s="130"/>
      <c r="S602" s="52">
        <f t="shared" si="65"/>
        <v>0</v>
      </c>
      <c r="T602" s="131">
        <f t="shared" si="66"/>
        <v>0</v>
      </c>
      <c r="U602" s="132"/>
      <c r="V602" s="130"/>
      <c r="W602" s="130"/>
      <c r="X602" s="130"/>
      <c r="Y602" s="130"/>
      <c r="Z602" s="130"/>
      <c r="AA602" s="130"/>
      <c r="AB602" s="131"/>
    </row>
    <row r="603" ht="15.75" spans="1:28">
      <c r="A603" s="56">
        <f t="shared" si="64"/>
        <v>605</v>
      </c>
      <c r="B603" s="113">
        <v>46348</v>
      </c>
      <c r="C603" s="114">
        <v>46348</v>
      </c>
      <c r="D603" s="80"/>
      <c r="E603" s="127"/>
      <c r="F603" s="122"/>
      <c r="G603" s="129"/>
      <c r="H603" s="130"/>
      <c r="I603" s="130"/>
      <c r="J603" s="130"/>
      <c r="K603" s="130"/>
      <c r="L603" s="130"/>
      <c r="M603" s="123">
        <f t="shared" si="67"/>
        <v>0</v>
      </c>
      <c r="N603" s="124">
        <f t="shared" si="68"/>
        <v>0</v>
      </c>
      <c r="O603" s="130"/>
      <c r="P603" s="52">
        <f t="shared" si="70"/>
        <v>0</v>
      </c>
      <c r="Q603" s="52">
        <f t="shared" si="69"/>
        <v>0</v>
      </c>
      <c r="R603" s="130"/>
      <c r="S603" s="52">
        <f t="shared" si="65"/>
        <v>0</v>
      </c>
      <c r="T603" s="131">
        <f t="shared" si="66"/>
        <v>0</v>
      </c>
      <c r="U603" s="132"/>
      <c r="V603" s="130"/>
      <c r="W603" s="130"/>
      <c r="X603" s="130"/>
      <c r="Y603" s="130"/>
      <c r="Z603" s="130"/>
      <c r="AA603" s="130"/>
      <c r="AB603" s="131"/>
    </row>
    <row r="604" ht="15.75" spans="1:28">
      <c r="A604" s="56">
        <f t="shared" si="64"/>
        <v>606</v>
      </c>
      <c r="B604" s="113">
        <v>46349</v>
      </c>
      <c r="C604" s="114">
        <v>46349</v>
      </c>
      <c r="D604" s="80"/>
      <c r="E604" s="127"/>
      <c r="F604" s="122"/>
      <c r="G604" s="129"/>
      <c r="H604" s="130"/>
      <c r="I604" s="130"/>
      <c r="J604" s="130"/>
      <c r="K604" s="130"/>
      <c r="L604" s="130"/>
      <c r="M604" s="123">
        <f t="shared" si="67"/>
        <v>0</v>
      </c>
      <c r="N604" s="124">
        <f t="shared" si="68"/>
        <v>0</v>
      </c>
      <c r="O604" s="130"/>
      <c r="P604" s="52">
        <f t="shared" si="70"/>
        <v>0</v>
      </c>
      <c r="Q604" s="52">
        <f t="shared" si="69"/>
        <v>0</v>
      </c>
      <c r="R604" s="130"/>
      <c r="S604" s="52">
        <f t="shared" si="65"/>
        <v>0</v>
      </c>
      <c r="T604" s="131">
        <f t="shared" si="66"/>
        <v>0</v>
      </c>
      <c r="U604" s="132"/>
      <c r="V604" s="130"/>
      <c r="W604" s="130"/>
      <c r="X604" s="130"/>
      <c r="Y604" s="130"/>
      <c r="Z604" s="130"/>
      <c r="AA604" s="130"/>
      <c r="AB604" s="131"/>
    </row>
    <row r="605" ht="15.75" spans="1:28">
      <c r="A605" s="56">
        <f t="shared" si="64"/>
        <v>607</v>
      </c>
      <c r="B605" s="113">
        <v>46350</v>
      </c>
      <c r="C605" s="114">
        <v>46350</v>
      </c>
      <c r="D605" s="80"/>
      <c r="E605" s="127"/>
      <c r="F605" s="122"/>
      <c r="G605" s="129"/>
      <c r="H605" s="130"/>
      <c r="I605" s="130"/>
      <c r="J605" s="130"/>
      <c r="K605" s="130"/>
      <c r="L605" s="130"/>
      <c r="M605" s="123">
        <f t="shared" si="67"/>
        <v>0</v>
      </c>
      <c r="N605" s="124">
        <f t="shared" si="68"/>
        <v>0</v>
      </c>
      <c r="O605" s="130"/>
      <c r="P605" s="52">
        <f t="shared" si="70"/>
        <v>0</v>
      </c>
      <c r="Q605" s="52">
        <f t="shared" si="69"/>
        <v>0</v>
      </c>
      <c r="R605" s="130"/>
      <c r="S605" s="52">
        <f t="shared" si="65"/>
        <v>0</v>
      </c>
      <c r="T605" s="131">
        <f t="shared" si="66"/>
        <v>0</v>
      </c>
      <c r="U605" s="132"/>
      <c r="V605" s="130"/>
      <c r="W605" s="130"/>
      <c r="X605" s="130"/>
      <c r="Y605" s="130"/>
      <c r="Z605" s="130"/>
      <c r="AA605" s="130"/>
      <c r="AB605" s="131"/>
    </row>
    <row r="606" ht="15.75" spans="1:28">
      <c r="A606" s="56">
        <f t="shared" si="64"/>
        <v>608</v>
      </c>
      <c r="B606" s="113">
        <v>46351</v>
      </c>
      <c r="C606" s="114">
        <v>46351</v>
      </c>
      <c r="D606" s="80"/>
      <c r="E606" s="127"/>
      <c r="F606" s="122"/>
      <c r="G606" s="129"/>
      <c r="H606" s="130"/>
      <c r="I606" s="130"/>
      <c r="J606" s="130"/>
      <c r="K606" s="130"/>
      <c r="L606" s="130"/>
      <c r="M606" s="123">
        <f t="shared" si="67"/>
        <v>0</v>
      </c>
      <c r="N606" s="124">
        <f t="shared" si="68"/>
        <v>0</v>
      </c>
      <c r="O606" s="130"/>
      <c r="P606" s="52">
        <f t="shared" si="70"/>
        <v>0</v>
      </c>
      <c r="Q606" s="52">
        <f t="shared" si="69"/>
        <v>0</v>
      </c>
      <c r="R606" s="130"/>
      <c r="S606" s="52">
        <f t="shared" si="65"/>
        <v>0</v>
      </c>
      <c r="T606" s="131">
        <f t="shared" si="66"/>
        <v>0</v>
      </c>
      <c r="U606" s="132"/>
      <c r="V606" s="130"/>
      <c r="W606" s="130"/>
      <c r="X606" s="130"/>
      <c r="Y606" s="130"/>
      <c r="Z606" s="130"/>
      <c r="AA606" s="130"/>
      <c r="AB606" s="131"/>
    </row>
    <row r="607" ht="15.75" spans="1:28">
      <c r="A607" s="56">
        <f t="shared" si="64"/>
        <v>609</v>
      </c>
      <c r="B607" s="113">
        <v>46352</v>
      </c>
      <c r="C607" s="114">
        <v>46352</v>
      </c>
      <c r="D607" s="80"/>
      <c r="E607" s="127"/>
      <c r="F607" s="122"/>
      <c r="G607" s="129"/>
      <c r="H607" s="130"/>
      <c r="I607" s="130"/>
      <c r="J607" s="130"/>
      <c r="K607" s="130"/>
      <c r="L607" s="130"/>
      <c r="M607" s="123">
        <f t="shared" si="67"/>
        <v>0</v>
      </c>
      <c r="N607" s="124">
        <f t="shared" si="68"/>
        <v>0</v>
      </c>
      <c r="O607" s="130"/>
      <c r="P607" s="52">
        <f t="shared" si="70"/>
        <v>0</v>
      </c>
      <c r="Q607" s="52">
        <f t="shared" si="69"/>
        <v>0</v>
      </c>
      <c r="R607" s="130"/>
      <c r="S607" s="52">
        <f t="shared" si="65"/>
        <v>0</v>
      </c>
      <c r="T607" s="131">
        <f t="shared" si="66"/>
        <v>0</v>
      </c>
      <c r="U607" s="132"/>
      <c r="V607" s="130"/>
      <c r="W607" s="130"/>
      <c r="X607" s="130"/>
      <c r="Y607" s="130"/>
      <c r="Z607" s="130"/>
      <c r="AA607" s="130"/>
      <c r="AB607" s="131"/>
    </row>
    <row r="608" ht="15.75" spans="1:28">
      <c r="A608" s="56">
        <f t="shared" si="64"/>
        <v>610</v>
      </c>
      <c r="B608" s="113">
        <v>46353</v>
      </c>
      <c r="C608" s="114">
        <v>46353</v>
      </c>
      <c r="D608" s="80"/>
      <c r="E608" s="127"/>
      <c r="F608" s="122"/>
      <c r="G608" s="129"/>
      <c r="H608" s="130"/>
      <c r="I608" s="130"/>
      <c r="J608" s="130"/>
      <c r="K608" s="130"/>
      <c r="L608" s="130"/>
      <c r="M608" s="123">
        <f t="shared" si="67"/>
        <v>0</v>
      </c>
      <c r="N608" s="124">
        <f t="shared" si="68"/>
        <v>0</v>
      </c>
      <c r="O608" s="130"/>
      <c r="P608" s="52">
        <f t="shared" si="70"/>
        <v>0</v>
      </c>
      <c r="Q608" s="52">
        <f t="shared" si="69"/>
        <v>0</v>
      </c>
      <c r="R608" s="130"/>
      <c r="S608" s="52">
        <f t="shared" si="65"/>
        <v>0</v>
      </c>
      <c r="T608" s="131">
        <f t="shared" si="66"/>
        <v>0</v>
      </c>
      <c r="U608" s="132"/>
      <c r="V608" s="130"/>
      <c r="W608" s="130"/>
      <c r="X608" s="130"/>
      <c r="Y608" s="130"/>
      <c r="Z608" s="130"/>
      <c r="AA608" s="130"/>
      <c r="AB608" s="131"/>
    </row>
    <row r="609" ht="15.75" spans="1:28">
      <c r="A609" s="56">
        <f t="shared" si="64"/>
        <v>611</v>
      </c>
      <c r="B609" s="113">
        <v>46354</v>
      </c>
      <c r="C609" s="114">
        <v>46354</v>
      </c>
      <c r="D609" s="80"/>
      <c r="E609" s="127"/>
      <c r="F609" s="122"/>
      <c r="G609" s="129"/>
      <c r="H609" s="130"/>
      <c r="I609" s="130"/>
      <c r="J609" s="130"/>
      <c r="K609" s="130"/>
      <c r="L609" s="130"/>
      <c r="M609" s="123">
        <f t="shared" si="67"/>
        <v>0</v>
      </c>
      <c r="N609" s="124">
        <f t="shared" si="68"/>
        <v>0</v>
      </c>
      <c r="O609" s="130"/>
      <c r="P609" s="52">
        <f t="shared" si="70"/>
        <v>0</v>
      </c>
      <c r="Q609" s="52">
        <f t="shared" si="69"/>
        <v>0</v>
      </c>
      <c r="R609" s="130"/>
      <c r="S609" s="52">
        <f t="shared" si="65"/>
        <v>0</v>
      </c>
      <c r="T609" s="131">
        <f t="shared" si="66"/>
        <v>0</v>
      </c>
      <c r="U609" s="132"/>
      <c r="V609" s="130"/>
      <c r="W609" s="130"/>
      <c r="X609" s="130"/>
      <c r="Y609" s="130"/>
      <c r="Z609" s="130"/>
      <c r="AA609" s="130"/>
      <c r="AB609" s="131"/>
    </row>
    <row r="610" ht="15.75" spans="1:28">
      <c r="A610" s="56">
        <f t="shared" si="64"/>
        <v>612</v>
      </c>
      <c r="B610" s="113">
        <v>46355</v>
      </c>
      <c r="C610" s="114">
        <v>46355</v>
      </c>
      <c r="D610" s="80"/>
      <c r="E610" s="127"/>
      <c r="F610" s="122"/>
      <c r="G610" s="129"/>
      <c r="H610" s="130"/>
      <c r="I610" s="130"/>
      <c r="J610" s="130"/>
      <c r="K610" s="130"/>
      <c r="L610" s="130"/>
      <c r="M610" s="123">
        <f t="shared" si="67"/>
        <v>0</v>
      </c>
      <c r="N610" s="124">
        <f t="shared" si="68"/>
        <v>0</v>
      </c>
      <c r="O610" s="130"/>
      <c r="P610" s="52">
        <f t="shared" si="70"/>
        <v>0</v>
      </c>
      <c r="Q610" s="52">
        <f t="shared" si="69"/>
        <v>0</v>
      </c>
      <c r="R610" s="130"/>
      <c r="S610" s="52">
        <f t="shared" si="65"/>
        <v>0</v>
      </c>
      <c r="T610" s="131">
        <f t="shared" si="66"/>
        <v>0</v>
      </c>
      <c r="U610" s="132"/>
      <c r="V610" s="130"/>
      <c r="W610" s="130"/>
      <c r="X610" s="130"/>
      <c r="Y610" s="130"/>
      <c r="Z610" s="130"/>
      <c r="AA610" s="130"/>
      <c r="AB610" s="131"/>
    </row>
    <row r="611" ht="15.75" spans="1:28">
      <c r="A611" s="56">
        <f t="shared" si="64"/>
        <v>613</v>
      </c>
      <c r="B611" s="113">
        <v>46356</v>
      </c>
      <c r="C611" s="114">
        <v>46356</v>
      </c>
      <c r="D611" s="80"/>
      <c r="E611" s="127"/>
      <c r="F611" s="122"/>
      <c r="G611" s="129"/>
      <c r="H611" s="130"/>
      <c r="I611" s="130"/>
      <c r="J611" s="130"/>
      <c r="K611" s="130"/>
      <c r="L611" s="130"/>
      <c r="M611" s="123">
        <f t="shared" si="67"/>
        <v>0</v>
      </c>
      <c r="N611" s="124">
        <f t="shared" si="68"/>
        <v>0</v>
      </c>
      <c r="O611" s="130"/>
      <c r="P611" s="52">
        <f t="shared" si="70"/>
        <v>0</v>
      </c>
      <c r="Q611" s="52">
        <f t="shared" si="69"/>
        <v>0</v>
      </c>
      <c r="R611" s="130"/>
      <c r="S611" s="52">
        <f t="shared" si="65"/>
        <v>0</v>
      </c>
      <c r="T611" s="131">
        <f t="shared" si="66"/>
        <v>0</v>
      </c>
      <c r="U611" s="132"/>
      <c r="V611" s="130"/>
      <c r="W611" s="130"/>
      <c r="X611" s="130"/>
      <c r="Y611" s="130"/>
      <c r="Z611" s="130"/>
      <c r="AA611" s="130"/>
      <c r="AB611" s="131"/>
    </row>
    <row r="612" ht="15.75" spans="1:28">
      <c r="A612" s="56">
        <f t="shared" si="64"/>
        <v>614</v>
      </c>
      <c r="B612" s="113">
        <v>46357</v>
      </c>
      <c r="C612" s="114">
        <v>46357</v>
      </c>
      <c r="D612" s="80"/>
      <c r="E612" s="127"/>
      <c r="F612" s="122"/>
      <c r="G612" s="129"/>
      <c r="H612" s="130"/>
      <c r="I612" s="130"/>
      <c r="J612" s="130"/>
      <c r="K612" s="130"/>
      <c r="L612" s="130"/>
      <c r="M612" s="123">
        <f t="shared" si="67"/>
        <v>0</v>
      </c>
      <c r="N612" s="124">
        <f t="shared" si="68"/>
        <v>0</v>
      </c>
      <c r="O612" s="130"/>
      <c r="P612" s="52">
        <f t="shared" si="70"/>
        <v>0</v>
      </c>
      <c r="Q612" s="52">
        <f t="shared" si="69"/>
        <v>0</v>
      </c>
      <c r="R612" s="130"/>
      <c r="S612" s="52">
        <f t="shared" si="65"/>
        <v>0</v>
      </c>
      <c r="T612" s="131">
        <f t="shared" si="66"/>
        <v>0</v>
      </c>
      <c r="U612" s="132"/>
      <c r="V612" s="130"/>
      <c r="W612" s="130"/>
      <c r="X612" s="130"/>
      <c r="Y612" s="130"/>
      <c r="Z612" s="130"/>
      <c r="AA612" s="130"/>
      <c r="AB612" s="131"/>
    </row>
    <row r="613" ht="15.75" spans="1:28">
      <c r="A613" s="56">
        <f t="shared" si="64"/>
        <v>615</v>
      </c>
      <c r="B613" s="113">
        <v>46358</v>
      </c>
      <c r="C613" s="114">
        <v>46358</v>
      </c>
      <c r="D613" s="80"/>
      <c r="E613" s="127"/>
      <c r="F613" s="122"/>
      <c r="G613" s="129"/>
      <c r="H613" s="130"/>
      <c r="I613" s="130"/>
      <c r="J613" s="130"/>
      <c r="K613" s="130"/>
      <c r="L613" s="130"/>
      <c r="M613" s="123">
        <f t="shared" si="67"/>
        <v>0</v>
      </c>
      <c r="N613" s="124">
        <f t="shared" si="68"/>
        <v>0</v>
      </c>
      <c r="O613" s="130"/>
      <c r="P613" s="52">
        <f t="shared" si="70"/>
        <v>0</v>
      </c>
      <c r="Q613" s="52">
        <f t="shared" si="69"/>
        <v>0</v>
      </c>
      <c r="R613" s="130"/>
      <c r="S613" s="52">
        <f t="shared" si="65"/>
        <v>0</v>
      </c>
      <c r="T613" s="131">
        <f t="shared" si="66"/>
        <v>0</v>
      </c>
      <c r="U613" s="132"/>
      <c r="V613" s="130"/>
      <c r="W613" s="130"/>
      <c r="X613" s="130"/>
      <c r="Y613" s="130"/>
      <c r="Z613" s="130"/>
      <c r="AA613" s="130"/>
      <c r="AB613" s="131"/>
    </row>
    <row r="614" ht="15.75" spans="1:28">
      <c r="A614" s="56">
        <f t="shared" si="64"/>
        <v>616</v>
      </c>
      <c r="B614" s="113">
        <v>46359</v>
      </c>
      <c r="C614" s="114">
        <v>46359</v>
      </c>
      <c r="D614" s="80"/>
      <c r="E614" s="127"/>
      <c r="F614" s="122"/>
      <c r="G614" s="129"/>
      <c r="H614" s="130"/>
      <c r="I614" s="130"/>
      <c r="J614" s="130"/>
      <c r="K614" s="130"/>
      <c r="L614" s="130"/>
      <c r="M614" s="123">
        <f t="shared" si="67"/>
        <v>0</v>
      </c>
      <c r="N614" s="124">
        <f t="shared" si="68"/>
        <v>0</v>
      </c>
      <c r="O614" s="130"/>
      <c r="P614" s="52">
        <f t="shared" si="70"/>
        <v>0</v>
      </c>
      <c r="Q614" s="52">
        <f t="shared" si="69"/>
        <v>0</v>
      </c>
      <c r="R614" s="130"/>
      <c r="S614" s="52">
        <f t="shared" si="65"/>
        <v>0</v>
      </c>
      <c r="T614" s="131">
        <f t="shared" si="66"/>
        <v>0</v>
      </c>
      <c r="U614" s="132"/>
      <c r="V614" s="130"/>
      <c r="W614" s="130"/>
      <c r="X614" s="130"/>
      <c r="Y614" s="130"/>
      <c r="Z614" s="130"/>
      <c r="AA614" s="130"/>
      <c r="AB614" s="131"/>
    </row>
    <row r="615" ht="15.75" spans="1:28">
      <c r="A615" s="56">
        <f t="shared" si="64"/>
        <v>617</v>
      </c>
      <c r="B615" s="113">
        <v>46360</v>
      </c>
      <c r="C615" s="114">
        <v>46360</v>
      </c>
      <c r="D615" s="80"/>
      <c r="E615" s="127"/>
      <c r="F615" s="122"/>
      <c r="G615" s="129"/>
      <c r="H615" s="130"/>
      <c r="I615" s="130"/>
      <c r="J615" s="130"/>
      <c r="K615" s="130"/>
      <c r="L615" s="130"/>
      <c r="M615" s="123">
        <f t="shared" si="67"/>
        <v>0</v>
      </c>
      <c r="N615" s="124">
        <f t="shared" si="68"/>
        <v>0</v>
      </c>
      <c r="O615" s="130"/>
      <c r="P615" s="52">
        <f t="shared" si="70"/>
        <v>0</v>
      </c>
      <c r="Q615" s="52">
        <f t="shared" si="69"/>
        <v>0</v>
      </c>
      <c r="R615" s="130"/>
      <c r="S615" s="52">
        <f t="shared" si="65"/>
        <v>0</v>
      </c>
      <c r="T615" s="131">
        <f t="shared" si="66"/>
        <v>0</v>
      </c>
      <c r="U615" s="132"/>
      <c r="V615" s="130"/>
      <c r="W615" s="130"/>
      <c r="X615" s="130"/>
      <c r="Y615" s="130"/>
      <c r="Z615" s="130"/>
      <c r="AA615" s="130"/>
      <c r="AB615" s="131"/>
    </row>
  </sheetData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9"/>
  <sheetViews>
    <sheetView workbookViewId="0">
      <pane xSplit="2" ySplit="3" topLeftCell="C124" activePane="bottomRight" state="frozen"/>
      <selection/>
      <selection pane="topRight"/>
      <selection pane="bottomLeft"/>
      <selection pane="bottomRight" activeCell="D148" sqref="D148"/>
    </sheetView>
  </sheetViews>
  <sheetFormatPr defaultColWidth="9" defaultRowHeight="14.25"/>
  <cols>
    <col min="3" max="3" width="9" customWidth="1"/>
  </cols>
  <sheetData>
    <row r="1" spans="1:9">
      <c r="A1" t="s">
        <v>74</v>
      </c>
    </row>
    <row r="2" ht="18" customHeight="1" spans="1:9">
      <c r="C2" s="110">
        <v>335.72</v>
      </c>
      <c r="D2" s="110">
        <v>335.72</v>
      </c>
      <c r="E2" s="110">
        <v>335.72</v>
      </c>
      <c r="F2" s="110">
        <v>350.98</v>
      </c>
      <c r="G2" s="110">
        <v>350.98</v>
      </c>
      <c r="H2" s="110">
        <v>350.98</v>
      </c>
      <c r="I2" s="110">
        <v>350.98</v>
      </c>
    </row>
    <row r="3" spans="1:9"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</row>
    <row r="4" ht="15" spans="1:9">
      <c r="A4" s="111">
        <v>45747</v>
      </c>
      <c r="B4" s="29">
        <v>45747</v>
      </c>
    </row>
    <row r="5" ht="15" spans="1:9">
      <c r="A5" s="111">
        <v>45748</v>
      </c>
      <c r="B5" s="29">
        <v>45748</v>
      </c>
      <c r="C5" s="112">
        <f>IFERROR((Data_Entry!F3/Data_Entry!$V3/C$2),"")</f>
        <v>0.971475832100233</v>
      </c>
      <c r="D5" s="112">
        <f>IFERROR((Data_Entry!G3/Data_Entry!$V3/D$2),"")</f>
        <v>0.990035793886828</v>
      </c>
      <c r="E5" s="112">
        <f>IFERROR((Data_Entry!H3/Data_Entry!$V3/E$2),"")</f>
        <v>1.01895037211797</v>
      </c>
      <c r="F5" s="112">
        <f>IFERROR((Data_Entry!I3/Data_Entry!$V3/F$2),"")</f>
        <v>1.02536527197851</v>
      </c>
      <c r="G5" s="112">
        <f>IFERROR((Data_Entry!J3/Data_Entry!$V3/G$2),"")</f>
        <v>1.02050927265098</v>
      </c>
      <c r="H5" s="112">
        <f>IFERROR((Data_Entry!K3/Data_Entry!$V3/H$2),"")</f>
        <v>1.00344491630709</v>
      </c>
      <c r="I5" s="112">
        <f>IFERROR((Data_Entry!L3/Data_Entry!$V3/I$2),"")</f>
        <v>0.982390437470928</v>
      </c>
    </row>
    <row r="6" ht="15" spans="1:9">
      <c r="A6" s="111">
        <v>45749</v>
      </c>
      <c r="B6" s="29">
        <v>45749</v>
      </c>
      <c r="C6" s="112">
        <f>IFERROR((Data_Entry!F4/Data_Entry!$V4/C$2),"")</f>
        <v>1.03510310398523</v>
      </c>
      <c r="D6" s="112">
        <f>IFERROR((Data_Entry!G4/Data_Entry!$V4/D$2),"")</f>
        <v>1.05558378908041</v>
      </c>
      <c r="E6" s="112">
        <f>IFERROR((Data_Entry!H4/Data_Entry!$V4/E$2),"")</f>
        <v>1.04531030626568</v>
      </c>
      <c r="F6" s="112">
        <f>IFERROR((Data_Entry!I4/Data_Entry!$V4/F$2),"")</f>
        <v>1.01966683306487</v>
      </c>
      <c r="G6" s="112">
        <f>IFERROR((Data_Entry!J4/Data_Entry!$V4/G$2),"")</f>
        <v>0.964134385684347</v>
      </c>
      <c r="H6" s="112">
        <f>IFERROR((Data_Entry!K4/Data_Entry!$V4/H$2),"")</f>
        <v>0.953307826170448</v>
      </c>
      <c r="I6" s="112">
        <f>IFERROR((Data_Entry!L4/Data_Entry!$V4/I$2),"")</f>
        <v>0.957862784092061</v>
      </c>
    </row>
    <row r="7" ht="15" spans="1:9">
      <c r="A7" s="111">
        <v>45750</v>
      </c>
      <c r="B7" s="29">
        <v>45750</v>
      </c>
      <c r="C7" s="112">
        <f>IFERROR((Data_Entry!F5/Data_Entry!$V5/C$2),"")</f>
        <v>0.982378409992657</v>
      </c>
      <c r="D7" s="112">
        <f>IFERROR((Data_Entry!G5/Data_Entry!$V5/D$2),"")</f>
        <v>0.980482101882866</v>
      </c>
      <c r="E7" s="112">
        <f>IFERROR((Data_Entry!H5/Data_Entry!$V5/E$2),"")</f>
        <v>0.984290743241404</v>
      </c>
      <c r="F7" s="112">
        <f>IFERROR((Data_Entry!I5/Data_Entry!$V5/F$2),"")</f>
        <v>0.997638290501394</v>
      </c>
      <c r="G7" s="112">
        <f>IFERROR((Data_Entry!J5/Data_Entry!$V5/G$2),"")</f>
        <v>0.984558061139061</v>
      </c>
      <c r="H7" s="112">
        <f>IFERROR((Data_Entry!K5/Data_Entry!$V5/H$2),"")</f>
        <v>0.967185881517213</v>
      </c>
      <c r="I7" s="112">
        <f>IFERROR((Data_Entry!L5/Data_Entry!$V5/I$2),"")</f>
        <v>0.959363291222787</v>
      </c>
    </row>
    <row r="8" ht="15" spans="1:9">
      <c r="A8" s="111">
        <v>45751</v>
      </c>
      <c r="B8" s="29">
        <v>45751</v>
      </c>
      <c r="C8" s="112">
        <f>IFERROR((Data_Entry!F6/Data_Entry!$V6/C$2),"")</f>
        <v>0.962232283055228</v>
      </c>
      <c r="D8" s="112">
        <f>IFERROR((Data_Entry!G6/Data_Entry!$V6/D$2),"")</f>
        <v>0.962264230208503</v>
      </c>
      <c r="E8" s="112">
        <f>IFERROR((Data_Entry!H6/Data_Entry!$V6/E$2),"")</f>
        <v>0.965874258528536</v>
      </c>
      <c r="F8" s="112">
        <f>IFERROR((Data_Entry!I6/Data_Entry!$V6/F$2),"")</f>
        <v>0.977998203196258</v>
      </c>
      <c r="G8" s="112">
        <f>IFERROR((Data_Entry!J6/Data_Entry!$V6/G$2),"")</f>
        <v>0.965209618839757</v>
      </c>
      <c r="H8" s="112">
        <f>IFERROR((Data_Entry!K6/Data_Entry!$V6/H$2),"")</f>
        <v>0.9637351882658</v>
      </c>
      <c r="I8" s="112">
        <f>IFERROR((Data_Entry!L6/Data_Entry!$V6/I$2),"")</f>
        <v>0.92892181973977</v>
      </c>
    </row>
    <row r="9" ht="15" spans="1:9">
      <c r="A9" s="111">
        <v>45752</v>
      </c>
      <c r="B9" s="29">
        <v>45752</v>
      </c>
      <c r="C9" s="112">
        <f>IFERROR((Data_Entry!F7/Data_Entry!$V7/C$2),"")</f>
        <v>0.9885496842217</v>
      </c>
      <c r="D9" s="112">
        <f>IFERROR((Data_Entry!G7/Data_Entry!$V7/D$2),"")</f>
        <v>0.989339941674113</v>
      </c>
      <c r="E9" s="112">
        <f>IFERROR((Data_Entry!H7/Data_Entry!$V7/E$2),"")</f>
        <v>0.994201064818887</v>
      </c>
      <c r="F9" s="112">
        <f>IFERROR((Data_Entry!I7/Data_Entry!$V7/F$2),"")</f>
        <v>1.00501669649096</v>
      </c>
      <c r="G9" s="112">
        <f>IFERROR((Data_Entry!J7/Data_Entry!$V7/G$2),"")</f>
        <v>0.995264612105386</v>
      </c>
      <c r="H9" s="112">
        <f>IFERROR((Data_Entry!K7/Data_Entry!$V7/H$2),"")</f>
        <v>0.995140286705263</v>
      </c>
      <c r="I9" s="112">
        <f>IFERROR((Data_Entry!L7/Data_Entry!$V7/I$2),"")</f>
        <v>0.992857672359022</v>
      </c>
    </row>
    <row r="10" ht="15" spans="1:9">
      <c r="A10" s="111">
        <v>45753</v>
      </c>
      <c r="B10" s="29">
        <v>45753</v>
      </c>
      <c r="C10" s="112">
        <f>IFERROR((Data_Entry!F8/Data_Entry!$V8/C$2),"")</f>
        <v>0.980852781235972</v>
      </c>
      <c r="D10" s="112">
        <f>IFERROR((Data_Entry!G8/Data_Entry!$V8/D$2),"")</f>
        <v>0.977247181664613</v>
      </c>
      <c r="E10" s="112">
        <f>IFERROR((Data_Entry!H8/Data_Entry!$V8/E$2),"")</f>
        <v>0.983686678740799</v>
      </c>
      <c r="F10" s="112">
        <f>IFERROR((Data_Entry!I8/Data_Entry!$V8/F$2),"")</f>
        <v>0.992457917172564</v>
      </c>
      <c r="G10" s="112">
        <f>IFERROR((Data_Entry!J8/Data_Entry!$V8/G$2),"")</f>
        <v>0.980442823324121</v>
      </c>
      <c r="H10" s="112">
        <f>IFERROR((Data_Entry!K8/Data_Entry!$V8/H$2),"")</f>
        <v>0.948497684800897</v>
      </c>
      <c r="I10" s="112">
        <f>IFERROR((Data_Entry!L8/Data_Entry!$V8/I$2),"")</f>
        <v>0.943826871343036</v>
      </c>
    </row>
    <row r="11" ht="15" spans="1:9">
      <c r="A11" s="111">
        <v>45754</v>
      </c>
      <c r="B11" s="29">
        <v>45754</v>
      </c>
      <c r="C11" s="112">
        <f>IFERROR((Data_Entry!F9/Data_Entry!$V9/C$2),"")</f>
        <v>0.986285013398632</v>
      </c>
      <c r="D11" s="112">
        <f>IFERROR((Data_Entry!G9/Data_Entry!$V9/D$2),"")</f>
        <v>0.980718023671076</v>
      </c>
      <c r="E11" s="112">
        <f>IFERROR((Data_Entry!H9/Data_Entry!$V9/E$2),"")</f>
        <v>0.978349746273166</v>
      </c>
      <c r="F11" s="112">
        <f>IFERROR((Data_Entry!I9/Data_Entry!$V9/F$2),"")</f>
        <v>0.989640853110691</v>
      </c>
      <c r="G11" s="112">
        <f>IFERROR((Data_Entry!J9/Data_Entry!$V9/G$2),"")</f>
        <v>0.979888257366501</v>
      </c>
      <c r="H11" s="112">
        <f>IFERROR((Data_Entry!K9/Data_Entry!$V9/H$2),"")</f>
        <v>0.964737165938874</v>
      </c>
      <c r="I11" s="112">
        <f>IFERROR((Data_Entry!L9/Data_Entry!$V9/I$2),"")</f>
        <v>0.961760883577525</v>
      </c>
    </row>
    <row r="12" ht="15" spans="1:9">
      <c r="A12" s="111">
        <v>45755</v>
      </c>
      <c r="B12" s="29">
        <v>45755</v>
      </c>
      <c r="C12" s="112">
        <f>IFERROR((Data_Entry!F10/Data_Entry!$V10/C$2),"")</f>
        <v>0.978632241252883</v>
      </c>
      <c r="D12" s="112">
        <f>IFERROR((Data_Entry!G10/Data_Entry!$V10/D$2),"")</f>
        <v>0.988919867014408</v>
      </c>
      <c r="E12" s="112">
        <f>IFERROR((Data_Entry!H10/Data_Entry!$V10/E$2),"")</f>
        <v>0.992890901147782</v>
      </c>
      <c r="F12" s="112">
        <f>IFERROR((Data_Entry!I10/Data_Entry!$V10/F$2),"")</f>
        <v>0.99228385088635</v>
      </c>
      <c r="G12" s="112">
        <f>IFERROR((Data_Entry!J10/Data_Entry!$V10/G$2),"")</f>
        <v>0.980448097325001</v>
      </c>
      <c r="H12" s="112">
        <f>IFERROR((Data_Entry!K10/Data_Entry!$V10/H$2),"")</f>
        <v>0.963785868306244</v>
      </c>
      <c r="I12" s="112">
        <f>IFERROR((Data_Entry!L10/Data_Entry!$V10/I$2),"")</f>
        <v>0.960311616298078</v>
      </c>
    </row>
    <row r="13" ht="15" spans="1:9">
      <c r="A13" s="111">
        <v>45756</v>
      </c>
      <c r="B13" s="29">
        <v>45756</v>
      </c>
      <c r="C13" s="112">
        <f>IFERROR((Data_Entry!F11/Data_Entry!$V11/C$2),"")</f>
        <v>0.972162352446971</v>
      </c>
      <c r="D13" s="112">
        <f>IFERROR((Data_Entry!G11/Data_Entry!$V11/D$2),"")</f>
        <v>0.968763034111156</v>
      </c>
      <c r="E13" s="112">
        <f>IFERROR((Data_Entry!H11/Data_Entry!$V11/E$2),"")</f>
        <v>0.989623215233134</v>
      </c>
      <c r="F13" s="112">
        <f>IFERROR((Data_Entry!I11/Data_Entry!$V11/F$2),"")</f>
        <v>1.00188219984791</v>
      </c>
      <c r="G13" s="112">
        <f>IFERROR((Data_Entry!J11/Data_Entry!$V11/G$2),"")</f>
        <v>0.979790226968044</v>
      </c>
      <c r="H13" s="112">
        <f>IFERROR((Data_Entry!K11/Data_Entry!$V11/H$2),"")</f>
        <v>0.930501851245308</v>
      </c>
      <c r="I13" s="112">
        <f>IFERROR((Data_Entry!L11/Data_Entry!$V11/I$2),"")</f>
        <v>0.926995107860727</v>
      </c>
    </row>
    <row r="14" ht="15" spans="1:9">
      <c r="A14" s="111">
        <v>45757</v>
      </c>
      <c r="B14" s="29">
        <v>45757</v>
      </c>
      <c r="C14" s="112">
        <f>IFERROR((Data_Entry!F12/Data_Entry!$V12/C$2),"")</f>
        <v>0.99760081453159</v>
      </c>
      <c r="D14" s="112">
        <f>IFERROR((Data_Entry!G12/Data_Entry!$V12/D$2),"")</f>
        <v>0.993446920052425</v>
      </c>
      <c r="E14" s="112">
        <f>IFERROR((Data_Entry!H12/Data_Entry!$V12/E$2),"")</f>
        <v>1.00037368803007</v>
      </c>
      <c r="F14" s="112">
        <f>IFERROR((Data_Entry!I12/Data_Entry!$V12/F$2),"")</f>
        <v>1.01580509637949</v>
      </c>
      <c r="G14" s="112">
        <f>IFERROR((Data_Entry!J12/Data_Entry!$V12/G$2),"")</f>
        <v>1.0075373370148</v>
      </c>
      <c r="H14" s="112">
        <f>IFERROR((Data_Entry!K12/Data_Entry!$V12/H$2),"")</f>
        <v>0.949906495578614</v>
      </c>
      <c r="I14" s="112">
        <f>IFERROR((Data_Entry!L12/Data_Entry!$V12/I$2),"")</f>
        <v>0.949704463864815</v>
      </c>
    </row>
    <row r="15" ht="15" spans="1:9">
      <c r="A15" s="111">
        <v>45758</v>
      </c>
      <c r="B15" s="29">
        <v>45758</v>
      </c>
      <c r="C15" s="112">
        <f>IFERROR((Data_Entry!F13/Data_Entry!$V13/C$2),"")</f>
        <v>1.00139507972234</v>
      </c>
      <c r="D15" s="112">
        <f>IFERROR((Data_Entry!G13/Data_Entry!$V13/D$2),"")</f>
        <v>0.996717951521898</v>
      </c>
      <c r="E15" s="112">
        <f>IFERROR((Data_Entry!H13/Data_Entry!$V13/E$2),"")</f>
        <v>1.00206834136079</v>
      </c>
      <c r="F15" s="112">
        <f>IFERROR((Data_Entry!I13/Data_Entry!$V13/F$2),"")</f>
        <v>1.0180935650238</v>
      </c>
      <c r="G15" s="112">
        <f>IFERROR((Data_Entry!J13/Data_Entry!$V13/G$2),"")</f>
        <v>1.00937043596911</v>
      </c>
      <c r="H15" s="112">
        <f>IFERROR((Data_Entry!K13/Data_Entry!$V13/H$2),"")</f>
        <v>0.96045163561597</v>
      </c>
      <c r="I15" s="112">
        <f>IFERROR((Data_Entry!L13/Data_Entry!$V13/I$2),"")</f>
        <v>0.949386726949278</v>
      </c>
    </row>
    <row r="16" ht="15" spans="1:9">
      <c r="A16" s="111">
        <v>45759</v>
      </c>
      <c r="B16" s="29">
        <v>45759</v>
      </c>
      <c r="C16" s="112">
        <f>IFERROR((Data_Entry!F14/Data_Entry!$V14/C$2),"")</f>
        <v>0.946190791176555</v>
      </c>
      <c r="D16" s="112">
        <f>IFERROR((Data_Entry!G14/Data_Entry!$V14/D$2),"")</f>
        <v>0.985432236223125</v>
      </c>
      <c r="E16" s="112">
        <f>IFERROR((Data_Entry!H14/Data_Entry!$V14/E$2),"")</f>
        <v>0.99059355702823</v>
      </c>
      <c r="F16" s="112">
        <f>IFERROR((Data_Entry!I14/Data_Entry!$V14/F$2),"")</f>
        <v>1.01552598536905</v>
      </c>
      <c r="G16" s="112">
        <f>IFERROR((Data_Entry!J14/Data_Entry!$V14/G$2),"")</f>
        <v>1.01229365657931</v>
      </c>
      <c r="H16" s="112">
        <f>IFERROR((Data_Entry!K14/Data_Entry!$V14/H$2),"")</f>
        <v>0.963440298199524</v>
      </c>
      <c r="I16" s="112">
        <f>IFERROR((Data_Entry!L14/Data_Entry!$V14/I$2),"")</f>
        <v>0.928420128074888</v>
      </c>
    </row>
    <row r="17" ht="15" spans="1:9">
      <c r="A17" s="111">
        <v>45760</v>
      </c>
      <c r="B17" s="29">
        <v>45760</v>
      </c>
      <c r="C17" s="112">
        <f>IFERROR((Data_Entry!F15/Data_Entry!$V15/C$2),"")</f>
        <v>0.962197538213266</v>
      </c>
      <c r="D17" s="112">
        <f>IFERROR((Data_Entry!G15/Data_Entry!$V15/D$2),"")</f>
        <v>0.961593753205811</v>
      </c>
      <c r="E17" s="112">
        <f>IFERROR((Data_Entry!H15/Data_Entry!$V15/E$2),"")</f>
        <v>0.96637228026481</v>
      </c>
      <c r="F17" s="112">
        <f>IFERROR((Data_Entry!I15/Data_Entry!$V15/F$2),"")</f>
        <v>0.976191099559953</v>
      </c>
      <c r="G17" s="112">
        <f>IFERROR((Data_Entry!J15/Data_Entry!$V15/G$2),"")</f>
        <v>0.971543330082278</v>
      </c>
      <c r="H17" s="112">
        <f>IFERROR((Data_Entry!K15/Data_Entry!$V15/H$2),"")</f>
        <v>0.966202520422134</v>
      </c>
      <c r="I17" s="112">
        <f>IFERROR((Data_Entry!L15/Data_Entry!$V15/I$2),"")</f>
        <v>0.939195954581447</v>
      </c>
    </row>
    <row r="18" ht="15" spans="1:9">
      <c r="A18" s="111">
        <v>45761</v>
      </c>
      <c r="B18" s="29">
        <v>45761</v>
      </c>
      <c r="C18" s="112">
        <f>IFERROR((Data_Entry!F16/Data_Entry!$V16/C$2),"")</f>
        <v>0.969354422336074</v>
      </c>
      <c r="D18" s="112">
        <f>IFERROR((Data_Entry!G16/Data_Entry!$V16/D$2),"")</f>
        <v>0.986938520195401</v>
      </c>
      <c r="E18" s="112">
        <f>IFERROR((Data_Entry!H16/Data_Entry!$V16/E$2),"")</f>
        <v>0.994340521863458</v>
      </c>
      <c r="F18" s="112">
        <f>IFERROR((Data_Entry!I16/Data_Entry!$V16/F$2),"")</f>
        <v>1.00108268277395</v>
      </c>
      <c r="G18" s="112">
        <f>IFERROR((Data_Entry!J16/Data_Entry!$V16/G$2),"")</f>
        <v>0.997616198453853</v>
      </c>
      <c r="H18" s="112">
        <f>IFERROR((Data_Entry!K16/Data_Entry!$V16/H$2),"")</f>
        <v>0.963839345071894</v>
      </c>
      <c r="I18" s="112">
        <f>IFERROR((Data_Entry!L16/Data_Entry!$V16/I$2),"")</f>
        <v>0.937555796151727</v>
      </c>
    </row>
    <row r="19" ht="15" spans="1:9">
      <c r="A19" s="111">
        <v>45762</v>
      </c>
      <c r="B19" s="29">
        <v>45762</v>
      </c>
      <c r="C19" s="112">
        <f>IFERROR((Data_Entry!F17/Data_Entry!$V17/C$2),"")</f>
        <v>1.00549806971825</v>
      </c>
      <c r="D19" s="112">
        <f>IFERROR((Data_Entry!G17/Data_Entry!$V17/D$2),"")</f>
        <v>1.01514693257813</v>
      </c>
      <c r="E19" s="112">
        <f>IFERROR((Data_Entry!H17/Data_Entry!$V17/E$2),"")</f>
        <v>1.00705105292261</v>
      </c>
      <c r="F19" s="112">
        <f>IFERROR((Data_Entry!I17/Data_Entry!$V17/F$2),"")</f>
        <v>1.01140494040374</v>
      </c>
      <c r="G19" s="112">
        <f>IFERROR((Data_Entry!J17/Data_Entry!$V17/G$2),"")</f>
        <v>1.00602805429291</v>
      </c>
      <c r="H19" s="112">
        <f>IFERROR((Data_Entry!K17/Data_Entry!$V17/H$2),"")</f>
        <v>0.976352902958408</v>
      </c>
      <c r="I19" s="112">
        <f>IFERROR((Data_Entry!L17/Data_Entry!$V17/I$2),"")</f>
        <v>0.974731070463021</v>
      </c>
    </row>
    <row r="20" ht="15" spans="1:9">
      <c r="A20" s="111">
        <v>45763</v>
      </c>
      <c r="B20" s="29">
        <v>45763</v>
      </c>
      <c r="C20" s="112">
        <f>IFERROR((Data_Entry!F18/Data_Entry!$V18/C$2),"")</f>
        <v>1.02561294320439</v>
      </c>
      <c r="D20" s="112">
        <f>IFERROR((Data_Entry!G18/Data_Entry!$V18/D$2),"")</f>
        <v>1.022022927195</v>
      </c>
      <c r="E20" s="112">
        <f>IFERROR((Data_Entry!H18/Data_Entry!$V18/E$2),"")</f>
        <v>1.02435123467935</v>
      </c>
      <c r="F20" s="112">
        <f>IFERROR((Data_Entry!I18/Data_Entry!$V18/F$2),"")</f>
        <v>1.03102454736221</v>
      </c>
      <c r="G20" s="112">
        <f>IFERROR((Data_Entry!J18/Data_Entry!$V18/G$2),"")</f>
        <v>1.03279127861825</v>
      </c>
      <c r="H20" s="112">
        <f>IFERROR((Data_Entry!K18/Data_Entry!$V18/H$2),"")</f>
        <v>1.02922049079794</v>
      </c>
      <c r="I20" s="112">
        <f>IFERROR((Data_Entry!L18/Data_Entry!$V18/I$2),"")</f>
        <v>1.010197025372</v>
      </c>
    </row>
    <row r="21" ht="15" spans="1:9">
      <c r="A21" s="111">
        <v>45764</v>
      </c>
      <c r="B21" s="29">
        <v>45764</v>
      </c>
      <c r="C21" s="112">
        <f>IFERROR((Data_Entry!F19/Data_Entry!$V19/C$2),"")</f>
        <v>0.969043556033537</v>
      </c>
      <c r="D21" s="112">
        <f>IFERROR((Data_Entry!G19/Data_Entry!$V19/D$2),"")</f>
        <v>0.99708619181398</v>
      </c>
      <c r="E21" s="112">
        <f>IFERROR((Data_Entry!H19/Data_Entry!$V19/E$2),"")</f>
        <v>0.999344692005242</v>
      </c>
      <c r="F21" s="112">
        <f>IFERROR((Data_Entry!I19/Data_Entry!$V19/F$2),"")</f>
        <v>1.00553037959878</v>
      </c>
      <c r="G21" s="112">
        <f>IFERROR((Data_Entry!J19/Data_Entry!$V19/G$2),"")</f>
        <v>1.00425575306435</v>
      </c>
      <c r="H21" s="112">
        <f>IFERROR((Data_Entry!K19/Data_Entry!$V19/H$2),"")</f>
        <v>0.985876763108409</v>
      </c>
      <c r="I21" s="112">
        <f>IFERROR((Data_Entry!L19/Data_Entry!$V19/I$2),"")</f>
        <v>0.963659835168296</v>
      </c>
    </row>
    <row r="22" ht="15" spans="1:9">
      <c r="A22" s="111">
        <v>45765</v>
      </c>
      <c r="B22" s="29">
        <v>45765</v>
      </c>
      <c r="C22" s="112">
        <f>IFERROR((Data_Entry!F20/Data_Entry!$V20/C$2),"")</f>
        <v>0.992412419183906</v>
      </c>
      <c r="D22" s="112">
        <f>IFERROR((Data_Entry!G20/Data_Entry!$V20/D$2),"")</f>
        <v>0.993926251199308</v>
      </c>
      <c r="E22" s="112">
        <f>IFERROR((Data_Entry!I20/Data_Entry!$V20/E$2),"")</f>
        <v>0.996914722168223</v>
      </c>
      <c r="F22" s="112">
        <f>IFERROR((Data_Entry!J20/Data_Entry!$V20/F$2),"")</f>
        <v>1.00258280573792</v>
      </c>
      <c r="G22" s="112">
        <f>IFERROR((Data_Entry!K20/Data_Entry!$V20/G$2),"")</f>
        <v>0.978927236819612</v>
      </c>
      <c r="H22" s="112">
        <f>IFERROR((Data_Entry!L20/Data_Entry!$V20/H$2),"")</f>
        <v>0.958612876427207</v>
      </c>
      <c r="I22" s="112" t="str">
        <f>IFERROR((Data_Entry!#REF!/Data_Entry!$V20/I$2),"")</f>
        <v/>
      </c>
    </row>
    <row r="23" ht="15" spans="1:9">
      <c r="A23" s="111">
        <v>45766</v>
      </c>
      <c r="B23" s="29">
        <v>45766</v>
      </c>
      <c r="C23" s="112">
        <f>IFERROR((Data_Entry!F21/Data_Entry!$V21/C$2),"")</f>
        <v>0.962318409459791</v>
      </c>
      <c r="D23" s="112">
        <f>IFERROR((Data_Entry!G21/Data_Entry!$V21/D$2),"")</f>
        <v>0.990300179193794</v>
      </c>
      <c r="E23" s="112">
        <f>IFERROR((Data_Entry!H21/Data_Entry!$V21/E$2),"")</f>
        <v>0.991340742009069</v>
      </c>
      <c r="F23" s="112">
        <f>IFERROR((Data_Entry!I21/Data_Entry!$V21/F$2),"")</f>
        <v>1.00859976172677</v>
      </c>
      <c r="G23" s="112">
        <f>IFERROR((Data_Entry!J21/Data_Entry!$V21/G$2),"")</f>
        <v>1.0134773061162</v>
      </c>
      <c r="H23" s="112">
        <f>IFERROR((Data_Entry!K21/Data_Entry!$V21/H$2),"")</f>
        <v>0.952305163328866</v>
      </c>
      <c r="I23" s="112">
        <f>IFERROR((Data_Entry!L21/Data_Entry!$V21/I$2),"")</f>
        <v>0.608829808230427</v>
      </c>
    </row>
    <row r="24" ht="15" spans="1:9">
      <c r="A24" s="111">
        <v>45767</v>
      </c>
      <c r="B24" s="29">
        <v>45767</v>
      </c>
      <c r="C24" s="112">
        <f>IFERROR((Data_Entry!F22/Data_Entry!$V22/C$2),"")</f>
        <v>0.959866345546636</v>
      </c>
      <c r="D24" s="112">
        <f>IFERROR((Data_Entry!G22/Data_Entry!$V22/D$2),"")</f>
        <v>0.975303936376717</v>
      </c>
      <c r="E24" s="112">
        <f>IFERROR((Data_Entry!H22/Data_Entry!$V22/E$2),"")</f>
        <v>0.991640474107511</v>
      </c>
      <c r="F24" s="112">
        <f>IFERROR((Data_Entry!I22/Data_Entry!$V22/F$2),"")</f>
        <v>1.00428192810306</v>
      </c>
      <c r="G24" s="112">
        <f>IFERROR((Data_Entry!J22/Data_Entry!$V22/G$2),"")</f>
        <v>1.0020974131904</v>
      </c>
      <c r="H24" s="112">
        <f>IFERROR((Data_Entry!K22/Data_Entry!$V22/H$2),"")</f>
        <v>0.956529361693109</v>
      </c>
      <c r="I24" s="112">
        <f>IFERROR((Data_Entry!L22/Data_Entry!$V22/I$2),"")</f>
        <v>0.552951851339205</v>
      </c>
    </row>
    <row r="25" ht="15" spans="1:9">
      <c r="A25" s="111">
        <v>45768</v>
      </c>
      <c r="B25" s="29">
        <v>45768</v>
      </c>
      <c r="C25" s="112">
        <f>IFERROR((Data_Entry!F23/Data_Entry!$V23/C$2),"")</f>
        <v>0.873171046129386</v>
      </c>
      <c r="D25" s="112">
        <f>IFERROR((Data_Entry!G23/Data_Entry!$V23/D$2),"")</f>
        <v>0.926015629730474</v>
      </c>
      <c r="E25" s="112">
        <f>IFERROR((Data_Entry!H23/Data_Entry!$V23/E$2),"")</f>
        <v>0.952750438011379</v>
      </c>
      <c r="F25" s="112">
        <f>IFERROR((Data_Entry!I23/Data_Entry!$V23/F$2),"")</f>
        <v>0.971439220767331</v>
      </c>
      <c r="G25" s="112">
        <f>IFERROR((Data_Entry!J23/Data_Entry!$V23/G$2),"")</f>
        <v>0.963344789157105</v>
      </c>
      <c r="H25" s="112">
        <f>IFERROR((Data_Entry!K23/Data_Entry!$V23/H$2),"")</f>
        <v>0.859354930316892</v>
      </c>
      <c r="I25" s="112">
        <f>IFERROR((Data_Entry!L23/Data_Entry!$V23/I$2),"")</f>
        <v>0.838509316770186</v>
      </c>
    </row>
    <row r="26" ht="15" spans="1:9">
      <c r="A26" s="111">
        <v>45769</v>
      </c>
      <c r="B26" s="29">
        <v>45769</v>
      </c>
      <c r="C26" s="112">
        <f>IFERROR((Data_Entry!F24/Data_Entry!$V24/C$2),"")</f>
        <v>0.916664835120344</v>
      </c>
      <c r="D26" s="112">
        <f>IFERROR((Data_Entry!G24/Data_Entry!$V24/D$2),"")</f>
        <v>0.956775699583217</v>
      </c>
      <c r="E26" s="112">
        <f>IFERROR((Data_Entry!H24/Data_Entry!$V24/E$2),"")</f>
        <v>0.977978258195591</v>
      </c>
      <c r="F26" s="112">
        <f>IFERROR((Data_Entry!I24/Data_Entry!$V24/F$2),"")</f>
        <v>0.974709555731239</v>
      </c>
      <c r="G26" s="112">
        <f>IFERROR((Data_Entry!J24/Data_Entry!$V24/G$2),"")</f>
        <v>0.976134138328538</v>
      </c>
      <c r="H26" s="112">
        <f>IFERROR((Data_Entry!K24/Data_Entry!$V24/H$2),"")</f>
        <v>0.932599078567067</v>
      </c>
      <c r="I26" s="112">
        <f>IFERROR((Data_Entry!L24/Data_Entry!$V24/I$2),"")</f>
        <v>0.915296623914436</v>
      </c>
    </row>
    <row r="27" ht="15" spans="1:9">
      <c r="A27" s="111">
        <v>45770</v>
      </c>
      <c r="B27" s="29">
        <v>45770</v>
      </c>
      <c r="C27" s="112">
        <f>IFERROR((Data_Entry!F25/Data_Entry!$V25/C$2),"")</f>
        <v>0.932523134357997</v>
      </c>
      <c r="D27" s="112">
        <f>IFERROR((Data_Entry!G25/Data_Entry!$V25/D$2),"")</f>
        <v>0.934563525159855</v>
      </c>
      <c r="E27" s="112">
        <f>IFERROR((Data_Entry!H25/Data_Entry!$V25/E$2),"")</f>
        <v>0.935789745422773</v>
      </c>
      <c r="F27" s="112">
        <f>IFERROR((Data_Entry!I25/Data_Entry!$V25/F$2),"")</f>
        <v>0.948216422588182</v>
      </c>
      <c r="G27" s="112">
        <f>IFERROR((Data_Entry!J25/Data_Entry!$V25/G$2),"")</f>
        <v>0.938268087450377</v>
      </c>
      <c r="H27" s="112">
        <f>IFERROR((Data_Entry!K25/Data_Entry!$V25/H$2),"")</f>
        <v>0.933623948183182</v>
      </c>
      <c r="I27" s="112">
        <f>IFERROR((Data_Entry!L25/Data_Entry!$V25/I$2),"")</f>
        <v>0.918390411609398</v>
      </c>
    </row>
    <row r="28" ht="15" spans="1:9">
      <c r="A28" s="111">
        <v>45771</v>
      </c>
      <c r="B28" s="29">
        <v>45771</v>
      </c>
      <c r="C28" s="112">
        <f>IFERROR((Data_Entry!F26/Data_Entry!$V26/C$2),"")</f>
        <v>0.968020116034341</v>
      </c>
      <c r="D28" s="112">
        <f>IFERROR((Data_Entry!G26/Data_Entry!$V26/D$2),"")</f>
        <v>0.964177919322407</v>
      </c>
      <c r="E28" s="112">
        <f>IFERROR((Data_Entry!H26/Data_Entry!$V26/E$2),"")</f>
        <v>0.965070550881745</v>
      </c>
      <c r="F28" s="112">
        <f>IFERROR((Data_Entry!I26/Data_Entry!$V26/F$2),"")</f>
        <v>0.96681362914412</v>
      </c>
      <c r="G28" s="112">
        <f>IFERROR((Data_Entry!J26/Data_Entry!$V26/G$2),"")</f>
        <v>0.971848391743695</v>
      </c>
      <c r="H28" s="112">
        <f>IFERROR((Data_Entry!K26/Data_Entry!$V26/H$2),"")</f>
        <v>0.969955135392887</v>
      </c>
      <c r="I28" s="112">
        <f>IFERROR((Data_Entry!L26/Data_Entry!$V26/I$2),"")</f>
        <v>0.963880937934045</v>
      </c>
    </row>
    <row r="29" ht="15" spans="1:9">
      <c r="A29" s="111">
        <v>45772</v>
      </c>
      <c r="B29" s="29">
        <v>45772</v>
      </c>
      <c r="C29" s="112">
        <f>IFERROR((Data_Entry!F27/Data_Entry!$V27/C$2),"")</f>
        <v>0.965042373284599</v>
      </c>
      <c r="D29" s="112">
        <f>IFERROR((Data_Entry!G27/Data_Entry!$V27/D$2),"")</f>
        <v>0.969010764713787</v>
      </c>
      <c r="E29" s="112">
        <f>IFERROR((Data_Entry!H27/Data_Entry!$V27/E$2),"")</f>
        <v>0.971223357057399</v>
      </c>
      <c r="F29" s="112">
        <f>IFERROR((Data_Entry!I27/Data_Entry!$V27/F$2),"")</f>
        <v>0.969722021607413</v>
      </c>
      <c r="G29" s="112">
        <f>IFERROR((Data_Entry!J27/Data_Entry!$V27/G$2),"")</f>
        <v>0.963359189431618</v>
      </c>
      <c r="H29" s="112">
        <f>IFERROR((Data_Entry!K27/Data_Entry!$V27/H$2),"")</f>
        <v>0.962353333987519</v>
      </c>
      <c r="I29" s="112">
        <f>IFERROR((Data_Entry!L27/Data_Entry!$V27/I$2),"")</f>
        <v>0.951097766054227</v>
      </c>
    </row>
    <row r="30" ht="15" spans="1:9">
      <c r="A30" s="111">
        <v>45773</v>
      </c>
      <c r="B30" s="29">
        <v>45773</v>
      </c>
      <c r="C30" s="112">
        <f>IFERROR((Data_Entry!F28/Data_Entry!$V28/C$2),"")</f>
        <v>1.26212394412582</v>
      </c>
      <c r="D30" s="112">
        <f>IFERROR((Data_Entry!G28/Data_Entry!$V28/D$2),"")</f>
        <v>1.25917014551593</v>
      </c>
      <c r="E30" s="112">
        <f>IFERROR((Data_Entry!H28/Data_Entry!$V28/E$2),"")</f>
        <v>1.26260898895018</v>
      </c>
      <c r="F30" s="112">
        <f>IFERROR((Data_Entry!I28/Data_Entry!$V28/F$2),"")</f>
        <v>1.26458918309378</v>
      </c>
      <c r="G30" s="112">
        <f>IFERROR((Data_Entry!J28/Data_Entry!$V28/G$2),"")</f>
        <v>1.25560152420226</v>
      </c>
      <c r="H30" s="112">
        <f>IFERROR((Data_Entry!K28/Data_Entry!$V28/H$2),"")</f>
        <v>1.25588108738419</v>
      </c>
      <c r="I30" s="112">
        <f>IFERROR((Data_Entry!L28/Data_Entry!$V28/I$2),"")</f>
        <v>1.24073114218453</v>
      </c>
    </row>
    <row r="31" ht="15" spans="1:9">
      <c r="A31" s="111">
        <v>45774</v>
      </c>
      <c r="B31" s="29">
        <v>45774</v>
      </c>
      <c r="C31" s="112">
        <f>IFERROR((Data_Entry!F29/Data_Entry!$V29/C$2),"")</f>
        <v>1.10212547915736</v>
      </c>
      <c r="D31" s="112">
        <f>IFERROR((Data_Entry!G29/Data_Entry!$V29/D$2),"")</f>
        <v>1.09947285782591</v>
      </c>
      <c r="E31" s="112">
        <f>IFERROR((Data_Entry!H29/Data_Entry!$V29/E$2),"")</f>
        <v>1.10276652931246</v>
      </c>
      <c r="F31" s="112">
        <f>IFERROR((Data_Entry!I29/Data_Entry!$V29/F$2),"")</f>
        <v>1.10400658173018</v>
      </c>
      <c r="G31" s="112">
        <f>IFERROR((Data_Entry!J29/Data_Entry!$V29/G$2),"")</f>
        <v>1.09647928815484</v>
      </c>
      <c r="H31" s="112">
        <f>IFERROR((Data_Entry!K29/Data_Entry!$V29/H$2),"")</f>
        <v>1.09795937397022</v>
      </c>
      <c r="I31" s="112">
        <f>IFERROR((Data_Entry!L29/Data_Entry!$V29/I$2),"")</f>
        <v>1.08299993519339</v>
      </c>
    </row>
    <row r="32" ht="15" spans="1:9">
      <c r="A32" s="111">
        <v>45775</v>
      </c>
      <c r="B32" s="29">
        <v>45775</v>
      </c>
      <c r="C32" s="112">
        <f>IFERROR((Data_Entry!F30/Data_Entry!$V30/C$2),"")</f>
        <v>0.960831272001997</v>
      </c>
      <c r="D32" s="112">
        <f>IFERROR((Data_Entry!G30/Data_Entry!$V30/D$2),"")</f>
        <v>0.954816181728485</v>
      </c>
      <c r="E32" s="112">
        <f>IFERROR((Data_Entry!H30/Data_Entry!$V30/E$2),"")</f>
        <v>0.956914245215886</v>
      </c>
      <c r="F32" s="112">
        <f>IFERROR((Data_Entry!I30/Data_Entry!$V30/F$2),"")</f>
        <v>0.96139302912841</v>
      </c>
      <c r="G32" s="112">
        <f>IFERROR((Data_Entry!J30/Data_Entry!$V30/G$2),"")</f>
        <v>0.954470340190324</v>
      </c>
      <c r="H32" s="112">
        <f>IFERROR((Data_Entry!K30/Data_Entry!$V30/H$2),"")</f>
        <v>0.955667081629089</v>
      </c>
      <c r="I32" s="112">
        <f>IFERROR((Data_Entry!L30/Data_Entry!$V30/I$2),"")</f>
        <v>0.941536326948288</v>
      </c>
    </row>
    <row r="33" ht="15" spans="1:9">
      <c r="A33" s="111">
        <v>45776</v>
      </c>
      <c r="B33" s="29">
        <v>45776</v>
      </c>
      <c r="C33" s="112">
        <f>IFERROR((Data_Entry!F31/Data_Entry!$V31/C$2),"")</f>
        <v>0.968310142622069</v>
      </c>
      <c r="D33" s="112">
        <f>IFERROR((Data_Entry!G31/Data_Entry!$V31/D$2),"")</f>
        <v>0.9564948987507</v>
      </c>
      <c r="E33" s="112">
        <f>IFERROR((Data_Entry!H31/Data_Entry!$V31/E$2),"")</f>
        <v>0.959734027731869</v>
      </c>
      <c r="F33" s="112">
        <f>IFERROR((Data_Entry!I31/Data_Entry!$V31/F$2),"")</f>
        <v>0.96484782422979</v>
      </c>
      <c r="G33" s="112">
        <f>IFERROR((Data_Entry!J31/Data_Entry!$V31/G$2),"")</f>
        <v>0.958116728078482</v>
      </c>
      <c r="H33" s="112">
        <f>IFERROR((Data_Entry!K31/Data_Entry!$V31/H$2),"")</f>
        <v>0.956757825759914</v>
      </c>
      <c r="I33" s="112">
        <f>IFERROR((Data_Entry!L31/Data_Entry!$V31/I$2),"")</f>
        <v>0.943639888711336</v>
      </c>
    </row>
    <row r="34" ht="15" spans="1:9">
      <c r="A34" s="111">
        <v>45777</v>
      </c>
      <c r="B34" s="29">
        <v>45777</v>
      </c>
      <c r="C34" s="112">
        <f>IFERROR((Data_Entry!F32/Data_Entry!$V32/C$2),"")</f>
        <v>0.973226461221776</v>
      </c>
      <c r="D34" s="112">
        <f>IFERROR((Data_Entry!G32/Data_Entry!$V32/D$2),"")</f>
        <v>0.960448881588838</v>
      </c>
      <c r="E34" s="112">
        <f>IFERROR((Data_Entry!H32/Data_Entry!$V32/E$2),"")</f>
        <v>0.963217925935084</v>
      </c>
      <c r="F34" s="112">
        <f>IFERROR((Data_Entry!I32/Data_Entry!$V32/F$2),"")</f>
        <v>0.968641556272784</v>
      </c>
      <c r="G34" s="112">
        <f>IFERROR((Data_Entry!J32/Data_Entry!$V32/G$2),"")</f>
        <v>0.959567128337126</v>
      </c>
      <c r="H34" s="112">
        <f>IFERROR((Data_Entry!K32/Data_Entry!$V32/H$2),"")</f>
        <v>0.957818459027839</v>
      </c>
      <c r="I34" s="112">
        <f>IFERROR((Data_Entry!L32/Data_Entry!$V32/I$2),"")</f>
        <v>0.946794847702095</v>
      </c>
    </row>
    <row r="35" ht="15" spans="1:9">
      <c r="A35" s="111">
        <v>45778</v>
      </c>
      <c r="B35" s="29">
        <v>45778</v>
      </c>
      <c r="C35" s="112">
        <f>IFERROR((Data_Entry!F33/Data_Entry!$V33/C$2),"")</f>
        <v>0.981368523324218</v>
      </c>
      <c r="D35" s="112">
        <f>IFERROR((Data_Entry!G33/Data_Entry!$V33/D$2),"")</f>
        <v>0.975125419072611</v>
      </c>
      <c r="E35" s="112">
        <f>IFERROR((Data_Entry!H33/Data_Entry!$V33/E$2),"")</f>
        <v>0.961496175190514</v>
      </c>
      <c r="F35" s="112">
        <f>IFERROR((Data_Entry!I33/Data_Entry!$V33/F$2),"")</f>
        <v>0.965394456497417</v>
      </c>
      <c r="G35" s="112">
        <f>IFERROR((Data_Entry!J33/Data_Entry!$V33/G$2),"")</f>
        <v>0.955438593077594</v>
      </c>
      <c r="H35" s="112">
        <f>IFERROR((Data_Entry!K33/Data_Entry!$V33/H$2),"")</f>
        <v>0.955396897977185</v>
      </c>
      <c r="I35" s="112">
        <f>IFERROR((Data_Entry!L33/Data_Entry!$V33/I$2),"")</f>
        <v>0.942300003659903</v>
      </c>
    </row>
    <row r="36" ht="15" spans="1:9">
      <c r="A36" s="111">
        <v>45779</v>
      </c>
      <c r="B36" s="29">
        <v>45779</v>
      </c>
      <c r="C36" s="112">
        <f>IFERROR((Data_Entry!F34/Data_Entry!$V34/C$2),"")</f>
        <v>0.9775844825461</v>
      </c>
      <c r="D36" s="112">
        <f>IFERROR((Data_Entry!G34/Data_Entry!$V34/D$2),"")</f>
        <v>0.98223719736545</v>
      </c>
      <c r="E36" s="112">
        <f>IFERROR((Data_Entry!H34/Data_Entry!$V34/E$2),"")</f>
        <v>0.974507611841444</v>
      </c>
      <c r="F36" s="112">
        <f>IFERROR((Data_Entry!I34/Data_Entry!$V34/F$2),"")</f>
        <v>0.955566172957477</v>
      </c>
      <c r="G36" s="112">
        <f>IFERROR((Data_Entry!J34/Data_Entry!$V34/G$2),"")</f>
        <v>0.943042369904299</v>
      </c>
      <c r="H36" s="112">
        <f>IFERROR((Data_Entry!K34/Data_Entry!$V34/H$2),"")</f>
        <v>0.929386951789531</v>
      </c>
      <c r="I36" s="112">
        <f>IFERROR((Data_Entry!L34/Data_Entry!$V34/I$2),"")</f>
        <v>0.920982585383487</v>
      </c>
    </row>
    <row r="37" ht="15" spans="1:9">
      <c r="A37" s="111">
        <v>45780</v>
      </c>
      <c r="B37" s="29">
        <v>45780</v>
      </c>
      <c r="C37" s="112">
        <f>IFERROR((Data_Entry!F35/Data_Entry!$V35/C$2),"")</f>
        <v>0.995142988125551</v>
      </c>
      <c r="D37" s="112">
        <f>IFERROR((Data_Entry!G35/Data_Entry!$V35/D$2),"")</f>
        <v>0.986848075067286</v>
      </c>
      <c r="E37" s="112">
        <f>IFERROR((Data_Entry!H35/Data_Entry!$V35/E$2),"")</f>
        <v>0.985472164994007</v>
      </c>
      <c r="F37" s="112">
        <f>IFERROR((Data_Entry!I35/Data_Entry!$V35/F$2),"")</f>
        <v>0.994019017328585</v>
      </c>
      <c r="G37" s="112">
        <f>IFERROR((Data_Entry!J35/Data_Entry!$V35/G$2),"")</f>
        <v>0.985924369192939</v>
      </c>
      <c r="H37" s="112">
        <f>IFERROR((Data_Entry!K35/Data_Entry!$V35/H$2),"")</f>
        <v>0.977508954114855</v>
      </c>
      <c r="I37" s="112">
        <f>IFERROR((Data_Entry!L35/Data_Entry!$V35/I$2),"")</f>
        <v>0.973872023046916</v>
      </c>
    </row>
    <row r="38" ht="15" spans="1:9">
      <c r="A38" s="111">
        <v>45781</v>
      </c>
      <c r="B38" s="29">
        <v>45781</v>
      </c>
      <c r="C38" s="112">
        <f>IFERROR((Data_Entry!F36/Data_Entry!$V36/C$2),"")</f>
        <v>1.00054488979784</v>
      </c>
      <c r="D38" s="112">
        <f>IFERROR((Data_Entry!G36/Data_Entry!$V36/D$2),"")</f>
        <v>0.991554317242391</v>
      </c>
      <c r="E38" s="112">
        <f>IFERROR((Data_Entry!H36/Data_Entry!$V36/E$2),"")</f>
        <v>0.991936198358217</v>
      </c>
      <c r="F38" s="112">
        <f>IFERROR((Data_Entry!I36/Data_Entry!$V36/F$2),"")</f>
        <v>1.00317749756464</v>
      </c>
      <c r="G38" s="112">
        <f>IFERROR((Data_Entry!J36/Data_Entry!$V36/G$2),"")</f>
        <v>0.995642342727647</v>
      </c>
      <c r="H38" s="112">
        <f>IFERROR((Data_Entry!K36/Data_Entry!$V36/H$2),"")</f>
        <v>0.987047882882403</v>
      </c>
      <c r="I38" s="112">
        <f>IFERROR((Data_Entry!L36/Data_Entry!$V36/I$2),"")</f>
        <v>0.989004727109462</v>
      </c>
    </row>
    <row r="39" ht="15" spans="1:9">
      <c r="A39" s="111">
        <v>45782</v>
      </c>
      <c r="B39" s="29">
        <v>45782</v>
      </c>
      <c r="C39" s="112">
        <f>IFERROR((Data_Entry!F37/Data_Entry!$V37/C$2),"")</f>
        <v>1.00605088129739</v>
      </c>
      <c r="D39" s="112">
        <f>IFERROR((Data_Entry!G37/Data_Entry!$V37/D$2),"")</f>
        <v>0.997432217101256</v>
      </c>
      <c r="E39" s="112">
        <f>IFERROR((Data_Entry!H37/Data_Entry!$V37/E$2),"")</f>
        <v>0.997560272189441</v>
      </c>
      <c r="F39" s="112">
        <f>IFERROR((Data_Entry!I37/Data_Entry!$V37/F$2),"")</f>
        <v>1.00564880284469</v>
      </c>
      <c r="G39" s="112">
        <f>IFERROR((Data_Entry!J37/Data_Entry!$V37/G$2),"")</f>
        <v>0.999359337246897</v>
      </c>
      <c r="H39" s="112">
        <f>IFERROR((Data_Entry!K37/Data_Entry!$V37/H$2),"")</f>
        <v>0.989720105467042</v>
      </c>
      <c r="I39" s="112">
        <f>IFERROR((Data_Entry!L37/Data_Entry!$V37/I$2),"")</f>
        <v>0.990513611287594</v>
      </c>
    </row>
    <row r="40" ht="15" spans="1:9">
      <c r="A40" s="111">
        <v>45783</v>
      </c>
      <c r="B40" s="29">
        <v>45783</v>
      </c>
      <c r="C40" s="112">
        <f>IFERROR((Data_Entry!F38/Data_Entry!$V38/C$2),"")</f>
        <v>1.10529733866082</v>
      </c>
      <c r="D40" s="112">
        <f>IFERROR((Data_Entry!G38/Data_Entry!$V38/D$2),"")</f>
        <v>1.09850093052057</v>
      </c>
      <c r="E40" s="112">
        <f>IFERROR((Data_Entry!H38/Data_Entry!$V38/E$2),"")</f>
        <v>1.10228510344804</v>
      </c>
      <c r="F40" s="112">
        <f>IFERROR((Data_Entry!I38/Data_Entry!$V38/F$2),"")</f>
        <v>1.10267508521412</v>
      </c>
      <c r="G40" s="112">
        <f>IFERROR((Data_Entry!J38/Data_Entry!$V38/G$2),"")</f>
        <v>1.09975368766247</v>
      </c>
      <c r="H40" s="112">
        <f>IFERROR((Data_Entry!K38/Data_Entry!$V38/H$2),"")</f>
        <v>1.10436050687853</v>
      </c>
      <c r="I40" s="112">
        <f>IFERROR((Data_Entry!L38/Data_Entry!$V38/I$2),"")</f>
        <v>1.0946412419471</v>
      </c>
    </row>
    <row r="41" ht="15" spans="1:9">
      <c r="A41" s="111">
        <v>45784</v>
      </c>
      <c r="B41" s="29">
        <v>45784</v>
      </c>
      <c r="C41" s="112">
        <f>IFERROR((Data_Entry!F39/Data_Entry!$V39/C$2),"")</f>
        <v>0.831031794334546</v>
      </c>
      <c r="D41" s="112">
        <f>IFERROR((Data_Entry!G39/Data_Entry!$V39/D$2),"")</f>
        <v>0.827543258735919</v>
      </c>
      <c r="E41" s="112">
        <f>IFERROR((Data_Entry!H39/Data_Entry!$V39/E$2),"")</f>
        <v>0.829654270021242</v>
      </c>
      <c r="F41" s="112">
        <f>IFERROR((Data_Entry!I39/Data_Entry!$V39/F$2),"")</f>
        <v>0.826531700085749</v>
      </c>
      <c r="G41" s="112">
        <f>IFERROR((Data_Entry!J39/Data_Entry!$V39/G$2),"")</f>
        <v>0.818634464426247</v>
      </c>
      <c r="H41" s="112">
        <f>IFERROR((Data_Entry!K39/Data_Entry!$V39/H$2),"")</f>
        <v>0.820662248663844</v>
      </c>
      <c r="I41" s="112">
        <f>IFERROR((Data_Entry!L39/Data_Entry!$V39/I$2),"")</f>
        <v>0.813697622632605</v>
      </c>
    </row>
    <row r="42" ht="15" spans="1:9">
      <c r="A42" s="111">
        <v>45785</v>
      </c>
      <c r="B42" s="29">
        <v>45785</v>
      </c>
      <c r="C42" s="112">
        <f>IFERROR((Data_Entry!F40/Data_Entry!$V40/C$2),"")</f>
        <v>0.990309025712247</v>
      </c>
      <c r="D42" s="112">
        <f>IFERROR((Data_Entry!G40/Data_Entry!$V40/D$2),"")</f>
        <v>0.988854700884165</v>
      </c>
      <c r="E42" s="112">
        <f>IFERROR((Data_Entry!H40/Data_Entry!$V40/E$2),"")</f>
        <v>0.992625172660675</v>
      </c>
      <c r="F42" s="112">
        <f>IFERROR((Data_Entry!I40/Data_Entry!$V40/F$2),"")</f>
        <v>0.999459328398696</v>
      </c>
      <c r="G42" s="112">
        <f>IFERROR((Data_Entry!J40/Data_Entry!$V40/G$2),"")</f>
        <v>0.996404075305755</v>
      </c>
      <c r="H42" s="112">
        <f>IFERROR((Data_Entry!K40/Data_Entry!$V40/H$2),"")</f>
        <v>0.988304820900858</v>
      </c>
      <c r="I42" s="112">
        <f>IFERROR((Data_Entry!L40/Data_Entry!$V40/I$2),"")</f>
        <v>0.973677732315932</v>
      </c>
    </row>
    <row r="43" ht="15" spans="1:9">
      <c r="A43" s="111">
        <v>45786</v>
      </c>
      <c r="B43" s="29">
        <v>45786</v>
      </c>
      <c r="C43" s="112">
        <f>IFERROR((Data_Entry!F41/Data_Entry!$V41/C$2),"")</f>
        <v>0.938566764254838</v>
      </c>
      <c r="D43" s="112">
        <f>IFERROR((Data_Entry!G41/Data_Entry!$V41/D$2),"")</f>
        <v>0.929178681472259</v>
      </c>
      <c r="E43" s="112">
        <f>IFERROR((Data_Entry!H41/Data_Entry!$V41/E$2),"")</f>
        <v>0.929376846808039</v>
      </c>
      <c r="F43" s="112">
        <f>IFERROR((Data_Entry!I41/Data_Entry!$V41/F$2),"")</f>
        <v>0.929325420749434</v>
      </c>
      <c r="G43" s="112">
        <f>IFERROR((Data_Entry!J41/Data_Entry!$V41/G$2),"")</f>
        <v>0.923224297775554</v>
      </c>
      <c r="H43" s="112">
        <f>IFERROR((Data_Entry!K41/Data_Entry!$V41/H$2),"")</f>
        <v>0.926061616129426</v>
      </c>
      <c r="I43" s="112">
        <f>IFERROR((Data_Entry!L41/Data_Entry!$V41/I$2),"")</f>
        <v>0.920588375714024</v>
      </c>
    </row>
    <row r="44" ht="15" spans="1:9">
      <c r="A44" s="111">
        <v>45787</v>
      </c>
      <c r="B44" s="29">
        <v>45787</v>
      </c>
      <c r="C44" s="112">
        <f>IFERROR((Data_Entry!F42/Data_Entry!$V42/C$2),"")</f>
        <v>1.03969929372677</v>
      </c>
      <c r="D44" s="112">
        <f>IFERROR((Data_Entry!G42/Data_Entry!$V42/D$2),"")</f>
        <v>1.03593675978558</v>
      </c>
      <c r="E44" s="112">
        <f>IFERROR((Data_Entry!H42/Data_Entry!$V42/E$2),"")</f>
        <v>1.04173020693367</v>
      </c>
      <c r="F44" s="112">
        <f>IFERROR((Data_Entry!I42/Data_Entry!$V42/F$2),"")</f>
        <v>1.04517330967481</v>
      </c>
      <c r="G44" s="112">
        <f>IFERROR((Data_Entry!J42/Data_Entry!$V42/G$2),"")</f>
        <v>1.03886152266477</v>
      </c>
      <c r="H44" s="112">
        <f>IFERROR((Data_Entry!K42/Data_Entry!$V42/H$2),"")</f>
        <v>1.04365330049205</v>
      </c>
      <c r="I44" s="112">
        <f>IFERROR((Data_Entry!L42/Data_Entry!$V42/I$2),"")</f>
        <v>0.9700589545445</v>
      </c>
    </row>
    <row r="45" ht="15" spans="1:9">
      <c r="A45" s="111">
        <v>45788</v>
      </c>
      <c r="B45" s="29">
        <v>45788</v>
      </c>
      <c r="C45" s="112">
        <f>IFERROR((Data_Entry!F43/Data_Entry!$V43/C$2),"")</f>
        <v>0.953505464385393</v>
      </c>
      <c r="D45" s="112">
        <f>IFERROR((Data_Entry!G43/Data_Entry!$V43/D$2),"")</f>
        <v>0.948490562766894</v>
      </c>
      <c r="E45" s="112">
        <f>IFERROR((Data_Entry!H43/Data_Entry!$V43/E$2),"")</f>
        <v>0.953746234696295</v>
      </c>
      <c r="F45" s="112">
        <f>IFERROR((Data_Entry!I43/Data_Entry!$V43/F$2),"")</f>
        <v>0.954878303797865</v>
      </c>
      <c r="G45" s="112">
        <f>IFERROR((Data_Entry!J43/Data_Entry!$V43/G$2),"")</f>
        <v>0.950686806733295</v>
      </c>
      <c r="H45" s="112">
        <f>IFERROR((Data_Entry!K43/Data_Entry!$V43/H$2),"")</f>
        <v>0.947817901364138</v>
      </c>
      <c r="I45" s="112">
        <f>IFERROR((Data_Entry!L43/Data_Entry!$V43/I$2),"")</f>
        <v>0.941606326436423</v>
      </c>
    </row>
    <row r="46" ht="15" spans="1:9">
      <c r="A46" s="111">
        <v>45789</v>
      </c>
      <c r="B46" s="29">
        <v>45789</v>
      </c>
      <c r="C46" s="112">
        <f>IFERROR((Data_Entry!F44/Data_Entry!$V44/C$2),"")</f>
        <v>0.920427083125285</v>
      </c>
      <c r="D46" s="112">
        <f>IFERROR((Data_Entry!G44/Data_Entry!$V44/D$2),"")</f>
        <v>0.915583152948587</v>
      </c>
      <c r="E46" s="112">
        <f>IFERROR((Data_Entry!H44/Data_Entry!$V44/E$2),"")</f>
        <v>0.915703677277628</v>
      </c>
      <c r="F46" s="112">
        <f>IFERROR((Data_Entry!I44/Data_Entry!$V44/F$2),"")</f>
        <v>0.911035667705432</v>
      </c>
      <c r="G46" s="112">
        <f>IFERROR((Data_Entry!J44/Data_Entry!$V44/G$2),"")</f>
        <v>0.89548328813646</v>
      </c>
      <c r="H46" s="112">
        <f>IFERROR((Data_Entry!K44/Data_Entry!$V44/H$2),"")</f>
        <v>0.89161303483744</v>
      </c>
      <c r="I46" s="112">
        <f>IFERROR((Data_Entry!L44/Data_Entry!$V44/I$2),"")</f>
        <v>0.882922806507866</v>
      </c>
    </row>
    <row r="47" ht="15" spans="1:9">
      <c r="A47" s="111">
        <v>45790</v>
      </c>
      <c r="B47" s="29">
        <v>45790</v>
      </c>
      <c r="C47" s="112">
        <f>IFERROR((Data_Entry!F45/Data_Entry!$V45/C$2),"")</f>
        <v>1.21360751343524</v>
      </c>
      <c r="D47" s="112">
        <f>IFERROR((Data_Entry!G45/Data_Entry!$V45/D$2),"")</f>
        <v>1.21353597326114</v>
      </c>
      <c r="E47" s="112">
        <f>IFERROR((Data_Entry!H45/Data_Entry!$V45/E$2),"")</f>
        <v>1.21974045745129</v>
      </c>
      <c r="F47" s="112">
        <f>IFERROR((Data_Entry!I45/Data_Entry!$V45/F$2),"")</f>
        <v>1.21268060161429</v>
      </c>
      <c r="G47" s="112">
        <f>IFERROR((Data_Entry!J45/Data_Entry!$V45/G$2),"")</f>
        <v>1.20249079246855</v>
      </c>
      <c r="H47" s="112">
        <f>IFERROR((Data_Entry!K45/Data_Entry!$V45/H$2),"")</f>
        <v>1.19670536969349</v>
      </c>
      <c r="I47" s="112">
        <f>IFERROR((Data_Entry!L45/Data_Entry!$V45/I$2),"")</f>
        <v>1.18636003843014</v>
      </c>
    </row>
    <row r="48" ht="15" spans="1:9">
      <c r="A48" s="111">
        <v>45791</v>
      </c>
      <c r="B48" s="29">
        <v>45791</v>
      </c>
      <c r="C48" s="112">
        <f>IFERROR((Data_Entry!F46/Data_Entry!$V46/C$2),"")</f>
        <v>0.922802111878947</v>
      </c>
      <c r="D48" s="112">
        <f>IFERROR((Data_Entry!G46/Data_Entry!$V46/D$2),"")</f>
        <v>0.91598839806982</v>
      </c>
      <c r="E48" s="112">
        <f>IFERROR((Data_Entry!H46/Data_Entry!$V46/E$2),"")</f>
        <v>0.918515615691648</v>
      </c>
      <c r="F48" s="112">
        <f>IFERROR((Data_Entry!I46/Data_Entry!$V46/F$2),"")</f>
        <v>0.923147330332213</v>
      </c>
      <c r="G48" s="112">
        <f>IFERROR((Data_Entry!J46/Data_Entry!$V46/G$2),"")</f>
        <v>0.918864678899082</v>
      </c>
      <c r="H48" s="112">
        <f>IFERROR((Data_Entry!K46/Data_Entry!$V46/H$2),"")</f>
        <v>0.922435039033563</v>
      </c>
      <c r="I48" s="112">
        <f>IFERROR((Data_Entry!L46/Data_Entry!$V46/I$2),"")</f>
        <v>0.914354984614508</v>
      </c>
    </row>
    <row r="49" ht="15" spans="1:9">
      <c r="A49" s="111">
        <v>45792</v>
      </c>
      <c r="B49" s="29">
        <v>45792</v>
      </c>
      <c r="C49" s="112">
        <f>IFERROR((Data_Entry!F47/Data_Entry!$V47/C$2),"")</f>
        <v>0.884084588492733</v>
      </c>
      <c r="D49" s="112">
        <f>IFERROR((Data_Entry!G47/Data_Entry!$V47/D$2),"")</f>
        <v>0.876665150691779</v>
      </c>
      <c r="E49" s="112">
        <f>IFERROR((Data_Entry!H47/Data_Entry!$V47/E$2),"")</f>
        <v>0.876197462752061</v>
      </c>
      <c r="F49" s="112">
        <f>IFERROR((Data_Entry!I47/Data_Entry!$V47/F$2),"")</f>
        <v>0.879210683952529</v>
      </c>
      <c r="G49" s="112">
        <f>IFERROR((Data_Entry!J47/Data_Entry!$V47/G$2),"")</f>
        <v>0.868265720095232</v>
      </c>
      <c r="H49" s="112">
        <f>IFERROR((Data_Entry!K47/Data_Entry!$V47/H$2),"")</f>
        <v>0.863809556239046</v>
      </c>
      <c r="I49" s="112">
        <f>IFERROR((Data_Entry!L47/Data_Entry!$V47/I$2),"")</f>
        <v>0.856565032543026</v>
      </c>
    </row>
    <row r="50" ht="15" spans="1:9">
      <c r="A50" s="111">
        <v>45793</v>
      </c>
      <c r="B50" s="29">
        <v>45793</v>
      </c>
      <c r="C50" s="112">
        <f>IFERROR((Data_Entry!F48/Data_Entry!$V48/C$2),"")</f>
        <v>1.02154432846676</v>
      </c>
      <c r="D50" s="112">
        <f>IFERROR((Data_Entry!G48/Data_Entry!$V48/D$2),"")</f>
        <v>1.01418289491684</v>
      </c>
      <c r="E50" s="112">
        <f>IFERROR((Data_Entry!H48/Data_Entry!$V48/E$2),"")</f>
        <v>1.01670022437329</v>
      </c>
      <c r="F50" s="112">
        <f>IFERROR((Data_Entry!I48/Data_Entry!$V48/F$2),"")</f>
        <v>1.02100842029043</v>
      </c>
      <c r="G50" s="112">
        <f>IFERROR((Data_Entry!J48/Data_Entry!$V48/G$2),"")</f>
        <v>1.01372242377428</v>
      </c>
      <c r="H50" s="112">
        <f>IFERROR((Data_Entry!K48/Data_Entry!$V48/H$2),"")</f>
        <v>1.01284465065877</v>
      </c>
      <c r="I50" s="112">
        <f>IFERROR((Data_Entry!L48/Data_Entry!$V48/I$2),"")</f>
        <v>1.0029301313705</v>
      </c>
    </row>
    <row r="51" ht="15" spans="1:9">
      <c r="A51" s="111">
        <v>45794</v>
      </c>
      <c r="B51" s="29">
        <v>45794</v>
      </c>
      <c r="C51" s="112">
        <f>IFERROR((Data_Entry!F49/Data_Entry!$V49/C$2),"")</f>
        <v>0.942184010181851</v>
      </c>
      <c r="D51" s="112">
        <f>IFERROR((Data_Entry!G49/Data_Entry!$V49/D$2),"")</f>
        <v>0.934356115144027</v>
      </c>
      <c r="E51" s="112">
        <f>IFERROR((Data_Entry!H49/Data_Entry!$V49/E$2),"")</f>
        <v>0.936771255173846</v>
      </c>
      <c r="F51" s="112">
        <f>IFERROR((Data_Entry!I49/Data_Entry!$V49/F$2),"")</f>
        <v>0.941569827512717</v>
      </c>
      <c r="G51" s="112">
        <f>IFERROR((Data_Entry!J49/Data_Entry!$V49/G$2),"")</f>
        <v>0.933044980300899</v>
      </c>
      <c r="H51" s="112">
        <f>IFERROR((Data_Entry!K49/Data_Entry!$V49/H$2),"")</f>
        <v>0.935142219545889</v>
      </c>
      <c r="I51" s="112">
        <f>IFERROR((Data_Entry!L49/Data_Entry!$V49/I$2),"")</f>
        <v>0.921847625195897</v>
      </c>
    </row>
    <row r="52" ht="15" spans="1:9">
      <c r="A52" s="111">
        <v>45795</v>
      </c>
      <c r="B52" s="29">
        <v>45795</v>
      </c>
      <c r="C52" s="112">
        <f>IFERROR((Data_Entry!F50/Data_Entry!$V50/C$2),"")</f>
        <v>0.866703766590127</v>
      </c>
      <c r="D52" s="112">
        <f>IFERROR((Data_Entry!G50/Data_Entry!$V50/D$2),"")</f>
        <v>0.861605826751756</v>
      </c>
      <c r="E52" s="112">
        <f>IFERROR((Data_Entry!H50/Data_Entry!$V50/E$2),"")</f>
        <v>0.895752574707091</v>
      </c>
      <c r="F52" s="112">
        <f>IFERROR((Data_Entry!I50/Data_Entry!$V50/F$2),"")</f>
        <v>0.867919415623307</v>
      </c>
      <c r="G52" s="112">
        <f>IFERROR((Data_Entry!J50/Data_Entry!$V50/G$2),"")</f>
        <v>0.86300439046888</v>
      </c>
      <c r="H52" s="112">
        <f>IFERROR((Data_Entry!K50/Data_Entry!$V50/H$2),"")</f>
        <v>0.864467707940425</v>
      </c>
      <c r="I52" s="112">
        <f>IFERROR((Data_Entry!L50/Data_Entry!$V50/I$2),"")</f>
        <v>0.85283003016672</v>
      </c>
    </row>
    <row r="53" ht="15" spans="1:9">
      <c r="A53" s="111">
        <v>45796</v>
      </c>
      <c r="B53" s="29">
        <v>45796</v>
      </c>
      <c r="C53" s="112">
        <f>IFERROR((Data_Entry!F51/Data_Entry!$V51/C$2),"")</f>
        <v>0.901780953292459</v>
      </c>
      <c r="D53" s="112">
        <f>IFERROR((Data_Entry!G51/Data_Entry!$V51/D$2),"")</f>
        <v>0.895364599305041</v>
      </c>
      <c r="E53" s="112">
        <f>IFERROR((Data_Entry!H51/Data_Entry!$V51/E$2),"")</f>
        <v>0.89815771534827</v>
      </c>
      <c r="F53" s="112">
        <f>IFERROR((Data_Entry!I51/Data_Entry!$V51/F$2),"")</f>
        <v>0.856071384199184</v>
      </c>
      <c r="G53" s="112">
        <f>IFERROR((Data_Entry!J51/Data_Entry!$V51/G$2),"")</f>
        <v>0.8959083185348</v>
      </c>
      <c r="H53" s="112">
        <f>IFERROR((Data_Entry!K51/Data_Entry!$V51/H$2),"")</f>
        <v>0.898556640936992</v>
      </c>
      <c r="I53" s="112">
        <f>IFERROR((Data_Entry!L51/Data_Entry!$V51/I$2),"")</f>
        <v>0.889883034762618</v>
      </c>
    </row>
    <row r="54" ht="15" spans="1:9">
      <c r="A54" s="111">
        <v>45797</v>
      </c>
      <c r="B54" s="29">
        <v>45797</v>
      </c>
      <c r="C54" s="112">
        <f>IFERROR((Data_Entry!F52/Data_Entry!$V52/C$2),"")</f>
        <v>0.938887648470564</v>
      </c>
      <c r="D54" s="112">
        <f>IFERROR((Data_Entry!G52/Data_Entry!$V52/D$2),"")</f>
        <v>0.931954099404566</v>
      </c>
      <c r="E54" s="112">
        <f>IFERROR((Data_Entry!H52/Data_Entry!$V52/E$2),"")</f>
        <v>0.933766333889686</v>
      </c>
      <c r="F54" s="112">
        <f>IFERROR((Data_Entry!I52/Data_Entry!$V52/F$2),"")</f>
        <v>0.937519004410699</v>
      </c>
      <c r="G54" s="112">
        <f>IFERROR((Data_Entry!J52/Data_Entry!$V52/G$2),"")</f>
        <v>0.930250041779775</v>
      </c>
      <c r="H54" s="112">
        <f>IFERROR((Data_Entry!K52/Data_Entry!$V52/H$2),"")</f>
        <v>0.931983483461195</v>
      </c>
      <c r="I54" s="112">
        <f>IFERROR((Data_Entry!L52/Data_Entry!$V52/I$2),"")</f>
        <v>0.9220185880495</v>
      </c>
    </row>
    <row r="55" ht="15" spans="1:9">
      <c r="A55" s="111">
        <v>45798</v>
      </c>
      <c r="B55" s="29">
        <v>45798</v>
      </c>
      <c r="C55" s="112">
        <f>IFERROR((Data_Entry!F53/Data_Entry!$V53/C$2),"")</f>
        <v>1.00291528043822</v>
      </c>
      <c r="D55" s="112">
        <f>IFERROR((Data_Entry!G53/Data_Entry!$V53/D$2),"")</f>
        <v>0.996677888879724</v>
      </c>
      <c r="E55" s="112">
        <f>IFERROR((Data_Entry!H53/Data_Entry!$V53/E$2),"")</f>
        <v>0.998332707048303</v>
      </c>
      <c r="F55" s="112">
        <f>IFERROR((Data_Entry!I53/Data_Entry!$V53/F$2),"")</f>
        <v>1.00693637789769</v>
      </c>
      <c r="G55" s="112">
        <f>IFERROR((Data_Entry!J53/Data_Entry!$V53/G$2),"")</f>
        <v>0.995576244878199</v>
      </c>
      <c r="H55" s="112">
        <f>IFERROR((Data_Entry!K53/Data_Entry!$V53/H$2),"")</f>
        <v>0.98054507208875</v>
      </c>
      <c r="I55" s="112">
        <f>IFERROR((Data_Entry!L53/Data_Entry!$V53/I$2),"")</f>
        <v>0.966694963503898</v>
      </c>
    </row>
    <row r="56" ht="15" spans="1:9">
      <c r="A56" s="111">
        <v>45799</v>
      </c>
      <c r="B56" s="29">
        <v>45799</v>
      </c>
      <c r="C56" s="112">
        <f>IFERROR((Data_Entry!F54/Data_Entry!$V54/C$2),"")</f>
        <v>0.793797691948111</v>
      </c>
      <c r="D56" s="112">
        <f>IFERROR((Data_Entry!G54/Data_Entry!$V54/D$2),"")</f>
        <v>0.78664569171364</v>
      </c>
      <c r="E56" s="112">
        <f>IFERROR((Data_Entry!H54/Data_Entry!$V54/E$2),"")</f>
        <v>0.79207738899639</v>
      </c>
      <c r="F56" s="112">
        <f>IFERROR((Data_Entry!I54/Data_Entry!$V54/F$2),"")</f>
        <v>0.791940955952312</v>
      </c>
      <c r="G56" s="112">
        <f>IFERROR((Data_Entry!J54/Data_Entry!$V54/G$2),"")</f>
        <v>0.783637239208698</v>
      </c>
      <c r="H56" s="112">
        <f>IFERROR((Data_Entry!K54/Data_Entry!$V54/H$2),"")</f>
        <v>0.785242116573213</v>
      </c>
      <c r="I56" s="112">
        <f>IFERROR((Data_Entry!L54/Data_Entry!$V54/I$2),"")</f>
        <v>0.78224566832934</v>
      </c>
    </row>
    <row r="57" ht="15" spans="1:9">
      <c r="A57" s="111">
        <v>45800</v>
      </c>
      <c r="B57" s="29">
        <v>45800</v>
      </c>
      <c r="C57" s="112">
        <f>IFERROR((Data_Entry!F55/Data_Entry!$V55/C$2),"")</f>
        <v>1.0334313706855</v>
      </c>
      <c r="D57" s="112">
        <f>IFERROR((Data_Entry!G55/Data_Entry!$V55/D$2),"")</f>
        <v>1.02662214806576</v>
      </c>
      <c r="E57" s="112">
        <f>IFERROR((Data_Entry!H55/Data_Entry!$V55/E$2),"")</f>
        <v>1.02950230435684</v>
      </c>
      <c r="F57" s="112">
        <f>IFERROR((Data_Entry!I55/Data_Entry!$V55/F$2),"")</f>
        <v>1.03339332470528</v>
      </c>
      <c r="G57" s="112">
        <f>IFERROR((Data_Entry!J55/Data_Entry!$V55/G$2),"")</f>
        <v>1.02627595484173</v>
      </c>
      <c r="H57" s="112">
        <f>IFERROR((Data_Entry!K55/Data_Entry!$V55/H$2),"")</f>
        <v>1.02990670037181</v>
      </c>
      <c r="I57" s="112">
        <f>IFERROR((Data_Entry!L55/Data_Entry!$V55/I$2),"")</f>
        <v>1.02348776399954</v>
      </c>
    </row>
    <row r="58" ht="15" spans="1:9">
      <c r="A58" s="111">
        <v>45801</v>
      </c>
      <c r="B58" s="29">
        <v>45801</v>
      </c>
      <c r="C58" s="112">
        <f>IFERROR((Data_Entry!F56/Data_Entry!$V56/C$2),"")</f>
        <v>1.02294119558507</v>
      </c>
      <c r="D58" s="112">
        <f>IFERROR((Data_Entry!G56/Data_Entry!$V56/D$2),"")</f>
        <v>1.01366398405598</v>
      </c>
      <c r="E58" s="112">
        <f>IFERROR((Data_Entry!H56/Data_Entry!$V56/E$2),"")</f>
        <v>1.01442760742177</v>
      </c>
      <c r="F58" s="112">
        <f>IFERROR((Data_Entry!I56/Data_Entry!$V56/F$2),"")</f>
        <v>1.01721413807573</v>
      </c>
      <c r="G58" s="112">
        <f>IFERROR((Data_Entry!J56/Data_Entry!$V56/G$2),"")</f>
        <v>1.00722651899357</v>
      </c>
      <c r="H58" s="112">
        <f>IFERROR((Data_Entry!K56/Data_Entry!$V56/H$2),"")</f>
        <v>1.00840244717389</v>
      </c>
      <c r="I58" s="112">
        <f>IFERROR((Data_Entry!L56/Data_Entry!$V56/I$2),"")</f>
        <v>1.00044550583043</v>
      </c>
    </row>
    <row r="59" ht="15" spans="1:9">
      <c r="A59" s="111">
        <v>45802</v>
      </c>
      <c r="B59" s="29">
        <v>45802</v>
      </c>
      <c r="C59" s="112">
        <f>IFERROR((Data_Entry!F57/Data_Entry!$V57/C$2),"")</f>
        <v>0.964566400815892</v>
      </c>
      <c r="D59" s="112">
        <f>IFERROR((Data_Entry!G57/Data_Entry!$V57/D$2),"")</f>
        <v>0.95493908665152</v>
      </c>
      <c r="E59" s="112">
        <f>IFERROR((Data_Entry!H57/Data_Entry!$V57/E$2),"")</f>
        <v>0.959920484687996</v>
      </c>
      <c r="F59" s="112">
        <f>IFERROR((Data_Entry!I57/Data_Entry!$V57/F$2),"")</f>
        <v>0.962521905996219</v>
      </c>
      <c r="G59" s="112">
        <f>IFERROR((Data_Entry!J57/Data_Entry!$V57/G$2),"")</f>
        <v>0.955238545140404</v>
      </c>
      <c r="H59" s="112">
        <f>IFERROR((Data_Entry!K57/Data_Entry!$V57/H$2),"")</f>
        <v>0.95553999265246</v>
      </c>
      <c r="I59" s="112">
        <f>IFERROR((Data_Entry!L57/Data_Entry!$V57/I$2),"")</f>
        <v>0.946729946009778</v>
      </c>
    </row>
    <row r="60" ht="15" spans="1:9">
      <c r="A60" s="111">
        <v>45803</v>
      </c>
      <c r="B60" s="29">
        <v>45803</v>
      </c>
      <c r="C60" s="112">
        <f>IFERROR((Data_Entry!F58/Data_Entry!$V58/C$2),"")</f>
        <v>1.00313753524763</v>
      </c>
      <c r="D60" s="112">
        <f>IFERROR((Data_Entry!G58/Data_Entry!$V58/D$2),"")</f>
        <v>0.995134834584376</v>
      </c>
      <c r="E60" s="112">
        <f>IFERROR((Data_Entry!H58/Data_Entry!$V58/E$2),"")</f>
        <v>0.998126745833168</v>
      </c>
      <c r="F60" s="112">
        <f>IFERROR((Data_Entry!I58/Data_Entry!$V58/F$2),"")</f>
        <v>1.00274786154323</v>
      </c>
      <c r="G60" s="112">
        <f>IFERROR((Data_Entry!J58/Data_Entry!$V58/G$2),"")</f>
        <v>0.994865171171513</v>
      </c>
      <c r="H60" s="112">
        <f>IFERROR((Data_Entry!K58/Data_Entry!$V58/H$2),"")</f>
        <v>0.998626069228383</v>
      </c>
      <c r="I60" s="112">
        <f>IFERROR((Data_Entry!L58/Data_Entry!$V58/I$2),"")</f>
        <v>0.988628665134449</v>
      </c>
    </row>
    <row r="61" ht="15" spans="1:9">
      <c r="A61" s="111">
        <v>45804</v>
      </c>
      <c r="B61" s="29">
        <v>45804</v>
      </c>
      <c r="C61" s="112">
        <f>IFERROR((Data_Entry!F59/Data_Entry!$V59/C$2),"")</f>
        <v>1.04930400460363</v>
      </c>
      <c r="D61" s="112">
        <f>IFERROR((Data_Entry!G59/Data_Entry!$V59/D$2),"")</f>
        <v>1.040951045831</v>
      </c>
      <c r="E61" s="112">
        <f>IFERROR((Data_Entry!H59/Data_Entry!$V59/E$2),"")</f>
        <v>1.0468830408319</v>
      </c>
      <c r="F61" s="112">
        <f>IFERROR((Data_Entry!I59/Data_Entry!$V59/F$2),"")</f>
        <v>1.04992343626296</v>
      </c>
      <c r="G61" s="112">
        <f>IFERROR((Data_Entry!J59/Data_Entry!$V59/G$2),"")</f>
        <v>1.03902386388022</v>
      </c>
      <c r="H61" s="112">
        <f>IFERROR((Data_Entry!K59/Data_Entry!$V59/H$2),"")</f>
        <v>1.03879350584321</v>
      </c>
      <c r="I61" s="112">
        <f>IFERROR((Data_Entry!L59/Data_Entry!$V59/I$2),"")</f>
        <v>1.02830615310565</v>
      </c>
    </row>
    <row r="62" ht="15" spans="1:9">
      <c r="A62" s="111">
        <v>45805</v>
      </c>
      <c r="B62" s="29">
        <v>45805</v>
      </c>
      <c r="C62" s="112">
        <f>IFERROR((Data_Entry!F60/Data_Entry!$V60/C$2),"")</f>
        <v>2.07563403552687</v>
      </c>
      <c r="D62" s="112">
        <f>IFERROR((Data_Entry!G60/Data_Entry!$V60/D$2),"")</f>
        <v>2.05552140479477</v>
      </c>
      <c r="E62" s="112">
        <f>IFERROR((Data_Entry!H60/Data_Entry!$V60/E$2),"")</f>
        <v>2.05861869720764</v>
      </c>
      <c r="F62" s="112">
        <f>IFERROR((Data_Entry!I60/Data_Entry!$V60/F$2),"")</f>
        <v>2.07020847316515</v>
      </c>
      <c r="G62" s="112">
        <f>IFERROR((Data_Entry!J60/Data_Entry!$V60/G$2),"")</f>
        <v>2.05008781984401</v>
      </c>
      <c r="H62" s="112">
        <f>IFERROR((Data_Entry!K60/Data_Entry!$V60/H$2),"")</f>
        <v>2.0503399583568</v>
      </c>
      <c r="I62" s="112">
        <f>IFERROR((Data_Entry!L60/Data_Entry!$V60/I$2),"")</f>
        <v>2.02324767515684</v>
      </c>
    </row>
    <row r="63" ht="15" spans="1:9">
      <c r="A63" s="111">
        <v>45806</v>
      </c>
      <c r="B63" s="29">
        <v>45806</v>
      </c>
      <c r="C63" s="112">
        <f>IFERROR((Data_Entry!F61/Data_Entry!$V61/C$2),"")</f>
        <v>0.973627381295314</v>
      </c>
      <c r="D63" s="112">
        <f>IFERROR((Data_Entry!G61/Data_Entry!$V61/D$2),"")</f>
        <v>0.96558011724659</v>
      </c>
      <c r="E63" s="112">
        <f>IFERROR((Data_Entry!H61/Data_Entry!$V61/E$2),"")</f>
        <v>0.966237256613353</v>
      </c>
      <c r="F63" s="112">
        <f>IFERROR((Data_Entry!I61/Data_Entry!$V61/F$2),"")</f>
        <v>0.97077189294929</v>
      </c>
      <c r="G63" s="112">
        <f>IFERROR((Data_Entry!J61/Data_Entry!$V61/G$2),"")</f>
        <v>0.960575694178749</v>
      </c>
      <c r="H63" s="112">
        <f>IFERROR((Data_Entry!K61/Data_Entry!$V61/H$2),"")</f>
        <v>0.962322289117209</v>
      </c>
      <c r="I63" s="112">
        <f>IFERROR((Data_Entry!L61/Data_Entry!$V61/I$2),"")</f>
        <v>0.95291952875529</v>
      </c>
    </row>
    <row r="64" ht="15" spans="1:9">
      <c r="A64" s="111">
        <v>45807</v>
      </c>
      <c r="B64" s="29">
        <v>45807</v>
      </c>
      <c r="C64" s="112">
        <f>IFERROR((Data_Entry!F62/Data_Entry!$V62/C$2),"")</f>
        <v>0.943964761793612</v>
      </c>
      <c r="D64" s="112">
        <f>IFERROR((Data_Entry!G62/Data_Entry!$V62/D$2),"")</f>
        <v>0.936655322633968</v>
      </c>
      <c r="E64" s="112">
        <f>IFERROR((Data_Entry!H62/Data_Entry!$V62/E$2),"")</f>
        <v>0.936233428718634</v>
      </c>
      <c r="F64" s="112">
        <f>IFERROR((Data_Entry!I62/Data_Entry!$V62/F$2),"")</f>
        <v>0.945436638941923</v>
      </c>
      <c r="G64" s="112">
        <f>IFERROR((Data_Entry!J62/Data_Entry!$V62/G$2),"")</f>
        <v>0.928526405926886</v>
      </c>
      <c r="H64" s="112">
        <f>IFERROR((Data_Entry!K62/Data_Entry!$V62/H$2),"")</f>
        <v>0.932994635984626</v>
      </c>
      <c r="I64" s="112">
        <f>IFERROR((Data_Entry!L62/Data_Entry!$V62/I$2),"")</f>
        <v>0.925682102788934</v>
      </c>
    </row>
    <row r="65" ht="15" spans="1:9">
      <c r="A65" s="111">
        <v>45808</v>
      </c>
      <c r="B65" s="29">
        <v>45808</v>
      </c>
      <c r="C65" s="112">
        <f>IFERROR((Data_Entry!F63/Data_Entry!$V63/C$2),"")</f>
        <v>0.939795131032927</v>
      </c>
      <c r="D65" s="112">
        <f>IFERROR((Data_Entry!G63/Data_Entry!$V63/D$2),"")</f>
        <v>0.939349126563962</v>
      </c>
      <c r="E65" s="112">
        <f>IFERROR((Data_Entry!H63/Data_Entry!$V63/E$2),"")</f>
        <v>0.938265972853619</v>
      </c>
      <c r="F65" s="112">
        <f>IFERROR((Data_Entry!I63/Data_Entry!$V63/F$2),"")</f>
        <v>0.947441383631815</v>
      </c>
      <c r="G65" s="112">
        <f>IFERROR((Data_Entry!J63/Data_Entry!$V63/G$2),"")</f>
        <v>0.933251423643033</v>
      </c>
      <c r="H65" s="112">
        <f>IFERROR((Data_Entry!K63/Data_Entry!$V63/H$2),"")</f>
        <v>0.935775550384058</v>
      </c>
      <c r="I65" s="112">
        <f>IFERROR((Data_Entry!L63/Data_Entry!$V63/I$2),"")</f>
        <v>0.928223485064331</v>
      </c>
    </row>
    <row r="66" ht="15" spans="1:9">
      <c r="A66" s="111">
        <v>45809</v>
      </c>
      <c r="B66" s="29">
        <v>45809</v>
      </c>
      <c r="C66" s="112">
        <f>IFERROR((Data_Entry!F64/Data_Entry!$V64/C$2),"")</f>
        <v>0.953551631688948</v>
      </c>
      <c r="D66" s="112">
        <f>IFERROR((Data_Entry!G64/Data_Entry!$V64/D$2),"")</f>
        <v>0.947357712998755</v>
      </c>
      <c r="E66" s="112">
        <f>IFERROR((Data_Entry!H64/Data_Entry!$V64/E$2),"")</f>
        <v>0.946481316517417</v>
      </c>
      <c r="F66" s="112">
        <f>IFERROR((Data_Entry!I64/Data_Entry!$V64/F$2),"")</f>
        <v>0.961536681304724</v>
      </c>
      <c r="G66" s="112">
        <f>IFERROR((Data_Entry!J64/Data_Entry!$V64/G$2),"")</f>
        <v>0.9410113775292</v>
      </c>
      <c r="H66" s="112">
        <f>IFERROR((Data_Entry!K64/Data_Entry!$V64/H$2),"")</f>
        <v>0.944899408011359</v>
      </c>
      <c r="I66" s="112">
        <f>IFERROR((Data_Entry!L64/Data_Entry!$V64/I$2),"")</f>
        <v>0.935415905089267</v>
      </c>
    </row>
    <row r="67" ht="15" spans="1:9">
      <c r="A67" s="111">
        <v>45810</v>
      </c>
      <c r="B67" s="29">
        <v>45810</v>
      </c>
      <c r="C67" s="112">
        <f>IFERROR((Data_Entry!F65/Data_Entry!$V65/C$2),"")</f>
        <v>0.901490021710043</v>
      </c>
      <c r="D67" s="112">
        <f>IFERROR((Data_Entry!G65/Data_Entry!$V65/D$2),"")</f>
        <v>0.896481633978589</v>
      </c>
      <c r="E67" s="112">
        <f>IFERROR((Data_Entry!H65/Data_Entry!$V65/E$2),"")</f>
        <v>0.896896802961591</v>
      </c>
      <c r="F67" s="112">
        <f>IFERROR((Data_Entry!I65/Data_Entry!$V65/F$2),"")</f>
        <v>0.912369512016165</v>
      </c>
      <c r="G67" s="112">
        <f>IFERROR((Data_Entry!J65/Data_Entry!$V65/G$2),"")</f>
        <v>0.888580243333836</v>
      </c>
      <c r="H67" s="112">
        <f>IFERROR((Data_Entry!K65/Data_Entry!$V65/H$2),"")</f>
        <v>0.890691903378505</v>
      </c>
      <c r="I67" s="112">
        <f>IFERROR((Data_Entry!L65/Data_Entry!$V65/I$2),"")</f>
        <v>0.881369081867862</v>
      </c>
    </row>
    <row r="68" ht="15" spans="1:9">
      <c r="A68" s="111">
        <v>45811</v>
      </c>
      <c r="B68" s="29">
        <v>45811</v>
      </c>
      <c r="C68" s="112">
        <f>IFERROR((Data_Entry!F66/Data_Entry!$V66/C$2),"")</f>
        <v>0.896326488389642</v>
      </c>
      <c r="D68" s="112">
        <f>IFERROR((Data_Entry!G66/Data_Entry!$V66/D$2),"")</f>
        <v>0.889485931890455</v>
      </c>
      <c r="E68" s="112">
        <f>IFERROR((Data_Entry!H66/Data_Entry!$V66/E$2),"")</f>
        <v>0.889976604719511</v>
      </c>
      <c r="F68" s="112">
        <f>IFERROR((Data_Entry!I66/Data_Entry!$V66/F$2),"")</f>
        <v>0.904571297819041</v>
      </c>
      <c r="G68" s="112">
        <f>IFERROR((Data_Entry!J66/Data_Entry!$V66/G$2),"")</f>
        <v>0.881927060487556</v>
      </c>
      <c r="H68" s="112">
        <f>IFERROR((Data_Entry!K66/Data_Entry!$V66/H$2),"")</f>
        <v>0.884168845505011</v>
      </c>
      <c r="I68" s="112">
        <f>IFERROR((Data_Entry!L66/Data_Entry!$V66/I$2),"")</f>
        <v>0.87302065843545</v>
      </c>
    </row>
    <row r="69" ht="15" spans="1:9">
      <c r="A69" s="111">
        <v>45812</v>
      </c>
      <c r="B69" s="29">
        <v>45812</v>
      </c>
      <c r="C69" s="112">
        <f>IFERROR((Data_Entry!F67/Data_Entry!$V67/C$2),"")</f>
        <v>0.915979357583872</v>
      </c>
      <c r="D69" s="112">
        <f>IFERROR((Data_Entry!G67/Data_Entry!$V67/D$2),"")</f>
        <v>0.90009488894051</v>
      </c>
      <c r="E69" s="112">
        <f>IFERROR((Data_Entry!H67/Data_Entry!$V67/E$2),"")</f>
        <v>0.897919814987995</v>
      </c>
      <c r="F69" s="112">
        <f>IFERROR((Data_Entry!I67/Data_Entry!$V67/F$2),"")</f>
        <v>0.913075454503341</v>
      </c>
      <c r="G69" s="112">
        <f>IFERROR((Data_Entry!J67/Data_Entry!$V67/G$2),"")</f>
        <v>0.889974669076637</v>
      </c>
      <c r="H69" s="112">
        <f>IFERROR((Data_Entry!K67/Data_Entry!$V67/H$2),"")</f>
        <v>0.89413568011623</v>
      </c>
      <c r="I69" s="112">
        <f>IFERROR((Data_Entry!L67/Data_Entry!$V67/I$2),"")</f>
        <v>0.883743401312912</v>
      </c>
    </row>
    <row r="70" ht="15" spans="1:9">
      <c r="A70" s="111">
        <v>45813</v>
      </c>
      <c r="B70" s="29">
        <v>45813</v>
      </c>
      <c r="C70" s="112">
        <f>IFERROR((Data_Entry!F68/Data_Entry!$V68/C$2),"")</f>
        <v>0.982280843750399</v>
      </c>
      <c r="D70" s="112">
        <f>IFERROR((Data_Entry!G68/Data_Entry!$V68/D$2),"")</f>
        <v>0.974220587850518</v>
      </c>
      <c r="E70" s="112">
        <f>IFERROR((Data_Entry!H68/Data_Entry!$V68/E$2),"")</f>
        <v>0.965327817256754</v>
      </c>
      <c r="F70" s="112">
        <f>IFERROR((Data_Entry!I68/Data_Entry!$V68/F$2),"")</f>
        <v>0.960535804388625</v>
      </c>
      <c r="G70" s="112">
        <f>IFERROR((Data_Entry!J68/Data_Entry!$V68/G$2),"")</f>
        <v>0.963483216658898</v>
      </c>
      <c r="H70" s="112">
        <f>IFERROR((Data_Entry!K68/Data_Entry!$V68/H$2),"")</f>
        <v>0.9578365952569</v>
      </c>
      <c r="I70" s="112">
        <f>IFERROR((Data_Entry!L68/Data_Entry!$V68/I$2),"")</f>
        <v>0.956104344185774</v>
      </c>
    </row>
    <row r="71" ht="15" spans="1:9">
      <c r="A71" s="111">
        <v>45814</v>
      </c>
      <c r="B71" s="29">
        <v>45814</v>
      </c>
      <c r="C71" s="112">
        <f>IFERROR((Data_Entry!F69/Data_Entry!$V69/C$2),"")</f>
        <v>0.93500971003817</v>
      </c>
      <c r="D71" s="112">
        <f>IFERROR((Data_Entry!G69/Data_Entry!$V69/D$2),"")</f>
        <v>0.933710617381012</v>
      </c>
      <c r="E71" s="112">
        <f>IFERROR((Data_Entry!H69/Data_Entry!$V69/E$2),"")</f>
        <v>0.942581409081777</v>
      </c>
      <c r="F71" s="112">
        <f>IFERROR((Data_Entry!I69/Data_Entry!$V69/F$2),"")</f>
        <v>0.946499956534633</v>
      </c>
      <c r="G71" s="112">
        <f>IFERROR((Data_Entry!J69/Data_Entry!$V69/G$2),"")</f>
        <v>0.926098269995212</v>
      </c>
      <c r="H71" s="112">
        <f>IFERROR((Data_Entry!K69/Data_Entry!$V69/H$2),"")</f>
        <v>0.924990838998042</v>
      </c>
      <c r="I71" s="112">
        <f>IFERROR((Data_Entry!L69/Data_Entry!$V69/I$2),"")</f>
        <v>0.914431250475727</v>
      </c>
    </row>
    <row r="72" ht="15" spans="1:9">
      <c r="A72" s="111">
        <v>45815</v>
      </c>
      <c r="B72" s="29">
        <v>45815</v>
      </c>
      <c r="C72" s="112">
        <f>IFERROR((Data_Entry!F70/Data_Entry!$V70/C$2),"")</f>
        <v>0.919630746347257</v>
      </c>
      <c r="D72" s="112">
        <f>IFERROR((Data_Entry!G70/Data_Entry!$V70/D$2),"")</f>
        <v>0.916153861483451</v>
      </c>
      <c r="E72" s="112">
        <f>IFERROR((Data_Entry!H70/Data_Entry!$V70/E$2),"")</f>
        <v>0.91966254712345</v>
      </c>
      <c r="F72" s="112">
        <f>IFERROR((Data_Entry!I70/Data_Entry!$V70/F$2),"")</f>
        <v>0.924052206440168</v>
      </c>
      <c r="G72" s="112">
        <f>IFERROR((Data_Entry!J70/Data_Entry!$V70/G$2),"")</f>
        <v>0.916280373267003</v>
      </c>
      <c r="H72" s="112">
        <f>IFERROR((Data_Entry!K70/Data_Entry!$V70/H$2),"")</f>
        <v>0.922936874869329</v>
      </c>
      <c r="I72" s="112">
        <f>IFERROR((Data_Entry!L70/Data_Entry!$V70/I$2),"")</f>
        <v>0.914576957776994</v>
      </c>
    </row>
    <row r="73" ht="15" spans="1:9">
      <c r="A73" s="111">
        <v>45816</v>
      </c>
      <c r="B73" s="29">
        <v>45816</v>
      </c>
      <c r="C73" s="112">
        <f>IFERROR((Data_Entry!F71/Data_Entry!$V71/C$2),"")</f>
        <v>0.956126858962555</v>
      </c>
      <c r="D73" s="112">
        <f>IFERROR((Data_Entry!G71/Data_Entry!$V71/D$2),"")</f>
        <v>0.950911473847254</v>
      </c>
      <c r="E73" s="112">
        <f>IFERROR((Data_Entry!H71/Data_Entry!$V71/E$2),"")</f>
        <v>0.957865320667656</v>
      </c>
      <c r="F73" s="112">
        <f>IFERROR((Data_Entry!I71/Data_Entry!$V71/F$2),"")</f>
        <v>0.966224441693129</v>
      </c>
      <c r="G73" s="112">
        <f>IFERROR((Data_Entry!J71/Data_Entry!$V71/G$2),"")</f>
        <v>0.958189795844363</v>
      </c>
      <c r="H73" s="112">
        <f>IFERROR((Data_Entry!K71/Data_Entry!$V71/H$2),"")</f>
        <v>0.966960044343371</v>
      </c>
      <c r="I73" s="112">
        <f>IFERROR((Data_Entry!L71/Data_Entry!$V71/I$2),"")</f>
        <v>0.958764809183636</v>
      </c>
    </row>
    <row r="74" ht="15" spans="1:9">
      <c r="A74" s="111">
        <v>45817</v>
      </c>
      <c r="B74" s="29">
        <v>45817</v>
      </c>
      <c r="C74" s="112">
        <f>IFERROR((Data_Entry!F72/Data_Entry!$V72/C$2),"")</f>
        <v>0.949097860335228</v>
      </c>
      <c r="D74" s="112">
        <f>IFERROR((Data_Entry!G72/Data_Entry!$V72/D$2),"")</f>
        <v>0.941956101924434</v>
      </c>
      <c r="E74" s="112">
        <f>IFERROR((Data_Entry!H72/Data_Entry!$V72/E$2),"")</f>
        <v>0.94475333263579</v>
      </c>
      <c r="F74" s="112">
        <f>IFERROR((Data_Entry!I72/Data_Entry!$V72/F$2),"")</f>
        <v>0.949798866292582</v>
      </c>
      <c r="G74" s="112">
        <f>IFERROR((Data_Entry!J72/Data_Entry!$V72/G$2),"")</f>
        <v>0.940615008939437</v>
      </c>
      <c r="H74" s="112">
        <f>IFERROR((Data_Entry!K72/Data_Entry!$V72/H$2),"")</f>
        <v>0.942591587162423</v>
      </c>
      <c r="I74" s="112">
        <f>IFERROR((Data_Entry!L72/Data_Entry!$V72/I$2),"")</f>
        <v>0.937751380977353</v>
      </c>
    </row>
    <row r="75" ht="15" spans="1:9">
      <c r="A75" s="111">
        <v>45818</v>
      </c>
      <c r="B75" s="29">
        <v>45818</v>
      </c>
      <c r="C75" s="112">
        <f>IFERROR((Data_Entry!F73/Data_Entry!$V73/C$2),"")</f>
        <v>0.900133694433251</v>
      </c>
      <c r="D75" s="112">
        <f>IFERROR((Data_Entry!G73/Data_Entry!$V73/D$2),"")</f>
        <v>0.896323893953004</v>
      </c>
      <c r="E75" s="112">
        <f>IFERROR((Data_Entry!H73/Data_Entry!$V73/E$2),"")</f>
        <v>0.898861901593579</v>
      </c>
      <c r="F75" s="112">
        <f>IFERROR((Data_Entry!I73/Data_Entry!$V73/F$2),"")</f>
        <v>0.903265399417746</v>
      </c>
      <c r="G75" s="112">
        <f>IFERROR((Data_Entry!J73/Data_Entry!$V73/G$2),"")</f>
        <v>0.895790342418435</v>
      </c>
      <c r="H75" s="112">
        <f>IFERROR((Data_Entry!K73/Data_Entry!$V73/H$2),"")</f>
        <v>0.898682191735799</v>
      </c>
      <c r="I75" s="112">
        <f>IFERROR((Data_Entry!L73/Data_Entry!$V73/I$2),"")</f>
        <v>0.899909360265307</v>
      </c>
    </row>
    <row r="76" ht="15" spans="1:9">
      <c r="A76" s="111">
        <v>45819</v>
      </c>
      <c r="B76" s="29">
        <v>45819</v>
      </c>
      <c r="C76" s="112">
        <f>IFERROR((Data_Entry!F74/Data_Entry!$V74/C$2),"")</f>
        <v>0.952737582582181</v>
      </c>
      <c r="D76" s="112">
        <f>IFERROR((Data_Entry!G74/Data_Entry!$V74/D$2),"")</f>
        <v>0.948147995049324</v>
      </c>
      <c r="E76" s="112">
        <f>IFERROR((Data_Entry!H74/Data_Entry!$V74/E$2),"")</f>
        <v>0.952986818461449</v>
      </c>
      <c r="F76" s="112">
        <f>IFERROR((Data_Entry!I74/Data_Entry!$V74/F$2),"")</f>
        <v>0.962052608381662</v>
      </c>
      <c r="G76" s="112">
        <f>IFERROR((Data_Entry!J74/Data_Entry!$V74/G$2),"")</f>
        <v>0.955237870406012</v>
      </c>
      <c r="H76" s="112">
        <f>IFERROR((Data_Entry!K74/Data_Entry!$V74/H$2),"")</f>
        <v>0.959755832357446</v>
      </c>
      <c r="I76" s="112">
        <f>IFERROR((Data_Entry!L74/Data_Entry!$V74/I$2),"")</f>
        <v>0.956831077065848</v>
      </c>
    </row>
    <row r="77" ht="15" spans="1:9">
      <c r="A77" s="111">
        <v>45820</v>
      </c>
      <c r="B77" s="29">
        <v>45820</v>
      </c>
      <c r="C77" s="112">
        <f>IFERROR((Data_Entry!F75/Data_Entry!$V75/C$2),"")</f>
        <v>0.978890175469849</v>
      </c>
      <c r="D77" s="112">
        <f>IFERROR((Data_Entry!G75/Data_Entry!$V75/D$2),"")</f>
        <v>0.980983922107998</v>
      </c>
      <c r="E77" s="112">
        <f>IFERROR((Data_Entry!H75/Data_Entry!$V75/E$2),"")</f>
        <v>0.981597008140163</v>
      </c>
      <c r="F77" s="112">
        <f>IFERROR((Data_Entry!I75/Data_Entry!$V75/F$2),"")</f>
        <v>0.987028276443157</v>
      </c>
      <c r="G77" s="112">
        <f>IFERROR((Data_Entry!J75/Data_Entry!$V75/G$2),"")</f>
        <v>0.974785164645788</v>
      </c>
      <c r="H77" s="112">
        <f>IFERROR((Data_Entry!K75/Data_Entry!$V75/H$2),"")</f>
        <v>0.9767491523042</v>
      </c>
      <c r="I77" s="112">
        <f>IFERROR((Data_Entry!L75/Data_Entry!$V75/I$2),"")</f>
        <v>0.969418775832661</v>
      </c>
    </row>
    <row r="78" ht="15" spans="1:9">
      <c r="A78" s="111">
        <v>45821</v>
      </c>
      <c r="B78" s="29">
        <v>45821</v>
      </c>
      <c r="C78" s="112">
        <f>IFERROR((Data_Entry!F76/Data_Entry!$V76/C$2),"")</f>
        <v>0.999674545022738</v>
      </c>
      <c r="D78" s="112">
        <f>IFERROR((Data_Entry!G76/Data_Entry!$V76/D$2),"")</f>
        <v>0.993647230793958</v>
      </c>
      <c r="E78" s="112">
        <f>IFERROR((Data_Entry!H76/Data_Entry!$V76/E$2),"")</f>
        <v>0.992537725189656</v>
      </c>
      <c r="F78" s="112">
        <f>IFERROR((Data_Entry!I76/Data_Entry!$V76/F$2),"")</f>
        <v>0.997896207015371</v>
      </c>
      <c r="G78" s="112">
        <f>IFERROR((Data_Entry!J76/Data_Entry!$V76/G$2),"")</f>
        <v>0.985514767663008</v>
      </c>
      <c r="H78" s="112">
        <f>IFERROR((Data_Entry!K76/Data_Entry!$V76/H$2),"")</f>
        <v>0.988354371900577</v>
      </c>
      <c r="I78" s="112">
        <f>IFERROR((Data_Entry!L76/Data_Entry!$V76/I$2),"")</f>
        <v>0.980304046082283</v>
      </c>
    </row>
    <row r="79" ht="15" spans="1:9">
      <c r="A79" s="111">
        <v>45822</v>
      </c>
      <c r="B79" s="29">
        <v>45822</v>
      </c>
      <c r="C79" s="112">
        <f>IFERROR((Data_Entry!F77/Data_Entry!$V77/C$2),"")</f>
        <v>0.962691544128456</v>
      </c>
      <c r="D79" s="112">
        <f>IFERROR((Data_Entry!G77/Data_Entry!$V77/D$2),"")</f>
        <v>0.959680634707443</v>
      </c>
      <c r="E79" s="112">
        <f>IFERROR((Data_Entry!H77/Data_Entry!$V77/E$2),"")</f>
        <v>0.95954524049365</v>
      </c>
      <c r="F79" s="112">
        <f>IFERROR((Data_Entry!I77/Data_Entry!$V77/F$2),"")</f>
        <v>0.965182461279105</v>
      </c>
      <c r="G79" s="112">
        <f>IFERROR((Data_Entry!J77/Data_Entry!$V77/G$2),"")</f>
        <v>0.954137320881865</v>
      </c>
      <c r="H79" s="112">
        <f>IFERROR((Data_Entry!K77/Data_Entry!$V77/H$2),"")</f>
        <v>0.956437620919928</v>
      </c>
      <c r="I79" s="112">
        <f>IFERROR((Data_Entry!L77/Data_Entry!$V77/I$2),"")</f>
        <v>0.950603615997656</v>
      </c>
    </row>
    <row r="80" ht="15" spans="1:9">
      <c r="A80" s="111">
        <v>45823</v>
      </c>
      <c r="B80" s="29">
        <v>45823</v>
      </c>
      <c r="C80" s="112">
        <f>IFERROR((Data_Entry!F78/Data_Entry!$V78/C$2),"")</f>
        <v>1.01712571322663</v>
      </c>
      <c r="D80" s="112">
        <f>IFERROR((Data_Entry!G78/Data_Entry!$V78/D$2),"")</f>
        <v>1.01406429961476</v>
      </c>
      <c r="E80" s="112">
        <f>IFERROR((Data_Entry!H78/Data_Entry!$V78/E$2),"")</f>
        <v>1.01614109641633</v>
      </c>
      <c r="F80" s="112">
        <f>IFERROR((Data_Entry!I78/Data_Entry!$V78/F$2),"")</f>
        <v>1.02120412052602</v>
      </c>
      <c r="G80" s="112">
        <f>IFERROR((Data_Entry!J78/Data_Entry!$V78/G$2),"")</f>
        <v>1.01141407234347</v>
      </c>
      <c r="H80" s="112">
        <f>IFERROR((Data_Entry!K78/Data_Entry!$V78/H$2),"")</f>
        <v>1.01302068493931</v>
      </c>
      <c r="I80" s="112">
        <f>IFERROR((Data_Entry!L78/Data_Entry!$V78/I$2),"")</f>
        <v>1.00341266675531</v>
      </c>
    </row>
    <row r="81" ht="15" spans="1:9">
      <c r="A81" s="111">
        <v>45824</v>
      </c>
      <c r="B81" s="29">
        <v>45824</v>
      </c>
      <c r="C81" s="112">
        <f>IFERROR((Data_Entry!F79/Data_Entry!$V79/C$2),"")</f>
        <v>2.69272012391278</v>
      </c>
      <c r="D81" s="112">
        <f>IFERROR((Data_Entry!G79/Data_Entry!$V79/D$2),"")</f>
        <v>2.64148695341356</v>
      </c>
      <c r="E81" s="112">
        <f>IFERROR((Data_Entry!H79/Data_Entry!$V79/E$2),"")</f>
        <v>2.82407959013464</v>
      </c>
      <c r="F81" s="112">
        <f>IFERROR((Data_Entry!I79/Data_Entry!$V79/F$2),"")</f>
        <v>2.74944441278705</v>
      </c>
      <c r="G81" s="112">
        <f>IFERROR((Data_Entry!J79/Data_Entry!$V79/G$2),"")</f>
        <v>2.64630463274261</v>
      </c>
      <c r="H81" s="112">
        <f>IFERROR((Data_Entry!K79/Data_Entry!$V79/H$2),"")</f>
        <v>2.62322639466636</v>
      </c>
      <c r="I81" s="112">
        <f>IFERROR((Data_Entry!L79/Data_Entry!$V79/I$2),"")</f>
        <v>2.76910365262978</v>
      </c>
    </row>
    <row r="82" ht="15" spans="1:9">
      <c r="A82" s="111">
        <v>45825</v>
      </c>
      <c r="B82" s="29">
        <v>45825</v>
      </c>
      <c r="C82" s="112">
        <f>IFERROR((Data_Entry!F80/Data_Entry!$V80/C$2),"")</f>
        <v>1.17015232162208</v>
      </c>
      <c r="D82" s="112">
        <f>IFERROR((Data_Entry!G80/Data_Entry!$V80/D$2),"")</f>
        <v>1.16609970569903</v>
      </c>
      <c r="E82" s="112">
        <f>IFERROR((Data_Entry!H80/Data_Entry!$V80/E$2),"")</f>
        <v>1.17726466256704</v>
      </c>
      <c r="F82" s="112">
        <f>IFERROR((Data_Entry!I80/Data_Entry!$V80/F$2),"")</f>
        <v>1.18267490482432</v>
      </c>
      <c r="G82" s="112">
        <f>IFERROR((Data_Entry!J80/Data_Entry!$V80/G$2),"")</f>
        <v>1.16897177698363</v>
      </c>
      <c r="H82" s="112">
        <f>IFERROR((Data_Entry!K80/Data_Entry!$V80/H$2),"")</f>
        <v>1.16953385719209</v>
      </c>
      <c r="I82" s="112">
        <f>IFERROR((Data_Entry!L80/Data_Entry!$V80/I$2),"")</f>
        <v>1.1604824276283</v>
      </c>
    </row>
    <row r="83" ht="15" spans="1:9">
      <c r="A83" s="111">
        <v>45826</v>
      </c>
      <c r="B83" s="29">
        <v>45826</v>
      </c>
      <c r="C83" s="112">
        <f>IFERROR((Data_Entry!F81/Data_Entry!$V81/C$2),"")</f>
        <v>1.42526568592408</v>
      </c>
      <c r="D83" s="112">
        <f>IFERROR((Data_Entry!G81/Data_Entry!$V81/D$2),"")</f>
        <v>1.30477545480244</v>
      </c>
      <c r="E83" s="112">
        <f>IFERROR((Data_Entry!H81/Data_Entry!$V81/E$2),"")</f>
        <v>1.31847150870356</v>
      </c>
      <c r="F83" s="112">
        <f>IFERROR((Data_Entry!I81/Data_Entry!$V81/F$2),"")</f>
        <v>1.31988974289357</v>
      </c>
      <c r="G83" s="112">
        <f>IFERROR((Data_Entry!J81/Data_Entry!$V81/G$2),"")</f>
        <v>1.30178916401024</v>
      </c>
      <c r="H83" s="112">
        <f>IFERROR((Data_Entry!K81/Data_Entry!$V81/H$2),"")</f>
        <v>1.30103497322343</v>
      </c>
      <c r="I83" s="112">
        <f>IFERROR((Data_Entry!L81/Data_Entry!$V81/I$2),"")</f>
        <v>1.29299027149751</v>
      </c>
    </row>
    <row r="84" ht="15" spans="1:9">
      <c r="A84" s="111">
        <v>45827</v>
      </c>
      <c r="B84" s="29">
        <v>45827</v>
      </c>
      <c r="C84" s="112">
        <f>IFERROR((Data_Entry!F82/Data_Entry!$V82/C$2),"")</f>
        <v>0.940948176907004</v>
      </c>
      <c r="D84" s="112">
        <f>IFERROR((Data_Entry!G82/Data_Entry!$V82/D$2),"")</f>
        <v>0.94118065867898</v>
      </c>
      <c r="E84" s="112">
        <f>IFERROR((Data_Entry!H82/Data_Entry!$V82/E$2),"")</f>
        <v>0.94215417609913</v>
      </c>
      <c r="F84" s="112">
        <f>IFERROR((Data_Entry!I82/Data_Entry!$V82/F$2),"")</f>
        <v>0.947389122304238</v>
      </c>
      <c r="G84" s="112">
        <f>IFERROR((Data_Entry!J82/Data_Entry!$V82/G$2),"")</f>
        <v>0.939070949772692</v>
      </c>
      <c r="H84" s="112">
        <f>IFERROR((Data_Entry!K82/Data_Entry!$V82/H$2),"")</f>
        <v>0.941954860884297</v>
      </c>
      <c r="I84" s="112">
        <f>IFERROR((Data_Entry!L82/Data_Entry!$V82/I$2),"")</f>
        <v>0.928932091189964</v>
      </c>
    </row>
    <row r="85" ht="15" spans="1:9">
      <c r="A85" s="111">
        <v>45828</v>
      </c>
      <c r="B85" s="29">
        <v>45828</v>
      </c>
      <c r="C85" s="112">
        <f>IFERROR((Data_Entry!F83/Data_Entry!$V83/C$2),"")</f>
        <v>0.961190475725422</v>
      </c>
      <c r="D85" s="112">
        <f>IFERROR((Data_Entry!G83/Data_Entry!$V83/D$2),"")</f>
        <v>0.957932770450228</v>
      </c>
      <c r="E85" s="112">
        <f>IFERROR((Data_Entry!H83/Data_Entry!$V83/E$2),"")</f>
        <v>0.957214261577968</v>
      </c>
      <c r="F85" s="112">
        <f>IFERROR((Data_Entry!I83/Data_Entry!$V83/F$2),"")</f>
        <v>0.960362173602104</v>
      </c>
      <c r="G85" s="112">
        <f>IFERROR((Data_Entry!J83/Data_Entry!$V83/G$2),"")</f>
        <v>0.949425916567102</v>
      </c>
      <c r="H85" s="112">
        <f>IFERROR((Data_Entry!K83/Data_Entry!$V83/H$2),"")</f>
        <v>0.949305811242739</v>
      </c>
      <c r="I85" s="112">
        <f>IFERROR((Data_Entry!L83/Data_Entry!$V83/I$2),"")</f>
        <v>0.928107221492768</v>
      </c>
    </row>
    <row r="86" ht="15" spans="1:9">
      <c r="A86" s="111">
        <v>45829</v>
      </c>
      <c r="B86" s="29">
        <v>45829</v>
      </c>
      <c r="C86" s="112">
        <f>IFERROR((Data_Entry!F84/Data_Entry!$V84/C$2),"")</f>
        <v>0.977734901972842</v>
      </c>
      <c r="D86" s="112">
        <f>IFERROR((Data_Entry!G84/Data_Entry!$V84/D$2),"")</f>
        <v>0.97717760191865</v>
      </c>
      <c r="E86" s="112">
        <f>IFERROR((Data_Entry!H84/Data_Entry!$V84/E$2),"")</f>
        <v>0.981520698892702</v>
      </c>
      <c r="F86" s="112">
        <f>IFERROR((Data_Entry!I84/Data_Entry!$V84/F$2),"")</f>
        <v>0.986068501283963</v>
      </c>
      <c r="G86" s="112">
        <f>IFERROR((Data_Entry!J84/Data_Entry!$V84/G$2),"")</f>
        <v>0.977401524579105</v>
      </c>
      <c r="H86" s="112">
        <f>IFERROR((Data_Entry!K84/Data_Entry!$V84/H$2),"")</f>
        <v>0.978394136969481</v>
      </c>
      <c r="I86" s="112">
        <f>IFERROR((Data_Entry!L84/Data_Entry!$V84/I$2),"")</f>
        <v>0.964203456129289</v>
      </c>
    </row>
    <row r="87" ht="15" spans="1:9">
      <c r="A87" s="111">
        <v>45830</v>
      </c>
      <c r="B87" s="29">
        <v>45830</v>
      </c>
      <c r="C87" s="112">
        <f>IFERROR((Data_Entry!F85/Data_Entry!$V85/C$2),"")</f>
        <v>1.10686516797792</v>
      </c>
      <c r="D87" s="112">
        <f>IFERROR((Data_Entry!G85/Data_Entry!$V85/D$2),"")</f>
        <v>1.10452707004941</v>
      </c>
      <c r="E87" s="112">
        <f>IFERROR((Data_Entry!H85/Data_Entry!$V85/E$2),"")</f>
        <v>1.11088477469063</v>
      </c>
      <c r="F87" s="112">
        <f>IFERROR((Data_Entry!I85/Data_Entry!$V85/F$2),"")</f>
        <v>1.1121088295323</v>
      </c>
      <c r="G87" s="112">
        <f>IFERROR((Data_Entry!J85/Data_Entry!$V85/G$2),"")</f>
        <v>1.09960926609794</v>
      </c>
      <c r="H87" s="112">
        <f>IFERROR((Data_Entry!K85/Data_Entry!$V85/H$2),"")</f>
        <v>1.10222865990587</v>
      </c>
      <c r="I87" s="112">
        <f>IFERROR((Data_Entry!L85/Data_Entry!$V85/I$2),"")</f>
        <v>1.09127622380836</v>
      </c>
    </row>
    <row r="88" ht="15" spans="1:9">
      <c r="A88" s="111">
        <v>45831</v>
      </c>
      <c r="B88" s="29">
        <v>45831</v>
      </c>
      <c r="C88" s="112">
        <f>IFERROR((Data_Entry!F86/Data_Entry!$V86/C$2),"")</f>
        <v>1.37666882441308</v>
      </c>
      <c r="D88" s="112">
        <f>IFERROR((Data_Entry!G86/Data_Entry!$V86/D$2),"")</f>
        <v>1.37224687730694</v>
      </c>
      <c r="E88" s="112">
        <f>IFERROR((Data_Entry!H86/Data_Entry!$V86/E$2),"")</f>
        <v>1.3864032496398</v>
      </c>
      <c r="F88" s="112">
        <f>IFERROR((Data_Entry!I86/Data_Entry!$V86/F$2),"")</f>
        <v>1.38774905962862</v>
      </c>
      <c r="G88" s="112">
        <f>IFERROR((Data_Entry!J86/Data_Entry!$V86/G$2),"")</f>
        <v>1.37091842399455</v>
      </c>
      <c r="H88" s="112">
        <f>IFERROR((Data_Entry!K86/Data_Entry!$V86/H$2),"")</f>
        <v>1.37015473023105</v>
      </c>
      <c r="I88" s="112">
        <f>IFERROR((Data_Entry!L86/Data_Entry!$V86/I$2),"")</f>
        <v>1.36049106683907</v>
      </c>
    </row>
    <row r="89" ht="15" spans="1:9">
      <c r="A89" s="111">
        <v>45832</v>
      </c>
      <c r="B89" s="29">
        <v>45832</v>
      </c>
      <c r="C89" s="112">
        <f>IFERROR((Data_Entry!F87/Data_Entry!$V87/C$2),"")</f>
        <v>1.11740781077905</v>
      </c>
      <c r="D89" s="112">
        <f>IFERROR((Data_Entry!G87/Data_Entry!$V87/D$2),"")</f>
        <v>1.11547796649231</v>
      </c>
      <c r="E89" s="112">
        <f>IFERROR((Data_Entry!H87/Data_Entry!$V87/E$2),"")</f>
        <v>1.12020468655693</v>
      </c>
      <c r="F89" s="112">
        <f>IFERROR((Data_Entry!I87/Data_Entry!$V87/F$2),"")</f>
        <v>1.12204940853738</v>
      </c>
      <c r="G89" s="112">
        <f>IFERROR((Data_Entry!J87/Data_Entry!$V87/G$2),"")</f>
        <v>1.11093365136973</v>
      </c>
      <c r="H89" s="112">
        <f>IFERROR((Data_Entry!K87/Data_Entry!$V87/H$2),"")</f>
        <v>1.11186999673884</v>
      </c>
      <c r="I89" s="112">
        <f>IFERROR((Data_Entry!L87/Data_Entry!$V87/I$2),"")</f>
        <v>1.09478838193367</v>
      </c>
    </row>
    <row r="90" ht="15" spans="1:9">
      <c r="A90" s="111">
        <v>45833</v>
      </c>
      <c r="B90" s="29">
        <v>45833</v>
      </c>
      <c r="C90" s="112">
        <f>IFERROR((Data_Entry!F88/Data_Entry!$V88/C$2),"")</f>
        <v>1.1728947564705</v>
      </c>
      <c r="D90" s="112">
        <f>IFERROR((Data_Entry!G88/Data_Entry!$V88/D$2),"")</f>
        <v>1.16621090552619</v>
      </c>
      <c r="E90" s="112">
        <f>IFERROR((Data_Entry!H88/Data_Entry!$V88/E$2),"")</f>
        <v>1.17790764467873</v>
      </c>
      <c r="F90" s="112">
        <f>IFERROR((Data_Entry!I88/Data_Entry!$V88/F$2),"")</f>
        <v>1.17946173478488</v>
      </c>
      <c r="G90" s="112">
        <f>IFERROR((Data_Entry!J88/Data_Entry!$V88/G$2),"")</f>
        <v>1.16442833469306</v>
      </c>
      <c r="H90" s="112">
        <f>IFERROR((Data_Entry!K88/Data_Entry!$V88/H$2),"")</f>
        <v>1.16563285981598</v>
      </c>
      <c r="I90" s="112">
        <f>IFERROR((Data_Entry!L88/Data_Entry!$V88/I$2),"")</f>
        <v>1.15824356146576</v>
      </c>
    </row>
    <row r="91" ht="15" spans="1:9">
      <c r="A91" s="111">
        <v>45834</v>
      </c>
      <c r="B91" s="29">
        <v>45834</v>
      </c>
      <c r="C91" s="112">
        <f>IFERROR((Data_Entry!F89/Data_Entry!$V89/C$2),"")</f>
        <v>18.130585011319</v>
      </c>
      <c r="D91" s="112">
        <f>IFERROR((Data_Entry!G89/Data_Entry!$V89/D$2),"")</f>
        <v>18.0698200881687</v>
      </c>
      <c r="E91" s="112">
        <f>IFERROR((Data_Entry!H89/Data_Entry!$V89/E$2),"")</f>
        <v>18.213689979745</v>
      </c>
      <c r="F91" s="112">
        <f>IFERROR((Data_Entry!I89/Data_Entry!$V89/F$2),"")</f>
        <v>18.2648583964898</v>
      </c>
      <c r="G91" s="112">
        <f>IFERROR((Data_Entry!J89/Data_Entry!$V89/G$2),"")</f>
        <v>18.1018861473588</v>
      </c>
      <c r="H91" s="112">
        <f>IFERROR((Data_Entry!K89/Data_Entry!$V89/H$2),"")</f>
        <v>18.1198358880848</v>
      </c>
      <c r="I91" s="112">
        <f>IFERROR((Data_Entry!L89/Data_Entry!$V89/I$2),"")</f>
        <v>17.9072881645678</v>
      </c>
    </row>
    <row r="92" ht="15" spans="1:9">
      <c r="A92" s="111">
        <v>45835</v>
      </c>
      <c r="B92" s="29">
        <v>45835</v>
      </c>
      <c r="C92" s="112">
        <f>IFERROR((Data_Entry!F90/Data_Entry!$V90/C$2),"")</f>
        <v>4.70953685894708</v>
      </c>
      <c r="D92" s="112">
        <f>IFERROR((Data_Entry!G90/Data_Entry!$V90/D$2),"")</f>
        <v>4.68153733553471</v>
      </c>
      <c r="E92" s="112">
        <f>IFERROR((Data_Entry!H90/Data_Entry!$V90/E$2),"")</f>
        <v>4.71353679086313</v>
      </c>
      <c r="F92" s="112">
        <f>IFERROR((Data_Entry!I90/Data_Entry!$V90/F$2),"")</f>
        <v>4.72326465488469</v>
      </c>
      <c r="G92" s="112">
        <f>IFERROR((Data_Entry!J90/Data_Entry!$V90/G$2),"")</f>
        <v>4.6678280406698</v>
      </c>
      <c r="H92" s="112">
        <f>IFERROR((Data_Entry!K90/Data_Entry!$V90/H$2),"")</f>
        <v>4.66090863948292</v>
      </c>
      <c r="I92" s="112">
        <f>IFERROR((Data_Entry!L90/Data_Entry!$V90/I$2),"")</f>
        <v>4.60522781110849</v>
      </c>
    </row>
    <row r="93" ht="15" spans="1:9">
      <c r="A93" s="111">
        <v>45836</v>
      </c>
      <c r="B93" s="29">
        <v>45836</v>
      </c>
      <c r="C93" s="112">
        <f>IFERROR((Data_Entry!F91/Data_Entry!$V91/C$2),"")</f>
        <v>1.06020812244174</v>
      </c>
      <c r="D93" s="112">
        <f>IFERROR((Data_Entry!G91/Data_Entry!$V91/D$2),"")</f>
        <v>1.05503648991332</v>
      </c>
      <c r="E93" s="112">
        <f>IFERROR((Data_Entry!H91/Data_Entry!$V91/E$2),"")</f>
        <v>1.05966867777891</v>
      </c>
      <c r="F93" s="112">
        <f>IFERROR((Data_Entry!I91/Data_Entry!$V91/F$2),"")</f>
        <v>1.06083169599811</v>
      </c>
      <c r="G93" s="112">
        <f>IFERROR((Data_Entry!J91/Data_Entry!$V91/G$2),"")</f>
        <v>1.05238515508657</v>
      </c>
      <c r="H93" s="112">
        <f>IFERROR((Data_Entry!K91/Data_Entry!$V91/H$2),"")</f>
        <v>1.05502119375086</v>
      </c>
      <c r="I93" s="112">
        <f>IFERROR((Data_Entry!L91/Data_Entry!$V91/I$2),"")</f>
        <v>1.0381841978568</v>
      </c>
    </row>
    <row r="94" ht="15" spans="1:9">
      <c r="A94" s="111">
        <v>45837</v>
      </c>
      <c r="B94" s="29">
        <v>45837</v>
      </c>
      <c r="C94" s="112">
        <f>IFERROR((Data_Entry!F92/Data_Entry!$V92/C$2),"")</f>
        <v>1.01448698142827</v>
      </c>
      <c r="D94" s="112">
        <f>IFERROR((Data_Entry!G92/Data_Entry!$V92/D$2),"")</f>
        <v>1.00925531832307</v>
      </c>
      <c r="E94" s="112">
        <f>IFERROR((Data_Entry!H92/Data_Entry!$V92/E$2),"")</f>
        <v>1.01132266906626</v>
      </c>
      <c r="F94" s="112">
        <f>IFERROR((Data_Entry!I92/Data_Entry!$V92/F$2),"")</f>
        <v>1.01738604186707</v>
      </c>
      <c r="G94" s="112">
        <f>IFERROR((Data_Entry!J92/Data_Entry!$V92/G$2),"")</f>
        <v>1.00964567523359</v>
      </c>
      <c r="H94" s="112">
        <f>IFERROR((Data_Entry!K92/Data_Entry!$V92/H$2),"")</f>
        <v>1.01248676913868</v>
      </c>
      <c r="I94" s="112">
        <f>IFERROR((Data_Entry!L92/Data_Entry!$V92/I$2),"")</f>
        <v>0.995714629551219</v>
      </c>
    </row>
    <row r="95" ht="15" spans="1:9">
      <c r="A95" s="111">
        <v>45838</v>
      </c>
      <c r="B95" s="29">
        <v>45838</v>
      </c>
      <c r="C95" s="112">
        <f>IFERROR((Data_Entry!F93/Data_Entry!$V93/C$2),"")</f>
        <v>0.958575622930065</v>
      </c>
      <c r="D95" s="112">
        <f>IFERROR((Data_Entry!G93/Data_Entry!$V93/D$2),"")</f>
        <v>0.954071288598028</v>
      </c>
      <c r="E95" s="112">
        <f>IFERROR((Data_Entry!H93/Data_Entry!$V93/E$2),"")</f>
        <v>0.961893331550973</v>
      </c>
      <c r="F95" s="112">
        <f>IFERROR((Data_Entry!I93/Data_Entry!$V93/F$2),"")</f>
        <v>0.960562457638936</v>
      </c>
      <c r="G95" s="112">
        <f>IFERROR((Data_Entry!J93/Data_Entry!$V93/G$2),"")</f>
        <v>0.949304780528573</v>
      </c>
      <c r="H95" s="112">
        <f>IFERROR((Data_Entry!K93/Data_Entry!$V93/H$2),"")</f>
        <v>0.950069190702734</v>
      </c>
      <c r="I95" s="112">
        <f>IFERROR((Data_Entry!L93/Data_Entry!$V93/I$2),"")</f>
        <v>0.939483267987845</v>
      </c>
    </row>
    <row r="96" ht="15" spans="1:9">
      <c r="A96" s="111">
        <v>45839</v>
      </c>
      <c r="B96" s="29">
        <v>45839</v>
      </c>
      <c r="C96" s="112">
        <f>IFERROR((Data_Entry!F94/Data_Entry!$V94/C$2),"")</f>
        <v>1.09829657388944</v>
      </c>
      <c r="D96" s="112">
        <f>IFERROR((Data_Entry!G94/Data_Entry!$V94/D$2),"")</f>
        <v>1.09225492642491</v>
      </c>
      <c r="E96" s="112">
        <f>IFERROR((Data_Entry!H94/Data_Entry!$V94/E$2),"")</f>
        <v>1.09852137937649</v>
      </c>
      <c r="F96" s="112">
        <f>IFERROR((Data_Entry!I94/Data_Entry!$V94/F$2),"")</f>
        <v>1.10372000626458</v>
      </c>
      <c r="G96" s="112">
        <f>IFERROR((Data_Entry!J94/Data_Entry!$V94/G$2),"")</f>
        <v>1.09692859992022</v>
      </c>
      <c r="H96" s="112">
        <f>IFERROR((Data_Entry!K94/Data_Entry!$V94/H$2),"")</f>
        <v>1.0994014602778</v>
      </c>
      <c r="I96" s="112">
        <f>IFERROR((Data_Entry!L94/Data_Entry!$V94/I$2),"")</f>
        <v>1.08261109683542</v>
      </c>
    </row>
    <row r="97" ht="15" spans="1:9">
      <c r="A97" s="111">
        <v>45840</v>
      </c>
      <c r="B97" s="29">
        <v>45840</v>
      </c>
      <c r="C97" s="112">
        <f>IFERROR((Data_Entry!F95/Data_Entry!$V95/C$2),"")</f>
        <v>1.18860141511005</v>
      </c>
      <c r="D97" s="112">
        <f>IFERROR((Data_Entry!G95/Data_Entry!$V95/D$2),"")</f>
        <v>1.19857349329114</v>
      </c>
      <c r="E97" s="112">
        <f>IFERROR((Data_Entry!H95/Data_Entry!$V95/E$2),"")</f>
        <v>1.19328218650117</v>
      </c>
      <c r="F97" s="112">
        <f>IFERROR((Data_Entry!I95/Data_Entry!$V95/F$2),"")</f>
        <v>1.15054953494899</v>
      </c>
      <c r="G97" s="112">
        <f>IFERROR((Data_Entry!J95/Data_Entry!$V95/G$2),"")</f>
        <v>1.0971055667025</v>
      </c>
      <c r="H97" s="112">
        <f>IFERROR((Data_Entry!K95/Data_Entry!$V95/H$2),"")</f>
        <v>1.08480637533451</v>
      </c>
      <c r="I97" s="112">
        <f>IFERROR((Data_Entry!L95/Data_Entry!$V95/I$2),"")</f>
        <v>1.0873900903557</v>
      </c>
    </row>
    <row r="98" ht="15" spans="1:9">
      <c r="A98" s="111">
        <v>45841</v>
      </c>
      <c r="B98" s="29">
        <v>45841</v>
      </c>
      <c r="C98" s="112">
        <f>IFERROR((Data_Entry!F96/Data_Entry!$V96/C$2),"")</f>
        <v>1.48160790362625</v>
      </c>
      <c r="D98" s="112">
        <f>IFERROR((Data_Entry!G96/Data_Entry!$V96/D$2),"")</f>
        <v>1.47173266439321</v>
      </c>
      <c r="E98" s="112">
        <f>IFERROR((Data_Entry!H96/Data_Entry!$V96/E$2),"")</f>
        <v>1.4857941463446</v>
      </c>
      <c r="F98" s="112">
        <f>IFERROR((Data_Entry!I96/Data_Entry!$V96/F$2),"")</f>
        <v>1.48505677025821</v>
      </c>
      <c r="G98" s="112">
        <f>IFERROR((Data_Entry!J96/Data_Entry!$V96/G$2),"")</f>
        <v>1.46560030883924</v>
      </c>
      <c r="H98" s="112">
        <f>IFERROR((Data_Entry!K96/Data_Entry!$V96/H$2),"")</f>
        <v>1.46447091002336</v>
      </c>
      <c r="I98" s="112">
        <f>IFERROR((Data_Entry!L96/Data_Entry!$V96/I$2),"")</f>
        <v>1.44996840250131</v>
      </c>
    </row>
    <row r="99" ht="15" spans="1:9">
      <c r="A99" s="111">
        <v>45842</v>
      </c>
      <c r="B99" s="29">
        <v>45842</v>
      </c>
      <c r="C99" s="112">
        <f>IFERROR((Data_Entry!F97/Data_Entry!$V97/C$2),"")</f>
        <v>1.01342167855929</v>
      </c>
      <c r="D99" s="112">
        <f>IFERROR((Data_Entry!G97/Data_Entry!$V97/D$2),"")</f>
        <v>1.00841309556906</v>
      </c>
      <c r="E99" s="112">
        <f>IFERROR((Data_Entry!H97/Data_Entry!$V97/E$2),"")</f>
        <v>1.01266046220175</v>
      </c>
      <c r="F99" s="112">
        <f>IFERROR((Data_Entry!I97/Data_Entry!$V97/F$2),"")</f>
        <v>1.01401789275742</v>
      </c>
      <c r="G99" s="112">
        <f>IFERROR((Data_Entry!J97/Data_Entry!$V97/G$2),"")</f>
        <v>1.00329658965479</v>
      </c>
      <c r="H99" s="112">
        <f>IFERROR((Data_Entry!K97/Data_Entry!$V97/H$2),"")</f>
        <v>1.00688442730724</v>
      </c>
      <c r="I99" s="112">
        <f>IFERROR((Data_Entry!L97/Data_Entry!$V97/I$2),"")</f>
        <v>0.989293470346522</v>
      </c>
    </row>
    <row r="100" ht="15" spans="1:9">
      <c r="A100" s="111">
        <v>45843</v>
      </c>
      <c r="B100" s="29">
        <v>45843</v>
      </c>
      <c r="C100" s="112">
        <f>IFERROR((Data_Entry!F98/Data_Entry!$V98/C$2),"")</f>
        <v>1.27388666379492</v>
      </c>
      <c r="D100" s="112">
        <f>IFERROR((Data_Entry!G98/Data_Entry!$V98/D$2),"")</f>
        <v>1.27095381682538</v>
      </c>
      <c r="E100" s="112">
        <f>IFERROR((Data_Entry!H98/Data_Entry!$V98/E$2),"")</f>
        <v>1.28383084805103</v>
      </c>
      <c r="F100" s="112">
        <f>IFERROR((Data_Entry!I98/Data_Entry!$V98/F$2),"")</f>
        <v>1.28841441765255</v>
      </c>
      <c r="G100" s="112">
        <f>IFERROR((Data_Entry!J98/Data_Entry!$V98/G$2),"")</f>
        <v>1.27813550629665</v>
      </c>
      <c r="H100" s="112">
        <f>IFERROR((Data_Entry!K98/Data_Entry!$V98/H$2),"")</f>
        <v>1.27068384348001</v>
      </c>
      <c r="I100" s="112">
        <f>IFERROR((Data_Entry!L98/Data_Entry!$V98/I$2),"")</f>
        <v>1.26866751118845</v>
      </c>
    </row>
    <row r="101" ht="15" spans="1:9">
      <c r="A101" s="111">
        <v>45844</v>
      </c>
      <c r="B101" s="29">
        <v>45844</v>
      </c>
      <c r="C101" s="112">
        <f>IFERROR((Data_Entry!F99/Data_Entry!$V99/C$2),"")</f>
        <v>1.0608957894264</v>
      </c>
      <c r="D101" s="112">
        <f>IFERROR((Data_Entry!G99/Data_Entry!$V99/D$2),"")</f>
        <v>1.05764854787264</v>
      </c>
      <c r="E101" s="112">
        <f>IFERROR((Data_Entry!H99/Data_Entry!$V99/E$2),"")</f>
        <v>1.06348381652939</v>
      </c>
      <c r="F101" s="112">
        <f>IFERROR((Data_Entry!I99/Data_Entry!$V99/F$2),"")</f>
        <v>1.07317777202755</v>
      </c>
      <c r="G101" s="112">
        <f>IFERROR((Data_Entry!J99/Data_Entry!$V99/G$2),"")</f>
        <v>1.05921219181141</v>
      </c>
      <c r="H101" s="112">
        <f>IFERROR((Data_Entry!K99/Data_Entry!$V99/H$2),"")</f>
        <v>1.06036820555839</v>
      </c>
      <c r="I101" s="112">
        <f>IFERROR((Data_Entry!L99/Data_Entry!$V99/I$2),"")</f>
        <v>1.04263098453137</v>
      </c>
    </row>
    <row r="102" ht="15" spans="1:9">
      <c r="A102" s="111">
        <v>45845</v>
      </c>
      <c r="B102" s="29">
        <v>45845</v>
      </c>
      <c r="C102" s="112">
        <f>IFERROR((Data_Entry!F100/Data_Entry!$V100/C$2),"")</f>
        <v>1.10279628628252</v>
      </c>
      <c r="D102" s="112">
        <f>IFERROR((Data_Entry!G100/Data_Entry!$V100/D$2),"")</f>
        <v>1.09772272288655</v>
      </c>
      <c r="E102" s="112">
        <f>IFERROR((Data_Entry!H100/Data_Entry!$V100/E$2),"")</f>
        <v>1.10531670164698</v>
      </c>
      <c r="F102" s="112">
        <f>IFERROR((Data_Entry!I100/Data_Entry!$V100/F$2),"")</f>
        <v>1.1091706174047</v>
      </c>
      <c r="G102" s="112">
        <f>IFERROR((Data_Entry!J100/Data_Entry!$V100/G$2),"")</f>
        <v>1.09921419397743</v>
      </c>
      <c r="H102" s="112">
        <f>IFERROR((Data_Entry!K100/Data_Entry!$V100/H$2),"")</f>
        <v>1.10221990671019</v>
      </c>
      <c r="I102" s="112">
        <f>IFERROR((Data_Entry!L100/Data_Entry!$V100/I$2),"")</f>
        <v>1.08892902072001</v>
      </c>
    </row>
    <row r="103" ht="15" spans="1:9">
      <c r="A103" s="111">
        <v>45846</v>
      </c>
      <c r="B103" s="29">
        <v>45846</v>
      </c>
      <c r="C103" s="112">
        <f>IFERROR((Data_Entry!F101/Data_Entry!$V101/C$2),"")</f>
        <v>1.00304918052566</v>
      </c>
      <c r="D103" s="112">
        <f>IFERROR((Data_Entry!G101/Data_Entry!$V101/D$2),"")</f>
        <v>0.997798798576873</v>
      </c>
      <c r="E103" s="112">
        <f>IFERROR((Data_Entry!H101/Data_Entry!$V101/E$2),"")</f>
        <v>1.00075861892143</v>
      </c>
      <c r="F103" s="112">
        <f>IFERROR((Data_Entry!I101/Data_Entry!$V101/F$2),"")</f>
        <v>1.0052774473788</v>
      </c>
      <c r="G103" s="112">
        <f>IFERROR((Data_Entry!J101/Data_Entry!$V101/G$2),"")</f>
        <v>0.99494471537561</v>
      </c>
      <c r="H103" s="112">
        <f>IFERROR((Data_Entry!K101/Data_Entry!$V101/H$2),"")</f>
        <v>0.998352893994464</v>
      </c>
      <c r="I103" s="112">
        <f>IFERROR((Data_Entry!L101/Data_Entry!$V101/I$2),"")</f>
        <v>0.984963620848965</v>
      </c>
    </row>
    <row r="104" ht="15" spans="1:9">
      <c r="A104" s="111">
        <v>45847</v>
      </c>
      <c r="B104" s="29">
        <v>45847</v>
      </c>
      <c r="C104" s="112">
        <f>IFERROR((Data_Entry!F102/Data_Entry!$V102/C$2),"")</f>
        <v>1.04551411890861</v>
      </c>
      <c r="D104" s="112">
        <f>IFERROR((Data_Entry!G102/Data_Entry!$V102/D$2),"")</f>
        <v>1.05637043027244</v>
      </c>
      <c r="E104" s="112">
        <f>IFERROR((Data_Entry!H102/Data_Entry!$V102/E$2),"")</f>
        <v>1.05066025132392</v>
      </c>
      <c r="F104" s="112">
        <f>IFERROR((Data_Entry!I102/Data_Entry!$V102/F$2),"")</f>
        <v>1.0092773668379</v>
      </c>
      <c r="G104" s="112">
        <f>IFERROR((Data_Entry!J102/Data_Entry!$V102/G$2),"")</f>
        <v>0.956937596007774</v>
      </c>
      <c r="H104" s="112">
        <f>IFERROR((Data_Entry!K102/Data_Entry!$V102/H$2),"")</f>
        <v>0.951027093742384</v>
      </c>
      <c r="I104" s="112">
        <f>IFERROR((Data_Entry!L102/Data_Entry!$V102/I$2),"")</f>
        <v>0.950536067400337</v>
      </c>
    </row>
    <row r="105" ht="15" spans="1:9">
      <c r="A105" s="111">
        <v>45848</v>
      </c>
      <c r="B105" s="29">
        <v>45848</v>
      </c>
      <c r="C105" s="112">
        <f>IFERROR((Data_Entry!F103/Data_Entry!$V103/C$2),"")</f>
        <v>0.976698198920421</v>
      </c>
      <c r="D105" s="112">
        <f>IFERROR((Data_Entry!G103/Data_Entry!$V103/D$2),"")</f>
        <v>0.974099521500133</v>
      </c>
      <c r="E105" s="112">
        <f>IFERROR((Data_Entry!H103/Data_Entry!$V103/E$2),"")</f>
        <v>0.979345907990149</v>
      </c>
      <c r="F105" s="112">
        <f>IFERROR((Data_Entry!I103/Data_Entry!$V103/F$2),"")</f>
        <v>0.985131109671286</v>
      </c>
      <c r="G105" s="112">
        <f>IFERROR((Data_Entry!J103/Data_Entry!$V103/G$2),"")</f>
        <v>0.976548439208546</v>
      </c>
      <c r="H105" s="112">
        <f>IFERROR((Data_Entry!K103/Data_Entry!$V103/H$2),"")</f>
        <v>0.979022405694391</v>
      </c>
      <c r="I105" s="112">
        <f>IFERROR((Data_Entry!L103/Data_Entry!$V103/I$2),"")</f>
        <v>0.968294067615966</v>
      </c>
    </row>
    <row r="106" ht="15" spans="1:9">
      <c r="A106" s="111">
        <v>45849</v>
      </c>
      <c r="B106" s="29">
        <v>45849</v>
      </c>
      <c r="C106" s="112">
        <f>IFERROR((Data_Entry!F104/Data_Entry!$V104/C$2),"")</f>
        <v>1.25662043210106</v>
      </c>
      <c r="D106" s="112">
        <f>IFERROR((Data_Entry!G104/Data_Entry!$V104/D$2),"")</f>
        <v>1.25022672062934</v>
      </c>
      <c r="E106" s="112">
        <f>IFERROR((Data_Entry!H104/Data_Entry!$V104/E$2),"")</f>
        <v>1.25946629774129</v>
      </c>
      <c r="F106" s="112">
        <f>IFERROR((Data_Entry!I104/Data_Entry!$V104/F$2),"")</f>
        <v>1.26230721404998</v>
      </c>
      <c r="G106" s="112">
        <f>IFERROR((Data_Entry!J104/Data_Entry!$V104/G$2),"")</f>
        <v>1.25027538905623</v>
      </c>
      <c r="H106" s="112">
        <f>IFERROR((Data_Entry!K104/Data_Entry!$V104/H$2),"")</f>
        <v>1.25354194787806</v>
      </c>
      <c r="I106" s="112">
        <f>IFERROR((Data_Entry!L104/Data_Entry!$V104/I$2),"")</f>
        <v>1.23849762974862</v>
      </c>
    </row>
    <row r="107" ht="15" spans="1:9">
      <c r="A107" s="111">
        <v>45850</v>
      </c>
      <c r="B107" s="29">
        <v>45850</v>
      </c>
      <c r="C107" s="112">
        <f>IFERROR((Data_Entry!F105/Data_Entry!$V105/C$2),"")</f>
        <v>0.897368686359512</v>
      </c>
      <c r="D107" s="112">
        <f>IFERROR((Data_Entry!G105/Data_Entry!$V105/D$2),"")</f>
        <v>0.89010989010989</v>
      </c>
      <c r="E107" s="112">
        <f>IFERROR((Data_Entry!H105/Data_Entry!$V105/E$2),"")</f>
        <v>0.889367513220724</v>
      </c>
      <c r="F107" s="112">
        <f>IFERROR((Data_Entry!I105/Data_Entry!$V105/F$2),"")</f>
        <v>0.89191143917909</v>
      </c>
      <c r="G107" s="112">
        <f>IFERROR((Data_Entry!J105/Data_Entry!$V105/G$2),"")</f>
        <v>0.884687709578017</v>
      </c>
      <c r="H107" s="112">
        <f>IFERROR((Data_Entry!K105/Data_Entry!$V105/H$2),"")</f>
        <v>0.886116675506384</v>
      </c>
      <c r="I107" s="112">
        <f>IFERROR((Data_Entry!L105/Data_Entry!$V105/I$2),"")</f>
        <v>0.868679784515445</v>
      </c>
    </row>
    <row r="108" ht="15" spans="1:9">
      <c r="A108" s="111">
        <v>45851</v>
      </c>
      <c r="B108" s="29">
        <v>45851</v>
      </c>
      <c r="C108" s="112">
        <f>IFERROR((Data_Entry!F106/Data_Entry!$V106/C$2),"")</f>
        <v>0.902872419775775</v>
      </c>
      <c r="D108" s="112">
        <f>IFERROR((Data_Entry!G106/Data_Entry!$V106/D$2),"")</f>
        <v>0.898277919140053</v>
      </c>
      <c r="E108" s="112">
        <f>IFERROR((Data_Entry!H106/Data_Entry!$V106/E$2),"")</f>
        <v>0.898971582646334</v>
      </c>
      <c r="F108" s="112">
        <f>IFERROR((Data_Entry!I106/Data_Entry!$V106/F$2),"")</f>
        <v>0.901616374347522</v>
      </c>
      <c r="G108" s="112">
        <f>IFERROR((Data_Entry!J106/Data_Entry!$V106/G$2),"")</f>
        <v>0.893693353326927</v>
      </c>
      <c r="H108" s="112">
        <f>IFERROR((Data_Entry!K106/Data_Entry!$V106/H$2),"")</f>
        <v>0.893381116045327</v>
      </c>
      <c r="I108" s="112">
        <f>IFERROR((Data_Entry!L106/Data_Entry!$V106/I$2),"")</f>
        <v>0.877300896042939</v>
      </c>
    </row>
    <row r="109" ht="15" spans="1:9">
      <c r="A109" s="111">
        <v>45852</v>
      </c>
      <c r="B109" s="29">
        <v>45852</v>
      </c>
      <c r="C109" s="112">
        <f>IFERROR((Data_Entry!F107/Data_Entry!$V107/C$2),"")</f>
        <v>0.920503366300873</v>
      </c>
      <c r="D109" s="112">
        <f>IFERROR((Data_Entry!G107/Data_Entry!$V107/D$2),"")</f>
        <v>0.923188178916981</v>
      </c>
      <c r="E109" s="112">
        <f>IFERROR((Data_Entry!H107/Data_Entry!$V107/E$2),"")</f>
        <v>0.926921537753808</v>
      </c>
      <c r="F109" s="112">
        <f>IFERROR((Data_Entry!I107/Data_Entry!$V107/F$2),"")</f>
        <v>0.928636205555898</v>
      </c>
      <c r="G109" s="112">
        <f>IFERROR((Data_Entry!J107/Data_Entry!$V107/G$2),"")</f>
        <v>0.927013586812786</v>
      </c>
      <c r="H109" s="112">
        <f>IFERROR((Data_Entry!K107/Data_Entry!$V107/H$2),"")</f>
        <v>0.92953056234344</v>
      </c>
      <c r="I109" s="112">
        <f>IFERROR((Data_Entry!L107/Data_Entry!$V107/I$2),"")</f>
        <v>0.92141746862788</v>
      </c>
    </row>
    <row r="110" ht="15" spans="1:9">
      <c r="A110" s="111">
        <v>45853</v>
      </c>
      <c r="B110" s="29">
        <v>45853</v>
      </c>
      <c r="C110" s="112">
        <f>IFERROR((Data_Entry!F108/Data_Entry!$V108/C$2),"")</f>
        <v>1.02881378806419</v>
      </c>
      <c r="D110" s="112">
        <f>IFERROR((Data_Entry!G108/Data_Entry!$V108/D$2),"")</f>
        <v>1.02312466436994</v>
      </c>
      <c r="E110" s="112">
        <f>IFERROR((Data_Entry!H108/Data_Entry!$V108/E$2),"")</f>
        <v>1.02391521257559</v>
      </c>
      <c r="F110" s="112">
        <f>IFERROR((Data_Entry!I108/Data_Entry!$V108/F$2),"")</f>
        <v>1.02663793915966</v>
      </c>
      <c r="G110" s="112">
        <f>IFERROR((Data_Entry!J108/Data_Entry!$V108/G$2),"")</f>
        <v>1.02029820902286</v>
      </c>
      <c r="H110" s="112">
        <f>IFERROR((Data_Entry!K108/Data_Entry!$V108/H$2),"")</f>
        <v>1.02135145492418</v>
      </c>
      <c r="I110" s="112">
        <f>IFERROR((Data_Entry!L108/Data_Entry!$V108/I$2),"")</f>
        <v>1.00402015858643</v>
      </c>
    </row>
    <row r="111" ht="15" spans="1:9">
      <c r="A111" s="111">
        <v>45854</v>
      </c>
      <c r="B111" s="29">
        <v>45854</v>
      </c>
      <c r="C111" s="112">
        <f>IFERROR((Data_Entry!F109/Data_Entry!$V109/C$2),"")</f>
        <v>0.954347308056921</v>
      </c>
      <c r="D111" s="112">
        <f>IFERROR((Data_Entry!G109/Data_Entry!$V109/D$2),"")</f>
        <v>0.949393645843586</v>
      </c>
      <c r="E111" s="112">
        <f>IFERROR((Data_Entry!H109/Data_Entry!$V109/E$2),"")</f>
        <v>0.953511984624868</v>
      </c>
      <c r="F111" s="112">
        <f>IFERROR((Data_Entry!I109/Data_Entry!$V109/F$2),"")</f>
        <v>0.954327881930594</v>
      </c>
      <c r="G111" s="112">
        <f>IFERROR((Data_Entry!J109/Data_Entry!$V109/G$2),"")</f>
        <v>0.946864307888224</v>
      </c>
      <c r="H111" s="112">
        <f>IFERROR((Data_Entry!K109/Data_Entry!$V109/H$2),"")</f>
        <v>0.94860477619188</v>
      </c>
      <c r="I111" s="112">
        <f>IFERROR((Data_Entry!L109/Data_Entry!$V109/I$2),"")</f>
        <v>0.936347172017729</v>
      </c>
    </row>
    <row r="112" ht="15" spans="1:9">
      <c r="A112" s="111">
        <v>45855</v>
      </c>
      <c r="B112" s="29">
        <v>45855</v>
      </c>
      <c r="C112" s="112">
        <f>IFERROR((Data_Entry!F110/Data_Entry!$V110/C$2),"")</f>
        <v>0.885717834771124</v>
      </c>
      <c r="D112" s="112">
        <f>IFERROR((Data_Entry!G110/Data_Entry!$V110/D$2),"")</f>
        <v>0.884551716095733</v>
      </c>
      <c r="E112" s="112">
        <f>IFERROR((Data_Entry!H110/Data_Entry!$V110/E$2),"")</f>
        <v>0.885838249199561</v>
      </c>
      <c r="F112" s="112">
        <f>IFERROR((Data_Entry!I110/Data_Entry!$V110/F$2),"")</f>
        <v>0.892467655912988</v>
      </c>
      <c r="G112" s="112">
        <f>IFERROR((Data_Entry!J110/Data_Entry!$V110/G$2),"")</f>
        <v>0.8873270344555</v>
      </c>
      <c r="H112" s="112">
        <f>IFERROR((Data_Entry!K110/Data_Entry!$V110/H$2),"")</f>
        <v>0.889636676879206</v>
      </c>
      <c r="I112" s="112">
        <f>IFERROR((Data_Entry!L110/Data_Entry!$V110/I$2),"")</f>
        <v>0.879822212091857</v>
      </c>
    </row>
    <row r="113" ht="15" spans="1:9">
      <c r="A113" s="111">
        <v>45856</v>
      </c>
      <c r="B113" s="29">
        <v>45856</v>
      </c>
      <c r="C113" s="112">
        <f>IFERROR((Data_Entry!F111/Data_Entry!$V111/C$2),"")</f>
        <v>0.945124650620821</v>
      </c>
      <c r="D113" s="112">
        <f>IFERROR((Data_Entry!G111/Data_Entry!$V111/D$2),"")</f>
        <v>0.943938646993945</v>
      </c>
      <c r="E113" s="112">
        <f>IFERROR((Data_Entry!H111/Data_Entry!$V111/E$2),"")</f>
        <v>0.951825297839943</v>
      </c>
      <c r="F113" s="112">
        <f>IFERROR((Data_Entry!I111/Data_Entry!$V111/F$2),"")</f>
        <v>0.960712364488214</v>
      </c>
      <c r="G113" s="112">
        <f>IFERROR((Data_Entry!J111/Data_Entry!$V111/G$2),"")</f>
        <v>0.957094708864981</v>
      </c>
      <c r="H113" s="112">
        <f>IFERROR((Data_Entry!K111/Data_Entry!$V111/H$2),"")</f>
        <v>0.961773613175376</v>
      </c>
      <c r="I113" s="112">
        <f>IFERROR((Data_Entry!L111/Data_Entry!$V111/I$2),"")</f>
        <v>0.952849714116333</v>
      </c>
    </row>
    <row r="114" ht="15" spans="1:9">
      <c r="A114" s="111">
        <v>45857</v>
      </c>
      <c r="B114" s="29">
        <v>45857</v>
      </c>
      <c r="C114" s="112">
        <f>IFERROR((Data_Entry!F112/Data_Entry!$V112/C$2),"")</f>
        <v>1.02902870618783</v>
      </c>
      <c r="D114" s="112">
        <f>IFERROR((Data_Entry!G112/Data_Entry!$V112/D$2),"")</f>
        <v>1.02868633001502</v>
      </c>
      <c r="E114" s="112">
        <f>IFERROR((Data_Entry!H112/Data_Entry!$V112/E$2),"")</f>
        <v>1.03455808137871</v>
      </c>
      <c r="F114" s="112">
        <f>IFERROR((Data_Entry!I112/Data_Entry!$V112/F$2),"")</f>
        <v>1.03970786559538</v>
      </c>
      <c r="G114" s="112">
        <f>IFERROR((Data_Entry!J112/Data_Entry!$V112/G$2),"")</f>
        <v>1.0323393349197</v>
      </c>
      <c r="H114" s="112">
        <f>IFERROR((Data_Entry!K112/Data_Entry!$V112/H$2),"")</f>
        <v>1.03716162888412</v>
      </c>
      <c r="I114" s="112">
        <f>IFERROR((Data_Entry!L112/Data_Entry!$V112/I$2),"")</f>
        <v>1.0231368588314</v>
      </c>
    </row>
    <row r="115" ht="15" spans="1:9">
      <c r="A115" s="111">
        <v>45858</v>
      </c>
      <c r="B115" s="29">
        <v>45858</v>
      </c>
      <c r="C115" s="112">
        <f>IFERROR((Data_Entry!F113/Data_Entry!$V113/C$2),"")</f>
        <v>1.07877596409706</v>
      </c>
      <c r="D115" s="112">
        <f>IFERROR((Data_Entry!G113/Data_Entry!$V113/D$2),"")</f>
        <v>1.07484050561615</v>
      </c>
      <c r="E115" s="112">
        <f>IFERROR((Data_Entry!H113/Data_Entry!$V113/E$2),"")</f>
        <v>1.08076174589936</v>
      </c>
      <c r="F115" s="112">
        <f>IFERROR((Data_Entry!I113/Data_Entry!$V113/F$2),"")</f>
        <v>1.08227698375285</v>
      </c>
      <c r="G115" s="112">
        <f>IFERROR((Data_Entry!J113/Data_Entry!$V113/G$2),"")</f>
        <v>1.07042272977654</v>
      </c>
      <c r="H115" s="112">
        <f>IFERROR((Data_Entry!K113/Data_Entry!$V113/H$2),"")</f>
        <v>1.06719367588933</v>
      </c>
      <c r="I115" s="112">
        <f>IFERROR((Data_Entry!L113/Data_Entry!$V113/I$2),"")</f>
        <v>1.05359538746057</v>
      </c>
    </row>
    <row r="116" ht="15" spans="1:9">
      <c r="A116" s="111">
        <v>45859</v>
      </c>
      <c r="B116" s="29">
        <v>45859</v>
      </c>
      <c r="C116" s="112">
        <f>IFERROR((Data_Entry!F114/Data_Entry!$V114/C$2),"")</f>
        <v>1.14698028173325</v>
      </c>
      <c r="D116" s="112">
        <f>IFERROR((Data_Entry!G114/Data_Entry!$V114/D$2),"")</f>
        <v>1.1526005907792</v>
      </c>
      <c r="E116" s="112">
        <f>IFERROR((Data_Entry!H114/Data_Entry!$V114/E$2),"")</f>
        <v>1.15433131803808</v>
      </c>
      <c r="F116" s="112">
        <f>IFERROR((Data_Entry!I114/Data_Entry!$V114/F$2),"")</f>
        <v>1.1547483559794</v>
      </c>
      <c r="G116" s="112">
        <f>IFERROR((Data_Entry!J114/Data_Entry!$V114/G$2),"")</f>
        <v>1.13864665176039</v>
      </c>
      <c r="H116" s="112">
        <f>IFERROR((Data_Entry!K114/Data_Entry!$V114/H$2),"")</f>
        <v>1.13834169524109</v>
      </c>
      <c r="I116" s="112">
        <f>IFERROR((Data_Entry!L114/Data_Entry!$V114/I$2),"")</f>
        <v>1.10977162590444</v>
      </c>
    </row>
    <row r="117" ht="15" spans="1:9">
      <c r="A117" s="111">
        <v>45860</v>
      </c>
      <c r="B117" s="29">
        <v>45860</v>
      </c>
      <c r="C117" s="112">
        <f>IFERROR((Data_Entry!F115/Data_Entry!$V115/C$2),"")</f>
        <v>0.951157691226386</v>
      </c>
      <c r="D117" s="112">
        <f>IFERROR((Data_Entry!G115/Data_Entry!$V115/D$2),"")</f>
        <v>0.948787959001725</v>
      </c>
      <c r="E117" s="112">
        <f>IFERROR((Data_Entry!H115/Data_Entry!$V115/E$2),"")</f>
        <v>0.950526740850779</v>
      </c>
      <c r="F117" s="112">
        <f>IFERROR((Data_Entry!I115/Data_Entry!$V115/F$2),"")</f>
        <v>0.950554492459818</v>
      </c>
      <c r="G117" s="112">
        <f>IFERROR((Data_Entry!J115/Data_Entry!$V115/G$2),"")</f>
        <v>0.940792943726601</v>
      </c>
      <c r="H117" s="112">
        <f>IFERROR((Data_Entry!K115/Data_Entry!$V115/H$2),"")</f>
        <v>0.944049132520428</v>
      </c>
      <c r="I117" s="112">
        <f>IFERROR((Data_Entry!L115/Data_Entry!$V115/I$2),"")</f>
        <v>0.931115606772536</v>
      </c>
    </row>
    <row r="118" ht="15" spans="1:9">
      <c r="A118" s="111">
        <v>45861</v>
      </c>
      <c r="B118" s="29">
        <v>45861</v>
      </c>
      <c r="C118" s="112">
        <f>IFERROR((Data_Entry!F116/Data_Entry!$V116/C$2),"")</f>
        <v>0.978780393918009</v>
      </c>
      <c r="D118" s="112">
        <f>IFERROR((Data_Entry!G116/Data_Entry!$V116/D$2),"")</f>
        <v>0.98134663501636</v>
      </c>
      <c r="E118" s="112">
        <f>IFERROR((Data_Entry!H116/Data_Entry!$V116/E$2),"")</f>
        <v>0.990053524457194</v>
      </c>
      <c r="F118" s="112">
        <f>IFERROR((Data_Entry!I116/Data_Entry!$V116/F$2),"")</f>
        <v>1.00011177494225</v>
      </c>
      <c r="G118" s="112">
        <f>IFERROR((Data_Entry!J116/Data_Entry!$V116/G$2),"")</f>
        <v>0.995914735444053</v>
      </c>
      <c r="H118" s="112">
        <f>IFERROR((Data_Entry!K116/Data_Entry!$V116/H$2),"")</f>
        <v>1.00321298167329</v>
      </c>
      <c r="I118" s="112">
        <f>IFERROR((Data_Entry!L116/Data_Entry!$V116/I$2),"")</f>
        <v>0.985372824224041</v>
      </c>
    </row>
    <row r="119" ht="15" spans="1:9">
      <c r="A119" s="111">
        <v>45862</v>
      </c>
      <c r="B119" s="29">
        <v>45862</v>
      </c>
      <c r="C119" s="112">
        <f>IFERROR((Data_Entry!F117/Data_Entry!$V117/C$2),"")</f>
        <v>1.10408371090615</v>
      </c>
      <c r="D119" s="112">
        <f>IFERROR((Data_Entry!G117/Data_Entry!$V117/D$2),"")</f>
        <v>1.09931125187854</v>
      </c>
      <c r="E119" s="112">
        <f>IFERROR((Data_Entry!H117/Data_Entry!$V117/E$2),"")</f>
        <v>1.10668387823844</v>
      </c>
      <c r="F119" s="112">
        <f>IFERROR((Data_Entry!I117/Data_Entry!$V117/F$2),"")</f>
        <v>1.10994660884803</v>
      </c>
      <c r="G119" s="112">
        <f>IFERROR((Data_Entry!J117/Data_Entry!$V117/G$2),"")</f>
        <v>1.09847124184879</v>
      </c>
      <c r="H119" s="112">
        <f>IFERROR((Data_Entry!K117/Data_Entry!$V117/H$2),"")</f>
        <v>1.0985656893138</v>
      </c>
      <c r="I119" s="112">
        <f>IFERROR((Data_Entry!L117/Data_Entry!$V117/I$2),"")</f>
        <v>1.08428838085248</v>
      </c>
    </row>
    <row r="120" ht="15" spans="1:9">
      <c r="A120" s="111">
        <v>45863</v>
      </c>
      <c r="B120" s="29">
        <v>45863</v>
      </c>
      <c r="C120" s="112">
        <f>IFERROR((Data_Entry!F118/Data_Entry!$V118/C$2),"")</f>
        <v>1.1847138772106</v>
      </c>
      <c r="D120" s="112">
        <f>IFERROR((Data_Entry!G118/Data_Entry!$V118/D$2),"")</f>
        <v>1.18358623683001</v>
      </c>
      <c r="E120" s="112">
        <f>IFERROR((Data_Entry!H118/Data_Entry!$V118/E$2),"")</f>
        <v>1.19076696566867</v>
      </c>
      <c r="F120" s="112">
        <f>IFERROR((Data_Entry!I118/Data_Entry!$V118/F$2),"")</f>
        <v>1.20336527111842</v>
      </c>
      <c r="G120" s="112">
        <f>IFERROR((Data_Entry!J118/Data_Entry!$V118/G$2),"")</f>
        <v>1.19594726602248</v>
      </c>
      <c r="H120" s="112">
        <f>IFERROR((Data_Entry!K118/Data_Entry!$V118/H$2),"")</f>
        <v>1.18907874278551</v>
      </c>
      <c r="I120" s="112">
        <f>IFERROR((Data_Entry!L118/Data_Entry!$V118/I$2),"")</f>
        <v>1.17486344358246</v>
      </c>
    </row>
    <row r="121" ht="15" spans="1:9">
      <c r="A121" s="111">
        <v>45864</v>
      </c>
      <c r="B121" s="29">
        <v>45864</v>
      </c>
      <c r="C121" s="112">
        <f>IFERROR((Data_Entry!F119/Data_Entry!$V119/C$2),"")</f>
        <v>1.17670522536897</v>
      </c>
      <c r="D121" s="112">
        <f>IFERROR((Data_Entry!G119/Data_Entry!$V119/D$2),"")</f>
        <v>1.17418907948283</v>
      </c>
      <c r="E121" s="112">
        <f>IFERROR((Data_Entry!H119/Data_Entry!$V119/E$2),"")</f>
        <v>1.18510471237122</v>
      </c>
      <c r="F121" s="112">
        <f>IFERROR((Data_Entry!I119/Data_Entry!$V119/F$2),"")</f>
        <v>1.18926986691036</v>
      </c>
      <c r="G121" s="112">
        <f>IFERROR((Data_Entry!J119/Data_Entry!$V119/G$2),"")</f>
        <v>1.1804215277967</v>
      </c>
      <c r="H121" s="112">
        <f>IFERROR((Data_Entry!K119/Data_Entry!$V119/H$2),"")</f>
        <v>1.1855358678044</v>
      </c>
      <c r="I121" s="112">
        <f>IFERROR((Data_Entry!L119/Data_Entry!$V119/I$2),"")</f>
        <v>1.17295352958478</v>
      </c>
    </row>
    <row r="122" ht="15" spans="1:9">
      <c r="A122" s="111">
        <v>45865</v>
      </c>
      <c r="B122" s="29">
        <v>45865</v>
      </c>
      <c r="C122" s="112">
        <f>IFERROR((Data_Entry!F120/Data_Entry!$V120/C$2),"")</f>
        <v>1.07560832183502</v>
      </c>
      <c r="D122" s="112">
        <f>IFERROR((Data_Entry!G120/Data_Entry!$V120/D$2),"")</f>
        <v>1.07066949032027</v>
      </c>
      <c r="E122" s="112">
        <f>IFERROR((Data_Entry!H120/Data_Entry!$V120/E$2),"")</f>
        <v>1.0801243739983</v>
      </c>
      <c r="F122" s="112">
        <f>IFERROR((Data_Entry!I120/Data_Entry!$V120/F$2),"")</f>
        <v>1.0825541019707</v>
      </c>
      <c r="G122" s="112">
        <f>IFERROR((Data_Entry!J120/Data_Entry!$V120/G$2),"")</f>
        <v>1.06889649074757</v>
      </c>
      <c r="H122" s="112">
        <f>IFERROR((Data_Entry!K120/Data_Entry!$V120/H$2),"")</f>
        <v>1.06994424827074</v>
      </c>
      <c r="I122" s="112">
        <f>IFERROR((Data_Entry!L120/Data_Entry!$V120/I$2),"")</f>
        <v>1.05435655739965</v>
      </c>
    </row>
    <row r="123" ht="15" spans="1:9">
      <c r="A123" s="111">
        <v>45866</v>
      </c>
      <c r="B123" s="29">
        <v>45866</v>
      </c>
      <c r="C123" s="112">
        <f>IFERROR((Data_Entry!F121/Data_Entry!$V121/C$2),"")</f>
        <v>1.05249859283393</v>
      </c>
      <c r="D123" s="112">
        <f>IFERROR((Data_Entry!G121/Data_Entry!$V121/D$2),"")</f>
        <v>1.04812045752413</v>
      </c>
      <c r="E123" s="112">
        <f>IFERROR((Data_Entry!H121/Data_Entry!$V121/E$2),"")</f>
        <v>1.05312770905147</v>
      </c>
      <c r="F123" s="112">
        <f>IFERROR((Data_Entry!I121/Data_Entry!$V121/F$2),"")</f>
        <v>1.05546833398504</v>
      </c>
      <c r="G123" s="112">
        <f>IFERROR((Data_Entry!J121/Data_Entry!$V121/G$2),"")</f>
        <v>1.04669978248097</v>
      </c>
      <c r="H123" s="112">
        <f>IFERROR((Data_Entry!K121/Data_Entry!$V121/H$2),"")</f>
        <v>1.04809980330935</v>
      </c>
      <c r="I123" s="112">
        <f>IFERROR((Data_Entry!L121/Data_Entry!$V121/I$2),"")</f>
        <v>1.02953110600663</v>
      </c>
    </row>
    <row r="124" ht="15" spans="1:9">
      <c r="A124" s="111">
        <v>45867</v>
      </c>
      <c r="B124" s="29">
        <v>45867</v>
      </c>
      <c r="C124" s="112">
        <f>IFERROR((Data_Entry!F122/Data_Entry!$V122/C$2),"")</f>
        <v>1.043822009063</v>
      </c>
      <c r="D124" s="112">
        <f>IFERROR((Data_Entry!G122/Data_Entry!$V122/D$2),"")</f>
        <v>1.03917919527171</v>
      </c>
      <c r="E124" s="112">
        <f>IFERROR((Data_Entry!H122/Data_Entry!$V122/E$2),"")</f>
        <v>1.04628325974753</v>
      </c>
      <c r="F124" s="112">
        <f>IFERROR((Data_Entry!I122/Data_Entry!$V122/F$2),"")</f>
        <v>1.04976354604157</v>
      </c>
      <c r="G124" s="112">
        <f>IFERROR((Data_Entry!J122/Data_Entry!$V122/G$2),"")</f>
        <v>1.04192499766582</v>
      </c>
      <c r="H124" s="112">
        <f>IFERROR((Data_Entry!K122/Data_Entry!$V122/H$2),"")</f>
        <v>1.04461364651143</v>
      </c>
      <c r="I124" s="112">
        <f>IFERROR((Data_Entry!L122/Data_Entry!$V122/I$2),"")</f>
        <v>1.02844162435054</v>
      </c>
    </row>
    <row r="125" ht="15" spans="1:9">
      <c r="A125" s="111">
        <v>45868</v>
      </c>
      <c r="B125" s="29">
        <v>45868</v>
      </c>
      <c r="C125" s="112">
        <f>IFERROR((Data_Entry!F123/Data_Entry!$V123/C$2),"")</f>
        <v>0.982073327351851</v>
      </c>
      <c r="D125" s="112">
        <f>IFERROR((Data_Entry!G123/Data_Entry!$V123/D$2),"")</f>
        <v>0.977202127792629</v>
      </c>
      <c r="E125" s="112">
        <f>IFERROR((Data_Entry!H123/Data_Entry!$V123/E$2),"")</f>
        <v>0.978444612815336</v>
      </c>
      <c r="F125" s="112">
        <f>IFERROR((Data_Entry!I123/Data_Entry!$V123/F$2),"")</f>
        <v>0.980388298714664</v>
      </c>
      <c r="G125" s="112">
        <f>IFERROR((Data_Entry!J123/Data_Entry!$V123/G$2),"")</f>
        <v>0.973013525821465</v>
      </c>
      <c r="H125" s="112">
        <f>IFERROR((Data_Entry!K123/Data_Entry!$V123/H$2),"")</f>
        <v>0.974123283535383</v>
      </c>
      <c r="I125" s="112">
        <f>IFERROR((Data_Entry!L123/Data_Entry!$V123/I$2),"")</f>
        <v>0.956870879926104</v>
      </c>
    </row>
    <row r="126" ht="15" spans="1:9">
      <c r="A126" s="111">
        <v>45869</v>
      </c>
      <c r="B126" s="29">
        <v>45869</v>
      </c>
      <c r="C126" s="112">
        <f>IFERROR((Data_Entry!F124/Data_Entry!$V124/C$2),"")</f>
        <v>0.990016743276038</v>
      </c>
      <c r="D126" s="112">
        <f>IFERROR((Data_Entry!G124/Data_Entry!$V124/D$2),"")</f>
        <v>0.986266268738504</v>
      </c>
      <c r="E126" s="112">
        <f>IFERROR((Data_Entry!H124/Data_Entry!$V124/E$2),"")</f>
        <v>0.990499119422345</v>
      </c>
      <c r="F126" s="112">
        <f>IFERROR((Data_Entry!I124/Data_Entry!$V124/F$2),"")</f>
        <v>0.993297425392821</v>
      </c>
      <c r="G126" s="112">
        <f>IFERROR((Data_Entry!J124/Data_Entry!$V124/G$2),"")</f>
        <v>0.985672736349788</v>
      </c>
      <c r="H126" s="112">
        <f>IFERROR((Data_Entry!K124/Data_Entry!$V124/H$2),"")</f>
        <v>0.987449138940752</v>
      </c>
      <c r="I126" s="112">
        <f>IFERROR((Data_Entry!L124/Data_Entry!$V124/I$2),"")</f>
        <v>0.972603488716268</v>
      </c>
    </row>
    <row r="127" ht="15" spans="1:9">
      <c r="A127" s="111">
        <v>45870</v>
      </c>
      <c r="B127" s="29">
        <v>45870</v>
      </c>
      <c r="C127" s="112">
        <f>IFERROR((Data_Entry!F125/Data_Entry!$V125/C$2),"")</f>
        <v>0.977289233293441</v>
      </c>
      <c r="D127" s="112">
        <f>IFERROR((Data_Entry!G125/Data_Entry!$V125/D$2),"")</f>
        <v>0.974035460244775</v>
      </c>
      <c r="E127" s="112">
        <f>IFERROR((Data_Entry!H125/Data_Entry!$V125/E$2),"")</f>
        <v>0.975240210032473</v>
      </c>
      <c r="F127" s="112">
        <f>IFERROR((Data_Entry!I125/Data_Entry!$V125/F$2),"")</f>
        <v>0.978161965423112</v>
      </c>
      <c r="G127" s="112">
        <f>IFERROR((Data_Entry!J125/Data_Entry!$V125/G$2),"")</f>
        <v>0.968362288957616</v>
      </c>
      <c r="H127" s="112">
        <f>IFERROR((Data_Entry!K125/Data_Entry!$V125/H$2),"")</f>
        <v>0.967173624497449</v>
      </c>
      <c r="I127" s="112">
        <f>IFERROR((Data_Entry!L125/Data_Entry!$V125/I$2),"")</f>
        <v>0.947374648527344</v>
      </c>
    </row>
    <row r="128" ht="15" spans="1:9">
      <c r="A128" s="111">
        <v>45871</v>
      </c>
      <c r="B128" s="29">
        <v>45871</v>
      </c>
      <c r="C128" s="112">
        <f>IFERROR((Data_Entry!F126/Data_Entry!$V126/C$2),"")</f>
        <v>1.03177742211129</v>
      </c>
      <c r="D128" s="112">
        <f>IFERROR((Data_Entry!G126/Data_Entry!$V126/D$2),"")</f>
        <v>1.03029320375391</v>
      </c>
      <c r="E128" s="112">
        <f>IFERROR((Data_Entry!H126/Data_Entry!$V126/E$2),"")</f>
        <v>1.03651668486625</v>
      </c>
      <c r="F128" s="112">
        <f>IFERROR((Data_Entry!I126/Data_Entry!$V126/F$2),"")</f>
        <v>1.0424909419066</v>
      </c>
      <c r="G128" s="112">
        <f>IFERROR((Data_Entry!J126/Data_Entry!$V126/G$2),"")</f>
        <v>1.03597017207979</v>
      </c>
      <c r="H128" s="112">
        <f>IFERROR((Data_Entry!K126/Data_Entry!$V126/H$2),"")</f>
        <v>1.039641776712</v>
      </c>
      <c r="I128" s="112">
        <f>IFERROR((Data_Entry!L126/Data_Entry!$V126/I$2),"")</f>
        <v>1.01807232336595</v>
      </c>
    </row>
    <row r="129" ht="15" spans="1:9">
      <c r="A129" s="111">
        <v>45872</v>
      </c>
      <c r="B129" s="29">
        <v>45872</v>
      </c>
      <c r="C129" s="112">
        <f>IFERROR((Data_Entry!F127/Data_Entry!$V127/C$2),"")</f>
        <v>1.01871677922764</v>
      </c>
      <c r="D129" s="112">
        <f>IFERROR((Data_Entry!G127/Data_Entry!$V127/D$2),"")</f>
        <v>1.01313444657118</v>
      </c>
      <c r="E129" s="112">
        <f>IFERROR((Data_Entry!H127/Data_Entry!$V127/E$2),"")</f>
        <v>1.01814890277698</v>
      </c>
      <c r="F129" s="112">
        <f>IFERROR((Data_Entry!I127/Data_Entry!$V127/F$2),"")</f>
        <v>1.0227580656997</v>
      </c>
      <c r="G129" s="112">
        <f>IFERROR((Data_Entry!J127/Data_Entry!$V127/G$2),"")</f>
        <v>1.01187384470451</v>
      </c>
      <c r="H129" s="112">
        <f>IFERROR((Data_Entry!K127/Data_Entry!$V127/H$2),"")</f>
        <v>1.01422081891157</v>
      </c>
      <c r="I129" s="112">
        <f>IFERROR((Data_Entry!L127/Data_Entry!$V127/I$2),"")</f>
        <v>0.993641237218214</v>
      </c>
    </row>
    <row r="130" ht="15" spans="1:9">
      <c r="A130" s="111">
        <v>45873</v>
      </c>
      <c r="B130" s="29">
        <v>45873</v>
      </c>
      <c r="C130" s="112">
        <f>IFERROR((Data_Entry!F128/Data_Entry!$V128/C$2),"")</f>
        <v>1.14608602406768</v>
      </c>
      <c r="D130" s="112">
        <f>IFERROR((Data_Entry!G128/Data_Entry!$V128/D$2),"")</f>
        <v>1.14085547480043</v>
      </c>
      <c r="E130" s="112">
        <f>IFERROR((Data_Entry!H128/Data_Entry!$V128/E$2),"")</f>
        <v>1.14437030859049</v>
      </c>
      <c r="F130" s="112">
        <f>IFERROR((Data_Entry!J128/Data_Entry!$V128/F$2),"")</f>
        <v>1.14047524075446</v>
      </c>
      <c r="G130" s="112">
        <f>IFERROR((Data_Entry!K128/Data_Entry!$V128/G$2),"")</f>
        <v>1.14240127642601</v>
      </c>
      <c r="H130" s="112">
        <f>IFERROR((Data_Entry!L128/Data_Entry!$V128/H$2),"")</f>
        <v>1.12400706592968</v>
      </c>
      <c r="I130" s="112" t="str">
        <f>IFERROR((Data_Entry!#REF!/Data_Entry!$V128/I$2),"")</f>
        <v/>
      </c>
    </row>
    <row r="131" ht="15" spans="1:9">
      <c r="A131" s="111">
        <v>45874</v>
      </c>
      <c r="B131" s="29">
        <v>45874</v>
      </c>
      <c r="C131" s="112">
        <f>IFERROR((Data_Entry!F129/Data_Entry!$V129/C$2),"")</f>
        <v>1.04543513895057</v>
      </c>
      <c r="D131" s="112">
        <f>IFERROR((Data_Entry!G129/Data_Entry!$V129/D$2),"")</f>
        <v>1.04078660427701</v>
      </c>
      <c r="E131" s="112">
        <f>IFERROR((Data_Entry!H129/Data_Entry!$V129/E$2),"")</f>
        <v>1.04610082716838</v>
      </c>
      <c r="F131" s="112">
        <f>IFERROR((Data_Entry!I129/Data_Entry!$V129/F$2),"")</f>
        <v>1.05229167853819</v>
      </c>
      <c r="G131" s="112">
        <f>IFERROR((Data_Entry!J129/Data_Entry!$V129/G$2),"")</f>
        <v>1.04807189220831</v>
      </c>
      <c r="H131" s="112">
        <f>IFERROR((Data_Entry!K129/Data_Entry!$V129/H$2),"")</f>
        <v>1.05155780265473</v>
      </c>
      <c r="I131" s="112">
        <f>IFERROR((Data_Entry!L129/Data_Entry!$V129/I$2),"")</f>
        <v>1.03073947060784</v>
      </c>
    </row>
    <row r="132" ht="15" spans="1:9">
      <c r="A132" s="111">
        <v>45875</v>
      </c>
      <c r="B132" s="29">
        <v>45875</v>
      </c>
      <c r="C132" s="112">
        <f>IFERROR((Data_Entry!F130/Data_Entry!$V130/C$2),"")</f>
        <v>1.06848937511035</v>
      </c>
      <c r="D132" s="112">
        <f>IFERROR((Data_Entry!G130/Data_Entry!$V130/D$2),"")</f>
        <v>1.06375938640778</v>
      </c>
      <c r="E132" s="112">
        <f>IFERROR((Data_Entry!H130/Data_Entry!$V130/E$2),"")</f>
        <v>1.06679547930791</v>
      </c>
      <c r="F132" s="112">
        <f>IFERROR((Data_Entry!I130/Data_Entry!$V130/F$2),"")</f>
        <v>1.06295831225065</v>
      </c>
      <c r="G132" s="112">
        <f>IFERROR((Data_Entry!J130/Data_Entry!$V130/G$2),"")</f>
        <v>1.05469230045717</v>
      </c>
      <c r="H132" s="112">
        <f>IFERROR((Data_Entry!K130/Data_Entry!$V130/H$2),"")</f>
        <v>1.05516601707989</v>
      </c>
      <c r="I132" s="112">
        <f>IFERROR((Data_Entry!L130/Data_Entry!$V130/I$2),"")</f>
        <v>1.03913517194884</v>
      </c>
    </row>
    <row r="133" ht="15" spans="1:9">
      <c r="A133" s="111">
        <v>45876</v>
      </c>
      <c r="B133" s="29">
        <v>45876</v>
      </c>
      <c r="C133" s="112">
        <f>IFERROR((Data_Entry!F131/Data_Entry!$V131/C$2),"")</f>
        <v>0.993539066933562</v>
      </c>
      <c r="D133" s="112">
        <f>IFERROR((Data_Entry!G131/Data_Entry!$V131/D$2),"")</f>
        <v>0.99700076764297</v>
      </c>
      <c r="E133" s="112">
        <f>IFERROR((Data_Entry!H131/Data_Entry!$V131/E$2),"")</f>
        <v>0.994412232944343</v>
      </c>
      <c r="F133" s="112">
        <f>IFERROR((Data_Entry!I131/Data_Entry!$V131/F$2),"")</f>
        <v>0.99561441803165</v>
      </c>
      <c r="G133" s="112">
        <f>IFERROR((Data_Entry!J131/Data_Entry!$V131/G$2),"")</f>
        <v>0.986178409393408</v>
      </c>
      <c r="H133" s="112">
        <f>IFERROR((Data_Entry!K131/Data_Entry!$V131/H$2),"")</f>
        <v>0.98285537056977</v>
      </c>
      <c r="I133" s="112">
        <f>IFERROR((Data_Entry!L131/Data_Entry!$V131/I$2),"")</f>
        <v>0.959795495096652</v>
      </c>
    </row>
    <row r="134" ht="15" spans="1:9">
      <c r="A134" s="111">
        <v>45877</v>
      </c>
      <c r="B134" s="29">
        <v>45877</v>
      </c>
      <c r="C134" s="112">
        <f>IFERROR((Data_Entry!F132/Data_Entry!$V132/C$2),"")</f>
        <v>1.03066455940174</v>
      </c>
      <c r="D134" s="112">
        <f>IFERROR((Data_Entry!G132/Data_Entry!$V132/D$2),"")</f>
        <v>1.02716649628993</v>
      </c>
      <c r="E134" s="112">
        <f>IFERROR((Data_Entry!H132/Data_Entry!$V132/E$2),"")</f>
        <v>1.02971964432145</v>
      </c>
      <c r="F134" s="112">
        <f>IFERROR((Data_Entry!I132/Data_Entry!$V132/F$2),"")</f>
        <v>1.03791616367329</v>
      </c>
      <c r="G134" s="112">
        <f>IFERROR((Data_Entry!J132/Data_Entry!$V132/G$2),"")</f>
        <v>1.03435470718004</v>
      </c>
      <c r="H134" s="112">
        <f>IFERROR((Data_Entry!K132/Data_Entry!$V132/H$2),"")</f>
        <v>1.03634792568803</v>
      </c>
      <c r="I134" s="112">
        <f>IFERROR((Data_Entry!L132/Data_Entry!$V132/I$2),"")</f>
        <v>1.01947440324355</v>
      </c>
    </row>
    <row r="135" ht="15" spans="1:9">
      <c r="A135" s="111">
        <v>45878</v>
      </c>
      <c r="B135" s="29">
        <v>45878</v>
      </c>
      <c r="C135" s="112">
        <f>IFERROR((Data_Entry!F133/Data_Entry!$V133/C$2),"")</f>
        <v>0.954812107609833</v>
      </c>
      <c r="D135" s="112">
        <f>IFERROR((Data_Entry!G133/Data_Entry!$V133/D$2),"")</f>
        <v>0.949263972829937</v>
      </c>
      <c r="E135" s="112">
        <f>IFERROR((Data_Entry!H133/Data_Entry!$V133/E$2),"")</f>
        <v>0.952984934577689</v>
      </c>
      <c r="F135" s="112">
        <f>IFERROR((Data_Entry!I133/Data_Entry!$V133/F$2),"")</f>
        <v>0.955881268641323</v>
      </c>
      <c r="G135" s="112">
        <f>IFERROR((Data_Entry!J133/Data_Entry!$V133/G$2),"")</f>
        <v>0.945048979243331</v>
      </c>
      <c r="H135" s="112">
        <f>IFERROR((Data_Entry!K133/Data_Entry!$V133/H$2),"")</f>
        <v>0.944766793553131</v>
      </c>
      <c r="I135" s="112">
        <f>IFERROR((Data_Entry!L133/Data_Entry!$V133/I$2),"")</f>
        <v>0.926488443039544</v>
      </c>
    </row>
    <row r="136" ht="15" spans="1:9">
      <c r="A136" s="111">
        <v>45879</v>
      </c>
      <c r="B136" s="29">
        <v>45879</v>
      </c>
      <c r="C136" s="112">
        <f>IFERROR((Data_Entry!F134/Data_Entry!$V134/C$2),"")</f>
        <v>1.07509108025971</v>
      </c>
      <c r="D136" s="112">
        <f>IFERROR((Data_Entry!G134/Data_Entry!$V134/D$2),"")</f>
        <v>1.07311089220897</v>
      </c>
      <c r="E136" s="112">
        <f>IFERROR((Data_Entry!H134/Data_Entry!$V134/E$2),"")</f>
        <v>1.07754114344113</v>
      </c>
      <c r="F136" s="112">
        <f>IFERROR((Data_Entry!I134/Data_Entry!$V134/F$2),"")</f>
        <v>1.08082078429893</v>
      </c>
      <c r="G136" s="112">
        <f>IFERROR((Data_Entry!J134/Data_Entry!$V134/G$2),"")</f>
        <v>1.06757818550714</v>
      </c>
      <c r="H136" s="112">
        <f>IFERROR((Data_Entry!K134/Data_Entry!$V134/H$2),"")</f>
        <v>1.0654673955179</v>
      </c>
      <c r="I136" s="112">
        <f>IFERROR((Data_Entry!L134/Data_Entry!$V134/I$2),"")</f>
        <v>1.05322802390731</v>
      </c>
    </row>
    <row r="137" ht="15" spans="1:9">
      <c r="A137" s="111">
        <v>45880</v>
      </c>
      <c r="B137" s="29">
        <v>45880</v>
      </c>
      <c r="C137" s="112">
        <f>IFERROR((Data_Entry!F135/Data_Entry!$V135/C$2),"")</f>
        <v>0.762558374719932</v>
      </c>
      <c r="D137" s="112">
        <f>IFERROR((Data_Entry!G135/Data_Entry!$V135/D$2),"")</f>
        <v>0.760088255892686</v>
      </c>
      <c r="E137" s="112">
        <f>IFERROR((Data_Entry!H135/Data_Entry!$V135/E$2),"")</f>
        <v>0.762058902162952</v>
      </c>
      <c r="F137" s="112">
        <f>IFERROR((Data_Entry!I135/Data_Entry!$V135/F$2),"")</f>
        <v>0.766529675097879</v>
      </c>
      <c r="G137" s="112">
        <f>IFERROR((Data_Entry!J135/Data_Entry!$V135/G$2),"")</f>
        <v>0.760744479916165</v>
      </c>
      <c r="H137" s="112">
        <f>IFERROR((Data_Entry!K135/Data_Entry!$V135/H$2),"")</f>
        <v>0.760084307493027</v>
      </c>
      <c r="I137" s="112">
        <f>IFERROR((Data_Entry!L135/Data_Entry!$V135/I$2),"")</f>
        <v>0.744266228775457</v>
      </c>
    </row>
    <row r="138" ht="15" spans="1:9">
      <c r="A138" s="111">
        <v>45881</v>
      </c>
      <c r="B138" s="29">
        <v>45881</v>
      </c>
      <c r="C138" s="112">
        <f>IFERROR((Data_Entry!F136/Data_Entry!$V136/C$2),"")</f>
        <v>1.13492427774184</v>
      </c>
      <c r="D138" s="112">
        <f>IFERROR((Data_Entry!G136/Data_Entry!$V136/D$2),"")</f>
        <v>1.1318756362165</v>
      </c>
      <c r="E138" s="112">
        <f>IFERROR((Data_Entry!H136/Data_Entry!$V136/E$2),"")</f>
        <v>1.1352741218513</v>
      </c>
      <c r="F138" s="112">
        <f>IFERROR((Data_Entry!I136/Data_Entry!$V136/F$2),"")</f>
        <v>1.12490396018665</v>
      </c>
      <c r="G138" s="112">
        <f>IFERROR((Data_Entry!J136/Data_Entry!$V136/G$2),"")</f>
        <v>1.12580269014736</v>
      </c>
      <c r="H138" s="112">
        <f>IFERROR((Data_Entry!K136/Data_Entry!$V136/H$2),"")</f>
        <v>1.12584093397547</v>
      </c>
      <c r="I138" s="112">
        <f>IFERROR((Data_Entry!L136/Data_Entry!$V136/I$2),"")</f>
        <v>1.10671901991777</v>
      </c>
    </row>
    <row r="139" ht="15" spans="1:9">
      <c r="A139" s="111">
        <v>45882</v>
      </c>
      <c r="B139" s="29">
        <v>45882</v>
      </c>
      <c r="C139" s="112">
        <f>IFERROR((Data_Entry!F137/Data_Entry!$V137/C$2),"")</f>
        <v>1.02428516583169</v>
      </c>
      <c r="D139" s="112">
        <f>IFERROR((Data_Entry!G137/Data_Entry!$V137/D$2),"")</f>
        <v>1.01836564484009</v>
      </c>
      <c r="E139" s="112">
        <f>IFERROR((Data_Entry!H137/Data_Entry!$V137/E$2),"")</f>
        <v>1.01950037729854</v>
      </c>
      <c r="F139" s="112">
        <f>IFERROR((Data_Entry!I137/Data_Entry!$V137/F$2),"")</f>
        <v>1.01710674962712</v>
      </c>
      <c r="G139" s="112">
        <f>IFERROR((Data_Entry!J137/Data_Entry!$V137/G$2),"")</f>
        <v>1.0086316137943</v>
      </c>
      <c r="H139" s="112">
        <f>IFERROR((Data_Entry!K137/Data_Entry!$V137/H$2),"")</f>
        <v>1.00784470150246</v>
      </c>
      <c r="I139" s="112">
        <f>IFERROR((Data_Entry!L137/Data_Entry!$V137/I$2),"")</f>
        <v>0.987122677817304</v>
      </c>
    </row>
    <row r="140" ht="15" spans="1:9">
      <c r="A140" s="111">
        <v>45883</v>
      </c>
      <c r="B140" s="29">
        <v>45883</v>
      </c>
      <c r="C140" s="112">
        <f>IFERROR((Data_Entry!F138/Data_Entry!$V138/C$2),"")</f>
        <v>0.97794629164857</v>
      </c>
      <c r="D140" s="112">
        <f>IFERROR((Data_Entry!G138/Data_Entry!$V138/D$2),"")</f>
        <v>0.976946994999673</v>
      </c>
      <c r="E140" s="112">
        <f>IFERROR((Data_Entry!H138/Data_Entry!$V138/E$2),"")</f>
        <v>0.980531010865429</v>
      </c>
      <c r="F140" s="112">
        <f>IFERROR((Data_Entry!I138/Data_Entry!$V138/F$2),"")</f>
        <v>0.984064894792277</v>
      </c>
      <c r="G140" s="112">
        <f>IFERROR((Data_Entry!J138/Data_Entry!$V138/G$2),"")</f>
        <v>0.974203106876782</v>
      </c>
      <c r="H140" s="112">
        <f>IFERROR((Data_Entry!K138/Data_Entry!$V138/H$2),"")</f>
        <v>0.974368542275178</v>
      </c>
      <c r="I140" s="112">
        <f>IFERROR((Data_Entry!L138/Data_Entry!$V138/I$2),"")</f>
        <v>0.957466559072385</v>
      </c>
    </row>
    <row r="141" ht="15" spans="1:9">
      <c r="A141" s="111">
        <v>45884</v>
      </c>
      <c r="B141" s="29">
        <v>45884</v>
      </c>
      <c r="C141" s="112">
        <f>IFERROR((Data_Entry!F139/Data_Entry!$V139/C$2),"")</f>
        <v>1.02641438650613</v>
      </c>
      <c r="D141" s="112">
        <f>IFERROR((Data_Entry!G139/Data_Entry!$V139/D$2),"")</f>
        <v>1.02854776019914</v>
      </c>
      <c r="E141" s="112">
        <f>IFERROR((Data_Entry!H139/Data_Entry!$V139/E$2),"")</f>
        <v>1.03895298849427</v>
      </c>
      <c r="F141" s="112">
        <f>IFERROR((Data_Entry!I139/Data_Entry!$V139/F$2),"")</f>
        <v>1.04071534067545</v>
      </c>
      <c r="G141" s="112">
        <f>IFERROR((Data_Entry!J139/Data_Entry!$V139/G$2),"")</f>
        <v>1.03094539921425</v>
      </c>
      <c r="H141" s="112">
        <f>IFERROR((Data_Entry!K139/Data_Entry!$V139/H$2),"")</f>
        <v>1.03257211853143</v>
      </c>
      <c r="I141" s="112">
        <f>IFERROR((Data_Entry!L139/Data_Entry!$V139/I$2),"")</f>
        <v>1.01501510057553</v>
      </c>
    </row>
    <row r="142" ht="15" spans="1:9">
      <c r="A142" s="111">
        <v>45885</v>
      </c>
      <c r="B142" s="29">
        <v>45885</v>
      </c>
      <c r="C142" s="112">
        <f>IFERROR((Data_Entry!F140/Data_Entry!$V140/C$2),"")</f>
        <v>1.00846566038147</v>
      </c>
      <c r="D142" s="112">
        <f>IFERROR((Data_Entry!G140/Data_Entry!$V140/D$2),"")</f>
        <v>1.00826124166653</v>
      </c>
      <c r="E142" s="112">
        <f>IFERROR((Data_Entry!H140/Data_Entry!$V140/E$2),"")</f>
        <v>1.01413097905273</v>
      </c>
      <c r="F142" s="112">
        <f>IFERROR((Data_Entry!I140/Data_Entry!$V140/F$2),"")</f>
        <v>1.01739406040305</v>
      </c>
      <c r="G142" s="112">
        <f>IFERROR((Data_Entry!J140/Data_Entry!$V140/G$2),"")</f>
        <v>1.01024321442445</v>
      </c>
      <c r="H142" s="112">
        <f>IFERROR((Data_Entry!K140/Data_Entry!$V140/H$2),"")</f>
        <v>1.01481491413212</v>
      </c>
      <c r="I142" s="112">
        <f>IFERROR((Data_Entry!L140/Data_Entry!$V140/I$2),"")</f>
        <v>1.00232886666168</v>
      </c>
    </row>
    <row r="143" ht="15" spans="1:9">
      <c r="A143" s="111">
        <v>45886</v>
      </c>
      <c r="B143" s="29">
        <v>45886</v>
      </c>
      <c r="C143" s="112">
        <f>IFERROR((Data_Entry!F141/Data_Entry!$V141/C$2),"")</f>
        <v>1.20586430509091</v>
      </c>
      <c r="D143" s="112">
        <f>IFERROR((Data_Entry!G141/Data_Entry!$V141/D$2),"")</f>
        <v>1.20490868995738</v>
      </c>
      <c r="E143" s="112">
        <f>IFERROR((Data_Entry!H141/Data_Entry!$V141/E$2),"")</f>
        <v>1.21108968996999</v>
      </c>
      <c r="F143" s="112">
        <f>IFERROR((Data_Entry!I141/Data_Entry!$V141/F$2),"")</f>
        <v>1.21631153880787</v>
      </c>
      <c r="G143" s="112">
        <f>IFERROR((Data_Entry!J141/Data_Entry!$V141/G$2),"")</f>
        <v>1.20642211558976</v>
      </c>
      <c r="H143" s="112">
        <f>IFERROR((Data_Entry!K141/Data_Entry!$V141/H$2),"")</f>
        <v>1.20560529007322</v>
      </c>
      <c r="I143" s="112">
        <f>IFERROR((Data_Entry!L141/Data_Entry!$V141/I$2),"")</f>
        <v>1.19205960025726</v>
      </c>
    </row>
    <row r="144" ht="15" spans="1:9">
      <c r="A144" s="111">
        <v>45887</v>
      </c>
      <c r="B144" s="29">
        <v>45887</v>
      </c>
      <c r="C144" s="112">
        <f>IFERROR((Data_Entry!F142/Data_Entry!$V142/C$2),"")</f>
        <v>1.26850486575598</v>
      </c>
      <c r="D144" s="112">
        <f>IFERROR((Data_Entry!G142/Data_Entry!$V142/D$2),"")</f>
        <v>1.26130732948372</v>
      </c>
      <c r="E144" s="112">
        <f>IFERROR((Data_Entry!H142/Data_Entry!$V142/E$2),"")</f>
        <v>1.26247000842001</v>
      </c>
      <c r="F144" s="112">
        <f>IFERROR((Data_Entry!I142/Data_Entry!$V142/F$2),"")</f>
        <v>1.25069878689113</v>
      </c>
      <c r="G144" s="112">
        <f>IFERROR((Data_Entry!J142/Data_Entry!$V142/G$2),"")</f>
        <v>1.25147198041977</v>
      </c>
      <c r="H144" s="112">
        <f>IFERROR((Data_Entry!K142/Data_Entry!$V142/H$2),"")</f>
        <v>1.25373860254484</v>
      </c>
      <c r="I144" s="112">
        <f>IFERROR((Data_Entry!L142/Data_Entry!$V142/I$2),"")</f>
        <v>1.23265054342795</v>
      </c>
    </row>
    <row r="145" ht="15" spans="1:9">
      <c r="A145" s="111">
        <v>45888</v>
      </c>
      <c r="B145" s="29">
        <v>45888</v>
      </c>
      <c r="C145" s="112" t="str">
        <f>IFERROR((Data_Entry!F143/Data_Entry!$V143/C$2),"")</f>
        <v/>
      </c>
      <c r="D145" s="112" t="str">
        <f>IFERROR((Data_Entry!G143/Data_Entry!$V143/D$2),"")</f>
        <v/>
      </c>
      <c r="E145" s="112" t="str">
        <f>IFERROR((Data_Entry!H143/Data_Entry!$V143/E$2),"")</f>
        <v/>
      </c>
      <c r="F145" s="112" t="str">
        <f>IFERROR((Data_Entry!I143/Data_Entry!$V143/F$2),"")</f>
        <v/>
      </c>
      <c r="G145" s="112" t="str">
        <f>IFERROR((Data_Entry!J143/Data_Entry!$V143/G$2),"")</f>
        <v/>
      </c>
      <c r="H145" s="112" t="str">
        <f>IFERROR((Data_Entry!K143/Data_Entry!$V143/H$2),"")</f>
        <v/>
      </c>
      <c r="I145" s="112" t="str">
        <f>IFERROR((Data_Entry!L143/Data_Entry!$V143/I$2),"")</f>
        <v/>
      </c>
    </row>
    <row r="146" ht="15" spans="1:9">
      <c r="A146" s="111">
        <v>45889</v>
      </c>
      <c r="B146" s="29">
        <v>45889</v>
      </c>
      <c r="C146" s="112" t="str">
        <f>IFERROR((Data_Entry!F144/Data_Entry!$V144/C$2),"")</f>
        <v/>
      </c>
      <c r="D146" s="112" t="str">
        <f>IFERROR((Data_Entry!G144/Data_Entry!$V144/D$2),"")</f>
        <v/>
      </c>
      <c r="E146" s="112" t="str">
        <f>IFERROR((Data_Entry!H144/Data_Entry!$V144/E$2),"")</f>
        <v/>
      </c>
      <c r="F146" s="112" t="str">
        <f>IFERROR((Data_Entry!I144/Data_Entry!$V144/F$2),"")</f>
        <v/>
      </c>
      <c r="G146" s="112" t="str">
        <f>IFERROR((Data_Entry!J144/Data_Entry!$V144/G$2),"")</f>
        <v/>
      </c>
      <c r="H146" s="112" t="str">
        <f>IFERROR((Data_Entry!K144/Data_Entry!$V144/H$2),"")</f>
        <v/>
      </c>
      <c r="I146" s="112" t="str">
        <f>IFERROR((Data_Entry!L144/Data_Entry!$V144/I$2),"")</f>
        <v/>
      </c>
    </row>
    <row r="147" ht="15" spans="1:9">
      <c r="A147" s="111">
        <v>45890</v>
      </c>
      <c r="B147" s="29">
        <v>45890</v>
      </c>
      <c r="C147" s="112" t="str">
        <f>IFERROR((Data_Entry!F145/Data_Entry!$V145/C$2),"")</f>
        <v/>
      </c>
      <c r="D147" s="112" t="str">
        <f>IFERROR((Data_Entry!G145/Data_Entry!$V145/D$2),"")</f>
        <v/>
      </c>
      <c r="E147" s="112" t="str">
        <f>IFERROR((Data_Entry!H145/Data_Entry!$V145/E$2),"")</f>
        <v/>
      </c>
      <c r="F147" s="112" t="str">
        <f>IFERROR((Data_Entry!I145/Data_Entry!$V145/F$2),"")</f>
        <v/>
      </c>
      <c r="G147" s="112" t="str">
        <f>IFERROR((Data_Entry!J145/Data_Entry!$V145/G$2),"")</f>
        <v/>
      </c>
      <c r="H147" s="112" t="str">
        <f>IFERROR((Data_Entry!K145/Data_Entry!$V145/H$2),"")</f>
        <v/>
      </c>
      <c r="I147" s="112" t="str">
        <f>IFERROR((Data_Entry!L145/Data_Entry!$V145/I$2),"")</f>
        <v/>
      </c>
    </row>
    <row r="148" ht="15" spans="1:9">
      <c r="A148" s="111">
        <v>45891</v>
      </c>
      <c r="B148" s="29">
        <v>45891</v>
      </c>
      <c r="C148" s="112" t="str">
        <f>IFERROR((Data_Entry!F146/Data_Entry!$V146/C$2),"")</f>
        <v/>
      </c>
      <c r="D148" s="112" t="str">
        <f>IFERROR((Data_Entry!G146/Data_Entry!$V146/D$2),"")</f>
        <v/>
      </c>
      <c r="E148" s="112" t="str">
        <f>IFERROR((Data_Entry!H146/Data_Entry!$V146/E$2),"")</f>
        <v/>
      </c>
      <c r="F148" s="112" t="str">
        <f>IFERROR((Data_Entry!I146/Data_Entry!$V146/F$2),"")</f>
        <v/>
      </c>
      <c r="G148" s="112" t="str">
        <f>IFERROR((Data_Entry!J146/Data_Entry!$V146/G$2),"")</f>
        <v/>
      </c>
      <c r="H148" s="112" t="str">
        <f>IFERROR((Data_Entry!K146/Data_Entry!$V146/H$2),"")</f>
        <v/>
      </c>
      <c r="I148" s="112" t="str">
        <f>IFERROR((Data_Entry!L146/Data_Entry!$V146/I$2),"")</f>
        <v/>
      </c>
    </row>
    <row r="149" ht="15" spans="1:9">
      <c r="A149" s="111">
        <v>45892</v>
      </c>
      <c r="B149" s="29">
        <v>45892</v>
      </c>
      <c r="C149" s="112" t="str">
        <f>IFERROR((Data_Entry!F147/Data_Entry!$V147/C$2),"")</f>
        <v/>
      </c>
      <c r="D149" s="112" t="str">
        <f>IFERROR((Data_Entry!G147/Data_Entry!$V147/D$2),"")</f>
        <v/>
      </c>
      <c r="E149" s="112" t="str">
        <f>IFERROR((Data_Entry!H147/Data_Entry!$V147/E$2),"")</f>
        <v/>
      </c>
      <c r="F149" s="112" t="str">
        <f>IFERROR((Data_Entry!I147/Data_Entry!$V147/F$2),"")</f>
        <v/>
      </c>
      <c r="G149" s="112" t="str">
        <f>IFERROR((Data_Entry!J147/Data_Entry!$V147/G$2),"")</f>
        <v/>
      </c>
      <c r="H149" s="112" t="str">
        <f>IFERROR((Data_Entry!K147/Data_Entry!$V147/H$2),"")</f>
        <v/>
      </c>
      <c r="I149" s="112" t="str">
        <f>IFERROR((Data_Entry!L147/Data_Entry!$V147/I$2),"")</f>
        <v/>
      </c>
    </row>
    <row r="150" ht="15" spans="1:9">
      <c r="A150" s="111">
        <v>45893</v>
      </c>
      <c r="B150" s="29">
        <v>45893</v>
      </c>
      <c r="C150" s="112" t="str">
        <f>IFERROR((Data_Entry!F148/Data_Entry!$V148/C$2),"")</f>
        <v/>
      </c>
      <c r="D150" s="112" t="str">
        <f>IFERROR((Data_Entry!G148/Data_Entry!$V148/D$2),"")</f>
        <v/>
      </c>
      <c r="E150" s="112" t="str">
        <f>IFERROR((Data_Entry!H148/Data_Entry!$V148/E$2),"")</f>
        <v/>
      </c>
      <c r="F150" s="112" t="str">
        <f>IFERROR((Data_Entry!I148/Data_Entry!$V148/F$2),"")</f>
        <v/>
      </c>
      <c r="G150" s="112" t="str">
        <f>IFERROR((Data_Entry!J148/Data_Entry!$V148/G$2),"")</f>
        <v/>
      </c>
      <c r="H150" s="112" t="str">
        <f>IFERROR((Data_Entry!K148/Data_Entry!$V148/H$2),"")</f>
        <v/>
      </c>
      <c r="I150" s="112" t="str">
        <f>IFERROR((Data_Entry!L148/Data_Entry!$V148/I$2),"")</f>
        <v/>
      </c>
    </row>
    <row r="151" ht="15" spans="1:9">
      <c r="A151" s="111">
        <v>45894</v>
      </c>
      <c r="B151" s="29">
        <v>45894</v>
      </c>
      <c r="C151" s="112" t="str">
        <f>IFERROR((Data_Entry!F149/Data_Entry!$V149/C$2),"")</f>
        <v/>
      </c>
      <c r="D151" s="112" t="str">
        <f>IFERROR((Data_Entry!G149/Data_Entry!$V149/D$2),"")</f>
        <v/>
      </c>
      <c r="E151" s="112" t="str">
        <f>IFERROR((Data_Entry!H149/Data_Entry!$V149/E$2),"")</f>
        <v/>
      </c>
      <c r="F151" s="112" t="str">
        <f>IFERROR((Data_Entry!I149/Data_Entry!$V149/F$2),"")</f>
        <v/>
      </c>
      <c r="G151" s="112" t="str">
        <f>IFERROR((Data_Entry!J149/Data_Entry!$V149/G$2),"")</f>
        <v/>
      </c>
      <c r="H151" s="112" t="str">
        <f>IFERROR((Data_Entry!K149/Data_Entry!$V149/H$2),"")</f>
        <v/>
      </c>
      <c r="I151" s="112" t="str">
        <f>IFERROR((Data_Entry!L149/Data_Entry!$V149/I$2),"")</f>
        <v/>
      </c>
    </row>
    <row r="152" ht="15" spans="1:9">
      <c r="A152" s="111">
        <v>45895</v>
      </c>
      <c r="B152" s="29">
        <v>45895</v>
      </c>
      <c r="C152" s="112" t="str">
        <f>IFERROR((Data_Entry!F150/Data_Entry!$V150/C$2),"")</f>
        <v/>
      </c>
      <c r="D152" s="112" t="str">
        <f>IFERROR((Data_Entry!G150/Data_Entry!$V150/D$2),"")</f>
        <v/>
      </c>
      <c r="E152" s="112" t="str">
        <f>IFERROR((Data_Entry!H150/Data_Entry!$V150/E$2),"")</f>
        <v/>
      </c>
      <c r="F152" s="112" t="str">
        <f>IFERROR((Data_Entry!I150/Data_Entry!$V150/F$2),"")</f>
        <v/>
      </c>
      <c r="G152" s="112" t="str">
        <f>IFERROR((Data_Entry!J150/Data_Entry!$V150/G$2),"")</f>
        <v/>
      </c>
      <c r="H152" s="112" t="str">
        <f>IFERROR((Data_Entry!K150/Data_Entry!$V150/H$2),"")</f>
        <v/>
      </c>
      <c r="I152" s="112" t="str">
        <f>IFERROR((Data_Entry!L150/Data_Entry!$V150/I$2),"")</f>
        <v/>
      </c>
    </row>
    <row r="153" ht="15" spans="1:9">
      <c r="A153" s="111">
        <v>45896</v>
      </c>
      <c r="B153" s="29">
        <v>45896</v>
      </c>
      <c r="C153" s="112" t="str">
        <f>IFERROR((Data_Entry!F151/Data_Entry!$V151/C$2),"")</f>
        <v/>
      </c>
      <c r="D153" s="112" t="str">
        <f>IFERROR((Data_Entry!G151/Data_Entry!$V151/D$2),"")</f>
        <v/>
      </c>
      <c r="E153" s="112" t="str">
        <f>IFERROR((Data_Entry!H151/Data_Entry!$V151/E$2),"")</f>
        <v/>
      </c>
      <c r="F153" s="112" t="str">
        <f>IFERROR((Data_Entry!I151/Data_Entry!$V151/F$2),"")</f>
        <v/>
      </c>
      <c r="G153" s="112" t="str">
        <f>IFERROR((Data_Entry!J151/Data_Entry!$V151/G$2),"")</f>
        <v/>
      </c>
      <c r="H153" s="112" t="str">
        <f>IFERROR((Data_Entry!K151/Data_Entry!$V151/H$2),"")</f>
        <v/>
      </c>
      <c r="I153" s="112" t="str">
        <f>IFERROR((Data_Entry!L151/Data_Entry!$V151/I$2),"")</f>
        <v/>
      </c>
    </row>
    <row r="154" ht="15" spans="1:9">
      <c r="A154" s="111">
        <v>45897</v>
      </c>
      <c r="B154" s="29">
        <v>45897</v>
      </c>
      <c r="C154" s="112" t="str">
        <f>IFERROR((Data_Entry!F152/Data_Entry!$V152/C$2),"")</f>
        <v/>
      </c>
      <c r="D154" s="112" t="str">
        <f>IFERROR((Data_Entry!G152/Data_Entry!$V152/D$2),"")</f>
        <v/>
      </c>
      <c r="E154" s="112" t="str">
        <f>IFERROR((Data_Entry!H152/Data_Entry!$V152/E$2),"")</f>
        <v/>
      </c>
      <c r="F154" s="112" t="str">
        <f>IFERROR((Data_Entry!I152/Data_Entry!$V152/F$2),"")</f>
        <v/>
      </c>
      <c r="G154" s="112" t="str">
        <f>IFERROR((Data_Entry!J152/Data_Entry!$V152/G$2),"")</f>
        <v/>
      </c>
      <c r="H154" s="112" t="str">
        <f>IFERROR((Data_Entry!K152/Data_Entry!$V152/H$2),"")</f>
        <v/>
      </c>
      <c r="I154" s="112" t="str">
        <f>IFERROR((Data_Entry!L152/Data_Entry!$V152/I$2),"")</f>
        <v/>
      </c>
    </row>
    <row r="155" ht="15" spans="1:9">
      <c r="A155" s="111">
        <v>45898</v>
      </c>
      <c r="B155" s="29">
        <v>45898</v>
      </c>
      <c r="C155" s="112" t="str">
        <f>IFERROR((Data_Entry!F153/Data_Entry!$V153/C$2),"")</f>
        <v/>
      </c>
      <c r="D155" s="112" t="str">
        <f>IFERROR((Data_Entry!G153/Data_Entry!$V153/D$2),"")</f>
        <v/>
      </c>
      <c r="E155" s="112" t="str">
        <f>IFERROR((Data_Entry!H153/Data_Entry!$V153/E$2),"")</f>
        <v/>
      </c>
      <c r="F155" s="112" t="str">
        <f>IFERROR((Data_Entry!I153/Data_Entry!$V153/F$2),"")</f>
        <v/>
      </c>
      <c r="G155" s="112" t="str">
        <f>IFERROR((Data_Entry!J153/Data_Entry!$V153/G$2),"")</f>
        <v/>
      </c>
      <c r="H155" s="112" t="str">
        <f>IFERROR((Data_Entry!K153/Data_Entry!$V153/H$2),"")</f>
        <v/>
      </c>
      <c r="I155" s="112" t="str">
        <f>IFERROR((Data_Entry!L153/Data_Entry!$V153/I$2),"")</f>
        <v/>
      </c>
    </row>
    <row r="156" ht="15" spans="1:9">
      <c r="A156" s="111">
        <v>45899</v>
      </c>
      <c r="B156" s="29">
        <v>45899</v>
      </c>
      <c r="C156" s="112" t="str">
        <f>IFERROR((Data_Entry!F154/Data_Entry!$V154/C$2),"")</f>
        <v/>
      </c>
      <c r="D156" s="112" t="str">
        <f>IFERROR((Data_Entry!G154/Data_Entry!$V154/D$2),"")</f>
        <v/>
      </c>
      <c r="E156" s="112" t="str">
        <f>IFERROR((Data_Entry!H154/Data_Entry!$V154/E$2),"")</f>
        <v/>
      </c>
      <c r="F156" s="112" t="str">
        <f>IFERROR((Data_Entry!I154/Data_Entry!$V154/F$2),"")</f>
        <v/>
      </c>
      <c r="G156" s="112" t="str">
        <f>IFERROR((Data_Entry!J154/Data_Entry!$V154/G$2),"")</f>
        <v/>
      </c>
      <c r="H156" s="112" t="str">
        <f>IFERROR((Data_Entry!K154/Data_Entry!$V154/H$2),"")</f>
        <v/>
      </c>
      <c r="I156" s="112" t="str">
        <f>IFERROR((Data_Entry!L154/Data_Entry!$V154/I$2),"")</f>
        <v/>
      </c>
    </row>
    <row r="157" ht="15" spans="1:9">
      <c r="A157" s="111">
        <v>45900</v>
      </c>
      <c r="B157" s="29">
        <v>45900</v>
      </c>
      <c r="C157" s="112" t="str">
        <f>IFERROR((Data_Entry!F155/Data_Entry!$V155/C$2),"")</f>
        <v/>
      </c>
      <c r="D157" s="112" t="str">
        <f>IFERROR((Data_Entry!G155/Data_Entry!$V155/D$2),"")</f>
        <v/>
      </c>
      <c r="E157" s="112" t="str">
        <f>IFERROR((Data_Entry!H155/Data_Entry!$V155/E$2),"")</f>
        <v/>
      </c>
      <c r="F157" s="112" t="str">
        <f>IFERROR((Data_Entry!I155/Data_Entry!$V155/F$2),"")</f>
        <v/>
      </c>
      <c r="G157" s="112" t="str">
        <f>IFERROR((Data_Entry!J155/Data_Entry!$V155/G$2),"")</f>
        <v/>
      </c>
      <c r="H157" s="112" t="str">
        <f>IFERROR((Data_Entry!K155/Data_Entry!$V155/H$2),"")</f>
        <v/>
      </c>
      <c r="I157" s="112" t="str">
        <f>IFERROR((Data_Entry!L155/Data_Entry!$V155/I$2),"")</f>
        <v/>
      </c>
    </row>
    <row r="158" ht="15" spans="1:9">
      <c r="A158" s="111">
        <v>45901</v>
      </c>
      <c r="B158" s="29">
        <v>45901</v>
      </c>
      <c r="C158" s="112" t="str">
        <f>IFERROR((Data_Entry!F156/Data_Entry!$V156/C$2),"")</f>
        <v/>
      </c>
      <c r="D158" s="112" t="str">
        <f>IFERROR((Data_Entry!G156/Data_Entry!$V156/D$2),"")</f>
        <v/>
      </c>
      <c r="E158" s="112" t="str">
        <f>IFERROR((Data_Entry!H156/Data_Entry!$V156/E$2),"")</f>
        <v/>
      </c>
      <c r="F158" s="112" t="str">
        <f>IFERROR((Data_Entry!I156/Data_Entry!$V156/F$2),"")</f>
        <v/>
      </c>
      <c r="G158" s="112" t="str">
        <f>IFERROR((Data_Entry!J156/Data_Entry!$V156/G$2),"")</f>
        <v/>
      </c>
      <c r="H158" s="112" t="str">
        <f>IFERROR((Data_Entry!K156/Data_Entry!$V156/H$2),"")</f>
        <v/>
      </c>
      <c r="I158" s="112" t="str">
        <f>IFERROR((Data_Entry!L156/Data_Entry!$V156/I$2),"")</f>
        <v/>
      </c>
    </row>
    <row r="159" ht="15" spans="1:9">
      <c r="A159" s="111">
        <v>45902</v>
      </c>
      <c r="B159" s="29">
        <v>45902</v>
      </c>
      <c r="C159" s="112" t="str">
        <f>IFERROR((Data_Entry!F157/Data_Entry!$V157/C$2),"")</f>
        <v/>
      </c>
      <c r="D159" s="112" t="str">
        <f>IFERROR((Data_Entry!G157/Data_Entry!$V157/D$2),"")</f>
        <v/>
      </c>
      <c r="E159" s="112" t="str">
        <f>IFERROR((Data_Entry!H157/Data_Entry!$V157/E$2),"")</f>
        <v/>
      </c>
      <c r="F159" s="112" t="str">
        <f>IFERROR((Data_Entry!I157/Data_Entry!$V157/F$2),"")</f>
        <v/>
      </c>
      <c r="G159" s="112" t="str">
        <f>IFERROR((Data_Entry!J157/Data_Entry!$V157/G$2),"")</f>
        <v/>
      </c>
      <c r="H159" s="112" t="str">
        <f>IFERROR((Data_Entry!K157/Data_Entry!$V157/H$2),"")</f>
        <v/>
      </c>
      <c r="I159" s="112" t="str">
        <f>IFERROR((Data_Entry!L157/Data_Entry!$V157/I$2),"")</f>
        <v/>
      </c>
    </row>
    <row r="160" ht="15" spans="1:9">
      <c r="A160" s="111">
        <v>45903</v>
      </c>
      <c r="B160" s="29">
        <v>45903</v>
      </c>
      <c r="C160" s="112" t="str">
        <f>IFERROR((Data_Entry!F158/Data_Entry!$V158/C$2),"")</f>
        <v/>
      </c>
      <c r="D160" s="112" t="str">
        <f>IFERROR((Data_Entry!G158/Data_Entry!$V158/D$2),"")</f>
        <v/>
      </c>
      <c r="E160" s="112" t="str">
        <f>IFERROR((Data_Entry!H158/Data_Entry!$V158/E$2),"")</f>
        <v/>
      </c>
      <c r="F160" s="112" t="str">
        <f>IFERROR((Data_Entry!I158/Data_Entry!$V158/F$2),"")</f>
        <v/>
      </c>
      <c r="G160" s="112" t="str">
        <f>IFERROR((Data_Entry!J158/Data_Entry!$V158/G$2),"")</f>
        <v/>
      </c>
      <c r="H160" s="112" t="str">
        <f>IFERROR((Data_Entry!K158/Data_Entry!$V158/H$2),"")</f>
        <v/>
      </c>
      <c r="I160" s="112" t="str">
        <f>IFERROR((Data_Entry!L158/Data_Entry!$V158/I$2),"")</f>
        <v/>
      </c>
    </row>
    <row r="161" ht="15" spans="1:9">
      <c r="A161" s="111">
        <v>45904</v>
      </c>
      <c r="B161" s="29">
        <v>45904</v>
      </c>
      <c r="C161" s="112" t="str">
        <f>IFERROR((Data_Entry!F159/Data_Entry!$V159/C$2),"")</f>
        <v/>
      </c>
      <c r="D161" s="112" t="str">
        <f>IFERROR((Data_Entry!G159/Data_Entry!$V159/D$2),"")</f>
        <v/>
      </c>
      <c r="E161" s="112" t="str">
        <f>IFERROR((Data_Entry!H159/Data_Entry!$V159/E$2),"")</f>
        <v/>
      </c>
      <c r="F161" s="112" t="str">
        <f>IFERROR((Data_Entry!I159/Data_Entry!$V159/F$2),"")</f>
        <v/>
      </c>
      <c r="G161" s="112" t="str">
        <f>IFERROR((Data_Entry!J159/Data_Entry!$V159/G$2),"")</f>
        <v/>
      </c>
      <c r="H161" s="112" t="str">
        <f>IFERROR((Data_Entry!K159/Data_Entry!$V159/H$2),"")</f>
        <v/>
      </c>
      <c r="I161" s="112" t="str">
        <f>IFERROR((Data_Entry!L159/Data_Entry!$V159/I$2),"")</f>
        <v/>
      </c>
    </row>
    <row r="162" ht="15" spans="1:9">
      <c r="A162" s="111">
        <v>45905</v>
      </c>
      <c r="B162" s="29">
        <v>45905</v>
      </c>
      <c r="C162" s="112" t="str">
        <f>IFERROR((Data_Entry!F160/Data_Entry!$V160/C$2),"")</f>
        <v/>
      </c>
      <c r="D162" s="112" t="str">
        <f>IFERROR((Data_Entry!G160/Data_Entry!$V160/D$2),"")</f>
        <v/>
      </c>
      <c r="E162" s="112" t="str">
        <f>IFERROR((Data_Entry!H160/Data_Entry!$V160/E$2),"")</f>
        <v/>
      </c>
      <c r="F162" s="112" t="str">
        <f>IFERROR((Data_Entry!I160/Data_Entry!$V160/F$2),"")</f>
        <v/>
      </c>
      <c r="G162" s="112" t="str">
        <f>IFERROR((Data_Entry!J160/Data_Entry!$V160/G$2),"")</f>
        <v/>
      </c>
      <c r="H162" s="112" t="str">
        <f>IFERROR((Data_Entry!K160/Data_Entry!$V160/H$2),"")</f>
        <v/>
      </c>
      <c r="I162" s="112" t="str">
        <f>IFERROR((Data_Entry!L160/Data_Entry!$V160/I$2),"")</f>
        <v/>
      </c>
    </row>
    <row r="163" ht="15" spans="1:9">
      <c r="A163" s="111">
        <v>45906</v>
      </c>
      <c r="B163" s="29">
        <v>45906</v>
      </c>
      <c r="C163" s="112" t="str">
        <f>IFERROR((Data_Entry!F161/Data_Entry!$V161/C$2),"")</f>
        <v/>
      </c>
      <c r="D163" s="112" t="str">
        <f>IFERROR((Data_Entry!G161/Data_Entry!$V161/D$2),"")</f>
        <v/>
      </c>
      <c r="E163" s="112" t="str">
        <f>IFERROR((Data_Entry!H161/Data_Entry!$V161/E$2),"")</f>
        <v/>
      </c>
      <c r="F163" s="112" t="str">
        <f>IFERROR((Data_Entry!I161/Data_Entry!$V161/F$2),"")</f>
        <v/>
      </c>
      <c r="G163" s="112" t="str">
        <f>IFERROR((Data_Entry!J161/Data_Entry!$V161/G$2),"")</f>
        <v/>
      </c>
      <c r="H163" s="112" t="str">
        <f>IFERROR((Data_Entry!K161/Data_Entry!$V161/H$2),"")</f>
        <v/>
      </c>
      <c r="I163" s="112" t="str">
        <f>IFERROR((Data_Entry!L161/Data_Entry!$V161/I$2),"")</f>
        <v/>
      </c>
    </row>
    <row r="164" ht="15" spans="1:9">
      <c r="A164" s="111">
        <v>45907</v>
      </c>
      <c r="B164" s="29">
        <v>45907</v>
      </c>
      <c r="C164" s="112" t="str">
        <f>IFERROR((Data_Entry!F162/Data_Entry!$V162/C$2),"")</f>
        <v/>
      </c>
      <c r="D164" s="112" t="str">
        <f>IFERROR((Data_Entry!G162/Data_Entry!$V162/D$2),"")</f>
        <v/>
      </c>
      <c r="E164" s="112" t="str">
        <f>IFERROR((Data_Entry!H162/Data_Entry!$V162/E$2),"")</f>
        <v/>
      </c>
      <c r="F164" s="112" t="str">
        <f>IFERROR((Data_Entry!I162/Data_Entry!$V162/F$2),"")</f>
        <v/>
      </c>
      <c r="G164" s="112" t="str">
        <f>IFERROR((Data_Entry!J162/Data_Entry!$V162/G$2),"")</f>
        <v/>
      </c>
      <c r="H164" s="112" t="str">
        <f>IFERROR((Data_Entry!K162/Data_Entry!$V162/H$2),"")</f>
        <v/>
      </c>
      <c r="I164" s="112" t="str">
        <f>IFERROR((Data_Entry!L162/Data_Entry!$V162/I$2),"")</f>
        <v/>
      </c>
    </row>
    <row r="165" ht="15" spans="1:9">
      <c r="A165" s="111">
        <v>45908</v>
      </c>
      <c r="B165" s="29">
        <v>45908</v>
      </c>
      <c r="C165" s="112" t="str">
        <f>IFERROR((Data_Entry!F163/Data_Entry!$V163/C$2),"")</f>
        <v/>
      </c>
      <c r="D165" s="112" t="str">
        <f>IFERROR((Data_Entry!G163/Data_Entry!$V163/D$2),"")</f>
        <v/>
      </c>
      <c r="E165" s="112" t="str">
        <f>IFERROR((Data_Entry!H163/Data_Entry!$V163/E$2),"")</f>
        <v/>
      </c>
      <c r="F165" s="112" t="str">
        <f>IFERROR((Data_Entry!I163/Data_Entry!$V163/F$2),"")</f>
        <v/>
      </c>
      <c r="G165" s="112" t="str">
        <f>IFERROR((Data_Entry!J163/Data_Entry!$V163/G$2),"")</f>
        <v/>
      </c>
      <c r="H165" s="112" t="str">
        <f>IFERROR((Data_Entry!K163/Data_Entry!$V163/H$2),"")</f>
        <v/>
      </c>
      <c r="I165" s="112" t="str">
        <f>IFERROR((Data_Entry!L163/Data_Entry!$V163/I$2),"")</f>
        <v/>
      </c>
    </row>
    <row r="166" ht="15" spans="1:9">
      <c r="A166" s="111">
        <v>45909</v>
      </c>
      <c r="B166" s="29">
        <v>45909</v>
      </c>
      <c r="C166" s="112" t="str">
        <f>IFERROR((Data_Entry!F164/Data_Entry!$V164/C$2),"")</f>
        <v/>
      </c>
      <c r="D166" s="112" t="str">
        <f>IFERROR((Data_Entry!G164/Data_Entry!$V164/D$2),"")</f>
        <v/>
      </c>
      <c r="E166" s="112" t="str">
        <f>IFERROR((Data_Entry!H164/Data_Entry!$V164/E$2),"")</f>
        <v/>
      </c>
      <c r="F166" s="112" t="str">
        <f>IFERROR((Data_Entry!I164/Data_Entry!$V164/F$2),"")</f>
        <v/>
      </c>
      <c r="G166" s="112" t="str">
        <f>IFERROR((Data_Entry!J164/Data_Entry!$V164/G$2),"")</f>
        <v/>
      </c>
      <c r="H166" s="112" t="str">
        <f>IFERROR((Data_Entry!K164/Data_Entry!$V164/H$2),"")</f>
        <v/>
      </c>
      <c r="I166" s="112" t="str">
        <f>IFERROR((Data_Entry!L164/Data_Entry!$V164/I$2),"")</f>
        <v/>
      </c>
    </row>
    <row r="167" ht="15" spans="1:9">
      <c r="A167" s="111">
        <v>45910</v>
      </c>
      <c r="B167" s="29">
        <v>45910</v>
      </c>
      <c r="C167" s="112" t="str">
        <f>IFERROR((Data_Entry!F165/Data_Entry!$V165/C$2),"")</f>
        <v/>
      </c>
      <c r="D167" s="112" t="str">
        <f>IFERROR((Data_Entry!G165/Data_Entry!$V165/D$2),"")</f>
        <v/>
      </c>
      <c r="E167" s="112" t="str">
        <f>IFERROR((Data_Entry!H165/Data_Entry!$V165/E$2),"")</f>
        <v/>
      </c>
      <c r="F167" s="112" t="str">
        <f>IFERROR((Data_Entry!I165/Data_Entry!$V165/F$2),"")</f>
        <v/>
      </c>
      <c r="G167" s="112" t="str">
        <f>IFERROR((Data_Entry!J165/Data_Entry!$V165/G$2),"")</f>
        <v/>
      </c>
      <c r="H167" s="112" t="str">
        <f>IFERROR((Data_Entry!K165/Data_Entry!$V165/H$2),"")</f>
        <v/>
      </c>
      <c r="I167" s="112" t="str">
        <f>IFERROR((Data_Entry!L165/Data_Entry!$V165/I$2),"")</f>
        <v/>
      </c>
    </row>
    <row r="168" ht="15" spans="1:9">
      <c r="A168" s="111">
        <v>45911</v>
      </c>
      <c r="B168" s="29">
        <v>45911</v>
      </c>
      <c r="C168" s="112" t="str">
        <f>IFERROR((Data_Entry!F166/Data_Entry!$V166/C$2),"")</f>
        <v/>
      </c>
      <c r="D168" s="112" t="str">
        <f>IFERROR((Data_Entry!G166/Data_Entry!$V166/D$2),"")</f>
        <v/>
      </c>
      <c r="E168" s="112" t="str">
        <f>IFERROR((Data_Entry!H166/Data_Entry!$V166/E$2),"")</f>
        <v/>
      </c>
      <c r="F168" s="112" t="str">
        <f>IFERROR((Data_Entry!I166/Data_Entry!$V166/F$2),"")</f>
        <v/>
      </c>
      <c r="G168" s="112" t="str">
        <f>IFERROR((Data_Entry!J166/Data_Entry!$V166/G$2),"")</f>
        <v/>
      </c>
      <c r="H168" s="112" t="str">
        <f>IFERROR((Data_Entry!K166/Data_Entry!$V166/H$2),"")</f>
        <v/>
      </c>
      <c r="I168" s="112" t="str">
        <f>IFERROR((Data_Entry!L166/Data_Entry!$V166/I$2),"")</f>
        <v/>
      </c>
    </row>
    <row r="169" ht="15" spans="1:9">
      <c r="A169" s="111">
        <v>45912</v>
      </c>
      <c r="B169" s="29">
        <v>45912</v>
      </c>
      <c r="C169" s="112" t="str">
        <f>IFERROR((Data_Entry!F167/Data_Entry!$V167/C$2),"")</f>
        <v/>
      </c>
      <c r="D169" s="112" t="str">
        <f>IFERROR((Data_Entry!G167/Data_Entry!$V167/D$2),"")</f>
        <v/>
      </c>
      <c r="E169" s="112" t="str">
        <f>IFERROR((Data_Entry!H167/Data_Entry!$V167/E$2),"")</f>
        <v/>
      </c>
      <c r="F169" s="112" t="str">
        <f>IFERROR((Data_Entry!I167/Data_Entry!$V167/F$2),"")</f>
        <v/>
      </c>
      <c r="G169" s="112" t="str">
        <f>IFERROR((Data_Entry!J167/Data_Entry!$V167/G$2),"")</f>
        <v/>
      </c>
      <c r="H169" s="112" t="str">
        <f>IFERROR((Data_Entry!K167/Data_Entry!$V167/H$2),"")</f>
        <v/>
      </c>
      <c r="I169" s="112" t="str">
        <f>IFERROR((Data_Entry!L167/Data_Entry!$V167/I$2),"")</f>
        <v/>
      </c>
    </row>
    <row r="170" ht="15" spans="1:9">
      <c r="A170" s="111">
        <v>45913</v>
      </c>
      <c r="B170" s="29">
        <v>45913</v>
      </c>
      <c r="C170" s="112" t="str">
        <f>IFERROR((Data_Entry!F168/Data_Entry!$V168/C$2),"")</f>
        <v/>
      </c>
      <c r="D170" s="112" t="str">
        <f>IFERROR((Data_Entry!G168/Data_Entry!$V168/D$2),"")</f>
        <v/>
      </c>
      <c r="E170" s="112" t="str">
        <f>IFERROR((Data_Entry!H168/Data_Entry!$V168/E$2),"")</f>
        <v/>
      </c>
      <c r="F170" s="112" t="str">
        <f>IFERROR((Data_Entry!I168/Data_Entry!$V168/F$2),"")</f>
        <v/>
      </c>
      <c r="G170" s="112" t="str">
        <f>IFERROR((Data_Entry!J168/Data_Entry!$V168/G$2),"")</f>
        <v/>
      </c>
      <c r="H170" s="112" t="str">
        <f>IFERROR((Data_Entry!K168/Data_Entry!$V168/H$2),"")</f>
        <v/>
      </c>
      <c r="I170" s="112" t="str">
        <f>IFERROR((Data_Entry!L168/Data_Entry!$V168/I$2),"")</f>
        <v/>
      </c>
    </row>
    <row r="171" ht="15" spans="1:9">
      <c r="A171" s="111">
        <v>45914</v>
      </c>
      <c r="B171" s="29">
        <v>45914</v>
      </c>
      <c r="C171" s="112" t="str">
        <f>IFERROR((Data_Entry!F169/Data_Entry!$V169/C$2),"")</f>
        <v/>
      </c>
      <c r="D171" s="112" t="str">
        <f>IFERROR((Data_Entry!G169/Data_Entry!$V169/D$2),"")</f>
        <v/>
      </c>
      <c r="E171" s="112" t="str">
        <f>IFERROR((Data_Entry!H169/Data_Entry!$V169/E$2),"")</f>
        <v/>
      </c>
      <c r="F171" s="112" t="str">
        <f>IFERROR((Data_Entry!I169/Data_Entry!$V169/F$2),"")</f>
        <v/>
      </c>
      <c r="G171" s="112" t="str">
        <f>IFERROR((Data_Entry!J169/Data_Entry!$V169/G$2),"")</f>
        <v/>
      </c>
      <c r="H171" s="112" t="str">
        <f>IFERROR((Data_Entry!K169/Data_Entry!$V169/H$2),"")</f>
        <v/>
      </c>
      <c r="I171" s="112" t="str">
        <f>IFERROR((Data_Entry!L169/Data_Entry!$V169/I$2),"")</f>
        <v/>
      </c>
    </row>
    <row r="172" ht="15" spans="1:9">
      <c r="A172" s="111">
        <v>45915</v>
      </c>
      <c r="B172" s="29">
        <v>45915</v>
      </c>
      <c r="C172" s="112" t="str">
        <f>IFERROR((Data_Entry!F170/Data_Entry!$V170/C$2),"")</f>
        <v/>
      </c>
      <c r="D172" s="112" t="str">
        <f>IFERROR((Data_Entry!G170/Data_Entry!$V170/D$2),"")</f>
        <v/>
      </c>
      <c r="E172" s="112" t="str">
        <f>IFERROR((Data_Entry!H170/Data_Entry!$V170/E$2),"")</f>
        <v/>
      </c>
      <c r="F172" s="112" t="str">
        <f>IFERROR((Data_Entry!I170/Data_Entry!$V170/F$2),"")</f>
        <v/>
      </c>
      <c r="G172" s="112" t="str">
        <f>IFERROR((Data_Entry!J170/Data_Entry!$V170/G$2),"")</f>
        <v/>
      </c>
      <c r="H172" s="112" t="str">
        <f>IFERROR((Data_Entry!K170/Data_Entry!$V170/H$2),"")</f>
        <v/>
      </c>
      <c r="I172" s="112" t="str">
        <f>IFERROR((Data_Entry!L170/Data_Entry!$V170/I$2),"")</f>
        <v/>
      </c>
    </row>
    <row r="173" ht="15" spans="1:9">
      <c r="A173" s="111">
        <v>45916</v>
      </c>
      <c r="B173" s="29">
        <v>45916</v>
      </c>
      <c r="C173" s="112" t="str">
        <f>IFERROR((Data_Entry!F171/Data_Entry!$V171/C$2),"")</f>
        <v/>
      </c>
      <c r="D173" s="112" t="str">
        <f>IFERROR((Data_Entry!G171/Data_Entry!$V171/D$2),"")</f>
        <v/>
      </c>
      <c r="E173" s="112" t="str">
        <f>IFERROR((Data_Entry!H171/Data_Entry!$V171/E$2),"")</f>
        <v/>
      </c>
      <c r="F173" s="112" t="str">
        <f>IFERROR((Data_Entry!I171/Data_Entry!$V171/F$2),"")</f>
        <v/>
      </c>
      <c r="G173" s="112" t="str">
        <f>IFERROR((Data_Entry!J171/Data_Entry!$V171/G$2),"")</f>
        <v/>
      </c>
      <c r="H173" s="112" t="str">
        <f>IFERROR((Data_Entry!K171/Data_Entry!$V171/H$2),"")</f>
        <v/>
      </c>
      <c r="I173" s="112" t="str">
        <f>IFERROR((Data_Entry!L171/Data_Entry!$V171/I$2),"")</f>
        <v/>
      </c>
    </row>
    <row r="174" ht="15" spans="1:9">
      <c r="A174" s="111">
        <v>45917</v>
      </c>
      <c r="B174" s="29">
        <v>45917</v>
      </c>
      <c r="C174" s="112" t="str">
        <f>IFERROR((Data_Entry!F172/Data_Entry!$V172/C$2),"")</f>
        <v/>
      </c>
      <c r="D174" s="112" t="str">
        <f>IFERROR((Data_Entry!G172/Data_Entry!$V172/D$2),"")</f>
        <v/>
      </c>
      <c r="E174" s="112" t="str">
        <f>IFERROR((Data_Entry!H172/Data_Entry!$V172/E$2),"")</f>
        <v/>
      </c>
      <c r="F174" s="112" t="str">
        <f>IFERROR((Data_Entry!I172/Data_Entry!$V172/F$2),"")</f>
        <v/>
      </c>
      <c r="G174" s="112" t="str">
        <f>IFERROR((Data_Entry!J172/Data_Entry!$V172/G$2),"")</f>
        <v/>
      </c>
      <c r="H174" s="112" t="str">
        <f>IFERROR((Data_Entry!K172/Data_Entry!$V172/H$2),"")</f>
        <v/>
      </c>
      <c r="I174" s="112" t="str">
        <f>IFERROR((Data_Entry!L172/Data_Entry!$V172/I$2),"")</f>
        <v/>
      </c>
    </row>
    <row r="175" ht="15" spans="1:9">
      <c r="A175" s="111">
        <v>45918</v>
      </c>
      <c r="B175" s="29">
        <v>45918</v>
      </c>
      <c r="C175" s="112" t="str">
        <f>IFERROR((Data_Entry!F173/Data_Entry!$V173/C$2),"")</f>
        <v/>
      </c>
      <c r="D175" s="112" t="str">
        <f>IFERROR((Data_Entry!G173/Data_Entry!$V173/D$2),"")</f>
        <v/>
      </c>
      <c r="E175" s="112" t="str">
        <f>IFERROR((Data_Entry!H173/Data_Entry!$V173/E$2),"")</f>
        <v/>
      </c>
      <c r="F175" s="112" t="str">
        <f>IFERROR((Data_Entry!I173/Data_Entry!$V173/F$2),"")</f>
        <v/>
      </c>
      <c r="G175" s="112" t="str">
        <f>IFERROR((Data_Entry!J173/Data_Entry!$V173/G$2),"")</f>
        <v/>
      </c>
      <c r="H175" s="112" t="str">
        <f>IFERROR((Data_Entry!K173/Data_Entry!$V173/H$2),"")</f>
        <v/>
      </c>
      <c r="I175" s="112" t="str">
        <f>IFERROR((Data_Entry!L173/Data_Entry!$V173/I$2),"")</f>
        <v/>
      </c>
    </row>
    <row r="176" ht="15" spans="1:9">
      <c r="A176" s="111">
        <v>45919</v>
      </c>
      <c r="B176" s="29">
        <v>45919</v>
      </c>
      <c r="C176" s="112" t="str">
        <f>IFERROR((Data_Entry!F174/Data_Entry!$V174/C$2),"")</f>
        <v/>
      </c>
      <c r="D176" s="112" t="str">
        <f>IFERROR((Data_Entry!G174/Data_Entry!$V174/D$2),"")</f>
        <v/>
      </c>
      <c r="E176" s="112" t="str">
        <f>IFERROR((Data_Entry!H174/Data_Entry!$V174/E$2),"")</f>
        <v/>
      </c>
      <c r="F176" s="112" t="str">
        <f>IFERROR((Data_Entry!I174/Data_Entry!$V174/F$2),"")</f>
        <v/>
      </c>
      <c r="G176" s="112" t="str">
        <f>IFERROR((Data_Entry!J174/Data_Entry!$V174/G$2),"")</f>
        <v/>
      </c>
      <c r="H176" s="112" t="str">
        <f>IFERROR((Data_Entry!K174/Data_Entry!$V174/H$2),"")</f>
        <v/>
      </c>
      <c r="I176" s="112" t="str">
        <f>IFERROR((Data_Entry!L174/Data_Entry!$V174/I$2),"")</f>
        <v/>
      </c>
    </row>
    <row r="177" ht="15" spans="1:9">
      <c r="A177" s="111">
        <v>45920</v>
      </c>
      <c r="B177" s="29">
        <v>45920</v>
      </c>
      <c r="C177" s="112" t="str">
        <f>IFERROR((Data_Entry!F175/Data_Entry!$V175/C$2),"")</f>
        <v/>
      </c>
      <c r="D177" s="112" t="str">
        <f>IFERROR((Data_Entry!G175/Data_Entry!$V175/D$2),"")</f>
        <v/>
      </c>
      <c r="E177" s="112" t="str">
        <f>IFERROR((Data_Entry!H175/Data_Entry!$V175/E$2),"")</f>
        <v/>
      </c>
      <c r="F177" s="112" t="str">
        <f>IFERROR((Data_Entry!I175/Data_Entry!$V175/F$2),"")</f>
        <v/>
      </c>
      <c r="G177" s="112" t="str">
        <f>IFERROR((Data_Entry!J175/Data_Entry!$V175/G$2),"")</f>
        <v/>
      </c>
      <c r="H177" s="112" t="str">
        <f>IFERROR((Data_Entry!K175/Data_Entry!$V175/H$2),"")</f>
        <v/>
      </c>
      <c r="I177" s="112" t="str">
        <f>IFERROR((Data_Entry!L175/Data_Entry!$V175/I$2),"")</f>
        <v/>
      </c>
    </row>
    <row r="178" ht="15" spans="1:9">
      <c r="A178" s="111">
        <v>45921</v>
      </c>
      <c r="B178" s="29">
        <v>45921</v>
      </c>
      <c r="C178" s="112">
        <f>IFERROR((Data_Entry!F176/Data_Entry!$V176/C$2),"")</f>
        <v>1.4217923803498</v>
      </c>
      <c r="D178" s="112">
        <f>IFERROR((Data_Entry!G176/Data_Entry!$V176/D$2),"")</f>
        <v>1.41982029359442</v>
      </c>
      <c r="E178" s="112">
        <f>IFERROR((Data_Entry!H176/Data_Entry!$V176/E$2),"")</f>
        <v>1.41300016023205</v>
      </c>
      <c r="F178" s="112">
        <f>IFERROR((Data_Entry!I176/Data_Entry!$V176/F$2),"")</f>
        <v>1.39926432589734</v>
      </c>
      <c r="G178" s="112">
        <f>IFERROR((Data_Entry!J176/Data_Entry!$V176/G$2),"")</f>
        <v>1.40789041914167</v>
      </c>
      <c r="H178" s="112">
        <f>IFERROR((Data_Entry!K176/Data_Entry!$V176/H$2),"")</f>
        <v>1.40543424224978</v>
      </c>
      <c r="I178" s="112">
        <f>IFERROR((Data_Entry!L176/Data_Entry!$V176/I$2),"")</f>
        <v>1.36356133859676</v>
      </c>
    </row>
    <row r="179" ht="15" spans="1:9">
      <c r="A179" s="111">
        <v>45922</v>
      </c>
      <c r="B179" s="29">
        <v>45922</v>
      </c>
      <c r="C179" s="112">
        <f>IFERROR((Data_Entry!F177/Data_Entry!$V177/C$2),"")</f>
        <v>0.989776106304665</v>
      </c>
      <c r="D179" s="112">
        <f>IFERROR((Data_Entry!G177/Data_Entry!$V177/D$2),"")</f>
        <v>0.986485153398441</v>
      </c>
      <c r="E179" s="112">
        <f>IFERROR((Data_Entry!H177/Data_Entry!$V177/E$2),"")</f>
        <v>0.992018118016934</v>
      </c>
      <c r="F179" s="112">
        <f>IFERROR((Data_Entry!I177/Data_Entry!$V177/F$2),"")</f>
        <v>0.98046514306792</v>
      </c>
      <c r="G179" s="112">
        <f>IFERROR((Data_Entry!J177/Data_Entry!$V177/G$2),"")</f>
        <v>0.998747286399923</v>
      </c>
      <c r="H179" s="112">
        <f>IFERROR((Data_Entry!K177/Data_Entry!$V177/H$2),"")</f>
        <v>1.0009990459892</v>
      </c>
      <c r="I179" s="112">
        <f>IFERROR((Data_Entry!L177/Data_Entry!$V177/I$2),"")</f>
        <v>0.973357548173869</v>
      </c>
    </row>
    <row r="180" ht="15" spans="1:9">
      <c r="A180" s="111">
        <v>45923</v>
      </c>
      <c r="B180" s="29">
        <v>45923</v>
      </c>
      <c r="C180" s="112">
        <f>IFERROR((Data_Entry!F178/Data_Entry!$V178/C$2),"")</f>
        <v>1.7735907245585</v>
      </c>
      <c r="D180" s="112">
        <f>IFERROR((Data_Entry!G178/Data_Entry!$V178/D$2),"")</f>
        <v>1.78150963491644</v>
      </c>
      <c r="E180" s="112">
        <f>IFERROR((Data_Entry!H178/Data_Entry!$V178/E$2),"")</f>
        <v>1.796375754476</v>
      </c>
      <c r="F180" s="112">
        <f>IFERROR((Data_Entry!I178/Data_Entry!$V178/F$2),"")</f>
        <v>1.7453047842348</v>
      </c>
      <c r="G180" s="112">
        <f>IFERROR((Data_Entry!J178/Data_Entry!$V178/G$2),"")</f>
        <v>1.79301092828582</v>
      </c>
      <c r="H180" s="112">
        <f>IFERROR((Data_Entry!K178/Data_Entry!$V178/H$2),"")</f>
        <v>1.78848527259562</v>
      </c>
      <c r="I180" s="112">
        <f>IFERROR((Data_Entry!L178/Data_Entry!$V178/I$2),"")</f>
        <v>1.74778043082157</v>
      </c>
    </row>
    <row r="181" ht="15" spans="1:9">
      <c r="A181" s="111">
        <v>45924</v>
      </c>
      <c r="B181" s="29">
        <v>45924</v>
      </c>
      <c r="C181" s="112">
        <f>IFERROR((Data_Entry!F179/Data_Entry!$V179/C$2),"")</f>
        <v>1.69223292730896</v>
      </c>
      <c r="D181" s="112">
        <f>IFERROR((Data_Entry!G179/Data_Entry!$V179/D$2),"")</f>
        <v>1.69571144577428</v>
      </c>
      <c r="E181" s="112">
        <f>IFERROR((Data_Entry!H179/Data_Entry!$V179/E$2),"")</f>
        <v>1.70165859024725</v>
      </c>
      <c r="F181" s="112">
        <f>IFERROR((Data_Entry!I179/Data_Entry!$V179/F$2),"")</f>
        <v>1.66677139625487</v>
      </c>
      <c r="G181" s="112">
        <f>IFERROR((Data_Entry!J179/Data_Entry!$V179/G$2),"")</f>
        <v>1.67658735579516</v>
      </c>
      <c r="H181" s="112">
        <f>IFERROR((Data_Entry!K179/Data_Entry!$V179/H$2),"")</f>
        <v>1.65647732337713</v>
      </c>
      <c r="I181" s="112">
        <f>IFERROR((Data_Entry!L179/Data_Entry!$V179/I$2),"")</f>
        <v>1.6175745095728</v>
      </c>
    </row>
    <row r="182" ht="15" spans="1:9">
      <c r="A182" s="111">
        <v>45925</v>
      </c>
      <c r="B182" s="29">
        <v>45925</v>
      </c>
      <c r="C182" s="112">
        <f>IFERROR((Data_Entry!F180/Data_Entry!$V180/C$2),"")</f>
        <v>1.94051408243507</v>
      </c>
      <c r="D182" s="112">
        <f>IFERROR((Data_Entry!G180/Data_Entry!$V180/D$2),"")</f>
        <v>1.93827703844555</v>
      </c>
      <c r="E182" s="112">
        <f>IFERROR((Data_Entry!H180/Data_Entry!$V180/E$2),"")</f>
        <v>1.94557174710704</v>
      </c>
      <c r="F182" s="112">
        <f>IFERROR((Data_Entry!I180/Data_Entry!$V180/F$2),"")</f>
        <v>1.91267366824786</v>
      </c>
      <c r="G182" s="112">
        <f>IFERROR((Data_Entry!J180/Data_Entry!$V180/G$2),"")</f>
        <v>1.93153630476066</v>
      </c>
      <c r="H182" s="112">
        <f>IFERROR((Data_Entry!K180/Data_Entry!$V180/H$2),"")</f>
        <v>1.92231431292672</v>
      </c>
      <c r="I182" s="112">
        <f>IFERROR((Data_Entry!L180/Data_Entry!$V180/I$2),"")</f>
        <v>1.85844649558496</v>
      </c>
    </row>
    <row r="183" ht="15" spans="1:9">
      <c r="A183" s="111">
        <v>45926</v>
      </c>
      <c r="B183" s="29">
        <v>45926</v>
      </c>
      <c r="C183" s="112" t="str">
        <f>IFERROR((Data_Entry!F181/Data_Entry!$V181/C$2),"")</f>
        <v/>
      </c>
      <c r="D183" s="112" t="str">
        <f>IFERROR((Data_Entry!G181/Data_Entry!$V181/D$2),"")</f>
        <v/>
      </c>
      <c r="E183" s="112" t="str">
        <f>IFERROR((Data_Entry!H181/Data_Entry!$V181/E$2),"")</f>
        <v/>
      </c>
      <c r="F183" s="112" t="str">
        <f>IFERROR((Data_Entry!I181/Data_Entry!$V181/F$2),"")</f>
        <v/>
      </c>
      <c r="G183" s="112" t="str">
        <f>IFERROR((Data_Entry!J181/Data_Entry!$V181/G$2),"")</f>
        <v/>
      </c>
      <c r="H183" s="112" t="str">
        <f>IFERROR((Data_Entry!K181/Data_Entry!$V181/H$2),"")</f>
        <v/>
      </c>
      <c r="I183" s="112" t="str">
        <f>IFERROR((Data_Entry!L181/Data_Entry!$V181/I$2),"")</f>
        <v/>
      </c>
    </row>
    <row r="184" ht="15" spans="1:9">
      <c r="A184" s="111">
        <v>45927</v>
      </c>
      <c r="B184" s="29">
        <v>45927</v>
      </c>
      <c r="C184" s="112" t="str">
        <f>IFERROR((Data_Entry!F182/Data_Entry!$V182/C$2),"")</f>
        <v/>
      </c>
      <c r="D184" s="112" t="str">
        <f>IFERROR((Data_Entry!G182/Data_Entry!$V182/D$2),"")</f>
        <v/>
      </c>
      <c r="E184" s="112" t="str">
        <f>IFERROR((Data_Entry!H182/Data_Entry!$V182/E$2),"")</f>
        <v/>
      </c>
      <c r="F184" s="112" t="str">
        <f>IFERROR((Data_Entry!I182/Data_Entry!$V182/F$2),"")</f>
        <v/>
      </c>
      <c r="G184" s="112" t="str">
        <f>IFERROR((Data_Entry!J182/Data_Entry!$V182/G$2),"")</f>
        <v/>
      </c>
      <c r="H184" s="112" t="str">
        <f>IFERROR((Data_Entry!K182/Data_Entry!$V182/H$2),"")</f>
        <v/>
      </c>
      <c r="I184" s="112" t="str">
        <f>IFERROR((Data_Entry!L182/Data_Entry!$V182/I$2),"")</f>
        <v/>
      </c>
    </row>
    <row r="185" ht="15" spans="1:9">
      <c r="A185" s="111">
        <v>45928</v>
      </c>
      <c r="B185" s="29">
        <v>45928</v>
      </c>
      <c r="C185" s="112" t="str">
        <f>IFERROR((Data_Entry!F183/Data_Entry!$V183/C$2),"")</f>
        <v/>
      </c>
      <c r="D185" s="112" t="str">
        <f>IFERROR((Data_Entry!G183/Data_Entry!$V183/D$2),"")</f>
        <v/>
      </c>
      <c r="E185" s="112" t="str">
        <f>IFERROR((Data_Entry!H183/Data_Entry!$V183/E$2),"")</f>
        <v/>
      </c>
      <c r="F185" s="112" t="str">
        <f>IFERROR((Data_Entry!I183/Data_Entry!$V183/F$2),"")</f>
        <v/>
      </c>
      <c r="G185" s="112" t="str">
        <f>IFERROR((Data_Entry!J183/Data_Entry!$V183/G$2),"")</f>
        <v/>
      </c>
      <c r="H185" s="112" t="str">
        <f>IFERROR((Data_Entry!K183/Data_Entry!$V183/H$2),"")</f>
        <v/>
      </c>
      <c r="I185" s="112" t="str">
        <f>IFERROR((Data_Entry!L183/Data_Entry!$V183/I$2),"")</f>
        <v/>
      </c>
    </row>
    <row r="186" ht="15" spans="1:9">
      <c r="A186" s="111">
        <v>45929</v>
      </c>
      <c r="B186" s="29">
        <v>45929</v>
      </c>
      <c r="C186" s="112" t="str">
        <f>IFERROR((Data_Entry!F184/Data_Entry!$V184/C$2),"")</f>
        <v/>
      </c>
      <c r="D186" s="112" t="str">
        <f>IFERROR((Data_Entry!G184/Data_Entry!$V184/D$2),"")</f>
        <v/>
      </c>
      <c r="E186" s="112" t="str">
        <f>IFERROR((Data_Entry!H184/Data_Entry!$V184/E$2),"")</f>
        <v/>
      </c>
      <c r="F186" s="112" t="str">
        <f>IFERROR((Data_Entry!I184/Data_Entry!$V184/F$2),"")</f>
        <v/>
      </c>
      <c r="G186" s="112" t="str">
        <f>IFERROR((Data_Entry!J184/Data_Entry!$V184/G$2),"")</f>
        <v/>
      </c>
      <c r="H186" s="112" t="str">
        <f>IFERROR((Data_Entry!K184/Data_Entry!$V184/H$2),"")</f>
        <v/>
      </c>
      <c r="I186" s="112" t="str">
        <f>IFERROR((Data_Entry!L184/Data_Entry!$V184/I$2),"")</f>
        <v/>
      </c>
    </row>
    <row r="187" ht="15" spans="1:9">
      <c r="A187" s="111">
        <v>45930</v>
      </c>
      <c r="B187" s="29">
        <v>45930</v>
      </c>
      <c r="C187" s="112">
        <f>IFERROR((Data_Entry!F185/Data_Entry!$V185/C$2),"")</f>
        <v>2.18542924964943</v>
      </c>
      <c r="D187" s="112">
        <f>IFERROR((Data_Entry!G185/Data_Entry!$V185/D$2),"")</f>
        <v>2.17704968687931</v>
      </c>
      <c r="E187" s="112">
        <f>IFERROR((Data_Entry!H185/Data_Entry!$V185/E$2),"")</f>
        <v>2.22146791609439</v>
      </c>
      <c r="F187" s="112">
        <f>IFERROR((Data_Entry!I185/Data_Entry!$V185/F$2),"")</f>
        <v>2.22103385246584</v>
      </c>
      <c r="G187" s="112">
        <f>IFERROR((Data_Entry!J185/Data_Entry!$V185/G$2),"")</f>
        <v>2.22037635280555</v>
      </c>
      <c r="H187" s="112">
        <f>IFERROR((Data_Entry!K185/Data_Entry!$V185/H$2),"")</f>
        <v>2.22363254159938</v>
      </c>
      <c r="I187" s="112">
        <f>IFERROR((Data_Entry!L185/Data_Entry!$V185/I$2),"")</f>
        <v>2.19824053090906</v>
      </c>
    </row>
    <row r="188" ht="15" spans="1:9">
      <c r="A188" s="111">
        <v>45931</v>
      </c>
      <c r="B188" s="29">
        <v>45931</v>
      </c>
      <c r="C188" s="112">
        <f>IFERROR((Data_Entry!F186/Data_Entry!$V186/C$2),"")</f>
        <v>2.14342697589606</v>
      </c>
      <c r="D188" s="112">
        <f>IFERROR((Data_Entry!G186/Data_Entry!$V186/D$2),"")</f>
        <v>2.12255036547019</v>
      </c>
      <c r="E188" s="112">
        <f>IFERROR((Data_Entry!H186/Data_Entry!$V186/E$2),"")</f>
        <v>2.16365604877771</v>
      </c>
      <c r="F188" s="112">
        <f>IFERROR((Data_Entry!I186/Data_Entry!$V186/F$2),"")</f>
        <v>2.14673448505675</v>
      </c>
      <c r="G188" s="112">
        <f>IFERROR((Data_Entry!J186/Data_Entry!$V186/G$2),"")</f>
        <v>2.15002960654267</v>
      </c>
      <c r="H188" s="112">
        <f>IFERROR((Data_Entry!K186/Data_Entry!$V186/H$2),"")</f>
        <v>2.14192806725021</v>
      </c>
      <c r="I188" s="112">
        <f>IFERROR((Data_Entry!L186/Data_Entry!$V186/I$2),"")</f>
        <v>2.11113230779903</v>
      </c>
    </row>
    <row r="189" ht="15" spans="1:9">
      <c r="A189" s="111">
        <v>45932</v>
      </c>
      <c r="B189" s="29">
        <v>45932</v>
      </c>
      <c r="C189" s="112">
        <f>IFERROR((Data_Entry!F187/Data_Entry!$V187/C$2),"")</f>
        <v>3.23233520334828</v>
      </c>
      <c r="D189" s="112">
        <f>IFERROR((Data_Entry!G187/Data_Entry!$V187/D$2),"")</f>
        <v>3.20977334202007</v>
      </c>
      <c r="E189" s="112">
        <f>IFERROR((Data_Entry!H187/Data_Entry!$V187/E$2),"")</f>
        <v>3.26614630733311</v>
      </c>
      <c r="F189" s="112">
        <f>IFERROR((Data_Entry!I187/Data_Entry!$V187/F$2),"")</f>
        <v>3.18885236838372</v>
      </c>
      <c r="G189" s="112">
        <f>IFERROR((Data_Entry!J187/Data_Entry!$V187/G$2),"")</f>
        <v>3.24465357182261</v>
      </c>
      <c r="H189" s="112">
        <f>IFERROR((Data_Entry!K187/Data_Entry!$V187/H$2),"")</f>
        <v>3.23959175706199</v>
      </c>
      <c r="I189" s="112">
        <f>IFERROR((Data_Entry!L187/Data_Entry!$V187/I$2),"")</f>
        <v>3.16260367627179</v>
      </c>
    </row>
    <row r="190" ht="15" spans="1:9">
      <c r="A190" s="111">
        <v>45933</v>
      </c>
      <c r="B190" s="29">
        <v>45933</v>
      </c>
      <c r="C190" s="112">
        <f>IFERROR((Data_Entry!F188/Data_Entry!$V188/C$2),"")</f>
        <v>0.753281352144413</v>
      </c>
      <c r="D190" s="112">
        <f>IFERROR((Data_Entry!G188/Data_Entry!$V188/D$2),"")</f>
        <v>0.74536868171134</v>
      </c>
      <c r="E190" s="112">
        <f>IFERROR((Data_Entry!H188/Data_Entry!$V188/E$2),"")</f>
        <v>0.762984881012685</v>
      </c>
      <c r="F190" s="112">
        <f>IFERROR((Data_Entry!I188/Data_Entry!$V188/F$2),"")</f>
        <v>0.752418498435173</v>
      </c>
      <c r="G190" s="112">
        <f>IFERROR((Data_Entry!J188/Data_Entry!$V188/G$2),"")</f>
        <v>0.761577777956458</v>
      </c>
      <c r="H190" s="112">
        <f>IFERROR((Data_Entry!K188/Data_Entry!$V188/H$2),"")</f>
        <v>0.758454766618412</v>
      </c>
      <c r="I190" s="112">
        <f>IFERROR((Data_Entry!L188/Data_Entry!$V188/I$2),"")</f>
        <v>0.734746682412237</v>
      </c>
    </row>
    <row r="191" ht="15" spans="1:9">
      <c r="A191" s="111">
        <v>45934</v>
      </c>
      <c r="B191" s="29">
        <v>45934</v>
      </c>
      <c r="C191" s="112">
        <f>IFERROR((Data_Entry!F189/Data_Entry!$V189/C$2),"")</f>
        <v>4.60297192455997</v>
      </c>
      <c r="D191" s="112">
        <f>IFERROR((Data_Entry!G189/Data_Entry!$V189/D$2),"")</f>
        <v>4.54664074254884</v>
      </c>
      <c r="E191" s="112">
        <f>IFERROR((Data_Entry!H189/Data_Entry!$V189/E$2),"")</f>
        <v>4.6417473895756</v>
      </c>
      <c r="F191" s="112">
        <f>IFERROR((Data_Entry!I189/Data_Entry!$V189/F$2),"")</f>
        <v>4.53390430940018</v>
      </c>
      <c r="G191" s="112">
        <f>IFERROR((Data_Entry!J189/Data_Entry!$V189/G$2),"")</f>
        <v>4.59925861191697</v>
      </c>
      <c r="H191" s="112">
        <f>IFERROR((Data_Entry!K189/Data_Entry!$V189/H$2),"")</f>
        <v>4.56408528938189</v>
      </c>
      <c r="I191" s="112">
        <f>IFERROR((Data_Entry!L189/Data_Entry!$V189/I$2),"")</f>
        <v>4.43014931138451</v>
      </c>
    </row>
    <row r="192" ht="15" spans="1:9">
      <c r="A192" s="111">
        <v>45935</v>
      </c>
      <c r="B192" s="29">
        <v>45935</v>
      </c>
      <c r="C192" s="112">
        <f>IFERROR((Data_Entry!F190/Data_Entry!$V190/C$2),"")</f>
        <v>4.25689233231654</v>
      </c>
      <c r="D192" s="112">
        <f>IFERROR((Data_Entry!G190/Data_Entry!$V190/D$2),"")</f>
        <v>4.2169043102712</v>
      </c>
      <c r="E192" s="112">
        <f>IFERROR((Data_Entry!H190/Data_Entry!$V190/E$2),"")</f>
        <v>4.33591941873179</v>
      </c>
      <c r="F192" s="112">
        <f>IFERROR((Data_Entry!I190/Data_Entry!$V190/F$2),"")</f>
        <v>4.24298689333583</v>
      </c>
      <c r="G192" s="112">
        <f>IFERROR((Data_Entry!J190/Data_Entry!$V190/G$2),"")</f>
        <v>4.34149741028533</v>
      </c>
      <c r="H192" s="112">
        <f>IFERROR((Data_Entry!K190/Data_Entry!$V190/H$2),"")</f>
        <v>4.30367663336589</v>
      </c>
      <c r="I192" s="112">
        <f>IFERROR((Data_Entry!L190/Data_Entry!$V190/I$2),"")</f>
        <v>4.19777845799145</v>
      </c>
    </row>
    <row r="193" ht="15" spans="1:9">
      <c r="A193" s="111">
        <v>45936</v>
      </c>
      <c r="B193" s="29">
        <v>45936</v>
      </c>
      <c r="C193" s="112">
        <f>IFERROR((Data_Entry!F191/Data_Entry!$V191/C$2),"")</f>
        <v>4.73623144003223</v>
      </c>
      <c r="D193" s="112">
        <f>IFERROR((Data_Entry!G191/Data_Entry!$V191/D$2),"")</f>
        <v>4.67353747170261</v>
      </c>
      <c r="E193" s="112">
        <f>IFERROR((Data_Entry!H191/Data_Entry!$V191/E$2),"")</f>
        <v>4.81715204847577</v>
      </c>
      <c r="F193" s="112">
        <f>IFERROR((Data_Entry!I191/Data_Entry!$V191/F$2),"")</f>
        <v>4.75695264144748</v>
      </c>
      <c r="G193" s="112">
        <f>IFERROR((Data_Entry!J191/Data_Entry!$V191/G$2),"")</f>
        <v>4.8632536381126</v>
      </c>
      <c r="H193" s="112">
        <f>IFERROR((Data_Entry!K191/Data_Entry!$V191/H$2),"")</f>
        <v>4.85375642079728</v>
      </c>
      <c r="I193" s="112">
        <f>IFERROR((Data_Entry!L191/Data_Entry!$V191/I$2),"")</f>
        <v>4.6717490346757</v>
      </c>
    </row>
    <row r="194" ht="15" spans="1:9">
      <c r="A194" s="111">
        <v>45937</v>
      </c>
      <c r="B194" s="29">
        <v>45937</v>
      </c>
      <c r="C194" s="112" t="str">
        <f>IFERROR((Data_Entry!F192/Data_Entry!$V192/C$2),"")</f>
        <v/>
      </c>
      <c r="D194" s="112" t="str">
        <f>IFERROR((Data_Entry!G192/Data_Entry!$V192/D$2),"")</f>
        <v/>
      </c>
      <c r="E194" s="112" t="str">
        <f>IFERROR((Data_Entry!H192/Data_Entry!$V192/E$2),"")</f>
        <v/>
      </c>
      <c r="F194" s="112" t="str">
        <f>IFERROR((Data_Entry!I192/Data_Entry!$V192/F$2),"")</f>
        <v/>
      </c>
      <c r="G194" s="112" t="str">
        <f>IFERROR((Data_Entry!J192/Data_Entry!$V192/G$2),"")</f>
        <v/>
      </c>
      <c r="H194" s="112" t="str">
        <f>IFERROR((Data_Entry!K192/Data_Entry!$V192/H$2),"")</f>
        <v/>
      </c>
      <c r="I194" s="112" t="str">
        <f>IFERROR((Data_Entry!L192/Data_Entry!$V192/I$2),"")</f>
        <v/>
      </c>
    </row>
    <row r="195" ht="15" spans="1:9">
      <c r="A195" s="111">
        <v>45938</v>
      </c>
      <c r="B195" s="29">
        <v>45938</v>
      </c>
      <c r="C195" s="112" t="str">
        <f>IFERROR((Data_Entry!F193/Data_Entry!$V193/C$2),"")</f>
        <v/>
      </c>
      <c r="D195" s="112" t="str">
        <f>IFERROR((Data_Entry!G193/Data_Entry!$V193/D$2),"")</f>
        <v/>
      </c>
      <c r="E195" s="112" t="str">
        <f>IFERROR((Data_Entry!H193/Data_Entry!$V193/E$2),"")</f>
        <v/>
      </c>
      <c r="F195" s="112" t="str">
        <f>IFERROR((Data_Entry!I193/Data_Entry!$V193/F$2),"")</f>
        <v/>
      </c>
      <c r="G195" s="112" t="str">
        <f>IFERROR((Data_Entry!J193/Data_Entry!$V193/G$2),"")</f>
        <v/>
      </c>
      <c r="H195" s="112" t="str">
        <f>IFERROR((Data_Entry!K193/Data_Entry!$V193/H$2),"")</f>
        <v/>
      </c>
      <c r="I195" s="112" t="str">
        <f>IFERROR((Data_Entry!L193/Data_Entry!$V193/I$2),"")</f>
        <v/>
      </c>
    </row>
    <row r="196" ht="15" spans="1:9">
      <c r="A196" s="111">
        <v>45939</v>
      </c>
      <c r="B196" s="29">
        <v>45939</v>
      </c>
      <c r="C196" s="112" t="str">
        <f>IFERROR((Data_Entry!F194/Data_Entry!$V194/C$2),"")</f>
        <v/>
      </c>
      <c r="D196" s="112" t="str">
        <f>IFERROR((Data_Entry!G194/Data_Entry!$V194/D$2),"")</f>
        <v/>
      </c>
      <c r="E196" s="112" t="str">
        <f>IFERROR((Data_Entry!H194/Data_Entry!$V194/E$2),"")</f>
        <v/>
      </c>
      <c r="F196" s="112" t="str">
        <f>IFERROR((Data_Entry!I194/Data_Entry!$V194/F$2),"")</f>
        <v/>
      </c>
      <c r="G196" s="112" t="str">
        <f>IFERROR((Data_Entry!J194/Data_Entry!$V194/G$2),"")</f>
        <v/>
      </c>
      <c r="H196" s="112" t="str">
        <f>IFERROR((Data_Entry!K194/Data_Entry!$V194/H$2),"")</f>
        <v/>
      </c>
      <c r="I196" s="112" t="str">
        <f>IFERROR((Data_Entry!L194/Data_Entry!$V194/I$2),"")</f>
        <v/>
      </c>
    </row>
    <row r="197" ht="15" spans="1:9">
      <c r="A197" s="111">
        <v>45940</v>
      </c>
      <c r="B197" s="29">
        <v>45940</v>
      </c>
      <c r="C197" s="112" t="str">
        <f>IFERROR((Data_Entry!F195/Data_Entry!$V195/C$2),"")</f>
        <v/>
      </c>
      <c r="D197" s="112" t="str">
        <f>IFERROR((Data_Entry!G195/Data_Entry!$V195/D$2),"")</f>
        <v/>
      </c>
      <c r="E197" s="112" t="str">
        <f>IFERROR((Data_Entry!H195/Data_Entry!$V195/E$2),"")</f>
        <v/>
      </c>
      <c r="F197" s="112" t="str">
        <f>IFERROR((Data_Entry!I195/Data_Entry!$V195/F$2),"")</f>
        <v/>
      </c>
      <c r="G197" s="112" t="str">
        <f>IFERROR((Data_Entry!J195/Data_Entry!$V195/G$2),"")</f>
        <v/>
      </c>
      <c r="H197" s="112" t="str">
        <f>IFERROR((Data_Entry!K195/Data_Entry!$V195/H$2),"")</f>
        <v/>
      </c>
      <c r="I197" s="112" t="str">
        <f>IFERROR((Data_Entry!L195/Data_Entry!$V195/I$2),"")</f>
        <v/>
      </c>
    </row>
    <row r="198" ht="15" spans="1:9">
      <c r="A198" s="111">
        <v>45941</v>
      </c>
      <c r="B198" s="29">
        <v>45941</v>
      </c>
      <c r="C198" s="112" t="str">
        <f>IFERROR((Data_Entry!F196/Data_Entry!$V196/C$2),"")</f>
        <v/>
      </c>
      <c r="D198" s="112" t="str">
        <f>IFERROR((Data_Entry!G196/Data_Entry!$V196/D$2),"")</f>
        <v/>
      </c>
      <c r="E198" s="112" t="str">
        <f>IFERROR((Data_Entry!H196/Data_Entry!$V196/E$2),"")</f>
        <v/>
      </c>
      <c r="F198" s="112" t="str">
        <f>IFERROR((Data_Entry!I196/Data_Entry!$V196/F$2),"")</f>
        <v/>
      </c>
      <c r="G198" s="112" t="str">
        <f>IFERROR((Data_Entry!J196/Data_Entry!$V196/G$2),"")</f>
        <v/>
      </c>
      <c r="H198" s="112" t="str">
        <f>IFERROR((Data_Entry!K196/Data_Entry!$V196/H$2),"")</f>
        <v/>
      </c>
      <c r="I198" s="112" t="str">
        <f>IFERROR((Data_Entry!L196/Data_Entry!$V196/I$2),"")</f>
        <v/>
      </c>
    </row>
    <row r="199" ht="15" spans="1:9">
      <c r="A199" s="111">
        <v>45942</v>
      </c>
      <c r="B199" s="29">
        <v>45942</v>
      </c>
      <c r="C199" s="112" t="str">
        <f>IFERROR((Data_Entry!F197/Data_Entry!$V197/C$2),"")</f>
        <v/>
      </c>
      <c r="D199" s="112" t="str">
        <f>IFERROR((Data_Entry!G197/Data_Entry!$V197/D$2),"")</f>
        <v/>
      </c>
      <c r="E199" s="112" t="str">
        <f>IFERROR((Data_Entry!H197/Data_Entry!$V197/E$2),"")</f>
        <v/>
      </c>
      <c r="F199" s="112" t="str">
        <f>IFERROR((Data_Entry!I197/Data_Entry!$V197/F$2),"")</f>
        <v/>
      </c>
      <c r="G199" s="112" t="str">
        <f>IFERROR((Data_Entry!J197/Data_Entry!$V197/G$2),"")</f>
        <v/>
      </c>
      <c r="H199" s="112" t="str">
        <f>IFERROR((Data_Entry!K197/Data_Entry!$V197/H$2),"")</f>
        <v/>
      </c>
      <c r="I199" s="112" t="str">
        <f>IFERROR((Data_Entry!L197/Data_Entry!$V197/I$2),"")</f>
        <v/>
      </c>
    </row>
    <row r="200" ht="15" spans="1:9">
      <c r="A200" s="111">
        <v>45943</v>
      </c>
      <c r="B200" s="29">
        <v>45943</v>
      </c>
      <c r="C200" s="112" t="str">
        <f>IFERROR((Data_Entry!F198/Data_Entry!$V198/C$2),"")</f>
        <v/>
      </c>
      <c r="D200" s="112" t="str">
        <f>IFERROR((Data_Entry!G198/Data_Entry!$V198/D$2),"")</f>
        <v/>
      </c>
      <c r="E200" s="112" t="str">
        <f>IFERROR((Data_Entry!H198/Data_Entry!$V198/E$2),"")</f>
        <v/>
      </c>
      <c r="F200" s="112" t="str">
        <f>IFERROR((Data_Entry!I198/Data_Entry!$V198/F$2),"")</f>
        <v/>
      </c>
      <c r="G200" s="112" t="str">
        <f>IFERROR((Data_Entry!J198/Data_Entry!$V198/G$2),"")</f>
        <v/>
      </c>
      <c r="H200" s="112" t="str">
        <f>IFERROR((Data_Entry!K198/Data_Entry!$V198/H$2),"")</f>
        <v/>
      </c>
      <c r="I200" s="112" t="str">
        <f>IFERROR((Data_Entry!L198/Data_Entry!$V198/I$2),"")</f>
        <v/>
      </c>
    </row>
    <row r="201" ht="15" spans="1:9">
      <c r="A201" s="111">
        <v>45944</v>
      </c>
      <c r="B201" s="29">
        <v>45944</v>
      </c>
      <c r="C201" s="112" t="str">
        <f>IFERROR((Data_Entry!F199/Data_Entry!$V199/C$2),"")</f>
        <v/>
      </c>
      <c r="D201" s="112" t="str">
        <f>IFERROR((Data_Entry!G199/Data_Entry!$V199/D$2),"")</f>
        <v/>
      </c>
      <c r="E201" s="112" t="str">
        <f>IFERROR((Data_Entry!H199/Data_Entry!$V199/E$2),"")</f>
        <v/>
      </c>
      <c r="F201" s="112" t="str">
        <f>IFERROR((Data_Entry!I199/Data_Entry!$V199/F$2),"")</f>
        <v/>
      </c>
      <c r="G201" s="112" t="str">
        <f>IFERROR((Data_Entry!J199/Data_Entry!$V199/G$2),"")</f>
        <v/>
      </c>
      <c r="H201" s="112" t="str">
        <f>IFERROR((Data_Entry!K199/Data_Entry!$V199/H$2),"")</f>
        <v/>
      </c>
      <c r="I201" s="112" t="str">
        <f>IFERROR((Data_Entry!L199/Data_Entry!$V199/I$2),"")</f>
        <v/>
      </c>
    </row>
    <row r="202" ht="15" spans="1:9">
      <c r="A202" s="111">
        <v>45945</v>
      </c>
      <c r="B202" s="29">
        <v>45945</v>
      </c>
      <c r="C202" s="112" t="str">
        <f>IFERROR((Data_Entry!F200/Data_Entry!$V200/C$2),"")</f>
        <v/>
      </c>
      <c r="D202" s="112" t="str">
        <f>IFERROR((Data_Entry!G200/Data_Entry!$V200/D$2),"")</f>
        <v/>
      </c>
      <c r="E202" s="112" t="str">
        <f>IFERROR((Data_Entry!H200/Data_Entry!$V200/E$2),"")</f>
        <v/>
      </c>
      <c r="F202" s="112" t="str">
        <f>IFERROR((Data_Entry!I200/Data_Entry!$V200/F$2),"")</f>
        <v/>
      </c>
      <c r="G202" s="112" t="str">
        <f>IFERROR((Data_Entry!J200/Data_Entry!$V200/G$2),"")</f>
        <v/>
      </c>
      <c r="H202" s="112" t="str">
        <f>IFERROR((Data_Entry!K200/Data_Entry!$V200/H$2),"")</f>
        <v/>
      </c>
      <c r="I202" s="112" t="str">
        <f>IFERROR((Data_Entry!L200/Data_Entry!$V200/I$2),"")</f>
        <v/>
      </c>
    </row>
    <row r="203" ht="15" spans="1:9">
      <c r="A203" s="111">
        <v>45946</v>
      </c>
      <c r="B203" s="29">
        <v>45946</v>
      </c>
      <c r="C203" s="112" t="str">
        <f>IFERROR((Data_Entry!F201/Data_Entry!$V201/C$2),"")</f>
        <v/>
      </c>
      <c r="D203" s="112" t="str">
        <f>IFERROR((Data_Entry!G201/Data_Entry!$V201/D$2),"")</f>
        <v/>
      </c>
      <c r="E203" s="112" t="str">
        <f>IFERROR((Data_Entry!H201/Data_Entry!$V201/E$2),"")</f>
        <v/>
      </c>
      <c r="F203" s="112" t="str">
        <f>IFERROR((Data_Entry!I201/Data_Entry!$V201/F$2),"")</f>
        <v/>
      </c>
      <c r="G203" s="112" t="str">
        <f>IFERROR((Data_Entry!J201/Data_Entry!$V201/G$2),"")</f>
        <v/>
      </c>
      <c r="H203" s="112" t="str">
        <f>IFERROR((Data_Entry!K201/Data_Entry!$V201/H$2),"")</f>
        <v/>
      </c>
      <c r="I203" s="112" t="str">
        <f>IFERROR((Data_Entry!L201/Data_Entry!$V201/I$2),"")</f>
        <v/>
      </c>
    </row>
    <row r="204" ht="15" spans="1:9">
      <c r="A204" s="111">
        <v>45947</v>
      </c>
      <c r="B204" s="29">
        <v>45947</v>
      </c>
      <c r="C204" s="112" t="str">
        <f>IFERROR((Data_Entry!F202/Data_Entry!$V202/C$2),"")</f>
        <v/>
      </c>
      <c r="D204" s="112" t="str">
        <f>IFERROR((Data_Entry!G202/Data_Entry!$V202/D$2),"")</f>
        <v/>
      </c>
      <c r="E204" s="112" t="str">
        <f>IFERROR((Data_Entry!H202/Data_Entry!$V202/E$2),"")</f>
        <v/>
      </c>
      <c r="F204" s="112" t="str">
        <f>IFERROR((Data_Entry!I202/Data_Entry!$V202/F$2),"")</f>
        <v/>
      </c>
      <c r="G204" s="112" t="str">
        <f>IFERROR((Data_Entry!J202/Data_Entry!$V202/G$2),"")</f>
        <v/>
      </c>
      <c r="H204" s="112" t="str">
        <f>IFERROR((Data_Entry!K202/Data_Entry!$V202/H$2),"")</f>
        <v/>
      </c>
      <c r="I204" s="112" t="str">
        <f>IFERROR((Data_Entry!L202/Data_Entry!$V202/I$2),"")</f>
        <v/>
      </c>
    </row>
    <row r="205" ht="15" spans="1:9">
      <c r="A205" s="111">
        <v>45948</v>
      </c>
      <c r="B205" s="29">
        <v>45948</v>
      </c>
      <c r="C205" s="112" t="str">
        <f>IFERROR((Data_Entry!F203/Data_Entry!$V203/C$2),"")</f>
        <v/>
      </c>
      <c r="D205" s="112" t="str">
        <f>IFERROR((Data_Entry!G203/Data_Entry!$V203/D$2),"")</f>
        <v/>
      </c>
      <c r="E205" s="112" t="str">
        <f>IFERROR((Data_Entry!H203/Data_Entry!$V203/E$2),"")</f>
        <v/>
      </c>
      <c r="F205" s="112" t="str">
        <f>IFERROR((Data_Entry!I203/Data_Entry!$V203/F$2),"")</f>
        <v/>
      </c>
      <c r="G205" s="112" t="str">
        <f>IFERROR((Data_Entry!J203/Data_Entry!$V203/G$2),"")</f>
        <v/>
      </c>
      <c r="H205" s="112" t="str">
        <f>IFERROR((Data_Entry!K203/Data_Entry!$V203/H$2),"")</f>
        <v/>
      </c>
      <c r="I205" s="112" t="str">
        <f>IFERROR((Data_Entry!L203/Data_Entry!$V203/I$2),"")</f>
        <v/>
      </c>
    </row>
    <row r="206" ht="15" spans="1:9">
      <c r="A206" s="111">
        <v>45949</v>
      </c>
      <c r="B206" s="29">
        <v>45949</v>
      </c>
      <c r="C206" s="112" t="str">
        <f>IFERROR((Data_Entry!F204/Data_Entry!$V204/C$2),"")</f>
        <v/>
      </c>
      <c r="D206" s="112" t="str">
        <f>IFERROR((Data_Entry!G204/Data_Entry!$V204/D$2),"")</f>
        <v/>
      </c>
      <c r="E206" s="112" t="str">
        <f>IFERROR((Data_Entry!H204/Data_Entry!$V204/E$2),"")</f>
        <v/>
      </c>
      <c r="F206" s="112" t="str">
        <f>IFERROR((Data_Entry!I204/Data_Entry!$V204/F$2),"")</f>
        <v/>
      </c>
      <c r="G206" s="112" t="str">
        <f>IFERROR((Data_Entry!J204/Data_Entry!$V204/G$2),"")</f>
        <v/>
      </c>
      <c r="H206" s="112" t="str">
        <f>IFERROR((Data_Entry!K204/Data_Entry!$V204/H$2),"")</f>
        <v/>
      </c>
      <c r="I206" s="112" t="str">
        <f>IFERROR((Data_Entry!L204/Data_Entry!$V204/I$2),"")</f>
        <v/>
      </c>
    </row>
    <row r="207" ht="15" spans="1:9">
      <c r="A207" s="111">
        <v>45950</v>
      </c>
      <c r="B207" s="29">
        <v>45950</v>
      </c>
      <c r="C207" s="112" t="str">
        <f>IFERROR((Data_Entry!F205/Data_Entry!$V205/C$2),"")</f>
        <v/>
      </c>
      <c r="D207" s="112" t="str">
        <f>IFERROR((Data_Entry!G205/Data_Entry!$V205/D$2),"")</f>
        <v/>
      </c>
      <c r="E207" s="112" t="str">
        <f>IFERROR((Data_Entry!H205/Data_Entry!$V205/E$2),"")</f>
        <v/>
      </c>
      <c r="F207" s="112" t="str">
        <f>IFERROR((Data_Entry!I205/Data_Entry!$V205/F$2),"")</f>
        <v/>
      </c>
      <c r="G207" s="112" t="str">
        <f>IFERROR((Data_Entry!J205/Data_Entry!$V205/G$2),"")</f>
        <v/>
      </c>
      <c r="H207" s="112" t="str">
        <f>IFERROR((Data_Entry!K205/Data_Entry!$V205/H$2),"")</f>
        <v/>
      </c>
      <c r="I207" s="112" t="str">
        <f>IFERROR((Data_Entry!L205/Data_Entry!$V205/I$2),"")</f>
        <v/>
      </c>
    </row>
    <row r="208" ht="15" spans="1:9">
      <c r="A208" s="111">
        <v>45951</v>
      </c>
      <c r="B208" s="29">
        <v>45951</v>
      </c>
      <c r="C208" s="112" t="str">
        <f>IFERROR((Data_Entry!F206/Data_Entry!$V206/C$2),"")</f>
        <v/>
      </c>
      <c r="D208" s="112" t="str">
        <f>IFERROR((Data_Entry!G206/Data_Entry!$V206/D$2),"")</f>
        <v/>
      </c>
      <c r="E208" s="112" t="str">
        <f>IFERROR((Data_Entry!H206/Data_Entry!$V206/E$2),"")</f>
        <v/>
      </c>
      <c r="F208" s="112" t="str">
        <f>IFERROR((Data_Entry!I206/Data_Entry!$V206/F$2),"")</f>
        <v/>
      </c>
      <c r="G208" s="112" t="str">
        <f>IFERROR((Data_Entry!J206/Data_Entry!$V206/G$2),"")</f>
        <v/>
      </c>
      <c r="H208" s="112" t="str">
        <f>IFERROR((Data_Entry!K206/Data_Entry!$V206/H$2),"")</f>
        <v/>
      </c>
      <c r="I208" s="112" t="str">
        <f>IFERROR((Data_Entry!L206/Data_Entry!$V206/I$2),"")</f>
        <v/>
      </c>
    </row>
    <row r="209" ht="15" spans="1:9">
      <c r="A209" s="111">
        <v>45952</v>
      </c>
      <c r="B209" s="29">
        <v>45952</v>
      </c>
      <c r="C209" s="112" t="str">
        <f>IFERROR((Data_Entry!F207/Data_Entry!$V207/C$2),"")</f>
        <v/>
      </c>
      <c r="D209" s="112" t="str">
        <f>IFERROR((Data_Entry!G207/Data_Entry!$V207/D$2),"")</f>
        <v/>
      </c>
      <c r="E209" s="112" t="str">
        <f>IFERROR((Data_Entry!H207/Data_Entry!$V207/E$2),"")</f>
        <v/>
      </c>
      <c r="F209" s="112" t="str">
        <f>IFERROR((Data_Entry!I207/Data_Entry!$V207/F$2),"")</f>
        <v/>
      </c>
      <c r="G209" s="112" t="str">
        <f>IFERROR((Data_Entry!J207/Data_Entry!$V207/G$2),"")</f>
        <v/>
      </c>
      <c r="H209" s="112" t="str">
        <f>IFERROR((Data_Entry!K207/Data_Entry!$V207/H$2),"")</f>
        <v/>
      </c>
      <c r="I209" s="112" t="str">
        <f>IFERROR((Data_Entry!L207/Data_Entry!$V207/I$2),"")</f>
        <v/>
      </c>
    </row>
    <row r="210" ht="15" spans="1:9">
      <c r="A210" s="111">
        <v>45953</v>
      </c>
      <c r="B210" s="29">
        <v>45953</v>
      </c>
      <c r="C210" s="112" t="str">
        <f>IFERROR((Data_Entry!F208/Data_Entry!$V208/C$2),"")</f>
        <v/>
      </c>
      <c r="D210" s="112" t="str">
        <f>IFERROR((Data_Entry!G208/Data_Entry!$V208/D$2),"")</f>
        <v/>
      </c>
      <c r="E210" s="112" t="str">
        <f>IFERROR((Data_Entry!H208/Data_Entry!$V208/E$2),"")</f>
        <v/>
      </c>
      <c r="F210" s="112" t="str">
        <f>IFERROR((Data_Entry!I208/Data_Entry!$V208/F$2),"")</f>
        <v/>
      </c>
      <c r="G210" s="112" t="str">
        <f>IFERROR((Data_Entry!J208/Data_Entry!$V208/G$2),"")</f>
        <v/>
      </c>
      <c r="H210" s="112" t="str">
        <f>IFERROR((Data_Entry!K208/Data_Entry!$V208/H$2),"")</f>
        <v/>
      </c>
      <c r="I210" s="112" t="str">
        <f>IFERROR((Data_Entry!L208/Data_Entry!$V208/I$2),"")</f>
        <v/>
      </c>
    </row>
    <row r="211" ht="15" spans="1:9">
      <c r="A211" s="111">
        <v>45954</v>
      </c>
      <c r="B211" s="29">
        <v>45954</v>
      </c>
      <c r="C211" s="112" t="str">
        <f>IFERROR((Data_Entry!F209/Data_Entry!$V209/C$2),"")</f>
        <v/>
      </c>
      <c r="D211" s="112" t="str">
        <f>IFERROR((Data_Entry!G209/Data_Entry!$V209/D$2),"")</f>
        <v/>
      </c>
      <c r="E211" s="112" t="str">
        <f>IFERROR((Data_Entry!H209/Data_Entry!$V209/E$2),"")</f>
        <v/>
      </c>
      <c r="F211" s="112" t="str">
        <f>IFERROR((Data_Entry!I209/Data_Entry!$V209/F$2),"")</f>
        <v/>
      </c>
      <c r="G211" s="112" t="str">
        <f>IFERROR((Data_Entry!J209/Data_Entry!$V209/G$2),"")</f>
        <v/>
      </c>
      <c r="H211" s="112" t="str">
        <f>IFERROR((Data_Entry!K209/Data_Entry!$V209/H$2),"")</f>
        <v/>
      </c>
      <c r="I211" s="112" t="str">
        <f>IFERROR((Data_Entry!L209/Data_Entry!$V209/I$2),"")</f>
        <v/>
      </c>
    </row>
    <row r="212" ht="15" spans="1:9">
      <c r="A212" s="111">
        <v>45955</v>
      </c>
      <c r="B212" s="29">
        <v>45955</v>
      </c>
      <c r="C212" s="112" t="str">
        <f>IFERROR((Data_Entry!F210/Data_Entry!$V210/C$2),"")</f>
        <v/>
      </c>
      <c r="D212" s="112" t="str">
        <f>IFERROR((Data_Entry!G210/Data_Entry!$V210/D$2),"")</f>
        <v/>
      </c>
      <c r="E212" s="112" t="str">
        <f>IFERROR((Data_Entry!H210/Data_Entry!$V210/E$2),"")</f>
        <v/>
      </c>
      <c r="F212" s="112" t="str">
        <f>IFERROR((Data_Entry!I210/Data_Entry!$V210/F$2),"")</f>
        <v/>
      </c>
      <c r="G212" s="112" t="str">
        <f>IFERROR((Data_Entry!J210/Data_Entry!$V210/G$2),"")</f>
        <v/>
      </c>
      <c r="H212" s="112" t="str">
        <f>IFERROR((Data_Entry!K210/Data_Entry!$V210/H$2),"")</f>
        <v/>
      </c>
      <c r="I212" s="112" t="str">
        <f>IFERROR((Data_Entry!L210/Data_Entry!$V210/I$2),"")</f>
        <v/>
      </c>
    </row>
    <row r="213" ht="15" spans="1:9">
      <c r="A213" s="111">
        <v>45956</v>
      </c>
      <c r="B213" s="29">
        <v>45956</v>
      </c>
      <c r="C213" s="112" t="str">
        <f>IFERROR((Data_Entry!F211/Data_Entry!$V211/C$2),"")</f>
        <v/>
      </c>
      <c r="D213" s="112" t="str">
        <f>IFERROR((Data_Entry!G211/Data_Entry!$V211/D$2),"")</f>
        <v/>
      </c>
      <c r="E213" s="112" t="str">
        <f>IFERROR((Data_Entry!H211/Data_Entry!$V211/E$2),"")</f>
        <v/>
      </c>
      <c r="F213" s="112" t="str">
        <f>IFERROR((Data_Entry!I211/Data_Entry!$V211/F$2),"")</f>
        <v/>
      </c>
      <c r="G213" s="112" t="str">
        <f>IFERROR((Data_Entry!J211/Data_Entry!$V211/G$2),"")</f>
        <v/>
      </c>
      <c r="H213" s="112" t="str">
        <f>IFERROR((Data_Entry!K211/Data_Entry!$V211/H$2),"")</f>
        <v/>
      </c>
      <c r="I213" s="112" t="str">
        <f>IFERROR((Data_Entry!L211/Data_Entry!$V211/I$2),"")</f>
        <v/>
      </c>
    </row>
    <row r="214" ht="15" spans="1:9">
      <c r="A214" s="111">
        <v>45957</v>
      </c>
      <c r="B214" s="29">
        <v>45957</v>
      </c>
      <c r="C214" s="112" t="str">
        <f>IFERROR((Data_Entry!F212/Data_Entry!$V212/C$2),"")</f>
        <v/>
      </c>
      <c r="D214" s="112" t="str">
        <f>IFERROR((Data_Entry!G212/Data_Entry!$V212/D$2),"")</f>
        <v/>
      </c>
      <c r="E214" s="112" t="str">
        <f>IFERROR((Data_Entry!H212/Data_Entry!$V212/E$2),"")</f>
        <v/>
      </c>
      <c r="F214" s="112" t="str">
        <f>IFERROR((Data_Entry!I212/Data_Entry!$V212/F$2),"")</f>
        <v/>
      </c>
      <c r="G214" s="112" t="str">
        <f>IFERROR((Data_Entry!J212/Data_Entry!$V212/G$2),"")</f>
        <v/>
      </c>
      <c r="H214" s="112" t="str">
        <f>IFERROR((Data_Entry!K212/Data_Entry!$V212/H$2),"")</f>
        <v/>
      </c>
      <c r="I214" s="112" t="str">
        <f>IFERROR((Data_Entry!L212/Data_Entry!$V212/I$2),"")</f>
        <v/>
      </c>
    </row>
    <row r="215" ht="15" spans="1:9">
      <c r="A215" s="111">
        <v>45958</v>
      </c>
      <c r="B215" s="29">
        <v>45958</v>
      </c>
      <c r="C215" s="112" t="str">
        <f>IFERROR((Data_Entry!F213/Data_Entry!$V213/C$2),"")</f>
        <v/>
      </c>
      <c r="D215" s="112" t="str">
        <f>IFERROR((Data_Entry!G213/Data_Entry!$V213/D$2),"")</f>
        <v/>
      </c>
      <c r="E215" s="112" t="str">
        <f>IFERROR((Data_Entry!H213/Data_Entry!$V213/E$2),"")</f>
        <v/>
      </c>
      <c r="F215" s="112" t="str">
        <f>IFERROR((Data_Entry!I213/Data_Entry!$V213/F$2),"")</f>
        <v/>
      </c>
      <c r="G215" s="112" t="str">
        <f>IFERROR((Data_Entry!J213/Data_Entry!$V213/G$2),"")</f>
        <v/>
      </c>
      <c r="H215" s="112" t="str">
        <f>IFERROR((Data_Entry!K213/Data_Entry!$V213/H$2),"")</f>
        <v/>
      </c>
      <c r="I215" s="112" t="str">
        <f>IFERROR((Data_Entry!L213/Data_Entry!$V213/I$2),"")</f>
        <v/>
      </c>
    </row>
    <row r="216" ht="15" spans="1:9">
      <c r="A216" s="111">
        <v>45959</v>
      </c>
      <c r="B216" s="29">
        <v>45959</v>
      </c>
      <c r="C216" s="112" t="str">
        <f>IFERROR((Data_Entry!F214/Data_Entry!$V214/C$2),"")</f>
        <v/>
      </c>
      <c r="D216" s="112" t="str">
        <f>IFERROR((Data_Entry!G214/Data_Entry!$V214/D$2),"")</f>
        <v/>
      </c>
      <c r="E216" s="112" t="str">
        <f>IFERROR((Data_Entry!H214/Data_Entry!$V214/E$2),"")</f>
        <v/>
      </c>
      <c r="F216" s="112" t="str">
        <f>IFERROR((Data_Entry!I214/Data_Entry!$V214/F$2),"")</f>
        <v/>
      </c>
      <c r="G216" s="112" t="str">
        <f>IFERROR((Data_Entry!J214/Data_Entry!$V214/G$2),"")</f>
        <v/>
      </c>
      <c r="H216" s="112" t="str">
        <f>IFERROR((Data_Entry!K214/Data_Entry!$V214/H$2),"")</f>
        <v/>
      </c>
      <c r="I216" s="112" t="str">
        <f>IFERROR((Data_Entry!L214/Data_Entry!$V214/I$2),"")</f>
        <v/>
      </c>
    </row>
    <row r="217" ht="15" spans="1:9">
      <c r="A217" s="111">
        <v>45960</v>
      </c>
      <c r="B217" s="29">
        <v>45960</v>
      </c>
      <c r="C217" s="112" t="str">
        <f>IFERROR((Data_Entry!F215/Data_Entry!$V215/C$2),"")</f>
        <v/>
      </c>
      <c r="D217" s="112" t="str">
        <f>IFERROR((Data_Entry!G215/Data_Entry!$V215/D$2),"")</f>
        <v/>
      </c>
      <c r="E217" s="112" t="str">
        <f>IFERROR((Data_Entry!H215/Data_Entry!$V215/E$2),"")</f>
        <v/>
      </c>
      <c r="F217" s="112" t="str">
        <f>IFERROR((Data_Entry!I215/Data_Entry!$V215/F$2),"")</f>
        <v/>
      </c>
      <c r="G217" s="112" t="str">
        <f>IFERROR((Data_Entry!J215/Data_Entry!$V215/G$2),"")</f>
        <v/>
      </c>
      <c r="H217" s="112" t="str">
        <f>IFERROR((Data_Entry!K215/Data_Entry!$V215/H$2),"")</f>
        <v/>
      </c>
      <c r="I217" s="112" t="str">
        <f>IFERROR((Data_Entry!L215/Data_Entry!$V215/I$2),"")</f>
        <v/>
      </c>
    </row>
    <row r="218" ht="15" spans="1:9">
      <c r="A218" s="111">
        <v>45961</v>
      </c>
      <c r="B218" s="29">
        <v>45961</v>
      </c>
      <c r="C218" s="112" t="str">
        <f>IFERROR((Data_Entry!F216/Data_Entry!$V216/C$2),"")</f>
        <v/>
      </c>
      <c r="D218" s="112" t="str">
        <f>IFERROR((Data_Entry!G216/Data_Entry!$V216/D$2),"")</f>
        <v/>
      </c>
      <c r="E218" s="112" t="str">
        <f>IFERROR((Data_Entry!H216/Data_Entry!$V216/E$2),"")</f>
        <v/>
      </c>
      <c r="F218" s="112" t="str">
        <f>IFERROR((Data_Entry!I216/Data_Entry!$V216/F$2),"")</f>
        <v/>
      </c>
      <c r="G218" s="112" t="str">
        <f>IFERROR((Data_Entry!J216/Data_Entry!$V216/G$2),"")</f>
        <v/>
      </c>
      <c r="H218" s="112" t="str">
        <f>IFERROR((Data_Entry!K216/Data_Entry!$V216/H$2),"")</f>
        <v/>
      </c>
      <c r="I218" s="112" t="str">
        <f>IFERROR((Data_Entry!L216/Data_Entry!$V216/I$2),"")</f>
        <v/>
      </c>
    </row>
    <row r="219" ht="15" spans="1:9">
      <c r="A219" s="111">
        <v>45962</v>
      </c>
      <c r="B219" s="29">
        <v>45962</v>
      </c>
      <c r="C219" s="112">
        <f>IFERROR((Data_Entry!F217/Data_Entry!$V217/C$2),"")</f>
        <v>1.71864491562725</v>
      </c>
      <c r="D219" s="112">
        <f>IFERROR((Data_Entry!G217/Data_Entry!$V217/D$2),"")</f>
        <v>1.69626794465675</v>
      </c>
      <c r="E219" s="112">
        <f>IFERROR((Data_Entry!H217/Data_Entry!$V217/E$2),"")</f>
        <v>1.72014656054386</v>
      </c>
      <c r="F219" s="112">
        <f>IFERROR((Data_Entry!I217/Data_Entry!$V217/F$2),"")</f>
        <v>1.71439685527512</v>
      </c>
      <c r="G219" s="112">
        <f>IFERROR((Data_Entry!J217/Data_Entry!$V217/G$2),"")</f>
        <v>1.71333724838457</v>
      </c>
      <c r="H219" s="112">
        <f>IFERROR((Data_Entry!K217/Data_Entry!$V217/H$2),"")</f>
        <v>1.70740344979747</v>
      </c>
      <c r="I219" s="112">
        <f>IFERROR((Data_Entry!L217/Data_Entry!$V217/I$2),"")</f>
        <v>1.68461012824069</v>
      </c>
    </row>
    <row r="220" ht="15" spans="1:9">
      <c r="A220" s="111">
        <v>45963</v>
      </c>
      <c r="B220" s="29">
        <v>45963</v>
      </c>
      <c r="C220" s="112" t="str">
        <f>IFERROR((Data_Entry!F218/Data_Entry!$V218/C$2),"")</f>
        <v/>
      </c>
      <c r="D220" s="112" t="str">
        <f>IFERROR((Data_Entry!G218/Data_Entry!$V218/D$2),"")</f>
        <v/>
      </c>
      <c r="E220" s="112" t="str">
        <f>IFERROR((Data_Entry!H218/Data_Entry!$V218/E$2),"")</f>
        <v/>
      </c>
      <c r="F220" s="112" t="str">
        <f>IFERROR((Data_Entry!I218/Data_Entry!$V218/F$2),"")</f>
        <v/>
      </c>
      <c r="G220" s="112" t="str">
        <f>IFERROR((Data_Entry!J218/Data_Entry!$V218/G$2),"")</f>
        <v/>
      </c>
      <c r="H220" s="112" t="str">
        <f>IFERROR((Data_Entry!K218/Data_Entry!$V218/H$2),"")</f>
        <v/>
      </c>
      <c r="I220" s="112" t="str">
        <f>IFERROR((Data_Entry!L218/Data_Entry!$V218/I$2),"")</f>
        <v/>
      </c>
    </row>
    <row r="221" ht="15" spans="1:9">
      <c r="A221" s="111">
        <v>45964</v>
      </c>
      <c r="B221" s="29">
        <v>45964</v>
      </c>
      <c r="C221" s="112" t="str">
        <f>IFERROR((Data_Entry!F219/Data_Entry!$V219/C$2),"")</f>
        <v/>
      </c>
      <c r="D221" s="112" t="str">
        <f>IFERROR((Data_Entry!G219/Data_Entry!$V219/D$2),"")</f>
        <v/>
      </c>
      <c r="E221" s="112" t="str">
        <f>IFERROR((Data_Entry!H219/Data_Entry!$V219/E$2),"")</f>
        <v/>
      </c>
      <c r="F221" s="112" t="str">
        <f>IFERROR((Data_Entry!I219/Data_Entry!$V219/F$2),"")</f>
        <v/>
      </c>
      <c r="G221" s="112" t="str">
        <f>IFERROR((Data_Entry!J219/Data_Entry!$V219/G$2),"")</f>
        <v/>
      </c>
      <c r="H221" s="112" t="str">
        <f>IFERROR((Data_Entry!K219/Data_Entry!$V219/H$2),"")</f>
        <v/>
      </c>
      <c r="I221" s="112" t="str">
        <f>IFERROR((Data_Entry!L219/Data_Entry!$V219/I$2),"")</f>
        <v/>
      </c>
    </row>
    <row r="222" ht="15" spans="1:9">
      <c r="A222" s="111">
        <v>45965</v>
      </c>
      <c r="B222" s="29">
        <v>45965</v>
      </c>
      <c r="C222" s="112" t="str">
        <f>IFERROR((Data_Entry!F220/Data_Entry!$V220/C$2),"")</f>
        <v/>
      </c>
      <c r="D222" s="112" t="str">
        <f>IFERROR((Data_Entry!G220/Data_Entry!$V220/D$2),"")</f>
        <v/>
      </c>
      <c r="E222" s="112" t="str">
        <f>IFERROR((Data_Entry!H220/Data_Entry!$V220/E$2),"")</f>
        <v/>
      </c>
      <c r="F222" s="112" t="str">
        <f>IFERROR((Data_Entry!I220/Data_Entry!$V220/F$2),"")</f>
        <v/>
      </c>
      <c r="G222" s="112" t="str">
        <f>IFERROR((Data_Entry!J220/Data_Entry!$V220/G$2),"")</f>
        <v/>
      </c>
      <c r="H222" s="112" t="str">
        <f>IFERROR((Data_Entry!K220/Data_Entry!$V220/H$2),"")</f>
        <v/>
      </c>
      <c r="I222" s="112" t="str">
        <f>IFERROR((Data_Entry!L220/Data_Entry!$V220/I$2),"")</f>
        <v/>
      </c>
    </row>
    <row r="223" ht="15" spans="1:9">
      <c r="A223" s="111">
        <v>45966</v>
      </c>
      <c r="B223" s="29">
        <v>45966</v>
      </c>
      <c r="C223" s="112" t="str">
        <f>IFERROR((Data_Entry!F221/Data_Entry!$V221/C$2),"")</f>
        <v/>
      </c>
      <c r="D223" s="112" t="str">
        <f>IFERROR((Data_Entry!G221/Data_Entry!$V221/D$2),"")</f>
        <v/>
      </c>
      <c r="E223" s="112" t="str">
        <f>IFERROR((Data_Entry!H221/Data_Entry!$V221/E$2),"")</f>
        <v/>
      </c>
      <c r="F223" s="112" t="str">
        <f>IFERROR((Data_Entry!I221/Data_Entry!$V221/F$2),"")</f>
        <v/>
      </c>
      <c r="G223" s="112" t="str">
        <f>IFERROR((Data_Entry!J221/Data_Entry!$V221/G$2),"")</f>
        <v/>
      </c>
      <c r="H223" s="112" t="str">
        <f>IFERROR((Data_Entry!K221/Data_Entry!$V221/H$2),"")</f>
        <v/>
      </c>
      <c r="I223" s="112" t="str">
        <f>IFERROR((Data_Entry!L221/Data_Entry!$V221/I$2),"")</f>
        <v/>
      </c>
    </row>
    <row r="224" ht="15" spans="1:9">
      <c r="A224" s="111">
        <v>45967</v>
      </c>
      <c r="B224" s="29">
        <v>45967</v>
      </c>
      <c r="C224" s="112" t="str">
        <f>IFERROR((Data_Entry!F222/Data_Entry!$V222/C$2),"")</f>
        <v/>
      </c>
      <c r="D224" s="112" t="str">
        <f>IFERROR((Data_Entry!G222/Data_Entry!$V222/D$2),"")</f>
        <v/>
      </c>
      <c r="E224" s="112" t="str">
        <f>IFERROR((Data_Entry!H222/Data_Entry!$V222/E$2),"")</f>
        <v/>
      </c>
      <c r="F224" s="112" t="str">
        <f>IFERROR((Data_Entry!I222/Data_Entry!$V222/F$2),"")</f>
        <v/>
      </c>
      <c r="G224" s="112" t="str">
        <f>IFERROR((Data_Entry!J222/Data_Entry!$V222/G$2),"")</f>
        <v/>
      </c>
      <c r="H224" s="112" t="str">
        <f>IFERROR((Data_Entry!K222/Data_Entry!$V222/H$2),"")</f>
        <v/>
      </c>
      <c r="I224" s="112" t="str">
        <f>IFERROR((Data_Entry!L222/Data_Entry!$V222/I$2),"")</f>
        <v/>
      </c>
    </row>
    <row r="225" ht="15" spans="1:9">
      <c r="A225" s="111">
        <v>45968</v>
      </c>
      <c r="B225" s="29">
        <v>45968</v>
      </c>
      <c r="C225" s="112">
        <f>IFERROR((Data_Entry!F223/Data_Entry!$V223/C$2),"")</f>
        <v>1.38275167194194</v>
      </c>
      <c r="D225" s="112">
        <f>IFERROR((Data_Entry!G223/Data_Entry!$V223/D$2),"")</f>
        <v>1.36463680914219</v>
      </c>
      <c r="E225" s="112">
        <f>IFERROR((Data_Entry!H223/Data_Entry!$V223/E$2),"")</f>
        <v>1.37961111485244</v>
      </c>
      <c r="F225" s="112">
        <f>IFERROR((Data_Entry!I223/Data_Entry!$V223/F$2),"")</f>
        <v>1.35688395474039</v>
      </c>
      <c r="G225" s="112">
        <f>IFERROR((Data_Entry!J223/Data_Entry!$V223/G$2),"")</f>
        <v>1.38089281688291</v>
      </c>
      <c r="H225" s="112">
        <f>IFERROR((Data_Entry!K223/Data_Entry!$V223/H$2),"")</f>
        <v>1.35979505830878</v>
      </c>
      <c r="I225" s="112">
        <f>IFERROR((Data_Entry!L223/Data_Entry!$V223/I$2),"")</f>
        <v>1.31049211276748</v>
      </c>
    </row>
    <row r="226" ht="15" spans="1:9">
      <c r="A226" s="111">
        <v>45969</v>
      </c>
      <c r="B226" s="29">
        <v>45969</v>
      </c>
      <c r="C226" s="112">
        <f>IFERROR((Data_Entry!F224/Data_Entry!$V224/C$2),"")</f>
        <v>1.31520147802801</v>
      </c>
      <c r="D226" s="112">
        <f>IFERROR((Data_Entry!G224/Data_Entry!$V224/D$2),"")</f>
        <v>1.29951986524576</v>
      </c>
      <c r="E226" s="112">
        <f>IFERROR((Data_Entry!H224/Data_Entry!$V224/E$2),"")</f>
        <v>1.31345065514125</v>
      </c>
      <c r="F226" s="112">
        <f>IFERROR((Data_Entry!I224/Data_Entry!$V224/F$2),"")</f>
        <v>1.29184629819493</v>
      </c>
      <c r="G226" s="112">
        <f>IFERROR((Data_Entry!J224/Data_Entry!$V224/G$2),"")</f>
        <v>1.31737278839895</v>
      </c>
      <c r="H226" s="112">
        <f>IFERROR((Data_Entry!K224/Data_Entry!$V224/H$2),"")</f>
        <v>1.30483066171535</v>
      </c>
      <c r="I226" s="112">
        <f>IFERROR((Data_Entry!L224/Data_Entry!$V224/I$2),"")</f>
        <v>1.24224327462893</v>
      </c>
    </row>
    <row r="227" ht="15" spans="1:9">
      <c r="A227" s="111">
        <v>45970</v>
      </c>
      <c r="B227" s="29">
        <v>45970</v>
      </c>
      <c r="C227" s="112">
        <f>IFERROR((Data_Entry!F225/Data_Entry!$V225/C$2),"")</f>
        <v>1.63209199906448</v>
      </c>
      <c r="D227" s="112">
        <f>IFERROR((Data_Entry!G225/Data_Entry!$V225/D$2),"")</f>
        <v>1.61049662196451</v>
      </c>
      <c r="E227" s="112">
        <f>IFERROR((Data_Entry!H225/Data_Entry!$V225/E$2),"")</f>
        <v>1.62060939966139</v>
      </c>
      <c r="F227" s="112">
        <f>IFERROR((Data_Entry!I225/Data_Entry!$V225/F$2),"")</f>
        <v>1.59707140992874</v>
      </c>
      <c r="G227" s="112">
        <f>IFERROR((Data_Entry!J225/Data_Entry!$V225/G$2),"")</f>
        <v>1.62685573867597</v>
      </c>
      <c r="H227" s="112">
        <f>IFERROR((Data_Entry!K225/Data_Entry!$V225/H$2),"")</f>
        <v>1.60971677890971</v>
      </c>
      <c r="I227" s="112">
        <f>IFERROR((Data_Entry!L225/Data_Entry!$V225/I$2),"")</f>
        <v>1.52992256602149</v>
      </c>
    </row>
    <row r="228" ht="15" spans="1:9">
      <c r="A228" s="111">
        <v>45971</v>
      </c>
      <c r="B228" s="29">
        <v>45971</v>
      </c>
      <c r="C228" s="112">
        <f>IFERROR((Data_Entry!F226/Data_Entry!$V226/C$2),"")</f>
        <v>1.36181143539958</v>
      </c>
      <c r="D228" s="112">
        <f>IFERROR((Data_Entry!G226/Data_Entry!$V226/D$2),"")</f>
        <v>1.34799479526066</v>
      </c>
      <c r="E228" s="112">
        <f>IFERROR((Data_Entry!H226/Data_Entry!$V226/E$2),"")</f>
        <v>1.35956367710622</v>
      </c>
      <c r="F228" s="112">
        <f>IFERROR((Data_Entry!I226/Data_Entry!$V226/F$2),"")</f>
        <v>1.34043073664377</v>
      </c>
      <c r="G228" s="112">
        <f>IFERROR((Data_Entry!J226/Data_Entry!$V226/G$2),"")</f>
        <v>1.36632130374191</v>
      </c>
      <c r="H228" s="112">
        <f>IFERROR((Data_Entry!K226/Data_Entry!$V226/H$2),"")</f>
        <v>1.3390324655984</v>
      </c>
      <c r="I228" s="112">
        <f>IFERROR((Data_Entry!L226/Data_Entry!$V226/I$2),"")</f>
        <v>1.27453909302727</v>
      </c>
    </row>
    <row r="229" ht="15" spans="1:9">
      <c r="A229" s="111">
        <v>45972</v>
      </c>
      <c r="B229" s="29">
        <v>45972</v>
      </c>
      <c r="C229" s="112" t="str">
        <f>IFERROR((Data_Entry!F227/Data_Entry!$V227/C$2),"")</f>
        <v/>
      </c>
      <c r="D229" s="112" t="str">
        <f>IFERROR((Data_Entry!G227/Data_Entry!$V227/D$2),"")</f>
        <v/>
      </c>
      <c r="E229" s="112" t="str">
        <f>IFERROR((Data_Entry!H227/Data_Entry!$V227/E$2),"")</f>
        <v/>
      </c>
      <c r="F229" s="112" t="str">
        <f>IFERROR((Data_Entry!I227/Data_Entry!$V227/F$2),"")</f>
        <v/>
      </c>
      <c r="G229" s="112" t="str">
        <f>IFERROR((Data_Entry!J227/Data_Entry!$V227/G$2),"")</f>
        <v/>
      </c>
      <c r="H229" s="112" t="str">
        <f>IFERROR((Data_Entry!K227/Data_Entry!$V227/H$2),"")</f>
        <v/>
      </c>
      <c r="I229" s="112" t="str">
        <f>IFERROR((Data_Entry!L227/Data_Entry!$V227/I$2),"")</f>
        <v/>
      </c>
    </row>
    <row r="230" ht="15" spans="1:9">
      <c r="A230" s="111">
        <v>45973</v>
      </c>
      <c r="B230" s="29">
        <v>45973</v>
      </c>
      <c r="C230" s="112">
        <f>IFERROR((Data_Entry!F228/Data_Entry!$V228/C$2),"")</f>
        <v>1.45315449164959</v>
      </c>
      <c r="D230" s="112">
        <f>IFERROR((Data_Entry!G228/Data_Entry!$V228/D$2),"")</f>
        <v>1.43800360599663</v>
      </c>
      <c r="E230" s="112">
        <f>IFERROR((Data_Entry!H228/Data_Entry!$V228/E$2),"")</f>
        <v>1.44821006664329</v>
      </c>
      <c r="F230" s="112">
        <f>IFERROR((Data_Entry!I228/Data_Entry!$V228/F$2),"")</f>
        <v>1.42858128159227</v>
      </c>
      <c r="G230" s="112">
        <f>IFERROR((Data_Entry!J228/Data_Entry!$V228/G$2),"")</f>
        <v>1.45763127138619</v>
      </c>
      <c r="H230" s="112">
        <f>IFERROR((Data_Entry!K228/Data_Entry!$V228/H$2),"")</f>
        <v>1.44631671911484</v>
      </c>
      <c r="I230" s="112">
        <f>IFERROR((Data_Entry!L228/Data_Entry!$V228/I$2),"")</f>
        <v>1.36564511093927</v>
      </c>
    </row>
    <row r="231" ht="15" spans="1:9">
      <c r="A231" s="111">
        <v>45974</v>
      </c>
      <c r="B231" s="29">
        <v>45974</v>
      </c>
      <c r="C231" s="112">
        <f>IFERROR((Data_Entry!F229/Data_Entry!$V229/C$2),"")</f>
        <v>1.55179654415128</v>
      </c>
      <c r="D231" s="112">
        <f>IFERROR((Data_Entry!G229/Data_Entry!$V229/D$2),"")</f>
        <v>1.53627802710372</v>
      </c>
      <c r="E231" s="112">
        <f>IFERROR((Data_Entry!H229/Data_Entry!$V229/E$2),"")</f>
        <v>1.54753998408433</v>
      </c>
      <c r="F231" s="112">
        <f>IFERROR((Data_Entry!I229/Data_Entry!$V229/F$2),"")</f>
        <v>1.52854195202287</v>
      </c>
      <c r="G231" s="112">
        <f>IFERROR((Data_Entry!J229/Data_Entry!$V229/G$2),"")</f>
        <v>1.55829110589116</v>
      </c>
      <c r="H231" s="112">
        <f>IFERROR((Data_Entry!K229/Data_Entry!$V229/H$2),"")</f>
        <v>1.54309555818664</v>
      </c>
      <c r="I231" s="112">
        <f>IFERROR((Data_Entry!L229/Data_Entry!$V229/I$2),"")</f>
        <v>1.45699624824741</v>
      </c>
    </row>
    <row r="232" ht="15" spans="1:9">
      <c r="A232" s="111">
        <v>45975</v>
      </c>
      <c r="B232" s="29">
        <v>45975</v>
      </c>
      <c r="C232" s="112">
        <f>IFERROR((Data_Entry!F230/Data_Entry!$V230/C$2),"")</f>
        <v>1.56822344322344</v>
      </c>
      <c r="D232" s="112">
        <f>IFERROR((Data_Entry!G230/Data_Entry!$V230/D$2),"")</f>
        <v>1.5549244333648</v>
      </c>
      <c r="E232" s="112">
        <f>IFERROR((Data_Entry!H230/Data_Entry!$V230/E$2),"")</f>
        <v>1.56663863659276</v>
      </c>
      <c r="F232" s="112">
        <f>IFERROR((Data_Entry!I230/Data_Entry!$V230/F$2),"")</f>
        <v>1.54464934082006</v>
      </c>
      <c r="G232" s="112">
        <f>IFERROR((Data_Entry!J230/Data_Entry!$V230/G$2),"")</f>
        <v>1.57426422135237</v>
      </c>
      <c r="H232" s="112">
        <f>IFERROR((Data_Entry!K230/Data_Entry!$V230/H$2),"")</f>
        <v>1.56170780422875</v>
      </c>
      <c r="I232" s="112">
        <f>IFERROR((Data_Entry!L230/Data_Entry!$V230/I$2),"")</f>
        <v>1.48708159278562</v>
      </c>
    </row>
    <row r="233" ht="15" spans="1:9">
      <c r="A233" s="111">
        <v>45976</v>
      </c>
      <c r="B233" s="29">
        <v>45976</v>
      </c>
      <c r="C233" s="112">
        <f>IFERROR((Data_Entry!F231/Data_Entry!$V231/C$2),"")</f>
        <v>1.61573003069832</v>
      </c>
      <c r="D233" s="112">
        <f>IFERROR((Data_Entry!G231/Data_Entry!$V231/D$2),"")</f>
        <v>1.60396527307432</v>
      </c>
      <c r="E233" s="112">
        <f>IFERROR((Data_Entry!H231/Data_Entry!$V231/E$2),"")</f>
        <v>1.61172181675845</v>
      </c>
      <c r="F233" s="112">
        <f>IFERROR((Data_Entry!I231/Data_Entry!$V231/F$2),"")</f>
        <v>1.59019749495277</v>
      </c>
      <c r="G233" s="112">
        <f>IFERROR((Data_Entry!J231/Data_Entry!$V231/G$2),"")</f>
        <v>1.62249440779623</v>
      </c>
      <c r="H233" s="112">
        <f>IFERROR((Data_Entry!K231/Data_Entry!$V231/H$2),"")</f>
        <v>1.60808604555375</v>
      </c>
      <c r="I233" s="112">
        <f>IFERROR((Data_Entry!L231/Data_Entry!$V231/I$2),"")</f>
        <v>1.52936112537818</v>
      </c>
    </row>
    <row r="234" ht="15" spans="1:9">
      <c r="A234" s="111">
        <v>45977</v>
      </c>
      <c r="B234" s="29">
        <v>45977</v>
      </c>
      <c r="C234" s="112">
        <f>IFERROR((Data_Entry!F232/Data_Entry!$V232/C$2),"")</f>
        <v>1.67430439927376</v>
      </c>
      <c r="D234" s="112">
        <f>IFERROR((Data_Entry!G232/Data_Entry!$V232/D$2),"")</f>
        <v>1.65857227593392</v>
      </c>
      <c r="E234" s="112">
        <f>IFERROR((Data_Entry!H232/Data_Entry!$V232/E$2),"")</f>
        <v>1.66916430702739</v>
      </c>
      <c r="F234" s="112">
        <f>IFERROR((Data_Entry!I232/Data_Entry!$V232/F$2),"")</f>
        <v>1.65084951408876</v>
      </c>
      <c r="G234" s="112">
        <f>IFERROR((Data_Entry!J232/Data_Entry!$V232/G$2),"")</f>
        <v>1.68051374665635</v>
      </c>
      <c r="H234" s="112">
        <f>IFERROR((Data_Entry!K232/Data_Entry!$V232/H$2),"")</f>
        <v>1.66488962416322</v>
      </c>
      <c r="I234" s="112">
        <f>IFERROR((Data_Entry!L232/Data_Entry!$V232/I$2),"")</f>
        <v>1.58289126701039</v>
      </c>
    </row>
    <row r="235" ht="15" spans="1:9">
      <c r="A235" s="111">
        <v>45978</v>
      </c>
      <c r="B235" s="29">
        <v>45978</v>
      </c>
      <c r="C235" s="112">
        <f>IFERROR((Data_Entry!F233/Data_Entry!$V233/C$2),"")</f>
        <v>1.75282610914455</v>
      </c>
      <c r="D235" s="112">
        <f>IFERROR((Data_Entry!G233/Data_Entry!$V233/D$2),"")</f>
        <v>1.74066586466705</v>
      </c>
      <c r="E235" s="112">
        <f>IFERROR((Data_Entry!H233/Data_Entry!$V233/E$2),"")</f>
        <v>1.74674064878267</v>
      </c>
      <c r="F235" s="112">
        <f>IFERROR((Data_Entry!I233/Data_Entry!$V233/F$2),"")</f>
        <v>1.72522569166804</v>
      </c>
      <c r="G235" s="112">
        <f>IFERROR((Data_Entry!J233/Data_Entry!$V233/G$2),"")</f>
        <v>1.75949737049625</v>
      </c>
      <c r="H235" s="112">
        <f>IFERROR((Data_Entry!K233/Data_Entry!$V233/H$2),"")</f>
        <v>1.72033411414757</v>
      </c>
      <c r="I235" s="112">
        <f>IFERROR((Data_Entry!L233/Data_Entry!$V233/I$2),"")</f>
        <v>1.63017182202174</v>
      </c>
    </row>
    <row r="236" ht="15" spans="1:9">
      <c r="A236" s="111">
        <v>45979</v>
      </c>
      <c r="B236" s="29">
        <v>45979</v>
      </c>
      <c r="C236" s="112">
        <f>IFERROR((Data_Entry!F234/Data_Entry!$V234/C$2),"")</f>
        <v>1.78454021034213</v>
      </c>
      <c r="D236" s="112">
        <f>IFERROR((Data_Entry!G234/Data_Entry!$V234/D$2),"")</f>
        <v>1.77323429935095</v>
      </c>
      <c r="E236" s="112">
        <f>IFERROR((Data_Entry!H234/Data_Entry!$V234/E$2),"")</f>
        <v>1.78128976093216</v>
      </c>
      <c r="F236" s="112">
        <f>IFERROR((Data_Entry!I234/Data_Entry!$V234/F$2),"")</f>
        <v>1.75731102027982</v>
      </c>
      <c r="G236" s="112">
        <f>IFERROR((Data_Entry!J234/Data_Entry!$V234/G$2),"")</f>
        <v>1.7913970184838</v>
      </c>
      <c r="H236" s="112">
        <f>IFERROR((Data_Entry!K234/Data_Entry!$V234/H$2),"")</f>
        <v>1.77731756712072</v>
      </c>
      <c r="I236" s="112">
        <f>IFERROR((Data_Entry!L234/Data_Entry!$V234/I$2),"")</f>
        <v>1.68229686803956</v>
      </c>
    </row>
    <row r="237" ht="15" spans="1:9">
      <c r="A237" s="111">
        <v>45980</v>
      </c>
      <c r="B237" s="29">
        <v>45980</v>
      </c>
      <c r="C237" s="112">
        <f>IFERROR((Data_Entry!F235/Data_Entry!$V235/C$2),"")</f>
        <v>1.62654815978029</v>
      </c>
      <c r="D237" s="112">
        <f>IFERROR((Data_Entry!G235/Data_Entry!$V235/D$2),"")</f>
        <v>1.61586565371794</v>
      </c>
      <c r="E237" s="112">
        <f>IFERROR((Data_Entry!H235/Data_Entry!$V235/E$2),"")</f>
        <v>1.62359091637687</v>
      </c>
      <c r="F237" s="112">
        <f>IFERROR((Data_Entry!I235/Data_Entry!$V235/F$2),"")</f>
        <v>1.60471542988983</v>
      </c>
      <c r="G237" s="112">
        <f>IFERROR((Data_Entry!J235/Data_Entry!$V235/G$2),"")</f>
        <v>1.63534908012959</v>
      </c>
      <c r="H237" s="112">
        <f>IFERROR((Data_Entry!K235/Data_Entry!$V235/H$2),"")</f>
        <v>1.61987339867692</v>
      </c>
      <c r="I237" s="112">
        <f>IFERROR((Data_Entry!L235/Data_Entry!$V235/I$2),"")</f>
        <v>1.53656093872409</v>
      </c>
    </row>
    <row r="238" ht="15" spans="1:9">
      <c r="A238" s="111">
        <v>45981</v>
      </c>
      <c r="B238" s="29">
        <v>45981</v>
      </c>
      <c r="C238" s="112">
        <f>IFERROR((Data_Entry!F236/Data_Entry!$V236/C$2),"")</f>
        <v>1.63403770013895</v>
      </c>
      <c r="D238" s="112">
        <f>IFERROR((Data_Entry!G236/Data_Entry!$V236/D$2),"")</f>
        <v>1.62440522977781</v>
      </c>
      <c r="E238" s="112">
        <f>IFERROR((Data_Entry!H236/Data_Entry!$V236/E$2),"")</f>
        <v>1.63299837908775</v>
      </c>
      <c r="F238" s="112">
        <f>IFERROR((Data_Entry!I236/Data_Entry!$V236/F$2),"")</f>
        <v>1.61384710682648</v>
      </c>
      <c r="G238" s="112">
        <f>IFERROR((Data_Entry!J236/Data_Entry!$V236/G$2),"")</f>
        <v>1.64649976981205</v>
      </c>
      <c r="H238" s="112">
        <f>IFERROR((Data_Entry!K236/Data_Entry!$V236/H$2),"")</f>
        <v>1.73267164375514</v>
      </c>
      <c r="I238" s="112">
        <f>IFERROR((Data_Entry!L236/Data_Entry!$V236/I$2),"")</f>
        <v>1.54649202172253</v>
      </c>
    </row>
    <row r="239" ht="15" spans="1:9">
      <c r="A239" s="111">
        <v>45982</v>
      </c>
      <c r="B239" s="29">
        <v>45982</v>
      </c>
      <c r="C239" s="112">
        <f>IFERROR((Data_Entry!F237/Data_Entry!$V237/C$2),"")</f>
        <v>1.514566232094</v>
      </c>
      <c r="D239" s="112">
        <f>IFERROR((Data_Entry!G237/Data_Entry!$V237/D$2),"")</f>
        <v>1.50402068557549</v>
      </c>
      <c r="E239" s="112">
        <f>IFERROR((Data_Entry!H237/Data_Entry!$V237/E$2),"")</f>
        <v>1.50219167602074</v>
      </c>
      <c r="F239" s="112">
        <f>IFERROR((Data_Entry!I237/Data_Entry!$V237/F$2),"")</f>
        <v>1.49694139617092</v>
      </c>
      <c r="G239" s="112">
        <f>IFERROR((Data_Entry!J237/Data_Entry!$V237/G$2),"")</f>
        <v>1.52438335567679</v>
      </c>
      <c r="H239" s="112">
        <f>IFERROR((Data_Entry!K237/Data_Entry!$V237/H$2),"")</f>
        <v>1.51090730415988</v>
      </c>
      <c r="I239" s="112">
        <f>IFERROR((Data_Entry!L237/Data_Entry!$V237/I$2),"")</f>
        <v>1.43718890365123</v>
      </c>
    </row>
    <row r="240" ht="15" spans="1:9">
      <c r="A240" s="111">
        <v>45983</v>
      </c>
      <c r="B240" s="29">
        <v>45983</v>
      </c>
      <c r="C240" s="112">
        <f>IFERROR((Data_Entry!F238/Data_Entry!$V238/C$2),"")</f>
        <v>1.539543876156</v>
      </c>
      <c r="D240" s="112">
        <f>IFERROR((Data_Entry!G238/Data_Entry!$V238/D$2),"")</f>
        <v>1.5320408964597</v>
      </c>
      <c r="E240" s="112">
        <f>IFERROR((Data_Entry!H238/Data_Entry!$V238/E$2),"")</f>
        <v>1.53997378768021</v>
      </c>
      <c r="F240" s="112">
        <f>IFERROR((Data_Entry!I238/Data_Entry!$V238/F$2),"")</f>
        <v>1.52156191431787</v>
      </c>
      <c r="G240" s="112">
        <f>IFERROR((Data_Entry!J238/Data_Entry!$V238/G$2),"")</f>
        <v>1.55086621475578</v>
      </c>
      <c r="H240" s="112">
        <f>IFERROR((Data_Entry!K238/Data_Entry!$V238/H$2),"")</f>
        <v>1.53556296664871</v>
      </c>
      <c r="I240" s="112">
        <f>IFERROR((Data_Entry!L238/Data_Entry!$V238/I$2),"")</f>
        <v>1.45724519210717</v>
      </c>
    </row>
    <row r="241" ht="15" spans="1:9">
      <c r="A241" s="111">
        <v>45984</v>
      </c>
      <c r="B241" s="29">
        <v>45984</v>
      </c>
      <c r="C241" s="112">
        <f>IFERROR((Data_Entry!F239/Data_Entry!$V239/C$2),"")</f>
        <v>1.95789671376672</v>
      </c>
      <c r="D241" s="112">
        <f>IFERROR((Data_Entry!G239/Data_Entry!$V239/D$2),"")</f>
        <v>1.9465121257222</v>
      </c>
      <c r="E241" s="112">
        <f>IFERROR((Data_Entry!H239/Data_Entry!$V239/E$2),"")</f>
        <v>1.95750544743703</v>
      </c>
      <c r="F241" s="112">
        <f>IFERROR((Data_Entry!I239/Data_Entry!$V239/F$2),"")</f>
        <v>1.93368978482525</v>
      </c>
      <c r="G241" s="112">
        <f>IFERROR((Data_Entry!J239/Data_Entry!$V239/G$2),"")</f>
        <v>1.96631031175662</v>
      </c>
      <c r="H241" s="112">
        <f>IFERROR((Data_Entry!K239/Data_Entry!$V239/H$2),"")</f>
        <v>1.95048295764595</v>
      </c>
      <c r="I241" s="112">
        <f>IFERROR((Data_Entry!L239/Data_Entry!$V239/I$2),"")</f>
        <v>1.81721204839524</v>
      </c>
    </row>
    <row r="242" ht="15" spans="1:9">
      <c r="A242" s="111">
        <v>45985</v>
      </c>
      <c r="B242" s="29">
        <v>45985</v>
      </c>
      <c r="C242" s="112">
        <f>IFERROR((Data_Entry!F240/Data_Entry!$V240/C$2),"")</f>
        <v>2.07713197236599</v>
      </c>
      <c r="D242" s="112">
        <f>IFERROR((Data_Entry!G240/Data_Entry!$V240/D$2),"")</f>
        <v>2.0651667955742</v>
      </c>
      <c r="E242" s="112">
        <f>IFERROR((Data_Entry!H240/Data_Entry!$V240/E$2),"")</f>
        <v>2.07544069210217</v>
      </c>
      <c r="F242" s="112">
        <f>IFERROR((Data_Entry!I240/Data_Entry!$V240/F$2),"")</f>
        <v>2.04561610058422</v>
      </c>
      <c r="G242" s="112">
        <f>IFERROR((Data_Entry!J240/Data_Entry!$V240/G$2),"")</f>
        <v>2.08657888662351</v>
      </c>
      <c r="H242" s="112">
        <f>IFERROR((Data_Entry!K240/Data_Entry!$V240/H$2),"")</f>
        <v>2.07082396891609</v>
      </c>
      <c r="I242" s="112">
        <f>IFERROR((Data_Entry!L240/Data_Entry!$V240/I$2),"")</f>
        <v>1.95112281254135</v>
      </c>
    </row>
    <row r="243" ht="15" spans="1:9">
      <c r="A243" s="111">
        <v>45986</v>
      </c>
      <c r="B243" s="29">
        <v>45986</v>
      </c>
      <c r="C243" s="112">
        <f>IFERROR((Data_Entry!F241/Data_Entry!$V241/C$2),"")</f>
        <v>1.93520480317449</v>
      </c>
      <c r="D243" s="112">
        <f>IFERROR((Data_Entry!G241/Data_Entry!$V241/D$2),"")</f>
        <v>1.9227202793218</v>
      </c>
      <c r="E243" s="112">
        <f>IFERROR((Data_Entry!H241/Data_Entry!$V241/E$2),"")</f>
        <v>1.93054253285606</v>
      </c>
      <c r="F243" s="112">
        <f>IFERROR((Data_Entry!I241/Data_Entry!$V241/F$2),"")</f>
        <v>1.90783817732709</v>
      </c>
      <c r="G243" s="112">
        <f>IFERROR((Data_Entry!J241/Data_Entry!$V241/G$2),"")</f>
        <v>1.94191667058943</v>
      </c>
      <c r="H243" s="112">
        <f>IFERROR((Data_Entry!K241/Data_Entry!$V241/H$2),"")</f>
        <v>1.92575075502878</v>
      </c>
      <c r="I243" s="112">
        <f>IFERROR((Data_Entry!L241/Data_Entry!$V241/I$2),"")</f>
        <v>1.820467907251</v>
      </c>
    </row>
    <row r="244" ht="15" spans="1:9">
      <c r="A244" s="111">
        <v>45987</v>
      </c>
      <c r="B244" s="29">
        <v>45987</v>
      </c>
      <c r="C244" s="112">
        <f>IFERROR((Data_Entry!F242/Data_Entry!$V242/C$2),"")</f>
        <v>1.75730084284832</v>
      </c>
      <c r="D244" s="112">
        <f>IFERROR((Data_Entry!G242/Data_Entry!$V242/D$2),"")</f>
        <v>1.74467694424802</v>
      </c>
      <c r="E244" s="112">
        <f>IFERROR((Data_Entry!H242/Data_Entry!$V242/E$2),"")</f>
        <v>1.75467032669463</v>
      </c>
      <c r="F244" s="112">
        <f>IFERROR((Data_Entry!I242/Data_Entry!$V242/F$2),"")</f>
        <v>1.73656001908324</v>
      </c>
      <c r="G244" s="112">
        <f>IFERROR((Data_Entry!J242/Data_Entry!$V242/G$2),"")</f>
        <v>1.76538469033768</v>
      </c>
      <c r="H244" s="112">
        <f>IFERROR((Data_Entry!K242/Data_Entry!$V242/H$2),"")</f>
        <v>1.75037415336008</v>
      </c>
      <c r="I244" s="112">
        <f>IFERROR((Data_Entry!L242/Data_Entry!$V242/I$2),"")</f>
        <v>1.6643688334383</v>
      </c>
    </row>
    <row r="245" ht="15" spans="1:9">
      <c r="A245" s="111">
        <v>45988</v>
      </c>
      <c r="B245" s="29">
        <v>45988</v>
      </c>
      <c r="C245" s="112">
        <f>IFERROR((Data_Entry!F243/Data_Entry!$V243/C$2),"")</f>
        <v>1.27152340916887</v>
      </c>
      <c r="D245" s="112">
        <f>IFERROR((Data_Entry!G243/Data_Entry!$V243/D$2),"")</f>
        <v>1.2621575825812</v>
      </c>
      <c r="E245" s="112">
        <f>IFERROR((Data_Entry!H243/Data_Entry!$V243/E$2),"")</f>
        <v>1.27079373431199</v>
      </c>
      <c r="F245" s="112">
        <f>IFERROR((Data_Entry!I243/Data_Entry!$V243/F$2),"")</f>
        <v>1.25991423439107</v>
      </c>
      <c r="G245" s="112">
        <f>IFERROR((Data_Entry!J243/Data_Entry!$V243/G$2),"")</f>
        <v>1.27893097792146</v>
      </c>
      <c r="H245" s="112">
        <f>IFERROR((Data_Entry!K243/Data_Entry!$V243/H$2),"")</f>
        <v>1.26829919370537</v>
      </c>
      <c r="I245" s="112">
        <f>IFERROR((Data_Entry!L243/Data_Entry!$V243/I$2),"")</f>
        <v>1.21076135430574</v>
      </c>
    </row>
    <row r="246" ht="15" spans="1:9">
      <c r="A246" s="111">
        <v>45989</v>
      </c>
      <c r="B246" s="29">
        <v>45989</v>
      </c>
      <c r="C246" s="112">
        <f>IFERROR((Data_Entry!F244/Data_Entry!$V244/C$2),"")</f>
        <v>1.21051609575783</v>
      </c>
      <c r="D246" s="112">
        <f>IFERROR((Data_Entry!G244/Data_Entry!$V244/D$2),"")</f>
        <v>1.19730274487266</v>
      </c>
      <c r="E246" s="112">
        <f>IFERROR((Data_Entry!H244/Data_Entry!$V244/E$2),"")</f>
        <v>1.20233247594284</v>
      </c>
      <c r="F246" s="112">
        <f>IFERROR((Data_Entry!I244/Data_Entry!$V244/F$2),"")</f>
        <v>1.19408611892632</v>
      </c>
      <c r="G246" s="112">
        <f>IFERROR((Data_Entry!J244/Data_Entry!$V244/G$2),"")</f>
        <v>1.20906148892838</v>
      </c>
      <c r="H246" s="112">
        <f>IFERROR((Data_Entry!K244/Data_Entry!$V244/H$2),"")</f>
        <v>1.1978620022119</v>
      </c>
      <c r="I246" s="112">
        <f>IFERROR((Data_Entry!L244/Data_Entry!$V244/I$2),"")</f>
        <v>1.14740515976916</v>
      </c>
    </row>
    <row r="247" ht="15" spans="1:9">
      <c r="A247" s="111">
        <v>45990</v>
      </c>
      <c r="B247" s="29">
        <v>45990</v>
      </c>
      <c r="C247" s="112">
        <f>IFERROR((Data_Entry!F245/Data_Entry!$V245/C$2),"")</f>
        <v>1.4749625241411</v>
      </c>
      <c r="D247" s="112">
        <f>IFERROR((Data_Entry!G245/Data_Entry!$V245/D$2),"")</f>
        <v>1.49180703373151</v>
      </c>
      <c r="E247" s="112">
        <f>IFERROR((Data_Entry!H245/Data_Entry!$V245/E$2),"")</f>
        <v>1.50498015603627</v>
      </c>
      <c r="F247" s="112">
        <f>IFERROR((Data_Entry!I245/Data_Entry!$V245/F$2),"")</f>
        <v>1.48896489607615</v>
      </c>
      <c r="G247" s="112">
        <f>IFERROR((Data_Entry!J245/Data_Entry!$V245/G$2),"")</f>
        <v>1.45507308219157</v>
      </c>
      <c r="H247" s="112">
        <f>IFERROR((Data_Entry!K245/Data_Entry!$V245/H$2),"")</f>
        <v>1.42539979971915</v>
      </c>
      <c r="I247" s="112">
        <f>IFERROR((Data_Entry!L245/Data_Entry!$V245/I$2),"")</f>
        <v>1.36513664287062</v>
      </c>
    </row>
    <row r="248" ht="15" spans="1:9">
      <c r="A248" s="111">
        <v>45991</v>
      </c>
      <c r="B248" s="29">
        <v>45991</v>
      </c>
      <c r="C248" s="112">
        <f>IFERROR((Data_Entry!F246/Data_Entry!$V246/C$2),"")</f>
        <v>1.41367212750065</v>
      </c>
      <c r="D248" s="112">
        <f>IFERROR((Data_Entry!G246/Data_Entry!$V246/D$2),"")</f>
        <v>1.43329574202201</v>
      </c>
      <c r="E248" s="112">
        <f>IFERROR((Data_Entry!H246/Data_Entry!$V246/E$2),"")</f>
        <v>1.44373594036796</v>
      </c>
      <c r="F248" s="112">
        <f>IFERROR((Data_Entry!I246/Data_Entry!$V246/F$2),"")</f>
        <v>1.43177650277372</v>
      </c>
      <c r="G248" s="112">
        <f>IFERROR((Data_Entry!J246/Data_Entry!$V246/G$2),"")</f>
        <v>1.43719086320997</v>
      </c>
      <c r="H248" s="112">
        <f>IFERROR((Data_Entry!K246/Data_Entry!$V246/H$2),"")</f>
        <v>1.4364336100021</v>
      </c>
      <c r="I248" s="112">
        <f>IFERROR((Data_Entry!L246/Data_Entry!$V246/I$2),"")</f>
        <v>1.35675164120434</v>
      </c>
    </row>
    <row r="249" ht="15" spans="1:9">
      <c r="A249" s="111">
        <v>45992</v>
      </c>
      <c r="B249" s="29">
        <v>45992</v>
      </c>
      <c r="C249" s="112">
        <f>IFERROR((Data_Entry!F247/Data_Entry!$V247/C$2),"")</f>
        <v>1.80013180317722</v>
      </c>
      <c r="D249" s="112">
        <f>IFERROR((Data_Entry!G247/Data_Entry!$V247/D$2),"")</f>
        <v>1.82124206449457</v>
      </c>
      <c r="E249" s="112">
        <f>IFERROR((Data_Entry!H247/Data_Entry!$V247/E$2),"")</f>
        <v>1.83418260524355</v>
      </c>
      <c r="F249" s="112">
        <f>IFERROR((Data_Entry!I247/Data_Entry!$V247/F$2),"")</f>
        <v>1.82042740315262</v>
      </c>
      <c r="G249" s="112">
        <f>IFERROR((Data_Entry!J247/Data_Entry!$V247/G$2),"")</f>
        <v>1.83327820218386</v>
      </c>
      <c r="H249" s="112">
        <f>IFERROR((Data_Entry!K247/Data_Entry!$V247/H$2),"")</f>
        <v>1.84463939617559</v>
      </c>
      <c r="I249" s="112">
        <f>IFERROR((Data_Entry!L247/Data_Entry!$V247/I$2),"")</f>
        <v>1.75416362341933</v>
      </c>
    </row>
    <row r="250" ht="15" spans="1:9">
      <c r="A250" s="111">
        <v>45993</v>
      </c>
      <c r="B250" s="29">
        <v>45993</v>
      </c>
      <c r="C250" s="112">
        <f>IFERROR((Data_Entry!F248/Data_Entry!$V248/C$2),"")</f>
        <v>1.19819237119368</v>
      </c>
      <c r="D250" s="112">
        <f>IFERROR((Data_Entry!G248/Data_Entry!$V248/D$2),"")</f>
        <v>1.19254140355058</v>
      </c>
      <c r="E250" s="112">
        <f>IFERROR((Data_Entry!H248/Data_Entry!$V248/E$2),"")</f>
        <v>1.20704328436963</v>
      </c>
      <c r="F250" s="112">
        <f>IFERROR((Data_Entry!I248/Data_Entry!$V248/F$2),"")</f>
        <v>1.18793907670767</v>
      </c>
      <c r="G250" s="112">
        <f>IFERROR((Data_Entry!J248/Data_Entry!$V248/G$2),"")</f>
        <v>1.20378857566162</v>
      </c>
      <c r="H250" s="112">
        <f>IFERROR((Data_Entry!K248/Data_Entry!$V248/H$2),"")</f>
        <v>1.20391882321337</v>
      </c>
      <c r="I250" s="112">
        <f>IFERROR((Data_Entry!L248/Data_Entry!$V248/I$2),"")</f>
        <v>1.14766816180002</v>
      </c>
    </row>
    <row r="251" ht="15" spans="1:9">
      <c r="A251" s="111">
        <v>45994</v>
      </c>
      <c r="B251" s="29">
        <v>45994</v>
      </c>
      <c r="C251" s="112">
        <f>IFERROR((Data_Entry!F249/Data_Entry!$V249/C$2),"")</f>
        <v>1.19231792593013</v>
      </c>
      <c r="D251" s="112">
        <f>IFERROR((Data_Entry!G249/Data_Entry!$V249/D$2),"")</f>
        <v>1.18995659471963</v>
      </c>
      <c r="E251" s="112">
        <f>IFERROR((Data_Entry!H249/Data_Entry!$V249/E$2),"")</f>
        <v>1.19633064563425</v>
      </c>
      <c r="F251" s="112">
        <f>IFERROR((Data_Entry!I249/Data_Entry!$V249/F$2),"")</f>
        <v>1.17590066835806</v>
      </c>
      <c r="G251" s="112">
        <f>IFERROR((Data_Entry!J249/Data_Entry!$V249/G$2),"")</f>
        <v>1.18747447930399</v>
      </c>
      <c r="H251" s="112">
        <f>IFERROR((Data_Entry!K249/Data_Entry!$V249/H$2),"")</f>
        <v>1.18835284888471</v>
      </c>
      <c r="I251" s="112">
        <f>IFERROR((Data_Entry!L249/Data_Entry!$V249/I$2),"")</f>
        <v>1.11717538781862</v>
      </c>
    </row>
    <row r="252" ht="15" spans="1:9">
      <c r="A252" s="111">
        <v>45995</v>
      </c>
      <c r="B252" s="29">
        <v>45995</v>
      </c>
      <c r="C252" s="112">
        <f>IFERROR((Data_Entry!F250/Data_Entry!$V250/C$2),"")</f>
        <v>1.16667510366707</v>
      </c>
      <c r="D252" s="112">
        <f>IFERROR((Data_Entry!G250/Data_Entry!$V250/D$2),"")</f>
        <v>1.16330287576188</v>
      </c>
      <c r="E252" s="112">
        <f>IFERROR((Data_Entry!H250/Data_Entry!$V250/E$2),"")</f>
        <v>1.16909816902687</v>
      </c>
      <c r="F252" s="112">
        <f>IFERROR((Data_Entry!I250/Data_Entry!$V250/F$2),"")</f>
        <v>1.15501909235931</v>
      </c>
      <c r="G252" s="112">
        <f>IFERROR((Data_Entry!J250/Data_Entry!$V250/G$2),"")</f>
        <v>1.16423090107137</v>
      </c>
      <c r="H252" s="112">
        <f>IFERROR((Data_Entry!K250/Data_Entry!$V250/H$2),"")</f>
        <v>1.16639360936676</v>
      </c>
      <c r="I252" s="112">
        <f>IFERROR((Data_Entry!L250/Data_Entry!$V250/I$2),"")</f>
        <v>1.09320106514491</v>
      </c>
    </row>
    <row r="253" ht="15" spans="1:9">
      <c r="A253" s="111">
        <v>45996</v>
      </c>
      <c r="B253" s="29">
        <v>45996</v>
      </c>
      <c r="C253" s="112">
        <f>IFERROR((Data_Entry!F251/Data_Entry!$V251/C$2),"")</f>
        <v>1.16017010512423</v>
      </c>
      <c r="D253" s="112">
        <f>IFERROR((Data_Entry!G251/Data_Entry!$V251/D$2),"")</f>
        <v>1.15689356515045</v>
      </c>
      <c r="E253" s="112">
        <f>IFERROR((Data_Entry!H251/Data_Entry!$V251/E$2),"")</f>
        <v>1.16362994803362</v>
      </c>
      <c r="F253" s="112">
        <f>IFERROR((Data_Entry!I251/Data_Entry!$V251/F$2),"")</f>
        <v>1.14996690585043</v>
      </c>
      <c r="G253" s="112">
        <f>IFERROR((Data_Entry!J251/Data_Entry!$V251/G$2),"")</f>
        <v>1.16132703886992</v>
      </c>
      <c r="H253" s="112">
        <f>IFERROR((Data_Entry!K251/Data_Entry!$V251/H$2),"")</f>
        <v>1.16213795511761</v>
      </c>
      <c r="I253" s="112">
        <f>IFERROR((Data_Entry!L251/Data_Entry!$V251/I$2),"")</f>
        <v>1.08800121564382</v>
      </c>
    </row>
    <row r="254" ht="15" spans="1:9">
      <c r="A254" s="111">
        <v>45997</v>
      </c>
      <c r="B254" s="29">
        <v>45997</v>
      </c>
      <c r="C254" s="112">
        <f>IFERROR((Data_Entry!F252/Data_Entry!$V252/C$2),"")</f>
        <v>1.18932001247724</v>
      </c>
      <c r="D254" s="112">
        <f>IFERROR((Data_Entry!G252/Data_Entry!$V252/D$2),"")</f>
        <v>1.18660207239771</v>
      </c>
      <c r="E254" s="112">
        <f>IFERROR((Data_Entry!H252/Data_Entry!$V252/E$2),"")</f>
        <v>1.19187993278471</v>
      </c>
      <c r="F254" s="112">
        <f>IFERROR((Data_Entry!I252/Data_Entry!$V252/F$2),"")</f>
        <v>1.17990203406211</v>
      </c>
      <c r="G254" s="112">
        <f>IFERROR((Data_Entry!J252/Data_Entry!$V252/G$2),"")</f>
        <v>1.19008194259559</v>
      </c>
      <c r="H254" s="112">
        <f>IFERROR((Data_Entry!K252/Data_Entry!$V252/H$2),"")</f>
        <v>1.19034645395318</v>
      </c>
      <c r="I254" s="112">
        <f>IFERROR((Data_Entry!L252/Data_Entry!$V252/I$2),"")</f>
        <v>1.11644198064291</v>
      </c>
    </row>
    <row r="255" ht="15" spans="1:9">
      <c r="A255" s="111">
        <v>45998</v>
      </c>
      <c r="B255" s="29">
        <v>45998</v>
      </c>
      <c r="C255" s="112">
        <f>IFERROR((Data_Entry!F253/Data_Entry!$V253/C$2),"")</f>
        <v>1.15377520144174</v>
      </c>
      <c r="D255" s="112">
        <f>IFERROR((Data_Entry!G253/Data_Entry!$V253/D$2),"")</f>
        <v>1.1505375137206</v>
      </c>
      <c r="E255" s="112">
        <f>IFERROR((Data_Entry!H253/Data_Entry!$V253/E$2),"")</f>
        <v>1.15587610102967</v>
      </c>
      <c r="F255" s="112">
        <f>IFERROR((Data_Entry!I253/Data_Entry!$V253/F$2),"")</f>
        <v>1.14393294358956</v>
      </c>
      <c r="G255" s="112">
        <f>IFERROR((Data_Entry!J253/Data_Entry!$V253/G$2),"")</f>
        <v>1.15319617149277</v>
      </c>
      <c r="H255" s="112">
        <f>IFERROR((Data_Entry!K253/Data_Entry!$V253/H$2),"")</f>
        <v>1.15482721533605</v>
      </c>
      <c r="I255" s="112">
        <f>IFERROR((Data_Entry!L253/Data_Entry!$V253/I$2),"")</f>
        <v>1.07776899629278</v>
      </c>
    </row>
    <row r="256" ht="15" spans="1:9">
      <c r="A256" s="111">
        <v>45999</v>
      </c>
      <c r="B256" s="29">
        <v>45999</v>
      </c>
      <c r="C256" s="112">
        <f>IFERROR((Data_Entry!F254/Data_Entry!$V254/C$2),"")</f>
        <v>1.15301779162673</v>
      </c>
      <c r="D256" s="112">
        <f>IFERROR((Data_Entry!G254/Data_Entry!$V254/D$2),"")</f>
        <v>1.15120564345493</v>
      </c>
      <c r="E256" s="112">
        <f>IFERROR((Data_Entry!H254/Data_Entry!$V254/E$2),"")</f>
        <v>1.155270137735</v>
      </c>
      <c r="F256" s="112">
        <f>IFERROR((Data_Entry!I254/Data_Entry!$V254/F$2),"")</f>
        <v>1.14199593706236</v>
      </c>
      <c r="G256" s="112">
        <f>IFERROR((Data_Entry!J254/Data_Entry!$V254/G$2),"")</f>
        <v>1.1538908508674</v>
      </c>
      <c r="H256" s="112">
        <f>IFERROR((Data_Entry!K254/Data_Entry!$V254/H$2),"")</f>
        <v>1.15409436266701</v>
      </c>
      <c r="I256" s="112">
        <f>IFERROR((Data_Entry!L254/Data_Entry!$V254/I$2),"")</f>
        <v>1.07763006719819</v>
      </c>
    </row>
    <row r="257" ht="15" spans="1:9">
      <c r="A257" s="111">
        <v>46000</v>
      </c>
      <c r="B257" s="29">
        <v>46000</v>
      </c>
      <c r="C257" s="112">
        <f>IFERROR((Data_Entry!F255/Data_Entry!$V255/C$2),"")</f>
        <v>1.12681788994824</v>
      </c>
      <c r="D257" s="112">
        <f>IFERROR((Data_Entry!G255/Data_Entry!$V255/D$2),"")</f>
        <v>1.14484319120733</v>
      </c>
      <c r="E257" s="112">
        <f>IFERROR((Data_Entry!H255/Data_Entry!$V255/E$2),"")</f>
        <v>1.14652244293276</v>
      </c>
      <c r="F257" s="112">
        <f>IFERROR((Data_Entry!I255/Data_Entry!$V255/F$2),"")</f>
        <v>1.13375740639536</v>
      </c>
      <c r="G257" s="112">
        <f>IFERROR((Data_Entry!J255/Data_Entry!$V255/G$2),"")</f>
        <v>1.14672206412649</v>
      </c>
      <c r="H257" s="112">
        <f>IFERROR((Data_Entry!K255/Data_Entry!$V255/H$2),"")</f>
        <v>1.12909803333664</v>
      </c>
      <c r="I257" s="112">
        <f>IFERROR((Data_Entry!L255/Data_Entry!$V255/I$2),"")</f>
        <v>1.04992693516639</v>
      </c>
    </row>
    <row r="258" ht="15" spans="1:9">
      <c r="A258" s="111">
        <v>46001</v>
      </c>
      <c r="B258" s="29">
        <v>46001</v>
      </c>
      <c r="C258" s="112">
        <f>IFERROR((Data_Entry!F256/Data_Entry!$V256/C$2),"")</f>
        <v>1.13761816743468</v>
      </c>
      <c r="D258" s="112">
        <f>IFERROR((Data_Entry!G256/Data_Entry!$V256/D$2),"")</f>
        <v>1.13615566597218</v>
      </c>
      <c r="E258" s="112">
        <f>IFERROR((Data_Entry!H256/Data_Entry!$V256/E$2),"")</f>
        <v>1.13906054273027</v>
      </c>
      <c r="F258" s="112">
        <f>IFERROR((Data_Entry!I256/Data_Entry!$V256/F$2),"")</f>
        <v>1.12594003200306</v>
      </c>
      <c r="G258" s="112">
        <f>IFERROR((Data_Entry!J256/Data_Entry!$V256/G$2),"")</f>
        <v>1.14096231966196</v>
      </c>
      <c r="H258" s="112">
        <f>IFERROR((Data_Entry!K256/Data_Entry!$V256/H$2),"")</f>
        <v>1.14384998708892</v>
      </c>
      <c r="I258" s="112">
        <f>IFERROR((Data_Entry!L256/Data_Entry!$V256/I$2),"")</f>
        <v>1.06929041412488</v>
      </c>
    </row>
    <row r="259" ht="15" spans="1:9">
      <c r="A259" s="111">
        <v>46002</v>
      </c>
      <c r="B259" s="29">
        <v>46002</v>
      </c>
      <c r="C259" s="112">
        <f>IFERROR((Data_Entry!F257/Data_Entry!$V257/C$2),"")</f>
        <v>1.18144364130603</v>
      </c>
      <c r="D259" s="112">
        <f>IFERROR((Data_Entry!G257/Data_Entry!$V257/D$2),"")</f>
        <v>1.17924411215696</v>
      </c>
      <c r="E259" s="112">
        <f>IFERROR((Data_Entry!H257/Data_Entry!$V257/E$2),"")</f>
        <v>1.17987845912158</v>
      </c>
      <c r="F259" s="112">
        <f>IFERROR((Data_Entry!I257/Data_Entry!$V257/F$2),"")</f>
        <v>1.1753861674085</v>
      </c>
      <c r="G259" s="112">
        <f>IFERROR((Data_Entry!J257/Data_Entry!$V257/G$2),"")</f>
        <v>1.18645965898658</v>
      </c>
      <c r="H259" s="112">
        <f>IFERROR((Data_Entry!K257/Data_Entry!$V257/H$2),"")</f>
        <v>1.18966496983051</v>
      </c>
      <c r="I259" s="112">
        <f>IFERROR((Data_Entry!L257/Data_Entry!$V257/I$2),"")</f>
        <v>1.10775806577562</v>
      </c>
    </row>
    <row r="260" ht="15" spans="1:9">
      <c r="A260" s="111">
        <v>46003</v>
      </c>
      <c r="B260" s="29">
        <v>46003</v>
      </c>
      <c r="C260" s="112">
        <f>IFERROR((Data_Entry!F258/Data_Entry!$V258/C$2),"")</f>
        <v>1.22997387486087</v>
      </c>
      <c r="D260" s="112">
        <f>IFERROR((Data_Entry!G258/Data_Entry!$V258/D$2),"")</f>
        <v>1.22649391333661</v>
      </c>
      <c r="E260" s="112">
        <f>IFERROR((Data_Entry!H258/Data_Entry!$V258/E$2),"")</f>
        <v>1.22932728493257</v>
      </c>
      <c r="F260" s="112">
        <f>IFERROR((Data_Entry!I258/Data_Entry!$V258/F$2),"")</f>
        <v>1.22426543656855</v>
      </c>
      <c r="G260" s="112">
        <f>IFERROR((Data_Entry!J258/Data_Entry!$V258/G$2),"")</f>
        <v>1.23720481606206</v>
      </c>
      <c r="H260" s="112">
        <f>IFERROR((Data_Entry!K258/Data_Entry!$V258/H$2),"")</f>
        <v>1.2388100774278</v>
      </c>
      <c r="I260" s="112">
        <f>IFERROR((Data_Entry!L258/Data_Entry!$V258/I$2),"")</f>
        <v>1.15688615430801</v>
      </c>
    </row>
    <row r="261" ht="15" spans="1:9">
      <c r="A261" s="111">
        <v>46004</v>
      </c>
      <c r="B261" s="29">
        <v>46004</v>
      </c>
      <c r="C261" s="112">
        <f>IFERROR((Data_Entry!F259/Data_Entry!$V259/C$2),"")</f>
        <v>1.15245539610805</v>
      </c>
      <c r="D261" s="112">
        <f>IFERROR((Data_Entry!G259/Data_Entry!$V259/D$2),"")</f>
        <v>1.1522822174625</v>
      </c>
      <c r="E261" s="112">
        <f>IFERROR((Data_Entry!H259/Data_Entry!$V259/E$2),"")</f>
        <v>1.15273940908675</v>
      </c>
      <c r="F261" s="112">
        <f>IFERROR((Data_Entry!I259/Data_Entry!$V259/F$2),"")</f>
        <v>1.1412165537823</v>
      </c>
      <c r="G261" s="112">
        <f>IFERROR((Data_Entry!J259/Data_Entry!$V259/G$2),"")</f>
        <v>1.15338845253225</v>
      </c>
      <c r="H261" s="112">
        <f>IFERROR((Data_Entry!K259/Data_Entry!$V259/H$2),"")</f>
        <v>1.13875169459069</v>
      </c>
      <c r="I261" s="112">
        <f>IFERROR((Data_Entry!L259/Data_Entry!$V259/I$2),"")</f>
        <v>1.06135379078116</v>
      </c>
    </row>
    <row r="262" ht="15" spans="1:9">
      <c r="A262" s="111">
        <v>46005</v>
      </c>
      <c r="B262" s="29">
        <v>46005</v>
      </c>
      <c r="C262" s="112">
        <f>IFERROR((Data_Entry!F260/Data_Entry!$V260/C$2),"")</f>
        <v>1.16605816638582</v>
      </c>
      <c r="D262" s="112">
        <f>IFERROR((Data_Entry!G260/Data_Entry!$V260/D$2),"")</f>
        <v>1.16501563093962</v>
      </c>
      <c r="E262" s="112">
        <f>IFERROR((Data_Entry!H260/Data_Entry!$V260/E$2),"")</f>
        <v>1.16554753677952</v>
      </c>
      <c r="F262" s="112">
        <f>IFERROR((Data_Entry!I260/Data_Entry!$V260/F$2),"")</f>
        <v>1.14634804859319</v>
      </c>
      <c r="G262" s="112">
        <f>IFERROR((Data_Entry!J260/Data_Entry!$V260/G$2),"")</f>
        <v>1.15718844378597</v>
      </c>
      <c r="H262" s="112">
        <f>IFERROR((Data_Entry!K260/Data_Entry!$V260/H$2),"")</f>
        <v>1.15538397249606</v>
      </c>
      <c r="I262" s="112">
        <f>IFERROR((Data_Entry!L260/Data_Entry!$V260/I$2),"")</f>
        <v>1.07830727025553</v>
      </c>
    </row>
    <row r="263" ht="15" spans="1:9">
      <c r="A263" s="111">
        <v>46006</v>
      </c>
      <c r="B263" s="29">
        <v>46006</v>
      </c>
      <c r="C263" s="112">
        <f>IFERROR((Data_Entry!F261/Data_Entry!$V261/C$2),"")</f>
        <v>1.14984457761302</v>
      </c>
      <c r="D263" s="112">
        <f>IFERROR((Data_Entry!G261/Data_Entry!$V261/D$2),"")</f>
        <v>1.15445942264653</v>
      </c>
      <c r="E263" s="112">
        <f>IFERROR((Data_Entry!H261/Data_Entry!$V261/E$2),"")</f>
        <v>1.15745207972886</v>
      </c>
      <c r="F263" s="112">
        <f>IFERROR((Data_Entry!I261/Data_Entry!$V261/F$2),"")</f>
        <v>1.13895044244994</v>
      </c>
      <c r="G263" s="112">
        <f>IFERROR((Data_Entry!J261/Data_Entry!$V261/G$2),"")</f>
        <v>1.15465429192627</v>
      </c>
      <c r="H263" s="112">
        <f>IFERROR((Data_Entry!K261/Data_Entry!$V261/H$2),"")</f>
        <v>1.15819233978529</v>
      </c>
      <c r="I263" s="112">
        <f>IFERROR((Data_Entry!L261/Data_Entry!$V261/I$2),"")</f>
        <v>1.0715870813232</v>
      </c>
    </row>
    <row r="264" ht="15" spans="1:9">
      <c r="A264" s="111">
        <v>46007</v>
      </c>
      <c r="B264" s="29">
        <v>46007</v>
      </c>
      <c r="C264" s="112">
        <f>IFERROR((Data_Entry!F262/Data_Entry!$V262/C$2),"")</f>
        <v>1.16511146047955</v>
      </c>
      <c r="D264" s="112">
        <f>IFERROR((Data_Entry!G262/Data_Entry!$V262/D$2),"")</f>
        <v>1.16607044778895</v>
      </c>
      <c r="E264" s="112">
        <f>IFERROR((Data_Entry!H262/Data_Entry!$V262/E$2),"")</f>
        <v>1.17000084274642</v>
      </c>
      <c r="F264" s="112">
        <f>IFERROR((Data_Entry!I262/Data_Entry!$V262/F$2),"")</f>
        <v>1.15015239559199</v>
      </c>
      <c r="G264" s="112">
        <f>IFERROR((Data_Entry!J262/Data_Entry!$V262/G$2),"")</f>
        <v>1.16696247024012</v>
      </c>
      <c r="H264" s="112">
        <f>IFERROR((Data_Entry!K262/Data_Entry!$V262/H$2),"")</f>
        <v>1.1659200927299</v>
      </c>
      <c r="I264" s="112">
        <f>IFERROR((Data_Entry!L262/Data_Entry!$V262/I$2),"")</f>
        <v>1.08429498449637</v>
      </c>
    </row>
    <row r="265" ht="15" spans="1:9">
      <c r="A265" s="111">
        <v>46008</v>
      </c>
      <c r="B265" s="29">
        <v>46008</v>
      </c>
      <c r="C265" s="112">
        <f>IFERROR((Data_Entry!F263/Data_Entry!$V263/C$2),"")</f>
        <v>1.1612524428187</v>
      </c>
      <c r="D265" s="112">
        <f>IFERROR((Data_Entry!G263/Data_Entry!$V263/D$2),"")</f>
        <v>1.16211994285862</v>
      </c>
      <c r="E265" s="112">
        <f>IFERROR((Data_Entry!H263/Data_Entry!$V263/E$2),"")</f>
        <v>1.16696412449746</v>
      </c>
      <c r="F265" s="112">
        <f>IFERROR((Data_Entry!I263/Data_Entry!$V263/F$2),"")</f>
        <v>1.14789781542462</v>
      </c>
      <c r="G265" s="112">
        <f>IFERROR((Data_Entry!J263/Data_Entry!$V263/G$2),"")</f>
        <v>1.16395007087666</v>
      </c>
      <c r="H265" s="112">
        <f>IFERROR((Data_Entry!K263/Data_Entry!$V263/H$2),"")</f>
        <v>1.16322309315948</v>
      </c>
      <c r="I265" s="112">
        <f>IFERROR((Data_Entry!L263/Data_Entry!$V263/I$2),"")</f>
        <v>1.09072358809178</v>
      </c>
    </row>
    <row r="266" ht="15" spans="1:9">
      <c r="A266" s="111">
        <v>46009</v>
      </c>
      <c r="B266" s="29">
        <v>46009</v>
      </c>
      <c r="C266" s="112">
        <f>IFERROR((Data_Entry!F264/Data_Entry!$V264/C$2),"")</f>
        <v>1.16742798036646</v>
      </c>
      <c r="D266" s="112">
        <f>IFERROR((Data_Entry!G264/Data_Entry!$V264/D$2),"")</f>
        <v>1.16826025656301</v>
      </c>
      <c r="E266" s="112">
        <f>IFERROR((Data_Entry!H264/Data_Entry!$V264/E$2),"")</f>
        <v>1.17457533472104</v>
      </c>
      <c r="F266" s="112">
        <f>IFERROR((Data_Entry!I264/Data_Entry!$V264/F$2),"")</f>
        <v>1.15280855062408</v>
      </c>
      <c r="G266" s="112">
        <f>IFERROR((Data_Entry!J264/Data_Entry!$V264/G$2),"")</f>
        <v>1.17458231796907</v>
      </c>
      <c r="H266" s="112">
        <f>IFERROR((Data_Entry!K264/Data_Entry!$V264/H$2),"")</f>
        <v>1.19437982612271</v>
      </c>
      <c r="I266" s="112">
        <f>IFERROR((Data_Entry!L264/Data_Entry!$V264/I$2),"")</f>
        <v>1.10779453384864</v>
      </c>
    </row>
    <row r="267" ht="15" spans="1:9">
      <c r="A267" s="111">
        <v>46010</v>
      </c>
      <c r="B267" s="29">
        <v>46010</v>
      </c>
      <c r="C267" s="112">
        <f>IFERROR((Data_Entry!F265/Data_Entry!$V265/C$2),"")</f>
        <v>1.17118962475253</v>
      </c>
      <c r="D267" s="112">
        <f>IFERROR((Data_Entry!G265/Data_Entry!$V265/D$2),"")</f>
        <v>1.17331141900703</v>
      </c>
      <c r="E267" s="112">
        <f>IFERROR((Data_Entry!H265/Data_Entry!$V265/E$2),"")</f>
        <v>1.17898993888688</v>
      </c>
      <c r="F267" s="112">
        <f>IFERROR((Data_Entry!I265/Data_Entry!$V265/F$2),"")</f>
        <v>1.15994849125645</v>
      </c>
      <c r="G267" s="112">
        <f>IFERROR((Data_Entry!J265/Data_Entry!$V265/G$2),"")</f>
        <v>1.17453907922787</v>
      </c>
      <c r="H267" s="112">
        <f>IFERROR((Data_Entry!K265/Data_Entry!$V265/H$2),"")</f>
        <v>1.18799780705349</v>
      </c>
      <c r="I267" s="112">
        <f>IFERROR((Data_Entry!L265/Data_Entry!$V265/I$2),"")</f>
        <v>1.10055185337545</v>
      </c>
    </row>
    <row r="268" ht="15" spans="1:9">
      <c r="A268" s="111">
        <v>46011</v>
      </c>
      <c r="B268" s="29">
        <v>46011</v>
      </c>
      <c r="C268" s="112">
        <f>IFERROR((Data_Entry!F266/Data_Entry!$V266/C$2),"")</f>
        <v>1.21521629272341</v>
      </c>
      <c r="D268" s="112">
        <f>IFERROR((Data_Entry!G266/Data_Entry!$V266/D$2),"")</f>
        <v>1.16816011153246</v>
      </c>
      <c r="E268" s="112">
        <f>IFERROR((Data_Entry!H266/Data_Entry!$V266/E$2),"")</f>
        <v>1.17387094609493</v>
      </c>
      <c r="F268" s="112">
        <f>IFERROR((Data_Entry!I266/Data_Entry!$V266/F$2),"")</f>
        <v>1.15535286092209</v>
      </c>
      <c r="G268" s="112">
        <f>IFERROR((Data_Entry!J266/Data_Entry!$V266/G$2),"")</f>
        <v>1.17041741252572</v>
      </c>
      <c r="H268" s="112">
        <f>IFERROR((Data_Entry!K266/Data_Entry!$V266/H$2),"")</f>
        <v>1.16299648340967</v>
      </c>
      <c r="I268" s="112">
        <f>IFERROR((Data_Entry!L266/Data_Entry!$V266/I$2),"")</f>
        <v>1.07809136061065</v>
      </c>
    </row>
    <row r="269" ht="15" spans="1:9">
      <c r="A269" s="111">
        <v>46012</v>
      </c>
      <c r="B269" s="29">
        <v>46012</v>
      </c>
      <c r="C269" s="112">
        <f>IFERROR((Data_Entry!F267/Data_Entry!$V267/C$2),"")</f>
        <v>1.1069213486809</v>
      </c>
      <c r="D269" s="112">
        <f>IFERROR((Data_Entry!G267/Data_Entry!$V267/D$2),"")</f>
        <v>1.10672729834192</v>
      </c>
      <c r="E269" s="112">
        <f>IFERROR((Data_Entry!H267/Data_Entry!$V267/E$2),"")</f>
        <v>1.16640748009723</v>
      </c>
      <c r="F269" s="112">
        <f>IFERROR((Data_Entry!I267/Data_Entry!$V267/F$2),"")</f>
        <v>1.06520727537581</v>
      </c>
      <c r="G269" s="112">
        <f>IFERROR((Data_Entry!J267/Data_Entry!$V267/G$2),"")</f>
        <v>1.10717445781871</v>
      </c>
      <c r="H269" s="112">
        <f>IFERROR((Data_Entry!K267/Data_Entry!$V267/H$2),"")</f>
        <v>1.11587044409669</v>
      </c>
      <c r="I269" s="112">
        <f>IFERROR((Data_Entry!L267/Data_Entry!$V267/I$2),"")</f>
        <v>1.04318424929509</v>
      </c>
    </row>
    <row r="270" ht="15" spans="1:9">
      <c r="A270" s="111">
        <v>46013</v>
      </c>
      <c r="B270" s="29">
        <v>46013</v>
      </c>
      <c r="C270" s="112">
        <f>IFERROR((Data_Entry!F268/Data_Entry!$V268/C$2),"")</f>
        <v>1.15732151837508</v>
      </c>
      <c r="D270" s="112">
        <f>IFERROR((Data_Entry!G268/Data_Entry!$V268/D$2),"")</f>
        <v>1.1952090525633</v>
      </c>
      <c r="E270" s="112">
        <f>IFERROR((Data_Entry!H268/Data_Entry!$V268/E$2),"")</f>
        <v>1.20094466054809</v>
      </c>
      <c r="F270" s="112">
        <f>IFERROR((Data_Entry!I268/Data_Entry!$V268/F$2),"")</f>
        <v>1.18181675498607</v>
      </c>
      <c r="G270" s="112">
        <f>IFERROR((Data_Entry!J268/Data_Entry!$V268/G$2),"")</f>
        <v>1.19504451696893</v>
      </c>
      <c r="H270" s="112">
        <f>IFERROR((Data_Entry!K268/Data_Entry!$V268/H$2),"")</f>
        <v>1.2046949152087</v>
      </c>
      <c r="I270" s="112">
        <f>IFERROR((Data_Entry!L268/Data_Entry!$V268/I$2),"")</f>
        <v>1.10203305964851</v>
      </c>
    </row>
    <row r="271" ht="15" spans="1:9">
      <c r="A271" s="111">
        <v>46014</v>
      </c>
      <c r="B271" s="29">
        <v>46014</v>
      </c>
      <c r="C271" s="112">
        <f>IFERROR((Data_Entry!F269/Data_Entry!$V269/C$2),"")</f>
        <v>1.16465383218475</v>
      </c>
      <c r="D271" s="112">
        <f>IFERROR((Data_Entry!G269/Data_Entry!$V269/D$2),"")</f>
        <v>1.25661855318816</v>
      </c>
      <c r="E271" s="112">
        <f>IFERROR((Data_Entry!H269/Data_Entry!$V269/E$2),"")</f>
        <v>1.24619319872611</v>
      </c>
      <c r="F271" s="112">
        <f>IFERROR((Data_Entry!I269/Data_Entry!$V269/F$2),"")</f>
        <v>1.17759989076824</v>
      </c>
      <c r="G271" s="112">
        <f>IFERROR((Data_Entry!J269/Data_Entry!$V269/G$2),"")</f>
        <v>1.14299698594109</v>
      </c>
      <c r="H271" s="112">
        <f>IFERROR((Data_Entry!K269/Data_Entry!$V269/H$2),"")</f>
        <v>1.13774598825153</v>
      </c>
      <c r="I271" s="112">
        <f>IFERROR((Data_Entry!L269/Data_Entry!$V269/I$2),"")</f>
        <v>1.13611494440824</v>
      </c>
    </row>
    <row r="272" ht="15" spans="1:9">
      <c r="A272" s="111">
        <v>46015</v>
      </c>
      <c r="B272" s="29">
        <v>46015</v>
      </c>
      <c r="C272" s="112">
        <f>IFERROR((Data_Entry!F270/Data_Entry!$V270/C$2),"")</f>
        <v>1.17844538592935</v>
      </c>
      <c r="D272" s="112">
        <f>IFERROR((Data_Entry!G270/Data_Entry!$V270/D$2),"")</f>
        <v>1.18047856109208</v>
      </c>
      <c r="E272" s="112">
        <f>IFERROR((Data_Entry!H270/Data_Entry!$V270/E$2),"")</f>
        <v>1.18543353692573</v>
      </c>
      <c r="F272" s="112">
        <f>IFERROR((Data_Entry!I270/Data_Entry!$V270/F$2),"")</f>
        <v>1.16604295561925</v>
      </c>
      <c r="G272" s="112">
        <f>IFERROR((Data_Entry!J270/Data_Entry!$V270/G$2),"")</f>
        <v>1.18499432410934</v>
      </c>
      <c r="H272" s="112">
        <f>IFERROR((Data_Entry!K270/Data_Entry!$V270/H$2),"")</f>
        <v>1.20109652740482</v>
      </c>
      <c r="I272" s="112">
        <f>IFERROR((Data_Entry!L270/Data_Entry!$V270/I$2),"")</f>
        <v>1.11173201908165</v>
      </c>
    </row>
    <row r="273" ht="15" spans="1:9">
      <c r="A273" s="111">
        <v>46016</v>
      </c>
      <c r="B273" s="29">
        <v>46016</v>
      </c>
      <c r="C273" s="112">
        <f>IFERROR((Data_Entry!F271/Data_Entry!$V271/C$2),"")</f>
        <v>1.12209926441244</v>
      </c>
      <c r="D273" s="112">
        <f>IFERROR((Data_Entry!G271/Data_Entry!$V271/D$2),"")</f>
        <v>1.12638652876472</v>
      </c>
      <c r="E273" s="112">
        <f>IFERROR((Data_Entry!H271/Data_Entry!$V271/E$2),"")</f>
        <v>1.13237279332407</v>
      </c>
      <c r="F273" s="112">
        <f>IFERROR((Data_Entry!I271/Data_Entry!$V271/F$2),"")</f>
        <v>1.12165824733741</v>
      </c>
      <c r="G273" s="112">
        <f>IFERROR((Data_Entry!J271/Data_Entry!$V271/G$2),"")</f>
        <v>1.12959026791558</v>
      </c>
      <c r="H273" s="112">
        <f>IFERROR((Data_Entry!K271/Data_Entry!$V271/H$2),"")</f>
        <v>1.12602881142233</v>
      </c>
      <c r="I273" s="112">
        <f>IFERROR((Data_Entry!L271/Data_Entry!$V271/I$2),"")</f>
        <v>1.06159756841731</v>
      </c>
    </row>
    <row r="274" ht="15" spans="1:9">
      <c r="A274" s="111">
        <v>46017</v>
      </c>
      <c r="B274" s="29">
        <v>46017</v>
      </c>
      <c r="C274" s="112">
        <f>IFERROR((Data_Entry!F272/Data_Entry!$V272/C$2),"")</f>
        <v>1.17496949688333</v>
      </c>
      <c r="D274" s="112">
        <f>IFERROR((Data_Entry!G272/Data_Entry!$V272/D$2),"")</f>
        <v>1.1752635936819</v>
      </c>
      <c r="E274" s="112">
        <f>IFERROR((Data_Entry!H272/Data_Entry!$V272/E$2),"")</f>
        <v>1.1858887831481</v>
      </c>
      <c r="F274" s="112">
        <f>IFERROR((Data_Entry!I272/Data_Entry!$V272/F$2),"")</f>
        <v>1.16430594696513</v>
      </c>
      <c r="G274" s="112">
        <f>IFERROR((Data_Entry!J272/Data_Entry!$V272/G$2),"")</f>
        <v>1.18619042089022</v>
      </c>
      <c r="H274" s="112">
        <f>IFERROR((Data_Entry!K272/Data_Entry!$V272/H$2),"")</f>
        <v>1.20417262046018</v>
      </c>
      <c r="I274" s="112">
        <f>IFERROR((Data_Entry!L272/Data_Entry!$V272/I$2),"")</f>
        <v>1.11991667454094</v>
      </c>
    </row>
    <row r="275" ht="15" spans="1:9">
      <c r="A275" s="111">
        <v>46018</v>
      </c>
      <c r="B275" s="29">
        <v>46018</v>
      </c>
      <c r="C275" s="112">
        <f>IFERROR((Data_Entry!F273/Data_Entry!$V273/C$2),"")</f>
        <v>1.1865920012709</v>
      </c>
      <c r="D275" s="112">
        <f>IFERROR((Data_Entry!G273/Data_Entry!$V273/D$2),"")</f>
        <v>1.18625044680091</v>
      </c>
      <c r="E275" s="112">
        <f>IFERROR((Data_Entry!H273/Data_Entry!$V273/E$2),"")</f>
        <v>1.19274792485802</v>
      </c>
      <c r="F275" s="112">
        <f>IFERROR((Data_Entry!I273/Data_Entry!$V273/F$2),"")</f>
        <v>1.16909985374285</v>
      </c>
      <c r="G275" s="112">
        <f>IFERROR((Data_Entry!J273/Data_Entry!$V273/G$2),"")</f>
        <v>1.18763082416852</v>
      </c>
      <c r="H275" s="112">
        <f>IFERROR((Data_Entry!K273/Data_Entry!$V273/H$2),"")</f>
        <v>1.2055387771383</v>
      </c>
      <c r="I275" s="112">
        <f>IFERROR((Data_Entry!L273/Data_Entry!$V273/I$2),"")</f>
        <v>1.12377153494026</v>
      </c>
    </row>
    <row r="276" ht="15" spans="1:9">
      <c r="A276" s="111">
        <v>46019</v>
      </c>
      <c r="B276" s="29">
        <v>46019</v>
      </c>
      <c r="C276" s="112" t="str">
        <f>IFERROR((Data_Entry!F274/Data_Entry!$V274/C$2),"")</f>
        <v/>
      </c>
      <c r="D276" s="112" t="str">
        <f>IFERROR((Data_Entry!G274/Data_Entry!$V274/D$2),"")</f>
        <v/>
      </c>
      <c r="E276" s="112" t="str">
        <f>IFERROR((Data_Entry!H274/Data_Entry!$V274/E$2),"")</f>
        <v/>
      </c>
      <c r="F276" s="112" t="str">
        <f>IFERROR((Data_Entry!I274/Data_Entry!$V274/F$2),"")</f>
        <v/>
      </c>
      <c r="G276" s="112" t="str">
        <f>IFERROR((Data_Entry!J274/Data_Entry!$V274/G$2),"")</f>
        <v/>
      </c>
      <c r="H276" s="112" t="str">
        <f>IFERROR((Data_Entry!K274/Data_Entry!$V274/H$2),"")</f>
        <v/>
      </c>
      <c r="I276" s="112" t="str">
        <f>IFERROR((Data_Entry!L274/Data_Entry!$V274/I$2),"")</f>
        <v/>
      </c>
    </row>
    <row r="277" ht="15" spans="1:9">
      <c r="A277" s="111">
        <v>46020</v>
      </c>
      <c r="B277" s="29">
        <v>46020</v>
      </c>
      <c r="C277" s="112">
        <f>IFERROR((Data_Entry!F275/Data_Entry!$V275/C$2),"")</f>
        <v>1.11824601808498</v>
      </c>
      <c r="D277" s="112">
        <f>IFERROR((Data_Entry!G275/Data_Entry!$V275/D$2),"")</f>
        <v>1.11908575028329</v>
      </c>
      <c r="E277" s="112">
        <f>IFERROR((Data_Entry!H275/Data_Entry!$V275/E$2),"")</f>
        <v>1.12418751948812</v>
      </c>
      <c r="F277" s="112">
        <f>IFERROR((Data_Entry!I275/Data_Entry!$V275/F$2),"")</f>
        <v>1.1117124331507</v>
      </c>
      <c r="G277" s="112">
        <f>IFERROR((Data_Entry!J275/Data_Entry!$V275/G$2),"")</f>
        <v>1.12053272114675</v>
      </c>
      <c r="H277" s="112">
        <f>IFERROR((Data_Entry!K275/Data_Entry!$V275/H$2),"")</f>
        <v>1.13297508617209</v>
      </c>
      <c r="I277" s="112">
        <f>IFERROR((Data_Entry!L275/Data_Entry!$V275/I$2),"")</f>
        <v>1.05851033519519</v>
      </c>
    </row>
    <row r="278" ht="15" spans="1:9">
      <c r="A278" s="111">
        <v>46021</v>
      </c>
      <c r="B278" s="29">
        <v>46021</v>
      </c>
      <c r="C278" s="112">
        <f>IFERROR((Data_Entry!F276/Data_Entry!$V276/C$2),"")</f>
        <v>1.18198056752363</v>
      </c>
      <c r="D278" s="112">
        <f>IFERROR((Data_Entry!G276/Data_Entry!$V276/D$2),"")</f>
        <v>1.18406243554216</v>
      </c>
      <c r="E278" s="112">
        <f>IFERROR((Data_Entry!H276/Data_Entry!$V276/E$2),"")</f>
        <v>1.19110075088175</v>
      </c>
      <c r="F278" s="112">
        <f>IFERROR((Data_Entry!I276/Data_Entry!$V276/F$2),"")</f>
        <v>1.17086137310155</v>
      </c>
      <c r="G278" s="112">
        <f>IFERROR((Data_Entry!J276/Data_Entry!$V276/G$2),"")</f>
        <v>1.18980219440865</v>
      </c>
      <c r="H278" s="112">
        <f>IFERROR((Data_Entry!K276/Data_Entry!$V276/H$2),"")</f>
        <v>1.18460936107011</v>
      </c>
      <c r="I278" s="112">
        <f>IFERROR((Data_Entry!L276/Data_Entry!$V276/I$2),"")</f>
        <v>1.10470253183559</v>
      </c>
    </row>
    <row r="279" ht="15" spans="1:9">
      <c r="A279" s="111">
        <v>46022</v>
      </c>
      <c r="B279" s="29">
        <v>46022</v>
      </c>
      <c r="C279" s="112">
        <f>IFERROR((Data_Entry!F277/Data_Entry!$V277/C$2),"")</f>
        <v>1.12769588380734</v>
      </c>
      <c r="D279" s="112">
        <f>IFERROR((Data_Entry!G277/Data_Entry!$V277/D$2),"")</f>
        <v>1.12600303565601</v>
      </c>
      <c r="E279" s="112">
        <f>IFERROR((Data_Entry!H277/Data_Entry!$V277/E$2),"")</f>
        <v>1.13122958869155</v>
      </c>
      <c r="F279" s="112">
        <f>IFERROR((Data_Entry!I277/Data_Entry!$V277/F$2),"")</f>
        <v>1.1160233157275</v>
      </c>
      <c r="G279" s="112">
        <f>IFERROR((Data_Entry!J277/Data_Entry!$V277/G$2),"")</f>
        <v>1.12434075449434</v>
      </c>
      <c r="H279" s="112">
        <f>IFERROR((Data_Entry!K277/Data_Entry!$V277/H$2),"")</f>
        <v>1.13562238686425</v>
      </c>
      <c r="I279" s="112">
        <f>IFERROR((Data_Entry!L277/Data_Entry!$V277/I$2),"")</f>
        <v>1.07731183210524</v>
      </c>
    </row>
    <row r="280" ht="15" spans="1:9">
      <c r="A280" s="111">
        <v>46023</v>
      </c>
      <c r="B280" s="29">
        <v>46023</v>
      </c>
      <c r="C280" s="112">
        <f>IFERROR((Data_Entry!F278/Data_Entry!$V278/C$2),"")</f>
        <v>1.18716737538874</v>
      </c>
      <c r="D280" s="112">
        <f>IFERROR((Data_Entry!G278/Data_Entry!$V278/D$2),"")</f>
        <v>1.19130647393447</v>
      </c>
      <c r="E280" s="112">
        <f>IFERROR((Data_Entry!H278/Data_Entry!$V278/E$2),"")</f>
        <v>1.19854989638949</v>
      </c>
      <c r="F280" s="112">
        <f>IFERROR((Data_Entry!I278/Data_Entry!$V278/F$2),"")</f>
        <v>1.17491654349742</v>
      </c>
      <c r="G280" s="112">
        <f>IFERROR((Data_Entry!J278/Data_Entry!$V278/G$2),"")</f>
        <v>1.19454255486269</v>
      </c>
      <c r="H280" s="112">
        <f>IFERROR((Data_Entry!K278/Data_Entry!$V278/H$2),"")</f>
        <v>1.20929741283075</v>
      </c>
      <c r="I280" s="112">
        <f>IFERROR((Data_Entry!L278/Data_Entry!$V278/I$2),"")</f>
        <v>1.12476275220591</v>
      </c>
    </row>
    <row r="281" ht="15" spans="1:9">
      <c r="A281" s="111">
        <v>46024</v>
      </c>
      <c r="B281" s="29">
        <v>46024</v>
      </c>
      <c r="C281" s="112">
        <f>IFERROR((Data_Entry!F279/Data_Entry!$V279/C$2),"")</f>
        <v>1.19939014434427</v>
      </c>
      <c r="D281" s="112">
        <f>IFERROR((Data_Entry!G279/Data_Entry!$V279/D$2),"")</f>
        <v>1.20250855724862</v>
      </c>
      <c r="E281" s="112">
        <f>IFERROR((Data_Entry!H279/Data_Entry!$V279/E$2),"")</f>
        <v>1.20853209538225</v>
      </c>
      <c r="F281" s="112">
        <f>IFERROR((Data_Entry!I279/Data_Entry!$V279/F$2),"")</f>
        <v>1.1868426254811</v>
      </c>
      <c r="G281" s="112">
        <f>IFERROR((Data_Entry!J279/Data_Entry!$V279/G$2),"")</f>
        <v>1.2074902794222</v>
      </c>
      <c r="H281" s="112">
        <f>IFERROR((Data_Entry!K279/Data_Entry!$V279/H$2),"")</f>
        <v>1.22031504028579</v>
      </c>
      <c r="I281" s="112">
        <f>IFERROR((Data_Entry!L279/Data_Entry!$V279/I$2),"")</f>
        <v>1.13270848678374</v>
      </c>
    </row>
    <row r="282" ht="15" spans="1:9">
      <c r="A282" s="111">
        <v>46025</v>
      </c>
      <c r="B282" s="29">
        <v>46025</v>
      </c>
      <c r="C282" s="112">
        <f>IFERROR((Data_Entry!F280/Data_Entry!$V280/C$2),"")</f>
        <v>1.18006913815057</v>
      </c>
      <c r="D282" s="112">
        <f>IFERROR((Data_Entry!G280/Data_Entry!$V280/D$2),"")</f>
        <v>1.18148297818953</v>
      </c>
      <c r="E282" s="112">
        <f>IFERROR((Data_Entry!H280/Data_Entry!$V280/E$2),"")</f>
        <v>1.18783153176253</v>
      </c>
      <c r="F282" s="112">
        <f>IFERROR((Data_Entry!I280/Data_Entry!$V280/F$2),"")</f>
        <v>1.16611604689227</v>
      </c>
      <c r="G282" s="112">
        <f>IFERROR((Data_Entry!J280/Data_Entry!$V280/G$2),"")</f>
        <v>1.18662478437597</v>
      </c>
      <c r="H282" s="112">
        <f>IFERROR((Data_Entry!K280/Data_Entry!$V280/H$2),"")</f>
        <v>1.19678067966639</v>
      </c>
      <c r="I282" s="112">
        <f>IFERROR((Data_Entry!L280/Data_Entry!$V280/I$2),"")</f>
        <v>1.11279595539336</v>
      </c>
    </row>
    <row r="283" ht="15" spans="1:9">
      <c r="A283" s="111">
        <v>46026</v>
      </c>
      <c r="B283" s="29">
        <v>46026</v>
      </c>
      <c r="C283" s="112">
        <f>IFERROR((Data_Entry!F281/Data_Entry!$V281/C$2),"")</f>
        <v>1.19095326244577</v>
      </c>
      <c r="D283" s="112">
        <f>IFERROR((Data_Entry!G281/Data_Entry!$V281/D$2),"")</f>
        <v>1.19512340423059</v>
      </c>
      <c r="E283" s="112">
        <f>IFERROR((Data_Entry!H281/Data_Entry!$V281/E$2),"")</f>
        <v>1.20046321993066</v>
      </c>
      <c r="F283" s="112">
        <f>IFERROR((Data_Entry!I281/Data_Entry!$V281/F$2),"")</f>
        <v>1.18417559752553</v>
      </c>
      <c r="G283" s="112">
        <f>IFERROR((Data_Entry!J281/Data_Entry!$V281/G$2),"")</f>
        <v>1.19541242708569</v>
      </c>
      <c r="H283" s="112">
        <f>IFERROR((Data_Entry!K281/Data_Entry!$V281/H$2),"")</f>
        <v>1.21036012058223</v>
      </c>
      <c r="I283" s="112">
        <f>IFERROR((Data_Entry!L281/Data_Entry!$V281/I$2),"")</f>
        <v>1.11893666375264</v>
      </c>
    </row>
    <row r="284" ht="15" spans="1:9">
      <c r="A284" s="111">
        <v>46027</v>
      </c>
      <c r="B284" s="29">
        <v>46027</v>
      </c>
      <c r="C284" s="112">
        <f>IFERROR((Data_Entry!F282/Data_Entry!$V282/C$2),"")</f>
        <v>1.18768476270696</v>
      </c>
      <c r="D284" s="112">
        <f>IFERROR((Data_Entry!G282/Data_Entry!$V282/D$2),"")</f>
        <v>1.18837214871545</v>
      </c>
      <c r="E284" s="112">
        <f>IFERROR((Data_Entry!H282/Data_Entry!$V282/E$2),"")</f>
        <v>1.19570426613931</v>
      </c>
      <c r="F284" s="112">
        <f>IFERROR((Data_Entry!I282/Data_Entry!$V282/F$2),"")</f>
        <v>1.17659210714784</v>
      </c>
      <c r="G284" s="112">
        <f>IFERROR((Data_Entry!J282/Data_Entry!$V282/G$2),"")</f>
        <v>1.19282457187935</v>
      </c>
      <c r="H284" s="112">
        <f>IFERROR((Data_Entry!K282/Data_Entry!$V282/H$2),"")</f>
        <v>1.2074733815151</v>
      </c>
      <c r="I284" s="112">
        <f>IFERROR((Data_Entry!L282/Data_Entry!$V282/I$2),"")</f>
        <v>1.12238726956228</v>
      </c>
    </row>
    <row r="285" ht="15" spans="1:9">
      <c r="A285" s="111">
        <v>46028</v>
      </c>
      <c r="B285" s="29">
        <v>46028</v>
      </c>
      <c r="C285" s="112">
        <f>IFERROR((Data_Entry!F283/Data_Entry!$V283/C$2),"")</f>
        <v>1.12164870189589</v>
      </c>
      <c r="D285" s="112">
        <f>IFERROR((Data_Entry!G283/Data_Entry!$V283/D$2),"")</f>
        <v>1.12529011106881</v>
      </c>
      <c r="E285" s="112">
        <f>IFERROR((Data_Entry!H283/Data_Entry!$V283/E$2),"")</f>
        <v>1.13035166981916</v>
      </c>
      <c r="F285" s="112">
        <f>IFERROR((Data_Entry!I283/Data_Entry!$V283/F$2),"")</f>
        <v>1.10972546168667</v>
      </c>
      <c r="G285" s="112">
        <f>IFERROR((Data_Entry!J283/Data_Entry!$V283/G$2),"")</f>
        <v>1.12507194316271</v>
      </c>
      <c r="H285" s="112">
        <f>IFERROR((Data_Entry!K283/Data_Entry!$V283/H$2),"")</f>
        <v>1.14020943941665</v>
      </c>
      <c r="I285" s="112">
        <f>IFERROR((Data_Entry!L283/Data_Entry!$V283/I$2),"")</f>
        <v>1.06069752858256</v>
      </c>
    </row>
    <row r="286" ht="15" spans="1:9">
      <c r="A286" s="111">
        <v>46029</v>
      </c>
      <c r="B286" s="29">
        <v>46029</v>
      </c>
      <c r="C286" s="112">
        <f>IFERROR((Data_Entry!F284/Data_Entry!$V284/C$2),"")</f>
        <v>1.08542833313476</v>
      </c>
      <c r="D286" s="112">
        <f>IFERROR((Data_Entry!G284/Data_Entry!$V284/D$2),"")</f>
        <v>1.09005673225857</v>
      </c>
      <c r="E286" s="112">
        <f>IFERROR((Data_Entry!H284/Data_Entry!$V284/E$2),"")</f>
        <v>1.09945100770789</v>
      </c>
      <c r="F286" s="112">
        <f>IFERROR((Data_Entry!I284/Data_Entry!$V284/F$2),"")</f>
        <v>1.1094868434318</v>
      </c>
      <c r="G286" s="112">
        <f>IFERROR((Data_Entry!J284/Data_Entry!$V284/G$2),"")</f>
        <v>1.09307126857984</v>
      </c>
      <c r="H286" s="112">
        <f>IFERROR((Data_Entry!K284/Data_Entry!$V284/H$2),"")</f>
        <v>1.10795267755778</v>
      </c>
      <c r="I286" s="112">
        <f>IFERROR((Data_Entry!L284/Data_Entry!$V284/I$2),"")</f>
        <v>0.994577819468127</v>
      </c>
    </row>
    <row r="287" ht="15" spans="1:9">
      <c r="A287" s="111">
        <v>46030</v>
      </c>
      <c r="B287" s="29">
        <v>46030</v>
      </c>
      <c r="C287" s="112">
        <f>IFERROR((Data_Entry!F285/Data_Entry!$V285/C$2),"")</f>
        <v>1.15330586591167</v>
      </c>
      <c r="D287" s="112">
        <f>IFERROR((Data_Entry!G285/Data_Entry!$V285/D$2),"")</f>
        <v>1.17108738997836</v>
      </c>
      <c r="E287" s="112">
        <f>IFERROR((Data_Entry!H285/Data_Entry!$V285/E$2),"")</f>
        <v>1.17754666642091</v>
      </c>
      <c r="F287" s="112">
        <f>IFERROR((Data_Entry!I285/Data_Entry!$V285/F$2),"")</f>
        <v>1.16001163592769</v>
      </c>
      <c r="G287" s="112">
        <f>IFERROR((Data_Entry!J285/Data_Entry!$V285/G$2),"")</f>
        <v>1.17313196294259</v>
      </c>
      <c r="H287" s="112">
        <f>IFERROR((Data_Entry!K285/Data_Entry!$V285/H$2),"")</f>
        <v>1.18725972958431</v>
      </c>
      <c r="I287" s="112">
        <f>IFERROR((Data_Entry!L285/Data_Entry!$V285/I$2),"")</f>
        <v>1.11360644811733</v>
      </c>
    </row>
    <row r="288" ht="15" spans="1:9">
      <c r="A288" s="111">
        <v>46031</v>
      </c>
      <c r="B288" s="29">
        <v>46031</v>
      </c>
      <c r="C288" s="112">
        <f>IFERROR((Data_Entry!F286/Data_Entry!$V286/C$2),"")</f>
        <v>1.06708573000297</v>
      </c>
      <c r="D288" s="112">
        <f>IFERROR((Data_Entry!G286/Data_Entry!$V286/D$2),"")</f>
        <v>1.12119300278094</v>
      </c>
      <c r="E288" s="112">
        <f>IFERROR((Data_Entry!H286/Data_Entry!$V286/E$2),"")</f>
        <v>1.12665126206996</v>
      </c>
      <c r="F288" s="112">
        <f>IFERROR((Data_Entry!I286/Data_Entry!$V286/F$2),"")</f>
        <v>1.12140414135254</v>
      </c>
      <c r="G288" s="112">
        <f>IFERROR((Data_Entry!J286/Data_Entry!$V286/G$2),"")</f>
        <v>1.12082824626002</v>
      </c>
      <c r="H288" s="112">
        <f>IFERROR((Data_Entry!K286/Data_Entry!$V286/H$2),"")</f>
        <v>1.13549841598539</v>
      </c>
      <c r="I288" s="112">
        <f>IFERROR((Data_Entry!L286/Data_Entry!$V286/I$2),"")</f>
        <v>1.05514589544412</v>
      </c>
    </row>
    <row r="289" ht="15" spans="1:9">
      <c r="A289" s="111">
        <v>46032</v>
      </c>
      <c r="B289" s="29">
        <v>46032</v>
      </c>
      <c r="C289" s="112">
        <f>IFERROR((Data_Entry!F287/Data_Entry!$V287/C$2),"")</f>
        <v>1.12272992841137</v>
      </c>
      <c r="D289" s="112">
        <f>IFERROR((Data_Entry!G287/Data_Entry!$V287/D$2),"")</f>
        <v>1.18120522121849</v>
      </c>
      <c r="E289" s="112">
        <f>IFERROR((Data_Entry!H287/Data_Entry!$V287/E$2),"")</f>
        <v>1.18703337118281</v>
      </c>
      <c r="F289" s="112">
        <f>IFERROR((Data_Entry!I287/Data_Entry!$V287/F$2),"")</f>
        <v>1.16659927075102</v>
      </c>
      <c r="G289" s="112">
        <f>IFERROR((Data_Entry!J287/Data_Entry!$V287/G$2),"")</f>
        <v>1.18383157108461</v>
      </c>
      <c r="H289" s="112">
        <f>IFERROR((Data_Entry!K287/Data_Entry!$V287/H$2),"")</f>
        <v>1.19921706313544</v>
      </c>
      <c r="I289" s="112">
        <f>IFERROR((Data_Entry!L287/Data_Entry!$V287/I$2),"")</f>
        <v>1.11516325716565</v>
      </c>
    </row>
    <row r="290" ht="15" spans="1:9">
      <c r="A290" s="111">
        <v>46033</v>
      </c>
      <c r="B290" s="29">
        <v>46033</v>
      </c>
      <c r="C290" s="112">
        <f>IFERROR((Data_Entry!F288/Data_Entry!$V288/C$2),"")</f>
        <v>1.10166919144639</v>
      </c>
      <c r="D290" s="112">
        <f>IFERROR((Data_Entry!G288/Data_Entry!$V288/D$2),"")</f>
        <v>1.1609873307121</v>
      </c>
      <c r="E290" s="112">
        <f>IFERROR((Data_Entry!H288/Data_Entry!$V288/E$2),"")</f>
        <v>1.14999461002082</v>
      </c>
      <c r="F290" s="112">
        <f>IFERROR((Data_Entry!I288/Data_Entry!$V288/F$2),"")</f>
        <v>1.14659904647938</v>
      </c>
      <c r="G290" s="112">
        <f>IFERROR((Data_Entry!J288/Data_Entry!$V288/G$2),"")</f>
        <v>1.16291390908178</v>
      </c>
      <c r="H290" s="112">
        <f>IFERROR((Data_Entry!K288/Data_Entry!$V288/H$2),"")</f>
        <v>1.16015293233368</v>
      </c>
      <c r="I290" s="112">
        <f>IFERROR((Data_Entry!L288/Data_Entry!$V288/I$2),"")</f>
        <v>1.06495689620084</v>
      </c>
    </row>
    <row r="291" ht="15" spans="1:9">
      <c r="A291" s="111">
        <v>46034</v>
      </c>
      <c r="B291" s="29">
        <v>46034</v>
      </c>
      <c r="C291" s="112">
        <f>IFERROR((Data_Entry!F289/Data_Entry!$V289/C$2),"")</f>
        <v>1.30780426306934</v>
      </c>
      <c r="D291" s="112">
        <f>IFERROR((Data_Entry!G289/Data_Entry!$V289/D$2),"")</f>
        <v>1.37298359673938</v>
      </c>
      <c r="E291" s="112">
        <f>IFERROR((Data_Entry!H289/Data_Entry!$V289/E$2),"")</f>
        <v>1.37929240795198</v>
      </c>
      <c r="F291" s="112">
        <f>IFERROR((Data_Entry!I289/Data_Entry!$V289/F$2),"")</f>
        <v>1.35701788048668</v>
      </c>
      <c r="G291" s="112">
        <f>IFERROR((Data_Entry!J289/Data_Entry!$V289/G$2),"")</f>
        <v>1.2343356847771</v>
      </c>
      <c r="H291" s="112">
        <f>IFERROR((Data_Entry!K289/Data_Entry!$V289/H$2),"")</f>
        <v>1.44027401741201</v>
      </c>
      <c r="I291" s="112">
        <f>IFERROR((Data_Entry!L289/Data_Entry!$V289/I$2),"")</f>
        <v>1.31314577926013</v>
      </c>
    </row>
    <row r="292" ht="15" spans="1:9">
      <c r="A292" s="111">
        <v>46035</v>
      </c>
      <c r="B292" s="29">
        <v>46035</v>
      </c>
      <c r="C292" s="112">
        <f>IFERROR((Data_Entry!F290/Data_Entry!$V290/C$2),"")</f>
        <v>1.10204872506791</v>
      </c>
      <c r="D292" s="112">
        <f>IFERROR((Data_Entry!G290/Data_Entry!$V290/D$2),"")</f>
        <v>1.1998635226325</v>
      </c>
      <c r="E292" s="112">
        <f>IFERROR((Data_Entry!H290/Data_Entry!$V290/E$2),"")</f>
        <v>1.22500923689414</v>
      </c>
      <c r="F292" s="112">
        <f>IFERROR((Data_Entry!I290/Data_Entry!$V290/F$2),"")</f>
        <v>1.20182968208497</v>
      </c>
      <c r="G292" s="112">
        <f>IFERROR((Data_Entry!J290/Data_Entry!$V290/G$2),"")</f>
        <v>1.21203199583734</v>
      </c>
      <c r="H292" s="112">
        <f>IFERROR((Data_Entry!K290/Data_Entry!$V290/H$2),"")</f>
        <v>1.21950026218076</v>
      </c>
      <c r="I292" s="112">
        <f>IFERROR((Data_Entry!L290/Data_Entry!$V290/I$2),"")</f>
        <v>1.10777845121682</v>
      </c>
    </row>
    <row r="293" ht="15" spans="1:9">
      <c r="A293" s="111">
        <v>46036</v>
      </c>
      <c r="B293" s="29">
        <v>46036</v>
      </c>
      <c r="C293" s="112">
        <f>IFERROR((Data_Entry!F291/Data_Entry!$V291/C$2),"")</f>
        <v>1.08992943855329</v>
      </c>
      <c r="D293" s="112">
        <f>IFERROR((Data_Entry!G291/Data_Entry!$V291/D$2),"")</f>
        <v>1.21776083243973</v>
      </c>
      <c r="E293" s="112">
        <f>IFERROR((Data_Entry!H291/Data_Entry!$V291/E$2),"")</f>
        <v>1.22046149569085</v>
      </c>
      <c r="F293" s="112">
        <f>IFERROR((Data_Entry!I291/Data_Entry!$V291/F$2),"")</f>
        <v>1.19110933829721</v>
      </c>
      <c r="G293" s="112">
        <f>IFERROR((Data_Entry!J291/Data_Entry!$V291/G$2),"")</f>
        <v>1.2057287214846</v>
      </c>
      <c r="H293" s="112">
        <f>IFERROR((Data_Entry!K291/Data_Entry!$V291/H$2),"")</f>
        <v>1.21085088735667</v>
      </c>
      <c r="I293" s="112">
        <f>IFERROR((Data_Entry!L291/Data_Entry!$V291/I$2),"")</f>
        <v>1.13215061320366</v>
      </c>
    </row>
    <row r="294" ht="15" spans="1:9">
      <c r="A294" s="111">
        <v>46037</v>
      </c>
      <c r="B294" s="29">
        <v>46037</v>
      </c>
      <c r="C294" s="112">
        <f>IFERROR((Data_Entry!F292/Data_Entry!$V292/C$2),"")</f>
        <v>1.14513847088612</v>
      </c>
      <c r="D294" s="112">
        <f>IFERROR((Data_Entry!G292/Data_Entry!$V292/D$2),"")</f>
        <v>1.20096601837338</v>
      </c>
      <c r="E294" s="112">
        <f>IFERROR((Data_Entry!H292/Data_Entry!$V292/E$2),"")</f>
        <v>1.20698783721541</v>
      </c>
      <c r="F294" s="112">
        <f>IFERROR((Data_Entry!I292/Data_Entry!$V292/F$2),"")</f>
        <v>1.17316535346053</v>
      </c>
      <c r="G294" s="112">
        <f>IFERROR((Data_Entry!J292/Data_Entry!$V292/G$2),"")</f>
        <v>1.18961897410812</v>
      </c>
      <c r="H294" s="112">
        <f>IFERROR((Data_Entry!K292/Data_Entry!$V292/H$2),"")</f>
        <v>1.17335653121168</v>
      </c>
      <c r="I294" s="112">
        <f>IFERROR((Data_Entry!L292/Data_Entry!$V292/I$2),"")</f>
        <v>1.10101116996097</v>
      </c>
    </row>
    <row r="295" ht="15" spans="1:9">
      <c r="A295" s="111">
        <v>46038</v>
      </c>
      <c r="B295" s="29">
        <v>46038</v>
      </c>
      <c r="C295" s="112">
        <f>IFERROR((Data_Entry!F293/Data_Entry!$V293/C$2),"")</f>
        <v>1.12434826780115</v>
      </c>
      <c r="D295" s="112">
        <f>IFERROR((Data_Entry!G293/Data_Entry!$V293/D$2),"")</f>
        <v>1.1985234670806</v>
      </c>
      <c r="E295" s="112">
        <f>IFERROR((Data_Entry!H293/Data_Entry!$V293/E$2),"")</f>
        <v>1.20350875146538</v>
      </c>
      <c r="F295" s="112">
        <f>IFERROR((Data_Entry!I293/Data_Entry!$V293/F$2),"")</f>
        <v>1.1769243919224</v>
      </c>
      <c r="G295" s="112">
        <f>IFERROR((Data_Entry!J293/Data_Entry!$V293/G$2),"")</f>
        <v>1.19148900560947</v>
      </c>
      <c r="H295" s="112">
        <f>IFERROR((Data_Entry!K293/Data_Entry!$V293/H$2),"")</f>
        <v>1.17631338213708</v>
      </c>
      <c r="I295" s="112">
        <f>IFERROR((Data_Entry!L293/Data_Entry!$V293/I$2),"")</f>
        <v>1.10212882450617</v>
      </c>
    </row>
    <row r="296" ht="15" spans="1:9">
      <c r="A296" s="111">
        <v>46039</v>
      </c>
      <c r="B296" s="29">
        <v>46039</v>
      </c>
      <c r="C296" s="112">
        <f>IFERROR((Data_Entry!F294/Data_Entry!$V294/C$2),"")</f>
        <v>1.16904989262389</v>
      </c>
      <c r="D296" s="112">
        <f>IFERROR((Data_Entry!G294/Data_Entry!$V294/D$2),"")</f>
        <v>1.2290334538041</v>
      </c>
      <c r="E296" s="112">
        <f>IFERROR((Data_Entry!H294/Data_Entry!$V294/E$2),"")</f>
        <v>1.23427131305073</v>
      </c>
      <c r="F296" s="112">
        <f>IFERROR((Data_Entry!I294/Data_Entry!$V294/F$2),"")</f>
        <v>1.20601584025736</v>
      </c>
      <c r="G296" s="112">
        <f>IFERROR((Data_Entry!J294/Data_Entry!$V294/G$2),"")</f>
        <v>1.22104621896509</v>
      </c>
      <c r="H296" s="112">
        <f>IFERROR((Data_Entry!K294/Data_Entry!$V294/H$2),"")</f>
        <v>1.22760480454589</v>
      </c>
      <c r="I296" s="112">
        <f>IFERROR((Data_Entry!L294/Data_Entry!$V294/I$2),"")</f>
        <v>1.14922523352832</v>
      </c>
    </row>
    <row r="297" ht="15" spans="1:9">
      <c r="A297" s="111">
        <v>46040</v>
      </c>
      <c r="B297" s="29">
        <v>46040</v>
      </c>
      <c r="C297" s="112">
        <f>IFERROR((Data_Entry!F295/Data_Entry!$V295/C$2),"")</f>
        <v>1.25218191844752</v>
      </c>
      <c r="D297" s="112">
        <f>IFERROR((Data_Entry!G295/Data_Entry!$V295/D$2),"")</f>
        <v>1.31309821676794</v>
      </c>
      <c r="E297" s="112">
        <f>IFERROR((Data_Entry!H295/Data_Entry!$V295/E$2),"")</f>
        <v>1.31827427097392</v>
      </c>
      <c r="F297" s="112">
        <f>IFERROR((Data_Entry!I295/Data_Entry!$V295/F$2),"")</f>
        <v>1.28958198854293</v>
      </c>
      <c r="G297" s="112">
        <f>IFERROR((Data_Entry!J295/Data_Entry!$V295/G$2),"")</f>
        <v>1.29766240786531</v>
      </c>
      <c r="H297" s="112">
        <f>IFERROR((Data_Entry!K295/Data_Entry!$V295/H$2),"")</f>
        <v>1.30230981666634</v>
      </c>
      <c r="I297" s="112">
        <f>IFERROR((Data_Entry!L295/Data_Entry!$V295/I$2),"")</f>
        <v>1.29993551233751</v>
      </c>
    </row>
    <row r="298" ht="15" spans="1:9">
      <c r="A298" s="111">
        <v>46041</v>
      </c>
      <c r="B298" s="29">
        <v>46041</v>
      </c>
      <c r="C298" s="112">
        <f>IFERROR((Data_Entry!F296/Data_Entry!$V296/C$2),"")</f>
        <v>1.14204028644925</v>
      </c>
      <c r="D298" s="112">
        <f>IFERROR((Data_Entry!G296/Data_Entry!$V296/D$2),"")</f>
        <v>1.20078816604377</v>
      </c>
      <c r="E298" s="112">
        <f>IFERROR((Data_Entry!H296/Data_Entry!$V296/E$2),"")</f>
        <v>1.20420934666546</v>
      </c>
      <c r="F298" s="112">
        <f>IFERROR((Data_Entry!I296/Data_Entry!$V296/F$2),"")</f>
        <v>1.19100790829706</v>
      </c>
      <c r="G298" s="112">
        <f>IFERROR((Data_Entry!J296/Data_Entry!$V296/G$2),"")</f>
        <v>1.20889257939663</v>
      </c>
      <c r="H298" s="112">
        <f>IFERROR((Data_Entry!K296/Data_Entry!$V296/H$2),"")</f>
        <v>1.19334536089573</v>
      </c>
      <c r="I298" s="112">
        <f>IFERROR((Data_Entry!L296/Data_Entry!$V296/I$2),"")</f>
        <v>1.11917230424435</v>
      </c>
    </row>
    <row r="299" ht="15" spans="1:9">
      <c r="A299" s="111">
        <v>46042</v>
      </c>
      <c r="B299" s="29">
        <v>46042</v>
      </c>
      <c r="C299" s="112">
        <f>IFERROR((Data_Entry!F297/Data_Entry!$V297/C$2),"")</f>
        <v>1.14620863910178</v>
      </c>
      <c r="D299" s="112">
        <f>IFERROR((Data_Entry!G297/Data_Entry!$V297/D$2),"")</f>
        <v>1.2077608827835</v>
      </c>
      <c r="E299" s="112">
        <f>IFERROR((Data_Entry!H297/Data_Entry!$V297/E$2),"")</f>
        <v>1.21166951668308</v>
      </c>
      <c r="F299" s="112">
        <f>IFERROR((Data_Entry!I297/Data_Entry!$V297/F$2),"")</f>
        <v>1.18362080473801</v>
      </c>
      <c r="G299" s="112">
        <f>IFERROR((Data_Entry!J297/Data_Entry!$V297/G$2),"")</f>
        <v>1.19867590063717</v>
      </c>
      <c r="H299" s="112">
        <f>IFERROR((Data_Entry!K297/Data_Entry!$V297/H$2),"")</f>
        <v>1.20322386385859</v>
      </c>
      <c r="I299" s="112">
        <f>IFERROR((Data_Entry!L297/Data_Entry!$V297/I$2),"")</f>
        <v>1.12817578252389</v>
      </c>
    </row>
    <row r="300" ht="15" spans="1:9">
      <c r="A300" s="111">
        <v>46043</v>
      </c>
      <c r="B300" s="29">
        <v>46043</v>
      </c>
      <c r="C300" s="112">
        <f>IFERROR((Data_Entry!F298/Data_Entry!$V298/C$2),"")</f>
        <v>1.11795828341225</v>
      </c>
      <c r="D300" s="112">
        <f>IFERROR((Data_Entry!G298/Data_Entry!$V298/D$2),"")</f>
        <v>1.17063417443044</v>
      </c>
      <c r="E300" s="112">
        <f>IFERROR((Data_Entry!H298/Data_Entry!$V298/E$2),"")</f>
        <v>1.17542217352404</v>
      </c>
      <c r="F300" s="112">
        <f>IFERROR((Data_Entry!I298/Data_Entry!$V298/F$2),"")</f>
        <v>1.1488484006812</v>
      </c>
      <c r="G300" s="112">
        <f>IFERROR((Data_Entry!J298/Data_Entry!$V298/G$2),"")</f>
        <v>1.17035695278684</v>
      </c>
      <c r="H300" s="112">
        <f>IFERROR((Data_Entry!K298/Data_Entry!$V298/H$2),"")</f>
        <v>1.1567006092679</v>
      </c>
      <c r="I300" s="112">
        <f>IFERROR((Data_Entry!L298/Data_Entry!$V298/I$2),"")</f>
        <v>1.08284148076179</v>
      </c>
    </row>
    <row r="301" ht="15" spans="1:9">
      <c r="A301" s="111">
        <v>46044</v>
      </c>
      <c r="B301" s="29">
        <v>46044</v>
      </c>
      <c r="C301" s="112">
        <f>IFERROR((Data_Entry!F299/Data_Entry!$V299/C$2),"")</f>
        <v>1.13455376042965</v>
      </c>
      <c r="D301" s="112">
        <f>IFERROR((Data_Entry!G299/Data_Entry!$V299/D$2),"")</f>
        <v>1.18336177535773</v>
      </c>
      <c r="E301" s="112">
        <f>IFERROR((Data_Entry!H299/Data_Entry!$V299/E$2),"")</f>
        <v>1.18859986121418</v>
      </c>
      <c r="F301" s="112">
        <f>IFERROR((Data_Entry!I299/Data_Entry!$V299/F$2),"")</f>
        <v>1.16075438715354</v>
      </c>
      <c r="G301" s="112">
        <f>IFERROR((Data_Entry!J299/Data_Entry!$V299/G$2),"")</f>
        <v>1.17837284699205</v>
      </c>
      <c r="H301" s="112">
        <f>IFERROR((Data_Entry!K299/Data_Entry!$V299/H$2),"")</f>
        <v>1.16497952714028</v>
      </c>
      <c r="I301" s="112">
        <f>IFERROR((Data_Entry!L299/Data_Entry!$V299/I$2),"")</f>
        <v>1.09948611828388</v>
      </c>
    </row>
    <row r="302" ht="15" spans="1:9">
      <c r="A302" s="111">
        <v>46045</v>
      </c>
      <c r="B302" s="29">
        <v>46045</v>
      </c>
      <c r="C302" s="112">
        <f>IFERROR((Data_Entry!F300/Data_Entry!$V300/C$2),"")</f>
        <v>1.17188589275257</v>
      </c>
      <c r="D302" s="112">
        <f>IFERROR((Data_Entry!G300/Data_Entry!$V300/D$2),"")</f>
        <v>1.22646169535548</v>
      </c>
      <c r="E302" s="112">
        <f>IFERROR((Data_Entry!H300/Data_Entry!$V300/E$2),"")</f>
        <v>1.24031388148395</v>
      </c>
      <c r="F302" s="112">
        <f>IFERROR((Data_Entry!I300/Data_Entry!$V300/F$2),"")</f>
        <v>1.21124161076732</v>
      </c>
      <c r="G302" s="112">
        <f>IFERROR((Data_Entry!J300/Data_Entry!$V300/G$2),"")</f>
        <v>1.23907509689327</v>
      </c>
      <c r="H302" s="112">
        <f>IFERROR((Data_Entry!K300/Data_Entry!$V300/H$2),"")</f>
        <v>1.22043861209456</v>
      </c>
      <c r="I302" s="112">
        <f>IFERROR((Data_Entry!L300/Data_Entry!$V300/I$2),"")</f>
        <v>1.15667446824099</v>
      </c>
    </row>
    <row r="303" ht="15" spans="1:9">
      <c r="A303" s="111">
        <v>46046</v>
      </c>
      <c r="B303" s="29">
        <v>46046</v>
      </c>
      <c r="C303" s="112">
        <f>IFERROR((Data_Entry!F301/Data_Entry!$V301/C$2),"")</f>
        <v>1.23579828116549</v>
      </c>
      <c r="D303" s="112">
        <f>IFERROR((Data_Entry!G301/Data_Entry!$V301/D$2),"")</f>
        <v>1.29091932132424</v>
      </c>
      <c r="E303" s="112">
        <f>IFERROR((Data_Entry!H301/Data_Entry!$V301/E$2),"")</f>
        <v>1.29600333860865</v>
      </c>
      <c r="F303" s="112">
        <f>IFERROR((Data_Entry!I301/Data_Entry!$V301/F$2),"")</f>
        <v>1.2599276998227</v>
      </c>
      <c r="G303" s="112">
        <f>IFERROR((Data_Entry!J301/Data_Entry!$V301/G$2),"")</f>
        <v>1.27984948054199</v>
      </c>
      <c r="H303" s="112">
        <f>IFERROR((Data_Entry!K301/Data_Entry!$V301/H$2),"")</f>
        <v>1.26495476092521</v>
      </c>
      <c r="I303" s="112">
        <f>IFERROR((Data_Entry!L301/Data_Entry!$V301/I$2),"")</f>
        <v>1.19454607129954</v>
      </c>
    </row>
    <row r="304" ht="15" spans="1:9">
      <c r="A304" s="111">
        <v>46047</v>
      </c>
      <c r="B304" s="29">
        <v>46047</v>
      </c>
      <c r="C304" s="112">
        <f>IFERROR((Data_Entry!F302/Data_Entry!$V302/C$2),"")</f>
        <v>1.29289125029623</v>
      </c>
      <c r="D304" s="112">
        <f>IFERROR((Data_Entry!G302/Data_Entry!$V302/D$2),"")</f>
        <v>1.36176078181321</v>
      </c>
      <c r="E304" s="112">
        <f>IFERROR((Data_Entry!H302/Data_Entry!$V302/E$2),"")</f>
        <v>1.36712075604605</v>
      </c>
      <c r="F304" s="112">
        <f>IFERROR((Data_Entry!I302/Data_Entry!$V302/F$2),"")</f>
        <v>1.3367750831424</v>
      </c>
      <c r="G304" s="112">
        <f>IFERROR((Data_Entry!J302/Data_Entry!$V302/G$2),"")</f>
        <v>1.33505306022259</v>
      </c>
      <c r="H304" s="112">
        <f>IFERROR((Data_Entry!K302/Data_Entry!$V302/H$2),"")</f>
        <v>1.32025149048911</v>
      </c>
      <c r="I304" s="112">
        <f>IFERROR((Data_Entry!L302/Data_Entry!$V302/I$2),"")</f>
        <v>1.25203590073383</v>
      </c>
    </row>
    <row r="305" ht="15" spans="1:9">
      <c r="A305" s="111">
        <v>46048</v>
      </c>
      <c r="B305" s="29">
        <v>46048</v>
      </c>
      <c r="C305" s="112">
        <f>IFERROR((Data_Entry!F303/Data_Entry!$V303/C$2),"")</f>
        <v>1.13026955287979</v>
      </c>
      <c r="D305" s="112">
        <f>IFERROR((Data_Entry!G303/Data_Entry!$V303/D$2),"")</f>
        <v>1.19132125642928</v>
      </c>
      <c r="E305" s="112">
        <f>IFERROR((Data_Entry!H303/Data_Entry!$V303/E$2),"")</f>
        <v>1.19403384422621</v>
      </c>
      <c r="F305" s="112">
        <f>IFERROR((Data_Entry!I303/Data_Entry!$V303/F$2),"")</f>
        <v>1.17461253827815</v>
      </c>
      <c r="G305" s="112">
        <f>IFERROR((Data_Entry!J303/Data_Entry!$V303/G$2),"")</f>
        <v>1.16945858932812</v>
      </c>
      <c r="H305" s="112">
        <f>IFERROR((Data_Entry!K303/Data_Entry!$V303/H$2),"")</f>
        <v>1.15642878423222</v>
      </c>
      <c r="I305" s="112">
        <f>IFERROR((Data_Entry!L303/Data_Entry!$V303/I$2),"")</f>
        <v>1.09974241567072</v>
      </c>
    </row>
    <row r="306" ht="15" spans="1:9">
      <c r="A306" s="111">
        <v>46049</v>
      </c>
      <c r="B306" s="29">
        <v>46049</v>
      </c>
      <c r="C306" s="112">
        <f>IFERROR((Data_Entry!F304/Data_Entry!$V304/C$2),"")</f>
        <v>1.1587786596709</v>
      </c>
      <c r="D306" s="112">
        <f>IFERROR((Data_Entry!G304/Data_Entry!$V304/D$2),"")</f>
        <v>1.22090818299329</v>
      </c>
      <c r="E306" s="112">
        <f>IFERROR((Data_Entry!H304/Data_Entry!$V304/E$2),"")</f>
        <v>1.22646337350429</v>
      </c>
      <c r="F306" s="112">
        <f>IFERROR((Data_Entry!I304/Data_Entry!$V304/F$2),"")</f>
        <v>1.20277150099369</v>
      </c>
      <c r="G306" s="112">
        <f>IFERROR((Data_Entry!J304/Data_Entry!$V304/G$2),"")</f>
        <v>1.20076991354577</v>
      </c>
      <c r="H306" s="112">
        <f>IFERROR((Data_Entry!K304/Data_Entry!$V304/H$2),"")</f>
        <v>1.18796496974213</v>
      </c>
      <c r="I306" s="112">
        <f>IFERROR((Data_Entry!L304/Data_Entry!$V304/I$2),"")</f>
        <v>1.11884174458623</v>
      </c>
    </row>
    <row r="307" ht="15" spans="1:9">
      <c r="A307" s="111">
        <v>46050</v>
      </c>
      <c r="B307" s="29">
        <v>46050</v>
      </c>
      <c r="C307" s="112">
        <f>IFERROR((Data_Entry!F305/Data_Entry!$V305/C$2),"")</f>
        <v>1.19298376813505</v>
      </c>
      <c r="D307" s="112">
        <f>IFERROR((Data_Entry!G305/Data_Entry!$V305/D$2),"")</f>
        <v>1.24765825624697</v>
      </c>
      <c r="E307" s="112">
        <f>IFERROR((Data_Entry!H305/Data_Entry!$V305/E$2),"")</f>
        <v>1.2401481984734</v>
      </c>
      <c r="F307" s="112">
        <f>IFERROR((Data_Entry!I305/Data_Entry!$V305/F$2),"")</f>
        <v>1.06980091003549</v>
      </c>
      <c r="G307" s="112">
        <f>IFERROR((Data_Entry!J305/Data_Entry!$V305/G$2),"")</f>
        <v>1.20357830900227</v>
      </c>
      <c r="H307" s="112">
        <f>IFERROR((Data_Entry!K305/Data_Entry!$V305/H$2),"")</f>
        <v>1.18990837812181</v>
      </c>
      <c r="I307" s="112">
        <f>IFERROR((Data_Entry!L305/Data_Entry!$V305/I$2),"")</f>
        <v>1.11757595450065</v>
      </c>
    </row>
    <row r="308" ht="15" spans="1:9">
      <c r="A308" s="111">
        <v>46051</v>
      </c>
      <c r="B308" s="29">
        <v>46051</v>
      </c>
      <c r="C308" s="112">
        <f>IFERROR((Data_Entry!F306/Data_Entry!$V306/C$2),"")</f>
        <v>1.18258132879692</v>
      </c>
      <c r="D308" s="112">
        <f>IFERROR((Data_Entry!G306/Data_Entry!$V306/D$2),"")</f>
        <v>1.23723169881427</v>
      </c>
      <c r="E308" s="112">
        <f>IFERROR((Data_Entry!H306/Data_Entry!$V306/E$2),"")</f>
        <v>1.23778330487046</v>
      </c>
      <c r="F308" s="112">
        <f>IFERROR((Data_Entry!I306/Data_Entry!$V306/F$2),"")</f>
        <v>1.20702377259019</v>
      </c>
      <c r="G308" s="112">
        <f>IFERROR((Data_Entry!J306/Data_Entry!$V306/G$2),"")</f>
        <v>1.22272715760949</v>
      </c>
      <c r="H308" s="112">
        <f>IFERROR((Data_Entry!K306/Data_Entry!$V306/H$2),"")</f>
        <v>1.2176158080127</v>
      </c>
      <c r="I308" s="112">
        <f>IFERROR((Data_Entry!L306/Data_Entry!$V306/I$2),"")</f>
        <v>1.15380637917535</v>
      </c>
    </row>
    <row r="309" ht="15" spans="1:9">
      <c r="A309" s="111">
        <v>46052</v>
      </c>
      <c r="B309" s="29">
        <v>46052</v>
      </c>
      <c r="C309" s="112">
        <f>IFERROR((Data_Entry!F307/Data_Entry!$V307/C$2),"")</f>
        <v>1.19717740591513</v>
      </c>
      <c r="D309" s="112">
        <f>IFERROR((Data_Entry!G307/Data_Entry!$V307/D$2),"")</f>
        <v>1.25130113404104</v>
      </c>
      <c r="E309" s="112">
        <f>IFERROR((Data_Entry!H307/Data_Entry!$V307/E$2),"")</f>
        <v>1.25659761637224</v>
      </c>
      <c r="F309" s="112">
        <f>IFERROR((Data_Entry!I307/Data_Entry!$V307/F$2),"")</f>
        <v>1.23075691234044</v>
      </c>
      <c r="G309" s="112">
        <f>IFERROR((Data_Entry!J307/Data_Entry!$V307/G$2),"")</f>
        <v>1.25432894464173</v>
      </c>
      <c r="H309" s="112">
        <f>IFERROR((Data_Entry!K307/Data_Entry!$V307/H$2),"")</f>
        <v>1.25105835951481</v>
      </c>
      <c r="I309" s="112">
        <f>IFERROR((Data_Entry!L307/Data_Entry!$V307/I$2),"")</f>
        <v>1.20117506535215</v>
      </c>
    </row>
    <row r="310" ht="15" spans="1:9">
      <c r="A310" s="111">
        <v>46053</v>
      </c>
      <c r="B310" s="29">
        <v>46053</v>
      </c>
      <c r="C310" s="112">
        <f>IFERROR((Data_Entry!F308/Data_Entry!$V308/C$2),"")</f>
        <v>1.05957416327665</v>
      </c>
      <c r="D310" s="112">
        <f>IFERROR((Data_Entry!G308/Data_Entry!$V308/D$2),"")</f>
        <v>1.12326102250742</v>
      </c>
      <c r="E310" s="112">
        <f>IFERROR((Data_Entry!H308/Data_Entry!$V308/E$2),"")</f>
        <v>1.12811023074785</v>
      </c>
      <c r="F310" s="112">
        <f>IFERROR((Data_Entry!I308/Data_Entry!$V308/F$2),"")</f>
        <v>1.11217502557465</v>
      </c>
      <c r="G310" s="112">
        <f>IFERROR((Data_Entry!J308/Data_Entry!$V308/G$2),"")</f>
        <v>1.12547112981611</v>
      </c>
      <c r="H310" s="112">
        <f>IFERROR((Data_Entry!K308/Data_Entry!$V308/H$2),"")</f>
        <v>1.10511147019638</v>
      </c>
      <c r="I310" s="112">
        <f>IFERROR((Data_Entry!L308/Data_Entry!$V308/I$2),"")</f>
        <v>1.0668427722106</v>
      </c>
    </row>
    <row r="311" ht="15" spans="1:9">
      <c r="A311" s="111">
        <v>46054</v>
      </c>
      <c r="B311" s="29">
        <v>46054</v>
      </c>
      <c r="C311" s="112">
        <f>IFERROR((Data_Entry!F309/Data_Entry!$V309/C$2),"")</f>
        <v>1.11559542712082</v>
      </c>
      <c r="D311" s="112">
        <f>IFERROR((Data_Entry!G309/Data_Entry!$V309/D$2),"")</f>
        <v>1.16588549600024</v>
      </c>
      <c r="E311" s="112">
        <f>IFERROR((Data_Entry!H309/Data_Entry!$V309/E$2),"")</f>
        <v>1.16820417125336</v>
      </c>
      <c r="F311" s="112">
        <f>IFERROR((Data_Entry!I309/Data_Entry!$V309/F$2),"")</f>
        <v>1.15075539426715</v>
      </c>
      <c r="G311" s="112">
        <f>IFERROR((Data_Entry!J309/Data_Entry!$V309/G$2),"")</f>
        <v>1.16499291363607</v>
      </c>
      <c r="H311" s="112">
        <f>IFERROR((Data_Entry!K309/Data_Entry!$V309/H$2),"")</f>
        <v>1.15926966343468</v>
      </c>
      <c r="I311" s="112">
        <f>IFERROR((Data_Entry!L309/Data_Entry!$V309/I$2),"")</f>
        <v>1.11277760047793</v>
      </c>
    </row>
    <row r="312" ht="15" spans="1:9">
      <c r="A312" s="111">
        <v>46055</v>
      </c>
      <c r="B312" s="29">
        <v>46055</v>
      </c>
      <c r="C312" s="112">
        <f>IFERROR((Data_Entry!F310/Data_Entry!$V310/C$2),"")</f>
        <v>1.10266847751601</v>
      </c>
      <c r="D312" s="112">
        <f>IFERROR((Data_Entry!G310/Data_Entry!$V310/D$2),"")</f>
        <v>1.15365887758103</v>
      </c>
      <c r="E312" s="112">
        <f>IFERROR((Data_Entry!H310/Data_Entry!$V310/E$2),"")</f>
        <v>1.1585228951459</v>
      </c>
      <c r="F312" s="112">
        <f>IFERROR((Data_Entry!I310/Data_Entry!$V310/F$2),"")</f>
        <v>1.14142004369598</v>
      </c>
      <c r="G312" s="112">
        <f>IFERROR((Data_Entry!J310/Data_Entry!$V310/G$2),"")</f>
        <v>1.15198501174416</v>
      </c>
      <c r="H312" s="112">
        <f>IFERROR((Data_Entry!K310/Data_Entry!$V310/H$2),"")</f>
        <v>1.14753010315954</v>
      </c>
      <c r="I312" s="112">
        <f>IFERROR((Data_Entry!L310/Data_Entry!$V310/I$2),"")</f>
        <v>1.10308806687271</v>
      </c>
    </row>
    <row r="313" ht="15" spans="1:9">
      <c r="A313" s="111">
        <v>46056</v>
      </c>
      <c r="B313" s="29">
        <v>46056</v>
      </c>
      <c r="C313" s="112">
        <f>IFERROR((Data_Entry!F311/Data_Entry!$V311/C$2),"")</f>
        <v>1.12201770458651</v>
      </c>
      <c r="D313" s="112">
        <f>IFERROR((Data_Entry!G311/Data_Entry!$V311/D$2),"")</f>
        <v>1.17410422456294</v>
      </c>
      <c r="E313" s="112">
        <f>IFERROR((Data_Entry!H311/Data_Entry!$V311/E$2),"")</f>
        <v>1.18027088210574</v>
      </c>
      <c r="F313" s="112">
        <f>IFERROR((Data_Entry!I311/Data_Entry!$V311/F$2),"")</f>
        <v>1.16181256189234</v>
      </c>
      <c r="G313" s="112">
        <f>IFERROR((Data_Entry!J311/Data_Entry!$V311/G$2),"")</f>
        <v>1.1716845342693</v>
      </c>
      <c r="H313" s="112">
        <f>IFERROR((Data_Entry!K311/Data_Entry!$V311/H$2),"")</f>
        <v>1.16687945567084</v>
      </c>
      <c r="I313" s="112">
        <f>IFERROR((Data_Entry!L311/Data_Entry!$V311/I$2),"")</f>
        <v>1.1173963866425</v>
      </c>
    </row>
    <row r="314" ht="15" spans="1:9">
      <c r="A314" s="111">
        <v>46057</v>
      </c>
      <c r="B314" s="29">
        <v>46057</v>
      </c>
      <c r="C314" s="112">
        <f>IFERROR((Data_Entry!F312/Data_Entry!$V312/C$2),"")</f>
        <v>1.12617594195771</v>
      </c>
      <c r="D314" s="112">
        <f>IFERROR((Data_Entry!G312/Data_Entry!$V312/D$2),"")</f>
        <v>1.17965737658789</v>
      </c>
      <c r="E314" s="112">
        <f>IFERROR((Data_Entry!H312/Data_Entry!$V312/E$2),"")</f>
        <v>1.18313513540919</v>
      </c>
      <c r="F314" s="112">
        <f>IFERROR((Data_Entry!I312/Data_Entry!$V312/F$2),"")</f>
        <v>1.16530098702357</v>
      </c>
      <c r="G314" s="112">
        <f>IFERROR((Data_Entry!J312/Data_Entry!$V312/G$2),"")</f>
        <v>1.17794036879109</v>
      </c>
      <c r="H314" s="112">
        <f>IFERROR((Data_Entry!K312/Data_Entry!$V312/H$2),"")</f>
        <v>1.1720298665257</v>
      </c>
      <c r="I314" s="112">
        <f>IFERROR((Data_Entry!L312/Data_Entry!$V312/I$2),"")</f>
        <v>1.11923695718856</v>
      </c>
    </row>
    <row r="315" ht="15" spans="1:9">
      <c r="A315" s="111">
        <v>46058</v>
      </c>
      <c r="B315" s="29">
        <v>46058</v>
      </c>
      <c r="C315" s="112">
        <f>IFERROR((Data_Entry!F313/Data_Entry!$V313/C$2),"")</f>
        <v>1.09822465119593</v>
      </c>
      <c r="D315" s="112">
        <f>IFERROR((Data_Entry!G313/Data_Entry!$V313/D$2),"")</f>
        <v>1.15251432906221</v>
      </c>
      <c r="E315" s="112">
        <f>IFERROR((Data_Entry!H313/Data_Entry!$V313/E$2),"")</f>
        <v>1.15604682533363</v>
      </c>
      <c r="F315" s="112">
        <f>IFERROR((Data_Entry!I313/Data_Entry!$V313/F$2),"")</f>
        <v>1.13809832111151</v>
      </c>
      <c r="G315" s="112">
        <f>IFERROR((Data_Entry!J313/Data_Entry!$V313/G$2),"")</f>
        <v>1.15083366000897</v>
      </c>
      <c r="H315" s="112">
        <f>IFERROR((Data_Entry!K313/Data_Entry!$V313/H$2),"")</f>
        <v>1.14613754853245</v>
      </c>
      <c r="I315" s="112">
        <f>IFERROR((Data_Entry!L313/Data_Entry!$V313/I$2),"")</f>
        <v>1.09486689244273</v>
      </c>
    </row>
    <row r="316" ht="15" spans="1:9">
      <c r="A316" s="111">
        <v>46059</v>
      </c>
      <c r="B316" s="29">
        <v>46059</v>
      </c>
      <c r="C316" s="112">
        <f>IFERROR((Data_Entry!F314/Data_Entry!$V314/C$2),"")</f>
        <v>1.11296181541122</v>
      </c>
      <c r="D316" s="112">
        <f>IFERROR((Data_Entry!G314/Data_Entry!$V314/D$2),"")</f>
        <v>1.16718363502965</v>
      </c>
      <c r="E316" s="112">
        <f>IFERROR((Data_Entry!H314/Data_Entry!$V314/E$2),"")</f>
        <v>1.17133097357846</v>
      </c>
      <c r="F316" s="112">
        <f>IFERROR((Data_Entry!I314/Data_Entry!$V314/F$2),"")</f>
        <v>1.15193521025612</v>
      </c>
      <c r="G316" s="112">
        <f>IFERROR((Data_Entry!J314/Data_Entry!$V314/G$2),"")</f>
        <v>1.16777602344331</v>
      </c>
      <c r="H316" s="112">
        <f>IFERROR((Data_Entry!K314/Data_Entry!$V314/H$2),"")</f>
        <v>1.16232989188713</v>
      </c>
      <c r="I316" s="112">
        <f>IFERROR((Data_Entry!L314/Data_Entry!$V314/I$2),"")</f>
        <v>1.10407196146075</v>
      </c>
    </row>
    <row r="317" ht="15" spans="1:9">
      <c r="A317" s="111">
        <v>46060</v>
      </c>
      <c r="B317" s="29">
        <v>46060</v>
      </c>
      <c r="C317" s="112">
        <f>IFERROR((Data_Entry!F315/Data_Entry!$V315/C$2),"")</f>
        <v>1.09846094555575</v>
      </c>
      <c r="D317" s="112">
        <f>IFERROR((Data_Entry!G315/Data_Entry!$V315/D$2),"")</f>
        <v>1.15290814067572</v>
      </c>
      <c r="E317" s="112">
        <f>IFERROR((Data_Entry!H315/Data_Entry!$V315/E$2),"")</f>
        <v>1.15381277460788</v>
      </c>
      <c r="F317" s="112">
        <f>IFERROR((Data_Entry!I315/Data_Entry!$V315/F$2),"")</f>
        <v>1.13626114955725</v>
      </c>
      <c r="G317" s="112">
        <f>IFERROR((Data_Entry!J315/Data_Entry!$V315/G$2),"")</f>
        <v>1.14964870848397</v>
      </c>
      <c r="H317" s="112">
        <f>IFERROR((Data_Entry!K315/Data_Entry!$V315/H$2),"")</f>
        <v>1.14580057672732</v>
      </c>
      <c r="I317" s="112">
        <f>IFERROR((Data_Entry!L315/Data_Entry!$V315/I$2),"")</f>
        <v>1.09253877502781</v>
      </c>
    </row>
    <row r="318" ht="15" spans="1:9">
      <c r="A318" s="111">
        <v>46061</v>
      </c>
      <c r="B318" s="29">
        <v>46061</v>
      </c>
      <c r="C318" s="112">
        <f>IFERROR((Data_Entry!F316/Data_Entry!$V316/C$2),"")</f>
        <v>1.09369308098512</v>
      </c>
      <c r="D318" s="112">
        <f>IFERROR((Data_Entry!G316/Data_Entry!$V316/D$2),"")</f>
        <v>1.14622603593676</v>
      </c>
      <c r="E318" s="112">
        <f>IFERROR((Data_Entry!H316/Data_Entry!$V316/E$2),"")</f>
        <v>1.15040187853058</v>
      </c>
      <c r="F318" s="112">
        <f>IFERROR((Data_Entry!I316/Data_Entry!$V316/F$2),"")</f>
        <v>1.13110494988605</v>
      </c>
      <c r="G318" s="112">
        <f>IFERROR((Data_Entry!J316/Data_Entry!$V316/G$2),"")</f>
        <v>1.14658450528541</v>
      </c>
      <c r="H318" s="112">
        <f>IFERROR((Data_Entry!K316/Data_Entry!$V316/H$2),"")</f>
        <v>1.14141102111627</v>
      </c>
      <c r="I318" s="112">
        <f>IFERROR((Data_Entry!L316/Data_Entry!$V316/I$2),"")</f>
        <v>1.08590682929902</v>
      </c>
    </row>
    <row r="319" ht="15" spans="1:9">
      <c r="A319" s="111">
        <v>46062</v>
      </c>
      <c r="B319" s="29">
        <v>46062</v>
      </c>
      <c r="C319" s="112">
        <f>IFERROR((Data_Entry!F317/Data_Entry!$V317/C$2),"")</f>
        <v>1.11702299701193</v>
      </c>
      <c r="D319" s="112">
        <f>IFERROR((Data_Entry!G317/Data_Entry!$V317/D$2),"")</f>
        <v>1.18753668052291</v>
      </c>
      <c r="E319" s="112">
        <f>IFERROR((Data_Entry!H317/Data_Entry!$V317/E$2),"")</f>
        <v>1.19149672567157</v>
      </c>
      <c r="F319" s="112">
        <f>IFERROR((Data_Entry!I317/Data_Entry!$V317/F$2),"")</f>
        <v>1.17122504451903</v>
      </c>
      <c r="G319" s="112">
        <f>IFERROR((Data_Entry!J317/Data_Entry!$V317/G$2),"")</f>
        <v>1.18652195463574</v>
      </c>
      <c r="H319" s="112">
        <f>IFERROR((Data_Entry!K317/Data_Entry!$V317/H$2),"")</f>
        <v>1.14958857657954</v>
      </c>
      <c r="I319" s="112">
        <f>IFERROR((Data_Entry!L317/Data_Entry!$V317/I$2),"")</f>
        <v>1.12099776575208</v>
      </c>
    </row>
    <row r="320" ht="15" spans="1:9">
      <c r="A320" s="111">
        <v>46063</v>
      </c>
      <c r="B320" s="29">
        <v>46063</v>
      </c>
      <c r="C320" s="112">
        <f>IFERROR((Data_Entry!F318/Data_Entry!$V318/C$2),"")</f>
        <v>1.19873413675159</v>
      </c>
      <c r="D320" s="112">
        <f>IFERROR((Data_Entry!G318/Data_Entry!$V318/D$2),"")</f>
        <v>1.2035290732986</v>
      </c>
      <c r="E320" s="112">
        <f>IFERROR((Data_Entry!H318/Data_Entry!$V318/E$2),"")</f>
        <v>1.20577463586882</v>
      </c>
      <c r="F320" s="112">
        <f>IFERROR((Data_Entry!I318/Data_Entry!$V318/F$2),"")</f>
        <v>1.14655208684609</v>
      </c>
      <c r="G320" s="112">
        <f>IFERROR((Data_Entry!J318/Data_Entry!$V318/G$2),"")</f>
        <v>1.20141904852034</v>
      </c>
      <c r="H320" s="112">
        <f>IFERROR((Data_Entry!K318/Data_Entry!$V318/H$2),"")</f>
        <v>1.19963121315432</v>
      </c>
      <c r="I320" s="112">
        <f>IFERROR((Data_Entry!L318/Data_Entry!$V318/I$2),"")</f>
        <v>1.13688008703915</v>
      </c>
    </row>
    <row r="321" ht="15" spans="1:9">
      <c r="A321" s="111">
        <v>46064</v>
      </c>
      <c r="B321" s="29">
        <v>46064</v>
      </c>
      <c r="C321" s="112">
        <f>IFERROR((Data_Entry!F319/Data_Entry!$V319/C$2),"")</f>
        <v>1.18773290139155</v>
      </c>
      <c r="D321" s="112">
        <f>IFERROR((Data_Entry!G319/Data_Entry!$V319/D$2),"")</f>
        <v>1.19103255175701</v>
      </c>
      <c r="E321" s="112">
        <f>IFERROR((Data_Entry!H319/Data_Entry!$V319/E$2),"")</f>
        <v>1.19533365242793</v>
      </c>
      <c r="F321" s="112">
        <f>IFERROR((Data_Entry!I319/Data_Entry!$V319/F$2),"")</f>
        <v>1.04389974082421</v>
      </c>
      <c r="G321" s="112">
        <f>IFERROR((Data_Entry!J319/Data_Entry!$V319/G$2),"")</f>
        <v>1.18289479113654</v>
      </c>
      <c r="H321" s="112">
        <f>IFERROR((Data_Entry!K319/Data_Entry!$V319/H$2),"")</f>
        <v>1.18240969620039</v>
      </c>
      <c r="I321" s="112">
        <f>IFERROR((Data_Entry!L319/Data_Entry!$V319/I$2),"")</f>
        <v>1.12759396841553</v>
      </c>
    </row>
    <row r="322" ht="15" spans="1:9">
      <c r="A322" s="111">
        <v>46065</v>
      </c>
      <c r="B322" s="29">
        <v>46065</v>
      </c>
      <c r="C322" s="112">
        <f>IFERROR((Data_Entry!F320/Data_Entry!$V320/C$2),"")</f>
        <v>1.15541578232062</v>
      </c>
      <c r="D322" s="112">
        <f>IFERROR((Data_Entry!G320/Data_Entry!$V320/D$2),"")</f>
        <v>1.15857115594715</v>
      </c>
      <c r="E322" s="112">
        <f>IFERROR((Data_Entry!H320/Data_Entry!$V320/E$2),"")</f>
        <v>1.16040758339779</v>
      </c>
      <c r="F322" s="112">
        <f>IFERROR((Data_Entry!I320/Data_Entry!$V320/F$2),"")</f>
        <v>1.13717909466086</v>
      </c>
      <c r="G322" s="112">
        <f>IFERROR((Data_Entry!J320/Data_Entry!$V320/G$2),"")</f>
        <v>1.15307888517478</v>
      </c>
      <c r="H322" s="112">
        <f>IFERROR((Data_Entry!K320/Data_Entry!$V320/H$2),"")</f>
        <v>1.1526020121867</v>
      </c>
      <c r="I322" s="112">
        <f>IFERROR((Data_Entry!L320/Data_Entry!$V320/I$2),"")</f>
        <v>1.10902547926339</v>
      </c>
    </row>
    <row r="323" ht="15" spans="1:9">
      <c r="A323" s="111">
        <v>46066</v>
      </c>
      <c r="B323" s="29">
        <v>46066</v>
      </c>
      <c r="C323" s="112">
        <f>IFERROR((Data_Entry!F321/Data_Entry!$V321/C$2),"")</f>
        <v>1.12993337372658</v>
      </c>
      <c r="D323" s="112">
        <f>IFERROR((Data_Entry!G321/Data_Entry!$V321/D$2),"")</f>
        <v>1.1305827526098</v>
      </c>
      <c r="E323" s="112">
        <f>IFERROR((Data_Entry!H321/Data_Entry!$V321/E$2),"")</f>
        <v>1.13445785051072</v>
      </c>
      <c r="F323" s="112">
        <f>IFERROR((Data_Entry!I321/Data_Entry!$V321/F$2),"")</f>
        <v>1.11583301353367</v>
      </c>
      <c r="G323" s="112">
        <f>IFERROR((Data_Entry!J321/Data_Entry!$V321/G$2),"")</f>
        <v>1.14994197695336</v>
      </c>
      <c r="H323" s="112">
        <f>IFERROR((Data_Entry!K321/Data_Entry!$V321/H$2),"")</f>
        <v>1.17600981301104</v>
      </c>
      <c r="I323" s="112">
        <f>IFERROR((Data_Entry!L321/Data_Entry!$V321/I$2),"")</f>
        <v>1.11804077898067</v>
      </c>
    </row>
    <row r="324" ht="15" spans="1:9">
      <c r="A324" s="111">
        <v>46067</v>
      </c>
      <c r="B324" s="29">
        <v>46067</v>
      </c>
      <c r="C324" s="112">
        <f>IFERROR((Data_Entry!F322/Data_Entry!$V322/C$2),"")</f>
        <v>1.1403328582444</v>
      </c>
      <c r="D324" s="112">
        <f>IFERROR((Data_Entry!G322/Data_Entry!$V322/D$2),"")</f>
        <v>1.16676857848746</v>
      </c>
      <c r="E324" s="112">
        <f>IFERROR((Data_Entry!H322/Data_Entry!$V322/E$2),"")</f>
        <v>1.19201704475203</v>
      </c>
      <c r="F324" s="112">
        <f>IFERROR((Data_Entry!I322/Data_Entry!$V322/F$2),"")</f>
        <v>1.1780962093201</v>
      </c>
      <c r="G324" s="112">
        <f>IFERROR((Data_Entry!J322/Data_Entry!$V322/G$2),"")</f>
        <v>1.19969341907349</v>
      </c>
      <c r="H324" s="112">
        <f>IFERROR((Data_Entry!K322/Data_Entry!$V322/H$2),"")</f>
        <v>1.19809412351615</v>
      </c>
      <c r="I324" s="112">
        <f>IFERROR((Data_Entry!L322/Data_Entry!$V322/I$2),"")</f>
        <v>1.13628605403522</v>
      </c>
    </row>
    <row r="325" ht="15" spans="1:9">
      <c r="A325" s="111">
        <v>46068</v>
      </c>
      <c r="B325" s="29">
        <v>46068</v>
      </c>
      <c r="C325" s="112">
        <f>IFERROR((Data_Entry!F323/Data_Entry!$V323/C$2),"")</f>
        <v>1.21863740713682</v>
      </c>
      <c r="D325" s="112">
        <f>IFERROR((Data_Entry!G323/Data_Entry!$V323/D$2),"")</f>
        <v>1.22301213162568</v>
      </c>
      <c r="E325" s="112">
        <f>IFERROR((Data_Entry!H323/Data_Entry!$V323/E$2),"")</f>
        <v>1.22755412499205</v>
      </c>
      <c r="F325" s="112">
        <f>IFERROR((Data_Entry!I323/Data_Entry!$V323/F$2),"")</f>
        <v>1.19149257734007</v>
      </c>
      <c r="G325" s="112">
        <f>IFERROR((Data_Entry!J323/Data_Entry!$V323/G$2),"")</f>
        <v>1.20928293711886</v>
      </c>
      <c r="H325" s="112">
        <f>IFERROR((Data_Entry!K323/Data_Entry!$V323/H$2),"")</f>
        <v>1.20872295000718</v>
      </c>
      <c r="I325" s="112">
        <f>IFERROR((Data_Entry!L323/Data_Entry!$V323/I$2),"")</f>
        <v>1.15897024893089</v>
      </c>
    </row>
    <row r="326" ht="15" spans="1:9">
      <c r="A326" s="111">
        <v>46069</v>
      </c>
      <c r="B326" s="29">
        <v>46069</v>
      </c>
      <c r="C326" s="112">
        <f>IFERROR((Data_Entry!F324/Data_Entry!$V324/C$2),"")</f>
        <v>1.20011807535136</v>
      </c>
      <c r="D326" s="112">
        <f>IFERROR((Data_Entry!G324/Data_Entry!$V324/D$2),"")</f>
        <v>1.20321793602347</v>
      </c>
      <c r="E326" s="112">
        <f>IFERROR((Data_Entry!H324/Data_Entry!$V324/E$2),"")</f>
        <v>1.20724903056003</v>
      </c>
      <c r="F326" s="112">
        <f>IFERROR((Data_Entry!I324/Data_Entry!$V324/F$2),"")</f>
        <v>1.1749908454553</v>
      </c>
      <c r="G326" s="112">
        <f>IFERROR((Data_Entry!J324/Data_Entry!$V324/G$2),"")</f>
        <v>1.19228106849918</v>
      </c>
      <c r="H326" s="112">
        <f>IFERROR((Data_Entry!K324/Data_Entry!$V324/H$2),"")</f>
        <v>1.19196381670021</v>
      </c>
      <c r="I326" s="112">
        <f>IFERROR((Data_Entry!L324/Data_Entry!$V324/I$2),"")</f>
        <v>1.14193564840106</v>
      </c>
    </row>
    <row r="327" ht="15" spans="1:9">
      <c r="A327" s="111">
        <v>46070</v>
      </c>
      <c r="B327" s="29">
        <v>46070</v>
      </c>
      <c r="C327" s="112">
        <f>IFERROR((Data_Entry!F325/Data_Entry!$V325/C$2),"")</f>
        <v>1.2211068747766</v>
      </c>
      <c r="D327" s="112">
        <f>IFERROR((Data_Entry!G325/Data_Entry!$V325/D$2),"")</f>
        <v>1.22297825827942</v>
      </c>
      <c r="E327" s="112">
        <f>IFERROR((Data_Entry!H325/Data_Entry!$V325/E$2),"")</f>
        <v>1.22760167634519</v>
      </c>
      <c r="F327" s="112">
        <f>IFERROR((Data_Entry!I325/Data_Entry!$V325/F$2),"")</f>
        <v>1.19777666013423</v>
      </c>
      <c r="G327" s="112">
        <f>IFERROR((Data_Entry!J325/Data_Entry!$V325/G$2),"")</f>
        <v>1.21391780034537</v>
      </c>
      <c r="H327" s="112">
        <f>IFERROR((Data_Entry!K325/Data_Entry!$V325/H$2),"")</f>
        <v>1.20707361004095</v>
      </c>
      <c r="I327" s="112">
        <f>IFERROR((Data_Entry!L325/Data_Entry!$V325/I$2),"")</f>
        <v>1.15781402136131</v>
      </c>
    </row>
    <row r="328" ht="15" spans="1:9">
      <c r="A328" s="111">
        <v>46071</v>
      </c>
      <c r="B328" s="29">
        <v>46071</v>
      </c>
      <c r="C328" s="112">
        <f>IFERROR((Data_Entry!F326/Data_Entry!$V326/C$2),"")</f>
        <v>1.22254489785906</v>
      </c>
      <c r="D328" s="112">
        <f>IFERROR((Data_Entry!G326/Data_Entry!$V326/D$2),"")</f>
        <v>1.22231336237581</v>
      </c>
      <c r="E328" s="112">
        <f>IFERROR((Data_Entry!H326/Data_Entry!$V326/E$2),"")</f>
        <v>1.22397791476891</v>
      </c>
      <c r="F328" s="112">
        <f>IFERROR((Data_Entry!I326/Data_Entry!$V326/F$2),"")</f>
        <v>1.18488759684169</v>
      </c>
      <c r="G328" s="112">
        <f>IFERROR((Data_Entry!J326/Data_Entry!$V326/G$2),"")</f>
        <v>1.20562784347884</v>
      </c>
      <c r="H328" s="112">
        <f>IFERROR((Data_Entry!K326/Data_Entry!$V326/H$2),"")</f>
        <v>1.20411347626406</v>
      </c>
      <c r="I328" s="112">
        <f>IFERROR((Data_Entry!L326/Data_Entry!$V326/I$2),"")</f>
        <v>1.15898772752021</v>
      </c>
    </row>
    <row r="329" ht="15" spans="1:9">
      <c r="A329" s="111">
        <v>46072</v>
      </c>
      <c r="B329" s="29">
        <v>46072</v>
      </c>
      <c r="C329" s="112">
        <f>IFERROR((Data_Entry!F327/Data_Entry!$V327/C$2),"")</f>
        <v>1.18464509628303</v>
      </c>
      <c r="D329" s="112">
        <f>IFERROR((Data_Entry!G327/Data_Entry!$V327/D$2),"")</f>
        <v>1.18498533260476</v>
      </c>
      <c r="E329" s="112">
        <f>IFERROR((Data_Entry!H327/Data_Entry!$V327/E$2),"")</f>
        <v>1.18824646565077</v>
      </c>
      <c r="F329" s="112">
        <f>IFERROR((Data_Entry!I327/Data_Entry!$V327/F$2),"")</f>
        <v>1.15508472827806</v>
      </c>
      <c r="G329" s="112">
        <f>IFERROR((Data_Entry!J327/Data_Entry!$V327/G$2),"")</f>
        <v>1.17466659854869</v>
      </c>
      <c r="H329" s="112">
        <f>IFERROR((Data_Entry!K327/Data_Entry!$V327/H$2),"")</f>
        <v>1.17445782351288</v>
      </c>
      <c r="I329" s="112">
        <f>IFERROR((Data_Entry!L327/Data_Entry!$V327/I$2),"")</f>
        <v>1.12904311278175</v>
      </c>
    </row>
    <row r="330" ht="15" spans="1:9">
      <c r="A330" s="111">
        <v>46073</v>
      </c>
      <c r="B330" s="29">
        <v>46073</v>
      </c>
      <c r="C330" s="112">
        <f>IFERROR((Data_Entry!F328/Data_Entry!$V328/C$2),"")</f>
        <v>1.17015317182123</v>
      </c>
      <c r="D330" s="112">
        <f>IFERROR((Data_Entry!G328/Data_Entry!$V328/D$2),"")</f>
        <v>1.17052810964404</v>
      </c>
      <c r="E330" s="112">
        <f>IFERROR((Data_Entry!H328/Data_Entry!$V328/E$2),"")</f>
        <v>1.17331931343608</v>
      </c>
      <c r="F330" s="112">
        <f>IFERROR((Data_Entry!I328/Data_Entry!$V328/F$2),"")</f>
        <v>1.14972117365416</v>
      </c>
      <c r="G330" s="112">
        <f>IFERROR((Data_Entry!J328/Data_Entry!$V328/G$2),"")</f>
        <v>1.16633798325063</v>
      </c>
      <c r="H330" s="112">
        <f>IFERROR((Data_Entry!K328/Data_Entry!$V328/H$2),"")</f>
        <v>1.16500305969791</v>
      </c>
      <c r="I330" s="112">
        <f>IFERROR((Data_Entry!L328/Data_Entry!$V328/I$2),"")</f>
        <v>1.11837371510287</v>
      </c>
    </row>
    <row r="331" ht="15" spans="1:9">
      <c r="A331" s="111">
        <v>46074</v>
      </c>
      <c r="B331" s="29">
        <v>46074</v>
      </c>
      <c r="C331" s="112">
        <f>IFERROR((Data_Entry!F329/Data_Entry!$V329/C$2),"")</f>
        <v>1.18710793053575</v>
      </c>
      <c r="D331" s="112">
        <f>IFERROR((Data_Entry!G329/Data_Entry!$V329/D$2),"")</f>
        <v>1.1880229039895</v>
      </c>
      <c r="E331" s="112">
        <f>IFERROR((Data_Entry!H329/Data_Entry!$V329/E$2),"")</f>
        <v>1.19126872222688</v>
      </c>
      <c r="F331" s="112">
        <f>IFERROR((Data_Entry!I329/Data_Entry!$V329/F$2),"")</f>
        <v>1.16597294391846</v>
      </c>
      <c r="G331" s="112">
        <f>IFERROR((Data_Entry!J329/Data_Entry!$V329/G$2),"")</f>
        <v>1.1832595829691</v>
      </c>
      <c r="H331" s="112">
        <f>IFERROR((Data_Entry!K329/Data_Entry!$V329/H$2),"")</f>
        <v>1.18254409753906</v>
      </c>
      <c r="I331" s="112">
        <f>IFERROR((Data_Entry!L329/Data_Entry!$V329/I$2),"")</f>
        <v>1.1320001625174</v>
      </c>
    </row>
    <row r="332" ht="15" spans="1:9">
      <c r="A332" s="111">
        <v>46075</v>
      </c>
      <c r="B332" s="29">
        <v>46075</v>
      </c>
      <c r="C332" s="112">
        <f>IFERROR((Data_Entry!F330/Data_Entry!$V330/C$2),"")</f>
        <v>1.10470460077275</v>
      </c>
      <c r="D332" s="112">
        <f>IFERROR((Data_Entry!G330/Data_Entry!$V330/D$2),"")</f>
        <v>1.10462658791623</v>
      </c>
      <c r="E332" s="112">
        <f>IFERROR((Data_Entry!H330/Data_Entry!$V330/E$2),"")</f>
        <v>1.10932154346309</v>
      </c>
      <c r="F332" s="112">
        <f>IFERROR((Data_Entry!I330/Data_Entry!$V330/F$2),"")</f>
        <v>1.08260815295404</v>
      </c>
      <c r="G332" s="112">
        <f>IFERROR((Data_Entry!J330/Data_Entry!$V330/G$2),"")</f>
        <v>1.10060537976659</v>
      </c>
      <c r="H332" s="112">
        <f>IFERROR((Data_Entry!K330/Data_Entry!$V330/H$2),"")</f>
        <v>1.10062573094655</v>
      </c>
      <c r="I332" s="112">
        <f>IFERROR((Data_Entry!L330/Data_Entry!$V330/I$2),"")</f>
        <v>1.0648890589343</v>
      </c>
    </row>
    <row r="333" ht="15" spans="1:9">
      <c r="A333" s="111">
        <v>46076</v>
      </c>
      <c r="B333" s="29">
        <v>46076</v>
      </c>
      <c r="C333" s="112">
        <f>IFERROR((Data_Entry!F331/Data_Entry!$V331/C$2),"")</f>
        <v>1.02693527899561</v>
      </c>
      <c r="D333" s="112">
        <f>IFERROR((Data_Entry!G331/Data_Entry!$V331/D$2),"")</f>
        <v>1.02659630171459</v>
      </c>
      <c r="E333" s="112">
        <f>IFERROR((Data_Entry!H331/Data_Entry!$V331/E$2),"")</f>
        <v>1.02779354062203</v>
      </c>
      <c r="F333" s="112">
        <f>IFERROR((Data_Entry!I331/Data_Entry!$V331/F$2),"")</f>
        <v>1.01001181472231</v>
      </c>
      <c r="G333" s="112">
        <f>IFERROR((Data_Entry!J331/Data_Entry!$V331/G$2),"")</f>
        <v>1.01991145650015</v>
      </c>
      <c r="H333" s="112">
        <f>IFERROR((Data_Entry!K331/Data_Entry!$V331/H$2),"")</f>
        <v>1.01931126915891</v>
      </c>
      <c r="I333" s="112">
        <f>IFERROR((Data_Entry!L331/Data_Entry!$V331/I$2),"")</f>
        <v>0.989791710157253</v>
      </c>
    </row>
    <row r="334" ht="15" spans="1:9">
      <c r="A334" s="111">
        <v>46077</v>
      </c>
      <c r="B334" s="29">
        <v>46077</v>
      </c>
      <c r="C334" s="112">
        <f>IFERROR((Data_Entry!F332/Data_Entry!$V332/C$2),"")</f>
        <v>1.14018975226963</v>
      </c>
      <c r="D334" s="112">
        <f>IFERROR((Data_Entry!G332/Data_Entry!$V332/D$2),"")</f>
        <v>1.14052151726808</v>
      </c>
      <c r="E334" s="112">
        <f>IFERROR((Data_Entry!H332/Data_Entry!$V332/E$2),"")</f>
        <v>1.14104080161347</v>
      </c>
      <c r="F334" s="112">
        <f>IFERROR((Data_Entry!I332/Data_Entry!$V332/F$2),"")</f>
        <v>1.11919761989156</v>
      </c>
      <c r="G334" s="112">
        <f>IFERROR((Data_Entry!J332/Data_Entry!$V332/G$2),"")</f>
        <v>1.12760024266885</v>
      </c>
      <c r="H334" s="112">
        <f>IFERROR((Data_Entry!K332/Data_Entry!$V332/H$2),"")</f>
        <v>1.12545474539156</v>
      </c>
      <c r="I334" s="112">
        <f>IFERROR((Data_Entry!L332/Data_Entry!$V332/I$2),"")</f>
        <v>1.08478687899409</v>
      </c>
    </row>
    <row r="335" ht="15" spans="1:9">
      <c r="A335" s="111">
        <v>46078</v>
      </c>
      <c r="B335" s="29">
        <v>46078</v>
      </c>
      <c r="C335" s="112">
        <f>IFERROR((Data_Entry!F333/Data_Entry!$V333/C$2),"")</f>
        <v>1.15322676731378</v>
      </c>
      <c r="D335" s="112">
        <f>IFERROR((Data_Entry!G333/Data_Entry!$V333/D$2),"")</f>
        <v>1.13922820668529</v>
      </c>
      <c r="E335" s="112">
        <f>IFERROR((Data_Entry!H333/Data_Entry!$V333/E$2),"")</f>
        <v>1.11709234461898</v>
      </c>
      <c r="F335" s="112">
        <f>IFERROR((Data_Entry!I333/Data_Entry!$V333/F$2),"")</f>
        <v>1.08300445388856</v>
      </c>
      <c r="G335" s="112">
        <f>IFERROR((Data_Entry!J333/Data_Entry!$V333/G$2),"")</f>
        <v>1.10802081361129</v>
      </c>
      <c r="H335" s="112">
        <f>IFERROR((Data_Entry!K333/Data_Entry!$V333/H$2),"")</f>
        <v>1.10310370593674</v>
      </c>
      <c r="I335" s="112">
        <f>IFERROR((Data_Entry!L333/Data_Entry!$V333/I$2),"")</f>
        <v>1.06711001821628</v>
      </c>
    </row>
    <row r="336" ht="15" spans="1:9">
      <c r="A336" s="111">
        <v>46079</v>
      </c>
      <c r="B336" s="29">
        <v>46079</v>
      </c>
      <c r="C336" s="112">
        <f>IFERROR((Data_Entry!F334/Data_Entry!$V334/C$2),"")</f>
        <v>1.22863991301274</v>
      </c>
      <c r="D336" s="112">
        <f>IFERROR((Data_Entry!G334/Data_Entry!$V334/D$2),"")</f>
        <v>1.2275322973226</v>
      </c>
      <c r="E336" s="112">
        <f>IFERROR((Data_Entry!H334/Data_Entry!$V334/E$2),"")</f>
        <v>1.2294721892093</v>
      </c>
      <c r="F336" s="112">
        <f>IFERROR((Data_Entry!I334/Data_Entry!$V334/F$2),"")</f>
        <v>1.19887604024458</v>
      </c>
      <c r="G336" s="112">
        <f>IFERROR((Data_Entry!J334/Data_Entry!$V334/G$2),"")</f>
        <v>1.21628228475275</v>
      </c>
      <c r="H336" s="112">
        <f>IFERROR((Data_Entry!K334/Data_Entry!$V334/H$2),"")</f>
        <v>1.19124434775905</v>
      </c>
      <c r="I336" s="112">
        <f>IFERROR((Data_Entry!L334/Data_Entry!$V334/I$2),"")</f>
        <v>1.12867644066003</v>
      </c>
    </row>
    <row r="337" ht="15" spans="1:9">
      <c r="A337" s="111">
        <v>46080</v>
      </c>
      <c r="B337" s="29">
        <v>46080</v>
      </c>
      <c r="C337" s="112">
        <f>IFERROR((Data_Entry!F335/Data_Entry!$V335/C$2),"")</f>
        <v>1.22378421663679</v>
      </c>
      <c r="D337" s="112">
        <f>IFERROR((Data_Entry!G335/Data_Entry!$V335/D$2),"")</f>
        <v>1.21827020856251</v>
      </c>
      <c r="E337" s="112">
        <f>IFERROR((Data_Entry!H335/Data_Entry!$V335/E$2),"")</f>
        <v>1.218678910166</v>
      </c>
      <c r="F337" s="112">
        <f>IFERROR((Data_Entry!I335/Data_Entry!$V335/F$2),"")</f>
        <v>1.18708811341533</v>
      </c>
      <c r="G337" s="112">
        <f>IFERROR((Data_Entry!J335/Data_Entry!$V335/G$2),"")</f>
        <v>1.2071846669856</v>
      </c>
      <c r="H337" s="112">
        <f>IFERROR((Data_Entry!K335/Data_Entry!$V335/H$2),"")</f>
        <v>1.20061833510688</v>
      </c>
      <c r="I337" s="112">
        <f>IFERROR((Data_Entry!L335/Data_Entry!$V335/I$2),"")</f>
        <v>1.1528451233556</v>
      </c>
    </row>
    <row r="338" ht="15" spans="1:9">
      <c r="A338" s="111">
        <v>46081</v>
      </c>
      <c r="B338" s="29">
        <v>46081</v>
      </c>
      <c r="C338" s="112">
        <f>IFERROR((Data_Entry!F336/Data_Entry!$V336/C$2),"")</f>
        <v>1.23163491019209</v>
      </c>
      <c r="D338" s="112">
        <f>IFERROR((Data_Entry!G336/Data_Entry!$V336/D$2),"")</f>
        <v>1.23036450320056</v>
      </c>
      <c r="E338" s="112">
        <f>IFERROR((Data_Entry!H336/Data_Entry!$V336/E$2),"")</f>
        <v>1.23181375389478</v>
      </c>
      <c r="F338" s="112">
        <f>IFERROR((Data_Entry!I336/Data_Entry!$V336/F$2),"")</f>
        <v>1.20002354837983</v>
      </c>
      <c r="G338" s="112">
        <f>IFERROR((Data_Entry!J336/Data_Entry!$V336/G$2),"")</f>
        <v>1.22117107886147</v>
      </c>
      <c r="H338" s="112">
        <f>IFERROR((Data_Entry!K336/Data_Entry!$V336/H$2),"")</f>
        <v>1.2209941120792</v>
      </c>
      <c r="I338" s="112">
        <f>IFERROR((Data_Entry!L336/Data_Entry!$V336/I$2),"")</f>
        <v>1.16341502002025</v>
      </c>
    </row>
    <row r="339" ht="15" spans="1:9">
      <c r="A339" s="111">
        <v>46082</v>
      </c>
      <c r="B339" s="29">
        <v>46082</v>
      </c>
      <c r="C339" s="112">
        <f>IFERROR((Data_Entry!F337/Data_Entry!$V337/C$2),"")</f>
        <v>1.23049538552373</v>
      </c>
      <c r="D339" s="112">
        <f>IFERROR((Data_Entry!G337/Data_Entry!$V337/D$2),"")</f>
        <v>1.22981237777007</v>
      </c>
      <c r="E339" s="112">
        <f>IFERROR((Data_Entry!H337/Data_Entry!$V337/E$2),"")</f>
        <v>1.23093807573443</v>
      </c>
      <c r="F339" s="112">
        <f>IFERROR((Data_Entry!I337/Data_Entry!$V337/F$2),"")</f>
        <v>1.20688459937289</v>
      </c>
      <c r="G339" s="112">
        <f>IFERROR((Data_Entry!J337/Data_Entry!$V337/G$2),"")</f>
        <v>1.22909719936135</v>
      </c>
      <c r="H339" s="112">
        <f>IFERROR((Data_Entry!K337/Data_Entry!$V337/H$2),"")</f>
        <v>1.22891572387125</v>
      </c>
      <c r="I339" s="112">
        <f>IFERROR((Data_Entry!L337/Data_Entry!$V337/I$2),"")</f>
        <v>1.18475668794648</v>
      </c>
    </row>
    <row r="340" ht="15" spans="1:9">
      <c r="A340" s="111">
        <v>46083</v>
      </c>
      <c r="B340" s="29">
        <v>46083</v>
      </c>
      <c r="C340" s="112">
        <f>IFERROR((Data_Entry!F338/Data_Entry!$V338/C$2),"")</f>
        <v>1.21486758582137</v>
      </c>
      <c r="D340" s="112">
        <f>IFERROR((Data_Entry!G338/Data_Entry!$V338/D$2),"")</f>
        <v>1.21351250830219</v>
      </c>
      <c r="E340" s="112">
        <f>IFERROR((Data_Entry!H338/Data_Entry!$V338/E$2),"")</f>
        <v>1.21445544242844</v>
      </c>
      <c r="F340" s="112">
        <f>IFERROR((Data_Entry!I338/Data_Entry!$V338/F$2),"")</f>
        <v>1.18701478328485</v>
      </c>
      <c r="G340" s="112">
        <f>IFERROR((Data_Entry!J338/Data_Entry!$V338/G$2),"")</f>
        <v>1.19911626899608</v>
      </c>
      <c r="H340" s="112">
        <f>IFERROR((Data_Entry!K338/Data_Entry!$V338/H$2),"")</f>
        <v>1.20169664502137</v>
      </c>
      <c r="I340" s="112">
        <f>IFERROR((Data_Entry!L338/Data_Entry!$V338/I$2),"")</f>
        <v>1.16910745151671</v>
      </c>
    </row>
    <row r="341" ht="15" spans="1:9">
      <c r="A341" s="111">
        <v>46084</v>
      </c>
      <c r="B341" s="29">
        <v>46084</v>
      </c>
      <c r="C341" s="112">
        <f>IFERROR((Data_Entry!F339/Data_Entry!$V339/C$2),"")</f>
        <v>1.20278156227498</v>
      </c>
      <c r="D341" s="112">
        <f>IFERROR((Data_Entry!G339/Data_Entry!$V339/D$2),"")</f>
        <v>1.20043747636488</v>
      </c>
      <c r="E341" s="112">
        <f>IFERROR((Data_Entry!H339/Data_Entry!$V339/E$2),"")</f>
        <v>1.20235418749579</v>
      </c>
      <c r="F341" s="112">
        <f>IFERROR((Data_Entry!I339/Data_Entry!$V339/F$2),"")</f>
        <v>1.17765288248804</v>
      </c>
      <c r="G341" s="112">
        <f>IFERROR((Data_Entry!J339/Data_Entry!$V339/G$2),"")</f>
        <v>1.1912421616988</v>
      </c>
      <c r="H341" s="112">
        <f>IFERROR((Data_Entry!K339/Data_Entry!$V339/H$2),"")</f>
        <v>1.19290211011652</v>
      </c>
      <c r="I341" s="112">
        <f>IFERROR((Data_Entry!L339/Data_Entry!$V339/I$2),"")</f>
        <v>1.16262043916785</v>
      </c>
    </row>
    <row r="342" ht="15" spans="1:9">
      <c r="A342" s="111">
        <v>46085</v>
      </c>
      <c r="B342" s="29">
        <v>46085</v>
      </c>
      <c r="C342" s="112">
        <f>IFERROR((Data_Entry!F340/Data_Entry!$V340/C$2),"")</f>
        <v>1.1619191525913</v>
      </c>
      <c r="D342" s="112">
        <f>IFERROR((Data_Entry!G340/Data_Entry!$V340/D$2),"")</f>
        <v>1.16243636981804</v>
      </c>
      <c r="E342" s="112">
        <f>IFERROR((Data_Entry!H340/Data_Entry!$V340/E$2),"")</f>
        <v>1.16631238325223</v>
      </c>
      <c r="F342" s="112">
        <f>IFERROR((Data_Entry!I340/Data_Entry!$V340/F$2),"")</f>
        <v>0.468026048284171</v>
      </c>
      <c r="G342" s="112">
        <f>IFERROR((Data_Entry!J340/Data_Entry!$V340/G$2),"")</f>
        <v>1.15699949287244</v>
      </c>
      <c r="H342" s="112">
        <f>IFERROR((Data_Entry!K340/Data_Entry!$V340/H$2),"")</f>
        <v>1.16144609796694</v>
      </c>
      <c r="I342" s="112">
        <f>IFERROR((Data_Entry!L340/Data_Entry!$V340/I$2),"")</f>
        <v>1.13090400077631</v>
      </c>
    </row>
    <row r="343" ht="15" spans="1:9">
      <c r="A343" s="111">
        <v>46086</v>
      </c>
      <c r="B343" s="29">
        <v>46086</v>
      </c>
      <c r="C343" s="112">
        <f>IFERROR((Data_Entry!F341/Data_Entry!$V341/C$2),"")</f>
        <v>1.1678167110375</v>
      </c>
      <c r="D343" s="112">
        <f>IFERROR((Data_Entry!G341/Data_Entry!$V341/D$2),"")</f>
        <v>1.17198563205482</v>
      </c>
      <c r="E343" s="112">
        <f>IFERROR((Data_Entry!H341/Data_Entry!$V341/E$2),"")</f>
        <v>1.1770762325357</v>
      </c>
      <c r="F343" s="112">
        <f>IFERROR((Data_Entry!I341/Data_Entry!$V341/F$2),"")</f>
        <v>0.446816828570868</v>
      </c>
      <c r="G343" s="112">
        <f>IFERROR((Data_Entry!J341/Data_Entry!$V341/G$2),"")</f>
        <v>1.16282722195184</v>
      </c>
      <c r="H343" s="112">
        <f>IFERROR((Data_Entry!K341/Data_Entry!$V341/H$2),"")</f>
        <v>1.16553626426801</v>
      </c>
      <c r="I343" s="112">
        <f>IFERROR((Data_Entry!L341/Data_Entry!$V341/I$2),"")</f>
        <v>1.13822981833536</v>
      </c>
    </row>
    <row r="344" ht="15" spans="1:9">
      <c r="A344" s="111">
        <v>46087</v>
      </c>
      <c r="B344" s="29">
        <v>46087</v>
      </c>
      <c r="C344" s="112">
        <f>IFERROR((Data_Entry!F342/Data_Entry!$V342/C$2),"")</f>
        <v>1.17478618259602</v>
      </c>
      <c r="D344" s="112">
        <f>IFERROR((Data_Entry!G342/Data_Entry!$V342/D$2),"")</f>
        <v>1.17863339195859</v>
      </c>
      <c r="E344" s="112">
        <f>IFERROR((Data_Entry!H342/Data_Entry!$V342/E$2),"")</f>
        <v>1.18503957845777</v>
      </c>
      <c r="F344" s="112">
        <f>IFERROR((Data_Entry!I342/Data_Entry!$V342/F$2),"")</f>
        <v>1.14054145736082</v>
      </c>
      <c r="G344" s="112">
        <f>IFERROR((Data_Entry!J342/Data_Entry!$V342/G$2),"")</f>
        <v>1.17143064557623</v>
      </c>
      <c r="H344" s="112">
        <f>IFERROR((Data_Entry!K342/Data_Entry!$V342/H$2),"")</f>
        <v>1.1708675033362</v>
      </c>
      <c r="I344" s="112">
        <f>IFERROR((Data_Entry!L342/Data_Entry!$V342/I$2),"")</f>
        <v>1.14634014973339</v>
      </c>
    </row>
    <row r="345" ht="15" spans="1:9">
      <c r="A345" s="111">
        <v>46088</v>
      </c>
      <c r="B345" s="29">
        <v>46088</v>
      </c>
      <c r="C345" s="112">
        <f>IFERROR((Data_Entry!F343/Data_Entry!$V343/C$2),"")</f>
        <v>1.16314634028864</v>
      </c>
      <c r="D345" s="112">
        <f>IFERROR((Data_Entry!G343/Data_Entry!$V343/D$2),"")</f>
        <v>1.16323506670959</v>
      </c>
      <c r="E345" s="112">
        <f>IFERROR((Data_Entry!H343/Data_Entry!$V343/E$2),"")</f>
        <v>1.16638485465345</v>
      </c>
      <c r="F345" s="112">
        <f>IFERROR((Data_Entry!I343/Data_Entry!$V343/F$2),"")</f>
        <v>1.13231280681569</v>
      </c>
      <c r="G345" s="112">
        <f>IFERROR((Data_Entry!J343/Data_Entry!$V343/G$2),"")</f>
        <v>1.15432412345736</v>
      </c>
      <c r="H345" s="112">
        <f>IFERROR((Data_Entry!K343/Data_Entry!$V343/H$2),"")</f>
        <v>1.15613061543181</v>
      </c>
      <c r="I345" s="112">
        <f>IFERROR((Data_Entry!L343/Data_Entry!$V343/I$2),"")</f>
        <v>1.13404655414687</v>
      </c>
    </row>
    <row r="346" ht="15" spans="1:9">
      <c r="A346" s="111">
        <v>46089</v>
      </c>
      <c r="B346" s="29">
        <v>46089</v>
      </c>
      <c r="C346" s="112">
        <f>IFERROR((Data_Entry!F344/Data_Entry!$V344/C$2),"")</f>
        <v>1.15044242408032</v>
      </c>
      <c r="D346" s="112">
        <f>IFERROR((Data_Entry!G344/Data_Entry!$V344/D$2),"")</f>
        <v>1.15202294429031</v>
      </c>
      <c r="E346" s="112">
        <f>IFERROR((Data_Entry!H344/Data_Entry!$V344/E$2),"")</f>
        <v>1.1549833802221</v>
      </c>
      <c r="F346" s="112">
        <f>IFERROR((Data_Entry!I344/Data_Entry!$V344/F$2),"")</f>
        <v>1.1225071258203</v>
      </c>
      <c r="G346" s="112">
        <f>IFERROR((Data_Entry!J344/Data_Entry!$V344/G$2),"")</f>
        <v>1.14427125913332</v>
      </c>
      <c r="H346" s="112">
        <f>IFERROR((Data_Entry!K344/Data_Entry!$V344/H$2),"")</f>
        <v>1.14884155269037</v>
      </c>
      <c r="I346" s="112">
        <f>IFERROR((Data_Entry!L344/Data_Entry!$V344/I$2),"")</f>
        <v>1.12469342401044</v>
      </c>
    </row>
    <row r="347" ht="15" spans="1:9">
      <c r="A347" s="111">
        <v>46090</v>
      </c>
      <c r="B347" s="29">
        <v>46090</v>
      </c>
      <c r="C347" s="112">
        <f>IFERROR((Data_Entry!F345/Data_Entry!$V345/C$2),"")</f>
        <v>1.12041655266081</v>
      </c>
      <c r="D347" s="112">
        <f>IFERROR((Data_Entry!G345/Data_Entry!$V345/D$2),"")</f>
        <v>1.1211582774842</v>
      </c>
      <c r="E347" s="112">
        <f>IFERROR((Data_Entry!H345/Data_Entry!$V345/E$2),"")</f>
        <v>1.12402510279364</v>
      </c>
      <c r="F347" s="112">
        <f>IFERROR((Data_Entry!I345/Data_Entry!$V345/F$2),"")</f>
        <v>1.0750362001641</v>
      </c>
      <c r="G347" s="112">
        <f>IFERROR((Data_Entry!J345/Data_Entry!$V345/G$2),"")</f>
        <v>1.11442900589811</v>
      </c>
      <c r="H347" s="112">
        <f>IFERROR((Data_Entry!K345/Data_Entry!$V345/H$2),"")</f>
        <v>1.11992462888216</v>
      </c>
      <c r="I347" s="112">
        <f>IFERROR((Data_Entry!L345/Data_Entry!$V345/I$2),"")</f>
        <v>1.09712567656412</v>
      </c>
    </row>
    <row r="348" ht="15" spans="1:9">
      <c r="A348" s="111">
        <v>46091</v>
      </c>
      <c r="B348" s="29">
        <v>46091</v>
      </c>
      <c r="C348" s="112">
        <f>IFERROR((Data_Entry!F346/Data_Entry!$V346/C$2),"")</f>
        <v>1.11330562416128</v>
      </c>
      <c r="D348" s="112">
        <f>IFERROR((Data_Entry!G346/Data_Entry!$V346/D$2),"")</f>
        <v>1.11566126771361</v>
      </c>
      <c r="E348" s="112">
        <f>IFERROR((Data_Entry!H346/Data_Entry!$V346/E$2),"")</f>
        <v>1.11781516849319</v>
      </c>
      <c r="F348" s="112">
        <f>IFERROR((Data_Entry!I346/Data_Entry!$V346/F$2),"")</f>
        <v>1.07238718497711</v>
      </c>
      <c r="G348" s="112">
        <f>IFERROR((Data_Entry!J346/Data_Entry!$V346/G$2),"")</f>
        <v>1.10961930385473</v>
      </c>
      <c r="H348" s="112">
        <f>IFERROR((Data_Entry!K346/Data_Entry!$V346/H$2),"")</f>
        <v>1.11191225751731</v>
      </c>
      <c r="I348" s="112">
        <f>IFERROR((Data_Entry!L346/Data_Entry!$V346/I$2),"")</f>
        <v>1.09232566571142</v>
      </c>
    </row>
    <row r="349" ht="15" spans="1:9">
      <c r="A349" s="111">
        <v>46092</v>
      </c>
      <c r="B349" s="29">
        <v>46092</v>
      </c>
      <c r="C349" s="112">
        <f>IFERROR((Data_Entry!F347/Data_Entry!$V347/C$2),"")</f>
        <v>1.09527230810529</v>
      </c>
      <c r="D349" s="112">
        <f>IFERROR((Data_Entry!G347/Data_Entry!$V347/D$2),"")</f>
        <v>1.09892088310348</v>
      </c>
      <c r="E349" s="112">
        <f>IFERROR((Data_Entry!H347/Data_Entry!$V347/E$2),"")</f>
        <v>1.10109806556142</v>
      </c>
      <c r="F349" s="112">
        <f>IFERROR((Data_Entry!I347/Data_Entry!$V347/F$2),"")</f>
        <v>1.05288096370896</v>
      </c>
      <c r="G349" s="112">
        <f>IFERROR((Data_Entry!J347/Data_Entry!$V347/G$2),"")</f>
        <v>1.09279788250958</v>
      </c>
      <c r="H349" s="112">
        <f>IFERROR((Data_Entry!K347/Data_Entry!$V347/H$2),"")</f>
        <v>1.0977124064095</v>
      </c>
      <c r="I349" s="112">
        <f>IFERROR((Data_Entry!L347/Data_Entry!$V347/I$2),"")</f>
        <v>1.07987365725939</v>
      </c>
    </row>
    <row r="350" ht="15" spans="1:9">
      <c r="A350" s="111">
        <v>46093</v>
      </c>
      <c r="B350" s="29">
        <v>46093</v>
      </c>
      <c r="C350" s="112">
        <f>IFERROR((Data_Entry!F348/Data_Entry!$V348/C$2),"")</f>
        <v>1.10462009516889</v>
      </c>
      <c r="D350" s="112">
        <f>IFERROR((Data_Entry!G348/Data_Entry!$V348/D$2),"")</f>
        <v>1.10626226080419</v>
      </c>
      <c r="E350" s="112">
        <f>IFERROR((Data_Entry!H348/Data_Entry!$V348/E$2),"")</f>
        <v>1.11206378027488</v>
      </c>
      <c r="F350" s="112">
        <f>IFERROR((Data_Entry!I348/Data_Entry!$V348/F$2),"")</f>
        <v>1.08556060277558</v>
      </c>
      <c r="G350" s="112">
        <f>IFERROR((Data_Entry!J348/Data_Entry!$V348/G$2),"")</f>
        <v>1.10254093940817</v>
      </c>
      <c r="H350" s="112">
        <f>IFERROR((Data_Entry!K348/Data_Entry!$V348/H$2),"")</f>
        <v>1.10582579183575</v>
      </c>
      <c r="I350" s="112">
        <f>IFERROR((Data_Entry!L348/Data_Entry!$V348/I$2),"")</f>
        <v>1.08975122602961</v>
      </c>
    </row>
    <row r="351" ht="15" spans="1:9">
      <c r="A351" s="111">
        <v>46094</v>
      </c>
      <c r="B351" s="29">
        <v>46094</v>
      </c>
      <c r="C351" s="112">
        <f>IFERROR((Data_Entry!F349/Data_Entry!$V349/C$2),"")</f>
        <v>1.09863883757267</v>
      </c>
      <c r="D351" s="112">
        <f>IFERROR((Data_Entry!G349/Data_Entry!$V349/D$2),"")</f>
        <v>1.09908776176831</v>
      </c>
      <c r="E351" s="112">
        <f>IFERROR((Data_Entry!H349/Data_Entry!$V349/E$2),"")</f>
        <v>1.1061188853188</v>
      </c>
      <c r="F351" s="112">
        <f>IFERROR((Data_Entry!I349/Data_Entry!$V349/F$2),"")</f>
        <v>1.0839303717412</v>
      </c>
      <c r="G351" s="112">
        <f>IFERROR((Data_Entry!J349/Data_Entry!$V349/G$2),"")</f>
        <v>1.0976771585966</v>
      </c>
      <c r="H351" s="112">
        <f>IFERROR((Data_Entry!K349/Data_Entry!$V349/H$2),"")</f>
        <v>1.10124006578496</v>
      </c>
      <c r="I351" s="112">
        <f>IFERROR((Data_Entry!L349/Data_Entry!$V349/I$2),"")</f>
        <v>1.08466732485671</v>
      </c>
    </row>
    <row r="352" ht="15" spans="1:9">
      <c r="A352" s="111">
        <v>46095</v>
      </c>
      <c r="B352" s="29">
        <v>46095</v>
      </c>
      <c r="C352" s="112">
        <f>IFERROR((Data_Entry!F350/Data_Entry!$V350/C$2),"")</f>
        <v>1.09153064816371</v>
      </c>
      <c r="D352" s="112">
        <f>IFERROR((Data_Entry!G350/Data_Entry!$V350/D$2),"")</f>
        <v>1.09428846870853</v>
      </c>
      <c r="E352" s="112">
        <f>IFERROR((Data_Entry!H350/Data_Entry!$V350/E$2),"")</f>
        <v>1.09749365644646</v>
      </c>
      <c r="F352" s="112">
        <f>IFERROR((Data_Entry!I350/Data_Entry!$V350/F$2),"")</f>
        <v>1.01796989071556</v>
      </c>
      <c r="G352" s="112">
        <f>IFERROR((Data_Entry!J350/Data_Entry!$V350/G$2),"")</f>
        <v>1.0906236031778</v>
      </c>
      <c r="H352" s="112">
        <f>IFERROR((Data_Entry!K350/Data_Entry!$V350/H$2),"")</f>
        <v>1.09342401839759</v>
      </c>
      <c r="I352" s="112">
        <f>IFERROR((Data_Entry!L350/Data_Entry!$V350/I$2),"")</f>
        <v>1.07442777821231</v>
      </c>
    </row>
    <row r="353" ht="15" spans="1:9">
      <c r="A353" s="111">
        <v>46096</v>
      </c>
      <c r="B353" s="29">
        <v>46096</v>
      </c>
      <c r="C353" s="112">
        <f>IFERROR((Data_Entry!F351/Data_Entry!$V351/C$2),"")</f>
        <v>1.09301456688223</v>
      </c>
      <c r="D353" s="112">
        <f>IFERROR((Data_Entry!G351/Data_Entry!$V351/D$2),"")</f>
        <v>1.09585251489102</v>
      </c>
      <c r="E353" s="112">
        <f>IFERROR((Data_Entry!H351/Data_Entry!$V351/E$2),"")</f>
        <v>1.09825656175797</v>
      </c>
      <c r="F353" s="112">
        <f>IFERROR((Data_Entry!I351/Data_Entry!$V351/F$2),"")</f>
        <v>0.884957439753617</v>
      </c>
      <c r="G353" s="112">
        <f>IFERROR((Data_Entry!J351/Data_Entry!$V351/G$2),"")</f>
        <v>1.09229029358965</v>
      </c>
      <c r="H353" s="112">
        <f>IFERROR((Data_Entry!K351/Data_Entry!$V351/H$2),"")</f>
        <v>1.09527406501391</v>
      </c>
      <c r="I353" s="112">
        <f>IFERROR((Data_Entry!L351/Data_Entry!$V351/I$2),"")</f>
        <v>1.07882967062304</v>
      </c>
    </row>
    <row r="354" ht="15" spans="1:9">
      <c r="A354" s="111">
        <v>46097</v>
      </c>
      <c r="B354" s="29">
        <v>46097</v>
      </c>
      <c r="C354" s="112">
        <f>IFERROR((Data_Entry!F352/Data_Entry!$V352/C$2),"")</f>
        <v>1.09532766667258</v>
      </c>
      <c r="D354" s="112">
        <f>IFERROR((Data_Entry!G352/Data_Entry!$V352/D$2),"")</f>
        <v>1.09480913564103</v>
      </c>
      <c r="E354" s="112">
        <f>IFERROR((Data_Entry!H352/Data_Entry!$V352/E$2),"")</f>
        <v>1.0985713663477</v>
      </c>
      <c r="F354" s="112">
        <f>IFERROR((Data_Entry!I352/Data_Entry!$V352/F$2),"")</f>
        <v>0.960714255404018</v>
      </c>
      <c r="G354" s="112">
        <f>IFERROR((Data_Entry!J352/Data_Entry!$V352/G$2),"")</f>
        <v>1.08596179385204</v>
      </c>
      <c r="H354" s="112">
        <f>IFERROR((Data_Entry!K352/Data_Entry!$V352/H$2),"")</f>
        <v>1.08777489897588</v>
      </c>
      <c r="I354" s="112">
        <f>IFERROR((Data_Entry!L352/Data_Entry!$V352/I$2),"")</f>
        <v>1.07371644556888</v>
      </c>
    </row>
    <row r="355" ht="15" spans="1:9">
      <c r="A355" s="111">
        <v>46098</v>
      </c>
      <c r="B355" s="29">
        <v>46098</v>
      </c>
      <c r="C355" s="112">
        <f>IFERROR((Data_Entry!F353/Data_Entry!$V353/C$2),"")</f>
        <v>1.15952845356332</v>
      </c>
      <c r="D355" s="112">
        <f>IFERROR((Data_Entry!G353/Data_Entry!$V353/D$2),"")</f>
        <v>1.14762562997148</v>
      </c>
      <c r="E355" s="112">
        <f>IFERROR((Data_Entry!H353/Data_Entry!$V353/E$2),"")</f>
        <v>1.11438554135656</v>
      </c>
      <c r="F355" s="112">
        <f>IFERROR((Data_Entry!I353/Data_Entry!$V353/F$2),"")</f>
        <v>1.02251544281589</v>
      </c>
      <c r="G355" s="112">
        <f>IFERROR((Data_Entry!J353/Data_Entry!$V353/G$2),"")</f>
        <v>1.08560572230424</v>
      </c>
      <c r="H355" s="112">
        <f>IFERROR((Data_Entry!K353/Data_Entry!$V353/H$2),"")</f>
        <v>1.08970352563193</v>
      </c>
      <c r="I355" s="112">
        <f>IFERROR((Data_Entry!L353/Data_Entry!$V353/I$2),"")</f>
        <v>1.07331798794905</v>
      </c>
    </row>
    <row r="356" ht="15" spans="1:9">
      <c r="A356" s="111">
        <v>46099</v>
      </c>
      <c r="B356" s="29">
        <v>46099</v>
      </c>
      <c r="C356" s="112">
        <f>IFERROR((Data_Entry!F354/Data_Entry!$V354/C$2),"")</f>
        <v>1.13710682408587</v>
      </c>
      <c r="D356" s="112">
        <f>IFERROR((Data_Entry!G354/Data_Entry!$V354/D$2),"")</f>
        <v>1.13407485505175</v>
      </c>
      <c r="E356" s="112">
        <f>IFERROR((Data_Entry!H354/Data_Entry!$V354/E$2),"")</f>
        <v>1.13989599872468</v>
      </c>
      <c r="F356" s="112">
        <f>IFERROR((Data_Entry!I354/Data_Entry!$V354/F$2),"")</f>
        <v>1.10706777625885</v>
      </c>
      <c r="G356" s="112">
        <f>IFERROR((Data_Entry!J354/Data_Entry!$V354/G$2),"")</f>
        <v>1.13381481015327</v>
      </c>
      <c r="H356" s="112">
        <f>IFERROR((Data_Entry!K354/Data_Entry!$V354/H$2),"")</f>
        <v>1.12805417197652</v>
      </c>
      <c r="I356" s="112">
        <f>IFERROR((Data_Entry!L354/Data_Entry!$V354/I$2),"")</f>
        <v>1.1081270086473</v>
      </c>
    </row>
    <row r="357" ht="15" spans="1:9">
      <c r="A357" s="111">
        <v>46100</v>
      </c>
      <c r="B357" s="29">
        <v>46100</v>
      </c>
      <c r="C357" s="112">
        <f>IFERROR((Data_Entry!F355/Data_Entry!$V355/C$2),"")</f>
        <v>1.03445476484092</v>
      </c>
      <c r="D357" s="112">
        <f>IFERROR((Data_Entry!G355/Data_Entry!$V355/D$2),"")</f>
        <v>1.02949531230445</v>
      </c>
      <c r="E357" s="112">
        <f>IFERROR((Data_Entry!H355/Data_Entry!$V355/E$2),"")</f>
        <v>1.03048570222096</v>
      </c>
      <c r="F357" s="112">
        <f>IFERROR((Data_Entry!I355/Data_Entry!$V355/F$2),"")</f>
        <v>1.01391526539651</v>
      </c>
      <c r="G357" s="112">
        <f>IFERROR((Data_Entry!J355/Data_Entry!$V355/G$2),"")</f>
        <v>1.03354364526358</v>
      </c>
      <c r="H357" s="112">
        <f>IFERROR((Data_Entry!K355/Data_Entry!$V355/H$2),"")</f>
        <v>1.03001986664759</v>
      </c>
      <c r="I357" s="112">
        <f>IFERROR((Data_Entry!L355/Data_Entry!$V355/I$2),"")</f>
        <v>1.01512095746878</v>
      </c>
    </row>
    <row r="358" ht="15" spans="1:9">
      <c r="A358" s="111">
        <v>46101</v>
      </c>
      <c r="B358" s="29">
        <v>46101</v>
      </c>
      <c r="C358" s="112">
        <f>IFERROR((Data_Entry!F356/Data_Entry!$V356/C$2),"")</f>
        <v>1.29872120074609</v>
      </c>
      <c r="D358" s="112">
        <f>IFERROR((Data_Entry!G356/Data_Entry!$V356/D$2),"")</f>
        <v>1.29762658828268</v>
      </c>
      <c r="E358" s="112">
        <f>IFERROR((Data_Entry!H356/Data_Entry!$V356/E$2),"")</f>
        <v>1.29786541282015</v>
      </c>
      <c r="F358" s="112">
        <f>IFERROR((Data_Entry!I356/Data_Entry!$V356/F$2),"")</f>
        <v>0.464655058740395</v>
      </c>
      <c r="G358" s="112">
        <f>IFERROR((Data_Entry!J356/Data_Entry!$V356/G$2),"")</f>
        <v>1.28394551888502</v>
      </c>
      <c r="H358" s="112">
        <f>IFERROR((Data_Entry!K356/Data_Entry!$V356/H$2),"")</f>
        <v>1.28583015599592</v>
      </c>
      <c r="I358" s="112">
        <f>IFERROR((Data_Entry!L356/Data_Entry!$V356/I$2),"")</f>
        <v>1.27116552177606</v>
      </c>
    </row>
    <row r="359" ht="15" spans="1:9">
      <c r="A359" s="111">
        <v>46102</v>
      </c>
      <c r="B359" s="29">
        <v>46102</v>
      </c>
      <c r="C359" s="112">
        <f>IFERROR((Data_Entry!F357/Data_Entry!$V357/C$2),"")</f>
        <v>1.14868612165467</v>
      </c>
      <c r="D359" s="112">
        <f>IFERROR((Data_Entry!G357/Data_Entry!$V357/D$2),"")</f>
        <v>1.14765777036419</v>
      </c>
      <c r="E359" s="112">
        <f>IFERROR((Data_Entry!H357/Data_Entry!$V357/E$2),"")</f>
        <v>1.14801828432235</v>
      </c>
      <c r="F359" s="112">
        <f>IFERROR((Data_Entry!I357/Data_Entry!$V357/F$2),"")</f>
        <v>1.11991978017108</v>
      </c>
      <c r="G359" s="112">
        <f>IFERROR((Data_Entry!J357/Data_Entry!$V357/G$2),"")</f>
        <v>1.13347027416205</v>
      </c>
      <c r="H359" s="112">
        <f>IFERROR((Data_Entry!K357/Data_Entry!$V357/H$2),"")</f>
        <v>1.13384337912801</v>
      </c>
      <c r="I359" s="112">
        <f>IFERROR((Data_Entry!L357/Data_Entry!$V357/I$2),"")</f>
        <v>1.1191792233447</v>
      </c>
    </row>
    <row r="360" ht="15" spans="1:9">
      <c r="A360" s="111">
        <v>46103</v>
      </c>
      <c r="B360" s="29">
        <v>46103</v>
      </c>
      <c r="C360" s="112">
        <f>IFERROR((Data_Entry!F358/Data_Entry!$V358/C$2),"")</f>
        <v>1.06904172131292</v>
      </c>
      <c r="D360" s="112">
        <f>IFERROR((Data_Entry!G358/Data_Entry!$V358/D$2),"")</f>
        <v>1.06854993294913</v>
      </c>
      <c r="E360" s="112">
        <f>IFERROR((Data_Entry!H358/Data_Entry!$V358/E$2),"")</f>
        <v>1.06743782062645</v>
      </c>
      <c r="F360" s="112">
        <f>IFERROR((Data_Entry!I358/Data_Entry!$V358/F$2),"")</f>
        <v>0.937690735038649</v>
      </c>
      <c r="G360" s="112">
        <f>IFERROR((Data_Entry!J358/Data_Entry!$V358/G$2),"")</f>
        <v>1.06206508134768</v>
      </c>
      <c r="H360" s="112">
        <f>IFERROR((Data_Entry!K358/Data_Entry!$V358/H$2),"")</f>
        <v>1.06170158560052</v>
      </c>
      <c r="I360" s="112">
        <f>IFERROR((Data_Entry!L358/Data_Entry!$V358/I$2),"")</f>
        <v>1.04895785234739</v>
      </c>
    </row>
    <row r="361" ht="15" spans="1:9">
      <c r="A361" s="111">
        <v>46104</v>
      </c>
      <c r="B361" s="29">
        <v>46104</v>
      </c>
      <c r="C361" s="112">
        <f>IFERROR((Data_Entry!F359/Data_Entry!$V359/C$2),"")</f>
        <v>1.06958809957203</v>
      </c>
      <c r="D361" s="112">
        <f>IFERROR((Data_Entry!G359/Data_Entry!$V359/D$2),"")</f>
        <v>1.07084370795614</v>
      </c>
      <c r="E361" s="112">
        <f>IFERROR((Data_Entry!H359/Data_Entry!$V359/E$2),"")</f>
        <v>1.07057193124962</v>
      </c>
      <c r="F361" s="112">
        <f>IFERROR((Data_Entry!I359/Data_Entry!$V359/F$2),"")</f>
        <v>0.929664925695019</v>
      </c>
      <c r="G361" s="112">
        <f>IFERROR((Data_Entry!J359/Data_Entry!$V359/G$2),"")</f>
        <v>1.05929674284267</v>
      </c>
      <c r="H361" s="112">
        <f>IFERROR((Data_Entry!K359/Data_Entry!$V359/H$2),"")</f>
        <v>1.06041457225296</v>
      </c>
      <c r="I361" s="112">
        <f>IFERROR((Data_Entry!L359/Data_Entry!$V359/I$2),"")</f>
        <v>1.04661587804408</v>
      </c>
    </row>
    <row r="362" ht="15" spans="1:9">
      <c r="A362" s="111">
        <v>46105</v>
      </c>
      <c r="B362" s="29">
        <v>46105</v>
      </c>
      <c r="C362" s="112">
        <f>IFERROR((Data_Entry!F360/Data_Entry!$V360/C$2),"")</f>
        <v>1.01603851049311</v>
      </c>
      <c r="D362" s="112">
        <f>IFERROR((Data_Entry!G360/Data_Entry!$V360/D$2),"")</f>
        <v>1.01682782995224</v>
      </c>
      <c r="E362" s="112">
        <f>IFERROR((Data_Entry!H360/Data_Entry!$V360/E$2),"")</f>
        <v>1.0206707210416</v>
      </c>
      <c r="F362" s="112">
        <f>IFERROR((Data_Entry!I360/Data_Entry!$V360/F$2),"")</f>
        <v>0.995642706087503</v>
      </c>
      <c r="G362" s="112">
        <f>IFERROR((Data_Entry!J360/Data_Entry!$V360/G$2),"")</f>
        <v>1.01272116438162</v>
      </c>
      <c r="H362" s="112">
        <f>IFERROR((Data_Entry!K360/Data_Entry!$V360/H$2),"")</f>
        <v>1.01051127029452</v>
      </c>
      <c r="I362" s="112">
        <f>IFERROR((Data_Entry!L360/Data_Entry!$V360/I$2),"")</f>
        <v>0.996414240182752</v>
      </c>
    </row>
    <row r="363" ht="15" spans="1:9">
      <c r="A363" s="111">
        <v>46106</v>
      </c>
      <c r="B363" s="29">
        <v>46106</v>
      </c>
      <c r="C363" s="112">
        <f>IFERROR((Data_Entry!F361/Data_Entry!$V361/C$2),"")</f>
        <v>1.02995380400808</v>
      </c>
      <c r="D363" s="112">
        <f>IFERROR((Data_Entry!G361/Data_Entry!$V361/D$2),"")</f>
        <v>1.02925293984257</v>
      </c>
      <c r="E363" s="112">
        <f>IFERROR((Data_Entry!H361/Data_Entry!$V361/E$2),"")</f>
        <v>1.02930946114624</v>
      </c>
      <c r="F363" s="112">
        <f>IFERROR((Data_Entry!I361/Data_Entry!$V361/F$2),"")</f>
        <v>0.999419029806809</v>
      </c>
      <c r="G363" s="112">
        <f>IFERROR((Data_Entry!J361/Data_Entry!$V361/G$2),"")</f>
        <v>1.01951997135048</v>
      </c>
      <c r="H363" s="112">
        <f>IFERROR((Data_Entry!K361/Data_Entry!$V361/H$2),"")</f>
        <v>1.02221235136359</v>
      </c>
      <c r="I363" s="112">
        <f>IFERROR((Data_Entry!L361/Data_Entry!$V361/I$2),"")</f>
        <v>1.00625270116539</v>
      </c>
    </row>
    <row r="364" ht="15" spans="1:9">
      <c r="A364" s="111">
        <v>46107</v>
      </c>
      <c r="B364" s="29">
        <v>46107</v>
      </c>
      <c r="C364" s="112">
        <f>IFERROR((Data_Entry!F362/Data_Entry!$V362/C$2),"")</f>
        <v>0.965053311435988</v>
      </c>
      <c r="D364" s="112">
        <f>IFERROR((Data_Entry!G362/Data_Entry!$V362/D$2),"")</f>
        <v>0.966592379581528</v>
      </c>
      <c r="E364" s="112">
        <f>IFERROR((Data_Entry!H362/Data_Entry!$V362/E$2),"")</f>
        <v>0.96924125196807</v>
      </c>
      <c r="F364" s="112">
        <f>IFERROR((Data_Entry!I362/Data_Entry!$V362/F$2),"")</f>
        <v>0.954545449993345</v>
      </c>
      <c r="G364" s="112">
        <f>IFERROR((Data_Entry!J362/Data_Entry!$V362/G$2),"")</f>
        <v>0.96327320910439</v>
      </c>
      <c r="H364" s="112">
        <f>IFERROR((Data_Entry!K362/Data_Entry!$V362/H$2),"")</f>
        <v>0.963553619035668</v>
      </c>
      <c r="I364" s="112">
        <f>IFERROR((Data_Entry!L362/Data_Entry!$V362/I$2),"")</f>
        <v>0.95256255119359</v>
      </c>
    </row>
    <row r="365" ht="15" spans="1:9">
      <c r="A365" s="111">
        <v>46108</v>
      </c>
      <c r="B365" s="29">
        <v>46108</v>
      </c>
      <c r="C365" s="112">
        <f>IFERROR((Data_Entry!F363/Data_Entry!$V363/C$2),"")</f>
        <v>1.03525830361094</v>
      </c>
      <c r="D365" s="112">
        <f>IFERROR((Data_Entry!G363/Data_Entry!$V363/D$2),"")</f>
        <v>1.03562868147775</v>
      </c>
      <c r="E365" s="112">
        <f>IFERROR((Data_Entry!H363/Data_Entry!$V363/E$2),"")</f>
        <v>1.03820567677635</v>
      </c>
      <c r="F365" s="112">
        <f>IFERROR((Data_Entry!I363/Data_Entry!$V363/F$2),"")</f>
        <v>0.978710698360827</v>
      </c>
      <c r="G365" s="112">
        <f>IFERROR((Data_Entry!J363/Data_Entry!$V363/G$2),"")</f>
        <v>1.03244565454406</v>
      </c>
      <c r="H365" s="112">
        <f>IFERROR((Data_Entry!K363/Data_Entry!$V363/H$2),"")</f>
        <v>1.03392761962776</v>
      </c>
      <c r="I365" s="112">
        <f>IFERROR((Data_Entry!L363/Data_Entry!$V363/I$2),"")</f>
        <v>1.02036539371022</v>
      </c>
    </row>
    <row r="366" ht="15" spans="1:9">
      <c r="A366" s="111">
        <v>46109</v>
      </c>
      <c r="B366" s="29">
        <v>46109</v>
      </c>
      <c r="C366" s="112">
        <f>IFERROR((Data_Entry!F364/Data_Entry!$V364/C$2),"")</f>
        <v>1.01608973488641</v>
      </c>
      <c r="D366" s="112">
        <f>IFERROR((Data_Entry!G364/Data_Entry!$V364/D$2),"")</f>
        <v>1.0168943495165</v>
      </c>
      <c r="E366" s="112">
        <f>IFERROR((Data_Entry!H364/Data_Entry!$V364/E$2),"")</f>
        <v>1.02035792242748</v>
      </c>
      <c r="F366" s="112">
        <f>IFERROR((Data_Entry!I364/Data_Entry!$V364/F$2),"")</f>
        <v>0.779376651585629</v>
      </c>
      <c r="G366" s="112">
        <f>IFERROR((Data_Entry!J364/Data_Entry!$V364/G$2),"")</f>
        <v>1.01568406825315</v>
      </c>
      <c r="H366" s="112">
        <f>IFERROR((Data_Entry!K364/Data_Entry!$V364/H$2),"")</f>
        <v>1.0169022265385</v>
      </c>
      <c r="I366" s="112">
        <f>IFERROR((Data_Entry!L364/Data_Entry!$V364/I$2),"")</f>
        <v>1.00338525677808</v>
      </c>
    </row>
    <row r="367" ht="15" spans="1:9">
      <c r="A367" s="111">
        <v>46110</v>
      </c>
      <c r="B367" s="29">
        <v>46110</v>
      </c>
      <c r="C367" s="112">
        <f>IFERROR((Data_Entry!F365/Data_Entry!$V365/C$2),"")</f>
        <v>1.14800813783927</v>
      </c>
      <c r="D367" s="112">
        <f>IFERROR((Data_Entry!G365/Data_Entry!$V365/D$2),"")</f>
        <v>1.14297339017238</v>
      </c>
      <c r="E367" s="112">
        <f>IFERROR((Data_Entry!H365/Data_Entry!$V365/E$2),"")</f>
        <v>1.13961908838908</v>
      </c>
      <c r="F367" s="112">
        <f>IFERROR((Data_Entry!I365/Data_Entry!$V365/F$2),"")</f>
        <v>1.12194704385243</v>
      </c>
      <c r="G367" s="112">
        <f>IFERROR((Data_Entry!J365/Data_Entry!$V365/G$2),"")</f>
        <v>1.14796143491019</v>
      </c>
      <c r="H367" s="112">
        <f>IFERROR((Data_Entry!K365/Data_Entry!$V365/H$2),"")</f>
        <v>1.14350488669652</v>
      </c>
      <c r="I367" s="112">
        <f>IFERROR((Data_Entry!L365/Data_Entry!$V365/I$2),"")</f>
        <v>1.11409292917883</v>
      </c>
    </row>
    <row r="368" ht="15" spans="1:9">
      <c r="A368" s="111">
        <v>46111</v>
      </c>
      <c r="B368" s="29">
        <v>46111</v>
      </c>
      <c r="C368" s="112">
        <f>IFERROR((Data_Entry!F366/Data_Entry!$V366/C$2),"")</f>
        <v>1.00778969029834</v>
      </c>
      <c r="D368" s="112">
        <f>IFERROR((Data_Entry!G366/Data_Entry!$V366/D$2),"")</f>
        <v>1.00855470459922</v>
      </c>
      <c r="E368" s="112">
        <f>IFERROR((Data_Entry!H366/Data_Entry!$V366/E$2),"")</f>
        <v>1.01229296597021</v>
      </c>
      <c r="F368" s="112">
        <f>IFERROR((Data_Entry!I366/Data_Entry!$V366/F$2),"")</f>
        <v>0.985390788695633</v>
      </c>
      <c r="G368" s="112">
        <f>IFERROR((Data_Entry!J366/Data_Entry!$V366/G$2),"")</f>
        <v>1.00450458725976</v>
      </c>
      <c r="H368" s="112">
        <f>IFERROR((Data_Entry!K366/Data_Entry!$V366/H$2),"")</f>
        <v>1.00205503175548</v>
      </c>
      <c r="I368" s="112">
        <f>IFERROR((Data_Entry!L366/Data_Entry!$V366/I$2),"")</f>
        <v>0.986018746780417</v>
      </c>
    </row>
    <row r="369" ht="15.75" spans="1:9">
      <c r="A369" s="113">
        <v>46112</v>
      </c>
      <c r="B369" s="114">
        <v>46112</v>
      </c>
      <c r="C369" s="112">
        <f>IFERROR((Data_Entry!F367/Data_Entry!$V367/C$2),"")</f>
        <v>1.02744715932086</v>
      </c>
      <c r="D369" s="112">
        <f>IFERROR((Data_Entry!G367/Data_Entry!$V367/D$2),"")</f>
        <v>1.02590604644975</v>
      </c>
      <c r="E369" s="112">
        <f>IFERROR((Data_Entry!H367/Data_Entry!$V367/E$2),"")</f>
        <v>1.02388371651612</v>
      </c>
      <c r="F369" s="112">
        <f>IFERROR((Data_Entry!I367/Data_Entry!$V367/F$2),"")</f>
        <v>1.00363446270979</v>
      </c>
      <c r="G369" s="112">
        <f>IFERROR((Data_Entry!J367/Data_Entry!$V367/G$2),"")</f>
        <v>1.01133128729479</v>
      </c>
      <c r="H369" s="112">
        <f>IFERROR((Data_Entry!K367/Data_Entry!$V367/H$2),"")</f>
        <v>1.00506778507762</v>
      </c>
      <c r="I369" s="112">
        <f>IFERROR((Data_Entry!L367/Data_Entry!$V367/I$2),"")</f>
        <v>0.981913219672035</v>
      </c>
    </row>
  </sheetData>
  <sheetProtection sheet="1" objects="1" scenarios="1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L21"/>
  <sheetViews>
    <sheetView workbookViewId="0">
      <selection activeCell="K27" sqref="K27"/>
    </sheetView>
  </sheetViews>
  <sheetFormatPr defaultColWidth="8.75" defaultRowHeight="15"/>
  <cols>
    <col min="1" max="1" width="2" style="56" customWidth="1"/>
    <col min="2" max="2" width="10.25" style="56" customWidth="1"/>
    <col min="3" max="16384" width="8.75" style="56"/>
  </cols>
  <sheetData>
    <row r="1" spans="1:38">
      <c r="A1" s="56" t="s">
        <v>75</v>
      </c>
    </row>
    <row r="2" spans="1:38">
      <c r="B2" s="104" t="s">
        <v>33</v>
      </c>
      <c r="C2" s="105">
        <f>DGR!B3</f>
        <v>46178</v>
      </c>
      <c r="D2" s="105">
        <f>DGR!C3</f>
        <v>46179</v>
      </c>
      <c r="E2" s="105">
        <f>DGR!D3</f>
        <v>46180</v>
      </c>
      <c r="F2" s="105">
        <f>DGR!E3</f>
        <v>46181</v>
      </c>
      <c r="G2" s="105">
        <f>DGR!F3</f>
        <v>46182</v>
      </c>
      <c r="H2" s="105">
        <f>DGR!G3</f>
        <v>46183</v>
      </c>
      <c r="I2" s="105">
        <f>DGR!H3</f>
        <v>46184</v>
      </c>
      <c r="J2" s="105">
        <f>DGR!I3</f>
        <v>46185</v>
      </c>
      <c r="K2" s="105">
        <f>DGR!J3</f>
        <v>46186</v>
      </c>
      <c r="L2" s="105">
        <f>DGR!K3</f>
        <v>46187</v>
      </c>
      <c r="M2" s="105">
        <f>DGR!L3</f>
        <v>46188</v>
      </c>
      <c r="N2" s="105">
        <f>DGR!M3</f>
        <v>46189</v>
      </c>
      <c r="O2" s="105">
        <f>DGR!N3</f>
        <v>46190</v>
      </c>
      <c r="P2" s="105">
        <f>DGR!O3</f>
        <v>46191</v>
      </c>
      <c r="Q2" s="105">
        <f>DGR!P3</f>
        <v>46192</v>
      </c>
      <c r="R2" s="105">
        <f>DGR!Q3</f>
        <v>46193</v>
      </c>
      <c r="S2" s="105">
        <f>DGR!R3</f>
        <v>46194</v>
      </c>
      <c r="T2" s="105">
        <f>DGR!S3</f>
        <v>46195</v>
      </c>
      <c r="U2" s="105">
        <f>DGR!T3</f>
        <v>46196</v>
      </c>
      <c r="V2" s="105">
        <f>DGR!U3</f>
        <v>46197</v>
      </c>
      <c r="W2" s="105">
        <f>DGR!V3</f>
        <v>46198</v>
      </c>
      <c r="X2" s="105">
        <f>DGR!W3</f>
        <v>46199</v>
      </c>
      <c r="Y2" s="105">
        <f>DGR!X3</f>
        <v>46200</v>
      </c>
      <c r="Z2" s="105">
        <f>DGR!Y3</f>
        <v>46201</v>
      </c>
      <c r="AA2" s="105">
        <f>DGR!Z3</f>
        <v>46202</v>
      </c>
      <c r="AB2" s="105">
        <f>DGR!AA3</f>
        <v>46203</v>
      </c>
      <c r="AC2" s="105">
        <f>DGR!AB3</f>
        <v>46204</v>
      </c>
      <c r="AD2" s="105">
        <f>DGR!AC3</f>
        <v>46205</v>
      </c>
      <c r="AE2" s="105">
        <f>DGR!AD3</f>
        <v>46206</v>
      </c>
      <c r="AF2" s="105">
        <f>DGR!AE3</f>
        <v>46207</v>
      </c>
      <c r="AG2" s="105">
        <f>DGR!AF3</f>
        <v>46208</v>
      </c>
      <c r="AH2" s="105" t="str">
        <f>DGR!AG3</f>
        <v>Total/Avg..</v>
      </c>
      <c r="AI2" s="106"/>
      <c r="AJ2" s="106"/>
      <c r="AK2" s="106"/>
      <c r="AL2" s="106"/>
    </row>
    <row r="3" spans="1:38">
      <c r="B3" s="96" t="s">
        <v>35</v>
      </c>
      <c r="C3" s="107">
        <f>IFERROR(VLOOKUP(C$2,Data_Entry!$C:$L,Data_Entry!$A2,0)/VLOOKUP($B3,Basic_Data!$E$2:$G$10,3,0),"")</f>
        <v>4.35863219349458</v>
      </c>
      <c r="D3" s="107">
        <f>IFERROR(VLOOKUP(D$2,Data_Entry!$C:$L,Data_Entry!$A2,0)/VLOOKUP($B3,Basic_Data!$E$2:$G$10,3,0),"")</f>
        <v>0</v>
      </c>
      <c r="E3" s="107">
        <f>IFERROR(VLOOKUP(E$2,Data_Entry!$C:$L,Data_Entry!$A2,0)/VLOOKUP($B3,Basic_Data!$E$2:$G$10,3,0),"")</f>
        <v>0</v>
      </c>
      <c r="F3" s="107">
        <f>IFERROR(VLOOKUP(F$2,Data_Entry!$C:$L,Data_Entry!$A2,0)/VLOOKUP($B3,Basic_Data!$E$2:$G$10,3,0),"")</f>
        <v>0</v>
      </c>
      <c r="G3" s="107">
        <f>IFERROR(VLOOKUP(G$2,Data_Entry!$C:$L,Data_Entry!$A2,0)/VLOOKUP($B3,Basic_Data!$E$2:$G$10,3,0),"")</f>
        <v>0</v>
      </c>
      <c r="H3" s="107">
        <f>IFERROR(VLOOKUP(H$2,Data_Entry!$C:$L,Data_Entry!$A2,0)/VLOOKUP($B3,Basic_Data!$E$2:$G$10,3,0),"")</f>
        <v>0</v>
      </c>
      <c r="I3" s="107">
        <f>IFERROR(VLOOKUP(I$2,Data_Entry!$C:$L,Data_Entry!$A2,0)/VLOOKUP($B3,Basic_Data!$E$2:$G$10,3,0),"")</f>
        <v>0</v>
      </c>
      <c r="J3" s="107">
        <f>IFERROR(VLOOKUP(J$2,Data_Entry!$C:$L,Data_Entry!$A2,0)/VLOOKUP($B3,Basic_Data!$E$2:$G$10,3,0),"")</f>
        <v>0</v>
      </c>
      <c r="K3" s="107">
        <f>IFERROR(VLOOKUP(K$2,Data_Entry!$C:$L,Data_Entry!$A2,0)/VLOOKUP($B3,Basic_Data!$E$2:$G$10,3,0),"")</f>
        <v>0</v>
      </c>
      <c r="L3" s="107">
        <f>IFERROR(VLOOKUP(L$2,Data_Entry!$C:$L,Data_Entry!$A2,0)/VLOOKUP($B3,Basic_Data!$E$2:$G$10,3,0),"")</f>
        <v>0</v>
      </c>
      <c r="M3" s="107">
        <f>IFERROR(VLOOKUP(M$2,Data_Entry!$C:$L,Data_Entry!$A2,0)/VLOOKUP($B3,Basic_Data!$E$2:$G$10,3,0),"")</f>
        <v>0</v>
      </c>
      <c r="N3" s="107">
        <f>IFERROR(VLOOKUP(N$2,Data_Entry!$C:$L,Data_Entry!$A2,0)/VLOOKUP($B3,Basic_Data!$E$2:$G$10,3,0),"")</f>
        <v>0</v>
      </c>
      <c r="O3" s="107">
        <f>IFERROR(VLOOKUP(O$2,Data_Entry!$C:$L,Data_Entry!$A2,0)/VLOOKUP($B3,Basic_Data!$E$2:$G$10,3,0),"")</f>
        <v>0</v>
      </c>
      <c r="P3" s="107">
        <f>IFERROR(VLOOKUP(P$2,Data_Entry!$C:$L,Data_Entry!$A2,0)/VLOOKUP($B3,Basic_Data!$E$2:$G$10,3,0),"")</f>
        <v>0</v>
      </c>
      <c r="Q3" s="107">
        <f>IFERROR(VLOOKUP(Q$2,Data_Entry!$C:$L,Data_Entry!$A2,0)/VLOOKUP($B3,Basic_Data!$E$2:$G$10,3,0),"")</f>
        <v>0</v>
      </c>
      <c r="R3" s="107">
        <f>IFERROR(VLOOKUP(R$2,Data_Entry!$C:$L,Data_Entry!$A2,0)/VLOOKUP($B3,Basic_Data!$E$2:$G$10,3,0),"")</f>
        <v>0</v>
      </c>
      <c r="S3" s="107">
        <f>IFERROR(VLOOKUP(S$2,Data_Entry!$C:$L,Data_Entry!$A2,0)/VLOOKUP($B3,Basic_Data!$E$2:$G$10,3,0),"")</f>
        <v>0</v>
      </c>
      <c r="T3" s="107">
        <f>IFERROR(VLOOKUP(T$2,Data_Entry!$C:$L,Data_Entry!$A2,0)/VLOOKUP($B3,Basic_Data!$E$2:$G$10,3,0),"")</f>
        <v>0</v>
      </c>
      <c r="U3" s="107">
        <f>IFERROR(VLOOKUP(U$2,Data_Entry!$C:$L,Data_Entry!$A2,0)/VLOOKUP($B3,Basic_Data!$E$2:$G$10,3,0),"")</f>
        <v>0</v>
      </c>
      <c r="V3" s="107">
        <f>IFERROR(VLOOKUP(V$2,Data_Entry!$C:$L,Data_Entry!$A2,0)/VLOOKUP($B3,Basic_Data!$E$2:$G$10,3,0),"")</f>
        <v>0</v>
      </c>
      <c r="W3" s="107">
        <f>IFERROR(VLOOKUP(W$2,Data_Entry!$C:$L,Data_Entry!$A2,0)/VLOOKUP($B3,Basic_Data!$E$2:$G$10,3,0),"")</f>
        <v>0</v>
      </c>
      <c r="X3" s="107">
        <f>IFERROR(VLOOKUP(X$2,Data_Entry!$C:$L,Data_Entry!$A2,0)/VLOOKUP($B3,Basic_Data!$E$2:$G$10,3,0),"")</f>
        <v>0</v>
      </c>
      <c r="Y3" s="107">
        <f>IFERROR(VLOOKUP(Y$2,Data_Entry!$C:$L,Data_Entry!$A2,0)/VLOOKUP($B3,Basic_Data!$E$2:$G$10,3,0),"")</f>
        <v>0</v>
      </c>
      <c r="Z3" s="107">
        <f>IFERROR(VLOOKUP(Z$2,Data_Entry!$C:$L,Data_Entry!$A2,0)/VLOOKUP($B3,Basic_Data!$E$2:$G$10,3,0),"")</f>
        <v>0</v>
      </c>
      <c r="AA3" s="107">
        <f>IFERROR(VLOOKUP(AA$2,Data_Entry!$C:$L,Data_Entry!$A2,0)/VLOOKUP($B3,Basic_Data!$E$2:$G$10,3,0),"")</f>
        <v>0</v>
      </c>
      <c r="AB3" s="107">
        <f>IFERROR(VLOOKUP(AB$2,Data_Entry!$C:$L,Data_Entry!$A2,0)/VLOOKUP($B3,Basic_Data!$E$2:$G$10,3,0),"")</f>
        <v>0</v>
      </c>
      <c r="AC3" s="107">
        <f>IFERROR(VLOOKUP(AC$2,Data_Entry!$C:$L,Data_Entry!$A2,0)/VLOOKUP($B3,Basic_Data!$E$2:$G$10,3,0),"")</f>
        <v>0</v>
      </c>
      <c r="AD3" s="107">
        <f>IFERROR(VLOOKUP(AD$2,Data_Entry!$C:$L,Data_Entry!$A2,0)/VLOOKUP($B3,Basic_Data!$E$2:$G$10,3,0),"")</f>
        <v>0</v>
      </c>
      <c r="AE3" s="107">
        <f>IFERROR(VLOOKUP(AE$2,Data_Entry!$C:$L,Data_Entry!$A2,0)/VLOOKUP($B3,Basic_Data!$E$2:$G$10,3,0),"")</f>
        <v>0</v>
      </c>
      <c r="AF3" s="107">
        <f>IFERROR(VLOOKUP(AF$2,Data_Entry!$C:$L,Data_Entry!$A2,0)/VLOOKUP($B3,Basic_Data!$E$2:$G$10,3,0),"")</f>
        <v>0</v>
      </c>
      <c r="AG3" s="107">
        <f>IFERROR(VLOOKUP(AG$2,Data_Entry!$C:$L,Data_Entry!$A2,0)/VLOOKUP($B3,Basic_Data!$E$2:$G$10,3,0),"")</f>
        <v>0</v>
      </c>
      <c r="AH3" s="52"/>
    </row>
    <row r="4" spans="1:38">
      <c r="B4" s="96" t="s">
        <v>36</v>
      </c>
      <c r="C4" s="107">
        <f>IFERROR(VLOOKUP(C$2,Data_Entry!$C:$L,Data_Entry!$A3,0)/VLOOKUP($B4,Basic_Data!$E$2:$G$10,3,0),"")</f>
        <v>4.33882402001668</v>
      </c>
      <c r="D4" s="107">
        <f>IFERROR(VLOOKUP(D$2,Data_Entry!$C:$L,Data_Entry!$A3,0)/VLOOKUP($B4,Basic_Data!$E$2:$G$10,3,0),"")</f>
        <v>0</v>
      </c>
      <c r="E4" s="107">
        <f>IFERROR(VLOOKUP(E$2,Data_Entry!$C:$L,Data_Entry!$A3,0)/VLOOKUP($B4,Basic_Data!$E$2:$G$10,3,0),"")</f>
        <v>0</v>
      </c>
      <c r="F4" s="107">
        <f>IFERROR(VLOOKUP(F$2,Data_Entry!$C:$L,Data_Entry!$A3,0)/VLOOKUP($B4,Basic_Data!$E$2:$G$10,3,0),"")</f>
        <v>0</v>
      </c>
      <c r="G4" s="107">
        <f>IFERROR(VLOOKUP(G$2,Data_Entry!$C:$L,Data_Entry!$A3,0)/VLOOKUP($B4,Basic_Data!$E$2:$G$10,3,0),"")</f>
        <v>0</v>
      </c>
      <c r="H4" s="107">
        <f>IFERROR(VLOOKUP(H$2,Data_Entry!$C:$L,Data_Entry!$A3,0)/VLOOKUP($B4,Basic_Data!$E$2:$G$10,3,0),"")</f>
        <v>0</v>
      </c>
      <c r="I4" s="107">
        <f>IFERROR(VLOOKUP(I$2,Data_Entry!$C:$L,Data_Entry!$A3,0)/VLOOKUP($B4,Basic_Data!$E$2:$G$10,3,0),"")</f>
        <v>0</v>
      </c>
      <c r="J4" s="107">
        <f>IFERROR(VLOOKUP(J$2,Data_Entry!$C:$L,Data_Entry!$A3,0)/VLOOKUP($B4,Basic_Data!$E$2:$G$10,3,0),"")</f>
        <v>0</v>
      </c>
      <c r="K4" s="107">
        <f>IFERROR(VLOOKUP(K$2,Data_Entry!$C:$L,Data_Entry!$A3,0)/VLOOKUP($B4,Basic_Data!$E$2:$G$10,3,0),"")</f>
        <v>0</v>
      </c>
      <c r="L4" s="107">
        <f>IFERROR(VLOOKUP(L$2,Data_Entry!$C:$L,Data_Entry!$A3,0)/VLOOKUP($B4,Basic_Data!$E$2:$G$10,3,0),"")</f>
        <v>0</v>
      </c>
      <c r="M4" s="107">
        <f>IFERROR(VLOOKUP(M$2,Data_Entry!$C:$L,Data_Entry!$A3,0)/VLOOKUP($B4,Basic_Data!$E$2:$G$10,3,0),"")</f>
        <v>0</v>
      </c>
      <c r="N4" s="107">
        <f>IFERROR(VLOOKUP(N$2,Data_Entry!$C:$L,Data_Entry!$A3,0)/VLOOKUP($B4,Basic_Data!$E$2:$G$10,3,0),"")</f>
        <v>0</v>
      </c>
      <c r="O4" s="107">
        <f>IFERROR(VLOOKUP(O$2,Data_Entry!$C:$L,Data_Entry!$A3,0)/VLOOKUP($B4,Basic_Data!$E$2:$G$10,3,0),"")</f>
        <v>0</v>
      </c>
      <c r="P4" s="107">
        <f>IFERROR(VLOOKUP(P$2,Data_Entry!$C:$L,Data_Entry!$A3,0)/VLOOKUP($B4,Basic_Data!$E$2:$G$10,3,0),"")</f>
        <v>0</v>
      </c>
      <c r="Q4" s="107">
        <f>IFERROR(VLOOKUP(Q$2,Data_Entry!$C:$L,Data_Entry!$A3,0)/VLOOKUP($B4,Basic_Data!$E$2:$G$10,3,0),"")</f>
        <v>0</v>
      </c>
      <c r="R4" s="107">
        <f>IFERROR(VLOOKUP(R$2,Data_Entry!$C:$L,Data_Entry!$A3,0)/VLOOKUP($B4,Basic_Data!$E$2:$G$10,3,0),"")</f>
        <v>0</v>
      </c>
      <c r="S4" s="107">
        <f>IFERROR(VLOOKUP(S$2,Data_Entry!$C:$L,Data_Entry!$A3,0)/VLOOKUP($B4,Basic_Data!$E$2:$G$10,3,0),"")</f>
        <v>0</v>
      </c>
      <c r="T4" s="107">
        <f>IFERROR(VLOOKUP(T$2,Data_Entry!$C:$L,Data_Entry!$A3,0)/VLOOKUP($B4,Basic_Data!$E$2:$G$10,3,0),"")</f>
        <v>0</v>
      </c>
      <c r="U4" s="107">
        <f>IFERROR(VLOOKUP(U$2,Data_Entry!$C:$L,Data_Entry!$A3,0)/VLOOKUP($B4,Basic_Data!$E$2:$G$10,3,0),"")</f>
        <v>0</v>
      </c>
      <c r="V4" s="107">
        <f>IFERROR(VLOOKUP(V$2,Data_Entry!$C:$L,Data_Entry!$A3,0)/VLOOKUP($B4,Basic_Data!$E$2:$G$10,3,0),"")</f>
        <v>0</v>
      </c>
      <c r="W4" s="107">
        <f>IFERROR(VLOOKUP(W$2,Data_Entry!$C:$L,Data_Entry!$A3,0)/VLOOKUP($B4,Basic_Data!$E$2:$G$10,3,0),"")</f>
        <v>0</v>
      </c>
      <c r="X4" s="107">
        <f>IFERROR(VLOOKUP(X$2,Data_Entry!$C:$L,Data_Entry!$A3,0)/VLOOKUP($B4,Basic_Data!$E$2:$G$10,3,0),"")</f>
        <v>0</v>
      </c>
      <c r="Y4" s="107">
        <f>IFERROR(VLOOKUP(Y$2,Data_Entry!$C:$L,Data_Entry!$A3,0)/VLOOKUP($B4,Basic_Data!$E$2:$G$10,3,0),"")</f>
        <v>0</v>
      </c>
      <c r="Z4" s="107">
        <f>IFERROR(VLOOKUP(Z$2,Data_Entry!$C:$L,Data_Entry!$A3,0)/VLOOKUP($B4,Basic_Data!$E$2:$G$10,3,0),"")</f>
        <v>0</v>
      </c>
      <c r="AA4" s="107">
        <f>IFERROR(VLOOKUP(AA$2,Data_Entry!$C:$L,Data_Entry!$A3,0)/VLOOKUP($B4,Basic_Data!$E$2:$G$10,3,0),"")</f>
        <v>0</v>
      </c>
      <c r="AB4" s="107">
        <f>IFERROR(VLOOKUP(AB$2,Data_Entry!$C:$L,Data_Entry!$A3,0)/VLOOKUP($B4,Basic_Data!$E$2:$G$10,3,0),"")</f>
        <v>0</v>
      </c>
      <c r="AC4" s="107">
        <f>IFERROR(VLOOKUP(AC$2,Data_Entry!$C:$L,Data_Entry!$A3,0)/VLOOKUP($B4,Basic_Data!$E$2:$G$10,3,0),"")</f>
        <v>0</v>
      </c>
      <c r="AD4" s="107">
        <f>IFERROR(VLOOKUP(AD$2,Data_Entry!$C:$L,Data_Entry!$A3,0)/VLOOKUP($B4,Basic_Data!$E$2:$G$10,3,0),"")</f>
        <v>0</v>
      </c>
      <c r="AE4" s="107">
        <f>IFERROR(VLOOKUP(AE$2,Data_Entry!$C:$L,Data_Entry!$A3,0)/VLOOKUP($B4,Basic_Data!$E$2:$G$10,3,0),"")</f>
        <v>0</v>
      </c>
      <c r="AF4" s="107">
        <f>IFERROR(VLOOKUP(AF$2,Data_Entry!$C:$L,Data_Entry!$A3,0)/VLOOKUP($B4,Basic_Data!$E$2:$G$10,3,0),"")</f>
        <v>0</v>
      </c>
      <c r="AG4" s="107">
        <f>IFERROR(VLOOKUP(AG$2,Data_Entry!$C:$L,Data_Entry!$A3,0)/VLOOKUP($B4,Basic_Data!$E$2:$G$10,3,0),"")</f>
        <v>0</v>
      </c>
      <c r="AH4" s="52"/>
    </row>
    <row r="5" spans="1:38">
      <c r="B5" s="96" t="s">
        <v>37</v>
      </c>
      <c r="C5" s="107">
        <f>IFERROR(VLOOKUP(C$2,Data_Entry!$C:$L,Data_Entry!$A4,0)/VLOOKUP($B5,Basic_Data!$E$2:$G$10,3,0),"")</f>
        <v>4.35240676754438</v>
      </c>
      <c r="D5" s="107">
        <f>IFERROR(VLOOKUP(D$2,Data_Entry!$C:$L,Data_Entry!$A4,0)/VLOOKUP($B5,Basic_Data!$E$2:$G$10,3,0),"")</f>
        <v>0</v>
      </c>
      <c r="E5" s="107">
        <f>IFERROR(VLOOKUP(E$2,Data_Entry!$C:$L,Data_Entry!$A4,0)/VLOOKUP($B5,Basic_Data!$E$2:$G$10,3,0),"")</f>
        <v>0</v>
      </c>
      <c r="F5" s="107">
        <f>IFERROR(VLOOKUP(F$2,Data_Entry!$C:$L,Data_Entry!$A4,0)/VLOOKUP($B5,Basic_Data!$E$2:$G$10,3,0),"")</f>
        <v>0</v>
      </c>
      <c r="G5" s="107">
        <f>IFERROR(VLOOKUP(G$2,Data_Entry!$C:$L,Data_Entry!$A4,0)/VLOOKUP($B5,Basic_Data!$E$2:$G$10,3,0),"")</f>
        <v>0</v>
      </c>
      <c r="H5" s="107">
        <f>IFERROR(VLOOKUP(H$2,Data_Entry!$C:$L,Data_Entry!$A4,0)/VLOOKUP($B5,Basic_Data!$E$2:$G$10,3,0),"")</f>
        <v>0</v>
      </c>
      <c r="I5" s="107">
        <f>IFERROR(VLOOKUP(I$2,Data_Entry!$C:$L,Data_Entry!$A4,0)/VLOOKUP($B5,Basic_Data!$E$2:$G$10,3,0),"")</f>
        <v>0</v>
      </c>
      <c r="J5" s="107">
        <f>IFERROR(VLOOKUP(J$2,Data_Entry!$C:$L,Data_Entry!$A4,0)/VLOOKUP($B5,Basic_Data!$E$2:$G$10,3,0),"")</f>
        <v>0</v>
      </c>
      <c r="K5" s="107">
        <f>IFERROR(VLOOKUP(K$2,Data_Entry!$C:$L,Data_Entry!$A4,0)/VLOOKUP($B5,Basic_Data!$E$2:$G$10,3,0),"")</f>
        <v>0</v>
      </c>
      <c r="L5" s="107">
        <f>IFERROR(VLOOKUP(L$2,Data_Entry!$C:$L,Data_Entry!$A4,0)/VLOOKUP($B5,Basic_Data!$E$2:$G$10,3,0),"")</f>
        <v>0</v>
      </c>
      <c r="M5" s="107">
        <f>IFERROR(VLOOKUP(M$2,Data_Entry!$C:$L,Data_Entry!$A4,0)/VLOOKUP($B5,Basic_Data!$E$2:$G$10,3,0),"")</f>
        <v>0</v>
      </c>
      <c r="N5" s="107">
        <f>IFERROR(VLOOKUP(N$2,Data_Entry!$C:$L,Data_Entry!$A4,0)/VLOOKUP($B5,Basic_Data!$E$2:$G$10,3,0),"")</f>
        <v>0</v>
      </c>
      <c r="O5" s="107">
        <f>IFERROR(VLOOKUP(O$2,Data_Entry!$C:$L,Data_Entry!$A4,0)/VLOOKUP($B5,Basic_Data!$E$2:$G$10,3,0),"")</f>
        <v>0</v>
      </c>
      <c r="P5" s="107">
        <f>IFERROR(VLOOKUP(P$2,Data_Entry!$C:$L,Data_Entry!$A4,0)/VLOOKUP($B5,Basic_Data!$E$2:$G$10,3,0),"")</f>
        <v>0</v>
      </c>
      <c r="Q5" s="107">
        <f>IFERROR(VLOOKUP(Q$2,Data_Entry!$C:$L,Data_Entry!$A4,0)/VLOOKUP($B5,Basic_Data!$E$2:$G$10,3,0),"")</f>
        <v>0</v>
      </c>
      <c r="R5" s="107">
        <f>IFERROR(VLOOKUP(R$2,Data_Entry!$C:$L,Data_Entry!$A4,0)/VLOOKUP($B5,Basic_Data!$E$2:$G$10,3,0),"")</f>
        <v>0</v>
      </c>
      <c r="S5" s="107">
        <f>IFERROR(VLOOKUP(S$2,Data_Entry!$C:$L,Data_Entry!$A4,0)/VLOOKUP($B5,Basic_Data!$E$2:$G$10,3,0),"")</f>
        <v>0</v>
      </c>
      <c r="T5" s="107">
        <f>IFERROR(VLOOKUP(T$2,Data_Entry!$C:$L,Data_Entry!$A4,0)/VLOOKUP($B5,Basic_Data!$E$2:$G$10,3,0),"")</f>
        <v>0</v>
      </c>
      <c r="U5" s="107">
        <f>IFERROR(VLOOKUP(U$2,Data_Entry!$C:$L,Data_Entry!$A4,0)/VLOOKUP($B5,Basic_Data!$E$2:$G$10,3,0),"")</f>
        <v>0</v>
      </c>
      <c r="V5" s="107">
        <f>IFERROR(VLOOKUP(V$2,Data_Entry!$C:$L,Data_Entry!$A4,0)/VLOOKUP($B5,Basic_Data!$E$2:$G$10,3,0),"")</f>
        <v>0</v>
      </c>
      <c r="W5" s="107">
        <f>IFERROR(VLOOKUP(W$2,Data_Entry!$C:$L,Data_Entry!$A4,0)/VLOOKUP($B5,Basic_Data!$E$2:$G$10,3,0),"")</f>
        <v>0</v>
      </c>
      <c r="X5" s="107">
        <f>IFERROR(VLOOKUP(X$2,Data_Entry!$C:$L,Data_Entry!$A4,0)/VLOOKUP($B5,Basic_Data!$E$2:$G$10,3,0),"")</f>
        <v>0</v>
      </c>
      <c r="Y5" s="107">
        <f>IFERROR(VLOOKUP(Y$2,Data_Entry!$C:$L,Data_Entry!$A4,0)/VLOOKUP($B5,Basic_Data!$E$2:$G$10,3,0),"")</f>
        <v>0</v>
      </c>
      <c r="Z5" s="107">
        <f>IFERROR(VLOOKUP(Z$2,Data_Entry!$C:$L,Data_Entry!$A4,0)/VLOOKUP($B5,Basic_Data!$E$2:$G$10,3,0),"")</f>
        <v>0</v>
      </c>
      <c r="AA5" s="107">
        <f>IFERROR(VLOOKUP(AA$2,Data_Entry!$C:$L,Data_Entry!$A4,0)/VLOOKUP($B5,Basic_Data!$E$2:$G$10,3,0),"")</f>
        <v>0</v>
      </c>
      <c r="AB5" s="107">
        <f>IFERROR(VLOOKUP(AB$2,Data_Entry!$C:$L,Data_Entry!$A4,0)/VLOOKUP($B5,Basic_Data!$E$2:$G$10,3,0),"")</f>
        <v>0</v>
      </c>
      <c r="AC5" s="107">
        <f>IFERROR(VLOOKUP(AC$2,Data_Entry!$C:$L,Data_Entry!$A4,0)/VLOOKUP($B5,Basic_Data!$E$2:$G$10,3,0),"")</f>
        <v>0</v>
      </c>
      <c r="AD5" s="107">
        <f>IFERROR(VLOOKUP(AD$2,Data_Entry!$C:$L,Data_Entry!$A4,0)/VLOOKUP($B5,Basic_Data!$E$2:$G$10,3,0),"")</f>
        <v>0</v>
      </c>
      <c r="AE5" s="107">
        <f>IFERROR(VLOOKUP(AE$2,Data_Entry!$C:$L,Data_Entry!$A4,0)/VLOOKUP($B5,Basic_Data!$E$2:$G$10,3,0),"")</f>
        <v>0</v>
      </c>
      <c r="AF5" s="107">
        <f>IFERROR(VLOOKUP(AF$2,Data_Entry!$C:$L,Data_Entry!$A4,0)/VLOOKUP($B5,Basic_Data!$E$2:$G$10,3,0),"")</f>
        <v>0</v>
      </c>
      <c r="AG5" s="107">
        <f>IFERROR(VLOOKUP(AG$2,Data_Entry!$C:$L,Data_Entry!$A4,0)/VLOOKUP($B5,Basic_Data!$E$2:$G$10,3,0),"")</f>
        <v>0</v>
      </c>
      <c r="AH5" s="52"/>
    </row>
    <row r="6" spans="1:38">
      <c r="B6" s="96" t="s">
        <v>38</v>
      </c>
      <c r="C6" s="107">
        <f>IFERROR(VLOOKUP(C$2,Data_Entry!$C:$L,Data_Entry!$A5,0)/VLOOKUP($B6,Basic_Data!$E$2:$G$10,3,0),"")</f>
        <v>4.33075958744088</v>
      </c>
      <c r="D6" s="107">
        <f>IFERROR(VLOOKUP(D$2,Data_Entry!$C:$L,Data_Entry!$A5,0)/VLOOKUP($B6,Basic_Data!$E$2:$G$10,3,0),"")</f>
        <v>0</v>
      </c>
      <c r="E6" s="107">
        <f>IFERROR(VLOOKUP(E$2,Data_Entry!$C:$L,Data_Entry!$A5,0)/VLOOKUP($B6,Basic_Data!$E$2:$G$10,3,0),"")</f>
        <v>0</v>
      </c>
      <c r="F6" s="107">
        <f>IFERROR(VLOOKUP(F$2,Data_Entry!$C:$L,Data_Entry!$A5,0)/VLOOKUP($B6,Basic_Data!$E$2:$G$10,3,0),"")</f>
        <v>0</v>
      </c>
      <c r="G6" s="107">
        <f>IFERROR(VLOOKUP(G$2,Data_Entry!$C:$L,Data_Entry!$A5,0)/VLOOKUP($B6,Basic_Data!$E$2:$G$10,3,0),"")</f>
        <v>0</v>
      </c>
      <c r="H6" s="107">
        <f>IFERROR(VLOOKUP(H$2,Data_Entry!$C:$L,Data_Entry!$A5,0)/VLOOKUP($B6,Basic_Data!$E$2:$G$10,3,0),"")</f>
        <v>0</v>
      </c>
      <c r="I6" s="107">
        <f>IFERROR(VLOOKUP(I$2,Data_Entry!$C:$L,Data_Entry!$A5,0)/VLOOKUP($B6,Basic_Data!$E$2:$G$10,3,0),"")</f>
        <v>0</v>
      </c>
      <c r="J6" s="107">
        <f>IFERROR(VLOOKUP(J$2,Data_Entry!$C:$L,Data_Entry!$A5,0)/VLOOKUP($B6,Basic_Data!$E$2:$G$10,3,0),"")</f>
        <v>0</v>
      </c>
      <c r="K6" s="107">
        <f>IFERROR(VLOOKUP(K$2,Data_Entry!$C:$L,Data_Entry!$A5,0)/VLOOKUP($B6,Basic_Data!$E$2:$G$10,3,0),"")</f>
        <v>0</v>
      </c>
      <c r="L6" s="107">
        <f>IFERROR(VLOOKUP(L$2,Data_Entry!$C:$L,Data_Entry!$A5,0)/VLOOKUP($B6,Basic_Data!$E$2:$G$10,3,0),"")</f>
        <v>0</v>
      </c>
      <c r="M6" s="107">
        <f>IFERROR(VLOOKUP(M$2,Data_Entry!$C:$L,Data_Entry!$A5,0)/VLOOKUP($B6,Basic_Data!$E$2:$G$10,3,0),"")</f>
        <v>0</v>
      </c>
      <c r="N6" s="107">
        <f>IFERROR(VLOOKUP(N$2,Data_Entry!$C:$L,Data_Entry!$A5,0)/VLOOKUP($B6,Basic_Data!$E$2:$G$10,3,0),"")</f>
        <v>0</v>
      </c>
      <c r="O6" s="107">
        <f>IFERROR(VLOOKUP(O$2,Data_Entry!$C:$L,Data_Entry!$A5,0)/VLOOKUP($B6,Basic_Data!$E$2:$G$10,3,0),"")</f>
        <v>0</v>
      </c>
      <c r="P6" s="107">
        <f>IFERROR(VLOOKUP(P$2,Data_Entry!$C:$L,Data_Entry!$A5,0)/VLOOKUP($B6,Basic_Data!$E$2:$G$10,3,0),"")</f>
        <v>0</v>
      </c>
      <c r="Q6" s="107">
        <f>IFERROR(VLOOKUP(Q$2,Data_Entry!$C:$L,Data_Entry!$A5,0)/VLOOKUP($B6,Basic_Data!$E$2:$G$10,3,0),"")</f>
        <v>0</v>
      </c>
      <c r="R6" s="107">
        <f>IFERROR(VLOOKUP(R$2,Data_Entry!$C:$L,Data_Entry!$A5,0)/VLOOKUP($B6,Basic_Data!$E$2:$G$10,3,0),"")</f>
        <v>0</v>
      </c>
      <c r="S6" s="107">
        <f>IFERROR(VLOOKUP(S$2,Data_Entry!$C:$L,Data_Entry!$A5,0)/VLOOKUP($B6,Basic_Data!$E$2:$G$10,3,0),"")</f>
        <v>0</v>
      </c>
      <c r="T6" s="107">
        <f>IFERROR(VLOOKUP(T$2,Data_Entry!$C:$L,Data_Entry!$A5,0)/VLOOKUP($B6,Basic_Data!$E$2:$G$10,3,0),"")</f>
        <v>0</v>
      </c>
      <c r="U6" s="107">
        <f>IFERROR(VLOOKUP(U$2,Data_Entry!$C:$L,Data_Entry!$A5,0)/VLOOKUP($B6,Basic_Data!$E$2:$G$10,3,0),"")</f>
        <v>0</v>
      </c>
      <c r="V6" s="107">
        <f>IFERROR(VLOOKUP(V$2,Data_Entry!$C:$L,Data_Entry!$A5,0)/VLOOKUP($B6,Basic_Data!$E$2:$G$10,3,0),"")</f>
        <v>0</v>
      </c>
      <c r="W6" s="107">
        <f>IFERROR(VLOOKUP(W$2,Data_Entry!$C:$L,Data_Entry!$A5,0)/VLOOKUP($B6,Basic_Data!$E$2:$G$10,3,0),"")</f>
        <v>0</v>
      </c>
      <c r="X6" s="107">
        <f>IFERROR(VLOOKUP(X$2,Data_Entry!$C:$L,Data_Entry!$A5,0)/VLOOKUP($B6,Basic_Data!$E$2:$G$10,3,0),"")</f>
        <v>0</v>
      </c>
      <c r="Y6" s="107">
        <f>IFERROR(VLOOKUP(Y$2,Data_Entry!$C:$L,Data_Entry!$A5,0)/VLOOKUP($B6,Basic_Data!$E$2:$G$10,3,0),"")</f>
        <v>0</v>
      </c>
      <c r="Z6" s="107">
        <f>IFERROR(VLOOKUP(Z$2,Data_Entry!$C:$L,Data_Entry!$A5,0)/VLOOKUP($B6,Basic_Data!$E$2:$G$10,3,0),"")</f>
        <v>0</v>
      </c>
      <c r="AA6" s="107">
        <f>IFERROR(VLOOKUP(AA$2,Data_Entry!$C:$L,Data_Entry!$A5,0)/VLOOKUP($B6,Basic_Data!$E$2:$G$10,3,0),"")</f>
        <v>0</v>
      </c>
      <c r="AB6" s="107">
        <f>IFERROR(VLOOKUP(AB$2,Data_Entry!$C:$L,Data_Entry!$A5,0)/VLOOKUP($B6,Basic_Data!$E$2:$G$10,3,0),"")</f>
        <v>0</v>
      </c>
      <c r="AC6" s="107">
        <f>IFERROR(VLOOKUP(AC$2,Data_Entry!$C:$L,Data_Entry!$A5,0)/VLOOKUP($B6,Basic_Data!$E$2:$G$10,3,0),"")</f>
        <v>0</v>
      </c>
      <c r="AD6" s="107">
        <f>IFERROR(VLOOKUP(AD$2,Data_Entry!$C:$L,Data_Entry!$A5,0)/VLOOKUP($B6,Basic_Data!$E$2:$G$10,3,0),"")</f>
        <v>0</v>
      </c>
      <c r="AE6" s="107">
        <f>IFERROR(VLOOKUP(AE$2,Data_Entry!$C:$L,Data_Entry!$A5,0)/VLOOKUP($B6,Basic_Data!$E$2:$G$10,3,0),"")</f>
        <v>0</v>
      </c>
      <c r="AF6" s="107">
        <f>IFERROR(VLOOKUP(AF$2,Data_Entry!$C:$L,Data_Entry!$A5,0)/VLOOKUP($B6,Basic_Data!$E$2:$G$10,3,0),"")</f>
        <v>0</v>
      </c>
      <c r="AG6" s="107">
        <f>IFERROR(VLOOKUP(AG$2,Data_Entry!$C:$L,Data_Entry!$A5,0)/VLOOKUP($B6,Basic_Data!$E$2:$G$10,3,0),"")</f>
        <v>0</v>
      </c>
      <c r="AH6" s="52"/>
    </row>
    <row r="7" spans="1:38">
      <c r="B7" s="96" t="s">
        <v>39</v>
      </c>
      <c r="C7" s="107">
        <f>IFERROR(VLOOKUP(C$2,Data_Entry!$C:$L,Data_Entry!$A6,0)/VLOOKUP($B7,Basic_Data!$E$2:$G$10,3,0),"")</f>
        <v>4.29391988147473</v>
      </c>
      <c r="D7" s="107">
        <f>IFERROR(VLOOKUP(D$2,Data_Entry!$C:$L,Data_Entry!$A6,0)/VLOOKUP($B7,Basic_Data!$E$2:$G$10,3,0),"")</f>
        <v>0</v>
      </c>
      <c r="E7" s="107">
        <f>IFERROR(VLOOKUP(E$2,Data_Entry!$C:$L,Data_Entry!$A6,0)/VLOOKUP($B7,Basic_Data!$E$2:$G$10,3,0),"")</f>
        <v>0</v>
      </c>
      <c r="F7" s="107">
        <f>IFERROR(VLOOKUP(F$2,Data_Entry!$C:$L,Data_Entry!$A6,0)/VLOOKUP($B7,Basic_Data!$E$2:$G$10,3,0),"")</f>
        <v>0</v>
      </c>
      <c r="G7" s="107">
        <f>IFERROR(VLOOKUP(G$2,Data_Entry!$C:$L,Data_Entry!$A6,0)/VLOOKUP($B7,Basic_Data!$E$2:$G$10,3,0),"")</f>
        <v>0</v>
      </c>
      <c r="H7" s="107">
        <f>IFERROR(VLOOKUP(H$2,Data_Entry!$C:$L,Data_Entry!$A6,0)/VLOOKUP($B7,Basic_Data!$E$2:$G$10,3,0),"")</f>
        <v>0</v>
      </c>
      <c r="I7" s="107">
        <f>IFERROR(VLOOKUP(I$2,Data_Entry!$C:$L,Data_Entry!$A6,0)/VLOOKUP($B7,Basic_Data!$E$2:$G$10,3,0),"")</f>
        <v>0</v>
      </c>
      <c r="J7" s="107">
        <f>IFERROR(VLOOKUP(J$2,Data_Entry!$C:$L,Data_Entry!$A6,0)/VLOOKUP($B7,Basic_Data!$E$2:$G$10,3,0),"")</f>
        <v>0</v>
      </c>
      <c r="K7" s="107">
        <f>IFERROR(VLOOKUP(K$2,Data_Entry!$C:$L,Data_Entry!$A6,0)/VLOOKUP($B7,Basic_Data!$E$2:$G$10,3,0),"")</f>
        <v>0</v>
      </c>
      <c r="L7" s="107">
        <f>IFERROR(VLOOKUP(L$2,Data_Entry!$C:$L,Data_Entry!$A6,0)/VLOOKUP($B7,Basic_Data!$E$2:$G$10,3,0),"")</f>
        <v>0</v>
      </c>
      <c r="M7" s="107">
        <f>IFERROR(VLOOKUP(M$2,Data_Entry!$C:$L,Data_Entry!$A6,0)/VLOOKUP($B7,Basic_Data!$E$2:$G$10,3,0),"")</f>
        <v>0</v>
      </c>
      <c r="N7" s="107">
        <f>IFERROR(VLOOKUP(N$2,Data_Entry!$C:$L,Data_Entry!$A6,0)/VLOOKUP($B7,Basic_Data!$E$2:$G$10,3,0),"")</f>
        <v>0</v>
      </c>
      <c r="O7" s="107">
        <f>IFERROR(VLOOKUP(O$2,Data_Entry!$C:$L,Data_Entry!$A6,0)/VLOOKUP($B7,Basic_Data!$E$2:$G$10,3,0),"")</f>
        <v>0</v>
      </c>
      <c r="P7" s="107">
        <f>IFERROR(VLOOKUP(P$2,Data_Entry!$C:$L,Data_Entry!$A6,0)/VLOOKUP($B7,Basic_Data!$E$2:$G$10,3,0),"")</f>
        <v>0</v>
      </c>
      <c r="Q7" s="107">
        <f>IFERROR(VLOOKUP(Q$2,Data_Entry!$C:$L,Data_Entry!$A6,0)/VLOOKUP($B7,Basic_Data!$E$2:$G$10,3,0),"")</f>
        <v>0</v>
      </c>
      <c r="R7" s="107">
        <f>IFERROR(VLOOKUP(R$2,Data_Entry!$C:$L,Data_Entry!$A6,0)/VLOOKUP($B7,Basic_Data!$E$2:$G$10,3,0),"")</f>
        <v>0</v>
      </c>
      <c r="S7" s="107">
        <f>IFERROR(VLOOKUP(S$2,Data_Entry!$C:$L,Data_Entry!$A6,0)/VLOOKUP($B7,Basic_Data!$E$2:$G$10,3,0),"")</f>
        <v>0</v>
      </c>
      <c r="T7" s="107">
        <f>IFERROR(VLOOKUP(T$2,Data_Entry!$C:$L,Data_Entry!$A6,0)/VLOOKUP($B7,Basic_Data!$E$2:$G$10,3,0),"")</f>
        <v>0</v>
      </c>
      <c r="U7" s="107">
        <f>IFERROR(VLOOKUP(U$2,Data_Entry!$C:$L,Data_Entry!$A6,0)/VLOOKUP($B7,Basic_Data!$E$2:$G$10,3,0),"")</f>
        <v>0</v>
      </c>
      <c r="V7" s="107">
        <f>IFERROR(VLOOKUP(V$2,Data_Entry!$C:$L,Data_Entry!$A6,0)/VLOOKUP($B7,Basic_Data!$E$2:$G$10,3,0),"")</f>
        <v>0</v>
      </c>
      <c r="W7" s="107">
        <f>IFERROR(VLOOKUP(W$2,Data_Entry!$C:$L,Data_Entry!$A6,0)/VLOOKUP($B7,Basic_Data!$E$2:$G$10,3,0),"")</f>
        <v>0</v>
      </c>
      <c r="X7" s="107">
        <f>IFERROR(VLOOKUP(X$2,Data_Entry!$C:$L,Data_Entry!$A6,0)/VLOOKUP($B7,Basic_Data!$E$2:$G$10,3,0),"")</f>
        <v>0</v>
      </c>
      <c r="Y7" s="107">
        <f>IFERROR(VLOOKUP(Y$2,Data_Entry!$C:$L,Data_Entry!$A6,0)/VLOOKUP($B7,Basic_Data!$E$2:$G$10,3,0),"")</f>
        <v>0</v>
      </c>
      <c r="Z7" s="107">
        <f>IFERROR(VLOOKUP(Z$2,Data_Entry!$C:$L,Data_Entry!$A6,0)/VLOOKUP($B7,Basic_Data!$E$2:$G$10,3,0),"")</f>
        <v>0</v>
      </c>
      <c r="AA7" s="107">
        <f>IFERROR(VLOOKUP(AA$2,Data_Entry!$C:$L,Data_Entry!$A6,0)/VLOOKUP($B7,Basic_Data!$E$2:$G$10,3,0),"")</f>
        <v>0</v>
      </c>
      <c r="AB7" s="107">
        <f>IFERROR(VLOOKUP(AB$2,Data_Entry!$C:$L,Data_Entry!$A6,0)/VLOOKUP($B7,Basic_Data!$E$2:$G$10,3,0),"")</f>
        <v>0</v>
      </c>
      <c r="AC7" s="107">
        <f>IFERROR(VLOOKUP(AC$2,Data_Entry!$C:$L,Data_Entry!$A6,0)/VLOOKUP($B7,Basic_Data!$E$2:$G$10,3,0),"")</f>
        <v>0</v>
      </c>
      <c r="AD7" s="107">
        <f>IFERROR(VLOOKUP(AD$2,Data_Entry!$C:$L,Data_Entry!$A6,0)/VLOOKUP($B7,Basic_Data!$E$2:$G$10,3,0),"")</f>
        <v>0</v>
      </c>
      <c r="AE7" s="107">
        <f>IFERROR(VLOOKUP(AE$2,Data_Entry!$C:$L,Data_Entry!$A6,0)/VLOOKUP($B7,Basic_Data!$E$2:$G$10,3,0),"")</f>
        <v>0</v>
      </c>
      <c r="AF7" s="107">
        <f>IFERROR(VLOOKUP(AF$2,Data_Entry!$C:$L,Data_Entry!$A6,0)/VLOOKUP($B7,Basic_Data!$E$2:$G$10,3,0),"")</f>
        <v>0</v>
      </c>
      <c r="AG7" s="107">
        <f>IFERROR(VLOOKUP(AG$2,Data_Entry!$C:$L,Data_Entry!$A6,0)/VLOOKUP($B7,Basic_Data!$E$2:$G$10,3,0),"")</f>
        <v>0</v>
      </c>
      <c r="AH7" s="52"/>
    </row>
    <row r="8" spans="1:38">
      <c r="B8" s="96" t="s">
        <v>40</v>
      </c>
      <c r="C8" s="107">
        <f>IFERROR(VLOOKUP(C$2,Data_Entry!$C:$L,Data_Entry!$A7,0)/VLOOKUP($B8,Basic_Data!$E$2:$G$10,3,0),"")</f>
        <v>4.27403270841643</v>
      </c>
      <c r="D8" s="107">
        <f>IFERROR(VLOOKUP(D$2,Data_Entry!$C:$L,Data_Entry!$A7,0)/VLOOKUP($B8,Basic_Data!$E$2:$G$10,3,0),"")</f>
        <v>0</v>
      </c>
      <c r="E8" s="107">
        <f>IFERROR(VLOOKUP(E$2,Data_Entry!$C:$L,Data_Entry!$A7,0)/VLOOKUP($B8,Basic_Data!$E$2:$G$10,3,0),"")</f>
        <v>0</v>
      </c>
      <c r="F8" s="107">
        <f>IFERROR(VLOOKUP(F$2,Data_Entry!$C:$L,Data_Entry!$A7,0)/VLOOKUP($B8,Basic_Data!$E$2:$G$10,3,0),"")</f>
        <v>0</v>
      </c>
      <c r="G8" s="107">
        <f>IFERROR(VLOOKUP(G$2,Data_Entry!$C:$L,Data_Entry!$A7,0)/VLOOKUP($B8,Basic_Data!$E$2:$G$10,3,0),"")</f>
        <v>0</v>
      </c>
      <c r="H8" s="107">
        <f>IFERROR(VLOOKUP(H$2,Data_Entry!$C:$L,Data_Entry!$A7,0)/VLOOKUP($B8,Basic_Data!$E$2:$G$10,3,0),"")</f>
        <v>0</v>
      </c>
      <c r="I8" s="107">
        <f>IFERROR(VLOOKUP(I$2,Data_Entry!$C:$L,Data_Entry!$A7,0)/VLOOKUP($B8,Basic_Data!$E$2:$G$10,3,0),"")</f>
        <v>0</v>
      </c>
      <c r="J8" s="107">
        <f>IFERROR(VLOOKUP(J$2,Data_Entry!$C:$L,Data_Entry!$A7,0)/VLOOKUP($B8,Basic_Data!$E$2:$G$10,3,0),"")</f>
        <v>0</v>
      </c>
      <c r="K8" s="107">
        <f>IFERROR(VLOOKUP(K$2,Data_Entry!$C:$L,Data_Entry!$A7,0)/VLOOKUP($B8,Basic_Data!$E$2:$G$10,3,0),"")</f>
        <v>0</v>
      </c>
      <c r="L8" s="107">
        <f>IFERROR(VLOOKUP(L$2,Data_Entry!$C:$L,Data_Entry!$A7,0)/VLOOKUP($B8,Basic_Data!$E$2:$G$10,3,0),"")</f>
        <v>0</v>
      </c>
      <c r="M8" s="107">
        <f>IFERROR(VLOOKUP(M$2,Data_Entry!$C:$L,Data_Entry!$A7,0)/VLOOKUP($B8,Basic_Data!$E$2:$G$10,3,0),"")</f>
        <v>0</v>
      </c>
      <c r="N8" s="107">
        <f>IFERROR(VLOOKUP(N$2,Data_Entry!$C:$L,Data_Entry!$A7,0)/VLOOKUP($B8,Basic_Data!$E$2:$G$10,3,0),"")</f>
        <v>0</v>
      </c>
      <c r="O8" s="107">
        <f>IFERROR(VLOOKUP(O$2,Data_Entry!$C:$L,Data_Entry!$A7,0)/VLOOKUP($B8,Basic_Data!$E$2:$G$10,3,0),"")</f>
        <v>0</v>
      </c>
      <c r="P8" s="107">
        <f>IFERROR(VLOOKUP(P$2,Data_Entry!$C:$L,Data_Entry!$A7,0)/VLOOKUP($B8,Basic_Data!$E$2:$G$10,3,0),"")</f>
        <v>0</v>
      </c>
      <c r="Q8" s="107">
        <f>IFERROR(VLOOKUP(Q$2,Data_Entry!$C:$L,Data_Entry!$A7,0)/VLOOKUP($B8,Basic_Data!$E$2:$G$10,3,0),"")</f>
        <v>0</v>
      </c>
      <c r="R8" s="107">
        <f>IFERROR(VLOOKUP(R$2,Data_Entry!$C:$L,Data_Entry!$A7,0)/VLOOKUP($B8,Basic_Data!$E$2:$G$10,3,0),"")</f>
        <v>0</v>
      </c>
      <c r="S8" s="107">
        <f>IFERROR(VLOOKUP(S$2,Data_Entry!$C:$L,Data_Entry!$A7,0)/VLOOKUP($B8,Basic_Data!$E$2:$G$10,3,0),"")</f>
        <v>0</v>
      </c>
      <c r="T8" s="107">
        <f>IFERROR(VLOOKUP(T$2,Data_Entry!$C:$L,Data_Entry!$A7,0)/VLOOKUP($B8,Basic_Data!$E$2:$G$10,3,0),"")</f>
        <v>0</v>
      </c>
      <c r="U8" s="107">
        <f>IFERROR(VLOOKUP(U$2,Data_Entry!$C:$L,Data_Entry!$A7,0)/VLOOKUP($B8,Basic_Data!$E$2:$G$10,3,0),"")</f>
        <v>0</v>
      </c>
      <c r="V8" s="107">
        <f>IFERROR(VLOOKUP(V$2,Data_Entry!$C:$L,Data_Entry!$A7,0)/VLOOKUP($B8,Basic_Data!$E$2:$G$10,3,0),"")</f>
        <v>0</v>
      </c>
      <c r="W8" s="107">
        <f>IFERROR(VLOOKUP(W$2,Data_Entry!$C:$L,Data_Entry!$A7,0)/VLOOKUP($B8,Basic_Data!$E$2:$G$10,3,0),"")</f>
        <v>0</v>
      </c>
      <c r="X8" s="107">
        <f>IFERROR(VLOOKUP(X$2,Data_Entry!$C:$L,Data_Entry!$A7,0)/VLOOKUP($B8,Basic_Data!$E$2:$G$10,3,0),"")</f>
        <v>0</v>
      </c>
      <c r="Y8" s="107">
        <f>IFERROR(VLOOKUP(Y$2,Data_Entry!$C:$L,Data_Entry!$A7,0)/VLOOKUP($B8,Basic_Data!$E$2:$G$10,3,0),"")</f>
        <v>0</v>
      </c>
      <c r="Z8" s="107">
        <f>IFERROR(VLOOKUP(Z$2,Data_Entry!$C:$L,Data_Entry!$A7,0)/VLOOKUP($B8,Basic_Data!$E$2:$G$10,3,0),"")</f>
        <v>0</v>
      </c>
      <c r="AA8" s="107">
        <f>IFERROR(VLOOKUP(AA$2,Data_Entry!$C:$L,Data_Entry!$A7,0)/VLOOKUP($B8,Basic_Data!$E$2:$G$10,3,0),"")</f>
        <v>0</v>
      </c>
      <c r="AB8" s="107">
        <f>IFERROR(VLOOKUP(AB$2,Data_Entry!$C:$L,Data_Entry!$A7,0)/VLOOKUP($B8,Basic_Data!$E$2:$G$10,3,0),"")</f>
        <v>0</v>
      </c>
      <c r="AC8" s="107">
        <f>IFERROR(VLOOKUP(AC$2,Data_Entry!$C:$L,Data_Entry!$A7,0)/VLOOKUP($B8,Basic_Data!$E$2:$G$10,3,0),"")</f>
        <v>0</v>
      </c>
      <c r="AD8" s="107">
        <f>IFERROR(VLOOKUP(AD$2,Data_Entry!$C:$L,Data_Entry!$A7,0)/VLOOKUP($B8,Basic_Data!$E$2:$G$10,3,0),"")</f>
        <v>0</v>
      </c>
      <c r="AE8" s="107">
        <f>IFERROR(VLOOKUP(AE$2,Data_Entry!$C:$L,Data_Entry!$A7,0)/VLOOKUP($B8,Basic_Data!$E$2:$G$10,3,0),"")</f>
        <v>0</v>
      </c>
      <c r="AF8" s="107">
        <f>IFERROR(VLOOKUP(AF$2,Data_Entry!$C:$L,Data_Entry!$A7,0)/VLOOKUP($B8,Basic_Data!$E$2:$G$10,3,0),"")</f>
        <v>0</v>
      </c>
      <c r="AG8" s="107">
        <f>IFERROR(VLOOKUP(AG$2,Data_Entry!$C:$L,Data_Entry!$A7,0)/VLOOKUP($B8,Basic_Data!$E$2:$G$10,3,0),"")</f>
        <v>0</v>
      </c>
      <c r="AH8" s="52"/>
    </row>
    <row r="9" spans="1:38">
      <c r="B9" s="96" t="s">
        <v>41</v>
      </c>
      <c r="C9" s="107">
        <f>IFERROR(VLOOKUP(C$2,Data_Entry!$C:$L,Data_Entry!$A8,0)/VLOOKUP($B9,Basic_Data!$E$2:$G$10,3,0),"")</f>
        <v>4.14772921533991</v>
      </c>
      <c r="D9" s="107">
        <f>IFERROR(VLOOKUP(D$2,Data_Entry!$C:$L,Data_Entry!$A8,0)/VLOOKUP($B9,Basic_Data!$E$2:$G$10,3,0),"")</f>
        <v>0</v>
      </c>
      <c r="E9" s="107">
        <f>IFERROR(VLOOKUP(E$2,Data_Entry!$C:$L,Data_Entry!$A8,0)/VLOOKUP($B9,Basic_Data!$E$2:$G$10,3,0),"")</f>
        <v>0</v>
      </c>
      <c r="F9" s="107">
        <f>IFERROR(VLOOKUP(F$2,Data_Entry!$C:$L,Data_Entry!$A8,0)/VLOOKUP($B9,Basic_Data!$E$2:$G$10,3,0),"")</f>
        <v>0</v>
      </c>
      <c r="G9" s="107">
        <f>IFERROR(VLOOKUP(G$2,Data_Entry!$C:$L,Data_Entry!$A8,0)/VLOOKUP($B9,Basic_Data!$E$2:$G$10,3,0),"")</f>
        <v>0</v>
      </c>
      <c r="H9" s="107">
        <f>IFERROR(VLOOKUP(H$2,Data_Entry!$C:$L,Data_Entry!$A8,0)/VLOOKUP($B9,Basic_Data!$E$2:$G$10,3,0),"")</f>
        <v>0</v>
      </c>
      <c r="I9" s="107">
        <f>IFERROR(VLOOKUP(I$2,Data_Entry!$C:$L,Data_Entry!$A8,0)/VLOOKUP($B9,Basic_Data!$E$2:$G$10,3,0),"")</f>
        <v>0</v>
      </c>
      <c r="J9" s="107">
        <f>IFERROR(VLOOKUP(J$2,Data_Entry!$C:$L,Data_Entry!$A8,0)/VLOOKUP($B9,Basic_Data!$E$2:$G$10,3,0),"")</f>
        <v>0</v>
      </c>
      <c r="K9" s="107">
        <f>IFERROR(VLOOKUP(K$2,Data_Entry!$C:$L,Data_Entry!$A8,0)/VLOOKUP($B9,Basic_Data!$E$2:$G$10,3,0),"")</f>
        <v>0</v>
      </c>
      <c r="L9" s="107">
        <f>IFERROR(VLOOKUP(L$2,Data_Entry!$C:$L,Data_Entry!$A8,0)/VLOOKUP($B9,Basic_Data!$E$2:$G$10,3,0),"")</f>
        <v>0</v>
      </c>
      <c r="M9" s="107">
        <f>IFERROR(VLOOKUP(M$2,Data_Entry!$C:$L,Data_Entry!$A8,0)/VLOOKUP($B9,Basic_Data!$E$2:$G$10,3,0),"")</f>
        <v>0</v>
      </c>
      <c r="N9" s="107">
        <f>IFERROR(VLOOKUP(N$2,Data_Entry!$C:$L,Data_Entry!$A8,0)/VLOOKUP($B9,Basic_Data!$E$2:$G$10,3,0),"")</f>
        <v>0</v>
      </c>
      <c r="O9" s="107">
        <f>IFERROR(VLOOKUP(O$2,Data_Entry!$C:$L,Data_Entry!$A8,0)/VLOOKUP($B9,Basic_Data!$E$2:$G$10,3,0),"")</f>
        <v>0</v>
      </c>
      <c r="P9" s="107">
        <f>IFERROR(VLOOKUP(P$2,Data_Entry!$C:$L,Data_Entry!$A8,0)/VLOOKUP($B9,Basic_Data!$E$2:$G$10,3,0),"")</f>
        <v>0</v>
      </c>
      <c r="Q9" s="107">
        <f>IFERROR(VLOOKUP(Q$2,Data_Entry!$C:$L,Data_Entry!$A8,0)/VLOOKUP($B9,Basic_Data!$E$2:$G$10,3,0),"")</f>
        <v>0</v>
      </c>
      <c r="R9" s="107">
        <f>IFERROR(VLOOKUP(R$2,Data_Entry!$C:$L,Data_Entry!$A8,0)/VLOOKUP($B9,Basic_Data!$E$2:$G$10,3,0),"")</f>
        <v>0</v>
      </c>
      <c r="S9" s="107">
        <f>IFERROR(VLOOKUP(S$2,Data_Entry!$C:$L,Data_Entry!$A8,0)/VLOOKUP($B9,Basic_Data!$E$2:$G$10,3,0),"")</f>
        <v>0</v>
      </c>
      <c r="T9" s="107">
        <f>IFERROR(VLOOKUP(T$2,Data_Entry!$C:$L,Data_Entry!$A8,0)/VLOOKUP($B9,Basic_Data!$E$2:$G$10,3,0),"")</f>
        <v>0</v>
      </c>
      <c r="U9" s="107">
        <f>IFERROR(VLOOKUP(U$2,Data_Entry!$C:$L,Data_Entry!$A8,0)/VLOOKUP($B9,Basic_Data!$E$2:$G$10,3,0),"")</f>
        <v>0</v>
      </c>
      <c r="V9" s="107">
        <f>IFERROR(VLOOKUP(V$2,Data_Entry!$C:$L,Data_Entry!$A8,0)/VLOOKUP($B9,Basic_Data!$E$2:$G$10,3,0),"")</f>
        <v>0</v>
      </c>
      <c r="W9" s="107">
        <f>IFERROR(VLOOKUP(W$2,Data_Entry!$C:$L,Data_Entry!$A8,0)/VLOOKUP($B9,Basic_Data!$E$2:$G$10,3,0),"")</f>
        <v>0</v>
      </c>
      <c r="X9" s="107">
        <f>IFERROR(VLOOKUP(X$2,Data_Entry!$C:$L,Data_Entry!$A8,0)/VLOOKUP($B9,Basic_Data!$E$2:$G$10,3,0),"")</f>
        <v>0</v>
      </c>
      <c r="Y9" s="107">
        <f>IFERROR(VLOOKUP(Y$2,Data_Entry!$C:$L,Data_Entry!$A8,0)/VLOOKUP($B9,Basic_Data!$E$2:$G$10,3,0),"")</f>
        <v>0</v>
      </c>
      <c r="Z9" s="107">
        <f>IFERROR(VLOOKUP(Z$2,Data_Entry!$C:$L,Data_Entry!$A8,0)/VLOOKUP($B9,Basic_Data!$E$2:$G$10,3,0),"")</f>
        <v>0</v>
      </c>
      <c r="AA9" s="107">
        <f>IFERROR(VLOOKUP(AA$2,Data_Entry!$C:$L,Data_Entry!$A8,0)/VLOOKUP($B9,Basic_Data!$E$2:$G$10,3,0),"")</f>
        <v>0</v>
      </c>
      <c r="AB9" s="107">
        <f>IFERROR(VLOOKUP(AB$2,Data_Entry!$C:$L,Data_Entry!$A8,0)/VLOOKUP($B9,Basic_Data!$E$2:$G$10,3,0),"")</f>
        <v>0</v>
      </c>
      <c r="AC9" s="107">
        <f>IFERROR(VLOOKUP(AC$2,Data_Entry!$C:$L,Data_Entry!$A8,0)/VLOOKUP($B9,Basic_Data!$E$2:$G$10,3,0),"")</f>
        <v>0</v>
      </c>
      <c r="AD9" s="107">
        <f>IFERROR(VLOOKUP(AD$2,Data_Entry!$C:$L,Data_Entry!$A8,0)/VLOOKUP($B9,Basic_Data!$E$2:$G$10,3,0),"")</f>
        <v>0</v>
      </c>
      <c r="AE9" s="107">
        <f>IFERROR(VLOOKUP(AE$2,Data_Entry!$C:$L,Data_Entry!$A8,0)/VLOOKUP($B9,Basic_Data!$E$2:$G$10,3,0),"")</f>
        <v>0</v>
      </c>
      <c r="AF9" s="107">
        <f>IFERROR(VLOOKUP(AF$2,Data_Entry!$C:$L,Data_Entry!$A8,0)/VLOOKUP($B9,Basic_Data!$E$2:$G$10,3,0),"")</f>
        <v>0</v>
      </c>
      <c r="AG9" s="107">
        <f>IFERROR(VLOOKUP(AG$2,Data_Entry!$C:$L,Data_Entry!$A8,0)/VLOOKUP($B9,Basic_Data!$E$2:$G$10,3,0),"")</f>
        <v>0</v>
      </c>
      <c r="AH9" s="52"/>
    </row>
    <row r="10" spans="1:38">
      <c r="B10" s="52" t="s">
        <v>76</v>
      </c>
      <c r="C10" s="107">
        <f>AVERAGE(C3:C9)</f>
        <v>4.29947205338966</v>
      </c>
      <c r="D10" s="107">
        <f t="shared" ref="D10:AH10" si="0">AVERAGE(D3:D9)</f>
        <v>0</v>
      </c>
      <c r="E10" s="107">
        <f t="shared" si="0"/>
        <v>0</v>
      </c>
      <c r="F10" s="107">
        <f t="shared" si="0"/>
        <v>0</v>
      </c>
      <c r="G10" s="107">
        <f t="shared" si="0"/>
        <v>0</v>
      </c>
      <c r="H10" s="107">
        <f t="shared" si="0"/>
        <v>0</v>
      </c>
      <c r="I10" s="107">
        <f t="shared" si="0"/>
        <v>0</v>
      </c>
      <c r="J10" s="107">
        <f t="shared" si="0"/>
        <v>0</v>
      </c>
      <c r="K10" s="107">
        <f t="shared" si="0"/>
        <v>0</v>
      </c>
      <c r="L10" s="107">
        <f t="shared" si="0"/>
        <v>0</v>
      </c>
      <c r="M10" s="107">
        <f t="shared" si="0"/>
        <v>0</v>
      </c>
      <c r="N10" s="107">
        <f t="shared" si="0"/>
        <v>0</v>
      </c>
      <c r="O10" s="107">
        <f t="shared" si="0"/>
        <v>0</v>
      </c>
      <c r="P10" s="107">
        <f t="shared" si="0"/>
        <v>0</v>
      </c>
      <c r="Q10" s="107">
        <f t="shared" si="0"/>
        <v>0</v>
      </c>
      <c r="R10" s="107">
        <f t="shared" si="0"/>
        <v>0</v>
      </c>
      <c r="S10" s="107">
        <f t="shared" si="0"/>
        <v>0</v>
      </c>
      <c r="T10" s="107">
        <f t="shared" si="0"/>
        <v>0</v>
      </c>
      <c r="U10" s="107">
        <f t="shared" si="0"/>
        <v>0</v>
      </c>
      <c r="V10" s="107">
        <f t="shared" si="0"/>
        <v>0</v>
      </c>
      <c r="W10" s="107">
        <f t="shared" si="0"/>
        <v>0</v>
      </c>
      <c r="X10" s="107">
        <f t="shared" si="0"/>
        <v>0</v>
      </c>
      <c r="Y10" s="107">
        <f t="shared" si="0"/>
        <v>0</v>
      </c>
      <c r="Z10" s="107">
        <f t="shared" si="0"/>
        <v>0</v>
      </c>
      <c r="AA10" s="107">
        <f t="shared" si="0"/>
        <v>0</v>
      </c>
      <c r="AB10" s="107">
        <f t="shared" si="0"/>
        <v>0</v>
      </c>
      <c r="AC10" s="107">
        <f t="shared" si="0"/>
        <v>0</v>
      </c>
      <c r="AD10" s="107">
        <f t="shared" si="0"/>
        <v>0</v>
      </c>
      <c r="AE10" s="107">
        <f t="shared" si="0"/>
        <v>0</v>
      </c>
      <c r="AF10" s="107">
        <f t="shared" si="0"/>
        <v>0</v>
      </c>
      <c r="AG10" s="107">
        <f t="shared" si="0"/>
        <v>0</v>
      </c>
      <c r="AH10" s="107" t="e">
        <f t="shared" si="0"/>
        <v>#DIV/0!</v>
      </c>
    </row>
    <row r="13" spans="1:38">
      <c r="B13" s="104" t="s">
        <v>33</v>
      </c>
      <c r="C13" s="105">
        <f>DGR!B3</f>
        <v>46178</v>
      </c>
      <c r="D13" s="105">
        <f>DGR!C3</f>
        <v>46179</v>
      </c>
      <c r="E13" s="105">
        <f>DGR!D3</f>
        <v>46180</v>
      </c>
      <c r="F13" s="105">
        <f>DGR!E3</f>
        <v>46181</v>
      </c>
      <c r="G13" s="105">
        <f>DGR!F3</f>
        <v>46182</v>
      </c>
      <c r="H13" s="105">
        <f>DGR!G3</f>
        <v>46183</v>
      </c>
      <c r="I13" s="105">
        <f>DGR!H3</f>
        <v>46184</v>
      </c>
      <c r="J13" s="105">
        <f>DGR!I3</f>
        <v>46185</v>
      </c>
      <c r="K13" s="105">
        <f>DGR!J3</f>
        <v>46186</v>
      </c>
      <c r="L13" s="105">
        <f>DGR!K3</f>
        <v>46187</v>
      </c>
      <c r="M13" s="105">
        <f>DGR!L3</f>
        <v>46188</v>
      </c>
      <c r="N13" s="105">
        <f>DGR!M3</f>
        <v>46189</v>
      </c>
      <c r="O13" s="105">
        <f>DGR!N3</f>
        <v>46190</v>
      </c>
      <c r="P13" s="105">
        <f>DGR!O3</f>
        <v>46191</v>
      </c>
      <c r="Q13" s="105">
        <f>DGR!P3</f>
        <v>46192</v>
      </c>
      <c r="R13" s="105">
        <f>DGR!Q3</f>
        <v>46193</v>
      </c>
      <c r="S13" s="105">
        <f>DGR!R3</f>
        <v>46194</v>
      </c>
      <c r="T13" s="105">
        <f>DGR!S3</f>
        <v>46195</v>
      </c>
      <c r="U13" s="105">
        <f>DGR!T3</f>
        <v>46196</v>
      </c>
      <c r="V13" s="105">
        <f>DGR!U3</f>
        <v>46197</v>
      </c>
      <c r="W13" s="105">
        <f>DGR!V3</f>
        <v>46198</v>
      </c>
      <c r="X13" s="105">
        <f>DGR!W3</f>
        <v>46199</v>
      </c>
      <c r="Y13" s="105">
        <f>DGR!X3</f>
        <v>46200</v>
      </c>
      <c r="Z13" s="105">
        <f>DGR!Y3</f>
        <v>46201</v>
      </c>
      <c r="AA13" s="105">
        <f>DGR!Z3</f>
        <v>46202</v>
      </c>
      <c r="AB13" s="105">
        <f>DGR!AA3</f>
        <v>46203</v>
      </c>
      <c r="AC13" s="105">
        <f>DGR!AB3</f>
        <v>46204</v>
      </c>
      <c r="AD13" s="105">
        <f>DGR!AC3</f>
        <v>46205</v>
      </c>
      <c r="AE13" s="105">
        <f>DGR!AD3</f>
        <v>46206</v>
      </c>
      <c r="AF13" s="105">
        <f>DGR!AE3</f>
        <v>46207</v>
      </c>
      <c r="AG13" s="105">
        <f>DGR!AF3</f>
        <v>46208</v>
      </c>
      <c r="AH13" s="105" t="str">
        <f>DGR!AG3</f>
        <v>Total/Avg..</v>
      </c>
    </row>
    <row r="14" spans="1:38">
      <c r="B14" s="96" t="s">
        <v>35</v>
      </c>
      <c r="C14" s="108">
        <f>IFERROR(VLOOKUP(C$13,Data_Entry!$C:$M,Data_Entry!$A2,0)/VLOOKUP($B14,Basic_Data!$E$2:$G$9,3,0)/VLOOKUP(C$13,Data_Entry!$C:$V,20,0),"")</f>
        <v>1.19088311297666</v>
      </c>
      <c r="D14" s="108" t="str">
        <f>IFERROR(VLOOKUP(D$13,Data_Entry!$C:$M,Data_Entry!$A2,0)/VLOOKUP($B14,Basic_Data!$E$2:$G$9,3,0)/VLOOKUP(D$13,Data_Entry!$C:$V,20,0),"")</f>
        <v/>
      </c>
      <c r="E14" s="108" t="str">
        <f>IFERROR(VLOOKUP(E$13,Data_Entry!$C:$M,Data_Entry!$A2,0)/VLOOKUP($B14,Basic_Data!$E$2:$G$9,3,0)/VLOOKUP(E$13,Data_Entry!$C:$V,20,0),"")</f>
        <v/>
      </c>
      <c r="F14" s="108" t="str">
        <f>IFERROR(VLOOKUP(F$13,Data_Entry!$C:$M,Data_Entry!$A2,0)/VLOOKUP($B14,Basic_Data!$E$2:$G$9,3,0)/VLOOKUP(F$13,Data_Entry!$C:$V,20,0),"")</f>
        <v/>
      </c>
      <c r="G14" s="108" t="str">
        <f>IFERROR(VLOOKUP(G$13,Data_Entry!$C:$M,Data_Entry!$A2,0)/VLOOKUP($B14,Basic_Data!$E$2:$G$9,3,0)/VLOOKUP(G$13,Data_Entry!$C:$V,20,0),"")</f>
        <v/>
      </c>
      <c r="H14" s="108" t="str">
        <f>IFERROR(VLOOKUP(H$13,Data_Entry!$C:$M,Data_Entry!$A2,0)/VLOOKUP($B14,Basic_Data!$E$2:$G$9,3,0)/VLOOKUP(H$13,Data_Entry!$C:$V,20,0),"")</f>
        <v/>
      </c>
      <c r="I14" s="108" t="str">
        <f>IFERROR(VLOOKUP(I$13,Data_Entry!$C:$M,Data_Entry!$A2,0)/VLOOKUP($B14,Basic_Data!$E$2:$G$9,3,0)/VLOOKUP(I$13,Data_Entry!$C:$V,20,0),"")</f>
        <v/>
      </c>
      <c r="J14" s="108" t="str">
        <f>IFERROR(VLOOKUP(J$13,Data_Entry!$C:$M,Data_Entry!$A2,0)/VLOOKUP($B14,Basic_Data!$E$2:$G$9,3,0)/VLOOKUP(J$13,Data_Entry!$C:$V,20,0),"")</f>
        <v/>
      </c>
      <c r="K14" s="108" t="str">
        <f>IFERROR(VLOOKUP(K$13,Data_Entry!$C:$M,Data_Entry!$A2,0)/VLOOKUP($B14,Basic_Data!$E$2:$G$9,3,0)/VLOOKUP(K$13,Data_Entry!$C:$V,20,0),"")</f>
        <v/>
      </c>
      <c r="L14" s="108" t="str">
        <f>IFERROR(VLOOKUP(L$13,Data_Entry!$C:$M,Data_Entry!$A2,0)/VLOOKUP($B14,Basic_Data!$E$2:$G$9,3,0)/VLOOKUP(L$13,Data_Entry!$C:$V,20,0),"")</f>
        <v/>
      </c>
      <c r="M14" s="108" t="str">
        <f>IFERROR(VLOOKUP(M$13,Data_Entry!$C:$M,Data_Entry!$A2,0)/VLOOKUP($B14,Basic_Data!$E$2:$G$9,3,0)/VLOOKUP(M$13,Data_Entry!$C:$V,20,0),"")</f>
        <v/>
      </c>
      <c r="N14" s="108" t="str">
        <f>IFERROR(VLOOKUP(N$13,Data_Entry!$C:$M,Data_Entry!$A2,0)/VLOOKUP($B14,Basic_Data!$E$2:$G$9,3,0)/VLOOKUP(N$13,Data_Entry!$C:$V,20,0),"")</f>
        <v/>
      </c>
      <c r="O14" s="108" t="str">
        <f>IFERROR(VLOOKUP(O$13,Data_Entry!$C:$M,Data_Entry!$A2,0)/VLOOKUP($B14,Basic_Data!$E$2:$G$9,3,0)/VLOOKUP(O$13,Data_Entry!$C:$V,20,0),"")</f>
        <v/>
      </c>
      <c r="P14" s="108" t="str">
        <f>IFERROR(VLOOKUP(P$13,Data_Entry!$C:$M,Data_Entry!$A2,0)/VLOOKUP($B14,Basic_Data!$E$2:$G$9,3,0)/VLOOKUP(P$13,Data_Entry!$C:$V,20,0),"")</f>
        <v/>
      </c>
      <c r="Q14" s="108" t="str">
        <f>IFERROR(VLOOKUP(Q$13,Data_Entry!$C:$M,Data_Entry!$A2,0)/VLOOKUP($B14,Basic_Data!$E$2:$G$9,3,0)/VLOOKUP(Q$13,Data_Entry!$C:$V,20,0),"")</f>
        <v/>
      </c>
      <c r="R14" s="108" t="str">
        <f>IFERROR(VLOOKUP(R$13,Data_Entry!$C:$M,Data_Entry!$A2,0)/VLOOKUP($B14,Basic_Data!$E$2:$G$9,3,0)/VLOOKUP(R$13,Data_Entry!$C:$V,20,0),"")</f>
        <v/>
      </c>
      <c r="S14" s="108" t="str">
        <f>IFERROR(VLOOKUP(S$13,Data_Entry!$C:$M,Data_Entry!$A2,0)/VLOOKUP($B14,Basic_Data!$E$2:$G$9,3,0)/VLOOKUP(S$13,Data_Entry!$C:$V,20,0),"")</f>
        <v/>
      </c>
      <c r="T14" s="108" t="str">
        <f>IFERROR(VLOOKUP(T$13,Data_Entry!$C:$M,Data_Entry!$A2,0)/VLOOKUP($B14,Basic_Data!$E$2:$G$9,3,0)/VLOOKUP(T$13,Data_Entry!$C:$V,20,0),"")</f>
        <v/>
      </c>
      <c r="U14" s="108" t="str">
        <f>IFERROR(VLOOKUP(U$13,Data_Entry!$C:$M,Data_Entry!$A2,0)/VLOOKUP($B14,Basic_Data!$E$2:$G$9,3,0)/VLOOKUP(U$13,Data_Entry!$C:$V,20,0),"")</f>
        <v/>
      </c>
      <c r="V14" s="108" t="str">
        <f>IFERROR(VLOOKUP(V$13,Data_Entry!$C:$M,Data_Entry!$A2,0)/VLOOKUP($B14,Basic_Data!$E$2:$G$9,3,0)/VLOOKUP(V$13,Data_Entry!$C:$V,20,0),"")</f>
        <v/>
      </c>
      <c r="W14" s="108" t="str">
        <f>IFERROR(VLOOKUP(W$13,Data_Entry!$C:$M,Data_Entry!$A2,0)/VLOOKUP($B14,Basic_Data!$E$2:$G$9,3,0)/VLOOKUP(W$13,Data_Entry!$C:$V,20,0),"")</f>
        <v/>
      </c>
      <c r="X14" s="108" t="str">
        <f>IFERROR(VLOOKUP(X$13,Data_Entry!$C:$M,Data_Entry!$A2,0)/VLOOKUP($B14,Basic_Data!$E$2:$G$9,3,0)/VLOOKUP(X$13,Data_Entry!$C:$V,20,0),"")</f>
        <v/>
      </c>
      <c r="Y14" s="108" t="str">
        <f>IFERROR(VLOOKUP(Y$13,Data_Entry!$C:$M,Data_Entry!$A2,0)/VLOOKUP($B14,Basic_Data!$E$2:$G$9,3,0)/VLOOKUP(Y$13,Data_Entry!$C:$V,20,0),"")</f>
        <v/>
      </c>
      <c r="Z14" s="108" t="str">
        <f>IFERROR(VLOOKUP(Z$13,Data_Entry!$C:$M,Data_Entry!$A2,0)/VLOOKUP($B14,Basic_Data!$E$2:$G$9,3,0)/VLOOKUP(Z$13,Data_Entry!$C:$V,20,0),"")</f>
        <v/>
      </c>
      <c r="AA14" s="108" t="str">
        <f>IFERROR(VLOOKUP(AA$13,Data_Entry!$C:$M,Data_Entry!$A2,0)/VLOOKUP($B14,Basic_Data!$E$2:$G$9,3,0)/VLOOKUP(AA$13,Data_Entry!$C:$V,20,0),"")</f>
        <v/>
      </c>
      <c r="AB14" s="108" t="str">
        <f>IFERROR(VLOOKUP(AB$13,Data_Entry!$C:$M,Data_Entry!$A2,0)/VLOOKUP($B14,Basic_Data!$E$2:$G$9,3,0)/VLOOKUP(AB$13,Data_Entry!$C:$V,20,0),"")</f>
        <v/>
      </c>
      <c r="AC14" s="108" t="str">
        <f>IFERROR(VLOOKUP(AC$13,Data_Entry!$C:$M,Data_Entry!$A2,0)/VLOOKUP($B14,Basic_Data!$E$2:$G$9,3,0)/VLOOKUP(AC$13,Data_Entry!$C:$V,20,0),"")</f>
        <v/>
      </c>
      <c r="AD14" s="108" t="str">
        <f>IFERROR(VLOOKUP(AD$13,Data_Entry!$C:$M,Data_Entry!$A2,0)/VLOOKUP($B14,Basic_Data!$E$2:$G$9,3,0)/VLOOKUP(AD$13,Data_Entry!$C:$V,20,0),"")</f>
        <v/>
      </c>
      <c r="AE14" s="108" t="str">
        <f>IFERROR(VLOOKUP(AE$13,Data_Entry!$C:$M,Data_Entry!$A2,0)/VLOOKUP($B14,Basic_Data!$E$2:$G$9,3,0)/VLOOKUP(AE$13,Data_Entry!$C:$V,20,0),"")</f>
        <v/>
      </c>
      <c r="AF14" s="108" t="str">
        <f>IFERROR(VLOOKUP(AF$13,Data_Entry!$C:$M,Data_Entry!$A2,0)/VLOOKUP($B14,Basic_Data!$E$2:$G$9,3,0)/VLOOKUP(AF$13,Data_Entry!$C:$V,20,0),"")</f>
        <v/>
      </c>
      <c r="AG14" s="108" t="str">
        <f>IFERROR(VLOOKUP(AG$13,Data_Entry!$C:$M,Data_Entry!$A2,0)/VLOOKUP($B14,Basic_Data!$E$2:$G$9,3,0)/VLOOKUP(AG$13,Data_Entry!$C:$V,20,0),"")</f>
        <v/>
      </c>
      <c r="AH14" s="52"/>
    </row>
    <row r="15" spans="1:38">
      <c r="B15" s="96" t="s">
        <v>36</v>
      </c>
      <c r="C15" s="108">
        <f>IFERROR(VLOOKUP(C$13,Data_Entry!$C:$M,Data_Entry!$A3,0)/VLOOKUP($B15,Basic_Data!$E$2:$G$9,3,0)/VLOOKUP(C$13,Data_Entry!$C:$V,20,0),"")</f>
        <v>1.1854710437204</v>
      </c>
      <c r="D15" s="108" t="str">
        <f>IFERROR(VLOOKUP(D$13,Data_Entry!$C:$M,Data_Entry!$A3,0)/VLOOKUP($B15,Basic_Data!$E$2:$G$9,3,0)/VLOOKUP(D$13,Data_Entry!$C:$V,20,0),"")</f>
        <v/>
      </c>
      <c r="E15" s="108" t="str">
        <f>IFERROR(VLOOKUP(E$13,Data_Entry!$C:$M,Data_Entry!$A3,0)/VLOOKUP($B15,Basic_Data!$E$2:$G$9,3,0)/VLOOKUP(E$13,Data_Entry!$C:$V,20,0),"")</f>
        <v/>
      </c>
      <c r="F15" s="108" t="str">
        <f>IFERROR(VLOOKUP(F$13,Data_Entry!$C:$M,Data_Entry!$A3,0)/VLOOKUP($B15,Basic_Data!$E$2:$G$9,3,0)/VLOOKUP(F$13,Data_Entry!$C:$V,20,0),"")</f>
        <v/>
      </c>
      <c r="G15" s="108" t="str">
        <f>IFERROR(VLOOKUP(G$13,Data_Entry!$C:$M,Data_Entry!$A3,0)/VLOOKUP($B15,Basic_Data!$E$2:$G$9,3,0)/VLOOKUP(G$13,Data_Entry!$C:$V,20,0),"")</f>
        <v/>
      </c>
      <c r="H15" s="108" t="str">
        <f>IFERROR(VLOOKUP(H$13,Data_Entry!$C:$M,Data_Entry!$A3,0)/VLOOKUP($B15,Basic_Data!$E$2:$G$9,3,0)/VLOOKUP(H$13,Data_Entry!$C:$V,20,0),"")</f>
        <v/>
      </c>
      <c r="I15" s="108" t="str">
        <f>IFERROR(VLOOKUP(I$13,Data_Entry!$C:$M,Data_Entry!$A3,0)/VLOOKUP($B15,Basic_Data!$E$2:$G$9,3,0)/VLOOKUP(I$13,Data_Entry!$C:$V,20,0),"")</f>
        <v/>
      </c>
      <c r="J15" s="108" t="str">
        <f>IFERROR(VLOOKUP(J$13,Data_Entry!$C:$M,Data_Entry!$A3,0)/VLOOKUP($B15,Basic_Data!$E$2:$G$9,3,0)/VLOOKUP(J$13,Data_Entry!$C:$V,20,0),"")</f>
        <v/>
      </c>
      <c r="K15" s="108" t="str">
        <f>IFERROR(VLOOKUP(K$13,Data_Entry!$C:$M,Data_Entry!$A3,0)/VLOOKUP($B15,Basic_Data!$E$2:$G$9,3,0)/VLOOKUP(K$13,Data_Entry!$C:$V,20,0),"")</f>
        <v/>
      </c>
      <c r="L15" s="108" t="str">
        <f>IFERROR(VLOOKUP(L$13,Data_Entry!$C:$M,Data_Entry!$A3,0)/VLOOKUP($B15,Basic_Data!$E$2:$G$9,3,0)/VLOOKUP(L$13,Data_Entry!$C:$V,20,0),"")</f>
        <v/>
      </c>
      <c r="M15" s="108" t="str">
        <f>IFERROR(VLOOKUP(M$13,Data_Entry!$C:$M,Data_Entry!$A3,0)/VLOOKUP($B15,Basic_Data!$E$2:$G$9,3,0)/VLOOKUP(M$13,Data_Entry!$C:$V,20,0),"")</f>
        <v/>
      </c>
      <c r="N15" s="108" t="str">
        <f>IFERROR(VLOOKUP(N$13,Data_Entry!$C:$M,Data_Entry!$A3,0)/VLOOKUP($B15,Basic_Data!$E$2:$G$9,3,0)/VLOOKUP(N$13,Data_Entry!$C:$V,20,0),"")</f>
        <v/>
      </c>
      <c r="O15" s="108" t="str">
        <f>IFERROR(VLOOKUP(O$13,Data_Entry!$C:$M,Data_Entry!$A3,0)/VLOOKUP($B15,Basic_Data!$E$2:$G$9,3,0)/VLOOKUP(O$13,Data_Entry!$C:$V,20,0),"")</f>
        <v/>
      </c>
      <c r="P15" s="108" t="str">
        <f>IFERROR(VLOOKUP(P$13,Data_Entry!$C:$M,Data_Entry!$A3,0)/VLOOKUP($B15,Basic_Data!$E$2:$G$9,3,0)/VLOOKUP(P$13,Data_Entry!$C:$V,20,0),"")</f>
        <v/>
      </c>
      <c r="Q15" s="108" t="str">
        <f>IFERROR(VLOOKUP(Q$13,Data_Entry!$C:$M,Data_Entry!$A3,0)/VLOOKUP($B15,Basic_Data!$E$2:$G$9,3,0)/VLOOKUP(Q$13,Data_Entry!$C:$V,20,0),"")</f>
        <v/>
      </c>
      <c r="R15" s="108" t="str">
        <f>IFERROR(VLOOKUP(R$13,Data_Entry!$C:$M,Data_Entry!$A3,0)/VLOOKUP($B15,Basic_Data!$E$2:$G$9,3,0)/VLOOKUP(R$13,Data_Entry!$C:$V,20,0),"")</f>
        <v/>
      </c>
      <c r="S15" s="108" t="str">
        <f>IFERROR(VLOOKUP(S$13,Data_Entry!$C:$M,Data_Entry!$A3,0)/VLOOKUP($B15,Basic_Data!$E$2:$G$9,3,0)/VLOOKUP(S$13,Data_Entry!$C:$V,20,0),"")</f>
        <v/>
      </c>
      <c r="T15" s="108" t="str">
        <f>IFERROR(VLOOKUP(T$13,Data_Entry!$C:$M,Data_Entry!$A3,0)/VLOOKUP($B15,Basic_Data!$E$2:$G$9,3,0)/VLOOKUP(T$13,Data_Entry!$C:$V,20,0),"")</f>
        <v/>
      </c>
      <c r="U15" s="108" t="str">
        <f>IFERROR(VLOOKUP(U$13,Data_Entry!$C:$M,Data_Entry!$A3,0)/VLOOKUP($B15,Basic_Data!$E$2:$G$9,3,0)/VLOOKUP(U$13,Data_Entry!$C:$V,20,0),"")</f>
        <v/>
      </c>
      <c r="V15" s="108" t="str">
        <f>IFERROR(VLOOKUP(V$13,Data_Entry!$C:$M,Data_Entry!$A3,0)/VLOOKUP($B15,Basic_Data!$E$2:$G$9,3,0)/VLOOKUP(V$13,Data_Entry!$C:$V,20,0),"")</f>
        <v/>
      </c>
      <c r="W15" s="108" t="str">
        <f>IFERROR(VLOOKUP(W$13,Data_Entry!$C:$M,Data_Entry!$A3,0)/VLOOKUP($B15,Basic_Data!$E$2:$G$9,3,0)/VLOOKUP(W$13,Data_Entry!$C:$V,20,0),"")</f>
        <v/>
      </c>
      <c r="X15" s="108" t="str">
        <f>IFERROR(VLOOKUP(X$13,Data_Entry!$C:$M,Data_Entry!$A3,0)/VLOOKUP($B15,Basic_Data!$E$2:$G$9,3,0)/VLOOKUP(X$13,Data_Entry!$C:$V,20,0),"")</f>
        <v/>
      </c>
      <c r="Y15" s="108" t="str">
        <f>IFERROR(VLOOKUP(Y$13,Data_Entry!$C:$M,Data_Entry!$A3,0)/VLOOKUP($B15,Basic_Data!$E$2:$G$9,3,0)/VLOOKUP(Y$13,Data_Entry!$C:$V,20,0),"")</f>
        <v/>
      </c>
      <c r="Z15" s="108" t="str">
        <f>IFERROR(VLOOKUP(Z$13,Data_Entry!$C:$M,Data_Entry!$A3,0)/VLOOKUP($B15,Basic_Data!$E$2:$G$9,3,0)/VLOOKUP(Z$13,Data_Entry!$C:$V,20,0),"")</f>
        <v/>
      </c>
      <c r="AA15" s="108" t="str">
        <f>IFERROR(VLOOKUP(AA$13,Data_Entry!$C:$M,Data_Entry!$A3,0)/VLOOKUP($B15,Basic_Data!$E$2:$G$9,3,0)/VLOOKUP(AA$13,Data_Entry!$C:$V,20,0),"")</f>
        <v/>
      </c>
      <c r="AB15" s="108" t="str">
        <f>IFERROR(VLOOKUP(AB$13,Data_Entry!$C:$M,Data_Entry!$A3,0)/VLOOKUP($B15,Basic_Data!$E$2:$G$9,3,0)/VLOOKUP(AB$13,Data_Entry!$C:$V,20,0),"")</f>
        <v/>
      </c>
      <c r="AC15" s="108" t="str">
        <f>IFERROR(VLOOKUP(AC$13,Data_Entry!$C:$M,Data_Entry!$A3,0)/VLOOKUP($B15,Basic_Data!$E$2:$G$9,3,0)/VLOOKUP(AC$13,Data_Entry!$C:$V,20,0),"")</f>
        <v/>
      </c>
      <c r="AD15" s="108" t="str">
        <f>IFERROR(VLOOKUP(AD$13,Data_Entry!$C:$M,Data_Entry!$A3,0)/VLOOKUP($B15,Basic_Data!$E$2:$G$9,3,0)/VLOOKUP(AD$13,Data_Entry!$C:$V,20,0),"")</f>
        <v/>
      </c>
      <c r="AE15" s="108" t="str">
        <f>IFERROR(VLOOKUP(AE$13,Data_Entry!$C:$M,Data_Entry!$A3,0)/VLOOKUP($B15,Basic_Data!$E$2:$G$9,3,0)/VLOOKUP(AE$13,Data_Entry!$C:$V,20,0),"")</f>
        <v/>
      </c>
      <c r="AF15" s="108" t="str">
        <f>IFERROR(VLOOKUP(AF$13,Data_Entry!$C:$M,Data_Entry!$A3,0)/VLOOKUP($B15,Basic_Data!$E$2:$G$9,3,0)/VLOOKUP(AF$13,Data_Entry!$C:$V,20,0),"")</f>
        <v/>
      </c>
      <c r="AG15" s="108" t="str">
        <f>IFERROR(VLOOKUP(AG$13,Data_Entry!$C:$M,Data_Entry!$A3,0)/VLOOKUP($B15,Basic_Data!$E$2:$G$9,3,0)/VLOOKUP(AG$13,Data_Entry!$C:$V,20,0),"")</f>
        <v/>
      </c>
      <c r="AH15" s="52"/>
    </row>
    <row r="16" spans="1:38">
      <c r="B16" s="96" t="s">
        <v>37</v>
      </c>
      <c r="C16" s="108">
        <f>IFERROR(VLOOKUP(C$13,Data_Entry!$C:$M,Data_Entry!$A4,0)/VLOOKUP($B16,Basic_Data!$E$2:$G$9,3,0)/VLOOKUP(C$13,Data_Entry!$C:$V,20,0),"")</f>
        <v>1.18918217692469</v>
      </c>
      <c r="D16" s="108" t="str">
        <f>IFERROR(VLOOKUP(D$13,Data_Entry!$C:$M,Data_Entry!$A4,0)/VLOOKUP($B16,Basic_Data!$E$2:$G$9,3,0)/VLOOKUP(D$13,Data_Entry!$C:$V,20,0),"")</f>
        <v/>
      </c>
      <c r="E16" s="108" t="str">
        <f>IFERROR(VLOOKUP(E$13,Data_Entry!$C:$M,Data_Entry!$A4,0)/VLOOKUP($B16,Basic_Data!$E$2:$G$9,3,0)/VLOOKUP(E$13,Data_Entry!$C:$V,20,0),"")</f>
        <v/>
      </c>
      <c r="F16" s="108" t="str">
        <f>IFERROR(VLOOKUP(F$13,Data_Entry!$C:$M,Data_Entry!$A4,0)/VLOOKUP($B16,Basic_Data!$E$2:$G$9,3,0)/VLOOKUP(F$13,Data_Entry!$C:$V,20,0),"")</f>
        <v/>
      </c>
      <c r="G16" s="108" t="str">
        <f>IFERROR(VLOOKUP(G$13,Data_Entry!$C:$M,Data_Entry!$A4,0)/VLOOKUP($B16,Basic_Data!$E$2:$G$9,3,0)/VLOOKUP(G$13,Data_Entry!$C:$V,20,0),"")</f>
        <v/>
      </c>
      <c r="H16" s="108" t="str">
        <f>IFERROR(VLOOKUP(H$13,Data_Entry!$C:$M,Data_Entry!$A4,0)/VLOOKUP($B16,Basic_Data!$E$2:$G$9,3,0)/VLOOKUP(H$13,Data_Entry!$C:$V,20,0),"")</f>
        <v/>
      </c>
      <c r="I16" s="108" t="str">
        <f>IFERROR(VLOOKUP(I$13,Data_Entry!$C:$M,Data_Entry!$A4,0)/VLOOKUP($B16,Basic_Data!$E$2:$G$9,3,0)/VLOOKUP(I$13,Data_Entry!$C:$V,20,0),"")</f>
        <v/>
      </c>
      <c r="J16" s="108" t="str">
        <f>IFERROR(VLOOKUP(J$13,Data_Entry!$C:$M,Data_Entry!$A4,0)/VLOOKUP($B16,Basic_Data!$E$2:$G$9,3,0)/VLOOKUP(J$13,Data_Entry!$C:$V,20,0),"")</f>
        <v/>
      </c>
      <c r="K16" s="108" t="str">
        <f>IFERROR(VLOOKUP(K$13,Data_Entry!$C:$M,Data_Entry!$A4,0)/VLOOKUP($B16,Basic_Data!$E$2:$G$9,3,0)/VLOOKUP(K$13,Data_Entry!$C:$V,20,0),"")</f>
        <v/>
      </c>
      <c r="L16" s="108" t="str">
        <f>IFERROR(VLOOKUP(L$13,Data_Entry!$C:$M,Data_Entry!$A4,0)/VLOOKUP($B16,Basic_Data!$E$2:$G$9,3,0)/VLOOKUP(L$13,Data_Entry!$C:$V,20,0),"")</f>
        <v/>
      </c>
      <c r="M16" s="108" t="str">
        <f>IFERROR(VLOOKUP(M$13,Data_Entry!$C:$M,Data_Entry!$A4,0)/VLOOKUP($B16,Basic_Data!$E$2:$G$9,3,0)/VLOOKUP(M$13,Data_Entry!$C:$V,20,0),"")</f>
        <v/>
      </c>
      <c r="N16" s="108" t="str">
        <f>IFERROR(VLOOKUP(N$13,Data_Entry!$C:$M,Data_Entry!$A4,0)/VLOOKUP($B16,Basic_Data!$E$2:$G$9,3,0)/VLOOKUP(N$13,Data_Entry!$C:$V,20,0),"")</f>
        <v/>
      </c>
      <c r="O16" s="108" t="str">
        <f>IFERROR(VLOOKUP(O$13,Data_Entry!$C:$M,Data_Entry!$A4,0)/VLOOKUP($B16,Basic_Data!$E$2:$G$9,3,0)/VLOOKUP(O$13,Data_Entry!$C:$V,20,0),"")</f>
        <v/>
      </c>
      <c r="P16" s="108" t="str">
        <f>IFERROR(VLOOKUP(P$13,Data_Entry!$C:$M,Data_Entry!$A4,0)/VLOOKUP($B16,Basic_Data!$E$2:$G$9,3,0)/VLOOKUP(P$13,Data_Entry!$C:$V,20,0),"")</f>
        <v/>
      </c>
      <c r="Q16" s="108" t="str">
        <f>IFERROR(VLOOKUP(Q$13,Data_Entry!$C:$M,Data_Entry!$A4,0)/VLOOKUP($B16,Basic_Data!$E$2:$G$9,3,0)/VLOOKUP(Q$13,Data_Entry!$C:$V,20,0),"")</f>
        <v/>
      </c>
      <c r="R16" s="108" t="str">
        <f>IFERROR(VLOOKUP(R$13,Data_Entry!$C:$M,Data_Entry!$A4,0)/VLOOKUP($B16,Basic_Data!$E$2:$G$9,3,0)/VLOOKUP(R$13,Data_Entry!$C:$V,20,0),"")</f>
        <v/>
      </c>
      <c r="S16" s="108" t="str">
        <f>IFERROR(VLOOKUP(S$13,Data_Entry!$C:$M,Data_Entry!$A4,0)/VLOOKUP($B16,Basic_Data!$E$2:$G$9,3,0)/VLOOKUP(S$13,Data_Entry!$C:$V,20,0),"")</f>
        <v/>
      </c>
      <c r="T16" s="108" t="str">
        <f>IFERROR(VLOOKUP(T$13,Data_Entry!$C:$M,Data_Entry!$A4,0)/VLOOKUP($B16,Basic_Data!$E$2:$G$9,3,0)/VLOOKUP(T$13,Data_Entry!$C:$V,20,0),"")</f>
        <v/>
      </c>
      <c r="U16" s="108" t="str">
        <f>IFERROR(VLOOKUP(U$13,Data_Entry!$C:$M,Data_Entry!$A4,0)/VLOOKUP($B16,Basic_Data!$E$2:$G$9,3,0)/VLOOKUP(U$13,Data_Entry!$C:$V,20,0),"")</f>
        <v/>
      </c>
      <c r="V16" s="108" t="str">
        <f>IFERROR(VLOOKUP(V$13,Data_Entry!$C:$M,Data_Entry!$A4,0)/VLOOKUP($B16,Basic_Data!$E$2:$G$9,3,0)/VLOOKUP(V$13,Data_Entry!$C:$V,20,0),"")</f>
        <v/>
      </c>
      <c r="W16" s="108" t="str">
        <f>IFERROR(VLOOKUP(W$13,Data_Entry!$C:$M,Data_Entry!$A4,0)/VLOOKUP($B16,Basic_Data!$E$2:$G$9,3,0)/VLOOKUP(W$13,Data_Entry!$C:$V,20,0),"")</f>
        <v/>
      </c>
      <c r="X16" s="108" t="str">
        <f>IFERROR(VLOOKUP(X$13,Data_Entry!$C:$M,Data_Entry!$A4,0)/VLOOKUP($B16,Basic_Data!$E$2:$G$9,3,0)/VLOOKUP(X$13,Data_Entry!$C:$V,20,0),"")</f>
        <v/>
      </c>
      <c r="Y16" s="108" t="str">
        <f>IFERROR(VLOOKUP(Y$13,Data_Entry!$C:$M,Data_Entry!$A4,0)/VLOOKUP($B16,Basic_Data!$E$2:$G$9,3,0)/VLOOKUP(Y$13,Data_Entry!$C:$V,20,0),"")</f>
        <v/>
      </c>
      <c r="Z16" s="108" t="str">
        <f>IFERROR(VLOOKUP(Z$13,Data_Entry!$C:$M,Data_Entry!$A4,0)/VLOOKUP($B16,Basic_Data!$E$2:$G$9,3,0)/VLOOKUP(Z$13,Data_Entry!$C:$V,20,0),"")</f>
        <v/>
      </c>
      <c r="AA16" s="108" t="str">
        <f>IFERROR(VLOOKUP(AA$13,Data_Entry!$C:$M,Data_Entry!$A4,0)/VLOOKUP($B16,Basic_Data!$E$2:$G$9,3,0)/VLOOKUP(AA$13,Data_Entry!$C:$V,20,0),"")</f>
        <v/>
      </c>
      <c r="AB16" s="108" t="str">
        <f>IFERROR(VLOOKUP(AB$13,Data_Entry!$C:$M,Data_Entry!$A4,0)/VLOOKUP($B16,Basic_Data!$E$2:$G$9,3,0)/VLOOKUP(AB$13,Data_Entry!$C:$V,20,0),"")</f>
        <v/>
      </c>
      <c r="AC16" s="108" t="str">
        <f>IFERROR(VLOOKUP(AC$13,Data_Entry!$C:$M,Data_Entry!$A4,0)/VLOOKUP($B16,Basic_Data!$E$2:$G$9,3,0)/VLOOKUP(AC$13,Data_Entry!$C:$V,20,0),"")</f>
        <v/>
      </c>
      <c r="AD16" s="108" t="str">
        <f>IFERROR(VLOOKUP(AD$13,Data_Entry!$C:$M,Data_Entry!$A4,0)/VLOOKUP($B16,Basic_Data!$E$2:$G$9,3,0)/VLOOKUP(AD$13,Data_Entry!$C:$V,20,0),"")</f>
        <v/>
      </c>
      <c r="AE16" s="108" t="str">
        <f>IFERROR(VLOOKUP(AE$13,Data_Entry!$C:$M,Data_Entry!$A4,0)/VLOOKUP($B16,Basic_Data!$E$2:$G$9,3,0)/VLOOKUP(AE$13,Data_Entry!$C:$V,20,0),"")</f>
        <v/>
      </c>
      <c r="AF16" s="108" t="str">
        <f>IFERROR(VLOOKUP(AF$13,Data_Entry!$C:$M,Data_Entry!$A4,0)/VLOOKUP($B16,Basic_Data!$E$2:$G$9,3,0)/VLOOKUP(AF$13,Data_Entry!$C:$V,20,0),"")</f>
        <v/>
      </c>
      <c r="AG16" s="108" t="str">
        <f>IFERROR(VLOOKUP(AG$13,Data_Entry!$C:$M,Data_Entry!$A4,0)/VLOOKUP($B16,Basic_Data!$E$2:$G$9,3,0)/VLOOKUP(AG$13,Data_Entry!$C:$V,20,0),"")</f>
        <v/>
      </c>
      <c r="AH16" s="52"/>
    </row>
    <row r="17" spans="2:34">
      <c r="B17" s="96" t="s">
        <v>38</v>
      </c>
      <c r="C17" s="108">
        <f>IFERROR(VLOOKUP(C$13,Data_Entry!$C:$M,Data_Entry!$A5,0)/VLOOKUP($B17,Basic_Data!$E$2:$G$9,3,0)/VLOOKUP(C$13,Data_Entry!$C:$V,20,0),"")</f>
        <v>1.18326764684177</v>
      </c>
      <c r="D17" s="108" t="str">
        <f>IFERROR(VLOOKUP(D$13,Data_Entry!$C:$M,Data_Entry!$A5,0)/VLOOKUP($B17,Basic_Data!$E$2:$G$9,3,0)/VLOOKUP(D$13,Data_Entry!$C:$V,20,0),"")</f>
        <v/>
      </c>
      <c r="E17" s="108" t="str">
        <f>IFERROR(VLOOKUP(E$13,Data_Entry!$C:$M,Data_Entry!$A5,0)/VLOOKUP($B17,Basic_Data!$E$2:$G$9,3,0)/VLOOKUP(E$13,Data_Entry!$C:$V,20,0),"")</f>
        <v/>
      </c>
      <c r="F17" s="108" t="str">
        <f>IFERROR(VLOOKUP(F$13,Data_Entry!$C:$M,Data_Entry!$A5,0)/VLOOKUP($B17,Basic_Data!$E$2:$G$9,3,0)/VLOOKUP(F$13,Data_Entry!$C:$V,20,0),"")</f>
        <v/>
      </c>
      <c r="G17" s="108" t="str">
        <f>IFERROR(VLOOKUP(G$13,Data_Entry!$C:$M,Data_Entry!$A5,0)/VLOOKUP($B17,Basic_Data!$E$2:$G$9,3,0)/VLOOKUP(G$13,Data_Entry!$C:$V,20,0),"")</f>
        <v/>
      </c>
      <c r="H17" s="108" t="str">
        <f>IFERROR(VLOOKUP(H$13,Data_Entry!$C:$M,Data_Entry!$A5,0)/VLOOKUP($B17,Basic_Data!$E$2:$G$9,3,0)/VLOOKUP(H$13,Data_Entry!$C:$V,20,0),"")</f>
        <v/>
      </c>
      <c r="I17" s="108" t="str">
        <f>IFERROR(VLOOKUP(I$13,Data_Entry!$C:$M,Data_Entry!$A5,0)/VLOOKUP($B17,Basic_Data!$E$2:$G$9,3,0)/VLOOKUP(I$13,Data_Entry!$C:$V,20,0),"")</f>
        <v/>
      </c>
      <c r="J17" s="108" t="str">
        <f>IFERROR(VLOOKUP(J$13,Data_Entry!$C:$M,Data_Entry!$A5,0)/VLOOKUP($B17,Basic_Data!$E$2:$G$9,3,0)/VLOOKUP(J$13,Data_Entry!$C:$V,20,0),"")</f>
        <v/>
      </c>
      <c r="K17" s="108" t="str">
        <f>IFERROR(VLOOKUP(K$13,Data_Entry!$C:$M,Data_Entry!$A5,0)/VLOOKUP($B17,Basic_Data!$E$2:$G$9,3,0)/VLOOKUP(K$13,Data_Entry!$C:$V,20,0),"")</f>
        <v/>
      </c>
      <c r="L17" s="108" t="str">
        <f>IFERROR(VLOOKUP(L$13,Data_Entry!$C:$M,Data_Entry!$A5,0)/VLOOKUP($B17,Basic_Data!$E$2:$G$9,3,0)/VLOOKUP(L$13,Data_Entry!$C:$V,20,0),"")</f>
        <v/>
      </c>
      <c r="M17" s="108" t="str">
        <f>IFERROR(VLOOKUP(M$13,Data_Entry!$C:$M,Data_Entry!$A5,0)/VLOOKUP($B17,Basic_Data!$E$2:$G$9,3,0)/VLOOKUP(M$13,Data_Entry!$C:$V,20,0),"")</f>
        <v/>
      </c>
      <c r="N17" s="108" t="str">
        <f>IFERROR(VLOOKUP(N$13,Data_Entry!$C:$M,Data_Entry!$A5,0)/VLOOKUP($B17,Basic_Data!$E$2:$G$9,3,0)/VLOOKUP(N$13,Data_Entry!$C:$V,20,0),"")</f>
        <v/>
      </c>
      <c r="O17" s="108" t="str">
        <f>IFERROR(VLOOKUP(O$13,Data_Entry!$C:$M,Data_Entry!$A5,0)/VLOOKUP($B17,Basic_Data!$E$2:$G$9,3,0)/VLOOKUP(O$13,Data_Entry!$C:$V,20,0),"")</f>
        <v/>
      </c>
      <c r="P17" s="108" t="str">
        <f>IFERROR(VLOOKUP(P$13,Data_Entry!$C:$M,Data_Entry!$A5,0)/VLOOKUP($B17,Basic_Data!$E$2:$G$9,3,0)/VLOOKUP(P$13,Data_Entry!$C:$V,20,0),"")</f>
        <v/>
      </c>
      <c r="Q17" s="108" t="str">
        <f>IFERROR(VLOOKUP(Q$13,Data_Entry!$C:$M,Data_Entry!$A5,0)/VLOOKUP($B17,Basic_Data!$E$2:$G$9,3,0)/VLOOKUP(Q$13,Data_Entry!$C:$V,20,0),"")</f>
        <v/>
      </c>
      <c r="R17" s="108" t="str">
        <f>IFERROR(VLOOKUP(R$13,Data_Entry!$C:$M,Data_Entry!$A5,0)/VLOOKUP($B17,Basic_Data!$E$2:$G$9,3,0)/VLOOKUP(R$13,Data_Entry!$C:$V,20,0),"")</f>
        <v/>
      </c>
      <c r="S17" s="108" t="str">
        <f>IFERROR(VLOOKUP(S$13,Data_Entry!$C:$M,Data_Entry!$A5,0)/VLOOKUP($B17,Basic_Data!$E$2:$G$9,3,0)/VLOOKUP(S$13,Data_Entry!$C:$V,20,0),"")</f>
        <v/>
      </c>
      <c r="T17" s="108" t="str">
        <f>IFERROR(VLOOKUP(T$13,Data_Entry!$C:$M,Data_Entry!$A5,0)/VLOOKUP($B17,Basic_Data!$E$2:$G$9,3,0)/VLOOKUP(T$13,Data_Entry!$C:$V,20,0),"")</f>
        <v/>
      </c>
      <c r="U17" s="108" t="str">
        <f>IFERROR(VLOOKUP(U$13,Data_Entry!$C:$M,Data_Entry!$A5,0)/VLOOKUP($B17,Basic_Data!$E$2:$G$9,3,0)/VLOOKUP(U$13,Data_Entry!$C:$V,20,0),"")</f>
        <v/>
      </c>
      <c r="V17" s="108" t="str">
        <f>IFERROR(VLOOKUP(V$13,Data_Entry!$C:$M,Data_Entry!$A5,0)/VLOOKUP($B17,Basic_Data!$E$2:$G$9,3,0)/VLOOKUP(V$13,Data_Entry!$C:$V,20,0),"")</f>
        <v/>
      </c>
      <c r="W17" s="108" t="str">
        <f>IFERROR(VLOOKUP(W$13,Data_Entry!$C:$M,Data_Entry!$A5,0)/VLOOKUP($B17,Basic_Data!$E$2:$G$9,3,0)/VLOOKUP(W$13,Data_Entry!$C:$V,20,0),"")</f>
        <v/>
      </c>
      <c r="X17" s="108" t="str">
        <f>IFERROR(VLOOKUP(X$13,Data_Entry!$C:$M,Data_Entry!$A5,0)/VLOOKUP($B17,Basic_Data!$E$2:$G$9,3,0)/VLOOKUP(X$13,Data_Entry!$C:$V,20,0),"")</f>
        <v/>
      </c>
      <c r="Y17" s="108" t="str">
        <f>IFERROR(VLOOKUP(Y$13,Data_Entry!$C:$M,Data_Entry!$A5,0)/VLOOKUP($B17,Basic_Data!$E$2:$G$9,3,0)/VLOOKUP(Y$13,Data_Entry!$C:$V,20,0),"")</f>
        <v/>
      </c>
      <c r="Z17" s="108" t="str">
        <f>IFERROR(VLOOKUP(Z$13,Data_Entry!$C:$M,Data_Entry!$A5,0)/VLOOKUP($B17,Basic_Data!$E$2:$G$9,3,0)/VLOOKUP(Z$13,Data_Entry!$C:$V,20,0),"")</f>
        <v/>
      </c>
      <c r="AA17" s="108" t="str">
        <f>IFERROR(VLOOKUP(AA$13,Data_Entry!$C:$M,Data_Entry!$A5,0)/VLOOKUP($B17,Basic_Data!$E$2:$G$9,3,0)/VLOOKUP(AA$13,Data_Entry!$C:$V,20,0),"")</f>
        <v/>
      </c>
      <c r="AB17" s="108" t="str">
        <f>IFERROR(VLOOKUP(AB$13,Data_Entry!$C:$M,Data_Entry!$A5,0)/VLOOKUP($B17,Basic_Data!$E$2:$G$9,3,0)/VLOOKUP(AB$13,Data_Entry!$C:$V,20,0),"")</f>
        <v/>
      </c>
      <c r="AC17" s="108" t="str">
        <f>IFERROR(VLOOKUP(AC$13,Data_Entry!$C:$M,Data_Entry!$A5,0)/VLOOKUP($B17,Basic_Data!$E$2:$G$9,3,0)/VLOOKUP(AC$13,Data_Entry!$C:$V,20,0),"")</f>
        <v/>
      </c>
      <c r="AD17" s="108" t="str">
        <f>IFERROR(VLOOKUP(AD$13,Data_Entry!$C:$M,Data_Entry!$A5,0)/VLOOKUP($B17,Basic_Data!$E$2:$G$9,3,0)/VLOOKUP(AD$13,Data_Entry!$C:$V,20,0),"")</f>
        <v/>
      </c>
      <c r="AE17" s="108" t="str">
        <f>IFERROR(VLOOKUP(AE$13,Data_Entry!$C:$M,Data_Entry!$A5,0)/VLOOKUP($B17,Basic_Data!$E$2:$G$9,3,0)/VLOOKUP(AE$13,Data_Entry!$C:$V,20,0),"")</f>
        <v/>
      </c>
      <c r="AF17" s="108" t="str">
        <f>IFERROR(VLOOKUP(AF$13,Data_Entry!$C:$M,Data_Entry!$A5,0)/VLOOKUP($B17,Basic_Data!$E$2:$G$9,3,0)/VLOOKUP(AF$13,Data_Entry!$C:$V,20,0),"")</f>
        <v/>
      </c>
      <c r="AG17" s="108" t="str">
        <f>IFERROR(VLOOKUP(AG$13,Data_Entry!$C:$M,Data_Entry!$A5,0)/VLOOKUP($B17,Basic_Data!$E$2:$G$9,3,0)/VLOOKUP(AG$13,Data_Entry!$C:$V,20,0),"")</f>
        <v/>
      </c>
      <c r="AH17" s="52"/>
    </row>
    <row r="18" spans="2:34">
      <c r="B18" s="96" t="s">
        <v>39</v>
      </c>
      <c r="C18" s="108">
        <f>IFERROR(VLOOKUP(C$13,Data_Entry!$C:$M,Data_Entry!$A6,0)/VLOOKUP($B18,Basic_Data!$E$2:$G$9,3,0)/VLOOKUP(C$13,Data_Entry!$C:$V,20,0),"")</f>
        <v>1.1732021534084</v>
      </c>
      <c r="D18" s="108" t="str">
        <f>IFERROR(VLOOKUP(D$13,Data_Entry!$C:$M,Data_Entry!$A6,0)/VLOOKUP($B18,Basic_Data!$E$2:$G$9,3,0)/VLOOKUP(D$13,Data_Entry!$C:$V,20,0),"")</f>
        <v/>
      </c>
      <c r="E18" s="108" t="str">
        <f>IFERROR(VLOOKUP(E$13,Data_Entry!$C:$M,Data_Entry!$A6,0)/VLOOKUP($B18,Basic_Data!$E$2:$G$9,3,0)/VLOOKUP(E$13,Data_Entry!$C:$V,20,0),"")</f>
        <v/>
      </c>
      <c r="F18" s="108" t="str">
        <f>IFERROR(VLOOKUP(F$13,Data_Entry!$C:$M,Data_Entry!$A6,0)/VLOOKUP($B18,Basic_Data!$E$2:$G$9,3,0)/VLOOKUP(F$13,Data_Entry!$C:$V,20,0),"")</f>
        <v/>
      </c>
      <c r="G18" s="108" t="str">
        <f>IFERROR(VLOOKUP(G$13,Data_Entry!$C:$M,Data_Entry!$A6,0)/VLOOKUP($B18,Basic_Data!$E$2:$G$9,3,0)/VLOOKUP(G$13,Data_Entry!$C:$V,20,0),"")</f>
        <v/>
      </c>
      <c r="H18" s="108" t="str">
        <f>IFERROR(VLOOKUP(H$13,Data_Entry!$C:$M,Data_Entry!$A6,0)/VLOOKUP($B18,Basic_Data!$E$2:$G$9,3,0)/VLOOKUP(H$13,Data_Entry!$C:$V,20,0),"")</f>
        <v/>
      </c>
      <c r="I18" s="108" t="str">
        <f>IFERROR(VLOOKUP(I$13,Data_Entry!$C:$M,Data_Entry!$A6,0)/VLOOKUP($B18,Basic_Data!$E$2:$G$9,3,0)/VLOOKUP(I$13,Data_Entry!$C:$V,20,0),"")</f>
        <v/>
      </c>
      <c r="J18" s="108" t="str">
        <f>IFERROR(VLOOKUP(J$13,Data_Entry!$C:$M,Data_Entry!$A6,0)/VLOOKUP($B18,Basic_Data!$E$2:$G$9,3,0)/VLOOKUP(J$13,Data_Entry!$C:$V,20,0),"")</f>
        <v/>
      </c>
      <c r="K18" s="108" t="str">
        <f>IFERROR(VLOOKUP(K$13,Data_Entry!$C:$M,Data_Entry!$A6,0)/VLOOKUP($B18,Basic_Data!$E$2:$G$9,3,0)/VLOOKUP(K$13,Data_Entry!$C:$V,20,0),"")</f>
        <v/>
      </c>
      <c r="L18" s="108" t="str">
        <f>IFERROR(VLOOKUP(L$13,Data_Entry!$C:$M,Data_Entry!$A6,0)/VLOOKUP($B18,Basic_Data!$E$2:$G$9,3,0)/VLOOKUP(L$13,Data_Entry!$C:$V,20,0),"")</f>
        <v/>
      </c>
      <c r="M18" s="108" t="str">
        <f>IFERROR(VLOOKUP(M$13,Data_Entry!$C:$M,Data_Entry!$A6,0)/VLOOKUP($B18,Basic_Data!$E$2:$G$9,3,0)/VLOOKUP(M$13,Data_Entry!$C:$V,20,0),"")</f>
        <v/>
      </c>
      <c r="N18" s="108" t="str">
        <f>IFERROR(VLOOKUP(N$13,Data_Entry!$C:$M,Data_Entry!$A6,0)/VLOOKUP($B18,Basic_Data!$E$2:$G$9,3,0)/VLOOKUP(N$13,Data_Entry!$C:$V,20,0),"")</f>
        <v/>
      </c>
      <c r="O18" s="108" t="str">
        <f>IFERROR(VLOOKUP(O$13,Data_Entry!$C:$M,Data_Entry!$A6,0)/VLOOKUP($B18,Basic_Data!$E$2:$G$9,3,0)/VLOOKUP(O$13,Data_Entry!$C:$V,20,0),"")</f>
        <v/>
      </c>
      <c r="P18" s="108" t="str">
        <f>IFERROR(VLOOKUP(P$13,Data_Entry!$C:$M,Data_Entry!$A6,0)/VLOOKUP($B18,Basic_Data!$E$2:$G$9,3,0)/VLOOKUP(P$13,Data_Entry!$C:$V,20,0),"")</f>
        <v/>
      </c>
      <c r="Q18" s="108" t="str">
        <f>IFERROR(VLOOKUP(Q$13,Data_Entry!$C:$M,Data_Entry!$A6,0)/VLOOKUP($B18,Basic_Data!$E$2:$G$9,3,0)/VLOOKUP(Q$13,Data_Entry!$C:$V,20,0),"")</f>
        <v/>
      </c>
      <c r="R18" s="108" t="str">
        <f>IFERROR(VLOOKUP(R$13,Data_Entry!$C:$M,Data_Entry!$A6,0)/VLOOKUP($B18,Basic_Data!$E$2:$G$9,3,0)/VLOOKUP(R$13,Data_Entry!$C:$V,20,0),"")</f>
        <v/>
      </c>
      <c r="S18" s="108" t="str">
        <f>IFERROR(VLOOKUP(S$13,Data_Entry!$C:$M,Data_Entry!$A6,0)/VLOOKUP($B18,Basic_Data!$E$2:$G$9,3,0)/VLOOKUP(S$13,Data_Entry!$C:$V,20,0),"")</f>
        <v/>
      </c>
      <c r="T18" s="108" t="str">
        <f>IFERROR(VLOOKUP(T$13,Data_Entry!$C:$M,Data_Entry!$A6,0)/VLOOKUP($B18,Basic_Data!$E$2:$G$9,3,0)/VLOOKUP(T$13,Data_Entry!$C:$V,20,0),"")</f>
        <v/>
      </c>
      <c r="U18" s="108" t="str">
        <f>IFERROR(VLOOKUP(U$13,Data_Entry!$C:$M,Data_Entry!$A6,0)/VLOOKUP($B18,Basic_Data!$E$2:$G$9,3,0)/VLOOKUP(U$13,Data_Entry!$C:$V,20,0),"")</f>
        <v/>
      </c>
      <c r="V18" s="108" t="str">
        <f>IFERROR(VLOOKUP(V$13,Data_Entry!$C:$M,Data_Entry!$A6,0)/VLOOKUP($B18,Basic_Data!$E$2:$G$9,3,0)/VLOOKUP(V$13,Data_Entry!$C:$V,20,0),"")</f>
        <v/>
      </c>
      <c r="W18" s="108" t="str">
        <f>IFERROR(VLOOKUP(W$13,Data_Entry!$C:$M,Data_Entry!$A6,0)/VLOOKUP($B18,Basic_Data!$E$2:$G$9,3,0)/VLOOKUP(W$13,Data_Entry!$C:$V,20,0),"")</f>
        <v/>
      </c>
      <c r="X18" s="108" t="str">
        <f>IFERROR(VLOOKUP(X$13,Data_Entry!$C:$M,Data_Entry!$A6,0)/VLOOKUP($B18,Basic_Data!$E$2:$G$9,3,0)/VLOOKUP(X$13,Data_Entry!$C:$V,20,0),"")</f>
        <v/>
      </c>
      <c r="Y18" s="108" t="str">
        <f>IFERROR(VLOOKUP(Y$13,Data_Entry!$C:$M,Data_Entry!$A6,0)/VLOOKUP($B18,Basic_Data!$E$2:$G$9,3,0)/VLOOKUP(Y$13,Data_Entry!$C:$V,20,0),"")</f>
        <v/>
      </c>
      <c r="Z18" s="108" t="str">
        <f>IFERROR(VLOOKUP(Z$13,Data_Entry!$C:$M,Data_Entry!$A6,0)/VLOOKUP($B18,Basic_Data!$E$2:$G$9,3,0)/VLOOKUP(Z$13,Data_Entry!$C:$V,20,0),"")</f>
        <v/>
      </c>
      <c r="AA18" s="108" t="str">
        <f>IFERROR(VLOOKUP(AA$13,Data_Entry!$C:$M,Data_Entry!$A6,0)/VLOOKUP($B18,Basic_Data!$E$2:$G$9,3,0)/VLOOKUP(AA$13,Data_Entry!$C:$V,20,0),"")</f>
        <v/>
      </c>
      <c r="AB18" s="108" t="str">
        <f>IFERROR(VLOOKUP(AB$13,Data_Entry!$C:$M,Data_Entry!$A6,0)/VLOOKUP($B18,Basic_Data!$E$2:$G$9,3,0)/VLOOKUP(AB$13,Data_Entry!$C:$V,20,0),"")</f>
        <v/>
      </c>
      <c r="AC18" s="108" t="str">
        <f>IFERROR(VLOOKUP(AC$13,Data_Entry!$C:$M,Data_Entry!$A6,0)/VLOOKUP($B18,Basic_Data!$E$2:$G$9,3,0)/VLOOKUP(AC$13,Data_Entry!$C:$V,20,0),"")</f>
        <v/>
      </c>
      <c r="AD18" s="108" t="str">
        <f>IFERROR(VLOOKUP(AD$13,Data_Entry!$C:$M,Data_Entry!$A6,0)/VLOOKUP($B18,Basic_Data!$E$2:$G$9,3,0)/VLOOKUP(AD$13,Data_Entry!$C:$V,20,0),"")</f>
        <v/>
      </c>
      <c r="AE18" s="108" t="str">
        <f>IFERROR(VLOOKUP(AE$13,Data_Entry!$C:$M,Data_Entry!$A6,0)/VLOOKUP($B18,Basic_Data!$E$2:$G$9,3,0)/VLOOKUP(AE$13,Data_Entry!$C:$V,20,0),"")</f>
        <v/>
      </c>
      <c r="AF18" s="108" t="str">
        <f>IFERROR(VLOOKUP(AF$13,Data_Entry!$C:$M,Data_Entry!$A6,0)/VLOOKUP($B18,Basic_Data!$E$2:$G$9,3,0)/VLOOKUP(AF$13,Data_Entry!$C:$V,20,0),"")</f>
        <v/>
      </c>
      <c r="AG18" s="108" t="str">
        <f>IFERROR(VLOOKUP(AG$13,Data_Entry!$C:$M,Data_Entry!$A6,0)/VLOOKUP($B18,Basic_Data!$E$2:$G$9,3,0)/VLOOKUP(AG$13,Data_Entry!$C:$V,20,0),"")</f>
        <v/>
      </c>
      <c r="AH18" s="52"/>
    </row>
    <row r="19" spans="2:34">
      <c r="B19" s="96" t="s">
        <v>40</v>
      </c>
      <c r="C19" s="108">
        <f>IFERROR(VLOOKUP(C$13,Data_Entry!$C:$M,Data_Entry!$A7,0)/VLOOKUP($B19,Basic_Data!$E$2:$G$9,3,0)/VLOOKUP(C$13,Data_Entry!$C:$V,20,0),"")</f>
        <v>1.16776849956733</v>
      </c>
      <c r="D19" s="108" t="str">
        <f>IFERROR(VLOOKUP(D$13,Data_Entry!$C:$M,Data_Entry!$A7,0)/VLOOKUP($B19,Basic_Data!$E$2:$G$9,3,0)/VLOOKUP(D$13,Data_Entry!$C:$V,20,0),"")</f>
        <v/>
      </c>
      <c r="E19" s="108" t="str">
        <f>IFERROR(VLOOKUP(E$13,Data_Entry!$C:$M,Data_Entry!$A7,0)/VLOOKUP($B19,Basic_Data!$E$2:$G$9,3,0)/VLOOKUP(E$13,Data_Entry!$C:$V,20,0),"")</f>
        <v/>
      </c>
      <c r="F19" s="108" t="str">
        <f>IFERROR(VLOOKUP(F$13,Data_Entry!$C:$M,Data_Entry!$A7,0)/VLOOKUP($B19,Basic_Data!$E$2:$G$9,3,0)/VLOOKUP(F$13,Data_Entry!$C:$V,20,0),"")</f>
        <v/>
      </c>
      <c r="G19" s="108" t="str">
        <f>IFERROR(VLOOKUP(G$13,Data_Entry!$C:$M,Data_Entry!$A7,0)/VLOOKUP($B19,Basic_Data!$E$2:$G$9,3,0)/VLOOKUP(G$13,Data_Entry!$C:$V,20,0),"")</f>
        <v/>
      </c>
      <c r="H19" s="108" t="str">
        <f>IFERROR(VLOOKUP(H$13,Data_Entry!$C:$M,Data_Entry!$A7,0)/VLOOKUP($B19,Basic_Data!$E$2:$G$9,3,0)/VLOOKUP(H$13,Data_Entry!$C:$V,20,0),"")</f>
        <v/>
      </c>
      <c r="I19" s="108" t="str">
        <f>IFERROR(VLOOKUP(I$13,Data_Entry!$C:$M,Data_Entry!$A7,0)/VLOOKUP($B19,Basic_Data!$E$2:$G$9,3,0)/VLOOKUP(I$13,Data_Entry!$C:$V,20,0),"")</f>
        <v/>
      </c>
      <c r="J19" s="108" t="str">
        <f>IFERROR(VLOOKUP(J$13,Data_Entry!$C:$M,Data_Entry!$A7,0)/VLOOKUP($B19,Basic_Data!$E$2:$G$9,3,0)/VLOOKUP(J$13,Data_Entry!$C:$V,20,0),"")</f>
        <v/>
      </c>
      <c r="K19" s="108" t="str">
        <f>IFERROR(VLOOKUP(K$13,Data_Entry!$C:$M,Data_Entry!$A7,0)/VLOOKUP($B19,Basic_Data!$E$2:$G$9,3,0)/VLOOKUP(K$13,Data_Entry!$C:$V,20,0),"")</f>
        <v/>
      </c>
      <c r="L19" s="108" t="str">
        <f>IFERROR(VLOOKUP(L$13,Data_Entry!$C:$M,Data_Entry!$A7,0)/VLOOKUP($B19,Basic_Data!$E$2:$G$9,3,0)/VLOOKUP(L$13,Data_Entry!$C:$V,20,0),"")</f>
        <v/>
      </c>
      <c r="M19" s="108" t="str">
        <f>IFERROR(VLOOKUP(M$13,Data_Entry!$C:$M,Data_Entry!$A7,0)/VLOOKUP($B19,Basic_Data!$E$2:$G$9,3,0)/VLOOKUP(M$13,Data_Entry!$C:$V,20,0),"")</f>
        <v/>
      </c>
      <c r="N19" s="108" t="str">
        <f>IFERROR(VLOOKUP(N$13,Data_Entry!$C:$M,Data_Entry!$A7,0)/VLOOKUP($B19,Basic_Data!$E$2:$G$9,3,0)/VLOOKUP(N$13,Data_Entry!$C:$V,20,0),"")</f>
        <v/>
      </c>
      <c r="O19" s="108" t="str">
        <f>IFERROR(VLOOKUP(O$13,Data_Entry!$C:$M,Data_Entry!$A7,0)/VLOOKUP($B19,Basic_Data!$E$2:$G$9,3,0)/VLOOKUP(O$13,Data_Entry!$C:$V,20,0),"")</f>
        <v/>
      </c>
      <c r="P19" s="108" t="str">
        <f>IFERROR(VLOOKUP(P$13,Data_Entry!$C:$M,Data_Entry!$A7,0)/VLOOKUP($B19,Basic_Data!$E$2:$G$9,3,0)/VLOOKUP(P$13,Data_Entry!$C:$V,20,0),"")</f>
        <v/>
      </c>
      <c r="Q19" s="108" t="str">
        <f>IFERROR(VLOOKUP(Q$13,Data_Entry!$C:$M,Data_Entry!$A7,0)/VLOOKUP($B19,Basic_Data!$E$2:$G$9,3,0)/VLOOKUP(Q$13,Data_Entry!$C:$V,20,0),"")</f>
        <v/>
      </c>
      <c r="R19" s="108" t="str">
        <f>IFERROR(VLOOKUP(R$13,Data_Entry!$C:$M,Data_Entry!$A7,0)/VLOOKUP($B19,Basic_Data!$E$2:$G$9,3,0)/VLOOKUP(R$13,Data_Entry!$C:$V,20,0),"")</f>
        <v/>
      </c>
      <c r="S19" s="108" t="str">
        <f>IFERROR(VLOOKUP(S$13,Data_Entry!$C:$M,Data_Entry!$A7,0)/VLOOKUP($B19,Basic_Data!$E$2:$G$9,3,0)/VLOOKUP(S$13,Data_Entry!$C:$V,20,0),"")</f>
        <v/>
      </c>
      <c r="T19" s="108" t="str">
        <f>IFERROR(VLOOKUP(T$13,Data_Entry!$C:$M,Data_Entry!$A7,0)/VLOOKUP($B19,Basic_Data!$E$2:$G$9,3,0)/VLOOKUP(T$13,Data_Entry!$C:$V,20,0),"")</f>
        <v/>
      </c>
      <c r="U19" s="108" t="str">
        <f>IFERROR(VLOOKUP(U$13,Data_Entry!$C:$M,Data_Entry!$A7,0)/VLOOKUP($B19,Basic_Data!$E$2:$G$9,3,0)/VLOOKUP(U$13,Data_Entry!$C:$V,20,0),"")</f>
        <v/>
      </c>
      <c r="V19" s="108" t="str">
        <f>IFERROR(VLOOKUP(V$13,Data_Entry!$C:$M,Data_Entry!$A7,0)/VLOOKUP($B19,Basic_Data!$E$2:$G$9,3,0)/VLOOKUP(V$13,Data_Entry!$C:$V,20,0),"")</f>
        <v/>
      </c>
      <c r="W19" s="108" t="str">
        <f>IFERROR(VLOOKUP(W$13,Data_Entry!$C:$M,Data_Entry!$A7,0)/VLOOKUP($B19,Basic_Data!$E$2:$G$9,3,0)/VLOOKUP(W$13,Data_Entry!$C:$V,20,0),"")</f>
        <v/>
      </c>
      <c r="X19" s="108" t="str">
        <f>IFERROR(VLOOKUP(X$13,Data_Entry!$C:$M,Data_Entry!$A7,0)/VLOOKUP($B19,Basic_Data!$E$2:$G$9,3,0)/VLOOKUP(X$13,Data_Entry!$C:$V,20,0),"")</f>
        <v/>
      </c>
      <c r="Y19" s="108" t="str">
        <f>IFERROR(VLOOKUP(Y$13,Data_Entry!$C:$M,Data_Entry!$A7,0)/VLOOKUP($B19,Basic_Data!$E$2:$G$9,3,0)/VLOOKUP(Y$13,Data_Entry!$C:$V,20,0),"")</f>
        <v/>
      </c>
      <c r="Z19" s="108" t="str">
        <f>IFERROR(VLOOKUP(Z$13,Data_Entry!$C:$M,Data_Entry!$A7,0)/VLOOKUP($B19,Basic_Data!$E$2:$G$9,3,0)/VLOOKUP(Z$13,Data_Entry!$C:$V,20,0),"")</f>
        <v/>
      </c>
      <c r="AA19" s="108" t="str">
        <f>IFERROR(VLOOKUP(AA$13,Data_Entry!$C:$M,Data_Entry!$A7,0)/VLOOKUP($B19,Basic_Data!$E$2:$G$9,3,0)/VLOOKUP(AA$13,Data_Entry!$C:$V,20,0),"")</f>
        <v/>
      </c>
      <c r="AB19" s="108" t="str">
        <f>IFERROR(VLOOKUP(AB$13,Data_Entry!$C:$M,Data_Entry!$A7,0)/VLOOKUP($B19,Basic_Data!$E$2:$G$9,3,0)/VLOOKUP(AB$13,Data_Entry!$C:$V,20,0),"")</f>
        <v/>
      </c>
      <c r="AC19" s="108" t="str">
        <f>IFERROR(VLOOKUP(AC$13,Data_Entry!$C:$M,Data_Entry!$A7,0)/VLOOKUP($B19,Basic_Data!$E$2:$G$9,3,0)/VLOOKUP(AC$13,Data_Entry!$C:$V,20,0),"")</f>
        <v/>
      </c>
      <c r="AD19" s="108" t="str">
        <f>IFERROR(VLOOKUP(AD$13,Data_Entry!$C:$M,Data_Entry!$A7,0)/VLOOKUP($B19,Basic_Data!$E$2:$G$9,3,0)/VLOOKUP(AD$13,Data_Entry!$C:$V,20,0),"")</f>
        <v/>
      </c>
      <c r="AE19" s="108" t="str">
        <f>IFERROR(VLOOKUP(AE$13,Data_Entry!$C:$M,Data_Entry!$A7,0)/VLOOKUP($B19,Basic_Data!$E$2:$G$9,3,0)/VLOOKUP(AE$13,Data_Entry!$C:$V,20,0),"")</f>
        <v/>
      </c>
      <c r="AF19" s="108" t="str">
        <f>IFERROR(VLOOKUP(AF$13,Data_Entry!$C:$M,Data_Entry!$A7,0)/VLOOKUP($B19,Basic_Data!$E$2:$G$9,3,0)/VLOOKUP(AF$13,Data_Entry!$C:$V,20,0),"")</f>
        <v/>
      </c>
      <c r="AG19" s="108" t="str">
        <f>IFERROR(VLOOKUP(AG$13,Data_Entry!$C:$M,Data_Entry!$A7,0)/VLOOKUP($B19,Basic_Data!$E$2:$G$9,3,0)/VLOOKUP(AG$13,Data_Entry!$C:$V,20,0),"")</f>
        <v/>
      </c>
      <c r="AH19" s="52"/>
    </row>
    <row r="20" spans="2:34">
      <c r="B20" s="96" t="s">
        <v>41</v>
      </c>
      <c r="C20" s="108">
        <f>IFERROR(VLOOKUP(C$13,Data_Entry!$C:$M,Data_Entry!$A8,0)/VLOOKUP($B20,Basic_Data!$E$2:$G$9,3,0)/VLOOKUP(C$13,Data_Entry!$C:$V,20,0),"")</f>
        <v>1.13325934845353</v>
      </c>
      <c r="D20" s="108" t="str">
        <f>IFERROR(VLOOKUP(D$13,Data_Entry!$C:$M,Data_Entry!$A8,0)/VLOOKUP($B20,Basic_Data!$E$2:$G$9,3,0)/VLOOKUP(D$13,Data_Entry!$C:$V,20,0),"")</f>
        <v/>
      </c>
      <c r="E20" s="108" t="str">
        <f>IFERROR(VLOOKUP(E$13,Data_Entry!$C:$M,Data_Entry!$A8,0)/VLOOKUP($B20,Basic_Data!$E$2:$G$9,3,0)/VLOOKUP(E$13,Data_Entry!$C:$V,20,0),"")</f>
        <v/>
      </c>
      <c r="F20" s="108" t="str">
        <f>IFERROR(VLOOKUP(F$13,Data_Entry!$C:$M,Data_Entry!$A8,0)/VLOOKUP($B20,Basic_Data!$E$2:$G$9,3,0)/VLOOKUP(F$13,Data_Entry!$C:$V,20,0),"")</f>
        <v/>
      </c>
      <c r="G20" s="108" t="str">
        <f>IFERROR(VLOOKUP(G$13,Data_Entry!$C:$M,Data_Entry!$A8,0)/VLOOKUP($B20,Basic_Data!$E$2:$G$9,3,0)/VLOOKUP(G$13,Data_Entry!$C:$V,20,0),"")</f>
        <v/>
      </c>
      <c r="H20" s="108" t="str">
        <f>IFERROR(VLOOKUP(H$13,Data_Entry!$C:$M,Data_Entry!$A8,0)/VLOOKUP($B20,Basic_Data!$E$2:$G$9,3,0)/VLOOKUP(H$13,Data_Entry!$C:$V,20,0),"")</f>
        <v/>
      </c>
      <c r="I20" s="108" t="str">
        <f>IFERROR(VLOOKUP(I$13,Data_Entry!$C:$M,Data_Entry!$A8,0)/VLOOKUP($B20,Basic_Data!$E$2:$G$9,3,0)/VLOOKUP(I$13,Data_Entry!$C:$V,20,0),"")</f>
        <v/>
      </c>
      <c r="J20" s="108" t="str">
        <f>IFERROR(VLOOKUP(J$13,Data_Entry!$C:$M,Data_Entry!$A8,0)/VLOOKUP($B20,Basic_Data!$E$2:$G$9,3,0)/VLOOKUP(J$13,Data_Entry!$C:$V,20,0),"")</f>
        <v/>
      </c>
      <c r="K20" s="108" t="str">
        <f>IFERROR(VLOOKUP(K$13,Data_Entry!$C:$M,Data_Entry!$A8,0)/VLOOKUP($B20,Basic_Data!$E$2:$G$9,3,0)/VLOOKUP(K$13,Data_Entry!$C:$V,20,0),"")</f>
        <v/>
      </c>
      <c r="L20" s="108" t="str">
        <f>IFERROR(VLOOKUP(L$13,Data_Entry!$C:$M,Data_Entry!$A8,0)/VLOOKUP($B20,Basic_Data!$E$2:$G$9,3,0)/VLOOKUP(L$13,Data_Entry!$C:$V,20,0),"")</f>
        <v/>
      </c>
      <c r="M20" s="108" t="str">
        <f>IFERROR(VLOOKUP(M$13,Data_Entry!$C:$M,Data_Entry!$A8,0)/VLOOKUP($B20,Basic_Data!$E$2:$G$9,3,0)/VLOOKUP(M$13,Data_Entry!$C:$V,20,0),"")</f>
        <v/>
      </c>
      <c r="N20" s="108" t="str">
        <f>IFERROR(VLOOKUP(N$13,Data_Entry!$C:$M,Data_Entry!$A8,0)/VLOOKUP($B20,Basic_Data!$E$2:$G$9,3,0)/VLOOKUP(N$13,Data_Entry!$C:$V,20,0),"")</f>
        <v/>
      </c>
      <c r="O20" s="108" t="str">
        <f>IFERROR(VLOOKUP(O$13,Data_Entry!$C:$M,Data_Entry!$A8,0)/VLOOKUP($B20,Basic_Data!$E$2:$G$9,3,0)/VLOOKUP(O$13,Data_Entry!$C:$V,20,0),"")</f>
        <v/>
      </c>
      <c r="P20" s="108" t="str">
        <f>IFERROR(VLOOKUP(P$13,Data_Entry!$C:$M,Data_Entry!$A8,0)/VLOOKUP($B20,Basic_Data!$E$2:$G$9,3,0)/VLOOKUP(P$13,Data_Entry!$C:$V,20,0),"")</f>
        <v/>
      </c>
      <c r="Q20" s="108" t="str">
        <f>IFERROR(VLOOKUP(Q$13,Data_Entry!$C:$M,Data_Entry!$A8,0)/VLOOKUP($B20,Basic_Data!$E$2:$G$9,3,0)/VLOOKUP(Q$13,Data_Entry!$C:$V,20,0),"")</f>
        <v/>
      </c>
      <c r="R20" s="108" t="str">
        <f>IFERROR(VLOOKUP(R$13,Data_Entry!$C:$M,Data_Entry!$A8,0)/VLOOKUP($B20,Basic_Data!$E$2:$G$9,3,0)/VLOOKUP(R$13,Data_Entry!$C:$V,20,0),"")</f>
        <v/>
      </c>
      <c r="S20" s="108" t="str">
        <f>IFERROR(VLOOKUP(S$13,Data_Entry!$C:$M,Data_Entry!$A8,0)/VLOOKUP($B20,Basic_Data!$E$2:$G$9,3,0)/VLOOKUP(S$13,Data_Entry!$C:$V,20,0),"")</f>
        <v/>
      </c>
      <c r="T20" s="108" t="str">
        <f>IFERROR(VLOOKUP(T$13,Data_Entry!$C:$M,Data_Entry!$A8,0)/VLOOKUP($B20,Basic_Data!$E$2:$G$9,3,0)/VLOOKUP(T$13,Data_Entry!$C:$V,20,0),"")</f>
        <v/>
      </c>
      <c r="U20" s="108" t="str">
        <f>IFERROR(VLOOKUP(U$13,Data_Entry!$C:$M,Data_Entry!$A8,0)/VLOOKUP($B20,Basic_Data!$E$2:$G$9,3,0)/VLOOKUP(U$13,Data_Entry!$C:$V,20,0),"")</f>
        <v/>
      </c>
      <c r="V20" s="108" t="str">
        <f>IFERROR(VLOOKUP(V$13,Data_Entry!$C:$M,Data_Entry!$A8,0)/VLOOKUP($B20,Basic_Data!$E$2:$G$9,3,0)/VLOOKUP(V$13,Data_Entry!$C:$V,20,0),"")</f>
        <v/>
      </c>
      <c r="W20" s="108" t="str">
        <f>IFERROR(VLOOKUP(W$13,Data_Entry!$C:$M,Data_Entry!$A8,0)/VLOOKUP($B20,Basic_Data!$E$2:$G$9,3,0)/VLOOKUP(W$13,Data_Entry!$C:$V,20,0),"")</f>
        <v/>
      </c>
      <c r="X20" s="108" t="str">
        <f>IFERROR(VLOOKUP(X$13,Data_Entry!$C:$M,Data_Entry!$A8,0)/VLOOKUP($B20,Basic_Data!$E$2:$G$9,3,0)/VLOOKUP(X$13,Data_Entry!$C:$V,20,0),"")</f>
        <v/>
      </c>
      <c r="Y20" s="108" t="str">
        <f>IFERROR(VLOOKUP(Y$13,Data_Entry!$C:$M,Data_Entry!$A8,0)/VLOOKUP($B20,Basic_Data!$E$2:$G$9,3,0)/VLOOKUP(Y$13,Data_Entry!$C:$V,20,0),"")</f>
        <v/>
      </c>
      <c r="Z20" s="108" t="str">
        <f>IFERROR(VLOOKUP(Z$13,Data_Entry!$C:$M,Data_Entry!$A8,0)/VLOOKUP($B20,Basic_Data!$E$2:$G$9,3,0)/VLOOKUP(Z$13,Data_Entry!$C:$V,20,0),"")</f>
        <v/>
      </c>
      <c r="AA20" s="108" t="str">
        <f>IFERROR(VLOOKUP(AA$13,Data_Entry!$C:$M,Data_Entry!$A8,0)/VLOOKUP($B20,Basic_Data!$E$2:$G$9,3,0)/VLOOKUP(AA$13,Data_Entry!$C:$V,20,0),"")</f>
        <v/>
      </c>
      <c r="AB20" s="108" t="str">
        <f>IFERROR(VLOOKUP(AB$13,Data_Entry!$C:$M,Data_Entry!$A8,0)/VLOOKUP($B20,Basic_Data!$E$2:$G$9,3,0)/VLOOKUP(AB$13,Data_Entry!$C:$V,20,0),"")</f>
        <v/>
      </c>
      <c r="AC20" s="108" t="str">
        <f>IFERROR(VLOOKUP(AC$13,Data_Entry!$C:$M,Data_Entry!$A8,0)/VLOOKUP($B20,Basic_Data!$E$2:$G$9,3,0)/VLOOKUP(AC$13,Data_Entry!$C:$V,20,0),"")</f>
        <v/>
      </c>
      <c r="AD20" s="108" t="str">
        <f>IFERROR(VLOOKUP(AD$13,Data_Entry!$C:$M,Data_Entry!$A8,0)/VLOOKUP($B20,Basic_Data!$E$2:$G$9,3,0)/VLOOKUP(AD$13,Data_Entry!$C:$V,20,0),"")</f>
        <v/>
      </c>
      <c r="AE20" s="108" t="str">
        <f>IFERROR(VLOOKUP(AE$13,Data_Entry!$C:$M,Data_Entry!$A8,0)/VLOOKUP($B20,Basic_Data!$E$2:$G$9,3,0)/VLOOKUP(AE$13,Data_Entry!$C:$V,20,0),"")</f>
        <v/>
      </c>
      <c r="AF20" s="108" t="str">
        <f>IFERROR(VLOOKUP(AF$13,Data_Entry!$C:$M,Data_Entry!$A8,0)/VLOOKUP($B20,Basic_Data!$E$2:$G$9,3,0)/VLOOKUP(AF$13,Data_Entry!$C:$V,20,0),"")</f>
        <v/>
      </c>
      <c r="AG20" s="108" t="str">
        <f>IFERROR(VLOOKUP(AG$13,Data_Entry!$C:$M,Data_Entry!$A8,0)/VLOOKUP($B20,Basic_Data!$E$2:$G$9,3,0)/VLOOKUP(AG$13,Data_Entry!$C:$V,20,0),"")</f>
        <v/>
      </c>
      <c r="AH20" s="52"/>
    </row>
    <row r="21" spans="2:34">
      <c r="B21" s="52" t="s">
        <v>77</v>
      </c>
      <c r="C21" s="109">
        <f>AVERAGE(C14:C20)</f>
        <v>1.1747191402704</v>
      </c>
      <c r="D21" s="109" t="e">
        <f t="shared" ref="D21:AH21" si="1">AVERAGE(D14:D20)</f>
        <v>#DIV/0!</v>
      </c>
      <c r="E21" s="109" t="e">
        <f t="shared" si="1"/>
        <v>#DIV/0!</v>
      </c>
      <c r="F21" s="109" t="e">
        <f t="shared" si="1"/>
        <v>#DIV/0!</v>
      </c>
      <c r="G21" s="109" t="e">
        <f t="shared" si="1"/>
        <v>#DIV/0!</v>
      </c>
      <c r="H21" s="109" t="e">
        <f t="shared" si="1"/>
        <v>#DIV/0!</v>
      </c>
      <c r="I21" s="109" t="e">
        <f t="shared" si="1"/>
        <v>#DIV/0!</v>
      </c>
      <c r="J21" s="109" t="e">
        <f t="shared" si="1"/>
        <v>#DIV/0!</v>
      </c>
      <c r="K21" s="109" t="e">
        <f t="shared" si="1"/>
        <v>#DIV/0!</v>
      </c>
      <c r="L21" s="109" t="e">
        <f t="shared" si="1"/>
        <v>#DIV/0!</v>
      </c>
      <c r="M21" s="109" t="e">
        <f t="shared" si="1"/>
        <v>#DIV/0!</v>
      </c>
      <c r="N21" s="109" t="e">
        <f t="shared" si="1"/>
        <v>#DIV/0!</v>
      </c>
      <c r="O21" s="109" t="e">
        <f t="shared" si="1"/>
        <v>#DIV/0!</v>
      </c>
      <c r="P21" s="109" t="e">
        <f t="shared" si="1"/>
        <v>#DIV/0!</v>
      </c>
      <c r="Q21" s="109" t="e">
        <f t="shared" si="1"/>
        <v>#DIV/0!</v>
      </c>
      <c r="R21" s="109" t="e">
        <f t="shared" si="1"/>
        <v>#DIV/0!</v>
      </c>
      <c r="S21" s="109" t="e">
        <f t="shared" si="1"/>
        <v>#DIV/0!</v>
      </c>
      <c r="T21" s="109" t="e">
        <f t="shared" si="1"/>
        <v>#DIV/0!</v>
      </c>
      <c r="U21" s="109" t="e">
        <f t="shared" si="1"/>
        <v>#DIV/0!</v>
      </c>
      <c r="V21" s="109" t="e">
        <f t="shared" si="1"/>
        <v>#DIV/0!</v>
      </c>
      <c r="W21" s="109" t="e">
        <f t="shared" si="1"/>
        <v>#DIV/0!</v>
      </c>
      <c r="X21" s="109" t="e">
        <f t="shared" si="1"/>
        <v>#DIV/0!</v>
      </c>
      <c r="Y21" s="109" t="e">
        <f t="shared" si="1"/>
        <v>#DIV/0!</v>
      </c>
      <c r="Z21" s="109" t="e">
        <f t="shared" si="1"/>
        <v>#DIV/0!</v>
      </c>
      <c r="AA21" s="109" t="e">
        <f t="shared" si="1"/>
        <v>#DIV/0!</v>
      </c>
      <c r="AB21" s="109" t="e">
        <f t="shared" si="1"/>
        <v>#DIV/0!</v>
      </c>
      <c r="AC21" s="109" t="e">
        <f t="shared" si="1"/>
        <v>#DIV/0!</v>
      </c>
      <c r="AD21" s="109" t="e">
        <f t="shared" si="1"/>
        <v>#DIV/0!</v>
      </c>
      <c r="AE21" s="109" t="e">
        <f t="shared" si="1"/>
        <v>#DIV/0!</v>
      </c>
      <c r="AF21" s="109" t="e">
        <f t="shared" si="1"/>
        <v>#DIV/0!</v>
      </c>
      <c r="AG21" s="109" t="e">
        <f t="shared" si="1"/>
        <v>#DIV/0!</v>
      </c>
      <c r="AH21" s="109" t="e">
        <f t="shared" si="1"/>
        <v>#DIV/0!</v>
      </c>
    </row>
  </sheetData>
  <sheetProtection sheet="1" objects="1" scenarios="1"/>
  <conditionalFormatting sqref="C3:AG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AG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AH2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workbookViewId="0">
      <selection activeCell="G38" sqref="G38"/>
    </sheetView>
  </sheetViews>
  <sheetFormatPr defaultColWidth="12" defaultRowHeight="15" customHeight="1"/>
  <cols>
    <col min="1" max="1" width="24.75" customWidth="1"/>
    <col min="2" max="2" width="17.375" customWidth="1"/>
    <col min="3" max="3" width="9.25" customWidth="1"/>
    <col min="4" max="4" width="8.75" customWidth="1"/>
    <col min="5" max="5" width="12.75" customWidth="1"/>
    <col min="6" max="6" width="15.75" customWidth="1"/>
    <col min="7" max="7" width="17.75" customWidth="1"/>
    <col min="8" max="25" width="14.375" customWidth="1"/>
  </cols>
  <sheetData>
    <row r="1" ht="14.25" customHeight="1"/>
    <row r="2" ht="14.25" customHeight="1" spans="1:9">
      <c r="A2" s="91" t="s">
        <v>78</v>
      </c>
      <c r="B2" s="91" t="s">
        <v>79</v>
      </c>
      <c r="E2" s="92" t="s">
        <v>80</v>
      </c>
      <c r="F2" s="92" t="s">
        <v>81</v>
      </c>
      <c r="G2" s="92" t="s">
        <v>82</v>
      </c>
      <c r="H2" s="93" t="s">
        <v>83</v>
      </c>
    </row>
    <row r="3" ht="14.25" customHeight="1" spans="1:9">
      <c r="A3" s="94" t="s">
        <v>84</v>
      </c>
      <c r="B3" s="95">
        <v>45720</v>
      </c>
      <c r="E3" s="96" t="s">
        <v>35</v>
      </c>
      <c r="F3" s="97">
        <v>275</v>
      </c>
      <c r="G3" s="97">
        <v>335.72</v>
      </c>
      <c r="H3">
        <f>G3/0.545</f>
        <v>616</v>
      </c>
      <c r="I3">
        <v>2</v>
      </c>
    </row>
    <row r="4" ht="14.25" customHeight="1" spans="1:9">
      <c r="A4" s="94" t="s">
        <v>85</v>
      </c>
      <c r="B4" s="94" t="s">
        <v>86</v>
      </c>
      <c r="E4" s="96" t="s">
        <v>36</v>
      </c>
      <c r="F4" s="97">
        <v>275</v>
      </c>
      <c r="G4" s="97">
        <v>335.72</v>
      </c>
      <c r="H4">
        <f t="shared" ref="H4:H9" si="0">G4/0.545</f>
        <v>616</v>
      </c>
      <c r="I4">
        <v>3</v>
      </c>
    </row>
    <row r="5" ht="14.25" customHeight="1" spans="1:9">
      <c r="A5" s="94" t="s">
        <v>87</v>
      </c>
      <c r="B5" s="94" t="s">
        <v>88</v>
      </c>
      <c r="E5" s="96" t="s">
        <v>37</v>
      </c>
      <c r="F5" s="97">
        <v>275</v>
      </c>
      <c r="G5" s="97">
        <v>335.72</v>
      </c>
      <c r="H5">
        <f t="shared" si="0"/>
        <v>616</v>
      </c>
      <c r="I5">
        <v>4</v>
      </c>
    </row>
    <row r="6" ht="14.25" customHeight="1" spans="1:9">
      <c r="A6" s="94" t="s">
        <v>89</v>
      </c>
      <c r="B6" s="94" t="s">
        <v>90</v>
      </c>
      <c r="E6" s="96" t="s">
        <v>38</v>
      </c>
      <c r="F6" s="97">
        <v>275</v>
      </c>
      <c r="G6" s="97">
        <v>350.98</v>
      </c>
      <c r="H6">
        <f t="shared" si="0"/>
        <v>644</v>
      </c>
      <c r="I6">
        <v>5</v>
      </c>
    </row>
    <row r="7" ht="14.25" customHeight="1" spans="1:9">
      <c r="A7" s="94" t="s">
        <v>91</v>
      </c>
      <c r="B7" s="98">
        <v>2.411</v>
      </c>
      <c r="E7" s="96" t="s">
        <v>39</v>
      </c>
      <c r="F7" s="97">
        <v>275</v>
      </c>
      <c r="G7" s="97">
        <v>350.98</v>
      </c>
      <c r="H7">
        <f t="shared" si="0"/>
        <v>644</v>
      </c>
      <c r="I7">
        <v>6</v>
      </c>
    </row>
    <row r="8" ht="14.25" customHeight="1" spans="1:9">
      <c r="A8" s="94" t="s">
        <v>92</v>
      </c>
      <c r="B8" s="94">
        <v>1.925</v>
      </c>
      <c r="E8" s="96" t="s">
        <v>40</v>
      </c>
      <c r="F8" s="97">
        <v>275</v>
      </c>
      <c r="G8" s="97">
        <v>350.98</v>
      </c>
      <c r="H8">
        <f t="shared" si="0"/>
        <v>644</v>
      </c>
      <c r="I8">
        <v>7</v>
      </c>
    </row>
    <row r="9" ht="14.25" customHeight="1" spans="1:9">
      <c r="A9" s="94" t="s">
        <v>93</v>
      </c>
      <c r="B9" s="99">
        <f>SUM(G3:G94)</f>
        <v>4822.16</v>
      </c>
      <c r="E9" s="96" t="s">
        <v>41</v>
      </c>
      <c r="F9" s="97">
        <v>275</v>
      </c>
      <c r="G9" s="97">
        <v>350.98</v>
      </c>
      <c r="H9">
        <f t="shared" si="0"/>
        <v>644</v>
      </c>
      <c r="I9">
        <v>8</v>
      </c>
    </row>
    <row r="10" ht="14.25" customHeight="1" spans="1:9">
      <c r="A10" s="94" t="s">
        <v>94</v>
      </c>
      <c r="B10" s="94">
        <v>3000</v>
      </c>
      <c r="E10" s="97" t="s">
        <v>95</v>
      </c>
      <c r="F10" s="97">
        <f>SUM(F3:F9)</f>
        <v>1925</v>
      </c>
      <c r="G10" s="97">
        <f>SUM(G3:G9)</f>
        <v>2411.08</v>
      </c>
      <c r="H10" s="97">
        <f>SUM(H3:H9)</f>
        <v>4424</v>
      </c>
    </row>
    <row r="11" ht="14.25" customHeight="1" spans="1:9">
      <c r="A11" s="94" t="s">
        <v>96</v>
      </c>
      <c r="B11" s="94">
        <v>1</v>
      </c>
    </row>
    <row r="12" ht="14.25" customHeight="1" spans="1:9">
      <c r="A12" s="94" t="s">
        <v>97</v>
      </c>
      <c r="B12" s="94" t="s">
        <v>98</v>
      </c>
    </row>
    <row r="13" ht="14.25" customHeight="1" spans="1:9">
      <c r="A13" s="94" t="s">
        <v>99</v>
      </c>
      <c r="B13" s="94" t="s">
        <v>100</v>
      </c>
    </row>
    <row r="14" ht="14.25" customHeight="1" spans="1:9">
      <c r="A14" s="94" t="s">
        <v>101</v>
      </c>
      <c r="B14" s="94">
        <v>0.275</v>
      </c>
    </row>
    <row r="15" ht="14.25" customHeight="1" spans="1:9">
      <c r="A15" s="94" t="s">
        <v>102</v>
      </c>
      <c r="B15" s="94">
        <v>7</v>
      </c>
    </row>
    <row r="16" ht="14.25" customHeight="1" spans="1:9">
      <c r="A16" s="94" t="s">
        <v>103</v>
      </c>
      <c r="B16" s="94" t="s">
        <v>104</v>
      </c>
    </row>
    <row r="17" ht="14.25" customHeight="1" spans="1:4">
      <c r="A17" s="94" t="s">
        <v>105</v>
      </c>
      <c r="B17" s="94">
        <v>545</v>
      </c>
    </row>
    <row r="18" ht="14.25" customHeight="1" spans="1:4">
      <c r="A18" s="94" t="s">
        <v>106</v>
      </c>
      <c r="B18" s="98">
        <v>158</v>
      </c>
    </row>
    <row r="19" ht="14.25" customHeight="1" spans="1:4">
      <c r="A19" s="94" t="s">
        <v>107</v>
      </c>
      <c r="B19" s="100" t="s">
        <v>108</v>
      </c>
    </row>
    <row r="20" ht="14.25" customHeight="1" spans="1:4">
      <c r="A20" s="94" t="s">
        <v>109</v>
      </c>
      <c r="B20" s="98">
        <v>4424</v>
      </c>
    </row>
    <row r="21" ht="14.25" customHeight="1" spans="1:4">
      <c r="A21" s="94" t="s">
        <v>110</v>
      </c>
      <c r="B21" s="94" t="s">
        <v>111</v>
      </c>
    </row>
    <row r="22" ht="14.25" customHeight="1" spans="1:4">
      <c r="A22" s="94" t="s">
        <v>112</v>
      </c>
      <c r="B22" s="94" t="s">
        <v>113</v>
      </c>
    </row>
    <row r="23" ht="14.25" customHeight="1" spans="1:4">
      <c r="A23" s="94" t="s">
        <v>114</v>
      </c>
      <c r="B23" s="94"/>
    </row>
    <row r="24" ht="14.25" customHeight="1"/>
    <row r="25" ht="14.25" customHeight="1"/>
    <row r="26" ht="14.25" customHeight="1"/>
    <row r="27" ht="14.25" customHeight="1" spans="1:4">
      <c r="A27" s="101" t="s">
        <v>115</v>
      </c>
      <c r="B27" s="101" t="s">
        <v>116</v>
      </c>
      <c r="C27" s="101" t="s">
        <v>117</v>
      </c>
      <c r="D27" s="101"/>
    </row>
    <row r="28" ht="14.25" customHeight="1" spans="1:4">
      <c r="A28" s="194" t="s">
        <v>118</v>
      </c>
      <c r="B28" s="103">
        <v>41000</v>
      </c>
      <c r="C28" s="103">
        <v>41364</v>
      </c>
      <c r="D28" s="101">
        <v>365</v>
      </c>
    </row>
    <row r="29" ht="14.25" customHeight="1" spans="1:4">
      <c r="A29" s="101" t="s">
        <v>119</v>
      </c>
      <c r="B29" s="103">
        <v>41365</v>
      </c>
      <c r="C29" s="103">
        <v>41729</v>
      </c>
      <c r="D29" s="101">
        <v>365</v>
      </c>
    </row>
    <row r="30" ht="14.25" customHeight="1" spans="1:4">
      <c r="A30" s="101" t="s">
        <v>120</v>
      </c>
      <c r="B30" s="103">
        <v>41730</v>
      </c>
      <c r="C30" s="103">
        <v>42094</v>
      </c>
      <c r="D30" s="101">
        <v>365</v>
      </c>
    </row>
    <row r="31" ht="14.25" customHeight="1" spans="1:4">
      <c r="A31" s="101" t="s">
        <v>121</v>
      </c>
      <c r="B31" s="103">
        <v>42095</v>
      </c>
      <c r="C31" s="103">
        <v>42460</v>
      </c>
      <c r="D31" s="101">
        <v>366</v>
      </c>
    </row>
    <row r="32" ht="14.25" customHeight="1" spans="1:4">
      <c r="A32" s="101" t="s">
        <v>122</v>
      </c>
      <c r="B32" s="103">
        <v>42461</v>
      </c>
      <c r="C32" s="103">
        <v>42825</v>
      </c>
      <c r="D32" s="101">
        <v>365</v>
      </c>
    </row>
    <row r="33" ht="14.25" customHeight="1" spans="1:4">
      <c r="A33" s="101" t="s">
        <v>123</v>
      </c>
      <c r="B33" s="103">
        <v>42826</v>
      </c>
      <c r="C33" s="103">
        <v>43190</v>
      </c>
      <c r="D33" s="101">
        <v>365</v>
      </c>
    </row>
    <row r="34" ht="14.25" customHeight="1" spans="1:4">
      <c r="A34" s="101" t="s">
        <v>124</v>
      </c>
      <c r="B34" s="103">
        <v>43191</v>
      </c>
      <c r="C34" s="103">
        <v>43555</v>
      </c>
      <c r="D34" s="101">
        <v>365</v>
      </c>
    </row>
    <row r="35" ht="14.25" customHeight="1" spans="1:4">
      <c r="A35" s="101" t="s">
        <v>125</v>
      </c>
      <c r="B35" s="103">
        <v>43556</v>
      </c>
      <c r="C35" s="103">
        <v>43921</v>
      </c>
      <c r="D35" s="101">
        <v>366</v>
      </c>
    </row>
    <row r="36" ht="14.25" customHeight="1" spans="1:4">
      <c r="A36" s="101" t="s">
        <v>126</v>
      </c>
      <c r="B36" s="103">
        <v>43922</v>
      </c>
      <c r="C36" s="103">
        <v>44286</v>
      </c>
      <c r="D36" s="101">
        <v>365</v>
      </c>
    </row>
    <row r="37" ht="14.25" customHeight="1" spans="1:4">
      <c r="A37" s="101" t="s">
        <v>127</v>
      </c>
      <c r="B37" s="103">
        <v>44287</v>
      </c>
      <c r="C37" s="103">
        <v>44651</v>
      </c>
      <c r="D37" s="101">
        <v>365</v>
      </c>
    </row>
    <row r="38" ht="14.25" customHeight="1" spans="1:4">
      <c r="A38" s="101" t="s">
        <v>128</v>
      </c>
      <c r="B38" s="103">
        <v>44652</v>
      </c>
      <c r="C38" s="103">
        <v>45016</v>
      </c>
      <c r="D38" s="101">
        <v>365</v>
      </c>
    </row>
    <row r="39" ht="14.25" customHeight="1" spans="1:4">
      <c r="A39" s="101" t="s">
        <v>129</v>
      </c>
      <c r="B39" s="103">
        <v>45017</v>
      </c>
      <c r="C39" s="103">
        <v>45382</v>
      </c>
      <c r="D39" s="101">
        <v>366</v>
      </c>
    </row>
    <row r="40" ht="14.25" customHeight="1" spans="1:4">
      <c r="A40" s="101" t="s">
        <v>130</v>
      </c>
      <c r="B40" s="103">
        <v>45383</v>
      </c>
      <c r="C40" s="103">
        <v>45747</v>
      </c>
      <c r="D40" s="101">
        <v>365</v>
      </c>
    </row>
    <row r="41" ht="14.25" customHeight="1" spans="1:4">
      <c r="A41" s="101" t="s">
        <v>14</v>
      </c>
      <c r="B41" s="103">
        <v>45748</v>
      </c>
      <c r="C41" s="103">
        <v>46112</v>
      </c>
      <c r="D41" s="101">
        <v>365</v>
      </c>
    </row>
    <row r="42" ht="14.25" customHeight="1" spans="1:4">
      <c r="A42" s="101" t="s">
        <v>131</v>
      </c>
      <c r="B42" s="103">
        <v>46113</v>
      </c>
      <c r="C42" s="103">
        <v>46477</v>
      </c>
      <c r="D42" s="101">
        <v>365</v>
      </c>
    </row>
    <row r="43" ht="14.25" customHeight="1" spans="1:4">
      <c r="A43" s="101" t="s">
        <v>132</v>
      </c>
      <c r="B43" s="103">
        <v>46478</v>
      </c>
      <c r="C43" s="103">
        <v>46843</v>
      </c>
      <c r="D43" s="101">
        <v>366</v>
      </c>
    </row>
    <row r="44" ht="14.25" customHeight="1" spans="1:4">
      <c r="A44" s="101" t="s">
        <v>133</v>
      </c>
      <c r="B44" s="103">
        <v>46844</v>
      </c>
      <c r="C44" s="103">
        <v>47208</v>
      </c>
      <c r="D44" s="101">
        <v>365</v>
      </c>
    </row>
    <row r="45" ht="14.25" customHeight="1" spans="1:4">
      <c r="A45" s="101" t="s">
        <v>134</v>
      </c>
      <c r="B45" s="103">
        <v>47209</v>
      </c>
      <c r="C45" s="103">
        <v>47573</v>
      </c>
      <c r="D45" s="101">
        <v>365</v>
      </c>
    </row>
    <row r="46" ht="14.25" customHeight="1" spans="1:4">
      <c r="A46" s="101" t="s">
        <v>135</v>
      </c>
      <c r="B46" s="103">
        <v>47574</v>
      </c>
      <c r="C46" s="103">
        <v>47938</v>
      </c>
      <c r="D46" s="101">
        <v>365</v>
      </c>
    </row>
    <row r="47" ht="14.25" customHeight="1" spans="1:4">
      <c r="A47" s="101" t="s">
        <v>136</v>
      </c>
      <c r="B47" s="103">
        <v>47939</v>
      </c>
      <c r="C47" s="103">
        <v>48304</v>
      </c>
      <c r="D47" s="101">
        <v>366</v>
      </c>
    </row>
    <row r="48" ht="14.25" customHeight="1" spans="1:4">
      <c r="A48" s="101" t="s">
        <v>137</v>
      </c>
      <c r="B48" s="103">
        <v>48305</v>
      </c>
      <c r="C48" s="103">
        <v>48669</v>
      </c>
      <c r="D48" s="101">
        <v>365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sheet="1" objects="1" scenarios="1"/>
  <pageMargins left="0.7" right="0.7" top="0.75" bottom="0.75" header="0" footer="0"/>
  <pageSetup paperSize="9" fitToWidth="0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S1003"/>
  <sheetViews>
    <sheetView workbookViewId="0">
      <pane xSplit="2" ySplit="2" topLeftCell="C132" activePane="bottomRight" state="frozen"/>
      <selection/>
      <selection pane="topRight"/>
      <selection pane="bottomLeft"/>
      <selection pane="bottomRight" activeCell="K379" sqref="K379"/>
    </sheetView>
  </sheetViews>
  <sheetFormatPr defaultColWidth="12" defaultRowHeight="15" customHeight="1"/>
  <cols>
    <col min="1" max="2" width="11.625" customWidth="1"/>
    <col min="3" max="4" width="11.25" customWidth="1"/>
    <col min="5" max="5" width="16.125" customWidth="1"/>
    <col min="6" max="6" width="16" customWidth="1"/>
    <col min="7" max="7" width="16.25" customWidth="1"/>
    <col min="8" max="8" width="11.375" style="85" customWidth="1"/>
    <col min="9" max="9" width="12.375" customWidth="1"/>
    <col min="10" max="10" width="9.25" customWidth="1"/>
    <col min="11" max="11" width="8.25" customWidth="1"/>
    <col min="12" max="12" width="17.625" customWidth="1"/>
    <col min="13" max="13" width="22.875" customWidth="1"/>
    <col min="14" max="14" width="31.875" customWidth="1"/>
    <col min="15" max="15" width="19.25" customWidth="1"/>
    <col min="16" max="16" width="30.25" customWidth="1"/>
    <col min="17" max="17" width="5.375" customWidth="1"/>
    <col min="18" max="18" width="8.25" customWidth="1"/>
    <col min="19" max="19" width="39.5" customWidth="1"/>
    <col min="20" max="27" width="14.375" customWidth="1"/>
  </cols>
  <sheetData>
    <row r="1" ht="14.25" customHeight="1" spans="1:19">
      <c r="A1" s="58" t="s">
        <v>138</v>
      </c>
      <c r="B1" s="58"/>
      <c r="C1" s="58"/>
      <c r="D1" s="58"/>
      <c r="E1" s="58"/>
      <c r="F1" s="58"/>
      <c r="G1" s="58"/>
      <c r="H1" s="86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ht="14.25" customHeight="1" spans="1:19">
      <c r="A2" s="87" t="s">
        <v>2</v>
      </c>
      <c r="B2" s="87" t="s">
        <v>1</v>
      </c>
      <c r="C2" s="87" t="s">
        <v>139</v>
      </c>
      <c r="D2" s="87" t="s">
        <v>140</v>
      </c>
      <c r="E2" s="87" t="s">
        <v>141</v>
      </c>
      <c r="F2" s="87" t="s">
        <v>142</v>
      </c>
      <c r="G2" s="87" t="s">
        <v>143</v>
      </c>
      <c r="H2" s="88" t="s">
        <v>144</v>
      </c>
      <c r="I2" s="89" t="s">
        <v>145</v>
      </c>
      <c r="J2" s="89" t="s">
        <v>146</v>
      </c>
      <c r="K2" s="87" t="s">
        <v>147</v>
      </c>
      <c r="L2" s="87" t="s">
        <v>148</v>
      </c>
      <c r="M2" s="87" t="s">
        <v>149</v>
      </c>
      <c r="N2" s="87" t="s">
        <v>150</v>
      </c>
      <c r="O2" s="87" t="s">
        <v>151</v>
      </c>
      <c r="P2" s="87" t="s">
        <v>152</v>
      </c>
      <c r="Q2" s="87" t="s">
        <v>153</v>
      </c>
      <c r="R2" s="87" t="s">
        <v>154</v>
      </c>
      <c r="S2" s="87" t="s">
        <v>155</v>
      </c>
    </row>
    <row r="3" ht="14.25" customHeight="1" spans="1:19">
      <c r="A3" s="28">
        <v>45747</v>
      </c>
      <c r="B3" s="29">
        <v>45747</v>
      </c>
      <c r="C3" s="30"/>
      <c r="D3" s="30"/>
      <c r="E3" s="30"/>
      <c r="F3" s="30"/>
      <c r="G3" s="30"/>
      <c r="H3" s="42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ht="14.25" customHeight="1" spans="1:19">
      <c r="A4" s="28">
        <v>45748</v>
      </c>
      <c r="B4" s="29">
        <v>45748</v>
      </c>
      <c r="C4" s="30"/>
      <c r="D4" s="30"/>
      <c r="E4" s="30"/>
      <c r="F4" s="30"/>
      <c r="G4" s="30"/>
      <c r="H4" s="42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ht="14.25" customHeight="1" spans="1:19">
      <c r="A5" s="28">
        <v>45749</v>
      </c>
      <c r="B5" s="29">
        <v>45749</v>
      </c>
      <c r="C5" s="30"/>
      <c r="D5" s="30"/>
      <c r="E5" s="30"/>
      <c r="F5" s="30"/>
      <c r="G5" s="30"/>
      <c r="H5" s="42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</row>
    <row r="6" ht="14.25" customHeight="1" spans="1:19">
      <c r="A6" s="28">
        <v>45750</v>
      </c>
      <c r="B6" s="29">
        <v>45750</v>
      </c>
      <c r="C6" s="30"/>
      <c r="D6" s="30"/>
      <c r="E6" s="30"/>
      <c r="F6" s="30"/>
      <c r="G6" s="30"/>
      <c r="H6" s="42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ht="14.25" customHeight="1" spans="1:19">
      <c r="A7" s="28">
        <v>45751</v>
      </c>
      <c r="B7" s="29">
        <v>45751</v>
      </c>
      <c r="C7" s="30" t="s">
        <v>156</v>
      </c>
      <c r="D7" s="30" t="s">
        <v>156</v>
      </c>
      <c r="E7" s="90">
        <v>0.517361111111111</v>
      </c>
      <c r="F7" s="90">
        <v>0.631944444444444</v>
      </c>
      <c r="G7" s="90">
        <v>0.114583333333333</v>
      </c>
      <c r="H7" s="42">
        <v>2411</v>
      </c>
      <c r="I7" s="30"/>
      <c r="J7" s="30"/>
      <c r="K7" s="30"/>
      <c r="L7" s="30"/>
      <c r="M7" s="30"/>
      <c r="N7" s="30" t="s">
        <v>157</v>
      </c>
      <c r="O7" s="30"/>
      <c r="P7" s="30"/>
      <c r="Q7" s="30"/>
      <c r="R7" s="30"/>
      <c r="S7" s="30"/>
    </row>
    <row r="8" ht="14.25" customHeight="1" spans="1:19">
      <c r="A8" s="28">
        <v>45752</v>
      </c>
      <c r="B8" s="29">
        <v>45752</v>
      </c>
      <c r="C8" s="30"/>
      <c r="D8" s="30"/>
      <c r="E8" s="30"/>
      <c r="F8" s="30"/>
      <c r="G8" s="30"/>
      <c r="H8" s="42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</row>
    <row r="9" ht="14.25" customHeight="1" spans="1:19">
      <c r="A9" s="28">
        <v>45753</v>
      </c>
      <c r="B9" s="29">
        <v>45753</v>
      </c>
      <c r="C9" s="30" t="s">
        <v>156</v>
      </c>
      <c r="D9" s="30" t="s">
        <v>156</v>
      </c>
      <c r="E9" s="90">
        <v>0.527777777777778</v>
      </c>
      <c r="F9" s="90">
        <v>0.59375</v>
      </c>
      <c r="G9" s="90">
        <v>0.0659722222222222</v>
      </c>
      <c r="H9" s="42">
        <v>2411</v>
      </c>
      <c r="I9" s="30"/>
      <c r="J9" s="30"/>
      <c r="K9" s="30"/>
      <c r="L9" s="30"/>
      <c r="M9" s="30"/>
      <c r="N9" s="30" t="s">
        <v>157</v>
      </c>
      <c r="O9" s="30"/>
      <c r="P9" s="30"/>
      <c r="Q9" s="30"/>
      <c r="R9" s="30"/>
      <c r="S9" s="30"/>
    </row>
    <row r="10" ht="14.25" customHeight="1" spans="1:19">
      <c r="A10" s="28">
        <v>45754</v>
      </c>
      <c r="B10" s="29">
        <v>45754</v>
      </c>
      <c r="C10" s="30"/>
      <c r="D10" s="30"/>
      <c r="E10" s="30"/>
      <c r="F10" s="30"/>
      <c r="G10" s="30"/>
      <c r="H10" s="42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</row>
    <row r="11" ht="14.25" customHeight="1" spans="1:19">
      <c r="A11" s="28">
        <v>45755</v>
      </c>
      <c r="B11" s="29">
        <v>45755</v>
      </c>
      <c r="C11" s="30"/>
      <c r="D11" s="30"/>
      <c r="E11" s="30"/>
      <c r="F11" s="30"/>
      <c r="G11" s="30"/>
      <c r="H11" s="42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</row>
    <row r="12" ht="14.25" customHeight="1" spans="1:19">
      <c r="A12" s="28">
        <v>45756</v>
      </c>
      <c r="B12" s="29">
        <v>45756</v>
      </c>
      <c r="C12" s="30"/>
      <c r="D12" s="30"/>
      <c r="E12" s="30"/>
      <c r="F12" s="30"/>
      <c r="G12" s="30"/>
      <c r="H12" s="42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</row>
    <row r="13" ht="14.25" customHeight="1" spans="1:19">
      <c r="A13" s="28">
        <v>45757</v>
      </c>
      <c r="B13" s="29">
        <v>45757</v>
      </c>
      <c r="C13" s="30"/>
      <c r="D13" s="30"/>
      <c r="E13" s="30"/>
      <c r="F13" s="30"/>
      <c r="G13" s="30"/>
      <c r="H13" s="42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</row>
    <row r="14" ht="14.25" customHeight="1" spans="1:19">
      <c r="A14" s="28">
        <v>45758</v>
      </c>
      <c r="B14" s="29">
        <v>45758</v>
      </c>
      <c r="C14" s="30"/>
      <c r="D14" s="30"/>
      <c r="E14" s="30"/>
      <c r="F14" s="30"/>
      <c r="G14" s="30"/>
      <c r="H14" s="42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</row>
    <row r="15" ht="14.25" customHeight="1" spans="1:19">
      <c r="A15" s="28">
        <v>45759</v>
      </c>
      <c r="B15" s="29">
        <v>45759</v>
      </c>
      <c r="C15" s="30"/>
      <c r="D15" s="30"/>
      <c r="E15" s="30"/>
      <c r="F15" s="30"/>
      <c r="G15" s="30"/>
      <c r="H15" s="42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</row>
    <row r="16" ht="14.25" customHeight="1" spans="1:19">
      <c r="A16" s="28">
        <v>45760</v>
      </c>
      <c r="B16" s="29">
        <v>45760</v>
      </c>
      <c r="C16" s="30" t="s">
        <v>156</v>
      </c>
      <c r="D16" s="30" t="s">
        <v>158</v>
      </c>
      <c r="E16" s="90">
        <v>0.533333333333333</v>
      </c>
      <c r="F16" s="90">
        <v>0.583333333333333</v>
      </c>
      <c r="G16" s="90">
        <v>0.05</v>
      </c>
      <c r="H16" s="42">
        <v>2411</v>
      </c>
      <c r="I16" s="30"/>
      <c r="J16" s="30"/>
      <c r="K16" s="30"/>
      <c r="L16" s="30"/>
      <c r="M16" s="30"/>
      <c r="N16" s="30" t="s">
        <v>159</v>
      </c>
      <c r="O16" s="30"/>
      <c r="P16" s="30"/>
      <c r="Q16" s="30"/>
      <c r="R16" s="30">
        <v>1</v>
      </c>
      <c r="S16" s="30"/>
    </row>
    <row r="17" ht="14.25" customHeight="1" spans="1:19">
      <c r="A17" s="28">
        <v>45761</v>
      </c>
      <c r="B17" s="29">
        <v>45761</v>
      </c>
      <c r="C17" s="30"/>
      <c r="D17" s="30"/>
      <c r="E17" s="30"/>
      <c r="F17" s="30"/>
      <c r="G17" s="30"/>
      <c r="H17" s="42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</row>
    <row r="18" ht="14.25" customHeight="1" spans="1:19">
      <c r="A18" s="28">
        <v>45762</v>
      </c>
      <c r="B18" s="29">
        <v>45762</v>
      </c>
      <c r="C18" s="30"/>
      <c r="D18" s="30"/>
      <c r="E18" s="30"/>
      <c r="F18" s="30"/>
      <c r="G18" s="30"/>
      <c r="H18" s="42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 ht="14.25" customHeight="1" spans="1:19">
      <c r="A19" s="28">
        <v>45763</v>
      </c>
      <c r="B19" s="29">
        <v>45763</v>
      </c>
      <c r="C19" s="30" t="s">
        <v>156</v>
      </c>
      <c r="D19" s="30" t="s">
        <v>156</v>
      </c>
      <c r="E19" s="90">
        <v>0.270833333333333</v>
      </c>
      <c r="F19" s="90">
        <v>0.559027777777778</v>
      </c>
      <c r="G19" s="90">
        <v>0.288194444444444</v>
      </c>
      <c r="H19" s="42">
        <v>2411</v>
      </c>
      <c r="I19" s="30"/>
      <c r="J19" s="30"/>
      <c r="K19" s="30"/>
      <c r="L19" s="30"/>
      <c r="M19" s="30"/>
      <c r="N19" s="30" t="s">
        <v>160</v>
      </c>
      <c r="O19" s="30"/>
      <c r="P19" s="30"/>
      <c r="Q19" s="30"/>
      <c r="R19" s="30"/>
      <c r="S19" s="30"/>
    </row>
    <row r="20" ht="14.25" customHeight="1" spans="1:19">
      <c r="A20" s="28">
        <v>45764</v>
      </c>
      <c r="B20" s="29">
        <v>45764</v>
      </c>
      <c r="C20" s="30"/>
      <c r="D20" s="30"/>
      <c r="E20" s="30"/>
      <c r="F20" s="30"/>
      <c r="G20" s="30"/>
      <c r="H20" s="42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</row>
    <row r="21" ht="14.25" customHeight="1" spans="1:19">
      <c r="A21" s="28">
        <v>45765</v>
      </c>
      <c r="B21" s="29">
        <v>45765</v>
      </c>
      <c r="C21" s="30"/>
      <c r="D21" s="30"/>
      <c r="E21" s="30"/>
      <c r="F21" s="30"/>
      <c r="G21" s="30"/>
      <c r="H21" s="42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</row>
    <row r="22" ht="14.25" customHeight="1" spans="1:19">
      <c r="A22" s="28">
        <v>45766</v>
      </c>
      <c r="B22" s="29">
        <v>45766</v>
      </c>
      <c r="C22" s="30">
        <v>7</v>
      </c>
      <c r="D22" s="30" t="s">
        <v>161</v>
      </c>
      <c r="E22" s="90">
        <v>0.288194444444444</v>
      </c>
      <c r="F22" s="90">
        <v>0.491666666666667</v>
      </c>
      <c r="G22" s="90">
        <v>0.203472222222222</v>
      </c>
      <c r="H22" s="42">
        <v>275</v>
      </c>
      <c r="I22" s="30"/>
      <c r="J22" s="30"/>
      <c r="K22" s="30"/>
      <c r="L22" s="30"/>
      <c r="M22" s="30"/>
      <c r="N22" s="30" t="s">
        <v>162</v>
      </c>
      <c r="O22" s="30"/>
      <c r="P22" s="30"/>
      <c r="Q22" s="30"/>
      <c r="R22" s="30" t="s">
        <v>163</v>
      </c>
      <c r="S22" s="30"/>
    </row>
    <row r="23" ht="14.25" customHeight="1" spans="1:19">
      <c r="A23" s="28">
        <v>45767</v>
      </c>
      <c r="B23" s="29">
        <v>45767</v>
      </c>
      <c r="C23" s="30">
        <v>7</v>
      </c>
      <c r="D23" s="30" t="s">
        <v>161</v>
      </c>
      <c r="E23" s="90">
        <v>0.288194444444444</v>
      </c>
      <c r="F23" s="90">
        <v>0.420833333333333</v>
      </c>
      <c r="G23" s="90">
        <v>0.125694444444444</v>
      </c>
      <c r="H23" s="42">
        <v>275</v>
      </c>
      <c r="I23" s="30"/>
      <c r="J23" s="30"/>
      <c r="K23" s="30"/>
      <c r="L23" s="30"/>
      <c r="M23" s="30"/>
      <c r="N23" s="30" t="s">
        <v>162</v>
      </c>
      <c r="O23" s="30"/>
      <c r="P23" s="30"/>
      <c r="Q23" s="30"/>
      <c r="R23" s="30" t="s">
        <v>163</v>
      </c>
      <c r="S23" s="30"/>
    </row>
    <row r="24" ht="14.25" customHeight="1" spans="1:19">
      <c r="A24" s="28">
        <v>45768</v>
      </c>
      <c r="B24" s="29">
        <v>45768</v>
      </c>
      <c r="C24" s="30"/>
      <c r="D24" s="30"/>
      <c r="E24" s="30"/>
      <c r="F24" s="30"/>
      <c r="G24" s="30"/>
      <c r="H24" s="42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</row>
    <row r="25" ht="14.25" customHeight="1" spans="1:19">
      <c r="A25" s="28">
        <v>45769</v>
      </c>
      <c r="B25" s="29">
        <v>45769</v>
      </c>
      <c r="C25" s="30"/>
      <c r="D25" s="30"/>
      <c r="E25" s="90"/>
      <c r="F25" s="90"/>
      <c r="G25" s="90"/>
      <c r="H25" s="42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</row>
    <row r="26" ht="14.25" customHeight="1" spans="1:19">
      <c r="A26" s="28">
        <v>45770</v>
      </c>
      <c r="B26" s="29">
        <v>45770</v>
      </c>
      <c r="C26" s="30" t="s">
        <v>164</v>
      </c>
      <c r="D26" s="30" t="s">
        <v>161</v>
      </c>
      <c r="E26" s="90">
        <v>0.7125</v>
      </c>
      <c r="F26" s="90">
        <v>0.729166666666667</v>
      </c>
      <c r="G26" s="90">
        <v>0.0166666666666667</v>
      </c>
      <c r="H26" s="42">
        <v>2411</v>
      </c>
      <c r="I26" s="30"/>
      <c r="J26" s="30"/>
      <c r="K26" s="30"/>
      <c r="L26" s="30"/>
      <c r="M26" s="30"/>
      <c r="N26" s="30" t="s">
        <v>165</v>
      </c>
      <c r="O26" s="30"/>
      <c r="P26" s="30"/>
      <c r="Q26" s="30"/>
      <c r="R26" s="30"/>
      <c r="S26" s="30" t="s">
        <v>166</v>
      </c>
    </row>
    <row r="27" ht="14.25" customHeight="1" spans="1:19">
      <c r="A27" s="28">
        <v>45771</v>
      </c>
      <c r="B27" s="29">
        <v>45771</v>
      </c>
      <c r="C27" s="30"/>
      <c r="D27" s="30"/>
      <c r="E27" s="30"/>
      <c r="F27" s="30"/>
      <c r="G27" s="90"/>
      <c r="H27" s="42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</row>
    <row r="28" ht="14.25" customHeight="1" spans="1:19">
      <c r="A28" s="28">
        <v>45772</v>
      </c>
      <c r="B28" s="29">
        <v>45772</v>
      </c>
      <c r="C28" s="30"/>
      <c r="D28" s="30"/>
      <c r="E28" s="30"/>
      <c r="F28" s="30"/>
      <c r="G28" s="90"/>
      <c r="H28" s="42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</row>
    <row r="29" ht="14.25" customHeight="1" spans="1:19">
      <c r="A29" s="28">
        <v>45773</v>
      </c>
      <c r="B29" s="29">
        <v>45773</v>
      </c>
      <c r="C29" s="30"/>
      <c r="D29" s="30"/>
      <c r="E29" s="30"/>
      <c r="F29" s="30"/>
      <c r="G29" s="90"/>
      <c r="H29" s="42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</row>
    <row r="30" ht="14.25" customHeight="1" spans="1:19">
      <c r="A30" s="28">
        <v>45774</v>
      </c>
      <c r="B30" s="29">
        <v>45774</v>
      </c>
      <c r="C30" s="30"/>
      <c r="D30" s="30"/>
      <c r="E30" s="30"/>
      <c r="F30" s="30"/>
      <c r="G30" s="90"/>
      <c r="H30" s="42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</row>
    <row r="31" ht="14.25" customHeight="1" spans="1:19">
      <c r="A31" s="28">
        <v>45775</v>
      </c>
      <c r="B31" s="29">
        <v>45775</v>
      </c>
      <c r="C31" s="30"/>
      <c r="D31" s="30"/>
      <c r="E31" s="30"/>
      <c r="F31" s="30"/>
      <c r="G31" s="90"/>
      <c r="H31" s="42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</row>
    <row r="32" ht="14.25" customHeight="1" spans="1:19">
      <c r="A32" s="28">
        <v>45776</v>
      </c>
      <c r="B32" s="29">
        <v>45776</v>
      </c>
      <c r="C32" s="30"/>
      <c r="D32" s="30"/>
      <c r="E32" s="30"/>
      <c r="F32" s="30"/>
      <c r="G32" s="90"/>
      <c r="H32" s="42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ht="14.25" customHeight="1" spans="1:19">
      <c r="A33" s="28">
        <v>45777</v>
      </c>
      <c r="B33" s="29">
        <v>45777</v>
      </c>
      <c r="C33" s="30"/>
      <c r="D33" s="30"/>
      <c r="E33" s="30"/>
      <c r="F33" s="30"/>
      <c r="G33" s="90"/>
      <c r="H33" s="42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</row>
    <row r="34" ht="14.25" customHeight="1" spans="1:19">
      <c r="A34" s="28">
        <v>45778</v>
      </c>
      <c r="B34" s="29">
        <v>45778</v>
      </c>
      <c r="C34" s="30"/>
      <c r="D34" s="30"/>
      <c r="E34" s="30"/>
      <c r="F34" s="30"/>
      <c r="G34" s="90"/>
      <c r="H34" s="42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</row>
    <row r="35" ht="14.25" customHeight="1" spans="1:19">
      <c r="A35" s="28">
        <v>45779</v>
      </c>
      <c r="B35" s="29">
        <v>45779</v>
      </c>
      <c r="C35" s="30"/>
      <c r="D35" s="30"/>
      <c r="E35" s="30"/>
      <c r="F35" s="30"/>
      <c r="G35" s="90"/>
      <c r="H35" s="42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</row>
    <row r="36" ht="14.25" customHeight="1" spans="1:19">
      <c r="A36" s="28">
        <v>45780</v>
      </c>
      <c r="B36" s="29">
        <v>45780</v>
      </c>
      <c r="C36" s="30"/>
      <c r="D36" s="30"/>
      <c r="E36" s="30"/>
      <c r="F36" s="30"/>
      <c r="G36" s="90"/>
      <c r="H36" s="42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</row>
    <row r="37" ht="14.25" customHeight="1" spans="1:19">
      <c r="A37" s="28">
        <v>45781</v>
      </c>
      <c r="B37" s="29">
        <v>45781</v>
      </c>
      <c r="C37" s="30"/>
      <c r="D37" s="30"/>
      <c r="E37" s="30"/>
      <c r="F37" s="30"/>
      <c r="G37" s="90"/>
      <c r="H37" s="42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</row>
    <row r="38" ht="14.25" customHeight="1" spans="1:19">
      <c r="A38" s="28">
        <v>45782</v>
      </c>
      <c r="B38" s="29">
        <v>45782</v>
      </c>
      <c r="C38" s="30"/>
      <c r="D38" s="30"/>
      <c r="E38" s="30"/>
      <c r="F38" s="30"/>
      <c r="G38" s="90"/>
      <c r="H38" s="42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</row>
    <row r="39" ht="14.25" customHeight="1" spans="1:19">
      <c r="A39" s="28">
        <v>45783</v>
      </c>
      <c r="B39" s="29">
        <v>45783</v>
      </c>
      <c r="C39" s="30"/>
      <c r="D39" s="30"/>
      <c r="E39" s="30"/>
      <c r="F39" s="30"/>
      <c r="G39" s="90"/>
      <c r="H39" s="42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</row>
    <row r="40" ht="14.25" customHeight="1" spans="1:19">
      <c r="A40" s="28">
        <v>45784</v>
      </c>
      <c r="B40" s="29">
        <v>45784</v>
      </c>
      <c r="C40" s="30"/>
      <c r="D40" s="30"/>
      <c r="E40" s="90"/>
      <c r="I40" s="30"/>
      <c r="J40" s="30"/>
      <c r="K40" s="30"/>
      <c r="N40" s="30"/>
      <c r="O40" s="30"/>
      <c r="P40" s="30"/>
      <c r="Q40" s="30"/>
      <c r="R40" s="30"/>
      <c r="S40" s="30"/>
    </row>
    <row r="41" ht="14.25" customHeight="1" spans="1:19">
      <c r="A41" s="28">
        <v>45785</v>
      </c>
      <c r="B41" s="29">
        <v>45785</v>
      </c>
      <c r="C41" s="30"/>
      <c r="D41" s="30"/>
      <c r="E41" s="30"/>
      <c r="F41" s="30"/>
      <c r="G41" s="30"/>
      <c r="H41" s="42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</row>
    <row r="42" ht="14.25" customHeight="1" spans="1:19">
      <c r="A42" s="28">
        <v>45786</v>
      </c>
      <c r="B42" s="29">
        <v>45786</v>
      </c>
      <c r="C42" s="30"/>
      <c r="D42" s="30"/>
      <c r="E42" s="30"/>
      <c r="F42" s="30"/>
      <c r="G42" s="30"/>
      <c r="H42" s="42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</row>
    <row r="43" ht="14.25" customHeight="1" spans="1:19">
      <c r="A43" s="28">
        <v>45787</v>
      </c>
      <c r="B43" s="29">
        <v>45787</v>
      </c>
      <c r="C43" s="30"/>
      <c r="D43" s="30"/>
      <c r="E43" s="30"/>
      <c r="F43" s="30"/>
      <c r="G43" s="30"/>
      <c r="H43" s="42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</row>
    <row r="44" ht="14.25" customHeight="1" spans="1:19">
      <c r="A44" s="28">
        <v>45788</v>
      </c>
      <c r="B44" s="29">
        <v>45788</v>
      </c>
      <c r="C44" s="30"/>
      <c r="D44" s="30"/>
      <c r="E44" s="30"/>
      <c r="F44" s="30"/>
      <c r="G44" s="30"/>
      <c r="H44" s="42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</row>
    <row r="45" ht="14.25" customHeight="1" spans="1:19">
      <c r="A45" s="28">
        <v>45789</v>
      </c>
      <c r="B45" s="29">
        <v>45789</v>
      </c>
      <c r="C45" s="30"/>
      <c r="D45" s="30"/>
      <c r="E45" s="30"/>
      <c r="F45" s="30"/>
      <c r="G45" s="30"/>
      <c r="H45" s="42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</row>
    <row r="46" ht="14.25" customHeight="1" spans="1:19">
      <c r="A46" s="28">
        <v>45790</v>
      </c>
      <c r="B46" s="29">
        <v>45790</v>
      </c>
      <c r="C46" s="30"/>
      <c r="D46" s="30"/>
      <c r="E46" s="30"/>
      <c r="F46" s="30"/>
      <c r="G46" s="30"/>
      <c r="H46" s="42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</row>
    <row r="47" ht="14.25" customHeight="1" spans="1:19">
      <c r="A47" s="28">
        <v>45791</v>
      </c>
      <c r="B47" s="29">
        <v>45791</v>
      </c>
      <c r="C47" s="30"/>
      <c r="D47" s="30"/>
      <c r="E47" s="30"/>
      <c r="F47" s="30"/>
      <c r="G47" s="30"/>
      <c r="H47" s="42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</row>
    <row r="48" ht="14.25" customHeight="1" spans="1:19">
      <c r="A48" s="28">
        <v>45792</v>
      </c>
      <c r="B48" s="29">
        <v>45792</v>
      </c>
      <c r="C48" s="30"/>
      <c r="D48" s="30"/>
      <c r="E48" s="30"/>
      <c r="F48" s="30"/>
      <c r="G48" s="30"/>
      <c r="H48" s="42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</row>
    <row r="49" ht="14.25" customHeight="1" spans="1:19">
      <c r="A49" s="28">
        <v>45793</v>
      </c>
      <c r="B49" s="29">
        <v>45793</v>
      </c>
      <c r="C49" s="30"/>
      <c r="D49" s="30"/>
      <c r="E49" s="30"/>
      <c r="F49" s="30"/>
      <c r="G49" s="30"/>
      <c r="H49" s="42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</row>
    <row r="50" ht="14.25" customHeight="1" spans="1:19">
      <c r="A50" s="28">
        <v>45794</v>
      </c>
      <c r="B50" s="29">
        <v>45794</v>
      </c>
      <c r="C50" s="30"/>
      <c r="D50" s="30"/>
      <c r="E50" s="30"/>
      <c r="F50" s="30"/>
      <c r="G50" s="30"/>
      <c r="H50" s="42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</row>
    <row r="51" ht="14.25" customHeight="1" spans="1:19">
      <c r="A51" s="28">
        <v>45795</v>
      </c>
      <c r="B51" s="29">
        <v>45795</v>
      </c>
      <c r="C51" s="30"/>
      <c r="D51" s="30"/>
      <c r="E51" s="30"/>
      <c r="F51" s="30"/>
      <c r="G51" s="30"/>
      <c r="H51" s="42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</row>
    <row r="52" ht="14.25" customHeight="1" spans="1:19">
      <c r="A52" s="28">
        <v>45796</v>
      </c>
      <c r="B52" s="29">
        <v>45796</v>
      </c>
      <c r="C52" s="30"/>
      <c r="D52" s="30"/>
      <c r="E52" s="30"/>
      <c r="F52" s="30"/>
      <c r="G52" s="30"/>
      <c r="H52" s="42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ht="14.25" customHeight="1" spans="1:19">
      <c r="A53" s="28">
        <v>45797</v>
      </c>
      <c r="B53" s="29">
        <v>45797</v>
      </c>
      <c r="C53" s="30"/>
      <c r="D53" s="30"/>
      <c r="E53" s="30"/>
      <c r="F53" s="30"/>
      <c r="G53" s="30"/>
      <c r="H53" s="42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ht="14.25" customHeight="1" spans="1:19">
      <c r="A54" s="28">
        <v>45798</v>
      </c>
      <c r="B54" s="29">
        <v>45798</v>
      </c>
      <c r="C54" s="30"/>
      <c r="D54" s="30"/>
      <c r="E54" s="30"/>
      <c r="F54" s="30"/>
      <c r="G54" s="30"/>
      <c r="H54" s="42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ht="14.25" customHeight="1" spans="1:19">
      <c r="A55" s="28">
        <v>45799</v>
      </c>
      <c r="B55" s="29">
        <v>45799</v>
      </c>
      <c r="C55" s="30"/>
      <c r="D55" s="30"/>
      <c r="E55" s="30"/>
      <c r="F55" s="30"/>
      <c r="G55" s="30"/>
      <c r="H55" s="42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ht="14.25" customHeight="1" spans="1:19">
      <c r="A56" s="28">
        <v>45800</v>
      </c>
      <c r="B56" s="29">
        <v>45800</v>
      </c>
      <c r="C56" s="30"/>
      <c r="D56" s="30"/>
      <c r="E56" s="30"/>
      <c r="F56" s="30"/>
      <c r="G56" s="30"/>
      <c r="H56" s="42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 ht="14.25" customHeight="1" spans="1:19">
      <c r="A57" s="28">
        <v>45801</v>
      </c>
      <c r="B57" s="29">
        <v>45801</v>
      </c>
      <c r="C57" s="30"/>
      <c r="D57" s="30"/>
      <c r="E57" s="30"/>
      <c r="F57" s="30"/>
      <c r="G57" s="30"/>
      <c r="H57" s="42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 ht="14.25" customHeight="1" spans="1:19">
      <c r="A58" s="28">
        <v>45802</v>
      </c>
      <c r="B58" s="29">
        <v>45802</v>
      </c>
      <c r="C58" s="30"/>
      <c r="D58" s="30"/>
      <c r="E58" s="30"/>
      <c r="F58" s="30"/>
      <c r="G58" s="30"/>
      <c r="H58" s="42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 ht="14.25" customHeight="1" spans="1:19">
      <c r="A59" s="28">
        <v>45803</v>
      </c>
      <c r="B59" s="29">
        <v>45803</v>
      </c>
      <c r="C59" s="30"/>
      <c r="D59" s="30"/>
      <c r="E59" s="30"/>
      <c r="F59" s="30"/>
      <c r="G59" s="30"/>
      <c r="H59" s="42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 ht="14.25" customHeight="1" spans="1:19">
      <c r="A60" s="28">
        <v>45804</v>
      </c>
      <c r="B60" s="29">
        <v>45804</v>
      </c>
      <c r="C60" s="30"/>
      <c r="D60" s="30"/>
      <c r="E60" s="30"/>
      <c r="F60" s="30"/>
      <c r="G60" s="30"/>
      <c r="H60" s="42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ht="14.25" customHeight="1" spans="1:19">
      <c r="A61" s="28">
        <v>45805</v>
      </c>
      <c r="B61" s="29">
        <v>45805</v>
      </c>
      <c r="C61" s="30"/>
      <c r="D61" s="30"/>
      <c r="E61" s="30"/>
      <c r="F61" s="30"/>
      <c r="G61" s="30"/>
      <c r="H61" s="42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ht="14.25" customHeight="1" spans="1:19">
      <c r="A62" s="28">
        <v>45806</v>
      </c>
      <c r="B62" s="29">
        <v>45806</v>
      </c>
      <c r="C62" s="30"/>
      <c r="D62" s="30"/>
      <c r="E62" s="30"/>
      <c r="F62" s="30"/>
      <c r="G62" s="30"/>
      <c r="H62" s="42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ht="14.25" customHeight="1" spans="1:19">
      <c r="A63" s="28">
        <v>45807</v>
      </c>
      <c r="B63" s="29">
        <v>45807</v>
      </c>
      <c r="C63" s="30"/>
      <c r="D63" s="30"/>
      <c r="E63" s="30"/>
      <c r="F63" s="30"/>
      <c r="G63" s="30"/>
      <c r="H63" s="42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ht="14.25" customHeight="1" spans="1:19">
      <c r="A64" s="28">
        <v>45808</v>
      </c>
      <c r="B64" s="29">
        <v>45808</v>
      </c>
      <c r="C64" s="30"/>
      <c r="D64" s="30"/>
      <c r="E64" s="30"/>
      <c r="F64" s="30"/>
      <c r="G64" s="30"/>
      <c r="H64" s="42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ht="14.25" customHeight="1" spans="1:19">
      <c r="A65" s="28">
        <v>45809</v>
      </c>
      <c r="B65" s="29">
        <v>45809</v>
      </c>
      <c r="C65" s="30"/>
      <c r="D65" s="30"/>
      <c r="E65" s="30"/>
      <c r="F65" s="30"/>
      <c r="G65" s="30"/>
      <c r="H65" s="42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 ht="14.25" customHeight="1" spans="1:19">
      <c r="A66" s="28">
        <v>45810</v>
      </c>
      <c r="B66" s="29">
        <v>45810</v>
      </c>
      <c r="C66" s="30"/>
      <c r="D66" s="30"/>
      <c r="E66" s="30"/>
      <c r="F66" s="30"/>
      <c r="G66" s="30"/>
      <c r="H66" s="42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 ht="14.25" customHeight="1" spans="1:19">
      <c r="A67" s="28">
        <v>45811</v>
      </c>
      <c r="B67" s="29">
        <v>45811</v>
      </c>
      <c r="C67" s="30"/>
      <c r="D67" s="30"/>
      <c r="E67" s="30"/>
      <c r="F67" s="30"/>
      <c r="G67" s="30"/>
      <c r="H67" s="42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 ht="14.25" customHeight="1" spans="1:19">
      <c r="A68" s="28">
        <v>45812</v>
      </c>
      <c r="B68" s="29">
        <v>45812</v>
      </c>
      <c r="C68" s="30"/>
      <c r="D68" s="30"/>
      <c r="E68" s="30"/>
      <c r="F68" s="30"/>
      <c r="G68" s="30"/>
      <c r="H68" s="42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ht="14.25" customHeight="1" spans="1:19">
      <c r="A69" s="28">
        <v>45813</v>
      </c>
      <c r="B69" s="29">
        <v>45813</v>
      </c>
      <c r="C69" s="30"/>
      <c r="D69" s="30"/>
      <c r="E69" s="30"/>
      <c r="F69" s="30"/>
      <c r="G69" s="30"/>
      <c r="H69" s="42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ht="14.25" customHeight="1" spans="1:19">
      <c r="A70" s="28">
        <v>45814</v>
      </c>
      <c r="B70" s="29">
        <v>45814</v>
      </c>
      <c r="C70" s="30"/>
      <c r="D70" s="30"/>
      <c r="E70" s="30"/>
      <c r="F70" s="30"/>
      <c r="G70" s="30"/>
      <c r="H70" s="42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ht="14.25" customHeight="1" spans="1:19">
      <c r="A71" s="28">
        <v>45815</v>
      </c>
      <c r="B71" s="29">
        <v>45815</v>
      </c>
      <c r="C71" s="30" t="s">
        <v>156</v>
      </c>
      <c r="D71" s="30" t="s">
        <v>156</v>
      </c>
      <c r="E71" s="90">
        <v>0.34375</v>
      </c>
      <c r="F71" s="90">
        <v>0.395833333333333</v>
      </c>
      <c r="G71" s="90">
        <v>0.0520833333333333</v>
      </c>
      <c r="H71" s="42">
        <v>2411</v>
      </c>
      <c r="I71" s="30"/>
      <c r="J71" s="30"/>
      <c r="K71" s="30"/>
      <c r="L71" s="30" t="s">
        <v>167</v>
      </c>
      <c r="M71" s="30" t="s">
        <v>168</v>
      </c>
      <c r="N71" s="30"/>
      <c r="O71" s="30"/>
      <c r="P71" s="30"/>
      <c r="Q71" s="30"/>
      <c r="R71" s="30"/>
      <c r="S71" s="30" t="s">
        <v>169</v>
      </c>
    </row>
    <row r="72" ht="14.25" customHeight="1" spans="1:19">
      <c r="A72" s="28">
        <v>45816</v>
      </c>
      <c r="B72" s="29">
        <v>45816</v>
      </c>
      <c r="C72" s="30"/>
      <c r="D72" s="30"/>
      <c r="E72" s="30"/>
      <c r="F72" s="30"/>
      <c r="G72" s="30"/>
      <c r="H72" s="42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ht="14.25" customHeight="1" spans="1:19">
      <c r="A73" s="28">
        <v>45817</v>
      </c>
      <c r="B73" s="29">
        <v>45817</v>
      </c>
      <c r="C73" s="30"/>
      <c r="D73" s="30"/>
      <c r="E73" s="30"/>
      <c r="F73" s="30"/>
      <c r="G73" s="30"/>
      <c r="H73" s="42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ht="14.25" customHeight="1" spans="1:19">
      <c r="A74" s="28">
        <v>45818</v>
      </c>
      <c r="B74" s="29">
        <v>45818</v>
      </c>
      <c r="C74" s="30" t="s">
        <v>164</v>
      </c>
      <c r="D74" s="30" t="s">
        <v>161</v>
      </c>
      <c r="E74" s="90">
        <v>0.638888888888889</v>
      </c>
      <c r="F74" s="90">
        <v>0.701388888888889</v>
      </c>
      <c r="G74" s="90">
        <v>0.0625</v>
      </c>
      <c r="H74" s="42">
        <v>2411</v>
      </c>
      <c r="I74" s="30"/>
      <c r="J74" s="30"/>
      <c r="K74" s="30"/>
      <c r="L74" s="30" t="s">
        <v>170</v>
      </c>
      <c r="M74" s="30" t="s">
        <v>171</v>
      </c>
      <c r="N74" s="30" t="s">
        <v>171</v>
      </c>
      <c r="O74" s="30"/>
      <c r="P74" s="30"/>
      <c r="Q74" s="30"/>
      <c r="R74" s="30">
        <v>1</v>
      </c>
      <c r="S74" s="30" t="s">
        <v>172</v>
      </c>
    </row>
    <row r="75" ht="14.25" customHeight="1" spans="1:19">
      <c r="A75" s="28">
        <v>45819</v>
      </c>
      <c r="B75" s="29">
        <v>45819</v>
      </c>
      <c r="C75" s="30"/>
      <c r="D75" s="30"/>
      <c r="E75" s="30"/>
      <c r="F75" s="30"/>
      <c r="G75" s="30"/>
      <c r="H75" s="42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ht="14.25" customHeight="1" spans="1:19">
      <c r="A76" s="28">
        <v>45820</v>
      </c>
      <c r="B76" s="29">
        <v>45820</v>
      </c>
      <c r="C76" s="30"/>
      <c r="D76" s="30"/>
      <c r="E76" s="30"/>
      <c r="F76" s="30"/>
      <c r="G76" s="30"/>
      <c r="H76" s="42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ht="14.25" customHeight="1" spans="1:19">
      <c r="A77" s="28">
        <v>45821</v>
      </c>
      <c r="B77" s="29">
        <v>45821</v>
      </c>
      <c r="C77" s="30"/>
      <c r="D77" s="30"/>
      <c r="E77" s="30"/>
      <c r="F77" s="30"/>
      <c r="G77" s="30"/>
      <c r="H77" s="42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ht="14.25" customHeight="1" spans="1:19">
      <c r="A78" s="28">
        <v>45822</v>
      </c>
      <c r="B78" s="29">
        <v>45822</v>
      </c>
      <c r="C78" s="30"/>
      <c r="D78" s="30"/>
      <c r="E78" s="30"/>
      <c r="F78" s="30"/>
      <c r="G78" s="30"/>
      <c r="H78" s="42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ht="14.25" customHeight="1" spans="1:19">
      <c r="A79" s="28">
        <v>45823</v>
      </c>
      <c r="B79" s="29">
        <v>45823</v>
      </c>
      <c r="C79" s="30"/>
      <c r="D79" s="30"/>
      <c r="E79" s="30"/>
      <c r="F79" s="30"/>
      <c r="G79" s="30"/>
      <c r="H79" s="42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 ht="14.25" customHeight="1" spans="1:19">
      <c r="A80" s="28">
        <v>45824</v>
      </c>
      <c r="B80" s="29">
        <v>45824</v>
      </c>
      <c r="C80" s="30"/>
      <c r="D80" s="30"/>
      <c r="E80" s="30"/>
      <c r="F80" s="30"/>
      <c r="G80" s="30"/>
      <c r="H80" s="42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 ht="14.25" customHeight="1" spans="1:19">
      <c r="A81" s="28">
        <v>45825</v>
      </c>
      <c r="B81" s="29">
        <v>45825</v>
      </c>
      <c r="C81" s="30"/>
      <c r="D81" s="30"/>
      <c r="E81" s="30"/>
      <c r="F81" s="30"/>
      <c r="G81" s="30"/>
      <c r="H81" s="42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 ht="14.25" customHeight="1" spans="1:19">
      <c r="A82" s="28">
        <v>45826</v>
      </c>
      <c r="B82" s="29">
        <v>45826</v>
      </c>
      <c r="C82" s="30"/>
      <c r="D82" s="30"/>
      <c r="E82" s="30"/>
      <c r="F82" s="30"/>
      <c r="G82" s="30"/>
      <c r="H82" s="42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 ht="14.25" customHeight="1" spans="1:19">
      <c r="A83" s="28">
        <v>45827</v>
      </c>
      <c r="B83" s="29">
        <v>45827</v>
      </c>
      <c r="C83" s="30"/>
      <c r="D83" s="30"/>
      <c r="E83" s="30"/>
      <c r="F83" s="30"/>
      <c r="G83" s="30"/>
      <c r="H83" s="42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ht="14.25" customHeight="1" spans="1:19">
      <c r="A84" s="28">
        <v>45828</v>
      </c>
      <c r="B84" s="29">
        <v>45828</v>
      </c>
      <c r="C84" s="30"/>
      <c r="D84" s="30"/>
      <c r="E84" s="30"/>
      <c r="F84" s="30"/>
      <c r="G84" s="30"/>
      <c r="H84" s="42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ht="14.25" customHeight="1" spans="1:19">
      <c r="A85" s="28">
        <v>45829</v>
      </c>
      <c r="B85" s="29">
        <v>45829</v>
      </c>
      <c r="C85" s="30"/>
      <c r="D85" s="30"/>
      <c r="E85" s="30"/>
      <c r="F85" s="30"/>
      <c r="G85" s="30"/>
      <c r="H85" s="42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</row>
    <row r="86" ht="14.25" customHeight="1" spans="1:19">
      <c r="A86" s="28">
        <v>45830</v>
      </c>
      <c r="B86" s="29">
        <v>45830</v>
      </c>
      <c r="C86" s="30"/>
      <c r="D86" s="30"/>
      <c r="E86" s="30"/>
      <c r="F86" s="30"/>
      <c r="G86" s="30"/>
      <c r="H86" s="42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</row>
    <row r="87" ht="14.25" customHeight="1" spans="1:19">
      <c r="A87" s="28">
        <v>45831</v>
      </c>
      <c r="B87" s="29">
        <v>45831</v>
      </c>
      <c r="C87" s="30"/>
      <c r="D87" s="30"/>
      <c r="E87" s="30"/>
      <c r="F87" s="30"/>
      <c r="G87" s="30"/>
      <c r="H87" s="42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</row>
    <row r="88" ht="14.25" customHeight="1" spans="1:19">
      <c r="A88" s="28">
        <v>45832</v>
      </c>
      <c r="B88" s="29">
        <v>45832</v>
      </c>
      <c r="C88" s="30" t="s">
        <v>164</v>
      </c>
      <c r="D88" s="30" t="s">
        <v>164</v>
      </c>
      <c r="E88" s="90">
        <v>0.368055555555556</v>
      </c>
      <c r="F88" s="90">
        <v>0.381944444444444</v>
      </c>
      <c r="G88" s="90">
        <v>0.0138888888888889</v>
      </c>
      <c r="H88" s="42">
        <v>2411</v>
      </c>
      <c r="I88" s="30"/>
      <c r="J88" s="30"/>
      <c r="K88" s="30"/>
      <c r="L88" s="30" t="s">
        <v>173</v>
      </c>
      <c r="M88" s="30" t="s">
        <v>174</v>
      </c>
      <c r="N88" s="30" t="s">
        <v>174</v>
      </c>
      <c r="O88" s="30"/>
      <c r="P88" s="30"/>
      <c r="Q88" s="30"/>
      <c r="R88" s="30"/>
      <c r="S88" s="30"/>
    </row>
    <row r="89" ht="14.25" customHeight="1" spans="1:19">
      <c r="A89" s="28">
        <v>45833</v>
      </c>
      <c r="B89" s="29">
        <v>45833</v>
      </c>
      <c r="C89" s="30"/>
      <c r="D89" s="30"/>
      <c r="E89" s="30"/>
      <c r="F89" s="30"/>
      <c r="G89" s="30"/>
      <c r="H89" s="42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</row>
    <row r="90" ht="14.25" customHeight="1" spans="1:19">
      <c r="A90" s="28">
        <v>45834</v>
      </c>
      <c r="B90" s="29">
        <v>45834</v>
      </c>
      <c r="C90" s="30"/>
      <c r="D90" s="30"/>
      <c r="E90" s="30"/>
      <c r="F90" s="30"/>
      <c r="G90" s="30"/>
      <c r="H90" s="42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</row>
    <row r="91" ht="14.25" customHeight="1" spans="1:19">
      <c r="A91" s="28">
        <v>45835</v>
      </c>
      <c r="B91" s="29">
        <v>45835</v>
      </c>
      <c r="C91" s="30"/>
      <c r="D91" s="30"/>
      <c r="E91" s="30"/>
      <c r="F91" s="30"/>
      <c r="G91" s="30"/>
      <c r="H91" s="42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</row>
    <row r="92" ht="14.25" customHeight="1" spans="1:19">
      <c r="A92" s="28">
        <v>45836</v>
      </c>
      <c r="B92" s="29">
        <v>45836</v>
      </c>
      <c r="C92" s="30"/>
      <c r="D92" s="30"/>
      <c r="E92" s="30"/>
      <c r="F92" s="30"/>
      <c r="G92" s="30"/>
      <c r="H92" s="42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</row>
    <row r="93" ht="14.25" customHeight="1" spans="1:19">
      <c r="A93" s="28">
        <v>45837</v>
      </c>
      <c r="B93" s="29">
        <v>45837</v>
      </c>
      <c r="C93" s="30"/>
      <c r="D93" s="30"/>
      <c r="E93" s="30"/>
      <c r="F93" s="30"/>
      <c r="G93" s="30"/>
      <c r="H93" s="42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</row>
    <row r="94" ht="14.25" customHeight="1" spans="1:19">
      <c r="A94" s="28">
        <v>45838</v>
      </c>
      <c r="B94" s="29">
        <v>45838</v>
      </c>
      <c r="C94" s="30" t="s">
        <v>164</v>
      </c>
      <c r="D94" s="30" t="s">
        <v>161</v>
      </c>
      <c r="E94" s="90">
        <v>0.291666666666667</v>
      </c>
      <c r="F94" s="90">
        <v>0.472222222222222</v>
      </c>
      <c r="G94" s="90">
        <f>F94-E94</f>
        <v>0.180555555555555</v>
      </c>
      <c r="H94" s="42">
        <v>2411</v>
      </c>
      <c r="I94" s="30"/>
      <c r="J94" s="30"/>
      <c r="K94" s="30"/>
      <c r="L94" s="30" t="s">
        <v>170</v>
      </c>
      <c r="M94" s="30" t="s">
        <v>171</v>
      </c>
      <c r="N94" s="30" t="s">
        <v>171</v>
      </c>
      <c r="O94" s="30"/>
      <c r="P94" s="30"/>
      <c r="Q94" s="30"/>
      <c r="R94" s="30"/>
      <c r="S94" s="30" t="s">
        <v>175</v>
      </c>
    </row>
    <row r="95" ht="14.25" customHeight="1" spans="1:19">
      <c r="A95" s="28">
        <v>45839</v>
      </c>
      <c r="B95" s="29">
        <v>45839</v>
      </c>
      <c r="C95" s="30"/>
      <c r="D95" s="30"/>
      <c r="E95" s="30"/>
      <c r="F95" s="30"/>
      <c r="G95" s="30"/>
      <c r="H95" s="42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</row>
    <row r="96" ht="14.25" customHeight="1" spans="1:19">
      <c r="A96" s="28">
        <v>45840</v>
      </c>
      <c r="B96" s="29">
        <v>45840</v>
      </c>
      <c r="C96" s="30"/>
      <c r="D96" s="30"/>
      <c r="E96" s="30"/>
      <c r="F96" s="30"/>
      <c r="G96" s="30"/>
      <c r="H96" s="42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</row>
    <row r="97" ht="14.25" customHeight="1" spans="1:19">
      <c r="A97" s="28">
        <v>45841</v>
      </c>
      <c r="B97" s="29">
        <v>45841</v>
      </c>
      <c r="C97" s="30"/>
      <c r="D97" s="30"/>
      <c r="E97" s="30"/>
      <c r="F97" s="30"/>
      <c r="G97" s="30"/>
      <c r="H97" s="42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</row>
    <row r="98" ht="14.25" customHeight="1" spans="1:19">
      <c r="A98" s="28">
        <v>45842</v>
      </c>
      <c r="B98" s="29">
        <v>45842</v>
      </c>
      <c r="C98" s="30"/>
      <c r="D98" s="30"/>
      <c r="E98" s="30"/>
      <c r="F98" s="30"/>
      <c r="G98" s="30"/>
      <c r="H98" s="42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</row>
    <row r="99" ht="14.25" customHeight="1" spans="1:19">
      <c r="A99" s="28">
        <v>45843</v>
      </c>
      <c r="B99" s="29">
        <v>45843</v>
      </c>
      <c r="C99" s="30"/>
      <c r="D99" s="30"/>
      <c r="E99" s="30"/>
      <c r="F99" s="30"/>
      <c r="G99" s="30"/>
      <c r="H99" s="42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</row>
    <row r="100" ht="14.25" customHeight="1" spans="1:19">
      <c r="A100" s="28">
        <v>45844</v>
      </c>
      <c r="B100" s="29">
        <v>45844</v>
      </c>
      <c r="C100" s="30"/>
      <c r="D100" s="30"/>
      <c r="E100" s="30"/>
      <c r="F100" s="30"/>
      <c r="G100" s="30"/>
      <c r="H100" s="42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</row>
    <row r="101" ht="15.75" customHeight="1" spans="1:19">
      <c r="A101" s="28">
        <v>45845</v>
      </c>
      <c r="B101" s="29">
        <v>45845</v>
      </c>
      <c r="C101" s="30"/>
      <c r="D101" s="30"/>
      <c r="E101" s="30"/>
      <c r="F101" s="30"/>
      <c r="G101" s="30"/>
      <c r="H101" s="42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</row>
    <row r="102" ht="15.75" customHeight="1" spans="1:19">
      <c r="A102" s="28">
        <v>45846</v>
      </c>
      <c r="B102" s="29">
        <v>45846</v>
      </c>
      <c r="C102" s="30"/>
      <c r="D102" s="30"/>
      <c r="E102" s="30"/>
      <c r="F102" s="30"/>
      <c r="G102" s="30"/>
      <c r="H102" s="42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</row>
    <row r="103" ht="15.75" customHeight="1" spans="1:19">
      <c r="A103" s="28">
        <v>45847</v>
      </c>
      <c r="B103" s="29">
        <v>45847</v>
      </c>
      <c r="C103" s="30"/>
      <c r="D103" s="30"/>
      <c r="E103" s="30"/>
      <c r="F103" s="30"/>
      <c r="G103" s="30"/>
      <c r="H103" s="42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</row>
    <row r="104" ht="15.75" customHeight="1" spans="1:19">
      <c r="A104" s="28">
        <v>45848</v>
      </c>
      <c r="B104" s="29">
        <v>45848</v>
      </c>
      <c r="C104" s="30"/>
      <c r="D104" s="30"/>
      <c r="E104" s="30"/>
      <c r="F104" s="30"/>
      <c r="G104" s="30"/>
      <c r="H104" s="42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</row>
    <row r="105" ht="15.75" customHeight="1" spans="1:19">
      <c r="A105" s="28">
        <v>45849</v>
      </c>
      <c r="B105" s="29">
        <v>45849</v>
      </c>
      <c r="C105" s="30"/>
      <c r="D105" s="30"/>
      <c r="E105" s="30"/>
      <c r="F105" s="30"/>
      <c r="G105" s="30"/>
      <c r="H105" s="42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</row>
    <row r="106" ht="15.75" customHeight="1" spans="1:19">
      <c r="A106" s="28">
        <v>45850</v>
      </c>
      <c r="B106" s="29">
        <v>45850</v>
      </c>
      <c r="C106" s="30" t="s">
        <v>164</v>
      </c>
      <c r="D106" s="30" t="s">
        <v>161</v>
      </c>
      <c r="E106" s="90">
        <v>0.493055555555556</v>
      </c>
      <c r="F106" s="90">
        <v>0.548611111111111</v>
      </c>
      <c r="G106" s="90">
        <f>F106-E106</f>
        <v>0.055555555555555</v>
      </c>
      <c r="H106" s="42">
        <v>2411</v>
      </c>
      <c r="I106" s="30"/>
      <c r="J106" s="30"/>
      <c r="K106" s="30"/>
      <c r="L106" s="30" t="s">
        <v>176</v>
      </c>
      <c r="M106" s="30" t="s">
        <v>177</v>
      </c>
      <c r="N106" s="30"/>
      <c r="O106" s="30"/>
      <c r="P106" s="30"/>
      <c r="Q106" s="30"/>
      <c r="R106" s="30"/>
      <c r="S106" s="30" t="s">
        <v>178</v>
      </c>
    </row>
    <row r="107" ht="15.75" customHeight="1" spans="1:19">
      <c r="A107" s="28">
        <v>45851</v>
      </c>
      <c r="B107" s="29">
        <v>45851</v>
      </c>
      <c r="C107" s="30" t="s">
        <v>164</v>
      </c>
      <c r="D107" s="30" t="s">
        <v>161</v>
      </c>
      <c r="E107" s="90">
        <v>0.465277777777778</v>
      </c>
      <c r="F107" s="90">
        <v>0.576388888888889</v>
      </c>
      <c r="G107" s="90">
        <f>F107-E107</f>
        <v>0.111111111111111</v>
      </c>
      <c r="H107" s="42">
        <v>2411</v>
      </c>
      <c r="I107" s="30"/>
      <c r="J107" s="30"/>
      <c r="K107" s="30"/>
      <c r="L107" s="30" t="s">
        <v>176</v>
      </c>
      <c r="M107" s="30" t="s">
        <v>177</v>
      </c>
      <c r="N107" s="30"/>
      <c r="O107" s="30"/>
      <c r="P107" s="30"/>
      <c r="Q107" s="30"/>
      <c r="R107" s="30"/>
      <c r="S107" s="30" t="s">
        <v>178</v>
      </c>
    </row>
    <row r="108" ht="15.75" customHeight="1" spans="1:19">
      <c r="A108" s="28">
        <v>45852</v>
      </c>
      <c r="B108" s="29">
        <v>45852</v>
      </c>
      <c r="C108" s="30"/>
      <c r="D108" s="30"/>
      <c r="E108" s="30"/>
      <c r="F108" s="30"/>
      <c r="G108" s="30"/>
      <c r="H108" s="42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</row>
    <row r="109" ht="15.75" customHeight="1" spans="1:19">
      <c r="A109" s="28">
        <v>45853</v>
      </c>
      <c r="B109" s="29">
        <v>45853</v>
      </c>
      <c r="C109" s="30"/>
      <c r="D109" s="30"/>
      <c r="E109" s="30"/>
      <c r="F109" s="30"/>
      <c r="G109" s="30"/>
      <c r="H109" s="42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</row>
    <row r="110" ht="15.75" customHeight="1" spans="1:19">
      <c r="A110" s="28">
        <v>45854</v>
      </c>
      <c r="B110" s="29">
        <v>45854</v>
      </c>
      <c r="C110" s="30"/>
      <c r="D110" s="30"/>
      <c r="E110" s="30"/>
      <c r="F110" s="30"/>
      <c r="G110" s="30"/>
      <c r="H110" s="42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</row>
    <row r="111" ht="15.75" customHeight="1" spans="1:19">
      <c r="A111" s="28">
        <v>45855</v>
      </c>
      <c r="B111" s="29">
        <v>45855</v>
      </c>
      <c r="C111" s="30"/>
      <c r="D111" s="30"/>
      <c r="E111" s="30"/>
      <c r="F111" s="30"/>
      <c r="G111" s="30"/>
      <c r="H111" s="42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</row>
    <row r="112" ht="15.75" customHeight="1" spans="1:19">
      <c r="A112" s="28">
        <v>45856</v>
      </c>
      <c r="B112" s="29">
        <v>45856</v>
      </c>
      <c r="C112" s="30"/>
      <c r="D112" s="30"/>
      <c r="E112" s="30"/>
      <c r="F112" s="30"/>
      <c r="G112" s="30"/>
      <c r="H112" s="42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</row>
    <row r="113" ht="15.75" customHeight="1" spans="1:19">
      <c r="A113" s="28">
        <v>45857</v>
      </c>
      <c r="B113" s="29">
        <v>45857</v>
      </c>
      <c r="C113" s="30"/>
      <c r="D113" s="30"/>
      <c r="E113" s="30"/>
      <c r="F113" s="30"/>
      <c r="G113" s="30"/>
      <c r="H113" s="42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</row>
    <row r="114" ht="15.75" customHeight="1" spans="1:19">
      <c r="A114" s="28">
        <v>45858</v>
      </c>
      <c r="B114" s="29">
        <v>45858</v>
      </c>
      <c r="C114" s="30"/>
      <c r="D114" s="30"/>
      <c r="E114" s="30"/>
      <c r="F114" s="30"/>
      <c r="G114" s="30"/>
      <c r="H114" s="42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</row>
    <row r="115" ht="15.75" customHeight="1" spans="1:19">
      <c r="A115" s="28">
        <v>45859</v>
      </c>
      <c r="B115" s="29">
        <v>45859</v>
      </c>
      <c r="C115" s="30"/>
      <c r="D115" s="30"/>
      <c r="E115" s="30"/>
      <c r="F115" s="30"/>
      <c r="G115" s="30"/>
      <c r="H115" s="42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</row>
    <row r="116" ht="15.75" customHeight="1" spans="1:19">
      <c r="A116" s="28">
        <v>45860</v>
      </c>
      <c r="B116" s="29">
        <v>45860</v>
      </c>
      <c r="C116" s="30"/>
      <c r="D116" s="30"/>
      <c r="E116" s="30"/>
      <c r="F116" s="30"/>
      <c r="G116" s="30"/>
      <c r="H116" s="42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</row>
    <row r="117" ht="15.75" customHeight="1" spans="1:19">
      <c r="A117" s="28">
        <v>45861</v>
      </c>
      <c r="B117" s="29">
        <v>45861</v>
      </c>
      <c r="C117" s="30" t="s">
        <v>164</v>
      </c>
      <c r="D117" s="30" t="s">
        <v>164</v>
      </c>
      <c r="E117" s="90">
        <v>0.375</v>
      </c>
      <c r="F117" s="90">
        <v>0.482638888888889</v>
      </c>
      <c r="G117" s="90">
        <v>0.107638888888889</v>
      </c>
      <c r="H117" s="42">
        <v>2411</v>
      </c>
      <c r="I117" s="30"/>
      <c r="J117" s="30"/>
      <c r="K117" s="30"/>
      <c r="L117" s="30" t="s">
        <v>173</v>
      </c>
      <c r="M117" s="30" t="s">
        <v>179</v>
      </c>
      <c r="N117" s="30"/>
      <c r="O117" s="30"/>
      <c r="P117" s="30"/>
      <c r="Q117" s="30"/>
      <c r="R117" s="30"/>
      <c r="S117" s="30"/>
    </row>
    <row r="118" ht="15.75" customHeight="1" spans="1:19">
      <c r="A118" s="28">
        <v>45862</v>
      </c>
      <c r="B118" s="29">
        <v>45862</v>
      </c>
      <c r="C118" s="30"/>
      <c r="D118" s="30"/>
      <c r="E118" s="30"/>
      <c r="F118" s="30"/>
      <c r="G118" s="30"/>
      <c r="H118" s="42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</row>
    <row r="119" ht="15.75" customHeight="1" spans="1:19">
      <c r="A119" s="28">
        <v>45863</v>
      </c>
      <c r="B119" s="29">
        <v>45863</v>
      </c>
      <c r="C119" s="30"/>
      <c r="D119" s="30"/>
      <c r="E119" s="30"/>
      <c r="F119" s="30"/>
      <c r="G119" s="30"/>
      <c r="H119" s="42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</row>
    <row r="120" ht="15.75" customHeight="1" spans="1:19">
      <c r="A120" s="28">
        <v>45864</v>
      </c>
      <c r="B120" s="29">
        <v>45864</v>
      </c>
      <c r="C120" s="30"/>
      <c r="D120" s="30"/>
      <c r="E120" s="30"/>
      <c r="F120" s="30"/>
      <c r="G120" s="30"/>
      <c r="H120" s="42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</row>
    <row r="121" ht="15.75" customHeight="1" spans="1:19">
      <c r="A121" s="28">
        <v>45865</v>
      </c>
      <c r="B121" s="29">
        <v>45865</v>
      </c>
      <c r="C121" s="30"/>
      <c r="D121" s="30"/>
      <c r="E121" s="30"/>
      <c r="F121" s="30"/>
      <c r="G121" s="30"/>
      <c r="H121" s="42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</row>
    <row r="122" ht="15.75" customHeight="1" spans="1:19">
      <c r="A122" s="28">
        <v>45866</v>
      </c>
      <c r="B122" s="29">
        <v>45866</v>
      </c>
      <c r="C122" s="30"/>
      <c r="D122" s="30"/>
      <c r="E122" s="30"/>
      <c r="F122" s="30"/>
      <c r="G122" s="30"/>
      <c r="H122" s="42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</row>
    <row r="123" ht="15.75" customHeight="1" spans="1:19">
      <c r="A123" s="28">
        <v>45867</v>
      </c>
      <c r="B123" s="29">
        <v>45867</v>
      </c>
      <c r="C123" s="30"/>
      <c r="D123" s="30"/>
      <c r="E123" s="30"/>
      <c r="F123" s="30"/>
      <c r="G123" s="30"/>
      <c r="H123" s="42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</row>
    <row r="124" ht="15.75" customHeight="1" spans="1:19">
      <c r="A124" s="28">
        <v>45868</v>
      </c>
      <c r="B124" s="29">
        <v>45868</v>
      </c>
      <c r="C124" s="30"/>
      <c r="D124" s="30"/>
      <c r="E124" s="30"/>
      <c r="F124" s="30"/>
      <c r="G124" s="30"/>
      <c r="H124" s="42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</row>
    <row r="125" ht="15.75" customHeight="1" spans="1:19">
      <c r="A125" s="28">
        <v>45869</v>
      </c>
      <c r="B125" s="29">
        <v>45869</v>
      </c>
      <c r="C125" s="30"/>
      <c r="D125" s="30"/>
      <c r="E125" s="30"/>
      <c r="F125" s="30"/>
      <c r="G125" s="30"/>
      <c r="H125" s="42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</row>
    <row r="126" ht="15.75" customHeight="1" spans="1:19">
      <c r="A126" s="28">
        <v>45870</v>
      </c>
      <c r="B126" s="29">
        <v>45870</v>
      </c>
      <c r="C126" s="30"/>
      <c r="D126" s="30"/>
      <c r="E126" s="30"/>
      <c r="F126" s="30"/>
      <c r="G126" s="30"/>
      <c r="H126" s="42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</row>
    <row r="127" ht="15.75" customHeight="1" spans="1:19">
      <c r="A127" s="28">
        <v>45871</v>
      </c>
      <c r="B127" s="29">
        <v>45871</v>
      </c>
      <c r="C127" s="30"/>
      <c r="D127" s="30"/>
      <c r="E127" s="30"/>
      <c r="F127" s="30"/>
      <c r="G127" s="30"/>
      <c r="H127" s="42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</row>
    <row r="128" ht="15.75" customHeight="1" spans="1:19">
      <c r="A128" s="28">
        <v>45872</v>
      </c>
      <c r="B128" s="29">
        <v>45872</v>
      </c>
      <c r="C128" s="30"/>
      <c r="D128" s="30"/>
      <c r="E128" s="30"/>
      <c r="F128" s="30"/>
      <c r="G128" s="30"/>
      <c r="H128" s="42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</row>
    <row r="129" ht="15.75" customHeight="1" spans="1:19">
      <c r="A129" s="28">
        <v>45873</v>
      </c>
      <c r="B129" s="29">
        <v>45873</v>
      </c>
      <c r="C129" s="30"/>
      <c r="D129" s="30"/>
      <c r="E129" s="30"/>
      <c r="F129" s="30"/>
      <c r="G129" s="30"/>
      <c r="H129" s="42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</row>
    <row r="130" ht="15.75" customHeight="1" spans="1:19">
      <c r="A130" s="28">
        <v>45874</v>
      </c>
      <c r="B130" s="29">
        <v>45874</v>
      </c>
      <c r="C130" s="30" t="s">
        <v>164</v>
      </c>
      <c r="D130" s="30" t="s">
        <v>161</v>
      </c>
      <c r="E130" s="90">
        <v>0.4375</v>
      </c>
      <c r="F130" s="90">
        <v>0.520833333333333</v>
      </c>
      <c r="G130" s="90">
        <f>F130-E130</f>
        <v>0.083333333333333</v>
      </c>
      <c r="H130" s="42">
        <v>2411</v>
      </c>
      <c r="I130" s="30"/>
      <c r="J130" s="30"/>
      <c r="K130" s="30"/>
      <c r="L130" s="30" t="s">
        <v>180</v>
      </c>
      <c r="M130" s="30" t="s">
        <v>181</v>
      </c>
      <c r="N130" s="30"/>
      <c r="O130" s="30"/>
      <c r="P130" s="30"/>
      <c r="Q130" s="30"/>
      <c r="R130" s="30"/>
      <c r="S130" s="30" t="s">
        <v>182</v>
      </c>
    </row>
    <row r="131" ht="15.75" customHeight="1" spans="1:19">
      <c r="A131" s="28">
        <v>45875</v>
      </c>
      <c r="B131" s="29">
        <v>45875</v>
      </c>
      <c r="C131" s="30"/>
      <c r="D131" s="30"/>
      <c r="E131" s="30"/>
      <c r="F131" s="30"/>
      <c r="G131" s="90">
        <f t="shared" ref="G131:G195" si="0">F131-E131</f>
        <v>0</v>
      </c>
      <c r="H131" s="42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</row>
    <row r="132" ht="15.75" customHeight="1" spans="1:19">
      <c r="A132" s="28">
        <v>45876</v>
      </c>
      <c r="B132" s="29">
        <v>45876</v>
      </c>
      <c r="C132" s="30"/>
      <c r="D132" s="30"/>
      <c r="E132" s="30"/>
      <c r="F132" s="30"/>
      <c r="G132" s="90">
        <f t="shared" si="0"/>
        <v>0</v>
      </c>
      <c r="H132" s="42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</row>
    <row r="133" ht="15.75" customHeight="1" spans="1:19">
      <c r="A133" s="28">
        <v>45877</v>
      </c>
      <c r="B133" s="29">
        <v>45877</v>
      </c>
      <c r="C133" s="30"/>
      <c r="D133" s="30"/>
      <c r="E133" s="30"/>
      <c r="F133" s="30"/>
      <c r="G133" s="90">
        <f t="shared" si="0"/>
        <v>0</v>
      </c>
      <c r="H133" s="42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</row>
    <row r="134" ht="15.75" customHeight="1" spans="1:19">
      <c r="A134" s="28">
        <v>45878</v>
      </c>
      <c r="B134" s="29">
        <v>45878</v>
      </c>
      <c r="C134" s="30"/>
      <c r="D134" s="30"/>
      <c r="E134" s="30"/>
      <c r="F134" s="30"/>
      <c r="G134" s="90">
        <f t="shared" si="0"/>
        <v>0</v>
      </c>
      <c r="H134" s="42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</row>
    <row r="135" ht="15.75" customHeight="1" spans="1:19">
      <c r="A135" s="28">
        <v>45879</v>
      </c>
      <c r="B135" s="29">
        <v>45879</v>
      </c>
      <c r="C135" s="30"/>
      <c r="D135" s="30"/>
      <c r="E135" s="30"/>
      <c r="F135" s="30"/>
      <c r="G135" s="90">
        <f t="shared" si="0"/>
        <v>0</v>
      </c>
      <c r="H135" s="42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</row>
    <row r="136" ht="15.75" customHeight="1" spans="1:19">
      <c r="A136" s="28">
        <v>45880</v>
      </c>
      <c r="B136" s="29">
        <v>45880</v>
      </c>
      <c r="C136" s="30" t="s">
        <v>164</v>
      </c>
      <c r="D136" s="30" t="s">
        <v>161</v>
      </c>
      <c r="E136" s="90">
        <v>0.510416666666667</v>
      </c>
      <c r="F136" s="90">
        <v>0.572916666666667</v>
      </c>
      <c r="G136" s="90">
        <f t="shared" si="0"/>
        <v>0.0625</v>
      </c>
      <c r="H136" s="42">
        <v>2411</v>
      </c>
      <c r="I136" s="30"/>
      <c r="J136" s="30"/>
      <c r="K136" s="30"/>
      <c r="L136" s="30" t="s">
        <v>180</v>
      </c>
      <c r="M136" s="30" t="s">
        <v>180</v>
      </c>
      <c r="N136" s="30"/>
      <c r="O136" s="30"/>
      <c r="P136" s="30"/>
      <c r="Q136" s="30"/>
      <c r="R136" s="30"/>
      <c r="S136" s="30" t="s">
        <v>182</v>
      </c>
    </row>
    <row r="137" ht="15.75" customHeight="1" spans="1:19">
      <c r="A137" s="28">
        <v>45881</v>
      </c>
      <c r="B137" s="29">
        <v>45880</v>
      </c>
      <c r="C137" s="30" t="s">
        <v>164</v>
      </c>
      <c r="D137" s="30" t="s">
        <v>161</v>
      </c>
      <c r="E137" s="90">
        <v>0.614583333333333</v>
      </c>
      <c r="F137" s="90">
        <v>0.65625</v>
      </c>
      <c r="G137" s="90">
        <f t="shared" si="0"/>
        <v>0.041666666666667</v>
      </c>
      <c r="H137" s="42">
        <v>2411</v>
      </c>
      <c r="I137" s="30"/>
      <c r="J137" s="30"/>
      <c r="K137" s="30"/>
      <c r="L137" s="30" t="s">
        <v>180</v>
      </c>
      <c r="M137" s="30" t="s">
        <v>180</v>
      </c>
      <c r="N137" s="30"/>
      <c r="O137" s="30"/>
      <c r="P137" s="30"/>
      <c r="Q137" s="30"/>
      <c r="R137" s="30"/>
      <c r="S137" s="30" t="s">
        <v>182</v>
      </c>
    </row>
    <row r="138" ht="15.75" customHeight="1" spans="1:19">
      <c r="A138" s="28">
        <v>45881</v>
      </c>
      <c r="B138" s="29">
        <v>45881</v>
      </c>
      <c r="D138" s="30"/>
      <c r="E138" s="30"/>
      <c r="F138" s="30"/>
      <c r="G138" s="30"/>
      <c r="H138" s="42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</row>
    <row r="139" ht="15.75" customHeight="1" spans="1:19">
      <c r="A139" s="28">
        <v>45882</v>
      </c>
      <c r="B139" s="29">
        <v>45882</v>
      </c>
      <c r="C139" s="30" t="s">
        <v>164</v>
      </c>
      <c r="D139" s="30" t="s">
        <v>161</v>
      </c>
      <c r="E139" s="90">
        <v>0.3125</v>
      </c>
      <c r="F139" s="90">
        <v>0.333333333333333</v>
      </c>
      <c r="G139" s="90">
        <f>F139-E139</f>
        <v>0.020833333333333</v>
      </c>
      <c r="H139" s="42">
        <v>2411</v>
      </c>
      <c r="I139" s="30"/>
      <c r="J139" s="30"/>
      <c r="K139" s="30"/>
      <c r="L139" s="30" t="s">
        <v>183</v>
      </c>
      <c r="M139" s="30" t="s">
        <v>184</v>
      </c>
      <c r="N139" s="30" t="s">
        <v>185</v>
      </c>
      <c r="O139" s="30"/>
      <c r="P139" s="30"/>
      <c r="Q139" s="30"/>
      <c r="R139" s="30"/>
      <c r="S139" s="30" t="s">
        <v>186</v>
      </c>
    </row>
    <row r="140" ht="15.75" customHeight="1" spans="1:19">
      <c r="A140" s="28">
        <v>45883</v>
      </c>
      <c r="B140" s="29">
        <v>45883</v>
      </c>
      <c r="C140" s="30"/>
      <c r="D140" s="30"/>
      <c r="E140" s="30"/>
      <c r="F140" s="30"/>
      <c r="G140" s="90">
        <f t="shared" si="0"/>
        <v>0</v>
      </c>
      <c r="H140" s="42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</row>
    <row r="141" ht="15.75" customHeight="1" spans="1:19">
      <c r="A141" s="28">
        <v>45884</v>
      </c>
      <c r="B141" s="29">
        <v>45884</v>
      </c>
      <c r="C141" s="30"/>
      <c r="D141" s="30"/>
      <c r="E141" s="30"/>
      <c r="F141" s="30"/>
      <c r="G141" s="90">
        <f t="shared" si="0"/>
        <v>0</v>
      </c>
      <c r="H141" s="42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</row>
    <row r="142" ht="15.75" customHeight="1" spans="1:19">
      <c r="A142" s="28">
        <v>45885</v>
      </c>
      <c r="B142" s="29">
        <v>45885</v>
      </c>
      <c r="C142" s="30"/>
      <c r="D142" s="30"/>
      <c r="E142" s="30"/>
      <c r="F142" s="30"/>
      <c r="G142" s="90">
        <f t="shared" si="0"/>
        <v>0</v>
      </c>
      <c r="H142" s="42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</row>
    <row r="143" ht="15.75" customHeight="1" spans="1:19">
      <c r="A143" s="28">
        <v>45886</v>
      </c>
      <c r="B143" s="29">
        <v>45886</v>
      </c>
      <c r="C143" s="30"/>
      <c r="D143" s="30"/>
      <c r="E143" s="30"/>
      <c r="F143" s="30"/>
      <c r="G143" s="90">
        <f t="shared" si="0"/>
        <v>0</v>
      </c>
      <c r="H143" s="42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</row>
    <row r="144" ht="15.75" customHeight="1" spans="1:19">
      <c r="A144" s="28">
        <v>45887</v>
      </c>
      <c r="B144" s="29">
        <v>45887</v>
      </c>
      <c r="C144" s="30"/>
      <c r="D144" s="30"/>
      <c r="E144" s="30"/>
      <c r="F144" s="30"/>
      <c r="G144" s="90">
        <f t="shared" si="0"/>
        <v>0</v>
      </c>
      <c r="H144" s="42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</row>
    <row r="145" ht="15.75" customHeight="1" spans="1:19">
      <c r="A145" s="28">
        <v>45888</v>
      </c>
      <c r="B145" s="29">
        <v>45888</v>
      </c>
      <c r="C145" s="30"/>
      <c r="D145" s="30"/>
      <c r="E145" s="30"/>
      <c r="F145" s="30"/>
      <c r="G145" s="90">
        <f t="shared" si="0"/>
        <v>0</v>
      </c>
      <c r="H145" s="42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</row>
    <row r="146" ht="15.75" customHeight="1" spans="1:19">
      <c r="A146" s="28">
        <v>45889</v>
      </c>
      <c r="B146" s="29">
        <v>45889</v>
      </c>
      <c r="C146" s="30"/>
      <c r="D146" s="30"/>
      <c r="E146" s="30"/>
      <c r="F146" s="30"/>
      <c r="G146" s="90">
        <f t="shared" si="0"/>
        <v>0</v>
      </c>
      <c r="H146" s="42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</row>
    <row r="147" ht="15.75" customHeight="1" spans="1:19">
      <c r="A147" s="28">
        <v>45890</v>
      </c>
      <c r="B147" s="29">
        <v>45890</v>
      </c>
      <c r="C147" s="30"/>
      <c r="D147" s="30"/>
      <c r="E147" s="30"/>
      <c r="F147" s="30"/>
      <c r="G147" s="90">
        <f t="shared" si="0"/>
        <v>0</v>
      </c>
      <c r="H147" s="42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</row>
    <row r="148" ht="15.75" customHeight="1" spans="1:19">
      <c r="A148" s="28">
        <v>45891</v>
      </c>
      <c r="B148" s="29">
        <v>45891</v>
      </c>
      <c r="C148" s="30"/>
      <c r="D148" s="30"/>
      <c r="E148" s="30"/>
      <c r="F148" s="30"/>
      <c r="G148" s="90">
        <f t="shared" si="0"/>
        <v>0</v>
      </c>
      <c r="H148" s="42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</row>
    <row r="149" ht="15.75" customHeight="1" spans="1:19">
      <c r="A149" s="28">
        <v>45892</v>
      </c>
      <c r="B149" s="29">
        <v>45892</v>
      </c>
      <c r="C149" s="30"/>
      <c r="D149" s="30"/>
      <c r="E149" s="30"/>
      <c r="F149" s="30"/>
      <c r="G149" s="90">
        <f t="shared" si="0"/>
        <v>0</v>
      </c>
      <c r="H149" s="42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</row>
    <row r="150" ht="15.75" customHeight="1" spans="1:19">
      <c r="A150" s="28">
        <v>45893</v>
      </c>
      <c r="B150" s="29">
        <v>45893</v>
      </c>
      <c r="C150" s="30"/>
      <c r="D150" s="30"/>
      <c r="E150" s="30"/>
      <c r="F150" s="30"/>
      <c r="G150" s="90">
        <f t="shared" si="0"/>
        <v>0</v>
      </c>
      <c r="H150" s="42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</row>
    <row r="151" ht="15.75" customHeight="1" spans="1:19">
      <c r="A151" s="28">
        <v>45894</v>
      </c>
      <c r="B151" s="29">
        <v>45894</v>
      </c>
      <c r="C151" s="30"/>
      <c r="D151" s="30"/>
      <c r="E151" s="30"/>
      <c r="F151" s="30"/>
      <c r="G151" s="90">
        <f t="shared" si="0"/>
        <v>0</v>
      </c>
      <c r="H151" s="42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</row>
    <row r="152" ht="15.75" customHeight="1" spans="1:19">
      <c r="A152" s="28">
        <v>45895</v>
      </c>
      <c r="B152" s="29">
        <v>45895</v>
      </c>
      <c r="C152" s="30"/>
      <c r="D152" s="30"/>
      <c r="E152" s="30"/>
      <c r="F152" s="30"/>
      <c r="G152" s="90">
        <f t="shared" si="0"/>
        <v>0</v>
      </c>
      <c r="H152" s="42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</row>
    <row r="153" ht="15.75" customHeight="1" spans="1:19">
      <c r="A153" s="28">
        <v>45896</v>
      </c>
      <c r="B153" s="29">
        <v>45896</v>
      </c>
      <c r="C153" s="30"/>
      <c r="D153" s="30"/>
      <c r="E153" s="30"/>
      <c r="F153" s="30"/>
      <c r="G153" s="90">
        <f t="shared" si="0"/>
        <v>0</v>
      </c>
      <c r="H153" s="42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</row>
    <row r="154" ht="15.75" customHeight="1" spans="1:19">
      <c r="A154" s="28">
        <v>45897</v>
      </c>
      <c r="B154" s="29">
        <v>45897</v>
      </c>
      <c r="C154" s="30"/>
      <c r="D154" s="30"/>
      <c r="E154" s="30"/>
      <c r="F154" s="30"/>
      <c r="G154" s="90">
        <f t="shared" si="0"/>
        <v>0</v>
      </c>
      <c r="H154" s="42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</row>
    <row r="155" ht="15.75" customHeight="1" spans="1:19">
      <c r="A155" s="28">
        <v>45898</v>
      </c>
      <c r="B155" s="29">
        <v>45898</v>
      </c>
      <c r="C155" s="30"/>
      <c r="D155" s="30"/>
      <c r="E155" s="30"/>
      <c r="F155" s="30"/>
      <c r="G155" s="90">
        <f t="shared" si="0"/>
        <v>0</v>
      </c>
      <c r="H155" s="42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</row>
    <row r="156" ht="15.75" customHeight="1" spans="1:19">
      <c r="A156" s="28">
        <v>45899</v>
      </c>
      <c r="B156" s="29">
        <v>45899</v>
      </c>
      <c r="C156" s="30"/>
      <c r="D156" s="30"/>
      <c r="E156" s="30"/>
      <c r="F156" s="30"/>
      <c r="G156" s="90">
        <f t="shared" si="0"/>
        <v>0</v>
      </c>
      <c r="H156" s="42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</row>
    <row r="157" ht="15.75" customHeight="1" spans="1:19">
      <c r="A157" s="28">
        <v>45900</v>
      </c>
      <c r="B157" s="29">
        <v>45900</v>
      </c>
      <c r="C157" s="30"/>
      <c r="D157" s="30"/>
      <c r="E157" s="30"/>
      <c r="F157" s="30"/>
      <c r="G157" s="90">
        <f t="shared" si="0"/>
        <v>0</v>
      </c>
      <c r="H157" s="42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</row>
    <row r="158" ht="15.75" customHeight="1" spans="1:19">
      <c r="A158" s="28">
        <v>45901</v>
      </c>
      <c r="B158" s="29">
        <v>45901</v>
      </c>
      <c r="C158" s="30"/>
      <c r="D158" s="30"/>
      <c r="E158" s="30"/>
      <c r="F158" s="30"/>
      <c r="G158" s="90">
        <f t="shared" si="0"/>
        <v>0</v>
      </c>
      <c r="H158" s="42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</row>
    <row r="159" ht="15.75" customHeight="1" spans="1:19">
      <c r="A159" s="28">
        <v>45902</v>
      </c>
      <c r="B159" s="29">
        <v>45902</v>
      </c>
      <c r="C159" s="30"/>
      <c r="D159" s="30"/>
      <c r="E159" s="30"/>
      <c r="F159" s="30"/>
      <c r="G159" s="90">
        <f t="shared" si="0"/>
        <v>0</v>
      </c>
      <c r="H159" s="42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</row>
    <row r="160" ht="15.75" customHeight="1" spans="1:19">
      <c r="A160" s="28">
        <v>45903</v>
      </c>
      <c r="B160" s="29">
        <v>45903</v>
      </c>
      <c r="C160" s="30"/>
      <c r="D160" s="30"/>
      <c r="E160" s="30"/>
      <c r="F160" s="30"/>
      <c r="G160" s="90">
        <f t="shared" si="0"/>
        <v>0</v>
      </c>
      <c r="H160" s="42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</row>
    <row r="161" ht="15.75" customHeight="1" spans="1:19">
      <c r="A161" s="28">
        <v>45904</v>
      </c>
      <c r="B161" s="29">
        <v>45904</v>
      </c>
      <c r="C161" s="30"/>
      <c r="D161" s="30"/>
      <c r="E161" s="30"/>
      <c r="F161" s="30"/>
      <c r="G161" s="90">
        <f t="shared" si="0"/>
        <v>0</v>
      </c>
      <c r="H161" s="42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</row>
    <row r="162" ht="15.75" customHeight="1" spans="1:19">
      <c r="A162" s="28">
        <v>45905</v>
      </c>
      <c r="B162" s="29">
        <v>45905</v>
      </c>
      <c r="C162" s="30"/>
      <c r="D162" s="30"/>
      <c r="E162" s="30"/>
      <c r="F162" s="30"/>
      <c r="G162" s="90">
        <f t="shared" si="0"/>
        <v>0</v>
      </c>
      <c r="H162" s="42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</row>
    <row r="163" ht="15.75" customHeight="1" spans="1:19">
      <c r="A163" s="28">
        <v>45906</v>
      </c>
      <c r="B163" s="29">
        <v>45906</v>
      </c>
      <c r="C163" s="30"/>
      <c r="D163" s="30"/>
      <c r="E163" s="30"/>
      <c r="F163" s="30"/>
      <c r="G163" s="90">
        <f t="shared" si="0"/>
        <v>0</v>
      </c>
      <c r="H163" s="42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</row>
    <row r="164" ht="15.75" customHeight="1" spans="1:19">
      <c r="A164" s="28">
        <v>45907</v>
      </c>
      <c r="B164" s="29">
        <v>45907</v>
      </c>
      <c r="C164" s="30"/>
      <c r="D164" s="30"/>
      <c r="E164" s="30"/>
      <c r="F164" s="30"/>
      <c r="G164" s="90">
        <f t="shared" si="0"/>
        <v>0</v>
      </c>
      <c r="H164" s="42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</row>
    <row r="165" ht="15.75" customHeight="1" spans="1:19">
      <c r="A165" s="28">
        <v>45908</v>
      </c>
      <c r="B165" s="29">
        <v>45908</v>
      </c>
      <c r="C165" s="30"/>
      <c r="D165" s="30"/>
      <c r="E165" s="30"/>
      <c r="F165" s="30"/>
      <c r="G165" s="90">
        <f t="shared" si="0"/>
        <v>0</v>
      </c>
      <c r="H165" s="42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</row>
    <row r="166" ht="15.75" customHeight="1" spans="1:19">
      <c r="A166" s="28">
        <v>45909</v>
      </c>
      <c r="B166" s="29">
        <v>45909</v>
      </c>
      <c r="C166" s="30"/>
      <c r="D166" s="30"/>
      <c r="E166" s="30"/>
      <c r="F166" s="30"/>
      <c r="G166" s="90">
        <f t="shared" si="0"/>
        <v>0</v>
      </c>
      <c r="H166" s="42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</row>
    <row r="167" ht="15.75" customHeight="1" spans="1:19">
      <c r="A167" s="28">
        <v>45910</v>
      </c>
      <c r="B167" s="29">
        <v>45910</v>
      </c>
      <c r="C167" s="30"/>
      <c r="D167" s="30"/>
      <c r="E167" s="30"/>
      <c r="F167" s="30"/>
      <c r="G167" s="90">
        <f t="shared" si="0"/>
        <v>0</v>
      </c>
      <c r="H167" s="42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</row>
    <row r="168" ht="15.75" customHeight="1" spans="1:19">
      <c r="A168" s="28">
        <v>45911</v>
      </c>
      <c r="B168" s="29">
        <v>45911</v>
      </c>
      <c r="C168" s="30"/>
      <c r="D168" s="30"/>
      <c r="E168" s="30"/>
      <c r="F168" s="30"/>
      <c r="G168" s="90">
        <f t="shared" si="0"/>
        <v>0</v>
      </c>
      <c r="H168" s="42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</row>
    <row r="169" ht="15.75" customHeight="1" spans="1:19">
      <c r="A169" s="28">
        <v>45912</v>
      </c>
      <c r="B169" s="29">
        <v>45912</v>
      </c>
      <c r="C169" s="30"/>
      <c r="D169" s="30"/>
      <c r="E169" s="30"/>
      <c r="F169" s="30"/>
      <c r="G169" s="90">
        <f t="shared" si="0"/>
        <v>0</v>
      </c>
      <c r="H169" s="42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</row>
    <row r="170" ht="15.75" customHeight="1" spans="1:19">
      <c r="A170" s="28">
        <v>45913</v>
      </c>
      <c r="B170" s="29">
        <v>45913</v>
      </c>
      <c r="C170" s="30"/>
      <c r="D170" s="30"/>
      <c r="E170" s="30"/>
      <c r="F170" s="30"/>
      <c r="G170" s="90">
        <f t="shared" si="0"/>
        <v>0</v>
      </c>
      <c r="H170" s="42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</row>
    <row r="171" ht="15.75" customHeight="1" spans="1:19">
      <c r="A171" s="28">
        <v>45914</v>
      </c>
      <c r="B171" s="29">
        <v>45914</v>
      </c>
      <c r="C171" s="30"/>
      <c r="D171" s="30"/>
      <c r="E171" s="30"/>
      <c r="F171" s="30"/>
      <c r="G171" s="90">
        <f t="shared" si="0"/>
        <v>0</v>
      </c>
      <c r="H171" s="42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</row>
    <row r="172" ht="15.75" customHeight="1" spans="1:19">
      <c r="A172" s="28">
        <v>45915</v>
      </c>
      <c r="B172" s="29">
        <v>45915</v>
      </c>
      <c r="C172" s="30"/>
      <c r="D172" s="30"/>
      <c r="E172" s="30"/>
      <c r="F172" s="30"/>
      <c r="G172" s="90">
        <f t="shared" si="0"/>
        <v>0</v>
      </c>
      <c r="H172" s="42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</row>
    <row r="173" ht="15.75" customHeight="1" spans="1:19">
      <c r="A173" s="28">
        <v>45916</v>
      </c>
      <c r="B173" s="29">
        <v>45916</v>
      </c>
      <c r="C173" s="30"/>
      <c r="D173" s="30"/>
      <c r="E173" s="30"/>
      <c r="F173" s="30"/>
      <c r="G173" s="90">
        <f t="shared" si="0"/>
        <v>0</v>
      </c>
      <c r="H173" s="42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</row>
    <row r="174" ht="15.75" customHeight="1" spans="1:19">
      <c r="A174" s="28">
        <v>45917</v>
      </c>
      <c r="B174" s="29">
        <v>45917</v>
      </c>
      <c r="C174" s="30" t="s">
        <v>164</v>
      </c>
      <c r="D174" s="30" t="s">
        <v>164</v>
      </c>
      <c r="E174" s="90">
        <v>0.3125</v>
      </c>
      <c r="F174" s="90">
        <v>0.5</v>
      </c>
      <c r="G174" s="90">
        <f t="shared" si="0"/>
        <v>0.1875</v>
      </c>
      <c r="H174" s="42">
        <v>2411</v>
      </c>
      <c r="I174" s="30"/>
      <c r="J174" s="30"/>
      <c r="K174" s="30"/>
      <c r="L174" s="30" t="s">
        <v>173</v>
      </c>
      <c r="M174" s="30" t="s">
        <v>187</v>
      </c>
      <c r="N174" s="30" t="s">
        <v>187</v>
      </c>
      <c r="O174" s="30"/>
      <c r="P174" s="30"/>
      <c r="Q174" s="30"/>
      <c r="R174" s="30"/>
      <c r="S174" s="30" t="s">
        <v>173</v>
      </c>
    </row>
    <row r="175" ht="15.75" customHeight="1" spans="1:19">
      <c r="A175" s="28">
        <v>45918</v>
      </c>
      <c r="B175" s="29">
        <v>45918</v>
      </c>
      <c r="C175" s="30"/>
      <c r="D175" s="30"/>
      <c r="E175" s="30"/>
      <c r="F175" s="30"/>
      <c r="G175" s="90">
        <f t="shared" si="0"/>
        <v>0</v>
      </c>
      <c r="H175" s="42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</row>
    <row r="176" ht="15.75" customHeight="1" spans="1:19">
      <c r="A176" s="28">
        <v>45919</v>
      </c>
      <c r="B176" s="29">
        <v>45919</v>
      </c>
      <c r="C176" s="30"/>
      <c r="D176" s="30"/>
      <c r="E176" s="30"/>
      <c r="F176" s="30"/>
      <c r="G176" s="90">
        <f t="shared" si="0"/>
        <v>0</v>
      </c>
      <c r="H176" s="42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</row>
    <row r="177" ht="15.75" customHeight="1" spans="1:19">
      <c r="A177" s="28">
        <v>45920</v>
      </c>
      <c r="B177" s="29">
        <v>45920</v>
      </c>
      <c r="C177" s="30"/>
      <c r="D177" s="30"/>
      <c r="E177" s="30"/>
      <c r="F177" s="30"/>
      <c r="G177" s="90">
        <f t="shared" si="0"/>
        <v>0</v>
      </c>
      <c r="H177" s="42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</row>
    <row r="178" ht="15.75" customHeight="1" spans="1:19">
      <c r="A178" s="28">
        <v>45921</v>
      </c>
      <c r="B178" s="29">
        <v>45921</v>
      </c>
      <c r="C178" s="30"/>
      <c r="D178" s="30"/>
      <c r="E178" s="30"/>
      <c r="F178" s="30"/>
      <c r="G178" s="90">
        <f t="shared" si="0"/>
        <v>0</v>
      </c>
      <c r="H178" s="42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</row>
    <row r="179" ht="15.75" customHeight="1" spans="1:19">
      <c r="A179" s="28">
        <v>45922</v>
      </c>
      <c r="B179" s="29">
        <v>45922</v>
      </c>
      <c r="C179" s="30"/>
      <c r="D179" s="30"/>
      <c r="E179" s="30"/>
      <c r="F179" s="30"/>
      <c r="G179" s="90">
        <f t="shared" si="0"/>
        <v>0</v>
      </c>
      <c r="H179" s="42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</row>
    <row r="180" ht="15.75" customHeight="1" spans="1:19">
      <c r="A180" s="28">
        <v>45923</v>
      </c>
      <c r="B180" s="29">
        <v>45923</v>
      </c>
      <c r="C180" s="30"/>
      <c r="D180" s="30"/>
      <c r="E180" s="30"/>
      <c r="F180" s="30"/>
      <c r="G180" s="90">
        <f t="shared" si="0"/>
        <v>0</v>
      </c>
      <c r="H180" s="42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</row>
    <row r="181" ht="15.75" customHeight="1" spans="1:19">
      <c r="A181" s="28">
        <v>45924</v>
      </c>
      <c r="B181" s="29">
        <v>45924</v>
      </c>
      <c r="C181" s="30"/>
      <c r="D181" s="30"/>
      <c r="E181" s="30"/>
      <c r="F181" s="30"/>
      <c r="G181" s="90">
        <f t="shared" si="0"/>
        <v>0</v>
      </c>
      <c r="H181" s="42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</row>
    <row r="182" ht="15.75" customHeight="1" spans="1:19">
      <c r="A182" s="28">
        <v>45925</v>
      </c>
      <c r="B182" s="29">
        <v>45925</v>
      </c>
      <c r="C182" s="30"/>
      <c r="D182" s="30"/>
      <c r="E182" s="30"/>
      <c r="F182" s="30"/>
      <c r="G182" s="90">
        <f t="shared" si="0"/>
        <v>0</v>
      </c>
      <c r="H182" s="42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</row>
    <row r="183" ht="15.75" customHeight="1" spans="1:19">
      <c r="A183" s="28">
        <v>45926</v>
      </c>
      <c r="B183" s="29">
        <v>45926</v>
      </c>
      <c r="C183" s="30"/>
      <c r="D183" s="30"/>
      <c r="E183" s="30"/>
      <c r="F183" s="30"/>
      <c r="G183" s="90">
        <f t="shared" si="0"/>
        <v>0</v>
      </c>
      <c r="H183" s="42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</row>
    <row r="184" ht="15.75" customHeight="1" spans="1:19">
      <c r="A184" s="28">
        <v>45927</v>
      </c>
      <c r="B184" s="29">
        <v>45927</v>
      </c>
      <c r="C184" s="30"/>
      <c r="D184" s="30"/>
      <c r="E184" s="30"/>
      <c r="F184" s="30"/>
      <c r="G184" s="90">
        <f t="shared" si="0"/>
        <v>0</v>
      </c>
      <c r="H184" s="42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</row>
    <row r="185" ht="15.75" customHeight="1" spans="1:19">
      <c r="A185" s="28">
        <v>45928</v>
      </c>
      <c r="B185" s="29">
        <v>45928</v>
      </c>
      <c r="C185" s="30"/>
      <c r="D185" s="30"/>
      <c r="E185" s="30"/>
      <c r="F185" s="30"/>
      <c r="G185" s="90">
        <f t="shared" si="0"/>
        <v>0</v>
      </c>
      <c r="H185" s="42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</row>
    <row r="186" ht="15.75" customHeight="1" spans="1:19">
      <c r="A186" s="28">
        <v>45929</v>
      </c>
      <c r="B186" s="29">
        <v>45929</v>
      </c>
      <c r="C186" s="30"/>
      <c r="D186" s="30"/>
      <c r="E186" s="30"/>
      <c r="F186" s="30"/>
      <c r="G186" s="90">
        <f t="shared" si="0"/>
        <v>0</v>
      </c>
      <c r="H186" s="42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</row>
    <row r="187" ht="15.75" customHeight="1" spans="1:19">
      <c r="A187" s="28">
        <v>45930</v>
      </c>
      <c r="B187" s="29">
        <v>45930</v>
      </c>
      <c r="C187" s="30"/>
      <c r="D187" s="30"/>
      <c r="E187" s="30"/>
      <c r="F187" s="30"/>
      <c r="G187" s="90">
        <f t="shared" si="0"/>
        <v>0</v>
      </c>
      <c r="H187" s="42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</row>
    <row r="188" ht="15.75" customHeight="1" spans="1:19">
      <c r="A188" s="28">
        <v>45931</v>
      </c>
      <c r="B188" s="29">
        <v>45931</v>
      </c>
      <c r="C188" s="30"/>
      <c r="D188" s="30"/>
      <c r="E188" s="30"/>
      <c r="F188" s="30"/>
      <c r="G188" s="90">
        <f t="shared" si="0"/>
        <v>0</v>
      </c>
      <c r="H188" s="42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</row>
    <row r="189" ht="15.75" customHeight="1" spans="1:19">
      <c r="A189" s="28">
        <v>45932</v>
      </c>
      <c r="B189" s="29">
        <v>45932</v>
      </c>
      <c r="C189" s="30"/>
      <c r="D189" s="30"/>
      <c r="E189" s="30"/>
      <c r="F189" s="30"/>
      <c r="G189" s="90">
        <f t="shared" si="0"/>
        <v>0</v>
      </c>
      <c r="H189" s="42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</row>
    <row r="190" ht="15.75" customHeight="1" spans="1:19">
      <c r="A190" s="28">
        <v>45933</v>
      </c>
      <c r="B190" s="29">
        <v>45933</v>
      </c>
      <c r="C190" s="30"/>
      <c r="D190" s="30"/>
      <c r="E190" s="30"/>
      <c r="F190" s="30"/>
      <c r="G190" s="90">
        <f t="shared" si="0"/>
        <v>0</v>
      </c>
      <c r="H190" s="42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</row>
    <row r="191" ht="15.75" customHeight="1" spans="1:19">
      <c r="A191" s="28">
        <v>45934</v>
      </c>
      <c r="B191" s="29">
        <v>45934</v>
      </c>
      <c r="C191" s="30"/>
      <c r="D191" s="30"/>
      <c r="E191" s="30"/>
      <c r="F191" s="30"/>
      <c r="G191" s="90">
        <f t="shared" si="0"/>
        <v>0</v>
      </c>
      <c r="H191" s="42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</row>
    <row r="192" ht="15.75" customHeight="1" spans="1:19">
      <c r="A192" s="28">
        <v>45935</v>
      </c>
      <c r="B192" s="29">
        <v>45935</v>
      </c>
      <c r="C192" s="30"/>
      <c r="D192" s="30"/>
      <c r="E192" s="30"/>
      <c r="F192" s="30"/>
      <c r="G192" s="90">
        <f t="shared" si="0"/>
        <v>0</v>
      </c>
      <c r="H192" s="42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</row>
    <row r="193" ht="15.75" customHeight="1" spans="1:19">
      <c r="A193" s="28">
        <v>45936</v>
      </c>
      <c r="B193" s="29">
        <v>45936</v>
      </c>
      <c r="C193" s="30"/>
      <c r="D193" s="30"/>
      <c r="E193" s="30"/>
      <c r="F193" s="30"/>
      <c r="G193" s="90">
        <f t="shared" si="0"/>
        <v>0</v>
      </c>
      <c r="H193" s="42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</row>
    <row r="194" ht="15.75" customHeight="1" spans="1:19">
      <c r="A194" s="28">
        <v>45937</v>
      </c>
      <c r="B194" s="29">
        <v>45937</v>
      </c>
      <c r="C194" s="30"/>
      <c r="D194" s="30"/>
      <c r="E194" s="30"/>
      <c r="F194" s="30"/>
      <c r="G194" s="90">
        <f t="shared" si="0"/>
        <v>0</v>
      </c>
      <c r="H194" s="42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</row>
    <row r="195" ht="15.75" customHeight="1" spans="1:19">
      <c r="A195" s="28">
        <v>45938</v>
      </c>
      <c r="B195" s="29">
        <v>45938</v>
      </c>
      <c r="C195" s="30"/>
      <c r="D195" s="30"/>
      <c r="E195" s="30"/>
      <c r="F195" s="30"/>
      <c r="G195" s="90">
        <f t="shared" si="0"/>
        <v>0</v>
      </c>
      <c r="H195" s="42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</row>
    <row r="196" ht="15.75" customHeight="1" spans="1:19">
      <c r="A196" s="28">
        <v>45939</v>
      </c>
      <c r="B196" s="29">
        <v>45939</v>
      </c>
      <c r="C196" s="30"/>
      <c r="D196" s="30"/>
      <c r="E196" s="30"/>
      <c r="F196" s="30"/>
      <c r="G196" s="90">
        <f t="shared" ref="G196:G259" si="1">F196-E196</f>
        <v>0</v>
      </c>
      <c r="H196" s="42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</row>
    <row r="197" ht="15.75" customHeight="1" spans="1:19">
      <c r="A197" s="28">
        <v>45940</v>
      </c>
      <c r="B197" s="29">
        <v>45940</v>
      </c>
      <c r="C197" s="30"/>
      <c r="D197" s="30"/>
      <c r="E197" s="30"/>
      <c r="F197" s="30"/>
      <c r="G197" s="90">
        <f t="shared" si="1"/>
        <v>0</v>
      </c>
      <c r="H197" s="42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</row>
    <row r="198" ht="15.75" customHeight="1" spans="1:19">
      <c r="A198" s="28">
        <v>45941</v>
      </c>
      <c r="B198" s="29">
        <v>45941</v>
      </c>
      <c r="C198" s="30" t="s">
        <v>164</v>
      </c>
      <c r="D198" s="30" t="s">
        <v>161</v>
      </c>
      <c r="E198" s="90">
        <v>0.53125</v>
      </c>
      <c r="F198" s="90">
        <v>0.604166666666667</v>
      </c>
      <c r="G198" s="90">
        <f t="shared" si="1"/>
        <v>0.072916666666667</v>
      </c>
      <c r="H198" s="42">
        <v>2411</v>
      </c>
      <c r="I198" s="30"/>
      <c r="J198" s="30"/>
      <c r="K198" s="30"/>
      <c r="L198" s="30" t="s">
        <v>188</v>
      </c>
      <c r="M198" s="30" t="s">
        <v>189</v>
      </c>
      <c r="N198" s="30"/>
      <c r="O198" s="30"/>
      <c r="P198" s="30"/>
      <c r="Q198" s="30"/>
      <c r="R198" s="30"/>
      <c r="S198" s="30" t="s">
        <v>178</v>
      </c>
    </row>
    <row r="199" ht="15.75" customHeight="1" spans="1:19">
      <c r="A199" s="28">
        <v>45942</v>
      </c>
      <c r="B199" s="29">
        <v>45942</v>
      </c>
      <c r="C199" s="30"/>
      <c r="D199" s="30"/>
      <c r="E199" s="30"/>
      <c r="F199" s="30"/>
      <c r="G199" s="90">
        <f t="shared" si="1"/>
        <v>0</v>
      </c>
      <c r="H199" s="42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</row>
    <row r="200" ht="15.75" customHeight="1" spans="1:19">
      <c r="A200" s="28">
        <v>45943</v>
      </c>
      <c r="B200" s="29">
        <v>45943</v>
      </c>
      <c r="C200" s="30"/>
      <c r="D200" s="30"/>
      <c r="E200" s="30"/>
      <c r="F200" s="30"/>
      <c r="G200" s="90">
        <f t="shared" si="1"/>
        <v>0</v>
      </c>
      <c r="H200" s="42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</row>
    <row r="201" ht="15.75" customHeight="1" spans="1:19">
      <c r="A201" s="28">
        <v>45944</v>
      </c>
      <c r="B201" s="29">
        <v>45944</v>
      </c>
      <c r="C201" s="30"/>
      <c r="D201" s="30"/>
      <c r="E201" s="30"/>
      <c r="F201" s="30"/>
      <c r="G201" s="90">
        <f t="shared" si="1"/>
        <v>0</v>
      </c>
      <c r="H201" s="42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</row>
    <row r="202" ht="15.75" customHeight="1" spans="1:19">
      <c r="A202" s="28">
        <v>45945</v>
      </c>
      <c r="B202" s="29">
        <v>45945</v>
      </c>
      <c r="C202" s="30"/>
      <c r="D202" s="30"/>
      <c r="E202" s="30"/>
      <c r="F202" s="30"/>
      <c r="G202" s="90">
        <f t="shared" si="1"/>
        <v>0</v>
      </c>
      <c r="H202" s="42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</row>
    <row r="203" ht="15.75" customHeight="1" spans="1:19">
      <c r="A203" s="28">
        <v>45946</v>
      </c>
      <c r="B203" s="29">
        <v>45946</v>
      </c>
      <c r="C203" s="30"/>
      <c r="D203" s="30"/>
      <c r="E203" s="30"/>
      <c r="F203" s="30"/>
      <c r="G203" s="90">
        <f t="shared" si="1"/>
        <v>0</v>
      </c>
      <c r="H203" s="42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</row>
    <row r="204" ht="15.75" customHeight="1" spans="1:19">
      <c r="A204" s="28">
        <v>45947</v>
      </c>
      <c r="B204" s="29">
        <v>45947</v>
      </c>
      <c r="C204" s="30"/>
      <c r="D204" s="30"/>
      <c r="E204" s="30"/>
      <c r="F204" s="30"/>
      <c r="G204" s="90">
        <f t="shared" si="1"/>
        <v>0</v>
      </c>
      <c r="H204" s="42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</row>
    <row r="205" ht="15.75" customHeight="1" spans="1:19">
      <c r="A205" s="28">
        <v>45948</v>
      </c>
      <c r="B205" s="29">
        <v>45948</v>
      </c>
      <c r="C205" s="30"/>
      <c r="D205" s="30"/>
      <c r="E205" s="30"/>
      <c r="F205" s="30"/>
      <c r="G205" s="90">
        <f t="shared" si="1"/>
        <v>0</v>
      </c>
      <c r="H205" s="42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</row>
    <row r="206" ht="15.75" customHeight="1" spans="1:19">
      <c r="A206" s="28">
        <v>45949</v>
      </c>
      <c r="B206" s="29">
        <v>45949</v>
      </c>
      <c r="C206" s="30"/>
      <c r="D206" s="30"/>
      <c r="E206" s="30"/>
      <c r="F206" s="30"/>
      <c r="G206" s="90">
        <f t="shared" si="1"/>
        <v>0</v>
      </c>
      <c r="H206" s="42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</row>
    <row r="207" ht="15.75" customHeight="1" spans="1:19">
      <c r="A207" s="28">
        <v>45950</v>
      </c>
      <c r="B207" s="29">
        <v>45950</v>
      </c>
      <c r="C207" s="30"/>
      <c r="D207" s="30"/>
      <c r="E207" s="30"/>
      <c r="F207" s="30"/>
      <c r="G207" s="90">
        <f t="shared" si="1"/>
        <v>0</v>
      </c>
      <c r="H207" s="42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</row>
    <row r="208" ht="15.75" customHeight="1" spans="1:19">
      <c r="A208" s="28">
        <v>45951</v>
      </c>
      <c r="B208" s="29">
        <v>45951</v>
      </c>
      <c r="C208" s="30"/>
      <c r="D208" s="30"/>
      <c r="E208" s="30"/>
      <c r="F208" s="30"/>
      <c r="G208" s="90">
        <f t="shared" si="1"/>
        <v>0</v>
      </c>
      <c r="H208" s="42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</row>
    <row r="209" ht="15.75" customHeight="1" spans="1:19">
      <c r="A209" s="28">
        <v>45952</v>
      </c>
      <c r="B209" s="29">
        <v>45952</v>
      </c>
      <c r="C209" s="30"/>
      <c r="D209" s="30"/>
      <c r="E209" s="30"/>
      <c r="F209" s="30"/>
      <c r="G209" s="90">
        <f t="shared" si="1"/>
        <v>0</v>
      </c>
      <c r="H209" s="42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</row>
    <row r="210" ht="15.75" customHeight="1" spans="1:19">
      <c r="A210" s="28">
        <v>45953</v>
      </c>
      <c r="B210" s="29">
        <v>45953</v>
      </c>
      <c r="C210" s="30"/>
      <c r="D210" s="30"/>
      <c r="E210" s="30"/>
      <c r="F210" s="30"/>
      <c r="G210" s="90">
        <f t="shared" si="1"/>
        <v>0</v>
      </c>
      <c r="H210" s="42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</row>
    <row r="211" ht="15.75" customHeight="1" spans="1:19">
      <c r="A211" s="28">
        <v>45954</v>
      </c>
      <c r="B211" s="29">
        <v>45954</v>
      </c>
      <c r="C211" s="30"/>
      <c r="D211" s="30"/>
      <c r="E211" s="30"/>
      <c r="F211" s="30"/>
      <c r="G211" s="90">
        <f t="shared" si="1"/>
        <v>0</v>
      </c>
      <c r="H211" s="42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</row>
    <row r="212" ht="15.75" customHeight="1" spans="1:19">
      <c r="A212" s="28">
        <v>45955</v>
      </c>
      <c r="B212" s="29">
        <v>45955</v>
      </c>
      <c r="C212" s="30"/>
      <c r="D212" s="30"/>
      <c r="E212" s="30"/>
      <c r="F212" s="30"/>
      <c r="G212" s="90">
        <f t="shared" si="1"/>
        <v>0</v>
      </c>
      <c r="H212" s="42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</row>
    <row r="213" ht="15.75" customHeight="1" spans="1:19">
      <c r="A213" s="28">
        <v>45956</v>
      </c>
      <c r="B213" s="29">
        <v>45956</v>
      </c>
      <c r="C213" s="30"/>
      <c r="D213" s="30"/>
      <c r="E213" s="30"/>
      <c r="F213" s="30"/>
      <c r="G213" s="90">
        <f t="shared" si="1"/>
        <v>0</v>
      </c>
      <c r="H213" s="42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</row>
    <row r="214" ht="15.75" customHeight="1" spans="1:19">
      <c r="A214" s="28">
        <v>45957</v>
      </c>
      <c r="B214" s="29">
        <v>45957</v>
      </c>
      <c r="C214" s="30"/>
      <c r="D214" s="30"/>
      <c r="E214" s="30"/>
      <c r="F214" s="30"/>
      <c r="G214" s="90">
        <f t="shared" si="1"/>
        <v>0</v>
      </c>
      <c r="H214" s="42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</row>
    <row r="215" ht="15.75" customHeight="1" spans="1:19">
      <c r="A215" s="28">
        <v>45958</v>
      </c>
      <c r="B215" s="29">
        <v>45958</v>
      </c>
      <c r="C215" s="30"/>
      <c r="D215" s="30"/>
      <c r="E215" s="30"/>
      <c r="F215" s="30"/>
      <c r="G215" s="90">
        <f t="shared" si="1"/>
        <v>0</v>
      </c>
      <c r="H215" s="42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</row>
    <row r="216" ht="15.75" customHeight="1" spans="1:19">
      <c r="A216" s="28">
        <v>45959</v>
      </c>
      <c r="B216" s="29">
        <v>45959</v>
      </c>
      <c r="C216" s="30"/>
      <c r="D216" s="30"/>
      <c r="E216" s="30"/>
      <c r="F216" s="30"/>
      <c r="G216" s="90">
        <f t="shared" si="1"/>
        <v>0</v>
      </c>
      <c r="H216" s="42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</row>
    <row r="217" ht="15.75" customHeight="1" spans="1:19">
      <c r="A217" s="28">
        <v>45960</v>
      </c>
      <c r="B217" s="29">
        <v>45960</v>
      </c>
      <c r="C217" s="30"/>
      <c r="D217" s="30"/>
      <c r="E217" s="30"/>
      <c r="F217" s="30"/>
      <c r="G217" s="90">
        <f t="shared" si="1"/>
        <v>0</v>
      </c>
      <c r="H217" s="42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</row>
    <row r="218" ht="15.75" customHeight="1" spans="1:19">
      <c r="A218" s="28">
        <v>45961</v>
      </c>
      <c r="B218" s="29">
        <v>45961</v>
      </c>
      <c r="C218" s="30"/>
      <c r="D218" s="30"/>
      <c r="E218" s="30"/>
      <c r="F218" s="30"/>
      <c r="G218" s="90">
        <f t="shared" si="1"/>
        <v>0</v>
      </c>
      <c r="H218" s="42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</row>
    <row r="219" ht="15.75" customHeight="1" spans="1:19">
      <c r="A219" s="28">
        <v>45962</v>
      </c>
      <c r="B219" s="29">
        <v>45962</v>
      </c>
      <c r="C219" s="30"/>
      <c r="D219" s="30"/>
      <c r="E219" s="30"/>
      <c r="F219" s="30"/>
      <c r="G219" s="90">
        <f t="shared" si="1"/>
        <v>0</v>
      </c>
      <c r="H219" s="42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</row>
    <row r="220" ht="15.75" customHeight="1" spans="1:19">
      <c r="A220" s="28">
        <v>45963</v>
      </c>
      <c r="B220" s="29">
        <v>45963</v>
      </c>
      <c r="C220" s="30"/>
      <c r="D220" s="30"/>
      <c r="E220" s="30"/>
      <c r="F220" s="30"/>
      <c r="G220" s="90">
        <f t="shared" si="1"/>
        <v>0</v>
      </c>
      <c r="H220" s="42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</row>
    <row r="221" ht="15.75" customHeight="1" spans="1:19">
      <c r="A221" s="28">
        <v>45964</v>
      </c>
      <c r="B221" s="29">
        <v>45964</v>
      </c>
      <c r="C221" s="30"/>
      <c r="D221" s="30"/>
      <c r="E221" s="30"/>
      <c r="F221" s="30"/>
      <c r="G221" s="90">
        <f t="shared" si="1"/>
        <v>0</v>
      </c>
      <c r="H221" s="42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</row>
    <row r="222" ht="15.75" customHeight="1" spans="1:19">
      <c r="A222" s="28">
        <v>45965</v>
      </c>
      <c r="B222" s="29">
        <v>45965</v>
      </c>
      <c r="C222" s="30"/>
      <c r="D222" s="30"/>
      <c r="E222" s="30"/>
      <c r="F222" s="30"/>
      <c r="G222" s="90">
        <f t="shared" si="1"/>
        <v>0</v>
      </c>
      <c r="H222" s="42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</row>
    <row r="223" ht="15.75" customHeight="1" spans="1:19">
      <c r="A223" s="28">
        <v>45966</v>
      </c>
      <c r="B223" s="29">
        <v>45966</v>
      </c>
      <c r="C223" s="30"/>
      <c r="D223" s="30"/>
      <c r="E223" s="30"/>
      <c r="F223" s="30"/>
      <c r="G223" s="90">
        <f t="shared" si="1"/>
        <v>0</v>
      </c>
      <c r="H223" s="42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</row>
    <row r="224" ht="15.75" customHeight="1" spans="1:19">
      <c r="A224" s="28">
        <v>45967</v>
      </c>
      <c r="B224" s="29">
        <v>45967</v>
      </c>
      <c r="C224" s="30"/>
      <c r="D224" s="30"/>
      <c r="E224" s="30"/>
      <c r="F224" s="30"/>
      <c r="G224" s="90">
        <f t="shared" si="1"/>
        <v>0</v>
      </c>
      <c r="H224" s="42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</row>
    <row r="225" ht="15.75" customHeight="1" spans="1:19">
      <c r="A225" s="28">
        <v>45968</v>
      </c>
      <c r="B225" s="29">
        <v>45968</v>
      </c>
      <c r="C225" s="30"/>
      <c r="D225" s="30"/>
      <c r="E225" s="30"/>
      <c r="F225" s="30"/>
      <c r="G225" s="90">
        <f t="shared" si="1"/>
        <v>0</v>
      </c>
      <c r="H225" s="42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</row>
    <row r="226" ht="15.75" customHeight="1" spans="1:19">
      <c r="A226" s="28">
        <v>45969</v>
      </c>
      <c r="B226" s="29">
        <v>45969</v>
      </c>
      <c r="C226" s="30"/>
      <c r="D226" s="30"/>
      <c r="E226" s="30"/>
      <c r="F226" s="30"/>
      <c r="G226" s="90">
        <f t="shared" si="1"/>
        <v>0</v>
      </c>
      <c r="H226" s="42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</row>
    <row r="227" ht="15.75" customHeight="1" spans="1:19">
      <c r="A227" s="28">
        <v>45970</v>
      </c>
      <c r="B227" s="29">
        <v>45970</v>
      </c>
      <c r="C227" s="30"/>
      <c r="D227" s="30"/>
      <c r="E227" s="30"/>
      <c r="F227" s="30"/>
      <c r="G227" s="90">
        <f t="shared" si="1"/>
        <v>0</v>
      </c>
      <c r="H227" s="42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</row>
    <row r="228" ht="15.75" customHeight="1" spans="1:19">
      <c r="A228" s="28">
        <v>45971</v>
      </c>
      <c r="B228" s="29">
        <v>45971</v>
      </c>
      <c r="C228" s="30"/>
      <c r="D228" s="30"/>
      <c r="E228" s="30"/>
      <c r="F228" s="30"/>
      <c r="G228" s="90">
        <f t="shared" si="1"/>
        <v>0</v>
      </c>
      <c r="H228" s="42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</row>
    <row r="229" ht="15.75" customHeight="1" spans="1:19">
      <c r="A229" s="28">
        <v>45972</v>
      </c>
      <c r="B229" s="29">
        <v>45972</v>
      </c>
      <c r="C229" s="30" t="s">
        <v>164</v>
      </c>
      <c r="D229" s="30" t="s">
        <v>161</v>
      </c>
      <c r="E229" s="90">
        <v>0.5</v>
      </c>
      <c r="F229" s="90">
        <v>0.565972222222222</v>
      </c>
      <c r="G229" s="90">
        <f t="shared" si="1"/>
        <v>0.065972222222222</v>
      </c>
      <c r="H229" s="42">
        <v>2411</v>
      </c>
      <c r="I229" s="30"/>
      <c r="J229" s="30"/>
      <c r="K229" s="30"/>
      <c r="L229" s="30" t="s">
        <v>190</v>
      </c>
      <c r="M229" s="30" t="s">
        <v>191</v>
      </c>
      <c r="N229" s="30"/>
      <c r="O229" s="30"/>
      <c r="P229" s="30"/>
      <c r="Q229" s="30"/>
      <c r="R229" s="30"/>
      <c r="S229" s="30" t="s">
        <v>178</v>
      </c>
    </row>
    <row r="230" ht="15.75" customHeight="1" spans="1:19">
      <c r="A230" s="28">
        <v>45973</v>
      </c>
      <c r="B230" s="29">
        <v>45973</v>
      </c>
      <c r="C230" s="30"/>
      <c r="D230" s="30"/>
      <c r="E230" s="30"/>
      <c r="F230" s="30"/>
      <c r="G230" s="90">
        <f t="shared" si="1"/>
        <v>0</v>
      </c>
      <c r="H230" s="42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</row>
    <row r="231" ht="15.75" customHeight="1" spans="1:19">
      <c r="A231" s="28">
        <v>45974</v>
      </c>
      <c r="B231" s="29">
        <v>45974</v>
      </c>
      <c r="C231" s="30"/>
      <c r="D231" s="30"/>
      <c r="E231" s="30"/>
      <c r="F231" s="30"/>
      <c r="G231" s="90">
        <f t="shared" si="1"/>
        <v>0</v>
      </c>
      <c r="H231" s="42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</row>
    <row r="232" ht="15.75" customHeight="1" spans="1:19">
      <c r="A232" s="28">
        <v>45975</v>
      </c>
      <c r="B232" s="29">
        <v>45975</v>
      </c>
      <c r="C232" s="30"/>
      <c r="D232" s="30"/>
      <c r="E232" s="30"/>
      <c r="F232" s="30"/>
      <c r="G232" s="90">
        <f t="shared" si="1"/>
        <v>0</v>
      </c>
      <c r="H232" s="42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</row>
    <row r="233" ht="15.75" customHeight="1" spans="1:19">
      <c r="A233" s="28">
        <v>45976</v>
      </c>
      <c r="B233" s="29">
        <v>45976</v>
      </c>
      <c r="C233" s="30"/>
      <c r="D233" s="30"/>
      <c r="E233" s="30"/>
      <c r="F233" s="30"/>
      <c r="G233" s="90">
        <f t="shared" si="1"/>
        <v>0</v>
      </c>
      <c r="H233" s="42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</row>
    <row r="234" ht="15.75" customHeight="1" spans="1:19">
      <c r="A234" s="28">
        <v>45977</v>
      </c>
      <c r="B234" s="29">
        <v>45977</v>
      </c>
      <c r="C234" s="30"/>
      <c r="D234" s="30"/>
      <c r="E234" s="30"/>
      <c r="F234" s="30"/>
      <c r="G234" s="90">
        <f t="shared" si="1"/>
        <v>0</v>
      </c>
      <c r="H234" s="42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</row>
    <row r="235" ht="15.75" customHeight="1" spans="1:19">
      <c r="A235" s="28">
        <v>45978</v>
      </c>
      <c r="B235" s="29">
        <v>45978</v>
      </c>
      <c r="C235" s="30"/>
      <c r="D235" s="30"/>
      <c r="E235" s="30"/>
      <c r="F235" s="30"/>
      <c r="G235" s="90">
        <f t="shared" si="1"/>
        <v>0</v>
      </c>
      <c r="H235" s="42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</row>
    <row r="236" ht="15.75" customHeight="1" spans="1:19">
      <c r="A236" s="28">
        <v>45979</v>
      </c>
      <c r="B236" s="29">
        <v>45979</v>
      </c>
      <c r="C236" s="30"/>
      <c r="D236" s="30"/>
      <c r="E236" s="30"/>
      <c r="F236" s="30"/>
      <c r="G236" s="90">
        <f t="shared" si="1"/>
        <v>0</v>
      </c>
      <c r="H236" s="42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</row>
    <row r="237" ht="15.75" customHeight="1" spans="1:19">
      <c r="A237" s="28">
        <v>45980</v>
      </c>
      <c r="B237" s="29">
        <v>45980</v>
      </c>
      <c r="C237" s="30"/>
      <c r="D237" s="30"/>
      <c r="E237" s="30"/>
      <c r="F237" s="30"/>
      <c r="G237" s="90">
        <f t="shared" si="1"/>
        <v>0</v>
      </c>
      <c r="H237" s="42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</row>
    <row r="238" ht="15.75" customHeight="1" spans="1:19">
      <c r="A238" s="28">
        <v>45981</v>
      </c>
      <c r="B238" s="29">
        <v>45981</v>
      </c>
      <c r="C238" s="30"/>
      <c r="D238" s="30"/>
      <c r="E238" s="30"/>
      <c r="F238" s="30"/>
      <c r="G238" s="90">
        <f t="shared" si="1"/>
        <v>0</v>
      </c>
      <c r="H238" s="42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</row>
    <row r="239" ht="15.75" customHeight="1" spans="1:19">
      <c r="A239" s="28">
        <v>45982</v>
      </c>
      <c r="B239" s="29">
        <v>45982</v>
      </c>
      <c r="D239" s="30"/>
      <c r="E239" s="30"/>
      <c r="F239" s="30"/>
      <c r="G239" s="90">
        <f t="shared" si="1"/>
        <v>0</v>
      </c>
      <c r="H239" s="42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</row>
    <row r="240" ht="15.75" customHeight="1" spans="1:19">
      <c r="A240" s="28">
        <v>45983</v>
      </c>
      <c r="B240" s="29">
        <v>45983</v>
      </c>
      <c r="C240" s="30"/>
      <c r="D240" s="30"/>
      <c r="E240" s="30"/>
      <c r="F240" s="30"/>
      <c r="G240" s="90">
        <f t="shared" si="1"/>
        <v>0</v>
      </c>
      <c r="H240" s="42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</row>
    <row r="241" ht="15.75" customHeight="1" spans="1:19">
      <c r="A241" s="28">
        <v>45984</v>
      </c>
      <c r="B241" s="29">
        <v>45984</v>
      </c>
      <c r="C241" s="30"/>
      <c r="D241" s="30"/>
      <c r="E241" s="30"/>
      <c r="F241" s="30"/>
      <c r="G241" s="90">
        <f t="shared" si="1"/>
        <v>0</v>
      </c>
      <c r="H241" s="42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</row>
    <row r="242" ht="15.75" customHeight="1" spans="1:19">
      <c r="A242" s="28">
        <v>45985</v>
      </c>
      <c r="B242" s="29">
        <v>45985</v>
      </c>
      <c r="C242" s="30"/>
      <c r="D242" s="30"/>
      <c r="E242" s="30"/>
      <c r="F242" s="30"/>
      <c r="G242" s="90">
        <f t="shared" si="1"/>
        <v>0</v>
      </c>
      <c r="H242" s="42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</row>
    <row r="243" ht="15.75" customHeight="1" spans="1:19">
      <c r="A243" s="28">
        <v>45986</v>
      </c>
      <c r="B243" s="29">
        <v>45986</v>
      </c>
      <c r="C243" s="30"/>
      <c r="D243" s="30"/>
      <c r="E243" s="30"/>
      <c r="F243" s="30"/>
      <c r="G243" s="90">
        <f t="shared" si="1"/>
        <v>0</v>
      </c>
      <c r="H243" s="42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</row>
    <row r="244" ht="15.75" customHeight="1" spans="1:19">
      <c r="A244" s="28">
        <v>45987</v>
      </c>
      <c r="B244" s="29">
        <v>45987</v>
      </c>
      <c r="C244" s="30"/>
      <c r="D244" s="30"/>
      <c r="E244" s="30"/>
      <c r="F244" s="30"/>
      <c r="G244" s="90">
        <f t="shared" si="1"/>
        <v>0</v>
      </c>
      <c r="H244" s="42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</row>
    <row r="245" ht="15.75" customHeight="1" spans="1:19">
      <c r="A245" s="28">
        <v>45988</v>
      </c>
      <c r="B245" s="29">
        <v>45988</v>
      </c>
      <c r="C245" s="30"/>
      <c r="D245" s="30"/>
      <c r="E245" s="30"/>
      <c r="F245" s="30"/>
      <c r="G245" s="90">
        <f t="shared" si="1"/>
        <v>0</v>
      </c>
      <c r="H245" s="42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</row>
    <row r="246" ht="15.75" customHeight="1" spans="1:19">
      <c r="A246" s="28">
        <v>45989</v>
      </c>
      <c r="B246" s="29">
        <v>45989</v>
      </c>
      <c r="C246" s="30"/>
      <c r="D246" s="30"/>
      <c r="E246" s="30"/>
      <c r="F246" s="30"/>
      <c r="G246" s="90">
        <f t="shared" si="1"/>
        <v>0</v>
      </c>
      <c r="H246" s="42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</row>
    <row r="247" ht="15.75" customHeight="1" spans="1:19">
      <c r="A247" s="28">
        <v>45990</v>
      </c>
      <c r="B247" s="29">
        <v>45990</v>
      </c>
      <c r="C247" s="30"/>
      <c r="D247" s="30"/>
      <c r="E247" s="30"/>
      <c r="F247" s="30"/>
      <c r="G247" s="90">
        <f t="shared" si="1"/>
        <v>0</v>
      </c>
      <c r="H247" s="42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</row>
    <row r="248" ht="15.75" customHeight="1" spans="1:19">
      <c r="A248" s="28">
        <v>45991</v>
      </c>
      <c r="B248" s="29">
        <v>45991</v>
      </c>
      <c r="C248" s="30"/>
      <c r="D248" s="30"/>
      <c r="E248" s="30"/>
      <c r="F248" s="30"/>
      <c r="G248" s="90">
        <f t="shared" si="1"/>
        <v>0</v>
      </c>
      <c r="H248" s="42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</row>
    <row r="249" ht="15.75" customHeight="1" spans="1:19">
      <c r="A249" s="28">
        <v>45992</v>
      </c>
      <c r="B249" s="29">
        <v>45992</v>
      </c>
      <c r="C249" s="30"/>
      <c r="D249" s="30"/>
      <c r="E249" s="30"/>
      <c r="F249" s="30"/>
      <c r="G249" s="90">
        <f t="shared" si="1"/>
        <v>0</v>
      </c>
      <c r="H249" s="42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</row>
    <row r="250" ht="15.75" customHeight="1" spans="1:19">
      <c r="A250" s="28">
        <v>45993</v>
      </c>
      <c r="B250" s="29">
        <v>45993</v>
      </c>
      <c r="C250" s="30"/>
      <c r="D250" s="30"/>
      <c r="E250" s="30"/>
      <c r="F250" s="30"/>
      <c r="G250" s="90">
        <f t="shared" si="1"/>
        <v>0</v>
      </c>
      <c r="H250" s="42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</row>
    <row r="251" ht="15.75" customHeight="1" spans="1:19">
      <c r="A251" s="28">
        <v>45994</v>
      </c>
      <c r="B251" s="29">
        <v>45994</v>
      </c>
      <c r="C251" s="30"/>
      <c r="D251" s="30"/>
      <c r="E251" s="30"/>
      <c r="F251" s="30"/>
      <c r="G251" s="90">
        <f t="shared" si="1"/>
        <v>0</v>
      </c>
      <c r="H251" s="42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</row>
    <row r="252" ht="15.75" customHeight="1" spans="1:19">
      <c r="A252" s="28">
        <v>45995</v>
      </c>
      <c r="B252" s="29">
        <v>45995</v>
      </c>
      <c r="C252" s="30"/>
      <c r="D252" s="30"/>
      <c r="E252" s="30"/>
      <c r="F252" s="30"/>
      <c r="G252" s="90">
        <f t="shared" si="1"/>
        <v>0</v>
      </c>
      <c r="H252" s="42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</row>
    <row r="253" ht="15.75" customHeight="1" spans="1:19">
      <c r="A253" s="28">
        <v>45996</v>
      </c>
      <c r="B253" s="29">
        <v>45996</v>
      </c>
      <c r="C253" s="30"/>
      <c r="D253" s="30"/>
      <c r="E253" s="30"/>
      <c r="F253" s="30"/>
      <c r="G253" s="90">
        <f t="shared" si="1"/>
        <v>0</v>
      </c>
      <c r="H253" s="42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</row>
    <row r="254" ht="15.75" customHeight="1" spans="1:19">
      <c r="A254" s="28">
        <v>45997</v>
      </c>
      <c r="B254" s="29">
        <v>45997</v>
      </c>
      <c r="C254" s="30"/>
      <c r="D254" s="30"/>
      <c r="E254" s="30"/>
      <c r="F254" s="30"/>
      <c r="G254" s="90">
        <f t="shared" si="1"/>
        <v>0</v>
      </c>
      <c r="H254" s="42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</row>
    <row r="255" ht="15.75" customHeight="1" spans="1:19">
      <c r="A255" s="28">
        <v>45998</v>
      </c>
      <c r="B255" s="29">
        <v>45998</v>
      </c>
      <c r="C255" s="30"/>
      <c r="D255" s="30"/>
      <c r="E255" s="30"/>
      <c r="F255" s="30"/>
      <c r="G255" s="90">
        <f t="shared" si="1"/>
        <v>0</v>
      </c>
      <c r="H255" s="42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</row>
    <row r="256" ht="15.75" customHeight="1" spans="1:19">
      <c r="A256" s="28">
        <v>45999</v>
      </c>
      <c r="B256" s="29">
        <v>45999</v>
      </c>
      <c r="C256" s="30"/>
      <c r="D256" s="30"/>
      <c r="E256" s="30"/>
      <c r="F256" s="30"/>
      <c r="G256" s="90">
        <f t="shared" si="1"/>
        <v>0</v>
      </c>
      <c r="H256" s="42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</row>
    <row r="257" ht="15.75" customHeight="1" spans="1:19">
      <c r="A257" s="28">
        <v>46000</v>
      </c>
      <c r="B257" s="29">
        <v>46000</v>
      </c>
      <c r="C257" s="30"/>
      <c r="D257" s="30"/>
      <c r="E257" s="30"/>
      <c r="F257" s="30"/>
      <c r="G257" s="90">
        <f t="shared" si="1"/>
        <v>0</v>
      </c>
      <c r="H257" s="42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</row>
    <row r="258" ht="15.75" customHeight="1" spans="1:19">
      <c r="A258" s="28">
        <v>46001</v>
      </c>
      <c r="B258" s="29">
        <v>46001</v>
      </c>
      <c r="C258" s="30"/>
      <c r="D258" s="30"/>
      <c r="E258" s="30"/>
      <c r="F258" s="30"/>
      <c r="G258" s="90">
        <f t="shared" si="1"/>
        <v>0</v>
      </c>
      <c r="H258" s="42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</row>
    <row r="259" ht="15.75" customHeight="1" spans="1:19">
      <c r="A259" s="28">
        <v>46002</v>
      </c>
      <c r="B259" s="29">
        <v>46002</v>
      </c>
      <c r="C259" s="30"/>
      <c r="D259" s="30"/>
      <c r="E259" s="30"/>
      <c r="F259" s="30"/>
      <c r="G259" s="90">
        <f t="shared" si="1"/>
        <v>0</v>
      </c>
      <c r="H259" s="42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</row>
    <row r="260" ht="15.75" customHeight="1" spans="1:19">
      <c r="A260" s="28">
        <v>46003</v>
      </c>
      <c r="B260" s="29">
        <v>46003</v>
      </c>
      <c r="C260" s="30"/>
      <c r="D260" s="30"/>
      <c r="E260" s="30"/>
      <c r="F260" s="30"/>
      <c r="G260" s="90">
        <f t="shared" ref="G260:G324" si="2">F260-E260</f>
        <v>0</v>
      </c>
      <c r="H260" s="42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</row>
    <row r="261" ht="15.75" customHeight="1" spans="1:19">
      <c r="A261" s="28">
        <v>46004</v>
      </c>
      <c r="B261" s="29">
        <v>46004</v>
      </c>
      <c r="C261" s="30"/>
      <c r="D261" s="30"/>
      <c r="E261" s="30"/>
      <c r="F261" s="30"/>
      <c r="G261" s="90">
        <f t="shared" si="2"/>
        <v>0</v>
      </c>
      <c r="H261" s="42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</row>
    <row r="262" ht="15.75" customHeight="1" spans="1:19">
      <c r="A262" s="28">
        <v>46005</v>
      </c>
      <c r="B262" s="29">
        <v>46005</v>
      </c>
      <c r="C262" s="30"/>
      <c r="D262" s="30"/>
      <c r="E262" s="30"/>
      <c r="F262" s="30"/>
      <c r="G262" s="90">
        <f t="shared" si="2"/>
        <v>0</v>
      </c>
      <c r="H262" s="42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</row>
    <row r="263" ht="15.75" customHeight="1" spans="1:19">
      <c r="A263" s="28">
        <v>46006</v>
      </c>
      <c r="B263" s="29">
        <v>46006</v>
      </c>
      <c r="C263" s="30"/>
      <c r="D263" s="30"/>
      <c r="E263" s="30"/>
      <c r="F263" s="30"/>
      <c r="G263" s="90">
        <f t="shared" si="2"/>
        <v>0</v>
      </c>
      <c r="H263" s="42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</row>
    <row r="264" ht="15.75" customHeight="1" spans="1:19">
      <c r="A264" s="28">
        <v>46007</v>
      </c>
      <c r="B264" s="29">
        <v>46007</v>
      </c>
      <c r="C264" s="30"/>
      <c r="D264" s="30"/>
      <c r="E264" s="30"/>
      <c r="F264" s="30"/>
      <c r="G264" s="90">
        <f t="shared" si="2"/>
        <v>0</v>
      </c>
      <c r="H264" s="42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</row>
    <row r="265" ht="15.75" customHeight="1" spans="1:19">
      <c r="A265" s="28">
        <v>46008</v>
      </c>
      <c r="B265" s="29">
        <v>46008</v>
      </c>
      <c r="C265" s="30"/>
      <c r="D265" s="30"/>
      <c r="E265" s="30"/>
      <c r="F265" s="30"/>
      <c r="G265" s="90">
        <f t="shared" si="2"/>
        <v>0</v>
      </c>
      <c r="H265" s="42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</row>
    <row r="266" ht="15.75" customHeight="1" spans="1:19">
      <c r="A266" s="28">
        <v>46009</v>
      </c>
      <c r="B266" s="29">
        <v>46009</v>
      </c>
      <c r="C266" s="30"/>
      <c r="D266" s="30"/>
      <c r="E266" s="30"/>
      <c r="F266" s="30"/>
      <c r="G266" s="90">
        <f t="shared" si="2"/>
        <v>0</v>
      </c>
      <c r="H266" s="42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</row>
    <row r="267" ht="15.75" customHeight="1" spans="1:19">
      <c r="A267" s="28">
        <v>46010</v>
      </c>
      <c r="B267" s="29">
        <v>46010</v>
      </c>
      <c r="C267" s="30"/>
      <c r="D267" s="30"/>
      <c r="E267" s="30"/>
      <c r="F267" s="30"/>
      <c r="G267" s="90">
        <f t="shared" si="2"/>
        <v>0</v>
      </c>
      <c r="H267" s="42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</row>
    <row r="268" ht="15.75" customHeight="1" spans="1:19">
      <c r="A268" s="28">
        <v>46011</v>
      </c>
      <c r="B268" s="29">
        <v>46011</v>
      </c>
      <c r="C268" s="30"/>
      <c r="D268" s="30"/>
      <c r="E268" s="30"/>
      <c r="F268" s="30"/>
      <c r="G268" s="90">
        <f t="shared" si="2"/>
        <v>0</v>
      </c>
      <c r="H268" s="42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</row>
    <row r="269" ht="15.75" customHeight="1" spans="1:19">
      <c r="A269" s="28">
        <v>46012</v>
      </c>
      <c r="B269" s="29">
        <v>46012</v>
      </c>
      <c r="C269" s="30" t="s">
        <v>164</v>
      </c>
      <c r="D269" s="30" t="s">
        <v>164</v>
      </c>
      <c r="E269" s="90">
        <v>0.472222222222222</v>
      </c>
      <c r="F269" s="90">
        <v>0.53125</v>
      </c>
      <c r="G269" s="90">
        <f t="shared" si="2"/>
        <v>0.059027777777778</v>
      </c>
      <c r="H269" s="42">
        <v>2411</v>
      </c>
      <c r="I269" s="30"/>
      <c r="J269" s="30"/>
      <c r="K269" s="30"/>
      <c r="L269" s="30" t="s">
        <v>192</v>
      </c>
      <c r="M269" s="30"/>
      <c r="N269" s="30"/>
      <c r="O269" s="30"/>
      <c r="P269" s="30"/>
      <c r="Q269" s="30"/>
      <c r="R269" s="30"/>
      <c r="S269" s="30"/>
    </row>
    <row r="270" ht="15.75" customHeight="1" spans="1:19">
      <c r="A270" s="28">
        <v>46013</v>
      </c>
      <c r="B270" s="29">
        <v>46013</v>
      </c>
      <c r="C270" s="30"/>
      <c r="D270" s="30"/>
      <c r="E270" s="30"/>
      <c r="F270" s="30"/>
      <c r="G270" s="90">
        <f t="shared" si="2"/>
        <v>0</v>
      </c>
      <c r="H270" s="42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</row>
    <row r="271" ht="15.75" customHeight="1" spans="1:19">
      <c r="A271" s="28">
        <v>46014</v>
      </c>
      <c r="B271" s="29">
        <v>46014</v>
      </c>
      <c r="C271" s="30"/>
      <c r="D271" s="30"/>
      <c r="E271" s="30"/>
      <c r="F271" s="30"/>
      <c r="G271" s="90">
        <f t="shared" si="2"/>
        <v>0</v>
      </c>
      <c r="H271" s="42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</row>
    <row r="272" ht="15.75" customHeight="1" spans="1:19">
      <c r="A272" s="28">
        <v>46015</v>
      </c>
      <c r="B272" s="29">
        <v>46015</v>
      </c>
      <c r="C272" s="30"/>
      <c r="D272" s="30"/>
      <c r="E272" s="30"/>
      <c r="F272" s="30"/>
      <c r="G272" s="90">
        <f t="shared" si="2"/>
        <v>0</v>
      </c>
      <c r="H272" s="42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</row>
    <row r="273" ht="15.75" customHeight="1" spans="1:19">
      <c r="A273" s="28">
        <v>46016</v>
      </c>
      <c r="B273" s="29">
        <v>46016</v>
      </c>
      <c r="C273" s="30"/>
      <c r="D273" s="30"/>
      <c r="E273" s="30"/>
      <c r="F273" s="30"/>
      <c r="G273" s="90">
        <f t="shared" si="2"/>
        <v>0</v>
      </c>
      <c r="H273" s="42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</row>
    <row r="274" ht="15.75" customHeight="1" spans="1:19">
      <c r="A274" s="28">
        <v>46017</v>
      </c>
      <c r="B274" s="29">
        <v>46017</v>
      </c>
      <c r="C274" s="30"/>
      <c r="D274" s="30"/>
      <c r="E274" s="30"/>
      <c r="F274" s="30"/>
      <c r="G274" s="90">
        <f t="shared" si="2"/>
        <v>0</v>
      </c>
      <c r="H274" s="42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</row>
    <row r="275" ht="15.75" customHeight="1" spans="1:19">
      <c r="A275" s="28">
        <v>46018</v>
      </c>
      <c r="B275" s="29">
        <v>46018</v>
      </c>
      <c r="C275" s="30"/>
      <c r="D275" s="30"/>
      <c r="E275" s="30"/>
      <c r="F275" s="30"/>
      <c r="G275" s="90">
        <f t="shared" si="2"/>
        <v>0</v>
      </c>
      <c r="H275" s="42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</row>
    <row r="276" ht="15.75" customHeight="1" spans="1:19">
      <c r="A276" s="28">
        <v>46019</v>
      </c>
      <c r="B276" s="29">
        <v>46019</v>
      </c>
      <c r="C276" s="30"/>
      <c r="D276" s="30"/>
      <c r="E276" s="30"/>
      <c r="F276" s="30"/>
      <c r="G276" s="90">
        <f t="shared" si="2"/>
        <v>0</v>
      </c>
      <c r="H276" s="42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</row>
    <row r="277" ht="15.75" customHeight="1" spans="1:19">
      <c r="A277" s="28">
        <v>46020</v>
      </c>
      <c r="B277" s="29">
        <v>46020</v>
      </c>
      <c r="C277" s="30" t="s">
        <v>164</v>
      </c>
      <c r="D277" s="30" t="s">
        <v>164</v>
      </c>
      <c r="E277" s="90">
        <v>0.534722222222222</v>
      </c>
      <c r="F277" s="90">
        <v>0.538194444444444</v>
      </c>
      <c r="G277" s="90">
        <f t="shared" si="2"/>
        <v>0.00347222222222199</v>
      </c>
      <c r="H277" s="42">
        <v>2411</v>
      </c>
      <c r="I277" s="30"/>
      <c r="J277" s="30"/>
      <c r="K277" s="30"/>
      <c r="L277" s="30" t="s">
        <v>193</v>
      </c>
      <c r="M277" s="30"/>
      <c r="N277" s="30"/>
      <c r="O277" s="30"/>
      <c r="P277" s="30"/>
      <c r="Q277" s="30"/>
      <c r="R277" s="30"/>
      <c r="S277" s="30"/>
    </row>
    <row r="278" ht="15.75" customHeight="1" spans="1:19">
      <c r="A278" s="28">
        <v>46021</v>
      </c>
      <c r="B278" s="29">
        <v>46021</v>
      </c>
      <c r="C278" s="30"/>
      <c r="D278" s="30"/>
      <c r="E278" s="30"/>
      <c r="F278" s="30"/>
      <c r="G278" s="90">
        <f t="shared" si="2"/>
        <v>0</v>
      </c>
      <c r="H278" s="42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</row>
    <row r="279" ht="15.75" customHeight="1" spans="1:19">
      <c r="A279" s="28">
        <v>46022</v>
      </c>
      <c r="B279" s="29">
        <v>46022</v>
      </c>
      <c r="C279" s="30"/>
      <c r="D279" s="30"/>
      <c r="E279" s="30"/>
      <c r="F279" s="30"/>
      <c r="G279" s="90">
        <f t="shared" si="2"/>
        <v>0</v>
      </c>
      <c r="H279" s="42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</row>
    <row r="280" ht="15.75" customHeight="1" spans="1:19">
      <c r="A280" s="28">
        <v>46023</v>
      </c>
      <c r="B280" s="29">
        <v>46023</v>
      </c>
      <c r="C280" s="30"/>
      <c r="D280" s="30"/>
      <c r="E280" s="30"/>
      <c r="F280" s="30"/>
      <c r="G280" s="90">
        <f t="shared" si="2"/>
        <v>0</v>
      </c>
      <c r="H280" s="42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</row>
    <row r="281" ht="15.75" customHeight="1" spans="1:19">
      <c r="A281" s="28">
        <v>46024</v>
      </c>
      <c r="B281" s="29">
        <v>46024</v>
      </c>
      <c r="C281" s="30"/>
      <c r="D281" s="30"/>
      <c r="E281" s="30"/>
      <c r="F281" s="30"/>
      <c r="G281" s="90">
        <f t="shared" si="2"/>
        <v>0</v>
      </c>
      <c r="H281" s="42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</row>
    <row r="282" ht="15.75" customHeight="1" spans="1:19">
      <c r="A282" s="28">
        <v>46025</v>
      </c>
      <c r="B282" s="29">
        <v>46025</v>
      </c>
      <c r="C282" s="30"/>
      <c r="D282" s="30"/>
      <c r="E282" s="30"/>
      <c r="F282" s="30"/>
      <c r="G282" s="90">
        <f t="shared" si="2"/>
        <v>0</v>
      </c>
      <c r="H282" s="42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</row>
    <row r="283" ht="15.75" customHeight="1" spans="1:19">
      <c r="A283" s="28">
        <v>46026</v>
      </c>
      <c r="B283" s="29">
        <v>46026</v>
      </c>
      <c r="C283" s="30" t="s">
        <v>164</v>
      </c>
      <c r="D283" s="30" t="s">
        <v>164</v>
      </c>
      <c r="E283" s="90">
        <v>0.496527777777778</v>
      </c>
      <c r="F283" s="90">
        <v>0.509027777777778</v>
      </c>
      <c r="G283" s="90">
        <f t="shared" si="2"/>
        <v>0.0125</v>
      </c>
      <c r="H283" s="42">
        <v>2411</v>
      </c>
      <c r="I283" s="30"/>
      <c r="J283" s="30"/>
      <c r="K283" s="30"/>
      <c r="L283" s="30" t="s">
        <v>194</v>
      </c>
      <c r="M283" s="30"/>
      <c r="N283" s="30"/>
      <c r="O283" s="30"/>
      <c r="P283" s="30"/>
      <c r="Q283" s="30"/>
      <c r="R283" s="30"/>
      <c r="S283" s="30"/>
    </row>
    <row r="284" ht="15.75" customHeight="1" spans="1:19">
      <c r="A284" s="28">
        <v>46027</v>
      </c>
      <c r="B284" s="29">
        <v>46027</v>
      </c>
      <c r="C284" s="30"/>
      <c r="D284" s="30"/>
      <c r="E284" s="30"/>
      <c r="F284" s="30"/>
      <c r="G284" s="90">
        <f t="shared" si="2"/>
        <v>0</v>
      </c>
      <c r="H284" s="42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</row>
    <row r="285" ht="15.75" customHeight="1" spans="1:19">
      <c r="A285" s="28">
        <v>46028</v>
      </c>
      <c r="B285" s="29">
        <v>46028</v>
      </c>
      <c r="C285" s="30" t="s">
        <v>164</v>
      </c>
      <c r="D285" s="30" t="s">
        <v>164</v>
      </c>
      <c r="E285" s="90">
        <v>0.616666666666667</v>
      </c>
      <c r="F285" s="90">
        <v>0.631944444444444</v>
      </c>
      <c r="G285" s="90">
        <f t="shared" si="2"/>
        <v>0.0152777777777769</v>
      </c>
      <c r="H285" s="42">
        <v>2411</v>
      </c>
      <c r="I285" s="30"/>
      <c r="J285" s="30"/>
      <c r="K285" s="30"/>
      <c r="L285" s="30" t="s">
        <v>194</v>
      </c>
      <c r="M285" s="30"/>
      <c r="N285" s="30"/>
      <c r="O285" s="30"/>
      <c r="P285" s="30"/>
      <c r="Q285" s="30"/>
      <c r="R285" s="30"/>
      <c r="S285" s="30"/>
    </row>
    <row r="286" ht="15.75" customHeight="1" spans="1:19">
      <c r="A286" s="28">
        <v>46029</v>
      </c>
      <c r="B286" s="29">
        <v>46029</v>
      </c>
      <c r="C286" s="30"/>
      <c r="D286" s="30"/>
      <c r="E286" s="30"/>
      <c r="F286" s="30"/>
      <c r="G286" s="90">
        <f t="shared" si="2"/>
        <v>0</v>
      </c>
      <c r="H286" s="42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</row>
    <row r="287" ht="15.75" customHeight="1" spans="1:19">
      <c r="A287" s="28">
        <v>46030</v>
      </c>
      <c r="B287" s="29">
        <v>46030</v>
      </c>
      <c r="C287" s="30"/>
      <c r="D287" s="30"/>
      <c r="E287" s="30"/>
      <c r="F287" s="30"/>
      <c r="G287" s="90">
        <f t="shared" si="2"/>
        <v>0</v>
      </c>
      <c r="H287" s="42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</row>
    <row r="288" ht="15.75" customHeight="1" spans="1:19">
      <c r="A288" s="28">
        <v>46031</v>
      </c>
      <c r="B288" s="29">
        <v>46031</v>
      </c>
      <c r="C288" s="30" t="s">
        <v>164</v>
      </c>
      <c r="D288" s="30" t="s">
        <v>161</v>
      </c>
      <c r="E288" s="90">
        <v>0.489583333333333</v>
      </c>
      <c r="F288" s="90">
        <v>0.522916666666667</v>
      </c>
      <c r="G288" s="90">
        <v>0.0333333333333333</v>
      </c>
      <c r="H288" s="42">
        <v>2411</v>
      </c>
      <c r="I288" s="30"/>
      <c r="J288" s="30"/>
      <c r="K288" s="30"/>
      <c r="L288" s="30" t="s">
        <v>195</v>
      </c>
      <c r="M288" s="30" t="s">
        <v>196</v>
      </c>
      <c r="N288" s="30" t="s">
        <v>197</v>
      </c>
      <c r="O288" s="30"/>
      <c r="P288" s="30"/>
      <c r="Q288" s="30"/>
      <c r="R288" s="30"/>
      <c r="S288" s="30"/>
    </row>
    <row r="289" ht="15.75" customHeight="1" spans="1:19">
      <c r="A289" s="28">
        <v>46032</v>
      </c>
      <c r="B289" s="29">
        <v>46032</v>
      </c>
      <c r="C289" s="30"/>
      <c r="D289" s="30"/>
      <c r="E289" s="30"/>
      <c r="F289" s="30"/>
      <c r="G289" s="90">
        <f t="shared" si="2"/>
        <v>0</v>
      </c>
      <c r="H289" s="42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</row>
    <row r="290" ht="15.75" customHeight="1" spans="1:19">
      <c r="A290" s="28">
        <v>46033</v>
      </c>
      <c r="B290" s="29">
        <v>46033</v>
      </c>
      <c r="C290" s="30"/>
      <c r="D290" s="30"/>
      <c r="E290" s="30"/>
      <c r="F290" s="30"/>
      <c r="G290" s="90">
        <f t="shared" si="2"/>
        <v>0</v>
      </c>
      <c r="H290" s="42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</row>
    <row r="291" ht="15.75" customHeight="1" spans="1:19">
      <c r="A291" s="28">
        <v>46034</v>
      </c>
      <c r="B291" s="29">
        <v>46034</v>
      </c>
      <c r="C291" s="30"/>
      <c r="D291" s="30"/>
      <c r="E291" s="30"/>
      <c r="F291" s="30"/>
      <c r="G291" s="90">
        <f t="shared" si="2"/>
        <v>0</v>
      </c>
      <c r="H291" s="42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</row>
    <row r="292" ht="15.75" customHeight="1" spans="1:19">
      <c r="A292" s="28">
        <v>46035</v>
      </c>
      <c r="B292" s="29">
        <v>46035</v>
      </c>
      <c r="C292" s="30"/>
      <c r="D292" s="30"/>
      <c r="E292" s="30"/>
      <c r="F292" s="30"/>
      <c r="G292" s="90">
        <f t="shared" si="2"/>
        <v>0</v>
      </c>
      <c r="H292" s="42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</row>
    <row r="293" ht="15.75" customHeight="1" spans="1:19">
      <c r="A293" s="28">
        <v>46036</v>
      </c>
      <c r="B293" s="29">
        <v>46036</v>
      </c>
      <c r="C293" s="30"/>
      <c r="D293" s="30"/>
      <c r="E293" s="30"/>
      <c r="F293" s="30"/>
      <c r="G293" s="90">
        <f t="shared" si="2"/>
        <v>0</v>
      </c>
      <c r="H293" s="42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</row>
    <row r="294" ht="15.75" customHeight="1" spans="1:19">
      <c r="A294" s="28">
        <v>46037</v>
      </c>
      <c r="B294" s="29">
        <v>46037</v>
      </c>
      <c r="C294" s="30"/>
      <c r="D294" s="30"/>
      <c r="E294" s="30"/>
      <c r="F294" s="30"/>
      <c r="G294" s="90">
        <f t="shared" si="2"/>
        <v>0</v>
      </c>
      <c r="H294" s="42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</row>
    <row r="295" ht="15.75" customHeight="1" spans="1:19">
      <c r="A295" s="28">
        <v>46038</v>
      </c>
      <c r="B295" s="29">
        <v>46038</v>
      </c>
      <c r="C295" s="30"/>
      <c r="D295" s="30"/>
      <c r="E295" s="30"/>
      <c r="F295" s="30"/>
      <c r="G295" s="90">
        <f t="shared" si="2"/>
        <v>0</v>
      </c>
      <c r="H295" s="42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</row>
    <row r="296" ht="15.75" customHeight="1" spans="1:19">
      <c r="A296" s="28">
        <v>46039</v>
      </c>
      <c r="B296" s="29">
        <v>46039</v>
      </c>
      <c r="C296" s="30"/>
      <c r="D296" s="30"/>
      <c r="E296" s="30"/>
      <c r="F296" s="30"/>
      <c r="G296" s="90">
        <f t="shared" si="2"/>
        <v>0</v>
      </c>
      <c r="H296" s="42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</row>
    <row r="297" ht="15.75" customHeight="1" spans="1:19">
      <c r="A297" s="28">
        <v>46040</v>
      </c>
      <c r="B297" s="29">
        <v>46040</v>
      </c>
      <c r="C297" s="30"/>
      <c r="D297" s="30"/>
      <c r="E297" s="30"/>
      <c r="F297" s="30"/>
      <c r="G297" s="90">
        <f t="shared" si="2"/>
        <v>0</v>
      </c>
      <c r="H297" s="42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</row>
    <row r="298" ht="15.75" customHeight="1" spans="1:19">
      <c r="A298" s="28">
        <v>46041</v>
      </c>
      <c r="B298" s="29">
        <v>46041</v>
      </c>
      <c r="C298" s="30"/>
      <c r="D298" s="30"/>
      <c r="E298" s="30"/>
      <c r="F298" s="30"/>
      <c r="G298" s="90">
        <f t="shared" si="2"/>
        <v>0</v>
      </c>
      <c r="H298" s="42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</row>
    <row r="299" ht="15.75" customHeight="1" spans="1:19">
      <c r="A299" s="28">
        <v>46042</v>
      </c>
      <c r="B299" s="29">
        <v>46042</v>
      </c>
      <c r="C299" s="30"/>
      <c r="D299" s="30"/>
      <c r="E299" s="30"/>
      <c r="F299" s="30"/>
      <c r="G299" s="90">
        <f t="shared" si="2"/>
        <v>0</v>
      </c>
      <c r="H299" s="42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</row>
    <row r="300" ht="15.75" customHeight="1" spans="1:19">
      <c r="A300" s="28">
        <v>46043</v>
      </c>
      <c r="B300" s="29">
        <v>46043</v>
      </c>
      <c r="C300" s="30" t="s">
        <v>164</v>
      </c>
      <c r="D300" s="30" t="s">
        <v>164</v>
      </c>
      <c r="E300" s="90">
        <v>0.677083333333333</v>
      </c>
      <c r="F300" s="90">
        <v>0.815972222222222</v>
      </c>
      <c r="G300" s="90">
        <f t="shared" si="2"/>
        <v>0.138888888888889</v>
      </c>
      <c r="H300" s="42">
        <v>2411</v>
      </c>
      <c r="I300" s="30"/>
      <c r="J300" s="30"/>
      <c r="K300" s="30"/>
      <c r="L300" s="30" t="s">
        <v>198</v>
      </c>
      <c r="M300" s="30"/>
      <c r="N300" s="30"/>
      <c r="O300" s="30"/>
      <c r="P300" s="30"/>
      <c r="Q300" s="30"/>
      <c r="R300" s="30"/>
      <c r="S300" s="30"/>
    </row>
    <row r="301" ht="15.75" customHeight="1" spans="1:19">
      <c r="A301" s="28">
        <v>46044</v>
      </c>
      <c r="B301" s="29">
        <v>46044</v>
      </c>
      <c r="C301" s="30"/>
      <c r="D301" s="30"/>
      <c r="E301" s="30"/>
      <c r="F301" s="30"/>
      <c r="G301" s="90">
        <f t="shared" si="2"/>
        <v>0</v>
      </c>
      <c r="H301" s="42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</row>
    <row r="302" ht="15.75" customHeight="1" spans="1:19">
      <c r="A302" s="28">
        <v>46045</v>
      </c>
      <c r="B302" s="29">
        <v>46045</v>
      </c>
      <c r="C302" s="30"/>
      <c r="D302" s="30"/>
      <c r="E302" s="30"/>
      <c r="F302" s="30"/>
      <c r="G302" s="90">
        <f t="shared" si="2"/>
        <v>0</v>
      </c>
      <c r="H302" s="42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</row>
    <row r="303" ht="15.75" customHeight="1" spans="1:19">
      <c r="A303" s="28">
        <v>46046</v>
      </c>
      <c r="B303" s="29">
        <v>46046</v>
      </c>
      <c r="C303" s="30"/>
      <c r="D303" s="30"/>
      <c r="E303" s="30"/>
      <c r="F303" s="30"/>
      <c r="G303" s="90">
        <f t="shared" si="2"/>
        <v>0</v>
      </c>
      <c r="H303" s="42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</row>
    <row r="304" ht="15.75" customHeight="1" spans="1:19">
      <c r="A304" s="28">
        <v>46047</v>
      </c>
      <c r="B304" s="29">
        <v>46047</v>
      </c>
      <c r="C304" s="30"/>
      <c r="D304" s="30"/>
      <c r="E304" s="30"/>
      <c r="F304" s="30"/>
      <c r="G304" s="90">
        <f t="shared" si="2"/>
        <v>0</v>
      </c>
      <c r="H304" s="42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</row>
    <row r="305" ht="15.75" customHeight="1" spans="1:19">
      <c r="A305" s="28">
        <v>46048</v>
      </c>
      <c r="B305" s="29">
        <v>46048</v>
      </c>
      <c r="C305" s="30"/>
      <c r="D305" s="30"/>
      <c r="E305" s="30"/>
      <c r="F305" s="30"/>
      <c r="G305" s="90">
        <f t="shared" si="2"/>
        <v>0</v>
      </c>
      <c r="H305" s="42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</row>
    <row r="306" ht="15.75" customHeight="1" spans="1:19">
      <c r="A306" s="28">
        <v>46049</v>
      </c>
      <c r="B306" s="29">
        <v>46049</v>
      </c>
      <c r="C306" s="30"/>
      <c r="D306" s="30"/>
      <c r="E306" s="30"/>
      <c r="F306" s="30"/>
      <c r="G306" s="90">
        <f t="shared" si="2"/>
        <v>0</v>
      </c>
      <c r="H306" s="42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</row>
    <row r="307" ht="15.75" customHeight="1" spans="1:19">
      <c r="A307" s="28">
        <v>46050</v>
      </c>
      <c r="B307" s="29">
        <v>46050</v>
      </c>
      <c r="C307" s="30"/>
      <c r="D307" s="30"/>
      <c r="E307" s="30"/>
      <c r="F307" s="30"/>
      <c r="G307" s="90">
        <f t="shared" si="2"/>
        <v>0</v>
      </c>
      <c r="H307" s="42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</row>
    <row r="308" ht="15.75" customHeight="1" spans="1:19">
      <c r="A308" s="28">
        <v>46051</v>
      </c>
      <c r="B308" s="29">
        <v>46051</v>
      </c>
      <c r="C308" s="30"/>
      <c r="D308" s="30"/>
      <c r="E308" s="30"/>
      <c r="F308" s="30"/>
      <c r="G308" s="90">
        <f t="shared" si="2"/>
        <v>0</v>
      </c>
      <c r="H308" s="42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</row>
    <row r="309" ht="15.75" customHeight="1" spans="1:19">
      <c r="A309" s="28">
        <v>46052</v>
      </c>
      <c r="B309" s="29">
        <v>46052</v>
      </c>
      <c r="C309" s="30"/>
      <c r="D309" s="30"/>
      <c r="E309" s="30"/>
      <c r="F309" s="30"/>
      <c r="G309" s="90">
        <f t="shared" si="2"/>
        <v>0</v>
      </c>
      <c r="H309" s="42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</row>
    <row r="310" ht="15.75" customHeight="1" spans="1:19">
      <c r="A310" s="28">
        <v>46053</v>
      </c>
      <c r="B310" s="29">
        <v>46053</v>
      </c>
      <c r="C310" s="30"/>
      <c r="D310" s="30"/>
      <c r="E310" s="30"/>
      <c r="F310" s="30"/>
      <c r="G310" s="90">
        <f t="shared" si="2"/>
        <v>0</v>
      </c>
      <c r="H310" s="42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</row>
    <row r="311" ht="15.75" customHeight="1" spans="1:19">
      <c r="A311" s="28">
        <v>46054</v>
      </c>
      <c r="B311" s="29">
        <v>46054</v>
      </c>
      <c r="C311" s="30"/>
      <c r="D311" s="30"/>
      <c r="E311" s="30"/>
      <c r="F311" s="30"/>
      <c r="G311" s="90">
        <f t="shared" si="2"/>
        <v>0</v>
      </c>
      <c r="H311" s="42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</row>
    <row r="312" ht="15.75" customHeight="1" spans="1:19">
      <c r="A312" s="28">
        <v>46055</v>
      </c>
      <c r="B312" s="29">
        <v>46055</v>
      </c>
      <c r="C312" s="30"/>
      <c r="D312" s="30"/>
      <c r="E312" s="30"/>
      <c r="F312" s="30"/>
      <c r="G312" s="90">
        <f t="shared" si="2"/>
        <v>0</v>
      </c>
      <c r="H312" s="42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</row>
    <row r="313" ht="15.75" customHeight="1" spans="1:19">
      <c r="A313" s="28">
        <v>46056</v>
      </c>
      <c r="B313" s="29">
        <v>46056</v>
      </c>
      <c r="C313" s="30"/>
      <c r="D313" s="30"/>
      <c r="E313" s="30"/>
      <c r="F313" s="30"/>
      <c r="G313" s="90">
        <f t="shared" si="2"/>
        <v>0</v>
      </c>
      <c r="H313" s="42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</row>
    <row r="314" ht="15.75" customHeight="1" spans="1:19">
      <c r="A314" s="28">
        <v>46057</v>
      </c>
      <c r="B314" s="29">
        <v>46057</v>
      </c>
      <c r="C314" s="30"/>
      <c r="D314" s="30"/>
      <c r="E314" s="30"/>
      <c r="F314" s="30"/>
      <c r="G314" s="90">
        <f t="shared" si="2"/>
        <v>0</v>
      </c>
      <c r="H314" s="42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</row>
    <row r="315" ht="15.75" customHeight="1" spans="1:19">
      <c r="A315" s="28">
        <v>46058</v>
      </c>
      <c r="B315" s="29">
        <v>46058</v>
      </c>
      <c r="C315" s="30"/>
      <c r="D315" s="30"/>
      <c r="E315" s="30"/>
      <c r="F315" s="30"/>
      <c r="G315" s="90">
        <f t="shared" si="2"/>
        <v>0</v>
      </c>
      <c r="H315" s="42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</row>
    <row r="316" ht="15.75" customHeight="1" spans="1:19">
      <c r="A316" s="28">
        <v>46059</v>
      </c>
      <c r="B316" s="29">
        <v>46059</v>
      </c>
      <c r="C316" s="30"/>
      <c r="D316" s="30"/>
      <c r="E316" s="30"/>
      <c r="F316" s="30"/>
      <c r="G316" s="90">
        <f t="shared" si="2"/>
        <v>0</v>
      </c>
      <c r="H316" s="42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</row>
    <row r="317" ht="15.75" customHeight="1" spans="1:19">
      <c r="A317" s="28">
        <v>46060</v>
      </c>
      <c r="B317" s="29">
        <v>46060</v>
      </c>
      <c r="C317" s="30"/>
      <c r="D317" s="30"/>
      <c r="E317" s="30"/>
      <c r="F317" s="30"/>
      <c r="G317" s="90">
        <f t="shared" si="2"/>
        <v>0</v>
      </c>
      <c r="H317" s="42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</row>
    <row r="318" ht="15.75" customHeight="1" spans="1:19">
      <c r="A318" s="28">
        <v>46061</v>
      </c>
      <c r="B318" s="29">
        <v>46061</v>
      </c>
      <c r="C318" s="30"/>
      <c r="D318" s="30"/>
      <c r="E318" s="30"/>
      <c r="F318" s="30"/>
      <c r="G318" s="90">
        <f t="shared" si="2"/>
        <v>0</v>
      </c>
      <c r="H318" s="42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</row>
    <row r="319" ht="15.75" customHeight="1" spans="1:19">
      <c r="A319" s="28">
        <v>46062</v>
      </c>
      <c r="B319" s="29">
        <v>46062</v>
      </c>
      <c r="C319" s="30"/>
      <c r="G319" s="90">
        <f t="shared" si="2"/>
        <v>0</v>
      </c>
      <c r="I319" s="30"/>
      <c r="J319" s="30"/>
      <c r="K319" s="30"/>
      <c r="O319" s="30"/>
      <c r="P319" s="30"/>
      <c r="Q319" s="30"/>
      <c r="R319" s="30"/>
      <c r="S319" s="30"/>
    </row>
    <row r="320" ht="15.75" customHeight="1" spans="1:19">
      <c r="A320" s="28">
        <v>46063</v>
      </c>
      <c r="B320" s="29">
        <v>46063</v>
      </c>
      <c r="C320" s="30"/>
      <c r="D320" s="30"/>
      <c r="E320" s="30"/>
      <c r="F320" s="30"/>
      <c r="G320" s="90">
        <f t="shared" si="2"/>
        <v>0</v>
      </c>
      <c r="H320" s="42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</row>
    <row r="321" ht="15.75" customHeight="1" spans="1:19">
      <c r="A321" s="28">
        <v>46064</v>
      </c>
      <c r="B321" s="29">
        <v>46064</v>
      </c>
      <c r="C321" s="30"/>
      <c r="D321" s="30"/>
      <c r="E321" s="90"/>
      <c r="F321" s="90"/>
      <c r="G321" s="90">
        <f t="shared" si="2"/>
        <v>0</v>
      </c>
      <c r="H321" s="42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</row>
    <row r="322" ht="15.75" customHeight="1" spans="1:19">
      <c r="A322" s="28">
        <v>46065</v>
      </c>
      <c r="B322" s="29">
        <v>46065</v>
      </c>
      <c r="C322" s="30"/>
      <c r="D322" s="30"/>
      <c r="E322" s="30"/>
      <c r="F322" s="30"/>
      <c r="G322" s="90">
        <f t="shared" si="2"/>
        <v>0</v>
      </c>
      <c r="H322" s="42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</row>
    <row r="323" ht="15.75" customHeight="1" spans="1:19">
      <c r="A323" s="28">
        <v>46066</v>
      </c>
      <c r="B323" s="29">
        <v>46066</v>
      </c>
      <c r="C323" s="30"/>
      <c r="D323" s="30"/>
      <c r="E323" s="30"/>
      <c r="F323" s="30"/>
      <c r="G323" s="90">
        <f t="shared" si="2"/>
        <v>0</v>
      </c>
      <c r="H323" s="42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</row>
    <row r="324" ht="15.75" customHeight="1" spans="1:19">
      <c r="A324" s="28">
        <v>46067</v>
      </c>
      <c r="B324" s="29">
        <v>46067</v>
      </c>
      <c r="C324" s="30"/>
      <c r="D324" s="30"/>
      <c r="E324" s="30"/>
      <c r="F324" s="30"/>
      <c r="G324" s="90">
        <f t="shared" si="2"/>
        <v>0</v>
      </c>
      <c r="H324" s="42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</row>
    <row r="325" ht="15.75" customHeight="1" spans="1:19">
      <c r="A325" s="28">
        <v>46068</v>
      </c>
      <c r="B325" s="29">
        <v>46068</v>
      </c>
      <c r="C325" s="30"/>
      <c r="D325" s="30"/>
      <c r="E325" s="90"/>
      <c r="F325" s="90"/>
      <c r="G325" s="90">
        <f t="shared" ref="G325:G345" si="3">F325-E325</f>
        <v>0</v>
      </c>
      <c r="H325" s="42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</row>
    <row r="326" ht="15.75" customHeight="1" spans="1:19">
      <c r="A326" s="28">
        <v>46069</v>
      </c>
      <c r="B326" s="29">
        <v>46069</v>
      </c>
      <c r="C326" s="30"/>
      <c r="D326" s="30"/>
      <c r="E326" s="30"/>
      <c r="F326" s="30"/>
      <c r="G326" s="90">
        <f t="shared" si="3"/>
        <v>0</v>
      </c>
      <c r="H326" s="42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</row>
    <row r="327" ht="15.75" customHeight="1" spans="1:19">
      <c r="A327" s="28">
        <v>46070</v>
      </c>
      <c r="B327" s="29">
        <v>46070</v>
      </c>
      <c r="C327" s="30"/>
      <c r="D327" s="30"/>
      <c r="E327" s="30"/>
      <c r="F327" s="30"/>
      <c r="G327" s="90">
        <f t="shared" si="3"/>
        <v>0</v>
      </c>
      <c r="H327" s="42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</row>
    <row r="328" ht="15.75" customHeight="1" spans="1:19">
      <c r="A328" s="28">
        <v>46071</v>
      </c>
      <c r="B328" s="29">
        <v>46071</v>
      </c>
      <c r="C328" s="30"/>
      <c r="D328" s="30"/>
      <c r="E328" s="30"/>
      <c r="F328" s="30"/>
      <c r="G328" s="90">
        <f t="shared" si="3"/>
        <v>0</v>
      </c>
      <c r="H328" s="42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</row>
    <row r="329" ht="15.75" customHeight="1" spans="1:19">
      <c r="A329" s="28">
        <v>46072</v>
      </c>
      <c r="B329" s="29">
        <v>46072</v>
      </c>
      <c r="C329" s="30"/>
      <c r="D329" s="30"/>
      <c r="E329" s="30"/>
      <c r="F329" s="30"/>
      <c r="G329" s="90">
        <f t="shared" si="3"/>
        <v>0</v>
      </c>
      <c r="H329" s="42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</row>
    <row r="330" ht="15.75" customHeight="1" spans="1:19">
      <c r="A330" s="28">
        <v>46073</v>
      </c>
      <c r="B330" s="29">
        <v>46073</v>
      </c>
      <c r="C330" s="30"/>
      <c r="D330" s="30"/>
      <c r="E330" s="30"/>
      <c r="F330" s="30"/>
      <c r="G330" s="90">
        <f t="shared" si="3"/>
        <v>0</v>
      </c>
      <c r="H330" s="42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</row>
    <row r="331" ht="15.75" customHeight="1" spans="1:19">
      <c r="A331" s="28">
        <v>46074</v>
      </c>
      <c r="B331" s="29">
        <v>46074</v>
      </c>
      <c r="C331" s="30"/>
      <c r="D331" s="30"/>
      <c r="E331" s="30"/>
      <c r="F331" s="30"/>
      <c r="G331" s="90">
        <f t="shared" si="3"/>
        <v>0</v>
      </c>
      <c r="H331" s="42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</row>
    <row r="332" ht="15.75" customHeight="1" spans="1:19">
      <c r="A332" s="28">
        <v>46075</v>
      </c>
      <c r="B332" s="29">
        <v>46075</v>
      </c>
      <c r="C332" s="30"/>
      <c r="D332" s="30"/>
      <c r="E332" s="30"/>
      <c r="F332" s="30"/>
      <c r="G332" s="90">
        <f t="shared" si="3"/>
        <v>0</v>
      </c>
      <c r="H332" s="42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</row>
    <row r="333" ht="15.75" customHeight="1" spans="1:19">
      <c r="A333" s="28">
        <v>46076</v>
      </c>
      <c r="B333" s="29">
        <v>46076</v>
      </c>
      <c r="C333" s="30"/>
      <c r="D333" s="30"/>
      <c r="E333" s="30"/>
      <c r="F333" s="30"/>
      <c r="G333" s="90">
        <f t="shared" si="3"/>
        <v>0</v>
      </c>
      <c r="H333" s="42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</row>
    <row r="334" ht="15.75" customHeight="1" spans="1:19">
      <c r="A334" s="28">
        <v>46077</v>
      </c>
      <c r="B334" s="29">
        <v>46077</v>
      </c>
      <c r="C334" s="30"/>
      <c r="D334" s="30"/>
      <c r="E334" s="30"/>
      <c r="F334" s="30"/>
      <c r="G334" s="90">
        <f t="shared" si="3"/>
        <v>0</v>
      </c>
      <c r="H334" s="42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</row>
    <row r="335" ht="15.75" customHeight="1" spans="1:19">
      <c r="A335" s="28">
        <v>46078</v>
      </c>
      <c r="B335" s="29">
        <v>46078</v>
      </c>
      <c r="C335" s="30"/>
      <c r="D335" s="30"/>
      <c r="E335" s="30"/>
      <c r="F335" s="30"/>
      <c r="G335" s="90">
        <f t="shared" si="3"/>
        <v>0</v>
      </c>
      <c r="H335" s="42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</row>
    <row r="336" ht="15.75" customHeight="1" spans="1:19">
      <c r="A336" s="28">
        <v>46079</v>
      </c>
      <c r="B336" s="29">
        <v>46079</v>
      </c>
      <c r="C336" s="30"/>
      <c r="D336" s="30"/>
      <c r="E336" s="30"/>
      <c r="F336" s="30"/>
      <c r="G336" s="90">
        <f t="shared" si="3"/>
        <v>0</v>
      </c>
      <c r="H336" s="42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</row>
    <row r="337" ht="15.75" customHeight="1" spans="1:19">
      <c r="A337" s="28">
        <v>46080</v>
      </c>
      <c r="B337" s="29">
        <v>46080</v>
      </c>
      <c r="C337" s="30"/>
      <c r="D337" s="30"/>
      <c r="E337" s="30"/>
      <c r="F337" s="30"/>
      <c r="G337" s="90">
        <f t="shared" si="3"/>
        <v>0</v>
      </c>
      <c r="H337" s="42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</row>
    <row r="338" ht="15.75" customHeight="1" spans="1:19">
      <c r="A338" s="28">
        <v>46081</v>
      </c>
      <c r="B338" s="29">
        <v>46081</v>
      </c>
      <c r="C338" s="30"/>
      <c r="D338" s="30"/>
      <c r="E338" s="30"/>
      <c r="F338" s="30"/>
      <c r="G338" s="90">
        <f t="shared" si="3"/>
        <v>0</v>
      </c>
      <c r="H338" s="42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</row>
    <row r="339" ht="15.75" customHeight="1" spans="1:19">
      <c r="A339" s="28">
        <v>46082</v>
      </c>
      <c r="B339" s="29">
        <v>46082</v>
      </c>
      <c r="C339" s="30"/>
      <c r="D339" s="30"/>
      <c r="E339" s="30"/>
      <c r="F339" s="30"/>
      <c r="G339" s="90">
        <f t="shared" si="3"/>
        <v>0</v>
      </c>
      <c r="H339" s="42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</row>
    <row r="340" ht="15.75" customHeight="1" spans="1:19">
      <c r="A340" s="28">
        <v>46083</v>
      </c>
      <c r="B340" s="29">
        <v>46083</v>
      </c>
      <c r="C340" s="30"/>
      <c r="D340" s="30"/>
      <c r="E340" s="30"/>
      <c r="F340" s="30"/>
      <c r="G340" s="90">
        <f t="shared" si="3"/>
        <v>0</v>
      </c>
      <c r="H340" s="42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</row>
    <row r="341" ht="15.75" customHeight="1" spans="1:19">
      <c r="A341" s="28">
        <v>46084</v>
      </c>
      <c r="B341" s="29">
        <v>46084</v>
      </c>
      <c r="C341" s="30"/>
      <c r="D341" s="30"/>
      <c r="E341" s="30"/>
      <c r="F341" s="30"/>
      <c r="G341" s="90">
        <f t="shared" si="3"/>
        <v>0</v>
      </c>
      <c r="H341" s="42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</row>
    <row r="342" ht="15.75" customHeight="1" spans="1:19">
      <c r="A342" s="28">
        <v>46085</v>
      </c>
      <c r="B342" s="29">
        <v>46085</v>
      </c>
      <c r="C342" s="30"/>
      <c r="D342" s="30"/>
      <c r="E342" s="90"/>
      <c r="F342" s="90"/>
      <c r="G342" s="90">
        <f t="shared" si="3"/>
        <v>0</v>
      </c>
      <c r="H342" s="42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</row>
    <row r="343" ht="15.75" customHeight="1" spans="1:19">
      <c r="A343" s="28">
        <v>46085</v>
      </c>
      <c r="B343" s="29">
        <v>46085</v>
      </c>
      <c r="C343" s="30"/>
      <c r="D343" s="30"/>
      <c r="E343" s="90"/>
      <c r="F343" s="90"/>
      <c r="G343" s="90">
        <f t="shared" si="3"/>
        <v>0</v>
      </c>
      <c r="H343" s="42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</row>
    <row r="344" ht="15.75" customHeight="1" spans="1:19">
      <c r="A344" s="28">
        <v>46085</v>
      </c>
      <c r="B344" s="29">
        <v>46085</v>
      </c>
      <c r="C344" s="30"/>
      <c r="D344" s="30"/>
      <c r="E344" s="90"/>
      <c r="F344" s="90"/>
      <c r="G344" s="90">
        <f t="shared" si="3"/>
        <v>0</v>
      </c>
      <c r="H344" s="42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</row>
    <row r="345" ht="15.75" customHeight="1" spans="1:19">
      <c r="A345" s="28">
        <v>46086</v>
      </c>
      <c r="B345" s="29">
        <v>46086</v>
      </c>
      <c r="C345" s="30"/>
      <c r="D345" s="30"/>
      <c r="E345" s="90"/>
      <c r="F345" s="90"/>
      <c r="G345" s="90">
        <f t="shared" si="3"/>
        <v>0</v>
      </c>
      <c r="H345" s="42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</row>
    <row r="346" ht="15.75" customHeight="1" spans="1:19">
      <c r="A346" s="28">
        <v>46087</v>
      </c>
      <c r="B346" s="29">
        <v>46087</v>
      </c>
      <c r="C346" s="30"/>
      <c r="D346" s="30"/>
      <c r="E346" s="30"/>
      <c r="F346" s="30"/>
      <c r="G346" s="90">
        <f t="shared" ref="G346:G371" si="4">F346-E346</f>
        <v>0</v>
      </c>
      <c r="H346" s="42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</row>
    <row r="347" ht="15.75" customHeight="1" spans="1:19">
      <c r="A347" s="28">
        <v>46088</v>
      </c>
      <c r="B347" s="29">
        <v>46088</v>
      </c>
      <c r="C347" s="30"/>
      <c r="D347" s="30"/>
      <c r="E347" s="30"/>
      <c r="F347" s="30"/>
      <c r="G347" s="90">
        <f t="shared" si="4"/>
        <v>0</v>
      </c>
      <c r="H347" s="42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</row>
    <row r="348" ht="15.75" customHeight="1" spans="1:19">
      <c r="A348" s="28">
        <v>46089</v>
      </c>
      <c r="B348" s="29">
        <v>46089</v>
      </c>
      <c r="C348" s="30"/>
      <c r="D348" s="30"/>
      <c r="E348" s="30"/>
      <c r="F348" s="30"/>
      <c r="G348" s="90">
        <f t="shared" si="4"/>
        <v>0</v>
      </c>
      <c r="H348" s="42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</row>
    <row r="349" ht="15.75" customHeight="1" spans="1:19">
      <c r="A349" s="28">
        <v>46090</v>
      </c>
      <c r="B349" s="29">
        <v>46090</v>
      </c>
      <c r="C349" s="30"/>
      <c r="D349" s="30"/>
      <c r="E349" s="30"/>
      <c r="F349" s="30"/>
      <c r="G349" s="90">
        <f t="shared" si="4"/>
        <v>0</v>
      </c>
      <c r="H349" s="42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</row>
    <row r="350" ht="15.75" customHeight="1" spans="1:19">
      <c r="A350" s="28">
        <v>46091</v>
      </c>
      <c r="B350" s="29">
        <v>46091</v>
      </c>
      <c r="C350" s="30"/>
      <c r="D350" s="30"/>
      <c r="E350" s="30"/>
      <c r="F350" s="30"/>
      <c r="G350" s="90">
        <f t="shared" si="4"/>
        <v>0</v>
      </c>
      <c r="H350" s="42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</row>
    <row r="351" ht="15.75" customHeight="1" spans="1:19">
      <c r="A351" s="28">
        <v>46092</v>
      </c>
      <c r="B351" s="29">
        <v>46092</v>
      </c>
      <c r="C351" s="30"/>
      <c r="D351" s="30"/>
      <c r="E351" s="30"/>
      <c r="F351" s="30"/>
      <c r="G351" s="90">
        <f t="shared" si="4"/>
        <v>0</v>
      </c>
      <c r="H351" s="42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</row>
    <row r="352" ht="15.75" customHeight="1" spans="1:19">
      <c r="A352" s="28">
        <v>46093</v>
      </c>
      <c r="B352" s="29">
        <v>46093</v>
      </c>
      <c r="C352" s="30"/>
      <c r="D352" s="30"/>
      <c r="E352" s="30"/>
      <c r="F352" s="30"/>
      <c r="G352" s="90">
        <f t="shared" si="4"/>
        <v>0</v>
      </c>
      <c r="H352" s="42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</row>
    <row r="353" ht="15.75" customHeight="1" spans="1:19">
      <c r="A353" s="28">
        <v>46094</v>
      </c>
      <c r="B353" s="29">
        <v>46094</v>
      </c>
      <c r="C353" s="30"/>
      <c r="D353" s="30"/>
      <c r="E353" s="30"/>
      <c r="F353" s="30"/>
      <c r="G353" s="90">
        <f t="shared" si="4"/>
        <v>0</v>
      </c>
      <c r="H353" s="42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</row>
    <row r="354" ht="15.75" customHeight="1" spans="1:19">
      <c r="A354" s="28">
        <v>46095</v>
      </c>
      <c r="B354" s="29">
        <v>46095</v>
      </c>
      <c r="C354" s="30"/>
      <c r="D354" s="30"/>
      <c r="E354" s="90"/>
      <c r="F354" s="90"/>
      <c r="G354" s="90">
        <f t="shared" si="4"/>
        <v>0</v>
      </c>
      <c r="H354" s="42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</row>
    <row r="355" ht="15.75" customHeight="1" spans="1:19">
      <c r="A355" s="28">
        <v>46096</v>
      </c>
      <c r="B355" s="29">
        <v>46096</v>
      </c>
      <c r="C355" s="30"/>
      <c r="D355" s="30"/>
      <c r="E355" s="90"/>
      <c r="F355" s="90"/>
      <c r="G355" s="90">
        <f t="shared" si="4"/>
        <v>0</v>
      </c>
      <c r="H355" s="42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</row>
    <row r="356" ht="15.75" customHeight="1" spans="1:19">
      <c r="A356" s="28">
        <v>46097</v>
      </c>
      <c r="B356" s="29">
        <v>46097</v>
      </c>
      <c r="C356" s="30"/>
      <c r="D356" s="30"/>
      <c r="E356" s="90"/>
      <c r="F356" s="90"/>
      <c r="G356" s="90">
        <f t="shared" si="4"/>
        <v>0</v>
      </c>
      <c r="H356" s="42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</row>
    <row r="357" ht="15.75" customHeight="1" spans="1:19">
      <c r="A357" s="28">
        <v>46098</v>
      </c>
      <c r="B357" s="29">
        <v>46098</v>
      </c>
      <c r="C357" s="30"/>
      <c r="D357" s="30"/>
      <c r="E357" s="90"/>
      <c r="F357" s="90"/>
      <c r="G357" s="90">
        <f t="shared" si="4"/>
        <v>0</v>
      </c>
      <c r="H357" s="42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</row>
    <row r="358" ht="15.75" customHeight="1" spans="1:19">
      <c r="A358" s="28">
        <v>46099</v>
      </c>
      <c r="B358" s="29">
        <v>46099</v>
      </c>
      <c r="C358" s="30"/>
      <c r="D358" s="30"/>
      <c r="E358" s="30"/>
      <c r="F358" s="30"/>
      <c r="G358" s="90">
        <f t="shared" si="4"/>
        <v>0</v>
      </c>
      <c r="H358" s="42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</row>
    <row r="359" ht="15.75" customHeight="1" spans="1:19">
      <c r="A359" s="28">
        <v>46100</v>
      </c>
      <c r="B359" s="29">
        <v>46100</v>
      </c>
      <c r="C359" s="30"/>
      <c r="D359" s="30"/>
      <c r="E359" s="90"/>
      <c r="F359" s="90"/>
      <c r="G359" s="90">
        <f t="shared" si="4"/>
        <v>0</v>
      </c>
      <c r="H359" s="42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</row>
    <row r="360" ht="15.75" customHeight="1" spans="1:19">
      <c r="A360" s="28">
        <v>46101</v>
      </c>
      <c r="B360" s="29">
        <v>46101</v>
      </c>
      <c r="C360" s="30"/>
      <c r="D360" s="30"/>
      <c r="E360" s="30"/>
      <c r="F360" s="30"/>
      <c r="G360" s="90">
        <f t="shared" si="4"/>
        <v>0</v>
      </c>
      <c r="H360" s="42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</row>
    <row r="361" ht="15.75" customHeight="1" spans="1:19">
      <c r="A361" s="28">
        <v>46102</v>
      </c>
      <c r="B361" s="29">
        <v>46102</v>
      </c>
      <c r="C361" s="30"/>
      <c r="D361" s="30"/>
      <c r="E361" s="30"/>
      <c r="F361" s="30"/>
      <c r="G361" s="90">
        <f t="shared" si="4"/>
        <v>0</v>
      </c>
      <c r="H361" s="42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</row>
    <row r="362" ht="15.75" customHeight="1" spans="1:19">
      <c r="A362" s="28">
        <v>46103</v>
      </c>
      <c r="B362" s="29">
        <v>46103</v>
      </c>
      <c r="C362" s="30"/>
      <c r="D362" s="30"/>
      <c r="E362" s="30"/>
      <c r="F362" s="30"/>
      <c r="G362" s="90">
        <f t="shared" si="4"/>
        <v>0</v>
      </c>
      <c r="H362" s="42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</row>
    <row r="363" ht="15.75" customHeight="1" spans="1:19">
      <c r="A363" s="28">
        <v>46104</v>
      </c>
      <c r="B363" s="29">
        <v>46104</v>
      </c>
      <c r="C363" s="30"/>
      <c r="D363" s="30"/>
      <c r="E363" s="30"/>
      <c r="F363" s="30"/>
      <c r="G363" s="90">
        <f t="shared" si="4"/>
        <v>0</v>
      </c>
      <c r="H363" s="42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</row>
    <row r="364" ht="15.75" customHeight="1" spans="1:19">
      <c r="A364" s="28">
        <v>46105</v>
      </c>
      <c r="B364" s="29">
        <v>46105</v>
      </c>
      <c r="C364" s="30"/>
      <c r="D364" s="30"/>
      <c r="E364" s="30"/>
      <c r="F364" s="30"/>
      <c r="G364" s="90">
        <f t="shared" si="4"/>
        <v>0</v>
      </c>
      <c r="H364" s="42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</row>
    <row r="365" ht="15.75" customHeight="1" spans="1:19">
      <c r="A365" s="28">
        <v>46106</v>
      </c>
      <c r="B365" s="29">
        <v>46106</v>
      </c>
      <c r="C365" s="30"/>
      <c r="D365" s="30"/>
      <c r="E365" s="30"/>
      <c r="F365" s="30"/>
      <c r="G365" s="90">
        <f t="shared" si="4"/>
        <v>0</v>
      </c>
      <c r="H365" s="42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</row>
    <row r="366" ht="15.75" customHeight="1" spans="1:19">
      <c r="A366" s="28">
        <v>46107</v>
      </c>
      <c r="B366" s="29">
        <v>46107</v>
      </c>
      <c r="C366" s="30"/>
      <c r="D366" s="30"/>
      <c r="E366" s="30"/>
      <c r="F366" s="30"/>
      <c r="G366" s="90">
        <f t="shared" si="4"/>
        <v>0</v>
      </c>
      <c r="H366" s="42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</row>
    <row r="367" ht="15.75" customHeight="1" spans="1:19">
      <c r="A367" s="28">
        <v>46108</v>
      </c>
      <c r="B367" s="29">
        <v>46108</v>
      </c>
      <c r="C367" s="30"/>
      <c r="D367" s="30"/>
      <c r="E367" s="30"/>
      <c r="F367" s="30"/>
      <c r="G367" s="90">
        <f t="shared" si="4"/>
        <v>0</v>
      </c>
      <c r="H367" s="42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</row>
    <row r="368" ht="15.75" customHeight="1" spans="1:19">
      <c r="A368" s="28">
        <v>46109</v>
      </c>
      <c r="B368" s="29">
        <v>46109</v>
      </c>
      <c r="C368" s="30"/>
      <c r="D368" s="30"/>
      <c r="E368" s="30"/>
      <c r="F368" s="30"/>
      <c r="G368" s="90">
        <f t="shared" si="4"/>
        <v>0</v>
      </c>
      <c r="H368" s="42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</row>
    <row r="369" ht="15.75" customHeight="1" spans="1:19">
      <c r="A369" s="28">
        <v>46110</v>
      </c>
      <c r="B369" s="29">
        <v>46110</v>
      </c>
      <c r="C369" s="30"/>
      <c r="D369" s="30"/>
      <c r="E369" s="30"/>
      <c r="F369" s="30"/>
      <c r="G369" s="90">
        <f t="shared" si="4"/>
        <v>0</v>
      </c>
      <c r="H369" s="42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</row>
    <row r="370" ht="15.75" customHeight="1" spans="1:19">
      <c r="A370" s="28">
        <v>46111</v>
      </c>
      <c r="B370" s="29">
        <v>46111</v>
      </c>
      <c r="C370" s="30"/>
      <c r="D370" s="30"/>
      <c r="E370" s="30"/>
      <c r="F370" s="30"/>
      <c r="G370" s="90">
        <f t="shared" si="4"/>
        <v>0</v>
      </c>
      <c r="H370" s="42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</row>
    <row r="371" ht="15.75" customHeight="1" spans="1:19">
      <c r="A371" s="28">
        <v>46112</v>
      </c>
      <c r="B371" s="29">
        <v>46112</v>
      </c>
      <c r="C371" s="30"/>
      <c r="D371" s="30"/>
      <c r="E371" s="30"/>
      <c r="F371" s="30"/>
      <c r="G371" s="90">
        <f t="shared" si="4"/>
        <v>0</v>
      </c>
      <c r="H371" s="42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</row>
    <row r="372" ht="15.75" customHeight="1" spans="1:19">
      <c r="A372" s="28">
        <v>46112</v>
      </c>
      <c r="B372" s="29">
        <v>46112</v>
      </c>
      <c r="C372" s="30"/>
      <c r="D372" s="30"/>
      <c r="E372" s="30"/>
      <c r="F372" s="30"/>
      <c r="G372" s="90">
        <f t="shared" ref="G372:G426" si="5">F372-E372</f>
        <v>0</v>
      </c>
      <c r="H372" s="42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</row>
    <row r="373" ht="15.75" customHeight="1" spans="1:19">
      <c r="A373" s="28">
        <v>46112</v>
      </c>
      <c r="B373" s="29">
        <v>46112</v>
      </c>
      <c r="C373" s="30"/>
      <c r="D373" s="30"/>
      <c r="E373" s="30"/>
      <c r="F373" s="30"/>
      <c r="G373" s="90">
        <f t="shared" si="5"/>
        <v>0</v>
      </c>
      <c r="H373" s="42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</row>
    <row r="374" ht="15.75" customHeight="1" spans="1:19">
      <c r="A374" s="28">
        <v>46112</v>
      </c>
      <c r="B374" s="29">
        <v>46112</v>
      </c>
      <c r="C374" s="30"/>
      <c r="D374" s="30"/>
      <c r="E374" s="30"/>
      <c r="F374" s="30"/>
      <c r="G374" s="90">
        <f t="shared" si="5"/>
        <v>0</v>
      </c>
      <c r="H374" s="42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</row>
    <row r="375" ht="15.75" customHeight="1" spans="1:19">
      <c r="A375" s="28">
        <v>46112</v>
      </c>
      <c r="B375" s="29">
        <v>46112</v>
      </c>
      <c r="C375" s="30"/>
      <c r="D375" s="30"/>
      <c r="E375" s="30"/>
      <c r="F375" s="30"/>
      <c r="G375" s="90">
        <f t="shared" si="5"/>
        <v>0</v>
      </c>
      <c r="H375" s="42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</row>
    <row r="376" ht="15.75" customHeight="1" spans="1:19">
      <c r="A376" s="28">
        <v>46112</v>
      </c>
      <c r="B376" s="29">
        <v>46112</v>
      </c>
      <c r="C376" s="30"/>
      <c r="D376" s="30"/>
      <c r="E376" s="30"/>
      <c r="F376" s="30"/>
      <c r="G376" s="90">
        <f t="shared" si="5"/>
        <v>0</v>
      </c>
      <c r="H376" s="42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</row>
    <row r="377" ht="15.75" customHeight="1" spans="1:19">
      <c r="A377" s="28">
        <v>46112</v>
      </c>
      <c r="B377" s="29">
        <v>46112</v>
      </c>
      <c r="C377" s="30"/>
      <c r="D377" s="30"/>
      <c r="E377" s="30"/>
      <c r="F377" s="30"/>
      <c r="G377" s="90">
        <f t="shared" si="5"/>
        <v>0</v>
      </c>
      <c r="H377" s="42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</row>
    <row r="378" ht="15.75" customHeight="1" spans="1:19">
      <c r="A378" s="28">
        <v>46112</v>
      </c>
      <c r="B378" s="29">
        <v>46112</v>
      </c>
      <c r="C378" s="30"/>
      <c r="D378" s="30"/>
      <c r="E378" s="30"/>
      <c r="F378" s="30"/>
      <c r="G378" s="90">
        <f t="shared" si="5"/>
        <v>0</v>
      </c>
      <c r="H378" s="42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</row>
    <row r="379" ht="15.75" customHeight="1" spans="1:19">
      <c r="A379" s="28">
        <v>46112</v>
      </c>
      <c r="B379" s="29">
        <v>46112</v>
      </c>
      <c r="C379" s="30"/>
      <c r="D379" s="30"/>
      <c r="E379" s="30"/>
      <c r="F379" s="30"/>
      <c r="G379" s="90">
        <f t="shared" si="5"/>
        <v>0</v>
      </c>
      <c r="H379" s="42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</row>
    <row r="380" ht="15.75" customHeight="1" spans="1:19">
      <c r="A380" s="28">
        <v>46112</v>
      </c>
      <c r="B380" s="29">
        <v>46112</v>
      </c>
      <c r="C380" s="30"/>
      <c r="D380" s="30"/>
      <c r="E380" s="30"/>
      <c r="F380" s="30"/>
      <c r="G380" s="90">
        <f t="shared" si="5"/>
        <v>0</v>
      </c>
      <c r="H380" s="42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</row>
    <row r="381" ht="15.75" customHeight="1" spans="1:19">
      <c r="A381" s="28">
        <v>46112</v>
      </c>
      <c r="B381" s="29">
        <v>46112</v>
      </c>
      <c r="C381" s="30"/>
      <c r="D381" s="30"/>
      <c r="E381" s="30"/>
      <c r="F381" s="30"/>
      <c r="G381" s="90">
        <f t="shared" si="5"/>
        <v>0</v>
      </c>
      <c r="H381" s="42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</row>
    <row r="382" ht="15.75" customHeight="1" spans="1:19">
      <c r="A382" s="28">
        <v>46112</v>
      </c>
      <c r="B382" s="29">
        <v>46112</v>
      </c>
      <c r="C382" s="30"/>
      <c r="D382" s="30"/>
      <c r="E382" s="30"/>
      <c r="F382" s="30"/>
      <c r="G382" s="90">
        <f t="shared" si="5"/>
        <v>0</v>
      </c>
      <c r="H382" s="42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</row>
    <row r="383" ht="15.75" customHeight="1" spans="1:19">
      <c r="A383" s="28">
        <v>46112</v>
      </c>
      <c r="B383" s="29">
        <v>46112</v>
      </c>
      <c r="C383" s="30"/>
      <c r="D383" s="30"/>
      <c r="E383" s="30"/>
      <c r="F383" s="30"/>
      <c r="G383" s="90">
        <f t="shared" si="5"/>
        <v>0</v>
      </c>
      <c r="H383" s="42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</row>
    <row r="384" ht="15.75" customHeight="1" spans="1:19">
      <c r="A384" s="28">
        <v>46112</v>
      </c>
      <c r="B384" s="29">
        <v>46112</v>
      </c>
      <c r="C384" s="30"/>
      <c r="D384" s="30"/>
      <c r="E384" s="30"/>
      <c r="F384" s="30"/>
      <c r="G384" s="90">
        <f t="shared" si="5"/>
        <v>0</v>
      </c>
      <c r="H384" s="42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</row>
    <row r="385" ht="15.75" customHeight="1" spans="1:19">
      <c r="A385" s="28">
        <v>46112</v>
      </c>
      <c r="B385" s="29">
        <v>46112</v>
      </c>
      <c r="C385" s="30"/>
      <c r="D385" s="30"/>
      <c r="E385" s="30"/>
      <c r="F385" s="30"/>
      <c r="G385" s="90">
        <f t="shared" si="5"/>
        <v>0</v>
      </c>
      <c r="H385" s="42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</row>
    <row r="386" ht="15.75" customHeight="1" spans="1:19">
      <c r="A386" s="28">
        <v>46112</v>
      </c>
      <c r="B386" s="29">
        <v>46112</v>
      </c>
      <c r="C386" s="30"/>
      <c r="D386" s="30"/>
      <c r="E386" s="30"/>
      <c r="F386" s="30"/>
      <c r="G386" s="90">
        <f t="shared" si="5"/>
        <v>0</v>
      </c>
      <c r="H386" s="42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</row>
    <row r="387" ht="15.75" customHeight="1" spans="1:19">
      <c r="A387" s="28">
        <v>46112</v>
      </c>
      <c r="B387" s="29">
        <v>46112</v>
      </c>
      <c r="C387" s="30"/>
      <c r="D387" s="30"/>
      <c r="E387" s="30"/>
      <c r="F387" s="30"/>
      <c r="G387" s="90">
        <f t="shared" si="5"/>
        <v>0</v>
      </c>
      <c r="H387" s="42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</row>
    <row r="388" ht="15.75" customHeight="1" spans="1:19">
      <c r="A388" s="28">
        <v>46112</v>
      </c>
      <c r="B388" s="29">
        <v>46112</v>
      </c>
      <c r="C388" s="30"/>
      <c r="D388" s="30"/>
      <c r="E388" s="30"/>
      <c r="F388" s="30"/>
      <c r="G388" s="90">
        <f t="shared" si="5"/>
        <v>0</v>
      </c>
      <c r="H388" s="42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</row>
    <row r="389" ht="15.75" customHeight="1" spans="1:19">
      <c r="A389" s="28">
        <v>46112</v>
      </c>
      <c r="B389" s="29">
        <v>46112</v>
      </c>
      <c r="C389" s="30"/>
      <c r="D389" s="30"/>
      <c r="E389" s="30"/>
      <c r="F389" s="30"/>
      <c r="G389" s="90">
        <f t="shared" si="5"/>
        <v>0</v>
      </c>
      <c r="H389" s="42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</row>
    <row r="390" ht="15.75" customHeight="1" spans="1:19">
      <c r="A390" s="28">
        <v>46112</v>
      </c>
      <c r="B390" s="29">
        <v>46112</v>
      </c>
      <c r="C390" s="30"/>
      <c r="D390" s="30"/>
      <c r="E390" s="30"/>
      <c r="F390" s="30"/>
      <c r="G390" s="90">
        <f t="shared" si="5"/>
        <v>0</v>
      </c>
      <c r="H390" s="42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</row>
    <row r="391" ht="15.75" customHeight="1" spans="1:19">
      <c r="A391" s="28">
        <v>46112</v>
      </c>
      <c r="B391" s="29">
        <v>46112</v>
      </c>
      <c r="C391" s="30"/>
      <c r="D391" s="30"/>
      <c r="E391" s="30"/>
      <c r="F391" s="30"/>
      <c r="G391" s="90">
        <f t="shared" si="5"/>
        <v>0</v>
      </c>
      <c r="H391" s="42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</row>
    <row r="392" ht="15.75" customHeight="1" spans="1:19">
      <c r="A392" s="28">
        <v>46112</v>
      </c>
      <c r="B392" s="29">
        <v>46112</v>
      </c>
      <c r="C392" s="30"/>
      <c r="D392" s="30"/>
      <c r="E392" s="30"/>
      <c r="F392" s="30"/>
      <c r="G392" s="90">
        <f t="shared" si="5"/>
        <v>0</v>
      </c>
      <c r="H392" s="42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</row>
    <row r="393" ht="15.75" customHeight="1" spans="1:19">
      <c r="A393" s="28">
        <v>46112</v>
      </c>
      <c r="B393" s="29">
        <v>46112</v>
      </c>
      <c r="C393" s="30"/>
      <c r="D393" s="30"/>
      <c r="E393" s="30"/>
      <c r="F393" s="30"/>
      <c r="G393" s="90">
        <f t="shared" si="5"/>
        <v>0</v>
      </c>
      <c r="H393" s="42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</row>
    <row r="394" ht="15.75" customHeight="1" spans="1:19">
      <c r="A394" s="28">
        <v>46112</v>
      </c>
      <c r="B394" s="29">
        <v>46112</v>
      </c>
      <c r="C394" s="30"/>
      <c r="D394" s="30"/>
      <c r="E394" s="30"/>
      <c r="F394" s="30"/>
      <c r="G394" s="90">
        <f t="shared" si="5"/>
        <v>0</v>
      </c>
      <c r="H394" s="42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</row>
    <row r="395" ht="15.75" customHeight="1" spans="1:19">
      <c r="A395" s="28">
        <v>46112</v>
      </c>
      <c r="B395" s="29">
        <v>46112</v>
      </c>
      <c r="C395" s="30"/>
      <c r="D395" s="30"/>
      <c r="E395" s="30"/>
      <c r="F395" s="30"/>
      <c r="G395" s="90">
        <f t="shared" si="5"/>
        <v>0</v>
      </c>
      <c r="H395" s="42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</row>
    <row r="396" ht="15.75" customHeight="1" spans="1:19">
      <c r="A396" s="28">
        <v>46112</v>
      </c>
      <c r="B396" s="29">
        <v>46112</v>
      </c>
      <c r="C396" s="30"/>
      <c r="D396" s="30"/>
      <c r="E396" s="30"/>
      <c r="F396" s="30"/>
      <c r="G396" s="90">
        <f t="shared" si="5"/>
        <v>0</v>
      </c>
      <c r="H396" s="42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</row>
    <row r="397" ht="15.75" customHeight="1" spans="1:19">
      <c r="A397" s="28">
        <v>46112</v>
      </c>
      <c r="B397" s="29">
        <v>46112</v>
      </c>
      <c r="C397" s="30"/>
      <c r="D397" s="30"/>
      <c r="E397" s="30"/>
      <c r="F397" s="30"/>
      <c r="G397" s="90">
        <f t="shared" si="5"/>
        <v>0</v>
      </c>
      <c r="H397" s="42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</row>
    <row r="398" ht="15.75" customHeight="1" spans="1:19">
      <c r="A398" s="28">
        <v>46112</v>
      </c>
      <c r="B398" s="29">
        <v>46112</v>
      </c>
      <c r="C398" s="30"/>
      <c r="D398" s="30"/>
      <c r="E398" s="30"/>
      <c r="F398" s="30"/>
      <c r="G398" s="90">
        <f t="shared" si="5"/>
        <v>0</v>
      </c>
      <c r="H398" s="42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</row>
    <row r="399" ht="15.75" customHeight="1" spans="1:19">
      <c r="A399" s="28">
        <v>46112</v>
      </c>
      <c r="B399" s="29">
        <v>46112</v>
      </c>
      <c r="C399" s="30"/>
      <c r="D399" s="30"/>
      <c r="E399" s="30"/>
      <c r="F399" s="30"/>
      <c r="G399" s="90">
        <f t="shared" si="5"/>
        <v>0</v>
      </c>
      <c r="H399" s="42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</row>
    <row r="400" ht="15.75" customHeight="1" spans="1:19">
      <c r="A400" s="28">
        <v>46112</v>
      </c>
      <c r="B400" s="29">
        <v>46112</v>
      </c>
      <c r="C400" s="30"/>
      <c r="D400" s="30"/>
      <c r="E400" s="30"/>
      <c r="F400" s="30"/>
      <c r="G400" s="90">
        <f t="shared" si="5"/>
        <v>0</v>
      </c>
      <c r="H400" s="42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</row>
    <row r="401" ht="15.75" customHeight="1" spans="1:19">
      <c r="A401" s="28">
        <v>46112</v>
      </c>
      <c r="B401" s="29">
        <v>46112</v>
      </c>
      <c r="C401" s="30"/>
      <c r="D401" s="30"/>
      <c r="E401" s="30"/>
      <c r="F401" s="30"/>
      <c r="G401" s="90">
        <f t="shared" si="5"/>
        <v>0</v>
      </c>
      <c r="H401" s="42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</row>
    <row r="402" ht="15.75" customHeight="1" spans="1:19">
      <c r="A402" s="28">
        <v>46112</v>
      </c>
      <c r="B402" s="29">
        <v>46112</v>
      </c>
      <c r="C402" s="30"/>
      <c r="D402" s="30"/>
      <c r="E402" s="30"/>
      <c r="F402" s="30"/>
      <c r="G402" s="90">
        <f t="shared" si="5"/>
        <v>0</v>
      </c>
      <c r="H402" s="42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</row>
    <row r="403" ht="15.75" customHeight="1" spans="1:19">
      <c r="A403" s="28">
        <v>46112</v>
      </c>
      <c r="B403" s="29">
        <v>46112</v>
      </c>
      <c r="C403" s="30"/>
      <c r="D403" s="30"/>
      <c r="E403" s="30"/>
      <c r="F403" s="30"/>
      <c r="G403" s="90">
        <f t="shared" si="5"/>
        <v>0</v>
      </c>
      <c r="H403" s="42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</row>
    <row r="404" ht="15.75" customHeight="1" spans="1:19">
      <c r="A404" s="28">
        <v>46112</v>
      </c>
      <c r="B404" s="29">
        <v>46112</v>
      </c>
      <c r="C404" s="30"/>
      <c r="D404" s="30"/>
      <c r="E404" s="30"/>
      <c r="F404" s="30"/>
      <c r="G404" s="90">
        <f t="shared" si="5"/>
        <v>0</v>
      </c>
      <c r="H404" s="42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</row>
    <row r="405" ht="15.75" customHeight="1" spans="1:19">
      <c r="A405" s="28">
        <v>46112</v>
      </c>
      <c r="B405" s="29">
        <v>46112</v>
      </c>
      <c r="C405" s="30"/>
      <c r="D405" s="30"/>
      <c r="E405" s="30"/>
      <c r="F405" s="30"/>
      <c r="G405" s="90">
        <f t="shared" si="5"/>
        <v>0</v>
      </c>
      <c r="H405" s="42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</row>
    <row r="406" ht="15.75" customHeight="1" spans="1:19">
      <c r="A406" s="28">
        <v>46112</v>
      </c>
      <c r="B406" s="29">
        <v>46112</v>
      </c>
      <c r="C406" s="30"/>
      <c r="D406" s="30"/>
      <c r="E406" s="30"/>
      <c r="F406" s="30"/>
      <c r="G406" s="90">
        <f t="shared" si="5"/>
        <v>0</v>
      </c>
      <c r="H406" s="42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</row>
    <row r="407" ht="15.75" customHeight="1" spans="1:19">
      <c r="A407" s="28">
        <v>46112</v>
      </c>
      <c r="B407" s="29">
        <v>46112</v>
      </c>
      <c r="C407" s="30"/>
      <c r="D407" s="30"/>
      <c r="E407" s="30"/>
      <c r="F407" s="30"/>
      <c r="G407" s="90">
        <f t="shared" si="5"/>
        <v>0</v>
      </c>
      <c r="H407" s="42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</row>
    <row r="408" ht="15.75" customHeight="1" spans="1:19">
      <c r="A408" s="28">
        <v>46112</v>
      </c>
      <c r="B408" s="29">
        <v>46112</v>
      </c>
      <c r="C408" s="30"/>
      <c r="D408" s="30"/>
      <c r="E408" s="30"/>
      <c r="F408" s="30"/>
      <c r="G408" s="90">
        <f t="shared" si="5"/>
        <v>0</v>
      </c>
      <c r="H408" s="42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</row>
    <row r="409" ht="15.75" customHeight="1" spans="1:19">
      <c r="A409" s="28">
        <v>46112</v>
      </c>
      <c r="B409" s="29">
        <v>46112</v>
      </c>
      <c r="C409" s="30"/>
      <c r="D409" s="30"/>
      <c r="E409" s="30"/>
      <c r="F409" s="30"/>
      <c r="G409" s="90">
        <f t="shared" si="5"/>
        <v>0</v>
      </c>
      <c r="H409" s="42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</row>
    <row r="410" ht="15.75" customHeight="1" spans="1:19">
      <c r="A410" s="28">
        <v>46112</v>
      </c>
      <c r="B410" s="29">
        <v>46112</v>
      </c>
      <c r="C410" s="30"/>
      <c r="D410" s="30"/>
      <c r="E410" s="30"/>
      <c r="F410" s="30"/>
      <c r="G410" s="90">
        <f t="shared" si="5"/>
        <v>0</v>
      </c>
      <c r="H410" s="42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</row>
    <row r="411" ht="15.75" customHeight="1" spans="1:19">
      <c r="A411" s="28">
        <v>46112</v>
      </c>
      <c r="B411" s="29">
        <v>46112</v>
      </c>
      <c r="C411" s="30"/>
      <c r="D411" s="30"/>
      <c r="E411" s="30"/>
      <c r="F411" s="30"/>
      <c r="G411" s="90">
        <f t="shared" si="5"/>
        <v>0</v>
      </c>
      <c r="H411" s="42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</row>
    <row r="412" ht="15.75" customHeight="1" spans="1:19">
      <c r="A412" s="28">
        <v>46112</v>
      </c>
      <c r="B412" s="29">
        <v>46112</v>
      </c>
      <c r="C412" s="30"/>
      <c r="D412" s="30"/>
      <c r="E412" s="30"/>
      <c r="F412" s="30"/>
      <c r="G412" s="90">
        <f t="shared" si="5"/>
        <v>0</v>
      </c>
      <c r="H412" s="42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</row>
    <row r="413" ht="15.75" customHeight="1" spans="1:19">
      <c r="A413" s="28">
        <v>46112</v>
      </c>
      <c r="B413" s="29">
        <v>46112</v>
      </c>
      <c r="C413" s="30"/>
      <c r="D413" s="30"/>
      <c r="E413" s="30"/>
      <c r="F413" s="30"/>
      <c r="G413" s="90">
        <f t="shared" si="5"/>
        <v>0</v>
      </c>
      <c r="H413" s="42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</row>
    <row r="414" ht="15.75" customHeight="1" spans="1:19">
      <c r="A414" s="28">
        <v>46112</v>
      </c>
      <c r="B414" s="29">
        <v>46112</v>
      </c>
      <c r="C414" s="30"/>
      <c r="D414" s="30"/>
      <c r="E414" s="30"/>
      <c r="F414" s="30"/>
      <c r="G414" s="90">
        <f t="shared" si="5"/>
        <v>0</v>
      </c>
      <c r="H414" s="42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</row>
    <row r="415" ht="15.75" customHeight="1" spans="1:19">
      <c r="A415" s="28">
        <v>46112</v>
      </c>
      <c r="B415" s="29">
        <v>46112</v>
      </c>
      <c r="C415" s="30"/>
      <c r="D415" s="30"/>
      <c r="E415" s="30"/>
      <c r="F415" s="30"/>
      <c r="G415" s="90">
        <f t="shared" si="5"/>
        <v>0</v>
      </c>
      <c r="H415" s="42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</row>
    <row r="416" ht="15.75" customHeight="1" spans="1:19">
      <c r="A416" s="28">
        <v>46112</v>
      </c>
      <c r="B416" s="29">
        <v>46112</v>
      </c>
      <c r="C416" s="30"/>
      <c r="D416" s="30"/>
      <c r="E416" s="30"/>
      <c r="F416" s="30"/>
      <c r="G416" s="90">
        <f t="shared" si="5"/>
        <v>0</v>
      </c>
      <c r="H416" s="42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</row>
    <row r="417" ht="15.75" customHeight="1" spans="1:19">
      <c r="A417" s="28">
        <v>46112</v>
      </c>
      <c r="B417" s="29">
        <v>46112</v>
      </c>
      <c r="C417" s="30"/>
      <c r="D417" s="30"/>
      <c r="E417" s="30"/>
      <c r="F417" s="30"/>
      <c r="G417" s="90">
        <f t="shared" si="5"/>
        <v>0</v>
      </c>
      <c r="H417" s="42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</row>
    <row r="418" ht="15.75" customHeight="1" spans="1:19">
      <c r="A418" s="28">
        <v>46112</v>
      </c>
      <c r="B418" s="29">
        <v>46112</v>
      </c>
      <c r="C418" s="30"/>
      <c r="D418" s="30"/>
      <c r="E418" s="30"/>
      <c r="F418" s="30"/>
      <c r="G418" s="90">
        <f t="shared" si="5"/>
        <v>0</v>
      </c>
      <c r="H418" s="42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</row>
    <row r="419" ht="15.75" customHeight="1" spans="1:19">
      <c r="A419" s="28">
        <v>46112</v>
      </c>
      <c r="B419" s="29">
        <v>46112</v>
      </c>
      <c r="C419" s="30"/>
      <c r="D419" s="30"/>
      <c r="E419" s="30"/>
      <c r="F419" s="30"/>
      <c r="G419" s="90">
        <f t="shared" si="5"/>
        <v>0</v>
      </c>
      <c r="H419" s="42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</row>
    <row r="420" ht="15.75" customHeight="1" spans="1:19">
      <c r="A420" s="28">
        <v>46112</v>
      </c>
      <c r="B420" s="29">
        <v>46112</v>
      </c>
      <c r="C420" s="30"/>
      <c r="D420" s="30"/>
      <c r="E420" s="30"/>
      <c r="F420" s="30"/>
      <c r="G420" s="90">
        <f t="shared" si="5"/>
        <v>0</v>
      </c>
      <c r="H420" s="42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</row>
    <row r="421" ht="15.75" customHeight="1" spans="1:19">
      <c r="A421" s="28">
        <v>46112</v>
      </c>
      <c r="B421" s="29">
        <v>46112</v>
      </c>
      <c r="C421" s="30"/>
      <c r="D421" s="30"/>
      <c r="E421" s="30"/>
      <c r="F421" s="30"/>
      <c r="G421" s="90">
        <f t="shared" si="5"/>
        <v>0</v>
      </c>
      <c r="H421" s="42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</row>
    <row r="422" ht="15.75" customHeight="1" spans="1:19">
      <c r="A422" s="28">
        <v>46112</v>
      </c>
      <c r="B422" s="29">
        <v>46112</v>
      </c>
      <c r="C422" s="30"/>
      <c r="D422" s="30"/>
      <c r="E422" s="30"/>
      <c r="F422" s="30"/>
      <c r="G422" s="90">
        <f t="shared" si="5"/>
        <v>0</v>
      </c>
      <c r="H422" s="42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</row>
    <row r="423" ht="15.75" customHeight="1" spans="1:19">
      <c r="A423" s="28">
        <v>46112</v>
      </c>
      <c r="B423" s="29">
        <v>46112</v>
      </c>
      <c r="C423" s="30"/>
      <c r="D423" s="30"/>
      <c r="E423" s="30"/>
      <c r="F423" s="30"/>
      <c r="G423" s="90">
        <f t="shared" si="5"/>
        <v>0</v>
      </c>
      <c r="H423" s="42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</row>
    <row r="424" ht="15.75" customHeight="1" spans="1:19">
      <c r="A424" s="28">
        <v>46112</v>
      </c>
      <c r="B424" s="29">
        <v>46112</v>
      </c>
      <c r="C424" s="30"/>
      <c r="D424" s="30"/>
      <c r="E424" s="30"/>
      <c r="F424" s="30"/>
      <c r="G424" s="90">
        <f t="shared" si="5"/>
        <v>0</v>
      </c>
      <c r="H424" s="42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</row>
    <row r="425" ht="15.75" customHeight="1" spans="1:19">
      <c r="A425" s="28">
        <v>46112</v>
      </c>
      <c r="B425" s="29">
        <v>46112</v>
      </c>
      <c r="C425" s="30"/>
      <c r="D425" s="30"/>
      <c r="E425" s="30"/>
      <c r="F425" s="30"/>
      <c r="G425" s="90">
        <f t="shared" si="5"/>
        <v>0</v>
      </c>
      <c r="H425" s="42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</row>
    <row r="426" ht="15.75" customHeight="1" spans="1:19">
      <c r="A426" s="28">
        <v>46112</v>
      </c>
      <c r="B426" s="29">
        <v>46112</v>
      </c>
      <c r="C426" s="30"/>
      <c r="D426" s="30"/>
      <c r="E426" s="30"/>
      <c r="F426" s="30"/>
      <c r="G426" s="90">
        <f t="shared" si="5"/>
        <v>0</v>
      </c>
      <c r="H426" s="42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</row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paperSize="9" fitToWidth="0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N1000"/>
  <sheetViews>
    <sheetView topLeftCell="A17" workbookViewId="0">
      <selection activeCell="M29" sqref="M29"/>
    </sheetView>
  </sheetViews>
  <sheetFormatPr defaultColWidth="12" defaultRowHeight="15" customHeight="1"/>
  <cols>
    <col min="1" max="1" width="10.25" style="56" customWidth="1"/>
    <col min="2" max="2" width="9.375" style="56" customWidth="1"/>
    <col min="3" max="3" width="18" style="56" customWidth="1"/>
    <col min="4" max="4" width="14.5" style="56" customWidth="1"/>
    <col min="5" max="5" width="14.375" style="56" customWidth="1"/>
    <col min="6" max="6" width="14.75" style="56" customWidth="1"/>
    <col min="7" max="7" width="24.75" style="56" customWidth="1"/>
    <col min="8" max="8" width="22" style="56" customWidth="1"/>
    <col min="9" max="9" width="13.5" style="56" customWidth="1"/>
    <col min="10" max="10" width="15.875" style="56" customWidth="1"/>
    <col min="11" max="11" width="18.25" style="56" customWidth="1"/>
    <col min="12" max="12" width="8.25" style="56" customWidth="1"/>
    <col min="13" max="13" width="54.75" style="56" customWidth="1"/>
    <col min="14" max="26" width="14.375" style="56" customWidth="1"/>
    <col min="27" max="16384" width="12" style="56"/>
  </cols>
  <sheetData>
    <row r="1" ht="14.25" customHeight="1" spans="1:14">
      <c r="A1" s="57" t="s">
        <v>199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ht="14.25" customHeight="1" spans="1:14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ht="14.25" customHeight="1" spans="1:14">
      <c r="A3" s="59" t="s">
        <v>2</v>
      </c>
      <c r="B3" s="59" t="s">
        <v>1</v>
      </c>
      <c r="C3" s="59" t="s">
        <v>200</v>
      </c>
      <c r="D3" s="59" t="s">
        <v>141</v>
      </c>
      <c r="E3" s="59" t="s">
        <v>142</v>
      </c>
      <c r="F3" s="59" t="s">
        <v>143</v>
      </c>
      <c r="G3" s="60" t="s">
        <v>201</v>
      </c>
      <c r="H3" s="60" t="s">
        <v>202</v>
      </c>
      <c r="I3" s="60" t="s">
        <v>144</v>
      </c>
      <c r="J3" s="60" t="s">
        <v>145</v>
      </c>
      <c r="K3" s="60" t="s">
        <v>146</v>
      </c>
      <c r="L3" s="61" t="s">
        <v>147</v>
      </c>
      <c r="M3" s="62" t="s">
        <v>203</v>
      </c>
      <c r="N3" s="63"/>
    </row>
    <row r="4" ht="14.25" customHeight="1" spans="1:14">
      <c r="A4" s="28">
        <v>45751</v>
      </c>
      <c r="B4" s="64">
        <v>45751</v>
      </c>
      <c r="C4" s="65">
        <v>1</v>
      </c>
      <c r="D4" s="66">
        <v>0.517361111111111</v>
      </c>
      <c r="E4" s="66">
        <v>0.631944444444444</v>
      </c>
      <c r="F4" s="66">
        <v>0.114583333333333</v>
      </c>
      <c r="G4" s="65"/>
      <c r="H4" s="65"/>
      <c r="I4" s="67">
        <v>2411</v>
      </c>
      <c r="J4" s="65"/>
      <c r="K4" s="65"/>
      <c r="L4" s="68"/>
      <c r="M4" s="69" t="s">
        <v>204</v>
      </c>
      <c r="N4" s="70"/>
    </row>
    <row r="5" ht="14.25" customHeight="1" spans="1:14">
      <c r="A5" s="28">
        <v>45751</v>
      </c>
      <c r="B5" s="64">
        <v>45812</v>
      </c>
      <c r="C5" s="65">
        <v>1</v>
      </c>
      <c r="D5" s="66">
        <v>0.527777777777778</v>
      </c>
      <c r="E5" s="66">
        <v>0.59375</v>
      </c>
      <c r="F5" s="66">
        <v>0.0659722222222222</v>
      </c>
      <c r="G5" s="65"/>
      <c r="H5" s="65"/>
      <c r="I5" s="67">
        <v>2411</v>
      </c>
      <c r="J5" s="65"/>
      <c r="K5" s="65"/>
      <c r="L5" s="68"/>
      <c r="M5" s="69" t="s">
        <v>204</v>
      </c>
      <c r="N5" s="63"/>
    </row>
    <row r="6" ht="14.25" customHeight="1" spans="1:14">
      <c r="A6" s="28">
        <v>45751</v>
      </c>
      <c r="B6" s="64" t="s">
        <v>205</v>
      </c>
      <c r="C6" s="65">
        <v>1</v>
      </c>
      <c r="D6" s="66">
        <v>0.533333333333333</v>
      </c>
      <c r="E6" s="66">
        <v>0.583333333333333</v>
      </c>
      <c r="F6" s="66">
        <v>0.05</v>
      </c>
      <c r="G6" s="65"/>
      <c r="H6" s="65"/>
      <c r="I6" s="67">
        <v>2411</v>
      </c>
      <c r="J6" s="65"/>
      <c r="K6" s="65"/>
      <c r="L6" s="68"/>
      <c r="M6" s="69" t="s">
        <v>204</v>
      </c>
    </row>
    <row r="7" ht="14.25" customHeight="1" spans="1:14">
      <c r="A7" s="28">
        <v>45751</v>
      </c>
      <c r="B7" s="65" t="s">
        <v>206</v>
      </c>
      <c r="C7" s="65">
        <v>1</v>
      </c>
      <c r="D7" s="66">
        <v>0.270833333333333</v>
      </c>
      <c r="E7" s="66">
        <v>0.559027777777778</v>
      </c>
      <c r="F7" s="66">
        <v>0.288194444444444</v>
      </c>
      <c r="G7" s="65"/>
      <c r="H7" s="65"/>
      <c r="I7" s="67">
        <v>2411</v>
      </c>
      <c r="J7" s="65"/>
      <c r="K7" s="65"/>
      <c r="L7" s="68"/>
      <c r="M7" s="71" t="s">
        <v>207</v>
      </c>
    </row>
    <row r="8" ht="14.25" customHeight="1" spans="1:14">
      <c r="A8" s="28">
        <v>45751</v>
      </c>
      <c r="B8" s="64" t="s">
        <v>208</v>
      </c>
      <c r="C8" s="65">
        <v>1</v>
      </c>
      <c r="D8" s="66">
        <v>0.7125</v>
      </c>
      <c r="E8" s="66">
        <v>0.729166666666667</v>
      </c>
      <c r="F8" s="66">
        <v>0.0166666666666667</v>
      </c>
      <c r="G8" s="65"/>
      <c r="H8" s="65"/>
      <c r="I8" s="67">
        <v>2411</v>
      </c>
      <c r="J8" s="65"/>
      <c r="K8" s="65"/>
      <c r="L8" s="68"/>
      <c r="M8" s="71" t="s">
        <v>209</v>
      </c>
    </row>
    <row r="9" ht="14.25" customHeight="1" spans="1:14">
      <c r="A9" s="28">
        <v>45811</v>
      </c>
      <c r="B9" s="64">
        <v>45844</v>
      </c>
      <c r="C9" s="65">
        <v>1</v>
      </c>
      <c r="D9" s="66">
        <v>0.34375</v>
      </c>
      <c r="E9" s="66">
        <v>0.395833333333333</v>
      </c>
      <c r="F9" s="66">
        <v>0.0520833333333333</v>
      </c>
      <c r="G9" s="65"/>
      <c r="H9" s="65"/>
      <c r="I9" s="67">
        <v>2411</v>
      </c>
      <c r="J9" s="65"/>
      <c r="K9" s="65"/>
      <c r="L9" s="68"/>
      <c r="M9" s="52" t="s">
        <v>169</v>
      </c>
    </row>
    <row r="10" ht="14.25" customHeight="1" spans="1:14">
      <c r="A10" s="28">
        <v>45811</v>
      </c>
      <c r="B10" s="64">
        <v>45936</v>
      </c>
      <c r="C10" s="65">
        <v>1</v>
      </c>
      <c r="D10" s="66">
        <v>0.638888888888889</v>
      </c>
      <c r="E10" s="66">
        <v>0.701388888888889</v>
      </c>
      <c r="F10" s="66">
        <v>0.0625</v>
      </c>
      <c r="G10" s="65"/>
      <c r="H10" s="65"/>
      <c r="I10" s="67">
        <v>2411</v>
      </c>
      <c r="J10" s="65"/>
      <c r="K10" s="65"/>
      <c r="L10" s="68"/>
      <c r="M10" s="69" t="s">
        <v>204</v>
      </c>
    </row>
    <row r="11" ht="14.25" customHeight="1" spans="1:14">
      <c r="A11" s="28">
        <v>45811</v>
      </c>
      <c r="B11" s="64" t="s">
        <v>210</v>
      </c>
      <c r="C11" s="65">
        <v>1</v>
      </c>
      <c r="D11" s="66">
        <v>0.368055555555556</v>
      </c>
      <c r="E11" s="66">
        <v>0.381944444444444</v>
      </c>
      <c r="F11" s="66">
        <v>0.0138888888888889</v>
      </c>
      <c r="G11" s="65"/>
      <c r="H11" s="65"/>
      <c r="I11" s="67">
        <v>2411</v>
      </c>
      <c r="J11" s="65"/>
      <c r="K11" s="65"/>
      <c r="L11" s="68"/>
      <c r="M11" s="71" t="s">
        <v>211</v>
      </c>
    </row>
    <row r="12" ht="14.25" customHeight="1" spans="1:14">
      <c r="A12" s="28">
        <v>45811</v>
      </c>
      <c r="B12" s="64" t="s">
        <v>212</v>
      </c>
      <c r="C12" s="65">
        <v>1</v>
      </c>
      <c r="D12" s="66">
        <v>0.291666666666667</v>
      </c>
      <c r="E12" s="66">
        <v>0.472222222222222</v>
      </c>
      <c r="F12" s="66">
        <v>0.180555555555556</v>
      </c>
      <c r="G12" s="65"/>
      <c r="H12" s="65"/>
      <c r="I12" s="67">
        <v>2411</v>
      </c>
      <c r="J12" s="65"/>
      <c r="K12" s="65"/>
      <c r="L12" s="68"/>
      <c r="M12" s="71" t="s">
        <v>209</v>
      </c>
    </row>
    <row r="13" ht="14.25" customHeight="1" spans="1:14">
      <c r="A13" s="28">
        <v>45839</v>
      </c>
      <c r="B13" s="64">
        <v>45998</v>
      </c>
      <c r="C13" s="65">
        <v>1</v>
      </c>
      <c r="D13" s="66">
        <v>0.444444444444444</v>
      </c>
      <c r="E13" s="66">
        <v>0.496527777777778</v>
      </c>
      <c r="F13" s="66">
        <v>0.0486111111111111</v>
      </c>
      <c r="G13" s="65"/>
      <c r="H13" s="65"/>
      <c r="I13" s="67">
        <v>2411</v>
      </c>
      <c r="J13" s="65"/>
      <c r="K13" s="65"/>
      <c r="L13" s="68"/>
      <c r="M13" s="71" t="s">
        <v>213</v>
      </c>
    </row>
    <row r="14" ht="14.25" customHeight="1" spans="1:14">
      <c r="A14" s="28">
        <v>45839</v>
      </c>
      <c r="B14" s="65" t="s">
        <v>214</v>
      </c>
      <c r="C14" s="65">
        <v>1</v>
      </c>
      <c r="D14" s="66">
        <v>0.465277777777778</v>
      </c>
      <c r="E14" s="66">
        <v>0.576388888888889</v>
      </c>
      <c r="F14" s="66">
        <v>0.111111111111111</v>
      </c>
      <c r="G14" s="65"/>
      <c r="H14" s="65"/>
      <c r="I14" s="67">
        <v>2411</v>
      </c>
      <c r="J14" s="65"/>
      <c r="K14" s="65"/>
      <c r="L14" s="68"/>
      <c r="M14" s="71" t="s">
        <v>213</v>
      </c>
    </row>
    <row r="15" ht="14.25" customHeight="1" spans="1:14">
      <c r="A15" s="28">
        <v>45839</v>
      </c>
      <c r="B15" s="65" t="s">
        <v>215</v>
      </c>
      <c r="C15" s="65">
        <v>1</v>
      </c>
      <c r="D15" s="66">
        <v>0.375</v>
      </c>
      <c r="E15" s="66">
        <v>0.482638888888889</v>
      </c>
      <c r="F15" s="66">
        <v>0.107638888888889</v>
      </c>
      <c r="G15" s="65"/>
      <c r="H15" s="65"/>
      <c r="I15" s="67">
        <v>2411</v>
      </c>
      <c r="J15" s="65"/>
      <c r="K15" s="65"/>
      <c r="L15" s="68"/>
      <c r="M15" s="52" t="s">
        <v>216</v>
      </c>
    </row>
    <row r="16" ht="14.25" customHeight="1" spans="1:14">
      <c r="A16" s="28">
        <v>45926</v>
      </c>
      <c r="B16" s="65" t="s">
        <v>217</v>
      </c>
      <c r="C16" s="65">
        <v>1</v>
      </c>
      <c r="D16" s="66">
        <v>0.3125</v>
      </c>
      <c r="E16" s="66">
        <v>0.5</v>
      </c>
      <c r="F16" s="66">
        <v>0.1875</v>
      </c>
      <c r="G16" s="65"/>
      <c r="H16" s="65"/>
      <c r="I16" s="67">
        <v>2411</v>
      </c>
      <c r="J16" s="65"/>
      <c r="K16" s="65"/>
      <c r="L16" s="68"/>
      <c r="M16" s="52" t="s">
        <v>218</v>
      </c>
    </row>
    <row r="17" ht="14.25" customHeight="1" spans="1:13">
      <c r="A17" s="28">
        <v>45936</v>
      </c>
      <c r="B17" s="64">
        <v>45971</v>
      </c>
      <c r="C17" s="65">
        <v>1</v>
      </c>
      <c r="D17" s="66">
        <v>0.53125</v>
      </c>
      <c r="E17" s="66">
        <v>0.604166666666667</v>
      </c>
      <c r="F17" s="66">
        <v>0.0729166666666667</v>
      </c>
      <c r="G17" s="65"/>
      <c r="H17" s="65"/>
      <c r="I17" s="67">
        <v>2411</v>
      </c>
      <c r="J17" s="65"/>
      <c r="K17" s="65"/>
      <c r="L17" s="68"/>
      <c r="M17" s="52" t="s">
        <v>219</v>
      </c>
    </row>
    <row r="18" ht="14.25" customHeight="1" spans="1:13">
      <c r="A18" s="28">
        <v>45973</v>
      </c>
      <c r="B18" s="64">
        <v>45972</v>
      </c>
      <c r="C18" s="65">
        <v>1</v>
      </c>
      <c r="D18" s="66">
        <v>0.5</v>
      </c>
      <c r="E18" s="66">
        <v>0.565972222222222</v>
      </c>
      <c r="F18" s="66">
        <v>0.0659722222222222</v>
      </c>
      <c r="G18" s="65"/>
      <c r="H18" s="65"/>
      <c r="I18" s="67">
        <v>2411</v>
      </c>
      <c r="J18" s="65"/>
      <c r="K18" s="65"/>
      <c r="L18" s="68"/>
      <c r="M18" s="52" t="s">
        <v>220</v>
      </c>
    </row>
    <row r="19" ht="14.25" customHeight="1" spans="1:13">
      <c r="A19" s="28">
        <v>46012</v>
      </c>
      <c r="B19" s="65" t="s">
        <v>221</v>
      </c>
      <c r="C19" s="65">
        <v>1</v>
      </c>
      <c r="D19" s="66">
        <v>0.472222222222222</v>
      </c>
      <c r="E19" s="66">
        <v>0.53125</v>
      </c>
      <c r="F19" s="66">
        <v>0.0590277777777778</v>
      </c>
      <c r="G19" s="65"/>
      <c r="H19" s="65"/>
      <c r="I19" s="67">
        <v>2411</v>
      </c>
      <c r="J19" s="65"/>
      <c r="K19" s="65"/>
      <c r="L19" s="68"/>
      <c r="M19" s="52" t="s">
        <v>192</v>
      </c>
    </row>
    <row r="20" ht="14.25" customHeight="1" spans="1:13">
      <c r="A20" s="28">
        <v>46012</v>
      </c>
      <c r="B20" s="65" t="s">
        <v>222</v>
      </c>
      <c r="C20" s="65">
        <v>1</v>
      </c>
      <c r="D20" s="66">
        <v>0.534722222222222</v>
      </c>
      <c r="E20" s="66">
        <v>0.538194444444444</v>
      </c>
      <c r="F20" s="66">
        <v>0.00347222222222222</v>
      </c>
      <c r="G20" s="65"/>
      <c r="H20" s="65"/>
      <c r="I20" s="67">
        <v>2411</v>
      </c>
      <c r="J20" s="65"/>
      <c r="K20" s="65"/>
      <c r="L20" s="68"/>
      <c r="M20" s="52" t="s">
        <v>223</v>
      </c>
    </row>
    <row r="21" ht="14.25" customHeight="1" spans="1:13">
      <c r="A21" s="72">
        <v>46034</v>
      </c>
      <c r="B21" s="73">
        <v>46113</v>
      </c>
      <c r="C21" s="74">
        <v>1</v>
      </c>
      <c r="D21" s="75">
        <v>0.496527777777778</v>
      </c>
      <c r="E21" s="75">
        <v>0.509027777777778</v>
      </c>
      <c r="F21" s="75">
        <v>0.0125</v>
      </c>
      <c r="G21" s="74"/>
      <c r="H21" s="74"/>
      <c r="I21" s="76">
        <v>2411</v>
      </c>
      <c r="J21" s="74"/>
      <c r="K21" s="74"/>
      <c r="L21" s="77"/>
      <c r="M21" s="78" t="s">
        <v>224</v>
      </c>
    </row>
    <row r="22" ht="14.25" customHeight="1" spans="1:13">
      <c r="A22" s="72">
        <v>46034</v>
      </c>
      <c r="B22" s="79">
        <v>46174</v>
      </c>
      <c r="C22" s="52">
        <v>1</v>
      </c>
      <c r="D22" s="80">
        <v>0.616666666666667</v>
      </c>
      <c r="E22" s="80">
        <v>0.631944444444444</v>
      </c>
      <c r="F22" s="80">
        <v>0.0152777777777778</v>
      </c>
      <c r="G22" s="52"/>
      <c r="H22" s="52"/>
      <c r="I22" s="81">
        <v>2411</v>
      </c>
      <c r="J22" s="52"/>
      <c r="K22" s="52"/>
      <c r="L22" s="52"/>
      <c r="M22" s="78" t="s">
        <v>224</v>
      </c>
    </row>
    <row r="23" ht="14.25" customHeight="1" spans="1:13">
      <c r="A23" s="72">
        <v>46034</v>
      </c>
      <c r="B23" s="82">
        <v>46266</v>
      </c>
      <c r="C23" s="52">
        <v>1</v>
      </c>
      <c r="D23" s="80">
        <v>0.489583333333333</v>
      </c>
      <c r="E23" s="80">
        <v>0.522916666666667</v>
      </c>
      <c r="F23" s="80">
        <v>0.0333333333333333</v>
      </c>
      <c r="G23" s="52"/>
      <c r="H23" s="52"/>
      <c r="I23" s="81">
        <v>2411</v>
      </c>
      <c r="J23" s="52"/>
      <c r="K23" s="52"/>
      <c r="L23" s="52"/>
      <c r="M23" s="52" t="s">
        <v>197</v>
      </c>
    </row>
    <row r="24" ht="14.25" customHeight="1" spans="1:13">
      <c r="A24" s="72">
        <v>46034</v>
      </c>
      <c r="B24" s="52" t="s">
        <v>225</v>
      </c>
      <c r="C24" s="52">
        <v>1</v>
      </c>
      <c r="D24" s="80">
        <v>0.677083333333333</v>
      </c>
      <c r="E24" s="80">
        <v>0.815972222222222</v>
      </c>
      <c r="F24" s="80">
        <v>0.138888888888889</v>
      </c>
      <c r="G24" s="52"/>
      <c r="H24" s="52"/>
      <c r="I24" s="81">
        <v>2411</v>
      </c>
      <c r="J24" s="52"/>
      <c r="K24" s="52"/>
      <c r="L24" s="52"/>
      <c r="M24" s="52" t="s">
        <v>226</v>
      </c>
    </row>
    <row r="25" ht="14.25" customHeight="1" spans="1:13">
      <c r="A25" s="28">
        <v>46082</v>
      </c>
      <c r="B25" s="82">
        <v>46107</v>
      </c>
      <c r="C25" s="52">
        <v>1</v>
      </c>
      <c r="D25" s="80">
        <v>0.534722222222222</v>
      </c>
      <c r="E25" s="80">
        <v>0.545138888888889</v>
      </c>
      <c r="F25" s="80">
        <v>0.0104166666666667</v>
      </c>
      <c r="G25" s="52"/>
      <c r="H25" s="52"/>
      <c r="I25" s="83">
        <v>2411</v>
      </c>
      <c r="J25" s="52"/>
      <c r="K25" s="52"/>
      <c r="L25" s="52"/>
      <c r="M25" s="52" t="s">
        <v>216</v>
      </c>
    </row>
    <row r="26" ht="14.25" customHeight="1" spans="1:13">
      <c r="A26" s="28">
        <v>46082</v>
      </c>
      <c r="B26" s="82">
        <v>46111</v>
      </c>
      <c r="C26" s="52">
        <v>1</v>
      </c>
      <c r="D26" s="84">
        <v>0.597222222222222</v>
      </c>
      <c r="E26" s="84">
        <v>0.604166666666667</v>
      </c>
      <c r="F26" s="84">
        <v>0.00694444444444444</v>
      </c>
      <c r="G26" s="52"/>
      <c r="H26" s="52"/>
      <c r="I26" s="83">
        <v>2411</v>
      </c>
      <c r="J26" s="52"/>
      <c r="K26" s="52"/>
      <c r="L26" s="52"/>
      <c r="M26" s="52" t="s">
        <v>227</v>
      </c>
    </row>
    <row r="27" ht="14.25" customHeight="1" spans="1:13">
      <c r="A27" s="28">
        <v>46113</v>
      </c>
      <c r="B27" s="82">
        <v>46119</v>
      </c>
      <c r="C27" s="52">
        <v>1</v>
      </c>
      <c r="D27" s="84">
        <v>0.479166666666667</v>
      </c>
      <c r="E27" s="84">
        <v>0.555555555555556</v>
      </c>
      <c r="F27" s="84">
        <v>0.0763888888888889</v>
      </c>
      <c r="G27" s="52"/>
      <c r="H27" s="52"/>
      <c r="I27" s="83">
        <v>2411</v>
      </c>
      <c r="J27" s="52"/>
      <c r="K27" s="52"/>
      <c r="L27" s="52"/>
      <c r="M27" s="52" t="s">
        <v>228</v>
      </c>
    </row>
    <row r="28" ht="14.25" customHeight="1" spans="1:13">
      <c r="A28" s="28">
        <v>46113</v>
      </c>
      <c r="B28" s="82">
        <v>46119</v>
      </c>
      <c r="C28" s="52">
        <v>1</v>
      </c>
      <c r="D28" s="84">
        <v>0.636805555555556</v>
      </c>
      <c r="E28" s="84">
        <v>0.64375</v>
      </c>
      <c r="F28" s="84">
        <v>0.00694444444444444</v>
      </c>
      <c r="G28" s="52"/>
      <c r="H28" s="52"/>
      <c r="I28" s="83">
        <v>2411</v>
      </c>
      <c r="J28" s="52"/>
      <c r="K28" s="52"/>
      <c r="L28" s="52"/>
      <c r="M28" s="52" t="s">
        <v>229</v>
      </c>
    </row>
    <row r="29" ht="14.25" customHeight="1" spans="1:13">
      <c r="A29" s="28">
        <v>46143</v>
      </c>
      <c r="B29" s="82">
        <v>46155</v>
      </c>
      <c r="C29" s="52">
        <v>1</v>
      </c>
      <c r="D29" s="84">
        <v>0.291666666666667</v>
      </c>
      <c r="E29" s="84">
        <v>0.725694444444444</v>
      </c>
      <c r="F29" s="84">
        <v>0.434027777777778</v>
      </c>
      <c r="G29" s="52"/>
      <c r="H29" s="52"/>
      <c r="I29" s="83">
        <v>2411</v>
      </c>
      <c r="J29" s="52"/>
      <c r="K29" s="52"/>
      <c r="L29" s="52"/>
      <c r="M29" s="52" t="s">
        <v>218</v>
      </c>
    </row>
    <row r="30" ht="14.25" customHeight="1" spans="1:13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</row>
    <row r="31" ht="14.25" customHeight="1" spans="1:13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</row>
    <row r="32" ht="14.25" customHeight="1" spans="1:13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</row>
    <row r="33" ht="14.25" customHeight="1" spans="1:1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</row>
    <row r="34" ht="14.25" customHeight="1" spans="1:13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</row>
    <row r="35" ht="14.25" customHeight="1" spans="1:13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</row>
    <row r="36" ht="14.25" customHeight="1" spans="1:13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</row>
    <row r="37" ht="14.25" customHeight="1" spans="1:13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</row>
    <row r="38" ht="14.25" customHeight="1" spans="1:13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</row>
    <row r="39" ht="14.25" customHeight="1" spans="1:13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</row>
    <row r="40" ht="14.25" customHeight="1" spans="1:13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</row>
    <row r="41" ht="14.25" customHeight="1" spans="1:13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</row>
    <row r="42" ht="14.25" customHeight="1" spans="1:13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</row>
    <row r="43" ht="14.25" customHeight="1" spans="1:1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</row>
    <row r="44" ht="14.25" customHeight="1" spans="1:13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</row>
    <row r="45" ht="14.25" customHeight="1" spans="1:13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</row>
    <row r="46" ht="14.25" customHeight="1" spans="1:13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</row>
    <row r="47" ht="14.25" customHeight="1" spans="1:13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</row>
    <row r="48" ht="14.25" customHeight="1" spans="1:13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</row>
    <row r="49" ht="14.25" customHeight="1" spans="1:13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</row>
    <row r="50" ht="14.25" customHeight="1" spans="1:13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fitToWidth="0" fitToHeight="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000"/>
  <sheetViews>
    <sheetView tabSelected="1" workbookViewId="0">
      <pane xSplit="2" ySplit="1" topLeftCell="C413" activePane="bottomRight" state="frozen"/>
      <selection/>
      <selection pane="topRight"/>
      <selection pane="bottomLeft"/>
      <selection pane="bottomRight" activeCell="G433" sqref="G433"/>
    </sheetView>
  </sheetViews>
  <sheetFormatPr defaultColWidth="12" defaultRowHeight="15" customHeight="1"/>
  <cols>
    <col min="1" max="11" width="16.25" customWidth="1"/>
    <col min="12" max="26" width="14.375" customWidth="1"/>
  </cols>
  <sheetData>
    <row r="1" ht="14.25" customHeight="1" spans="1:11">
      <c r="A1" s="51" t="s">
        <v>230</v>
      </c>
      <c r="B1" s="51" t="s">
        <v>1</v>
      </c>
      <c r="C1" s="51" t="s">
        <v>47</v>
      </c>
      <c r="D1" s="51" t="s">
        <v>46</v>
      </c>
      <c r="E1" s="51" t="s">
        <v>231</v>
      </c>
      <c r="F1" s="51" t="s">
        <v>232</v>
      </c>
      <c r="G1" s="51" t="s">
        <v>233</v>
      </c>
      <c r="H1" s="51" t="s">
        <v>234</v>
      </c>
      <c r="I1" s="51" t="s">
        <v>235</v>
      </c>
      <c r="J1" s="51" t="s">
        <v>236</v>
      </c>
      <c r="K1" s="51" t="s">
        <v>237</v>
      </c>
    </row>
    <row r="2" ht="14.25" customHeight="1" spans="1:11">
      <c r="A2" s="28">
        <v>45747</v>
      </c>
      <c r="B2" s="29">
        <v>45747</v>
      </c>
      <c r="C2" s="51"/>
      <c r="D2" s="51"/>
      <c r="E2" s="51"/>
      <c r="F2" s="51"/>
      <c r="G2" s="51"/>
      <c r="H2" s="51"/>
      <c r="I2" s="51"/>
      <c r="J2" s="51"/>
      <c r="K2" s="51"/>
    </row>
    <row r="3" ht="14.25" customHeight="1" spans="1:11">
      <c r="A3" s="28">
        <v>45748</v>
      </c>
      <c r="B3" s="29">
        <v>45748</v>
      </c>
      <c r="C3" s="51"/>
      <c r="D3" s="51"/>
      <c r="E3" s="51"/>
      <c r="F3" s="51"/>
      <c r="G3" s="51"/>
      <c r="H3" s="51"/>
      <c r="I3" s="51"/>
      <c r="J3" s="51"/>
      <c r="K3" s="51"/>
    </row>
    <row r="4" ht="14.25" customHeight="1" spans="1:11">
      <c r="A4" s="28">
        <v>45749</v>
      </c>
      <c r="B4" s="29">
        <v>45749</v>
      </c>
      <c r="C4" s="51"/>
      <c r="D4" s="51"/>
      <c r="E4" s="51"/>
      <c r="F4" s="51"/>
      <c r="G4" s="51"/>
      <c r="H4" s="51"/>
      <c r="I4" s="51"/>
      <c r="J4" s="51"/>
      <c r="K4" s="51"/>
    </row>
    <row r="5" ht="14.25" customHeight="1" spans="1:11">
      <c r="A5" s="28">
        <v>45750</v>
      </c>
      <c r="B5" s="29">
        <v>45750</v>
      </c>
      <c r="C5" s="51"/>
      <c r="D5" s="51"/>
      <c r="E5" s="51"/>
      <c r="F5" s="51"/>
      <c r="G5" s="51"/>
      <c r="H5" s="51"/>
      <c r="I5" s="51"/>
      <c r="J5" s="51"/>
      <c r="K5" s="51"/>
    </row>
    <row r="6" ht="14.25" customHeight="1" spans="1:11">
      <c r="A6" s="28">
        <v>45751</v>
      </c>
      <c r="B6" s="29">
        <v>45751</v>
      </c>
      <c r="C6" s="51"/>
      <c r="D6" s="51"/>
      <c r="E6" s="51"/>
      <c r="F6" s="51"/>
      <c r="G6" s="51"/>
      <c r="H6" s="51"/>
      <c r="I6" s="51"/>
      <c r="J6" s="51"/>
      <c r="K6" s="51"/>
    </row>
    <row r="7" ht="14.25" customHeight="1" spans="1:11">
      <c r="A7" s="28">
        <v>45752</v>
      </c>
      <c r="B7" s="29">
        <v>45752</v>
      </c>
      <c r="C7" s="51"/>
      <c r="D7" s="51"/>
      <c r="E7" s="51"/>
      <c r="F7" s="51"/>
      <c r="G7" s="51"/>
      <c r="H7" s="51"/>
      <c r="I7" s="51"/>
      <c r="J7" s="51"/>
      <c r="K7" s="51"/>
    </row>
    <row r="8" ht="14.25" customHeight="1" spans="1:11">
      <c r="A8" s="28">
        <v>45753</v>
      </c>
      <c r="B8" s="29">
        <v>45753</v>
      </c>
      <c r="C8" s="51"/>
      <c r="D8" s="51"/>
      <c r="E8" s="51"/>
      <c r="F8" s="51"/>
      <c r="G8" s="51"/>
      <c r="H8" s="51"/>
      <c r="I8" s="51"/>
      <c r="J8" s="51"/>
      <c r="K8" s="51"/>
    </row>
    <row r="9" ht="14.25" customHeight="1" spans="1:11">
      <c r="A9" s="28">
        <v>45754</v>
      </c>
      <c r="B9" s="29">
        <v>45754</v>
      </c>
      <c r="C9" s="51"/>
      <c r="D9" s="51"/>
      <c r="E9" s="51"/>
      <c r="F9" s="51"/>
      <c r="G9" s="51"/>
      <c r="H9" s="51"/>
      <c r="I9" s="51"/>
      <c r="J9" s="51"/>
      <c r="K9" s="51"/>
    </row>
    <row r="10" ht="14.25" customHeight="1" spans="1:11">
      <c r="A10" s="28">
        <v>45755</v>
      </c>
      <c r="B10" s="29">
        <v>45755</v>
      </c>
      <c r="C10" s="51"/>
      <c r="D10" s="51"/>
      <c r="E10" s="51"/>
      <c r="F10" s="51"/>
      <c r="G10" s="51"/>
      <c r="H10" s="51"/>
      <c r="I10" s="51"/>
      <c r="J10" s="51"/>
      <c r="K10" s="51"/>
    </row>
    <row r="11" ht="14.25" customHeight="1" spans="1:11">
      <c r="A11" s="28">
        <v>45756</v>
      </c>
      <c r="B11" s="29">
        <v>45756</v>
      </c>
      <c r="C11" s="51"/>
      <c r="D11" s="51"/>
      <c r="E11" s="51"/>
      <c r="F11" s="51"/>
      <c r="G11" s="51"/>
      <c r="H11" s="51"/>
      <c r="I11" s="51"/>
      <c r="J11" s="51"/>
      <c r="K11" s="51"/>
    </row>
    <row r="12" ht="14.25" customHeight="1" spans="1:11">
      <c r="A12" s="28">
        <v>45757</v>
      </c>
      <c r="B12" s="29">
        <v>45757</v>
      </c>
      <c r="C12" s="51"/>
      <c r="D12" s="51">
        <v>5.5</v>
      </c>
      <c r="E12" s="51"/>
      <c r="F12" s="51"/>
      <c r="G12" s="51"/>
      <c r="H12" s="51"/>
      <c r="I12" s="51"/>
      <c r="J12" s="51"/>
      <c r="K12" s="51"/>
    </row>
    <row r="13" ht="14.25" customHeight="1" spans="1:11">
      <c r="A13" s="28">
        <v>45758</v>
      </c>
      <c r="B13" s="29">
        <v>45758</v>
      </c>
      <c r="C13" s="51"/>
      <c r="D13" s="51">
        <v>5.84</v>
      </c>
      <c r="E13" s="51"/>
      <c r="F13" s="51"/>
      <c r="G13" s="51"/>
      <c r="H13" s="51"/>
      <c r="I13" s="51"/>
      <c r="J13" s="51"/>
      <c r="K13" s="51"/>
    </row>
    <row r="14" ht="14.25" customHeight="1" spans="1:11">
      <c r="A14" s="28">
        <v>45759</v>
      </c>
      <c r="B14" s="29">
        <v>45759</v>
      </c>
      <c r="C14" s="51"/>
      <c r="D14" s="51">
        <v>5.8</v>
      </c>
      <c r="E14" s="51"/>
      <c r="F14" s="51"/>
      <c r="G14" s="51"/>
      <c r="H14" s="51"/>
      <c r="I14" s="51"/>
      <c r="J14" s="51"/>
      <c r="K14" s="51"/>
    </row>
    <row r="15" ht="14.25" customHeight="1" spans="1:11">
      <c r="A15" s="28">
        <v>45760</v>
      </c>
      <c r="B15" s="29">
        <v>45760</v>
      </c>
      <c r="C15" s="51"/>
      <c r="D15" s="51">
        <v>5.18</v>
      </c>
      <c r="E15" s="51"/>
      <c r="F15" s="51"/>
      <c r="G15" s="51"/>
      <c r="H15" s="51"/>
      <c r="I15" s="51"/>
      <c r="J15" s="51"/>
      <c r="K15" s="51"/>
    </row>
    <row r="16" ht="14.25" customHeight="1" spans="1:11">
      <c r="A16" s="28">
        <v>45761</v>
      </c>
      <c r="B16" s="29">
        <v>45761</v>
      </c>
      <c r="C16" s="51"/>
      <c r="D16" s="51">
        <v>6</v>
      </c>
      <c r="E16" s="51"/>
      <c r="F16" s="51"/>
      <c r="G16" s="51"/>
      <c r="H16" s="51"/>
      <c r="I16" s="51"/>
      <c r="J16" s="51"/>
      <c r="K16" s="51"/>
    </row>
    <row r="17" ht="14.25" customHeight="1" spans="1:11">
      <c r="A17" s="28">
        <v>45762</v>
      </c>
      <c r="B17" s="29">
        <v>45762</v>
      </c>
      <c r="C17" s="51"/>
      <c r="D17" s="51">
        <v>5.85</v>
      </c>
      <c r="E17" s="51"/>
      <c r="F17" s="51"/>
      <c r="G17" s="51"/>
      <c r="H17" s="51"/>
      <c r="I17" s="51"/>
      <c r="J17" s="51"/>
      <c r="K17" s="51"/>
    </row>
    <row r="18" ht="14.25" customHeight="1" spans="1:11">
      <c r="A18" s="28">
        <v>45763</v>
      </c>
      <c r="B18" s="29">
        <v>45763</v>
      </c>
      <c r="C18" s="51"/>
      <c r="D18" s="51">
        <v>2.29</v>
      </c>
      <c r="E18" s="51"/>
      <c r="F18" s="51">
        <v>35.67</v>
      </c>
      <c r="G18" s="51"/>
      <c r="H18" s="51"/>
      <c r="I18" s="51"/>
      <c r="J18" s="51"/>
      <c r="K18" s="51"/>
    </row>
    <row r="19" ht="14.25" customHeight="1" spans="1:11">
      <c r="A19" s="28">
        <v>45764</v>
      </c>
      <c r="B19" s="29">
        <v>45764</v>
      </c>
      <c r="C19" s="51"/>
      <c r="D19" s="51">
        <v>6.08</v>
      </c>
      <c r="E19" s="51"/>
      <c r="F19" s="51"/>
      <c r="G19" s="51"/>
      <c r="H19" s="51"/>
      <c r="I19" s="51"/>
      <c r="J19" s="51"/>
      <c r="K19" s="51"/>
    </row>
    <row r="20" ht="14.25" customHeight="1" spans="1:11">
      <c r="A20" s="28">
        <v>45765</v>
      </c>
      <c r="B20" s="29">
        <v>45765</v>
      </c>
      <c r="C20" s="51"/>
      <c r="D20" s="51">
        <v>6.08</v>
      </c>
      <c r="E20" s="51"/>
      <c r="F20" s="51"/>
      <c r="G20" s="51"/>
      <c r="H20" s="51"/>
      <c r="I20" s="51"/>
      <c r="J20" s="51"/>
      <c r="K20" s="51"/>
    </row>
    <row r="21" ht="14.25" customHeight="1" spans="1:11">
      <c r="A21" s="28">
        <v>45766</v>
      </c>
      <c r="B21" s="29">
        <v>45766</v>
      </c>
      <c r="C21" s="51"/>
      <c r="D21" s="51">
        <v>6.04</v>
      </c>
      <c r="E21" s="51"/>
      <c r="F21" s="51">
        <v>33.84</v>
      </c>
      <c r="G21" s="51"/>
      <c r="H21" s="51"/>
      <c r="I21" s="51"/>
      <c r="J21" s="51"/>
      <c r="K21" s="51"/>
    </row>
    <row r="22" ht="14.25" customHeight="1" spans="1:11">
      <c r="A22" s="28">
        <v>45767</v>
      </c>
      <c r="B22" s="29">
        <v>45767</v>
      </c>
      <c r="C22" s="51"/>
      <c r="D22" s="51">
        <v>6.13</v>
      </c>
      <c r="E22" s="51"/>
      <c r="F22" s="51">
        <v>34.14</v>
      </c>
      <c r="G22" s="51"/>
      <c r="H22" s="51"/>
      <c r="I22" s="51"/>
      <c r="J22" s="51"/>
      <c r="K22" s="51"/>
    </row>
    <row r="23" ht="14.25" customHeight="1" spans="1:11">
      <c r="A23" s="28">
        <v>45768</v>
      </c>
      <c r="B23" s="29">
        <v>45768</v>
      </c>
      <c r="C23" s="51"/>
      <c r="D23" s="51">
        <v>6.1</v>
      </c>
      <c r="E23" s="51"/>
      <c r="F23" s="51">
        <v>34.98</v>
      </c>
      <c r="G23" s="51"/>
      <c r="H23" s="51"/>
      <c r="I23" s="51"/>
      <c r="J23" s="51"/>
      <c r="K23" s="51"/>
    </row>
    <row r="24" ht="14.25" customHeight="1" spans="1:11">
      <c r="A24" s="28">
        <v>45769</v>
      </c>
      <c r="B24" s="29">
        <v>45769</v>
      </c>
      <c r="C24" s="51"/>
      <c r="D24" s="51">
        <v>6.18</v>
      </c>
      <c r="E24" s="51"/>
      <c r="F24" s="51">
        <v>36.39</v>
      </c>
      <c r="G24" s="51"/>
      <c r="H24" s="51"/>
      <c r="I24" s="51"/>
      <c r="J24" s="51"/>
      <c r="K24" s="51"/>
    </row>
    <row r="25" ht="14.25" customHeight="1" spans="1:11">
      <c r="A25" s="28">
        <v>45770</v>
      </c>
      <c r="B25" s="29">
        <v>45770</v>
      </c>
      <c r="C25" s="51"/>
      <c r="D25" s="51">
        <v>6</v>
      </c>
      <c r="E25" s="51"/>
      <c r="F25" s="51">
        <v>36.52</v>
      </c>
      <c r="G25" s="51"/>
      <c r="H25" s="51"/>
      <c r="I25" s="51"/>
      <c r="J25" s="51"/>
      <c r="K25" s="51"/>
    </row>
    <row r="26" ht="14.25" customHeight="1" spans="1:11">
      <c r="A26" s="28">
        <v>45771</v>
      </c>
      <c r="B26" s="29">
        <v>45771</v>
      </c>
      <c r="C26" s="51"/>
      <c r="D26" s="51">
        <v>6.14</v>
      </c>
      <c r="E26" s="51"/>
      <c r="F26" s="51">
        <v>35.7</v>
      </c>
      <c r="G26" s="51"/>
      <c r="H26" s="51"/>
      <c r="I26" s="51"/>
      <c r="J26" s="51"/>
      <c r="K26" s="51"/>
    </row>
    <row r="27" ht="14.25" customHeight="1" spans="1:11">
      <c r="A27" s="28">
        <v>45772</v>
      </c>
      <c r="B27" s="29">
        <v>45772</v>
      </c>
      <c r="C27" s="51"/>
      <c r="D27" s="51">
        <v>6.26</v>
      </c>
      <c r="E27" s="51"/>
      <c r="F27" s="51">
        <v>34.21</v>
      </c>
      <c r="G27" s="51"/>
      <c r="H27" s="51"/>
      <c r="I27" s="51"/>
      <c r="J27" s="51"/>
      <c r="K27" s="51"/>
    </row>
    <row r="28" ht="14.25" customHeight="1" spans="1:11">
      <c r="A28" s="28">
        <v>45773</v>
      </c>
      <c r="B28" s="29">
        <v>45773</v>
      </c>
      <c r="C28" s="30"/>
      <c r="D28" s="30">
        <v>4.79</v>
      </c>
      <c r="E28" s="30"/>
      <c r="F28" s="30">
        <v>34.5</v>
      </c>
      <c r="G28" s="30"/>
      <c r="H28" s="30"/>
      <c r="I28" s="30"/>
      <c r="J28" s="30"/>
      <c r="K28" s="30"/>
    </row>
    <row r="29" ht="14.25" customHeight="1" spans="1:11">
      <c r="A29" s="28">
        <v>45774</v>
      </c>
      <c r="B29" s="29">
        <v>45774</v>
      </c>
      <c r="C29" s="30"/>
      <c r="D29" s="30">
        <v>5.39</v>
      </c>
      <c r="E29" s="30"/>
      <c r="F29" s="30">
        <v>35.93</v>
      </c>
      <c r="G29" s="30"/>
      <c r="H29" s="30"/>
      <c r="I29" s="30"/>
      <c r="J29" s="30"/>
      <c r="K29" s="30"/>
    </row>
    <row r="30" ht="14.25" customHeight="1" spans="1:11">
      <c r="A30" s="28">
        <v>45775</v>
      </c>
      <c r="B30" s="29">
        <v>45775</v>
      </c>
      <c r="C30" s="30"/>
      <c r="D30" s="30">
        <v>6.19</v>
      </c>
      <c r="E30" s="30"/>
      <c r="F30" s="30">
        <v>36.38</v>
      </c>
      <c r="G30" s="30"/>
      <c r="H30" s="30"/>
      <c r="I30" s="30"/>
      <c r="J30" s="30"/>
      <c r="K30" s="30"/>
    </row>
    <row r="31" ht="14.25" customHeight="1" spans="1:11">
      <c r="A31" s="28">
        <v>45776</v>
      </c>
      <c r="B31" s="29">
        <v>45776</v>
      </c>
      <c r="C31" s="30"/>
      <c r="D31" s="30">
        <v>6.29</v>
      </c>
      <c r="E31" s="30"/>
      <c r="F31" s="30">
        <v>36.8</v>
      </c>
      <c r="G31" s="30"/>
      <c r="H31" s="30"/>
      <c r="I31" s="30"/>
      <c r="J31" s="30"/>
      <c r="K31" s="30"/>
    </row>
    <row r="32" ht="14.25" customHeight="1" spans="1:11">
      <c r="A32" s="28">
        <v>45777</v>
      </c>
      <c r="B32" s="29">
        <v>45777</v>
      </c>
      <c r="C32" s="30"/>
      <c r="D32" s="30">
        <v>6.11</v>
      </c>
      <c r="E32" s="30"/>
      <c r="F32" s="30">
        <v>35.7</v>
      </c>
      <c r="G32" s="30"/>
      <c r="H32" s="30"/>
      <c r="I32" s="30"/>
      <c r="J32" s="30"/>
      <c r="K32" s="30"/>
    </row>
    <row r="33" ht="14.25" customHeight="1" spans="1:11">
      <c r="A33" s="28">
        <v>45778</v>
      </c>
      <c r="B33" s="29">
        <v>45778</v>
      </c>
      <c r="C33" s="30"/>
      <c r="D33" s="30">
        <v>6.15</v>
      </c>
      <c r="E33" s="30"/>
      <c r="F33" s="30">
        <v>35.41</v>
      </c>
      <c r="G33" s="30"/>
      <c r="H33" s="30"/>
      <c r="I33" s="30"/>
      <c r="J33" s="30"/>
      <c r="K33" s="30"/>
    </row>
    <row r="34" ht="14.25" customHeight="1" spans="1:11">
      <c r="A34" s="28">
        <v>45779</v>
      </c>
      <c r="B34" s="29">
        <v>45779</v>
      </c>
      <c r="C34" s="30"/>
      <c r="D34" s="30">
        <v>6.37</v>
      </c>
      <c r="E34" s="30"/>
      <c r="F34" s="30">
        <v>35.15</v>
      </c>
      <c r="G34" s="30"/>
      <c r="H34" s="30"/>
      <c r="I34" s="30"/>
      <c r="J34" s="30"/>
      <c r="K34" s="30"/>
    </row>
    <row r="35" ht="14.25" customHeight="1" spans="1:11">
      <c r="A35" s="28">
        <v>45780</v>
      </c>
      <c r="B35" s="29">
        <v>45780</v>
      </c>
      <c r="C35" s="30"/>
      <c r="D35" s="30">
        <v>6.04</v>
      </c>
      <c r="E35" s="30"/>
      <c r="F35" s="30">
        <v>33.5</v>
      </c>
      <c r="G35" s="30"/>
      <c r="H35" s="30"/>
      <c r="I35" s="30"/>
      <c r="J35" s="30"/>
      <c r="K35" s="30"/>
    </row>
    <row r="36" ht="14.25" customHeight="1" spans="1:11">
      <c r="A36" s="28">
        <v>45781</v>
      </c>
      <c r="B36" s="29">
        <v>45781</v>
      </c>
      <c r="C36" s="30"/>
      <c r="D36" s="30">
        <v>5.46</v>
      </c>
      <c r="E36" s="30"/>
      <c r="F36" s="30">
        <v>33.43</v>
      </c>
      <c r="G36" s="30"/>
      <c r="H36" s="30"/>
      <c r="I36" s="30"/>
      <c r="J36" s="30"/>
      <c r="K36" s="30"/>
    </row>
    <row r="37" ht="14.25" customHeight="1" spans="1:11">
      <c r="A37" s="28">
        <v>45782</v>
      </c>
      <c r="B37" s="29">
        <v>45782</v>
      </c>
      <c r="C37" s="30"/>
      <c r="D37" s="30">
        <v>5.35</v>
      </c>
      <c r="E37" s="30"/>
      <c r="F37" s="30">
        <v>33.26</v>
      </c>
      <c r="G37" s="30"/>
      <c r="H37" s="30"/>
      <c r="I37" s="30"/>
      <c r="J37" s="30"/>
      <c r="K37" s="30"/>
    </row>
    <row r="38" ht="14.25" customHeight="1" spans="1:11">
      <c r="A38" s="28">
        <v>45783</v>
      </c>
      <c r="B38" s="29">
        <v>45783</v>
      </c>
      <c r="C38" s="30"/>
      <c r="D38" s="30">
        <v>3.55</v>
      </c>
      <c r="E38" s="30"/>
      <c r="F38" s="30">
        <v>31.94</v>
      </c>
      <c r="G38" s="30"/>
      <c r="H38" s="30"/>
      <c r="I38" s="30"/>
      <c r="J38" s="30"/>
      <c r="K38" s="30"/>
    </row>
    <row r="39" ht="14.25" customHeight="1" spans="1:11">
      <c r="A39" s="28">
        <v>45784</v>
      </c>
      <c r="B39" s="29">
        <v>45784</v>
      </c>
      <c r="C39" s="30"/>
      <c r="D39" s="30">
        <v>3.33</v>
      </c>
      <c r="E39" s="30"/>
      <c r="F39" s="30">
        <v>26.75</v>
      </c>
      <c r="G39" s="30"/>
      <c r="H39" s="30"/>
      <c r="I39" s="30"/>
      <c r="J39" s="30"/>
      <c r="K39" s="30"/>
    </row>
    <row r="40" ht="14.25" customHeight="1" spans="1:11">
      <c r="A40" s="28">
        <v>45785</v>
      </c>
      <c r="B40" s="29">
        <v>45785</v>
      </c>
      <c r="C40" s="30"/>
      <c r="D40" s="30">
        <v>5.53</v>
      </c>
      <c r="E40" s="30"/>
      <c r="F40" s="30">
        <v>31.24</v>
      </c>
      <c r="G40" s="30"/>
      <c r="H40" s="30"/>
      <c r="I40" s="30"/>
      <c r="J40" s="30"/>
      <c r="K40" s="30"/>
    </row>
    <row r="41" ht="14.25" customHeight="1" spans="1:11">
      <c r="A41" s="28">
        <v>45786</v>
      </c>
      <c r="B41" s="29">
        <v>45786</v>
      </c>
      <c r="C41" s="30"/>
      <c r="D41" s="30">
        <v>4.81</v>
      </c>
      <c r="E41" s="30"/>
      <c r="F41" s="30">
        <v>31.95</v>
      </c>
      <c r="G41" s="30"/>
      <c r="H41" s="30"/>
      <c r="I41" s="30"/>
      <c r="J41" s="30"/>
      <c r="K41" s="30"/>
    </row>
    <row r="42" ht="14.25" customHeight="1" spans="1:11">
      <c r="A42" s="28">
        <v>45787</v>
      </c>
      <c r="B42" s="29">
        <v>45787</v>
      </c>
      <c r="C42" s="30"/>
      <c r="D42" s="30">
        <v>4.18</v>
      </c>
      <c r="E42" s="30"/>
      <c r="F42" s="30">
        <v>32.25</v>
      </c>
      <c r="G42" s="30"/>
      <c r="H42" s="30"/>
      <c r="I42" s="30"/>
      <c r="J42" s="30"/>
      <c r="K42" s="30"/>
    </row>
    <row r="43" ht="14.25" customHeight="1" spans="1:11">
      <c r="A43" s="28">
        <v>45788</v>
      </c>
      <c r="B43" s="29">
        <v>45788</v>
      </c>
      <c r="C43" s="30"/>
      <c r="D43" s="30">
        <v>4.33</v>
      </c>
      <c r="E43" s="30"/>
      <c r="F43" s="30">
        <v>30.16</v>
      </c>
      <c r="G43" s="30"/>
      <c r="H43" s="30"/>
      <c r="I43" s="30"/>
      <c r="J43" s="30"/>
      <c r="K43" s="30"/>
    </row>
    <row r="44" ht="14.25" customHeight="1" spans="1:11">
      <c r="A44" s="28">
        <v>45789</v>
      </c>
      <c r="B44" s="29">
        <v>45789</v>
      </c>
      <c r="C44" s="30"/>
      <c r="D44" s="30">
        <v>5.19</v>
      </c>
      <c r="E44" s="30"/>
      <c r="F44" s="30">
        <v>31.2</v>
      </c>
      <c r="G44" s="30"/>
      <c r="H44" s="30"/>
      <c r="I44" s="30"/>
      <c r="J44" s="30"/>
      <c r="K44" s="30"/>
    </row>
    <row r="45" ht="14.25" customHeight="1" spans="1:11">
      <c r="A45" s="28">
        <v>45790</v>
      </c>
      <c r="B45" s="29">
        <v>45790</v>
      </c>
      <c r="C45" s="30"/>
      <c r="D45" s="30">
        <v>4.58</v>
      </c>
      <c r="E45" s="30"/>
      <c r="F45" s="30">
        <v>34.88</v>
      </c>
      <c r="G45" s="30"/>
      <c r="H45" s="30"/>
      <c r="I45" s="30"/>
      <c r="J45" s="30"/>
      <c r="K45" s="30"/>
    </row>
    <row r="46" ht="14.25" customHeight="1" spans="1:11">
      <c r="A46" s="28">
        <v>45791</v>
      </c>
      <c r="B46" s="29">
        <v>45791</v>
      </c>
      <c r="C46" s="30"/>
      <c r="D46" s="30">
        <v>6.4</v>
      </c>
      <c r="E46" s="30"/>
      <c r="F46" s="30">
        <v>33.67</v>
      </c>
      <c r="G46" s="30"/>
      <c r="H46" s="30"/>
      <c r="I46" s="30"/>
      <c r="J46" s="30"/>
      <c r="K46" s="30"/>
    </row>
    <row r="47" ht="14.25" customHeight="1" spans="1:11">
      <c r="A47" s="28">
        <v>45792</v>
      </c>
      <c r="B47" s="29">
        <v>45792</v>
      </c>
      <c r="C47" s="30"/>
      <c r="D47" s="30">
        <v>6.56</v>
      </c>
      <c r="E47" s="30"/>
      <c r="F47" s="30">
        <v>33.4</v>
      </c>
      <c r="G47" s="30"/>
      <c r="H47" s="30"/>
      <c r="I47" s="30"/>
      <c r="J47" s="30"/>
      <c r="K47" s="30"/>
    </row>
    <row r="48" ht="14.25" customHeight="1" spans="1:11">
      <c r="A48" s="28">
        <v>45793</v>
      </c>
      <c r="B48" s="29">
        <v>45793</v>
      </c>
      <c r="C48" s="30"/>
      <c r="D48" s="30">
        <v>5.94</v>
      </c>
      <c r="E48" s="30"/>
      <c r="F48" s="30">
        <v>34.13</v>
      </c>
      <c r="G48" s="30"/>
      <c r="H48" s="30"/>
      <c r="I48" s="30"/>
      <c r="J48" s="30"/>
      <c r="K48" s="30"/>
    </row>
    <row r="49" ht="14.25" customHeight="1" spans="1:11">
      <c r="A49" s="28">
        <v>45794</v>
      </c>
      <c r="B49" s="29">
        <v>45794</v>
      </c>
      <c r="C49" s="30"/>
      <c r="D49" s="30">
        <v>6.29</v>
      </c>
      <c r="E49" s="30"/>
      <c r="F49" s="30">
        <v>33.83</v>
      </c>
      <c r="G49" s="30"/>
      <c r="H49" s="30"/>
      <c r="I49" s="30"/>
      <c r="J49" s="30"/>
      <c r="K49" s="30"/>
    </row>
    <row r="50" ht="14.25" customHeight="1" spans="1:11">
      <c r="A50" s="28">
        <v>45795</v>
      </c>
      <c r="B50" s="29">
        <v>45795</v>
      </c>
      <c r="C50" s="30"/>
      <c r="D50" s="30">
        <v>6.62</v>
      </c>
      <c r="E50" s="30"/>
      <c r="F50" s="30">
        <v>34.55</v>
      </c>
      <c r="G50" s="30"/>
      <c r="H50" s="30"/>
      <c r="I50" s="30"/>
      <c r="J50" s="30"/>
      <c r="K50" s="30"/>
    </row>
    <row r="51" ht="14.25" customHeight="1" spans="1:11">
      <c r="A51" s="28">
        <v>45796</v>
      </c>
      <c r="B51" s="29">
        <v>45796</v>
      </c>
      <c r="C51" s="30"/>
      <c r="D51" s="30">
        <v>6.1</v>
      </c>
      <c r="E51" s="30"/>
      <c r="F51" s="30">
        <v>34.43</v>
      </c>
      <c r="G51" s="30"/>
      <c r="H51" s="30"/>
      <c r="I51" s="30"/>
      <c r="J51" s="30"/>
      <c r="K51" s="30"/>
    </row>
    <row r="52" ht="14.25" customHeight="1" spans="1:11">
      <c r="A52" s="28">
        <v>45797</v>
      </c>
      <c r="B52" s="29">
        <v>45797</v>
      </c>
      <c r="C52" s="30"/>
      <c r="D52" s="30">
        <v>5.95</v>
      </c>
      <c r="E52" s="30"/>
      <c r="F52" s="30">
        <v>33.8</v>
      </c>
      <c r="G52" s="30"/>
      <c r="H52" s="30"/>
      <c r="I52" s="30"/>
      <c r="J52" s="30"/>
      <c r="K52" s="30"/>
    </row>
    <row r="53" ht="14.25" customHeight="1" spans="1:11">
      <c r="A53" s="28">
        <v>45798</v>
      </c>
      <c r="B53" s="29">
        <v>45798</v>
      </c>
      <c r="C53" s="30"/>
      <c r="D53" s="30">
        <v>4.68</v>
      </c>
      <c r="E53" s="30"/>
      <c r="F53" s="30">
        <v>31.92</v>
      </c>
      <c r="G53" s="30"/>
      <c r="H53" s="30"/>
      <c r="I53" s="30"/>
      <c r="J53" s="30"/>
      <c r="K53" s="30"/>
    </row>
    <row r="54" ht="14.25" customHeight="1" spans="1:11">
      <c r="A54" s="28">
        <v>45799</v>
      </c>
      <c r="B54" s="29">
        <v>45799</v>
      </c>
      <c r="C54" s="30"/>
      <c r="D54" s="30">
        <v>5.61</v>
      </c>
      <c r="E54" s="30"/>
      <c r="F54" s="30">
        <v>36.81</v>
      </c>
      <c r="G54" s="30"/>
      <c r="H54" s="30"/>
      <c r="I54" s="30"/>
      <c r="J54" s="30"/>
      <c r="K54" s="30"/>
    </row>
    <row r="55" ht="14.25" customHeight="1" spans="1:11">
      <c r="A55" s="28">
        <v>45800</v>
      </c>
      <c r="B55" s="29">
        <v>45800</v>
      </c>
      <c r="C55" s="30"/>
      <c r="D55" s="30">
        <v>5.14</v>
      </c>
      <c r="E55" s="30"/>
      <c r="F55" s="30">
        <v>33.67</v>
      </c>
      <c r="G55" s="30"/>
      <c r="H55" s="30"/>
      <c r="I55" s="30"/>
      <c r="J55" s="30"/>
      <c r="K55" s="30"/>
    </row>
    <row r="56" ht="14.25" customHeight="1" spans="1:11">
      <c r="A56" s="28">
        <v>45801</v>
      </c>
      <c r="B56" s="29">
        <v>45801</v>
      </c>
      <c r="C56" s="30"/>
      <c r="D56" s="30">
        <v>5.5</v>
      </c>
      <c r="E56" s="30"/>
      <c r="F56" s="30">
        <v>34.57</v>
      </c>
      <c r="G56" s="30"/>
      <c r="H56" s="30"/>
      <c r="I56" s="30"/>
      <c r="J56" s="30"/>
      <c r="K56" s="30"/>
    </row>
    <row r="57" ht="14.25" customHeight="1" spans="1:11">
      <c r="A57" s="28">
        <v>45802</v>
      </c>
      <c r="B57" s="29">
        <v>45802</v>
      </c>
      <c r="C57" s="30"/>
      <c r="D57" s="30">
        <v>5.86</v>
      </c>
      <c r="E57" s="30"/>
      <c r="F57" s="30">
        <v>34.58</v>
      </c>
      <c r="G57" s="30"/>
      <c r="H57" s="30"/>
      <c r="I57" s="30"/>
      <c r="J57" s="30"/>
      <c r="K57" s="30"/>
    </row>
    <row r="58" ht="14.25" customHeight="1" spans="1:11">
      <c r="A58" s="28">
        <v>45803</v>
      </c>
      <c r="B58" s="29">
        <v>45803</v>
      </c>
      <c r="C58" s="30"/>
      <c r="D58" s="30">
        <v>4.5</v>
      </c>
      <c r="E58" s="30"/>
      <c r="F58" s="30">
        <v>34.1</v>
      </c>
      <c r="G58" s="30"/>
      <c r="H58" s="30"/>
      <c r="I58" s="30"/>
      <c r="J58" s="30"/>
      <c r="K58" s="30"/>
    </row>
    <row r="59" ht="14.25" customHeight="1" spans="1:11">
      <c r="A59" s="28">
        <v>45804</v>
      </c>
      <c r="B59" s="29">
        <v>45804</v>
      </c>
      <c r="C59" s="30"/>
      <c r="D59" s="30">
        <v>2.35</v>
      </c>
      <c r="E59" s="30"/>
      <c r="F59" s="30">
        <v>29.7</v>
      </c>
      <c r="G59" s="30"/>
      <c r="H59" s="30"/>
      <c r="I59" s="30"/>
      <c r="J59" s="30"/>
      <c r="K59" s="30"/>
    </row>
    <row r="60" ht="14.25" customHeight="1" spans="1:11">
      <c r="A60" s="28">
        <v>45805</v>
      </c>
      <c r="B60" s="29">
        <v>45805</v>
      </c>
      <c r="C60" s="30"/>
      <c r="D60" s="30">
        <v>2.26</v>
      </c>
      <c r="E60" s="30"/>
      <c r="F60" s="30">
        <v>34.42</v>
      </c>
      <c r="G60" s="30"/>
      <c r="H60" s="30"/>
      <c r="I60" s="30"/>
      <c r="J60" s="30"/>
      <c r="K60" s="30"/>
    </row>
    <row r="61" ht="14.25" customHeight="1" spans="1:11">
      <c r="A61" s="28">
        <v>45806</v>
      </c>
      <c r="B61" s="29">
        <v>45806</v>
      </c>
      <c r="C61" s="30"/>
      <c r="D61" s="30">
        <v>5.53</v>
      </c>
      <c r="E61" s="30"/>
      <c r="F61" s="30">
        <v>33.5</v>
      </c>
      <c r="G61" s="30"/>
      <c r="H61" s="30"/>
      <c r="I61" s="30"/>
      <c r="J61" s="30"/>
      <c r="K61" s="30"/>
    </row>
    <row r="62" ht="14.25" customHeight="1" spans="1:11">
      <c r="A62" s="28">
        <v>45807</v>
      </c>
      <c r="B62" s="29">
        <v>45807</v>
      </c>
      <c r="C62" s="30"/>
      <c r="D62" s="30">
        <v>5.86</v>
      </c>
      <c r="E62" s="30"/>
      <c r="F62" s="30">
        <v>33.58</v>
      </c>
      <c r="G62" s="30"/>
      <c r="H62" s="30"/>
      <c r="I62" s="30"/>
      <c r="J62" s="30"/>
      <c r="K62" s="30"/>
    </row>
    <row r="63" ht="14.25" customHeight="1" spans="1:11">
      <c r="A63" s="28">
        <v>45808</v>
      </c>
      <c r="B63" s="29">
        <v>45808</v>
      </c>
      <c r="C63" s="30"/>
      <c r="D63" s="30">
        <v>5.61</v>
      </c>
      <c r="E63" s="30"/>
      <c r="F63" s="30">
        <v>33.52</v>
      </c>
      <c r="G63" s="30"/>
      <c r="H63" s="30"/>
      <c r="I63" s="30"/>
      <c r="J63" s="30"/>
      <c r="K63" s="30"/>
    </row>
    <row r="64" ht="14.25" customHeight="1" spans="1:11">
      <c r="A64" s="28">
        <v>45809</v>
      </c>
      <c r="B64" s="29">
        <v>45809</v>
      </c>
      <c r="C64" s="30"/>
      <c r="D64" s="30">
        <v>5.54</v>
      </c>
      <c r="E64" s="30"/>
      <c r="F64" s="30">
        <v>33.07</v>
      </c>
      <c r="G64" s="30"/>
      <c r="H64" s="30"/>
      <c r="I64" s="30"/>
      <c r="J64" s="30"/>
      <c r="K64" s="30"/>
    </row>
    <row r="65" ht="14.25" customHeight="1" spans="1:11">
      <c r="A65" s="28">
        <v>45810</v>
      </c>
      <c r="B65" s="29">
        <v>45810</v>
      </c>
      <c r="C65" s="30"/>
      <c r="D65" s="30">
        <v>4.52</v>
      </c>
      <c r="E65" s="30"/>
      <c r="F65" s="30">
        <v>32.8</v>
      </c>
      <c r="G65" s="30"/>
      <c r="H65" s="30"/>
      <c r="I65" s="30"/>
      <c r="J65" s="30"/>
      <c r="K65" s="30"/>
    </row>
    <row r="66" ht="14.25" customHeight="1" spans="1:11">
      <c r="A66" s="28">
        <v>45811</v>
      </c>
      <c r="B66" s="29">
        <v>45811</v>
      </c>
      <c r="C66" s="30"/>
      <c r="D66" s="30">
        <v>5.16</v>
      </c>
      <c r="E66" s="30"/>
      <c r="F66" s="30">
        <v>33.39</v>
      </c>
      <c r="G66" s="30"/>
      <c r="H66" s="30"/>
      <c r="I66" s="30"/>
      <c r="J66" s="30"/>
      <c r="K66" s="30"/>
    </row>
    <row r="67" ht="14.25" customHeight="1" spans="1:11">
      <c r="A67" s="28">
        <v>45812</v>
      </c>
      <c r="B67" s="29">
        <v>45812</v>
      </c>
      <c r="C67" s="30"/>
      <c r="D67" s="30">
        <v>5.56</v>
      </c>
      <c r="E67" s="30"/>
      <c r="F67" s="30">
        <v>33.27</v>
      </c>
      <c r="G67" s="30"/>
      <c r="H67" s="30"/>
      <c r="I67" s="30"/>
      <c r="J67" s="30"/>
      <c r="K67" s="30"/>
    </row>
    <row r="68" ht="14.25" customHeight="1" spans="1:11">
      <c r="A68" s="28">
        <v>45813</v>
      </c>
      <c r="B68" s="29">
        <v>45813</v>
      </c>
      <c r="C68" s="30"/>
      <c r="D68" s="30">
        <v>5.51</v>
      </c>
      <c r="E68" s="30"/>
      <c r="F68" s="30">
        <v>34.65</v>
      </c>
      <c r="G68" s="30"/>
      <c r="H68" s="30"/>
      <c r="I68" s="30"/>
      <c r="J68" s="30"/>
      <c r="K68" s="30"/>
    </row>
    <row r="69" ht="14.25" customHeight="1" spans="1:11">
      <c r="A69" s="28">
        <v>45814</v>
      </c>
      <c r="B69" s="29">
        <v>45814</v>
      </c>
      <c r="C69" s="30"/>
      <c r="D69" s="30">
        <v>5.48</v>
      </c>
      <c r="E69" s="30"/>
      <c r="F69" s="30">
        <v>33.93</v>
      </c>
      <c r="G69" s="30"/>
      <c r="H69" s="30"/>
      <c r="I69" s="30"/>
      <c r="J69" s="30"/>
      <c r="K69" s="30"/>
    </row>
    <row r="70" ht="14.25" customHeight="1" spans="1:11">
      <c r="A70" s="28">
        <v>45815</v>
      </c>
      <c r="B70" s="29">
        <v>45815</v>
      </c>
      <c r="C70" s="30"/>
      <c r="D70" s="30">
        <v>5.62</v>
      </c>
      <c r="E70" s="30"/>
      <c r="F70" s="30">
        <v>34.2</v>
      </c>
      <c r="G70" s="30"/>
      <c r="H70" s="30"/>
      <c r="I70" s="30"/>
      <c r="J70" s="30"/>
      <c r="K70" s="30"/>
    </row>
    <row r="71" ht="14.25" customHeight="1" spans="1:11">
      <c r="A71" s="28">
        <v>45816</v>
      </c>
      <c r="B71" s="29">
        <v>45816</v>
      </c>
      <c r="C71" s="30"/>
      <c r="D71" s="30">
        <v>5.5</v>
      </c>
      <c r="E71" s="30"/>
      <c r="F71" s="30">
        <v>33.5</v>
      </c>
      <c r="G71" s="30"/>
      <c r="H71" s="30"/>
      <c r="I71" s="30"/>
      <c r="J71" s="30"/>
      <c r="K71" s="30"/>
    </row>
    <row r="72" ht="14.25" customHeight="1" spans="1:11">
      <c r="A72" s="28">
        <v>45817</v>
      </c>
      <c r="B72" s="29">
        <v>45817</v>
      </c>
      <c r="C72" s="30"/>
      <c r="D72" s="30">
        <v>5.91</v>
      </c>
      <c r="E72" s="30"/>
      <c r="F72" s="30">
        <v>33.52</v>
      </c>
      <c r="G72" s="30"/>
      <c r="H72" s="30"/>
      <c r="I72" s="30"/>
      <c r="J72" s="30"/>
      <c r="K72" s="30"/>
    </row>
    <row r="73" ht="14.25" customHeight="1" spans="1:11">
      <c r="A73" s="28">
        <v>45818</v>
      </c>
      <c r="B73" s="29">
        <v>45818</v>
      </c>
      <c r="C73" s="30"/>
      <c r="D73" s="52">
        <v>5.34</v>
      </c>
      <c r="E73" s="52"/>
      <c r="F73" s="52">
        <v>33.31</v>
      </c>
      <c r="G73" s="30"/>
      <c r="H73" s="30"/>
      <c r="I73" s="30"/>
      <c r="J73" s="30"/>
      <c r="K73" s="30"/>
    </row>
    <row r="74" ht="14.25" customHeight="1" spans="1:11">
      <c r="A74" s="28">
        <v>45819</v>
      </c>
      <c r="B74" s="29">
        <v>45819</v>
      </c>
      <c r="C74" s="30"/>
      <c r="D74" s="52">
        <v>4.9</v>
      </c>
      <c r="E74" s="52"/>
      <c r="F74" s="52">
        <v>33.89</v>
      </c>
      <c r="G74" s="30"/>
      <c r="H74" s="30"/>
      <c r="I74" s="30"/>
      <c r="J74" s="30"/>
      <c r="K74" s="30"/>
    </row>
    <row r="75" ht="14.25" customHeight="1" spans="1:11">
      <c r="A75" s="28">
        <v>45820</v>
      </c>
      <c r="B75" s="29">
        <v>45820</v>
      </c>
      <c r="C75" s="30"/>
      <c r="D75" s="52">
        <v>5.15</v>
      </c>
      <c r="E75" s="52"/>
      <c r="F75" s="52">
        <v>34.45</v>
      </c>
      <c r="G75" s="30"/>
      <c r="H75" s="30"/>
      <c r="I75" s="30"/>
      <c r="J75" s="30"/>
      <c r="K75" s="30"/>
    </row>
    <row r="76" ht="14.25" customHeight="1" spans="1:11">
      <c r="A76" s="28">
        <v>45821</v>
      </c>
      <c r="B76" s="29">
        <v>45821</v>
      </c>
      <c r="C76" s="30"/>
      <c r="D76" s="52">
        <v>2.98</v>
      </c>
      <c r="E76" s="52"/>
      <c r="F76" s="52">
        <v>31.72</v>
      </c>
      <c r="G76" s="30"/>
      <c r="H76" s="30"/>
      <c r="I76" s="30"/>
      <c r="J76" s="30"/>
      <c r="K76" s="30"/>
    </row>
    <row r="77" ht="14.25" customHeight="1" spans="1:11">
      <c r="A77" s="28">
        <v>45822</v>
      </c>
      <c r="B77" s="29">
        <v>45822</v>
      </c>
      <c r="C77" s="30"/>
      <c r="D77" s="52">
        <v>4.62</v>
      </c>
      <c r="E77" s="52"/>
      <c r="F77" s="52">
        <v>34.65</v>
      </c>
      <c r="G77" s="30"/>
      <c r="H77" s="30"/>
      <c r="I77" s="30"/>
      <c r="J77" s="30"/>
      <c r="K77" s="30"/>
    </row>
    <row r="78" ht="14.25" customHeight="1" spans="1:11">
      <c r="A78" s="28">
        <v>45823</v>
      </c>
      <c r="B78" s="29">
        <v>45823</v>
      </c>
      <c r="C78" s="30"/>
      <c r="D78" s="52">
        <v>3.6</v>
      </c>
      <c r="E78" s="52"/>
      <c r="F78" s="52">
        <v>31.7</v>
      </c>
      <c r="G78" s="30"/>
      <c r="H78" s="30"/>
      <c r="I78" s="30"/>
      <c r="J78" s="30"/>
      <c r="K78" s="30"/>
    </row>
    <row r="79" ht="14.25" customHeight="1" spans="1:11">
      <c r="A79" s="28">
        <v>45824</v>
      </c>
      <c r="B79" s="29">
        <v>45824</v>
      </c>
      <c r="C79" s="30"/>
      <c r="D79" s="52">
        <v>0.1</v>
      </c>
      <c r="E79" s="52"/>
      <c r="F79" s="52">
        <v>24.81</v>
      </c>
      <c r="G79" s="30"/>
      <c r="H79" s="30"/>
      <c r="I79" s="30"/>
      <c r="J79" s="30"/>
      <c r="K79" s="30"/>
    </row>
    <row r="80" ht="14.25" customHeight="1" spans="1:11">
      <c r="A80" s="28">
        <v>45825</v>
      </c>
      <c r="B80" s="29">
        <v>45825</v>
      </c>
      <c r="C80" s="30"/>
      <c r="D80" s="52">
        <v>1.47</v>
      </c>
      <c r="E80" s="52"/>
      <c r="F80" s="52">
        <v>26.66</v>
      </c>
      <c r="G80" s="30"/>
      <c r="H80" s="30"/>
      <c r="I80" s="30"/>
      <c r="J80" s="30"/>
      <c r="K80" s="30"/>
    </row>
    <row r="81" ht="14.25" customHeight="1" spans="1:11">
      <c r="A81" s="28">
        <v>45826</v>
      </c>
      <c r="B81" s="29">
        <v>45826</v>
      </c>
      <c r="C81" s="30"/>
      <c r="D81" s="52">
        <v>1.02</v>
      </c>
      <c r="E81" s="52"/>
      <c r="F81" s="52">
        <v>27.21</v>
      </c>
      <c r="G81" s="30"/>
      <c r="H81" s="30"/>
      <c r="I81" s="30"/>
      <c r="J81" s="30"/>
      <c r="K81" s="30"/>
    </row>
    <row r="82" ht="14.25" customHeight="1" spans="1:11">
      <c r="A82" s="28">
        <v>45827</v>
      </c>
      <c r="B82" s="29">
        <v>45827</v>
      </c>
      <c r="C82" s="30"/>
      <c r="D82" s="52">
        <v>4.1</v>
      </c>
      <c r="E82" s="52"/>
      <c r="F82" s="52">
        <v>29.58</v>
      </c>
      <c r="G82" s="30"/>
      <c r="H82" s="30"/>
      <c r="I82" s="30"/>
      <c r="J82" s="30"/>
      <c r="K82" s="30"/>
    </row>
    <row r="83" ht="14.25" customHeight="1" spans="1:11">
      <c r="A83" s="28">
        <v>45828</v>
      </c>
      <c r="B83" s="29">
        <v>45828</v>
      </c>
      <c r="C83" s="30"/>
      <c r="D83" s="52">
        <v>4.27</v>
      </c>
      <c r="E83" s="52"/>
      <c r="F83" s="52">
        <v>30.31</v>
      </c>
      <c r="G83" s="30"/>
      <c r="H83" s="30"/>
      <c r="I83" s="30"/>
      <c r="J83" s="30"/>
      <c r="K83" s="30"/>
    </row>
    <row r="84" ht="14.25" customHeight="1" spans="1:11">
      <c r="A84" s="28">
        <v>45829</v>
      </c>
      <c r="B84" s="29">
        <v>45829</v>
      </c>
      <c r="C84" s="30"/>
      <c r="D84" s="52">
        <v>3.1</v>
      </c>
      <c r="E84" s="52"/>
      <c r="F84" s="52">
        <v>29.58</v>
      </c>
      <c r="G84" s="30"/>
      <c r="H84" s="30"/>
      <c r="I84" s="30"/>
      <c r="J84" s="30"/>
      <c r="K84" s="30"/>
    </row>
    <row r="85" ht="14.25" customHeight="1" spans="1:11">
      <c r="A85" s="28">
        <v>45830</v>
      </c>
      <c r="B85" s="29">
        <v>45830</v>
      </c>
      <c r="C85" s="30"/>
      <c r="D85" s="52">
        <v>1.86</v>
      </c>
      <c r="E85" s="52"/>
      <c r="F85" s="52">
        <v>26.1</v>
      </c>
      <c r="G85" s="30"/>
      <c r="H85" s="30"/>
      <c r="I85" s="30"/>
      <c r="J85" s="30"/>
      <c r="K85" s="30"/>
    </row>
    <row r="86" ht="14.25" customHeight="1" spans="1:11">
      <c r="A86" s="28">
        <v>45831</v>
      </c>
      <c r="B86" s="29">
        <v>45831</v>
      </c>
      <c r="C86" s="30"/>
      <c r="D86" s="52">
        <v>0.97</v>
      </c>
      <c r="E86" s="52"/>
      <c r="F86" s="52">
        <v>26.8</v>
      </c>
      <c r="G86" s="30"/>
      <c r="H86" s="30"/>
      <c r="I86" s="30"/>
      <c r="J86" s="30"/>
      <c r="K86" s="30"/>
    </row>
    <row r="87" ht="14.25" customHeight="1" spans="1:11">
      <c r="A87" s="28">
        <v>45832</v>
      </c>
      <c r="B87" s="29">
        <v>45832</v>
      </c>
      <c r="C87" s="30"/>
      <c r="D87" s="52">
        <v>2.13</v>
      </c>
      <c r="E87" s="52"/>
      <c r="F87" s="52">
        <v>28.82</v>
      </c>
      <c r="G87" s="30"/>
      <c r="H87" s="30"/>
      <c r="I87" s="30"/>
      <c r="J87" s="30"/>
      <c r="K87" s="30"/>
    </row>
    <row r="88" ht="14.25" customHeight="1" spans="1:11">
      <c r="A88" s="28">
        <v>45833</v>
      </c>
      <c r="B88" s="29">
        <v>45833</v>
      </c>
      <c r="C88" s="30"/>
      <c r="D88" s="52">
        <v>1.23</v>
      </c>
      <c r="E88" s="52"/>
      <c r="F88" s="52">
        <v>27.86</v>
      </c>
      <c r="G88" s="30"/>
      <c r="H88" s="30"/>
      <c r="I88" s="30"/>
      <c r="J88" s="30"/>
      <c r="K88" s="30"/>
    </row>
    <row r="89" ht="14.25" customHeight="1" spans="1:11">
      <c r="A89" s="28">
        <v>45834</v>
      </c>
      <c r="B89" s="29">
        <v>45834</v>
      </c>
      <c r="C89" s="30"/>
      <c r="D89" s="30">
        <v>0.1</v>
      </c>
      <c r="E89" s="30"/>
      <c r="F89" s="30">
        <v>26.31</v>
      </c>
      <c r="G89" s="30"/>
      <c r="H89" s="30"/>
      <c r="I89" s="30"/>
      <c r="J89" s="30"/>
      <c r="K89" s="30"/>
    </row>
    <row r="90" ht="14.25" customHeight="1" spans="1:11">
      <c r="A90" s="28">
        <v>45835</v>
      </c>
      <c r="B90" s="29">
        <v>45835</v>
      </c>
      <c r="C90" s="30"/>
      <c r="D90" s="30">
        <v>0.35</v>
      </c>
      <c r="E90" s="30"/>
      <c r="F90" s="30">
        <v>26.6</v>
      </c>
      <c r="G90" s="30"/>
      <c r="H90" s="30"/>
      <c r="I90" s="30"/>
      <c r="J90" s="30"/>
      <c r="K90" s="30"/>
    </row>
    <row r="91" ht="14.25" customHeight="1" spans="1:11">
      <c r="A91" s="28">
        <v>45836</v>
      </c>
      <c r="B91" s="29">
        <v>45836</v>
      </c>
      <c r="C91" s="30"/>
      <c r="D91" s="30">
        <v>2.54</v>
      </c>
      <c r="E91" s="30"/>
      <c r="F91" s="30">
        <v>26.91</v>
      </c>
      <c r="G91" s="30"/>
      <c r="H91" s="30"/>
      <c r="I91" s="30"/>
      <c r="J91" s="30"/>
      <c r="K91" s="30"/>
    </row>
    <row r="92" ht="14.25" customHeight="1" spans="1:11">
      <c r="A92" s="28">
        <v>45837</v>
      </c>
      <c r="B92" s="29">
        <v>45837</v>
      </c>
      <c r="C92" s="30"/>
      <c r="D92" s="30">
        <v>3.53</v>
      </c>
      <c r="E92" s="30"/>
      <c r="F92" s="30">
        <v>29.02</v>
      </c>
      <c r="G92" s="30"/>
      <c r="H92" s="30"/>
      <c r="I92" s="30"/>
      <c r="J92" s="30"/>
      <c r="K92" s="30"/>
    </row>
    <row r="93" ht="14.25" customHeight="1" spans="1:11">
      <c r="A93" s="28">
        <v>45838</v>
      </c>
      <c r="B93" s="29">
        <v>45838</v>
      </c>
      <c r="C93" s="30"/>
      <c r="D93" s="30">
        <v>1.23</v>
      </c>
      <c r="E93" s="30"/>
      <c r="F93" s="30">
        <v>0</v>
      </c>
      <c r="G93" s="30"/>
      <c r="H93" s="30"/>
      <c r="I93" s="30"/>
      <c r="J93" s="30"/>
      <c r="K93" s="30"/>
    </row>
    <row r="94" ht="14.25" customHeight="1" spans="1:11">
      <c r="A94" s="28">
        <v>45839</v>
      </c>
      <c r="B94" s="29">
        <v>45839</v>
      </c>
      <c r="C94" s="30"/>
      <c r="D94" s="30">
        <v>3.18</v>
      </c>
      <c r="E94" s="30"/>
      <c r="F94" s="30">
        <v>0</v>
      </c>
      <c r="G94" s="30"/>
      <c r="H94" s="30"/>
      <c r="I94" s="30"/>
      <c r="J94" s="30"/>
      <c r="K94" s="30"/>
    </row>
    <row r="95" ht="14.25" customHeight="1" spans="1:11">
      <c r="A95" s="28">
        <v>45840</v>
      </c>
      <c r="B95" s="29">
        <v>45840</v>
      </c>
      <c r="C95" s="30"/>
      <c r="D95" s="30">
        <v>1.61</v>
      </c>
      <c r="E95" s="30"/>
      <c r="F95" s="30">
        <v>0</v>
      </c>
      <c r="G95" s="30"/>
      <c r="H95" s="30"/>
      <c r="I95" s="30"/>
      <c r="J95" s="30"/>
      <c r="K95" s="30"/>
    </row>
    <row r="96" ht="14.25" customHeight="1" spans="1:11">
      <c r="A96" s="28">
        <v>45841</v>
      </c>
      <c r="B96" s="29">
        <v>45841</v>
      </c>
      <c r="C96" s="30"/>
      <c r="D96" s="30">
        <v>1.11</v>
      </c>
      <c r="E96" s="30"/>
      <c r="F96" s="30">
        <v>0</v>
      </c>
      <c r="G96" s="30"/>
      <c r="H96" s="30"/>
      <c r="I96" s="30"/>
      <c r="J96" s="30"/>
      <c r="K96" s="30"/>
    </row>
    <row r="97" ht="14.25" customHeight="1" spans="1:11">
      <c r="A97" s="28">
        <v>45842</v>
      </c>
      <c r="B97" s="29">
        <v>45842</v>
      </c>
      <c r="C97" s="30"/>
      <c r="D97" s="30">
        <v>2.7</v>
      </c>
      <c r="E97" s="30"/>
      <c r="F97" s="30">
        <v>0</v>
      </c>
      <c r="G97" s="30"/>
      <c r="H97" s="30"/>
      <c r="I97" s="30"/>
      <c r="J97" s="30"/>
      <c r="K97" s="30"/>
    </row>
    <row r="98" ht="14.25" customHeight="1" spans="1:11">
      <c r="A98" s="28">
        <v>45843</v>
      </c>
      <c r="B98" s="29">
        <v>45843</v>
      </c>
      <c r="C98" s="30"/>
      <c r="D98" s="30">
        <v>1.3</v>
      </c>
      <c r="E98" s="30"/>
      <c r="F98" s="30">
        <v>0</v>
      </c>
      <c r="G98" s="30"/>
      <c r="H98" s="30"/>
      <c r="I98" s="30"/>
      <c r="J98" s="30"/>
      <c r="K98" s="30"/>
    </row>
    <row r="99" ht="14.25" customHeight="1" spans="1:11">
      <c r="A99" s="28">
        <v>45844</v>
      </c>
      <c r="B99" s="29">
        <v>45844</v>
      </c>
      <c r="C99" s="30"/>
      <c r="D99" s="30">
        <v>2.44</v>
      </c>
      <c r="E99" s="30"/>
      <c r="F99" s="30">
        <v>0</v>
      </c>
      <c r="G99" s="30"/>
      <c r="H99" s="30"/>
      <c r="I99" s="30"/>
      <c r="J99" s="30"/>
      <c r="K99" s="30"/>
    </row>
    <row r="100" ht="14.25" customHeight="1" spans="1:11">
      <c r="A100" s="28">
        <v>45845</v>
      </c>
      <c r="B100" s="29">
        <v>45845</v>
      </c>
      <c r="C100" s="30"/>
      <c r="D100" s="30">
        <v>1.82</v>
      </c>
      <c r="E100" s="30"/>
      <c r="F100" s="30">
        <v>0</v>
      </c>
      <c r="G100" s="30"/>
      <c r="H100" s="30"/>
      <c r="I100" s="30"/>
      <c r="J100" s="30"/>
      <c r="K100" s="30"/>
    </row>
    <row r="101" ht="15.75" customHeight="1" spans="1:11">
      <c r="A101" s="28">
        <v>45846</v>
      </c>
      <c r="B101" s="29">
        <v>45846</v>
      </c>
      <c r="C101" s="30"/>
      <c r="D101" s="30">
        <v>3.16</v>
      </c>
      <c r="E101" s="30"/>
      <c r="F101" s="30">
        <v>0</v>
      </c>
      <c r="G101" s="30"/>
      <c r="H101" s="30"/>
      <c r="I101" s="30"/>
      <c r="J101" s="30"/>
      <c r="K101" s="30"/>
    </row>
    <row r="102" ht="15.75" customHeight="1" spans="1:11">
      <c r="A102" s="28">
        <v>45847</v>
      </c>
      <c r="B102" s="29">
        <v>45847</v>
      </c>
      <c r="C102" s="30"/>
      <c r="D102" s="30">
        <v>4.7</v>
      </c>
      <c r="E102" s="30"/>
      <c r="F102" s="30">
        <v>0</v>
      </c>
      <c r="G102" s="30"/>
      <c r="H102" s="30"/>
      <c r="I102" s="30"/>
      <c r="J102" s="30"/>
      <c r="K102" s="30"/>
    </row>
    <row r="103" ht="15.75" customHeight="1" spans="1:11">
      <c r="A103" s="28">
        <v>45848</v>
      </c>
      <c r="B103" s="29">
        <v>45848</v>
      </c>
      <c r="C103" s="30"/>
      <c r="D103" s="30">
        <v>2.43</v>
      </c>
      <c r="E103" s="30"/>
      <c r="F103" s="30">
        <v>0</v>
      </c>
      <c r="G103" s="30"/>
      <c r="H103" s="30"/>
      <c r="I103" s="30"/>
      <c r="J103" s="30"/>
      <c r="K103" s="30"/>
    </row>
    <row r="104" ht="15.75" customHeight="1" spans="1:11">
      <c r="A104" s="28">
        <v>45849</v>
      </c>
      <c r="B104" s="29">
        <v>45849</v>
      </c>
      <c r="C104" s="30"/>
      <c r="D104" s="30">
        <v>1.57</v>
      </c>
      <c r="E104" s="30"/>
      <c r="F104" s="30">
        <v>0</v>
      </c>
      <c r="G104" s="30"/>
      <c r="H104" s="30"/>
      <c r="I104" s="30"/>
      <c r="J104" s="30"/>
      <c r="K104" s="30"/>
    </row>
    <row r="105" ht="15.75" customHeight="1" spans="1:11">
      <c r="A105" s="28">
        <v>45850</v>
      </c>
      <c r="B105" s="29">
        <v>45850</v>
      </c>
      <c r="C105" s="30"/>
      <c r="D105" s="30">
        <v>3.25</v>
      </c>
      <c r="E105" s="30"/>
      <c r="F105" s="30">
        <v>0</v>
      </c>
      <c r="G105" s="30"/>
      <c r="H105" s="30"/>
      <c r="I105" s="30"/>
      <c r="J105" s="30"/>
      <c r="K105" s="30"/>
    </row>
    <row r="106" ht="15.75" customHeight="1" spans="1:11">
      <c r="A106" s="28">
        <v>45851</v>
      </c>
      <c r="B106" s="29">
        <v>45851</v>
      </c>
      <c r="C106" s="30"/>
      <c r="D106" s="30">
        <v>3.65</v>
      </c>
      <c r="E106" s="30"/>
      <c r="F106" s="30">
        <v>0</v>
      </c>
      <c r="G106" s="30"/>
      <c r="H106" s="30"/>
      <c r="I106" s="30"/>
      <c r="J106" s="30"/>
      <c r="K106" s="30"/>
    </row>
    <row r="107" ht="15.75" customHeight="1" spans="1:11">
      <c r="A107" s="28">
        <v>45852</v>
      </c>
      <c r="B107" s="29">
        <v>45852</v>
      </c>
      <c r="C107" s="30"/>
      <c r="D107" s="30">
        <v>4.46</v>
      </c>
      <c r="E107" s="30"/>
      <c r="F107" s="30">
        <v>0</v>
      </c>
      <c r="G107" s="30"/>
      <c r="H107" s="30"/>
      <c r="I107" s="30"/>
      <c r="J107" s="30"/>
      <c r="K107" s="30"/>
    </row>
    <row r="108" ht="15.75" customHeight="1" spans="1:11">
      <c r="A108" s="28">
        <v>45853</v>
      </c>
      <c r="B108" s="29">
        <v>45853</v>
      </c>
      <c r="C108" s="30"/>
      <c r="D108" s="30">
        <v>4.22</v>
      </c>
      <c r="E108" s="30"/>
      <c r="F108" s="30">
        <v>0</v>
      </c>
      <c r="G108" s="30"/>
      <c r="H108" s="30"/>
      <c r="I108" s="30"/>
      <c r="J108" s="30"/>
      <c r="K108" s="30"/>
    </row>
    <row r="109" ht="15.75" customHeight="1" spans="1:11">
      <c r="A109" s="28">
        <v>45854</v>
      </c>
      <c r="B109" s="29">
        <v>45854</v>
      </c>
      <c r="C109" s="30"/>
      <c r="D109" s="30">
        <v>4.6</v>
      </c>
      <c r="E109" s="30"/>
      <c r="F109" s="30">
        <v>30.82</v>
      </c>
      <c r="G109" s="30"/>
      <c r="H109" s="30"/>
      <c r="I109" s="30"/>
      <c r="J109" s="30"/>
      <c r="K109" s="30"/>
    </row>
    <row r="110" ht="15.75" customHeight="1" spans="1:11">
      <c r="A110" s="28">
        <v>45855</v>
      </c>
      <c r="B110" s="29">
        <v>45855</v>
      </c>
      <c r="C110" s="30"/>
      <c r="D110" s="30">
        <v>4.7</v>
      </c>
      <c r="E110" s="30"/>
      <c r="F110" s="30">
        <v>31.54</v>
      </c>
      <c r="G110" s="30"/>
      <c r="H110" s="30"/>
      <c r="I110" s="30"/>
      <c r="J110" s="30"/>
      <c r="K110" s="30"/>
    </row>
    <row r="111" ht="15.75" customHeight="1" spans="1:11">
      <c r="A111" s="28">
        <v>45856</v>
      </c>
      <c r="B111" s="29">
        <v>45856</v>
      </c>
      <c r="C111" s="30"/>
      <c r="D111" s="30">
        <v>5.45</v>
      </c>
      <c r="E111" s="30"/>
      <c r="F111" s="30">
        <v>31.67</v>
      </c>
      <c r="G111" s="30"/>
      <c r="H111" s="30"/>
      <c r="I111" s="30"/>
      <c r="J111" s="30"/>
      <c r="K111" s="30"/>
    </row>
    <row r="112" ht="15.75" customHeight="1" spans="1:11">
      <c r="A112" s="28">
        <v>45857</v>
      </c>
      <c r="B112" s="29">
        <v>45857</v>
      </c>
      <c r="C112" s="30"/>
      <c r="D112" s="30">
        <v>3.48</v>
      </c>
      <c r="E112" s="30"/>
      <c r="F112" s="30">
        <v>28.86</v>
      </c>
      <c r="G112" s="30"/>
      <c r="H112" s="30"/>
      <c r="I112" s="30"/>
      <c r="J112" s="30"/>
      <c r="K112" s="30"/>
    </row>
    <row r="113" ht="15.75" customHeight="1" spans="1:11">
      <c r="A113" s="28">
        <v>45858</v>
      </c>
      <c r="B113" s="29">
        <v>45858</v>
      </c>
      <c r="C113" s="30"/>
      <c r="D113" s="30">
        <v>3.3</v>
      </c>
      <c r="E113" s="30"/>
      <c r="F113" s="30">
        <v>28.48</v>
      </c>
      <c r="G113" s="30"/>
      <c r="H113" s="30"/>
      <c r="I113" s="30"/>
      <c r="J113" s="30"/>
      <c r="K113" s="30"/>
    </row>
    <row r="114" ht="15.75" customHeight="1" spans="1:11">
      <c r="A114" s="28">
        <v>45859</v>
      </c>
      <c r="B114" s="29">
        <v>45859</v>
      </c>
      <c r="C114" s="30"/>
      <c r="D114" s="30">
        <v>3.27</v>
      </c>
      <c r="E114" s="30"/>
      <c r="F114" s="30">
        <v>29.83</v>
      </c>
      <c r="G114" s="30"/>
      <c r="H114" s="30"/>
      <c r="I114" s="30"/>
      <c r="J114" s="30"/>
      <c r="K114" s="30"/>
    </row>
    <row r="115" ht="15.75" customHeight="1" spans="1:11">
      <c r="A115" s="28">
        <v>45860</v>
      </c>
      <c r="B115" s="29">
        <v>45860</v>
      </c>
      <c r="C115" s="30"/>
      <c r="D115" s="30">
        <v>4.06</v>
      </c>
      <c r="E115" s="30"/>
      <c r="F115" s="30">
        <v>29.06</v>
      </c>
      <c r="G115" s="30"/>
      <c r="H115" s="30"/>
      <c r="I115" s="30"/>
      <c r="J115" s="30"/>
      <c r="K115" s="30"/>
    </row>
    <row r="116" ht="15.75" customHeight="1" spans="1:11">
      <c r="A116" s="28">
        <v>45861</v>
      </c>
      <c r="B116" s="29">
        <v>45861</v>
      </c>
      <c r="C116" s="30"/>
      <c r="D116" s="30">
        <v>2.6</v>
      </c>
      <c r="E116" s="30"/>
      <c r="F116" s="30">
        <v>28.33</v>
      </c>
      <c r="G116" s="30"/>
      <c r="H116" s="30"/>
      <c r="I116" s="30"/>
      <c r="J116" s="30"/>
      <c r="K116" s="30"/>
    </row>
    <row r="117" ht="15.75" customHeight="1" spans="1:11">
      <c r="A117" s="28">
        <v>45862</v>
      </c>
      <c r="B117" s="29">
        <v>45862</v>
      </c>
      <c r="C117" s="30"/>
      <c r="D117" s="30">
        <v>1.81</v>
      </c>
      <c r="E117" s="30"/>
      <c r="F117" s="30">
        <v>26.65</v>
      </c>
      <c r="G117" s="30"/>
      <c r="H117" s="30"/>
      <c r="I117" s="30"/>
      <c r="J117" s="30"/>
      <c r="K117" s="30"/>
    </row>
    <row r="118" ht="15.75" customHeight="1" spans="1:11">
      <c r="A118" s="28">
        <v>45863</v>
      </c>
      <c r="B118" s="29">
        <v>45863</v>
      </c>
      <c r="C118" s="30"/>
      <c r="D118" s="30">
        <v>2.8</v>
      </c>
      <c r="E118" s="30"/>
      <c r="F118" s="30">
        <v>28.47</v>
      </c>
      <c r="G118" s="30"/>
      <c r="H118" s="30"/>
      <c r="I118" s="30"/>
      <c r="J118" s="30"/>
      <c r="K118" s="30"/>
    </row>
    <row r="119" ht="15.75" customHeight="1" spans="1:11">
      <c r="A119" s="28">
        <v>45864</v>
      </c>
      <c r="B119" s="29">
        <v>45864</v>
      </c>
      <c r="C119" s="30"/>
      <c r="D119" s="30">
        <v>1.61</v>
      </c>
      <c r="E119" s="30"/>
      <c r="F119" s="30">
        <v>27.22</v>
      </c>
      <c r="G119" s="30"/>
      <c r="H119" s="30"/>
      <c r="I119" s="30"/>
      <c r="J119" s="30"/>
      <c r="K119" s="30"/>
    </row>
    <row r="120" ht="15.75" customHeight="1" spans="1:11">
      <c r="A120" s="28">
        <v>45865</v>
      </c>
      <c r="B120" s="29">
        <v>45865</v>
      </c>
      <c r="C120" s="30"/>
      <c r="D120" s="30">
        <v>1.55</v>
      </c>
      <c r="E120" s="30"/>
      <c r="F120" s="30">
        <v>26.34</v>
      </c>
      <c r="G120" s="30"/>
      <c r="H120" s="30"/>
      <c r="I120" s="30"/>
      <c r="J120" s="30"/>
      <c r="K120" s="30"/>
    </row>
    <row r="121" ht="15.75" customHeight="1" spans="1:11">
      <c r="A121" s="28">
        <v>45866</v>
      </c>
      <c r="B121" s="29">
        <v>45866</v>
      </c>
      <c r="C121" s="30"/>
      <c r="D121" s="30">
        <v>2.32</v>
      </c>
      <c r="E121" s="30"/>
      <c r="F121" s="30">
        <v>26.68</v>
      </c>
      <c r="G121" s="30"/>
      <c r="H121" s="30"/>
      <c r="I121" s="30"/>
      <c r="J121" s="30"/>
      <c r="K121" s="30"/>
    </row>
    <row r="122" ht="15.75" customHeight="1" spans="1:11">
      <c r="A122" s="28">
        <v>45867</v>
      </c>
      <c r="B122" s="29">
        <v>45867</v>
      </c>
      <c r="C122" s="30"/>
      <c r="D122" s="30">
        <v>2.13</v>
      </c>
      <c r="E122" s="30"/>
      <c r="F122" s="30">
        <v>26.56</v>
      </c>
      <c r="G122" s="30"/>
      <c r="H122" s="30"/>
      <c r="I122" s="30"/>
      <c r="J122" s="30"/>
      <c r="K122" s="30"/>
    </row>
    <row r="123" ht="15.75" customHeight="1" spans="1:11">
      <c r="A123" s="28">
        <v>45868</v>
      </c>
      <c r="B123" s="29">
        <v>45868</v>
      </c>
      <c r="C123" s="30"/>
      <c r="D123" s="30">
        <v>3.62</v>
      </c>
      <c r="E123" s="30"/>
      <c r="F123" s="30">
        <v>28.71</v>
      </c>
      <c r="G123" s="30"/>
      <c r="H123" s="30"/>
      <c r="I123" s="30"/>
      <c r="J123" s="30"/>
      <c r="K123" s="30"/>
    </row>
    <row r="124" ht="15.75" customHeight="1" spans="1:11">
      <c r="A124" s="28">
        <v>45869</v>
      </c>
      <c r="B124" s="29">
        <v>45869</v>
      </c>
      <c r="C124" s="30"/>
      <c r="D124" s="30">
        <v>2.47</v>
      </c>
      <c r="E124" s="30"/>
      <c r="F124" s="30">
        <v>27.95</v>
      </c>
      <c r="G124" s="30"/>
      <c r="H124" s="30"/>
      <c r="I124" s="30"/>
      <c r="J124" s="30"/>
      <c r="K124" s="30"/>
    </row>
    <row r="125" ht="15.75" customHeight="1" spans="1:11">
      <c r="A125" s="28">
        <v>45870</v>
      </c>
      <c r="B125" s="29">
        <v>45870</v>
      </c>
      <c r="C125" s="30"/>
      <c r="D125" s="30">
        <v>3.14</v>
      </c>
      <c r="E125" s="30"/>
      <c r="F125" s="30">
        <v>28.22</v>
      </c>
      <c r="G125" s="30"/>
      <c r="H125" s="30"/>
      <c r="I125" s="30"/>
      <c r="J125" s="30"/>
      <c r="K125" s="30"/>
    </row>
    <row r="126" ht="15.75" customHeight="1" spans="1:11">
      <c r="A126" s="28">
        <v>45871</v>
      </c>
      <c r="B126" s="29">
        <v>45871</v>
      </c>
      <c r="C126" s="30"/>
      <c r="D126" s="30">
        <v>2.91</v>
      </c>
      <c r="E126" s="30"/>
      <c r="F126" s="30">
        <v>27.7</v>
      </c>
      <c r="G126" s="30"/>
      <c r="H126" s="30"/>
      <c r="I126" s="30"/>
      <c r="J126" s="30"/>
      <c r="K126" s="30"/>
    </row>
    <row r="127" ht="15.75" customHeight="1" spans="1:11">
      <c r="A127" s="28">
        <v>45872</v>
      </c>
      <c r="B127" s="29">
        <v>45872</v>
      </c>
      <c r="C127" s="30"/>
      <c r="D127" s="30">
        <v>2.78</v>
      </c>
      <c r="E127" s="30"/>
      <c r="F127" s="30">
        <v>27.5</v>
      </c>
      <c r="G127" s="30"/>
      <c r="H127" s="30"/>
      <c r="I127" s="30"/>
      <c r="J127" s="30"/>
      <c r="K127" s="30"/>
    </row>
    <row r="128" ht="15.75" customHeight="1" spans="1:11">
      <c r="A128" s="28">
        <v>45873</v>
      </c>
      <c r="B128" s="29">
        <v>45873</v>
      </c>
      <c r="C128" s="30"/>
      <c r="D128" s="30">
        <v>2.75</v>
      </c>
      <c r="E128" s="30"/>
      <c r="F128" s="30">
        <v>26.98</v>
      </c>
      <c r="G128" s="30"/>
      <c r="H128" s="30"/>
      <c r="I128" s="30"/>
      <c r="J128" s="30"/>
      <c r="K128" s="30"/>
    </row>
    <row r="129" ht="15.75" customHeight="1" spans="1:11">
      <c r="A129" s="28">
        <v>45874</v>
      </c>
      <c r="B129" s="29">
        <v>45874</v>
      </c>
      <c r="C129" s="30"/>
      <c r="D129" s="30">
        <v>2.64</v>
      </c>
      <c r="E129" s="30"/>
      <c r="F129" s="30">
        <v>27.6</v>
      </c>
      <c r="G129" s="30"/>
      <c r="H129" s="30"/>
      <c r="I129" s="30"/>
      <c r="J129" s="30"/>
      <c r="K129" s="30"/>
    </row>
    <row r="130" ht="15.75" customHeight="1" spans="1:11">
      <c r="A130" s="28">
        <v>45875</v>
      </c>
      <c r="B130" s="29">
        <v>45875</v>
      </c>
      <c r="C130" s="30"/>
      <c r="D130" s="30">
        <v>4.15</v>
      </c>
      <c r="E130" s="30"/>
      <c r="F130" s="30">
        <v>29.51</v>
      </c>
      <c r="G130" s="30"/>
      <c r="H130" s="30"/>
      <c r="I130" s="30"/>
      <c r="J130" s="30"/>
      <c r="K130" s="30"/>
    </row>
    <row r="131" ht="15.75" customHeight="1" spans="1:11">
      <c r="A131" s="28">
        <v>45876</v>
      </c>
      <c r="B131" s="29">
        <v>45876</v>
      </c>
      <c r="C131" s="30"/>
      <c r="D131" s="30">
        <v>4.81</v>
      </c>
      <c r="E131" s="30"/>
      <c r="F131" s="30">
        <v>30.1</v>
      </c>
      <c r="G131" s="30"/>
      <c r="H131" s="30"/>
      <c r="I131" s="30"/>
      <c r="J131" s="30"/>
      <c r="K131" s="30"/>
    </row>
    <row r="132" ht="15.75" customHeight="1" spans="1:11">
      <c r="A132" s="28">
        <v>45877</v>
      </c>
      <c r="B132" s="29">
        <v>45877</v>
      </c>
      <c r="C132" s="30"/>
      <c r="D132" s="30">
        <v>4.76</v>
      </c>
      <c r="E132" s="30"/>
      <c r="F132" s="30">
        <v>30.06</v>
      </c>
      <c r="G132" s="30"/>
      <c r="H132" s="30"/>
      <c r="I132" s="30"/>
      <c r="J132" s="30"/>
      <c r="K132" s="30"/>
    </row>
    <row r="133" ht="15.75" customHeight="1" spans="1:11">
      <c r="A133" s="28">
        <v>45878</v>
      </c>
      <c r="B133" s="29">
        <v>45878</v>
      </c>
      <c r="C133" s="30"/>
      <c r="D133" s="30">
        <v>3.13</v>
      </c>
      <c r="E133" s="30"/>
      <c r="F133" s="30">
        <v>28.06</v>
      </c>
      <c r="G133" s="30"/>
      <c r="H133" s="30"/>
      <c r="I133" s="30"/>
      <c r="J133" s="30"/>
      <c r="K133" s="30"/>
    </row>
    <row r="134" ht="15.75" customHeight="1" spans="1:11">
      <c r="A134" s="28">
        <v>45879</v>
      </c>
      <c r="B134" s="29">
        <v>45879</v>
      </c>
      <c r="C134" s="30"/>
      <c r="D134" s="30">
        <v>3.55</v>
      </c>
      <c r="E134" s="30"/>
      <c r="F134" s="30">
        <v>27.72</v>
      </c>
      <c r="G134" s="30"/>
      <c r="H134" s="30"/>
      <c r="I134" s="30"/>
      <c r="J134" s="30"/>
      <c r="K134" s="30"/>
    </row>
    <row r="135" ht="15.75" customHeight="1" spans="1:11">
      <c r="A135" s="28">
        <v>45880</v>
      </c>
      <c r="B135" s="29">
        <v>45880</v>
      </c>
      <c r="C135" s="30"/>
      <c r="D135" s="30">
        <v>3.28</v>
      </c>
      <c r="E135" s="30"/>
      <c r="F135" s="30">
        <v>29.02</v>
      </c>
      <c r="G135" s="30"/>
      <c r="H135" s="30"/>
      <c r="I135" s="30"/>
      <c r="J135" s="30"/>
      <c r="K135" s="30"/>
    </row>
    <row r="136" ht="15.75" customHeight="1" spans="1:11">
      <c r="A136" s="28">
        <v>45881</v>
      </c>
      <c r="B136" s="29">
        <v>45881</v>
      </c>
      <c r="C136" s="30"/>
      <c r="D136" s="30">
        <v>2.98</v>
      </c>
      <c r="E136" s="30"/>
      <c r="F136" s="30">
        <v>27.02</v>
      </c>
      <c r="G136" s="30"/>
      <c r="H136" s="30"/>
      <c r="I136" s="30"/>
      <c r="J136" s="30"/>
      <c r="K136" s="30"/>
    </row>
    <row r="137" ht="15.75" customHeight="1" spans="1:11">
      <c r="A137" s="28">
        <v>45882</v>
      </c>
      <c r="B137" s="29">
        <v>45882</v>
      </c>
      <c r="C137" s="30"/>
      <c r="D137" s="30">
        <v>3.15</v>
      </c>
      <c r="E137" s="30"/>
      <c r="F137" s="30">
        <v>28.26</v>
      </c>
      <c r="G137" s="30"/>
      <c r="H137" s="30"/>
      <c r="I137" s="30"/>
      <c r="J137" s="30"/>
      <c r="K137" s="30"/>
    </row>
    <row r="138" ht="15.75" customHeight="1" spans="1:11">
      <c r="A138" s="28">
        <v>45883</v>
      </c>
      <c r="B138" s="29">
        <v>45883</v>
      </c>
      <c r="C138" s="30"/>
      <c r="D138" s="30">
        <v>3.1</v>
      </c>
      <c r="E138" s="30"/>
      <c r="F138" s="30">
        <v>28.77</v>
      </c>
      <c r="G138" s="30"/>
      <c r="H138" s="30"/>
      <c r="I138" s="30"/>
      <c r="J138" s="30"/>
      <c r="K138" s="30"/>
    </row>
    <row r="139" ht="15.75" customHeight="1" spans="1:11">
      <c r="A139" s="28">
        <v>45884</v>
      </c>
      <c r="B139" s="29">
        <v>45884</v>
      </c>
      <c r="C139" s="30"/>
      <c r="D139" s="30">
        <v>2.96</v>
      </c>
      <c r="E139" s="30"/>
      <c r="F139" s="30">
        <v>29.35</v>
      </c>
      <c r="G139" s="30"/>
      <c r="H139" s="30"/>
      <c r="I139" s="30"/>
      <c r="J139" s="30"/>
      <c r="K139" s="30"/>
    </row>
    <row r="140" ht="15.75" customHeight="1" spans="1:11">
      <c r="A140" s="28">
        <v>45885</v>
      </c>
      <c r="B140" s="29">
        <v>45885</v>
      </c>
      <c r="C140" s="30"/>
      <c r="D140" s="30">
        <v>3.06</v>
      </c>
      <c r="E140" s="30"/>
      <c r="F140" s="30">
        <v>29.12</v>
      </c>
      <c r="G140" s="30"/>
      <c r="H140" s="30"/>
      <c r="I140" s="30"/>
      <c r="J140" s="30"/>
      <c r="K140" s="30"/>
    </row>
    <row r="141" ht="15.75" customHeight="1" spans="1:11">
      <c r="A141" s="28">
        <v>45886</v>
      </c>
      <c r="B141" s="29">
        <v>45886</v>
      </c>
      <c r="C141" s="30"/>
      <c r="D141" s="30">
        <v>2.93</v>
      </c>
      <c r="E141" s="30"/>
      <c r="F141" s="30">
        <v>28.69</v>
      </c>
      <c r="G141" s="30"/>
      <c r="H141" s="30"/>
      <c r="I141" s="30"/>
      <c r="J141" s="30"/>
      <c r="K141" s="30"/>
    </row>
    <row r="142" ht="15.75" customHeight="1" spans="1:11">
      <c r="A142" s="28">
        <v>45887</v>
      </c>
      <c r="B142" s="29">
        <v>45887</v>
      </c>
      <c r="C142" s="30"/>
      <c r="D142" s="30">
        <v>2.69</v>
      </c>
      <c r="E142" s="30"/>
      <c r="F142" s="30">
        <v>30.29</v>
      </c>
      <c r="G142" s="30"/>
      <c r="H142" s="30"/>
      <c r="I142" s="30"/>
      <c r="J142" s="30"/>
      <c r="K142" s="30"/>
    </row>
    <row r="143" ht="15.75" customHeight="1" spans="1:11">
      <c r="A143" s="28">
        <v>45888</v>
      </c>
      <c r="B143" s="29">
        <v>45888</v>
      </c>
      <c r="C143" s="30"/>
      <c r="D143" s="30"/>
      <c r="E143" s="30"/>
      <c r="F143" s="30"/>
      <c r="G143" s="30"/>
      <c r="H143" s="30"/>
      <c r="I143" s="30"/>
      <c r="J143" s="30"/>
      <c r="K143" s="30"/>
    </row>
    <row r="144" ht="15.75" customHeight="1" spans="1:11">
      <c r="A144" s="28">
        <v>45889</v>
      </c>
      <c r="B144" s="29">
        <v>45889</v>
      </c>
      <c r="C144" s="30"/>
      <c r="D144" s="30"/>
      <c r="E144" s="30"/>
      <c r="F144" s="30"/>
      <c r="G144" s="30"/>
      <c r="H144" s="30"/>
      <c r="I144" s="30"/>
      <c r="J144" s="30"/>
      <c r="K144" s="30"/>
    </row>
    <row r="145" ht="15.75" customHeight="1" spans="1:11">
      <c r="A145" s="28">
        <v>45890</v>
      </c>
      <c r="B145" s="29">
        <v>45890</v>
      </c>
      <c r="C145" s="30"/>
      <c r="D145" s="30"/>
      <c r="E145" s="30"/>
      <c r="F145" s="30"/>
      <c r="G145" s="30"/>
      <c r="H145" s="30"/>
      <c r="I145" s="30"/>
      <c r="J145" s="30"/>
      <c r="K145" s="30"/>
    </row>
    <row r="146" ht="15.75" customHeight="1" spans="1:11">
      <c r="A146" s="28">
        <v>45891</v>
      </c>
      <c r="B146" s="29">
        <v>45891</v>
      </c>
      <c r="C146" s="30"/>
      <c r="D146" s="30"/>
      <c r="E146" s="30"/>
      <c r="F146" s="30"/>
      <c r="G146" s="30"/>
      <c r="H146" s="30"/>
      <c r="I146" s="30"/>
      <c r="J146" s="30"/>
      <c r="K146" s="30"/>
    </row>
    <row r="147" ht="15.75" customHeight="1" spans="1:11">
      <c r="A147" s="28">
        <v>45892</v>
      </c>
      <c r="B147" s="29">
        <v>45892</v>
      </c>
      <c r="C147" s="30"/>
      <c r="D147" s="30"/>
      <c r="E147" s="30"/>
      <c r="F147" s="30"/>
      <c r="G147" s="30"/>
      <c r="H147" s="30"/>
      <c r="I147" s="30"/>
      <c r="J147" s="30"/>
      <c r="K147" s="30"/>
    </row>
    <row r="148" ht="15.75" customHeight="1" spans="1:11">
      <c r="A148" s="28">
        <v>45893</v>
      </c>
      <c r="B148" s="29">
        <v>45893</v>
      </c>
      <c r="C148" s="30"/>
      <c r="D148" s="30"/>
      <c r="E148" s="30"/>
      <c r="F148" s="30"/>
      <c r="G148" s="30"/>
      <c r="H148" s="30"/>
      <c r="I148" s="30"/>
      <c r="J148" s="30"/>
      <c r="K148" s="30"/>
    </row>
    <row r="149" ht="15.75" customHeight="1" spans="1:11">
      <c r="A149" s="28">
        <v>45894</v>
      </c>
      <c r="B149" s="29">
        <v>45894</v>
      </c>
      <c r="C149" s="30"/>
      <c r="D149" s="30"/>
      <c r="E149" s="30"/>
      <c r="F149" s="30"/>
      <c r="G149" s="30"/>
      <c r="H149" s="30"/>
      <c r="I149" s="30"/>
      <c r="J149" s="30"/>
      <c r="K149" s="30"/>
    </row>
    <row r="150" ht="15.75" customHeight="1" spans="1:11">
      <c r="A150" s="28">
        <v>45895</v>
      </c>
      <c r="B150" s="29">
        <v>45895</v>
      </c>
      <c r="C150" s="30"/>
      <c r="D150" s="30"/>
      <c r="E150" s="30"/>
      <c r="F150" s="30"/>
      <c r="G150" s="30"/>
      <c r="H150" s="30"/>
      <c r="I150" s="30"/>
      <c r="J150" s="30"/>
      <c r="K150" s="30"/>
    </row>
    <row r="151" ht="15.75" customHeight="1" spans="1:11">
      <c r="A151" s="28">
        <v>45896</v>
      </c>
      <c r="B151" s="29">
        <v>45896</v>
      </c>
      <c r="C151" s="30"/>
      <c r="D151" s="30"/>
      <c r="E151" s="30"/>
      <c r="F151" s="30"/>
      <c r="G151" s="30"/>
      <c r="H151" s="30"/>
      <c r="I151" s="30"/>
      <c r="J151" s="30"/>
      <c r="K151" s="30"/>
    </row>
    <row r="152" ht="15.75" customHeight="1" spans="1:11">
      <c r="A152" s="28">
        <v>45897</v>
      </c>
      <c r="B152" s="29">
        <v>45897</v>
      </c>
      <c r="C152" s="30"/>
      <c r="D152" s="30"/>
      <c r="E152" s="30"/>
      <c r="F152" s="30"/>
      <c r="G152" s="30"/>
      <c r="H152" s="30"/>
      <c r="I152" s="30"/>
      <c r="J152" s="30"/>
      <c r="K152" s="30"/>
    </row>
    <row r="153" ht="15.75" customHeight="1" spans="1:11">
      <c r="A153" s="28">
        <v>45898</v>
      </c>
      <c r="B153" s="29">
        <v>45898</v>
      </c>
      <c r="C153" s="30"/>
      <c r="D153" s="30"/>
      <c r="E153" s="30"/>
      <c r="F153" s="30"/>
      <c r="G153" s="30"/>
      <c r="H153" s="30"/>
      <c r="I153" s="30"/>
      <c r="J153" s="30"/>
      <c r="K153" s="30"/>
    </row>
    <row r="154" ht="15.75" customHeight="1" spans="1:11">
      <c r="A154" s="28">
        <v>45899</v>
      </c>
      <c r="B154" s="29">
        <v>45899</v>
      </c>
      <c r="C154" s="30"/>
      <c r="D154" s="30"/>
      <c r="E154" s="30"/>
      <c r="F154" s="30"/>
      <c r="G154" s="30"/>
      <c r="H154" s="30"/>
      <c r="I154" s="30"/>
      <c r="J154" s="30"/>
      <c r="K154" s="30"/>
    </row>
    <row r="155" ht="15.75" customHeight="1" spans="1:11">
      <c r="A155" s="28">
        <v>45900</v>
      </c>
      <c r="B155" s="29">
        <v>45900</v>
      </c>
      <c r="C155" s="30"/>
      <c r="D155" s="30"/>
      <c r="E155" s="30"/>
      <c r="F155" s="30"/>
      <c r="G155" s="30"/>
      <c r="H155" s="30"/>
      <c r="I155" s="30"/>
      <c r="J155" s="30"/>
      <c r="K155" s="30"/>
    </row>
    <row r="156" ht="15.75" customHeight="1" spans="1:11">
      <c r="A156" s="28">
        <v>45901</v>
      </c>
      <c r="B156" s="29">
        <v>45901</v>
      </c>
      <c r="C156" s="30"/>
      <c r="D156" s="30"/>
      <c r="E156" s="30"/>
      <c r="F156" s="30"/>
      <c r="G156" s="30"/>
      <c r="H156" s="30"/>
      <c r="I156" s="30"/>
      <c r="J156" s="30"/>
      <c r="K156" s="30"/>
    </row>
    <row r="157" ht="15.75" customHeight="1" spans="1:11">
      <c r="A157" s="28">
        <v>45902</v>
      </c>
      <c r="B157" s="29">
        <v>45902</v>
      </c>
      <c r="C157" s="30"/>
      <c r="D157" s="30"/>
      <c r="E157" s="30"/>
      <c r="F157" s="30"/>
      <c r="G157" s="30"/>
      <c r="H157" s="30"/>
      <c r="I157" s="30"/>
      <c r="J157" s="30"/>
      <c r="K157" s="30"/>
    </row>
    <row r="158" ht="15.75" customHeight="1" spans="1:11">
      <c r="A158" s="28">
        <v>45903</v>
      </c>
      <c r="B158" s="29">
        <v>45903</v>
      </c>
      <c r="C158" s="30"/>
      <c r="D158" s="30"/>
      <c r="E158" s="30"/>
      <c r="F158" s="30"/>
      <c r="G158" s="30"/>
      <c r="H158" s="30"/>
      <c r="I158" s="30"/>
      <c r="J158" s="30"/>
      <c r="K158" s="30"/>
    </row>
    <row r="159" ht="15.75" customHeight="1" spans="1:11">
      <c r="A159" s="28">
        <v>45904</v>
      </c>
      <c r="B159" s="29">
        <v>45904</v>
      </c>
      <c r="C159" s="30"/>
      <c r="D159" s="30"/>
      <c r="E159" s="30"/>
      <c r="F159" s="30"/>
      <c r="G159" s="30"/>
      <c r="H159" s="30"/>
      <c r="I159" s="30"/>
      <c r="J159" s="30"/>
      <c r="K159" s="30"/>
    </row>
    <row r="160" ht="15.75" customHeight="1" spans="1:11">
      <c r="A160" s="28">
        <v>45905</v>
      </c>
      <c r="B160" s="29">
        <v>45905</v>
      </c>
      <c r="C160" s="30"/>
      <c r="D160" s="30"/>
      <c r="E160" s="30"/>
      <c r="F160" s="30"/>
      <c r="G160" s="30"/>
      <c r="H160" s="30"/>
      <c r="I160" s="30"/>
      <c r="J160" s="30"/>
      <c r="K160" s="30"/>
    </row>
    <row r="161" ht="15.75" customHeight="1" spans="1:11">
      <c r="A161" s="28">
        <v>45906</v>
      </c>
      <c r="B161" s="29">
        <v>45906</v>
      </c>
      <c r="C161" s="30"/>
      <c r="D161" s="30"/>
      <c r="E161" s="30"/>
      <c r="F161" s="30"/>
      <c r="G161" s="30"/>
      <c r="H161" s="30"/>
      <c r="I161" s="30"/>
      <c r="J161" s="30"/>
      <c r="K161" s="30"/>
    </row>
    <row r="162" ht="15.75" customHeight="1" spans="1:11">
      <c r="A162" s="28">
        <v>45907</v>
      </c>
      <c r="B162" s="29">
        <v>45907</v>
      </c>
      <c r="C162" s="30"/>
      <c r="D162" s="30"/>
      <c r="E162" s="30"/>
      <c r="F162" s="30"/>
      <c r="G162" s="30"/>
      <c r="H162" s="30"/>
      <c r="I162" s="30"/>
      <c r="J162" s="30"/>
      <c r="K162" s="30"/>
    </row>
    <row r="163" ht="15.75" customHeight="1" spans="1:11">
      <c r="A163" s="28">
        <v>45908</v>
      </c>
      <c r="B163" s="29">
        <v>45908</v>
      </c>
      <c r="C163" s="30"/>
      <c r="D163" s="30"/>
      <c r="E163" s="30"/>
      <c r="F163" s="30"/>
      <c r="G163" s="30"/>
      <c r="H163" s="30"/>
      <c r="I163" s="30"/>
      <c r="J163" s="30"/>
      <c r="K163" s="30"/>
    </row>
    <row r="164" ht="15.75" customHeight="1" spans="1:11">
      <c r="A164" s="28">
        <v>45909</v>
      </c>
      <c r="B164" s="29">
        <v>45909</v>
      </c>
      <c r="C164" s="30"/>
      <c r="D164" s="30"/>
      <c r="E164" s="30"/>
      <c r="F164" s="30"/>
      <c r="G164" s="30"/>
      <c r="H164" s="30"/>
      <c r="I164" s="30"/>
      <c r="J164" s="30"/>
      <c r="K164" s="30"/>
    </row>
    <row r="165" ht="15.75" customHeight="1" spans="1:11">
      <c r="A165" s="28">
        <v>45910</v>
      </c>
      <c r="B165" s="29">
        <v>45910</v>
      </c>
      <c r="C165" s="30"/>
      <c r="D165" s="30"/>
      <c r="E165" s="30"/>
      <c r="F165" s="30"/>
      <c r="G165" s="30"/>
      <c r="H165" s="30"/>
      <c r="I165" s="30"/>
      <c r="J165" s="30"/>
      <c r="K165" s="30"/>
    </row>
    <row r="166" ht="15.75" customHeight="1" spans="1:11">
      <c r="A166" s="28">
        <v>45911</v>
      </c>
      <c r="B166" s="29">
        <v>45911</v>
      </c>
      <c r="C166" s="30"/>
      <c r="D166" s="30"/>
      <c r="E166" s="30"/>
      <c r="F166" s="30"/>
      <c r="G166" s="30"/>
      <c r="H166" s="30"/>
      <c r="I166" s="30"/>
      <c r="J166" s="30"/>
      <c r="K166" s="30"/>
    </row>
    <row r="167" ht="15.75" customHeight="1" spans="1:11">
      <c r="A167" s="28">
        <v>45912</v>
      </c>
      <c r="B167" s="29">
        <v>45912</v>
      </c>
      <c r="C167" s="30"/>
      <c r="D167" s="30"/>
      <c r="E167" s="30"/>
      <c r="F167" s="30"/>
      <c r="G167" s="30"/>
      <c r="H167" s="30"/>
      <c r="I167" s="30"/>
      <c r="J167" s="30"/>
      <c r="K167" s="30"/>
    </row>
    <row r="168" ht="15.75" customHeight="1" spans="1:11">
      <c r="A168" s="28">
        <v>45913</v>
      </c>
      <c r="B168" s="29">
        <v>45913</v>
      </c>
      <c r="C168" s="30"/>
      <c r="D168" s="30"/>
      <c r="E168" s="30"/>
      <c r="F168" s="30"/>
      <c r="G168" s="30"/>
      <c r="H168" s="30"/>
      <c r="I168" s="30"/>
      <c r="J168" s="30"/>
      <c r="K168" s="30"/>
    </row>
    <row r="169" ht="15.75" customHeight="1" spans="1:11">
      <c r="A169" s="28">
        <v>45914</v>
      </c>
      <c r="B169" s="29">
        <v>45914</v>
      </c>
      <c r="C169" s="30"/>
      <c r="D169" s="30"/>
      <c r="E169" s="30"/>
      <c r="F169" s="30"/>
      <c r="G169" s="30"/>
      <c r="H169" s="30"/>
      <c r="I169" s="30"/>
      <c r="J169" s="30"/>
      <c r="K169" s="30"/>
    </row>
    <row r="170" ht="15.75" customHeight="1" spans="1:11">
      <c r="A170" s="28">
        <v>45915</v>
      </c>
      <c r="B170" s="29">
        <v>45915</v>
      </c>
      <c r="C170" s="30"/>
      <c r="D170" s="30"/>
      <c r="E170" s="30"/>
      <c r="F170" s="30"/>
      <c r="G170" s="30"/>
      <c r="H170" s="30"/>
      <c r="I170" s="30"/>
      <c r="J170" s="30"/>
      <c r="K170" s="30"/>
    </row>
    <row r="171" ht="15.75" customHeight="1" spans="1:11">
      <c r="A171" s="28">
        <v>45916</v>
      </c>
      <c r="B171" s="29">
        <v>45916</v>
      </c>
      <c r="C171" s="30"/>
      <c r="D171" s="30"/>
      <c r="E171" s="30"/>
      <c r="F171" s="30"/>
      <c r="G171" s="30"/>
      <c r="H171" s="30"/>
      <c r="I171" s="30"/>
      <c r="J171" s="30"/>
      <c r="K171" s="30"/>
    </row>
    <row r="172" ht="15.75" customHeight="1" spans="1:11">
      <c r="A172" s="28">
        <v>45917</v>
      </c>
      <c r="B172" s="29">
        <v>45917</v>
      </c>
      <c r="C172" s="30"/>
      <c r="D172" s="30"/>
      <c r="E172" s="30"/>
      <c r="F172" s="30"/>
      <c r="G172" s="30"/>
      <c r="H172" s="30"/>
      <c r="I172" s="30"/>
      <c r="J172" s="30"/>
      <c r="K172" s="30"/>
    </row>
    <row r="173" ht="15.75" customHeight="1" spans="1:11">
      <c r="A173" s="28">
        <v>45918</v>
      </c>
      <c r="B173" s="29">
        <v>45918</v>
      </c>
      <c r="C173" s="30"/>
      <c r="D173" s="30"/>
      <c r="E173" s="30"/>
      <c r="F173" s="30"/>
      <c r="G173" s="30"/>
      <c r="H173" s="30"/>
      <c r="I173" s="30"/>
      <c r="J173" s="30"/>
      <c r="K173" s="30"/>
    </row>
    <row r="174" ht="15.75" customHeight="1" spans="1:11">
      <c r="A174" s="28">
        <v>45919</v>
      </c>
      <c r="B174" s="29">
        <v>45919</v>
      </c>
      <c r="C174" s="30"/>
      <c r="D174" s="30"/>
      <c r="E174" s="30"/>
      <c r="F174" s="30"/>
      <c r="G174" s="30"/>
      <c r="H174" s="30"/>
      <c r="I174" s="30"/>
      <c r="J174" s="30"/>
      <c r="K174" s="30"/>
    </row>
    <row r="175" ht="15.75" customHeight="1" spans="1:11">
      <c r="A175" s="28">
        <v>45920</v>
      </c>
      <c r="B175" s="29">
        <v>45920</v>
      </c>
      <c r="C175" s="30"/>
      <c r="D175" s="30"/>
      <c r="E175" s="30"/>
      <c r="F175" s="30"/>
      <c r="G175" s="30"/>
      <c r="H175" s="30"/>
      <c r="I175" s="30"/>
      <c r="J175" s="30"/>
      <c r="K175" s="30"/>
    </row>
    <row r="176" ht="15.75" customHeight="1" spans="1:11">
      <c r="A176" s="28">
        <v>45921</v>
      </c>
      <c r="B176" s="29">
        <v>45921</v>
      </c>
      <c r="C176" s="30"/>
      <c r="D176" s="30">
        <v>3.72</v>
      </c>
      <c r="E176" s="30"/>
      <c r="F176" s="30">
        <v>29.51</v>
      </c>
      <c r="G176" s="30"/>
      <c r="H176" s="30"/>
      <c r="I176" s="30"/>
      <c r="J176" s="30"/>
      <c r="K176" s="30"/>
    </row>
    <row r="177" ht="15.75" customHeight="1" spans="1:11">
      <c r="A177" s="28">
        <v>45922</v>
      </c>
      <c r="B177" s="29">
        <v>45922</v>
      </c>
      <c r="C177" s="30"/>
      <c r="D177" s="30">
        <v>2.9</v>
      </c>
      <c r="E177" s="30"/>
      <c r="F177" s="30">
        <v>28.93</v>
      </c>
      <c r="G177" s="30"/>
      <c r="H177" s="30"/>
      <c r="I177" s="30"/>
      <c r="J177" s="30"/>
      <c r="K177" s="30"/>
    </row>
    <row r="178" ht="15.75" customHeight="1" spans="1:11">
      <c r="A178" s="28">
        <v>45923</v>
      </c>
      <c r="B178" s="29">
        <v>45923</v>
      </c>
      <c r="C178" s="30"/>
      <c r="D178" s="30">
        <v>3.28</v>
      </c>
      <c r="E178" s="30"/>
      <c r="F178" s="30">
        <v>30.41</v>
      </c>
      <c r="G178" s="30"/>
      <c r="H178" s="30"/>
      <c r="I178" s="30"/>
      <c r="J178" s="30"/>
      <c r="K178" s="30"/>
    </row>
    <row r="179" ht="15.75" customHeight="1" spans="1:11">
      <c r="A179" s="28">
        <v>45924</v>
      </c>
      <c r="B179" s="29">
        <v>45924</v>
      </c>
      <c r="C179" s="30"/>
      <c r="D179" s="30">
        <v>2.92</v>
      </c>
      <c r="E179" s="30"/>
      <c r="F179" s="30">
        <v>29.76</v>
      </c>
      <c r="G179" s="30"/>
      <c r="H179" s="30"/>
      <c r="I179" s="30"/>
      <c r="J179" s="30"/>
      <c r="K179" s="30"/>
    </row>
    <row r="180" ht="15.75" customHeight="1" spans="1:11">
      <c r="A180" s="28">
        <v>45925</v>
      </c>
      <c r="B180" s="29">
        <v>45925</v>
      </c>
      <c r="C180" s="30"/>
      <c r="D180" s="30">
        <v>2.45</v>
      </c>
      <c r="E180" s="30"/>
      <c r="F180" s="30">
        <v>31.25</v>
      </c>
      <c r="G180" s="30"/>
      <c r="H180" s="30"/>
      <c r="I180" s="30"/>
      <c r="J180" s="30"/>
      <c r="K180" s="30"/>
    </row>
    <row r="181" ht="15.75" customHeight="1" spans="1:11">
      <c r="A181" s="28">
        <v>45926</v>
      </c>
      <c r="B181" s="29">
        <v>45926</v>
      </c>
      <c r="C181" s="30"/>
      <c r="D181" s="30"/>
      <c r="E181" s="30"/>
      <c r="F181" s="30"/>
      <c r="G181" s="30"/>
      <c r="H181" s="30"/>
      <c r="I181" s="30"/>
      <c r="J181" s="30"/>
      <c r="K181" s="30"/>
    </row>
    <row r="182" ht="15.75" customHeight="1" spans="1:11">
      <c r="A182" s="28">
        <v>45927</v>
      </c>
      <c r="B182" s="29">
        <v>45927</v>
      </c>
      <c r="C182" s="30"/>
      <c r="D182" s="30"/>
      <c r="E182" s="30"/>
      <c r="F182" s="30"/>
      <c r="G182" s="30"/>
      <c r="H182" s="30"/>
      <c r="I182" s="30"/>
      <c r="J182" s="30"/>
      <c r="K182" s="30"/>
    </row>
    <row r="183" ht="15.75" customHeight="1" spans="1:11">
      <c r="A183" s="28">
        <v>45928</v>
      </c>
      <c r="B183" s="29">
        <v>45928</v>
      </c>
      <c r="C183" s="30"/>
      <c r="D183" s="30"/>
      <c r="E183" s="30"/>
      <c r="F183" s="30">
        <v>27.54</v>
      </c>
      <c r="G183" s="30"/>
      <c r="H183" s="30"/>
      <c r="I183" s="30"/>
      <c r="J183" s="30"/>
      <c r="K183" s="30"/>
    </row>
    <row r="184" ht="15.75" customHeight="1" spans="1:11">
      <c r="A184" s="28">
        <v>45929</v>
      </c>
      <c r="B184" s="29">
        <v>45929</v>
      </c>
      <c r="C184" s="30"/>
      <c r="D184" s="30"/>
      <c r="E184" s="30"/>
      <c r="F184" s="30">
        <v>26.23</v>
      </c>
      <c r="G184" s="30"/>
      <c r="H184" s="30"/>
      <c r="I184" s="30"/>
      <c r="J184" s="30"/>
      <c r="K184" s="30"/>
    </row>
    <row r="185" ht="15.75" customHeight="1" spans="1:11">
      <c r="A185" s="28">
        <v>45930</v>
      </c>
      <c r="B185" s="29">
        <v>45930</v>
      </c>
      <c r="C185" s="30"/>
      <c r="D185" s="30">
        <v>0.91</v>
      </c>
      <c r="E185" s="30"/>
      <c r="F185" s="30">
        <v>23.52</v>
      </c>
      <c r="G185" s="30"/>
      <c r="H185" s="30"/>
      <c r="I185" s="30"/>
      <c r="J185" s="30"/>
      <c r="K185" s="30"/>
    </row>
    <row r="186" ht="15.75" customHeight="1" spans="1:11">
      <c r="A186" s="28">
        <v>45931</v>
      </c>
      <c r="B186" s="29">
        <v>45931</v>
      </c>
      <c r="C186" s="30"/>
      <c r="D186" s="30">
        <v>1.15</v>
      </c>
      <c r="E186" s="30"/>
      <c r="F186" s="30">
        <v>25.77</v>
      </c>
      <c r="G186" s="30"/>
      <c r="H186" s="30"/>
      <c r="I186" s="30"/>
      <c r="J186" s="30"/>
      <c r="K186" s="30"/>
    </row>
    <row r="187" ht="15.75" customHeight="1" spans="1:11">
      <c r="A187" s="28">
        <v>45932</v>
      </c>
      <c r="B187" s="29">
        <v>45932</v>
      </c>
      <c r="C187" s="30"/>
      <c r="D187" s="30">
        <v>0.94</v>
      </c>
      <c r="E187" s="30"/>
      <c r="F187" s="30">
        <v>27.16</v>
      </c>
      <c r="G187" s="30"/>
      <c r="H187" s="30"/>
      <c r="I187" s="30"/>
      <c r="J187" s="30"/>
      <c r="K187" s="30"/>
    </row>
    <row r="188" ht="15.75" customHeight="1" spans="1:11">
      <c r="A188" s="28">
        <v>45933</v>
      </c>
      <c r="B188" s="29">
        <v>45933</v>
      </c>
      <c r="C188" s="30"/>
      <c r="D188" s="30">
        <v>4.89</v>
      </c>
      <c r="E188" s="30"/>
      <c r="F188" s="30">
        <v>31.51</v>
      </c>
      <c r="G188" s="30"/>
      <c r="H188" s="30"/>
      <c r="I188" s="30"/>
      <c r="J188" s="30"/>
      <c r="K188" s="30"/>
    </row>
    <row r="189" ht="15.75" customHeight="1" spans="1:11">
      <c r="A189" s="28">
        <v>45934</v>
      </c>
      <c r="B189" s="29">
        <v>45934</v>
      </c>
      <c r="C189" s="30"/>
      <c r="D189" s="30">
        <v>1.13</v>
      </c>
      <c r="E189" s="30"/>
      <c r="F189" s="30">
        <v>29.31</v>
      </c>
      <c r="G189" s="30"/>
      <c r="H189" s="30"/>
      <c r="I189" s="30"/>
      <c r="J189" s="30"/>
      <c r="K189" s="30"/>
    </row>
    <row r="190" ht="15.75" customHeight="1" spans="1:11">
      <c r="A190" s="28">
        <v>45935</v>
      </c>
      <c r="B190" s="29">
        <v>45935</v>
      </c>
      <c r="C190" s="30"/>
      <c r="D190" s="30">
        <v>1.13</v>
      </c>
      <c r="E190" s="30"/>
      <c r="F190" s="30">
        <v>29.55</v>
      </c>
      <c r="G190" s="30"/>
      <c r="H190" s="30"/>
      <c r="I190" s="30"/>
      <c r="J190" s="30"/>
      <c r="K190" s="30"/>
    </row>
    <row r="191" ht="15.75" customHeight="1" spans="1:11">
      <c r="A191" s="28">
        <v>45936</v>
      </c>
      <c r="B191" s="29">
        <v>45936</v>
      </c>
      <c r="C191" s="30"/>
      <c r="D191" s="30">
        <v>0.84</v>
      </c>
      <c r="E191" s="30"/>
      <c r="F191" s="30">
        <v>28.06</v>
      </c>
      <c r="G191" s="30"/>
      <c r="H191" s="30"/>
      <c r="I191" s="30"/>
      <c r="J191" s="30"/>
      <c r="K191" s="30"/>
    </row>
    <row r="192" ht="15.75" customHeight="1" spans="1:11">
      <c r="A192" s="28">
        <v>45937</v>
      </c>
      <c r="B192" s="29">
        <v>45937</v>
      </c>
      <c r="C192" s="30"/>
      <c r="D192" s="30">
        <v>0</v>
      </c>
      <c r="E192" s="30"/>
      <c r="F192" s="30">
        <v>29.77</v>
      </c>
      <c r="G192" s="30"/>
      <c r="H192" s="30"/>
      <c r="I192" s="30"/>
      <c r="J192" s="30"/>
      <c r="K192" s="30"/>
    </row>
    <row r="193" ht="15.75" customHeight="1" spans="1:11">
      <c r="A193" s="28">
        <v>45938</v>
      </c>
      <c r="B193" s="29">
        <v>45938</v>
      </c>
      <c r="C193" s="30"/>
      <c r="D193" s="30">
        <v>0</v>
      </c>
      <c r="E193" s="30"/>
      <c r="F193" s="30">
        <v>30.47</v>
      </c>
      <c r="G193" s="30"/>
      <c r="H193" s="30"/>
      <c r="I193" s="30"/>
      <c r="J193" s="30"/>
      <c r="K193" s="30"/>
    </row>
    <row r="194" ht="15.75" customHeight="1" spans="1:11">
      <c r="A194" s="28">
        <v>45939</v>
      </c>
      <c r="B194" s="29">
        <v>45939</v>
      </c>
      <c r="C194" s="30"/>
      <c r="D194" s="30">
        <v>0</v>
      </c>
      <c r="E194" s="30"/>
      <c r="F194" s="30">
        <v>30.88</v>
      </c>
      <c r="G194" s="30"/>
      <c r="H194" s="30"/>
      <c r="I194" s="30"/>
      <c r="J194" s="30"/>
      <c r="K194" s="30"/>
    </row>
    <row r="195" ht="15.75" customHeight="1" spans="1:11">
      <c r="A195" s="28">
        <v>45940</v>
      </c>
      <c r="B195" s="29">
        <v>45940</v>
      </c>
      <c r="C195" s="30"/>
      <c r="D195" s="30">
        <v>0</v>
      </c>
      <c r="E195" s="30"/>
      <c r="F195" s="30">
        <v>31.35</v>
      </c>
      <c r="G195" s="30"/>
      <c r="H195" s="30"/>
      <c r="I195" s="30"/>
      <c r="J195" s="30"/>
      <c r="K195" s="30"/>
    </row>
    <row r="196" ht="15.75" customHeight="1" spans="1:11">
      <c r="A196" s="28">
        <v>45941</v>
      </c>
      <c r="B196" s="29">
        <v>45941</v>
      </c>
      <c r="C196" s="30"/>
      <c r="D196" s="30">
        <v>0</v>
      </c>
      <c r="E196" s="30"/>
      <c r="F196" s="30">
        <v>31.55</v>
      </c>
      <c r="G196" s="30"/>
      <c r="H196" s="30"/>
      <c r="I196" s="30"/>
      <c r="J196" s="30"/>
      <c r="K196" s="30"/>
    </row>
    <row r="197" ht="15.75" customHeight="1" spans="1:11">
      <c r="A197" s="28">
        <v>45942</v>
      </c>
      <c r="B197" s="29">
        <v>45942</v>
      </c>
      <c r="C197" s="30"/>
      <c r="D197" s="30">
        <v>0</v>
      </c>
      <c r="E197" s="30"/>
      <c r="F197" s="30">
        <v>30.13</v>
      </c>
      <c r="G197" s="30"/>
      <c r="H197" s="30"/>
      <c r="I197" s="30"/>
      <c r="J197" s="30"/>
      <c r="K197" s="30"/>
    </row>
    <row r="198" ht="15.75" customHeight="1" spans="1:11">
      <c r="A198" s="28">
        <v>45943</v>
      </c>
      <c r="B198" s="29">
        <v>45943</v>
      </c>
      <c r="C198" s="30"/>
      <c r="D198" s="30">
        <v>0</v>
      </c>
      <c r="E198" s="30"/>
      <c r="F198" s="30">
        <v>30.84</v>
      </c>
      <c r="G198" s="30"/>
      <c r="H198" s="30"/>
      <c r="I198" s="30"/>
      <c r="J198" s="30"/>
      <c r="K198" s="30"/>
    </row>
    <row r="199" ht="15.75" customHeight="1" spans="1:11">
      <c r="A199" s="28">
        <v>45944</v>
      </c>
      <c r="B199" s="29">
        <v>45944</v>
      </c>
      <c r="C199" s="30"/>
      <c r="D199" s="30">
        <v>0</v>
      </c>
      <c r="E199" s="30"/>
      <c r="F199" s="30">
        <v>30.28</v>
      </c>
      <c r="G199" s="30"/>
      <c r="H199" s="30"/>
      <c r="I199" s="30"/>
      <c r="J199" s="30"/>
      <c r="K199" s="30"/>
    </row>
    <row r="200" ht="15.75" customHeight="1" spans="1:11">
      <c r="A200" s="28">
        <v>45945</v>
      </c>
      <c r="B200" s="29">
        <v>45945</v>
      </c>
      <c r="C200" s="30"/>
      <c r="D200" s="30">
        <v>0</v>
      </c>
      <c r="E200" s="30"/>
      <c r="F200" s="30">
        <v>31.68</v>
      </c>
      <c r="G200" s="30"/>
      <c r="H200" s="30"/>
      <c r="I200" s="30"/>
      <c r="J200" s="30"/>
      <c r="K200" s="30"/>
    </row>
    <row r="201" ht="15.75" customHeight="1" spans="1:11">
      <c r="A201" s="28">
        <v>45946</v>
      </c>
      <c r="B201" s="29">
        <v>45946</v>
      </c>
      <c r="C201" s="30"/>
      <c r="D201" s="30">
        <v>0</v>
      </c>
      <c r="E201" s="30"/>
      <c r="F201" s="30">
        <v>31.22</v>
      </c>
      <c r="G201" s="30"/>
      <c r="H201" s="30"/>
      <c r="I201" s="30"/>
      <c r="J201" s="30"/>
      <c r="K201" s="30"/>
    </row>
    <row r="202" ht="15.75" customHeight="1" spans="1:11">
      <c r="A202" s="28">
        <v>45947</v>
      </c>
      <c r="B202" s="29">
        <v>45947</v>
      </c>
      <c r="C202" s="30"/>
      <c r="D202" s="30">
        <v>0</v>
      </c>
      <c r="E202" s="30"/>
      <c r="F202" s="30">
        <v>32.86</v>
      </c>
      <c r="G202" s="30"/>
      <c r="H202" s="30"/>
      <c r="I202" s="30"/>
      <c r="J202" s="30"/>
      <c r="K202" s="30"/>
    </row>
    <row r="203" ht="15.75" customHeight="1" spans="1:11">
      <c r="A203" s="28">
        <v>45948</v>
      </c>
      <c r="B203" s="29">
        <v>45948</v>
      </c>
      <c r="C203" s="30"/>
      <c r="D203" s="30">
        <v>0</v>
      </c>
      <c r="E203" s="30"/>
      <c r="F203" s="30">
        <v>32.69</v>
      </c>
      <c r="G203" s="30"/>
      <c r="H203" s="30"/>
      <c r="I203" s="30"/>
      <c r="J203" s="30"/>
      <c r="K203" s="30"/>
    </row>
    <row r="204" ht="15.75" customHeight="1" spans="1:11">
      <c r="A204" s="28">
        <v>45949</v>
      </c>
      <c r="B204" s="29">
        <v>45949</v>
      </c>
      <c r="C204" s="30"/>
      <c r="D204" s="30">
        <v>0</v>
      </c>
      <c r="E204" s="30"/>
      <c r="F204" s="30">
        <v>32.06</v>
      </c>
      <c r="G204" s="30"/>
      <c r="H204" s="30"/>
      <c r="I204" s="30"/>
      <c r="J204" s="30"/>
      <c r="K204" s="30"/>
    </row>
    <row r="205" ht="15.75" customHeight="1" spans="1:11">
      <c r="A205" s="28">
        <v>45950</v>
      </c>
      <c r="B205" s="29">
        <v>45950</v>
      </c>
      <c r="C205" s="30"/>
      <c r="D205" s="30">
        <v>0</v>
      </c>
      <c r="E205" s="30"/>
      <c r="F205" s="30">
        <v>32.79</v>
      </c>
      <c r="G205" s="30"/>
      <c r="H205" s="30"/>
      <c r="I205" s="30"/>
      <c r="J205" s="30"/>
      <c r="K205" s="30"/>
    </row>
    <row r="206" ht="15.75" customHeight="1" spans="1:11">
      <c r="A206" s="28">
        <v>45951</v>
      </c>
      <c r="B206" s="29">
        <v>45951</v>
      </c>
      <c r="C206" s="30"/>
      <c r="D206" s="30">
        <v>0</v>
      </c>
      <c r="E206" s="30"/>
      <c r="F206" s="30">
        <v>31.88</v>
      </c>
      <c r="G206" s="30"/>
      <c r="H206" s="30"/>
      <c r="I206" s="30"/>
      <c r="J206" s="30"/>
      <c r="K206" s="30"/>
    </row>
    <row r="207" ht="15.75" customHeight="1" spans="1:11">
      <c r="A207" s="28">
        <v>45952</v>
      </c>
      <c r="B207" s="29">
        <v>45952</v>
      </c>
      <c r="C207" s="30"/>
      <c r="D207" s="30">
        <v>0</v>
      </c>
      <c r="E207" s="30"/>
      <c r="F207" s="30">
        <v>31.34</v>
      </c>
      <c r="G207" s="30"/>
      <c r="H207" s="30"/>
      <c r="I207" s="30"/>
      <c r="J207" s="30"/>
      <c r="K207" s="30"/>
    </row>
    <row r="208" ht="15.75" customHeight="1" spans="1:11">
      <c r="A208" s="28">
        <v>45953</v>
      </c>
      <c r="B208" s="29">
        <v>45953</v>
      </c>
      <c r="C208" s="30"/>
      <c r="D208" s="30">
        <v>0</v>
      </c>
      <c r="E208" s="30"/>
      <c r="F208" s="30">
        <v>31.55</v>
      </c>
      <c r="G208" s="30"/>
      <c r="H208" s="30"/>
      <c r="I208" s="30"/>
      <c r="J208" s="30"/>
      <c r="K208" s="30"/>
    </row>
    <row r="209" ht="15.75" customHeight="1" spans="1:11">
      <c r="A209" s="28">
        <v>45954</v>
      </c>
      <c r="B209" s="29">
        <v>45954</v>
      </c>
      <c r="C209" s="30"/>
      <c r="D209" s="30">
        <v>0</v>
      </c>
      <c r="E209" s="30"/>
      <c r="F209" s="30">
        <v>31.6</v>
      </c>
      <c r="G209" s="30"/>
      <c r="H209" s="30"/>
      <c r="I209" s="30"/>
      <c r="J209" s="30"/>
      <c r="K209" s="30"/>
    </row>
    <row r="210" ht="15.75" customHeight="1" spans="1:11">
      <c r="A210" s="28">
        <v>45955</v>
      </c>
      <c r="B210" s="29">
        <v>45955</v>
      </c>
      <c r="C210" s="30"/>
      <c r="D210" s="30">
        <v>0</v>
      </c>
      <c r="E210" s="30"/>
      <c r="F210" s="30">
        <v>31.23</v>
      </c>
      <c r="G210" s="30"/>
      <c r="H210" s="30"/>
      <c r="I210" s="30"/>
      <c r="J210" s="30"/>
      <c r="K210" s="30"/>
    </row>
    <row r="211" ht="15.75" customHeight="1" spans="1:11">
      <c r="A211" s="28">
        <v>45956</v>
      </c>
      <c r="B211" s="29">
        <v>45956</v>
      </c>
      <c r="C211" s="30"/>
      <c r="D211" s="30">
        <v>0</v>
      </c>
      <c r="E211" s="30"/>
      <c r="F211" s="52">
        <v>25.44</v>
      </c>
      <c r="G211" s="30"/>
      <c r="H211" s="30"/>
      <c r="I211" s="30"/>
      <c r="J211" s="30"/>
      <c r="K211" s="30"/>
    </row>
    <row r="212" ht="15.75" customHeight="1" spans="1:11">
      <c r="A212" s="28">
        <v>45957</v>
      </c>
      <c r="B212" s="29">
        <v>45957</v>
      </c>
      <c r="C212" s="30"/>
      <c r="D212" s="30">
        <v>0</v>
      </c>
      <c r="E212" s="30"/>
      <c r="F212" s="52">
        <v>23.9</v>
      </c>
      <c r="G212" s="30"/>
      <c r="H212" s="30"/>
      <c r="I212" s="30"/>
      <c r="J212" s="30"/>
      <c r="K212" s="30"/>
    </row>
    <row r="213" ht="15.75" customHeight="1" spans="1:11">
      <c r="A213" s="28">
        <v>45958</v>
      </c>
      <c r="B213" s="29">
        <v>45958</v>
      </c>
      <c r="C213" s="30"/>
      <c r="D213" s="30">
        <v>0</v>
      </c>
      <c r="E213" s="30"/>
      <c r="F213" s="30">
        <v>23.66</v>
      </c>
      <c r="G213" s="30"/>
      <c r="H213" s="30"/>
      <c r="I213" s="30"/>
      <c r="J213" s="30"/>
      <c r="K213" s="30"/>
    </row>
    <row r="214" ht="15.75" customHeight="1" spans="1:11">
      <c r="A214" s="28">
        <v>45959</v>
      </c>
      <c r="B214" s="29">
        <v>45959</v>
      </c>
      <c r="C214" s="30"/>
      <c r="D214" s="30">
        <v>0</v>
      </c>
      <c r="E214" s="30"/>
      <c r="F214" s="30">
        <v>24.37</v>
      </c>
      <c r="G214" s="30"/>
      <c r="H214" s="30"/>
      <c r="I214" s="30"/>
      <c r="J214" s="30"/>
      <c r="K214" s="30"/>
    </row>
    <row r="215" ht="15.75" customHeight="1" spans="1:11">
      <c r="A215" s="28">
        <v>45960</v>
      </c>
      <c r="B215" s="29">
        <v>45960</v>
      </c>
      <c r="C215" s="30"/>
      <c r="D215" s="30">
        <v>0</v>
      </c>
      <c r="E215" s="30"/>
      <c r="F215" s="30">
        <v>23.8</v>
      </c>
      <c r="G215" s="30"/>
      <c r="H215" s="30"/>
      <c r="I215" s="30"/>
      <c r="J215" s="30"/>
      <c r="K215" s="30"/>
    </row>
    <row r="216" ht="15.75" customHeight="1" spans="1:11">
      <c r="A216" s="28">
        <v>45961</v>
      </c>
      <c r="B216" s="29">
        <v>45961</v>
      </c>
      <c r="C216" s="30"/>
      <c r="D216" s="30">
        <v>0</v>
      </c>
      <c r="E216" s="30"/>
      <c r="F216" s="30">
        <v>23.67</v>
      </c>
      <c r="G216" s="30"/>
      <c r="H216" s="30"/>
      <c r="I216" s="30"/>
      <c r="J216" s="30"/>
      <c r="K216" s="30"/>
    </row>
    <row r="217" ht="15.75" customHeight="1" spans="1:11">
      <c r="A217" s="28">
        <v>45962</v>
      </c>
      <c r="B217" s="29">
        <v>45962</v>
      </c>
      <c r="C217" s="30"/>
      <c r="D217" s="30">
        <v>1.21</v>
      </c>
      <c r="E217" s="30"/>
      <c r="F217" s="30">
        <v>26.27</v>
      </c>
      <c r="G217" s="30"/>
      <c r="H217" s="30"/>
      <c r="I217" s="30"/>
      <c r="J217" s="30"/>
      <c r="K217" s="30"/>
    </row>
    <row r="218" ht="15.75" customHeight="1" spans="1:11">
      <c r="A218" s="28">
        <v>45963</v>
      </c>
      <c r="B218" s="29">
        <v>45963</v>
      </c>
      <c r="C218" s="30"/>
      <c r="D218" s="30">
        <v>0</v>
      </c>
      <c r="E218" s="30"/>
      <c r="F218" s="30">
        <v>29.51</v>
      </c>
      <c r="G218" s="30"/>
      <c r="H218" s="30"/>
      <c r="I218" s="30"/>
      <c r="J218" s="30"/>
      <c r="K218" s="30"/>
    </row>
    <row r="219" ht="15.75" customHeight="1" spans="1:11">
      <c r="A219" s="28">
        <v>45964</v>
      </c>
      <c r="B219" s="29">
        <v>45964</v>
      </c>
      <c r="C219" s="30"/>
      <c r="D219" s="52">
        <v>0</v>
      </c>
      <c r="E219" s="52"/>
      <c r="F219" s="52">
        <v>29.34</v>
      </c>
      <c r="G219" s="30"/>
      <c r="H219" s="30"/>
      <c r="I219" s="30"/>
      <c r="J219" s="30"/>
      <c r="K219" s="30"/>
    </row>
    <row r="220" ht="15.75" customHeight="1" spans="1:11">
      <c r="A220" s="28">
        <v>45965</v>
      </c>
      <c r="B220" s="29">
        <v>45965</v>
      </c>
      <c r="C220" s="30"/>
      <c r="D220" s="52">
        <v>0</v>
      </c>
      <c r="E220" s="30"/>
      <c r="F220" s="52">
        <v>28.86</v>
      </c>
      <c r="G220" s="30"/>
      <c r="H220" s="30"/>
      <c r="I220" s="30"/>
      <c r="J220" s="30"/>
      <c r="K220" s="30"/>
    </row>
    <row r="221" ht="15.75" customHeight="1" spans="1:11">
      <c r="A221" s="28">
        <v>45966</v>
      </c>
      <c r="B221" s="29">
        <v>45966</v>
      </c>
      <c r="C221" s="30"/>
      <c r="D221" s="52">
        <v>0</v>
      </c>
      <c r="E221" s="30"/>
      <c r="F221" s="52">
        <v>29.79</v>
      </c>
      <c r="G221" s="30"/>
      <c r="H221" s="30"/>
      <c r="I221" s="30"/>
      <c r="J221" s="30"/>
      <c r="K221" s="30"/>
    </row>
    <row r="222" ht="15.75" customHeight="1" spans="1:11">
      <c r="A222" s="28">
        <v>45967</v>
      </c>
      <c r="B222" s="29">
        <v>45967</v>
      </c>
      <c r="C222" s="30"/>
      <c r="D222" s="52">
        <v>0</v>
      </c>
      <c r="E222" s="30"/>
      <c r="F222" s="52">
        <v>29.3</v>
      </c>
      <c r="G222" s="30"/>
      <c r="H222" s="30"/>
      <c r="I222" s="30"/>
      <c r="J222" s="30"/>
      <c r="K222" s="30"/>
    </row>
    <row r="223" ht="15.75" customHeight="1" spans="1:11">
      <c r="A223" s="28">
        <v>45968</v>
      </c>
      <c r="B223" s="29">
        <v>45968</v>
      </c>
      <c r="C223" s="30"/>
      <c r="D223" s="52">
        <v>3.68</v>
      </c>
      <c r="E223" s="52"/>
      <c r="F223" s="52">
        <v>28.83</v>
      </c>
      <c r="G223" s="30"/>
      <c r="H223" s="30"/>
      <c r="I223" s="30"/>
      <c r="J223" s="30"/>
      <c r="K223" s="30"/>
    </row>
    <row r="224" ht="15.75" customHeight="1" spans="1:11">
      <c r="A224" s="28">
        <v>45969</v>
      </c>
      <c r="B224" s="29">
        <v>45969</v>
      </c>
      <c r="C224" s="30"/>
      <c r="D224" s="52">
        <v>3.93</v>
      </c>
      <c r="E224" s="52"/>
      <c r="F224" s="52">
        <v>28.74</v>
      </c>
      <c r="G224" s="30"/>
      <c r="H224" s="30"/>
      <c r="I224" s="30"/>
      <c r="J224" s="30"/>
      <c r="K224" s="30"/>
    </row>
    <row r="225" ht="15.75" customHeight="1" spans="1:11">
      <c r="A225" s="28">
        <v>45970</v>
      </c>
      <c r="B225" s="29">
        <v>45970</v>
      </c>
      <c r="C225" s="30"/>
      <c r="D225" s="52">
        <v>3.24</v>
      </c>
      <c r="E225" s="52"/>
      <c r="F225" s="52">
        <v>27.95</v>
      </c>
      <c r="G225" s="30"/>
      <c r="H225" s="30"/>
      <c r="I225" s="30"/>
      <c r="J225" s="30"/>
      <c r="K225" s="30"/>
    </row>
    <row r="226" ht="15.75" customHeight="1" spans="1:11">
      <c r="A226" s="28">
        <v>45971</v>
      </c>
      <c r="B226" s="29">
        <v>45971</v>
      </c>
      <c r="C226" s="30"/>
      <c r="D226" s="52">
        <v>3.79</v>
      </c>
      <c r="E226" s="52"/>
      <c r="F226" s="52">
        <v>28.39</v>
      </c>
      <c r="G226" s="30"/>
      <c r="H226" s="30"/>
      <c r="I226" s="30"/>
      <c r="J226" s="30"/>
      <c r="K226" s="30"/>
    </row>
    <row r="227" ht="15.75" customHeight="1" spans="1:11">
      <c r="A227" s="28">
        <v>45972</v>
      </c>
      <c r="B227" s="29">
        <v>45972</v>
      </c>
      <c r="C227" s="30"/>
      <c r="D227" s="52">
        <v>0</v>
      </c>
      <c r="E227" s="52"/>
      <c r="F227" s="52">
        <v>27.54</v>
      </c>
      <c r="G227" s="30"/>
      <c r="H227" s="30"/>
      <c r="I227" s="30"/>
      <c r="J227" s="30"/>
      <c r="K227" s="30"/>
    </row>
    <row r="228" ht="15.75" customHeight="1" spans="1:11">
      <c r="A228" s="28">
        <v>45973</v>
      </c>
      <c r="B228" s="29">
        <v>45973</v>
      </c>
      <c r="C228" s="30"/>
      <c r="D228" s="52">
        <v>3.47</v>
      </c>
      <c r="E228" s="52"/>
      <c r="F228" s="52">
        <v>28.66</v>
      </c>
      <c r="G228" s="30"/>
      <c r="H228" s="30"/>
      <c r="I228" s="30"/>
      <c r="J228" s="30"/>
      <c r="K228" s="30"/>
    </row>
    <row r="229" ht="15.75" customHeight="1" spans="1:11">
      <c r="A229" s="28">
        <v>45974</v>
      </c>
      <c r="B229" s="29">
        <v>45974</v>
      </c>
      <c r="C229" s="30"/>
      <c r="D229" s="52">
        <v>3.24</v>
      </c>
      <c r="E229" s="52"/>
      <c r="F229" s="52">
        <v>27.64</v>
      </c>
      <c r="G229" s="30"/>
      <c r="H229" s="30"/>
      <c r="I229" s="30"/>
      <c r="J229" s="30"/>
      <c r="K229" s="30"/>
    </row>
    <row r="230" ht="15.75" customHeight="1" spans="1:11">
      <c r="A230" s="28">
        <v>45975</v>
      </c>
      <c r="B230" s="29">
        <v>45975</v>
      </c>
      <c r="C230" s="30"/>
      <c r="D230" s="52">
        <v>3.12</v>
      </c>
      <c r="E230" s="52"/>
      <c r="F230" s="52">
        <v>27.63</v>
      </c>
      <c r="G230" s="30"/>
      <c r="H230" s="30"/>
      <c r="I230" s="30"/>
      <c r="J230" s="30"/>
      <c r="K230" s="30"/>
    </row>
    <row r="231" ht="15.75" customHeight="1" spans="1:11">
      <c r="A231" s="28">
        <v>45976</v>
      </c>
      <c r="B231" s="29">
        <v>45976</v>
      </c>
      <c r="C231" s="30"/>
      <c r="D231" s="52">
        <v>2.98</v>
      </c>
      <c r="E231" s="52"/>
      <c r="F231" s="52">
        <v>26.85</v>
      </c>
      <c r="G231" s="30"/>
      <c r="H231" s="30"/>
      <c r="I231" s="30"/>
      <c r="J231" s="30"/>
      <c r="K231" s="30"/>
    </row>
    <row r="232" ht="15.75" customHeight="1" spans="1:11">
      <c r="A232" s="28">
        <v>45977</v>
      </c>
      <c r="B232" s="29">
        <v>45977</v>
      </c>
      <c r="C232" s="30"/>
      <c r="D232" s="52">
        <v>2.77</v>
      </c>
      <c r="E232" s="52"/>
      <c r="F232" s="52">
        <v>25.88</v>
      </c>
      <c r="G232" s="30"/>
      <c r="H232" s="30"/>
      <c r="I232" s="30"/>
      <c r="J232" s="30"/>
      <c r="K232" s="30"/>
    </row>
    <row r="233" ht="15.75" customHeight="1" spans="1:11">
      <c r="A233" s="28">
        <v>45978</v>
      </c>
      <c r="B233" s="29">
        <v>45978</v>
      </c>
      <c r="C233" s="30"/>
      <c r="D233" s="52">
        <v>2.79</v>
      </c>
      <c r="E233" s="52"/>
      <c r="F233" s="52">
        <v>25.12</v>
      </c>
      <c r="G233" s="30"/>
      <c r="H233" s="30"/>
      <c r="I233" s="30"/>
      <c r="J233" s="30"/>
      <c r="K233" s="30"/>
    </row>
    <row r="234" ht="15.75" customHeight="1" spans="1:11">
      <c r="A234" s="28">
        <v>45979</v>
      </c>
      <c r="B234" s="29">
        <v>45979</v>
      </c>
      <c r="C234" s="30"/>
      <c r="D234" s="30">
        <v>2.74</v>
      </c>
      <c r="E234" s="30"/>
      <c r="F234" s="30">
        <v>25.39</v>
      </c>
      <c r="G234" s="30"/>
      <c r="H234" s="30"/>
      <c r="I234" s="30"/>
      <c r="J234" s="30"/>
      <c r="K234" s="30"/>
    </row>
    <row r="235" ht="15.75" customHeight="1" spans="1:11">
      <c r="A235" s="28">
        <v>45980</v>
      </c>
      <c r="B235" s="29">
        <v>45980</v>
      </c>
      <c r="C235" s="30"/>
      <c r="D235" s="52">
        <v>2.78</v>
      </c>
      <c r="E235" s="52"/>
      <c r="F235" s="52">
        <v>25.75</v>
      </c>
      <c r="G235" s="30"/>
      <c r="H235" s="30"/>
      <c r="I235" s="30"/>
      <c r="J235" s="30"/>
      <c r="K235" s="30"/>
    </row>
    <row r="236" ht="15.75" customHeight="1" spans="1:11">
      <c r="A236" s="28">
        <v>45981</v>
      </c>
      <c r="B236" s="29">
        <v>45981</v>
      </c>
      <c r="C236" s="30"/>
      <c r="D236" s="52">
        <v>2.78</v>
      </c>
      <c r="E236" s="52"/>
      <c r="F236" s="52">
        <v>25.82</v>
      </c>
      <c r="G236" s="30"/>
      <c r="H236" s="30"/>
      <c r="I236" s="30"/>
      <c r="J236" s="30"/>
      <c r="K236" s="30"/>
    </row>
    <row r="237" ht="15.75" customHeight="1" spans="1:11">
      <c r="A237" s="28">
        <v>45982</v>
      </c>
      <c r="B237" s="29">
        <v>45982</v>
      </c>
      <c r="C237" s="30"/>
      <c r="D237" s="52">
        <v>2.85</v>
      </c>
      <c r="E237" s="52"/>
      <c r="F237" s="52">
        <v>26.48</v>
      </c>
      <c r="G237" s="30"/>
      <c r="H237" s="30"/>
      <c r="I237" s="30"/>
      <c r="J237" s="30"/>
      <c r="K237" s="30"/>
    </row>
    <row r="238" ht="15.75" customHeight="1" spans="1:11">
      <c r="A238" s="28">
        <v>45983</v>
      </c>
      <c r="B238" s="29">
        <v>45983</v>
      </c>
      <c r="C238" s="30"/>
      <c r="D238" s="52">
        <v>2.91</v>
      </c>
      <c r="E238" s="52"/>
      <c r="F238" s="52">
        <v>26.87</v>
      </c>
      <c r="G238" s="30"/>
      <c r="H238" s="30"/>
      <c r="I238" s="30"/>
      <c r="J238" s="30"/>
      <c r="K238" s="30"/>
    </row>
    <row r="239" ht="15.75" customHeight="1" spans="1:11">
      <c r="A239" s="28">
        <v>45984</v>
      </c>
      <c r="B239" s="29">
        <v>45984</v>
      </c>
      <c r="C239" s="30"/>
      <c r="D239" s="52">
        <v>2.36</v>
      </c>
      <c r="E239" s="52"/>
      <c r="F239" s="52">
        <v>26.68</v>
      </c>
      <c r="G239" s="30"/>
      <c r="H239" s="30"/>
      <c r="I239" s="30"/>
      <c r="J239" s="30"/>
      <c r="K239" s="30"/>
    </row>
    <row r="240" ht="15.75" customHeight="1" spans="1:11">
      <c r="A240" s="28">
        <v>45985</v>
      </c>
      <c r="B240" s="29">
        <v>45985</v>
      </c>
      <c r="C240" s="30"/>
      <c r="D240" s="52">
        <v>2.36</v>
      </c>
      <c r="E240" s="52"/>
      <c r="F240" s="52">
        <v>27</v>
      </c>
      <c r="G240" s="30"/>
      <c r="H240" s="30"/>
      <c r="I240" s="30"/>
      <c r="J240" s="30"/>
      <c r="K240" s="30"/>
    </row>
    <row r="241" ht="15.75" customHeight="1" spans="1:11">
      <c r="A241" s="28">
        <v>45986</v>
      </c>
      <c r="B241" s="29">
        <v>45986</v>
      </c>
      <c r="C241" s="30"/>
      <c r="D241" s="30">
        <v>2.3</v>
      </c>
      <c r="E241" s="30"/>
      <c r="F241" s="30">
        <v>26.56</v>
      </c>
      <c r="G241" s="30"/>
      <c r="H241" s="30"/>
      <c r="I241" s="30"/>
      <c r="J241" s="30"/>
      <c r="K241" s="30"/>
    </row>
    <row r="242" ht="15.75" customHeight="1" spans="1:11">
      <c r="A242" s="28">
        <v>45987</v>
      </c>
      <c r="B242" s="29">
        <v>45987</v>
      </c>
      <c r="C242" s="30"/>
      <c r="D242" s="52">
        <v>2.31</v>
      </c>
      <c r="E242" s="52"/>
      <c r="F242" s="52">
        <v>27.31</v>
      </c>
      <c r="G242" s="30"/>
      <c r="H242" s="30"/>
      <c r="I242" s="30"/>
      <c r="J242" s="30"/>
      <c r="K242" s="30"/>
    </row>
    <row r="243" ht="15.75" customHeight="1" spans="1:11">
      <c r="A243" s="28">
        <v>45988</v>
      </c>
      <c r="B243" s="29">
        <v>45988</v>
      </c>
      <c r="C243" s="30"/>
      <c r="D243" s="52">
        <v>2.98</v>
      </c>
      <c r="E243" s="52"/>
      <c r="F243" s="52">
        <v>27.95</v>
      </c>
      <c r="G243" s="30"/>
      <c r="H243" s="30"/>
      <c r="I243" s="30"/>
      <c r="J243" s="30"/>
      <c r="K243" s="30"/>
    </row>
    <row r="244" ht="15.75" customHeight="1" spans="1:11">
      <c r="A244" s="28">
        <v>45989</v>
      </c>
      <c r="B244" s="29">
        <v>45989</v>
      </c>
      <c r="C244" s="30"/>
      <c r="D244" s="52">
        <v>2.89</v>
      </c>
      <c r="E244" s="52"/>
      <c r="F244" s="52">
        <v>28.07</v>
      </c>
      <c r="G244" s="30"/>
      <c r="H244" s="30"/>
      <c r="I244" s="30"/>
      <c r="J244" s="30"/>
      <c r="K244" s="30"/>
    </row>
    <row r="245" ht="15.75" customHeight="1" spans="1:11">
      <c r="A245" s="28">
        <v>45990</v>
      </c>
      <c r="B245" s="29">
        <v>45990</v>
      </c>
      <c r="C245" s="30"/>
      <c r="D245" s="52">
        <v>2.58</v>
      </c>
      <c r="E245" s="52"/>
      <c r="F245" s="52">
        <v>27.37</v>
      </c>
      <c r="G245" s="30"/>
      <c r="H245" s="30"/>
      <c r="I245" s="30"/>
      <c r="J245" s="30"/>
      <c r="K245" s="30"/>
    </row>
    <row r="246" ht="15.75" customHeight="1" spans="1:11">
      <c r="A246" s="28">
        <v>45991</v>
      </c>
      <c r="B246" s="29">
        <v>45991</v>
      </c>
      <c r="C246" s="30"/>
      <c r="D246" s="52">
        <v>3.01</v>
      </c>
      <c r="E246" s="52"/>
      <c r="F246" s="52">
        <v>27.02</v>
      </c>
      <c r="G246" s="30"/>
      <c r="H246" s="30"/>
      <c r="I246" s="30"/>
      <c r="J246" s="30"/>
      <c r="K246" s="30"/>
    </row>
    <row r="247" ht="15.75" customHeight="1" spans="1:11">
      <c r="A247" s="28">
        <v>45992</v>
      </c>
      <c r="B247" s="29">
        <v>45992</v>
      </c>
      <c r="C247" s="30"/>
      <c r="D247" s="52">
        <v>2.41</v>
      </c>
      <c r="E247" s="52"/>
      <c r="F247" s="52">
        <v>26.12</v>
      </c>
      <c r="G247" s="30"/>
      <c r="H247" s="30"/>
      <c r="I247" s="30"/>
      <c r="J247" s="30"/>
      <c r="K247" s="30"/>
    </row>
    <row r="248" ht="15.75" customHeight="1" spans="1:11">
      <c r="A248" s="28">
        <v>45993</v>
      </c>
      <c r="B248" s="29">
        <v>45993</v>
      </c>
      <c r="C248" s="30"/>
      <c r="D248" s="52">
        <v>3.5</v>
      </c>
      <c r="E248" s="52"/>
      <c r="F248" s="52">
        <v>25.83</v>
      </c>
      <c r="G248" s="30"/>
      <c r="H248" s="30"/>
      <c r="I248" s="30"/>
      <c r="J248" s="30"/>
      <c r="K248" s="30"/>
    </row>
    <row r="249" ht="15.75" customHeight="1" spans="1:11">
      <c r="A249" s="28">
        <v>45994</v>
      </c>
      <c r="B249" s="29">
        <v>45994</v>
      </c>
      <c r="C249" s="30"/>
      <c r="D249" s="52">
        <v>3.86</v>
      </c>
      <c r="E249" s="52"/>
      <c r="F249" s="52">
        <v>24.75</v>
      </c>
      <c r="G249" s="30"/>
      <c r="H249" s="30"/>
      <c r="I249" s="30"/>
      <c r="J249" s="30"/>
      <c r="K249" s="30"/>
    </row>
    <row r="250" ht="15.75" customHeight="1" spans="1:11">
      <c r="A250" s="28">
        <v>45995</v>
      </c>
      <c r="B250" s="29">
        <v>45995</v>
      </c>
      <c r="C250" s="30"/>
      <c r="D250" s="52">
        <v>3.86</v>
      </c>
      <c r="E250" s="52"/>
      <c r="F250" s="52">
        <v>24.95</v>
      </c>
      <c r="G250" s="30"/>
      <c r="H250" s="30"/>
      <c r="I250" s="30"/>
      <c r="J250" s="30"/>
      <c r="K250" s="30"/>
    </row>
    <row r="251" ht="15.75" customHeight="1" spans="1:11">
      <c r="A251" s="28">
        <v>45996</v>
      </c>
      <c r="B251" s="29">
        <v>45996</v>
      </c>
      <c r="C251" s="30"/>
      <c r="D251" s="52">
        <v>3.9</v>
      </c>
      <c r="E251" s="52"/>
      <c r="F251" s="52">
        <v>25.02</v>
      </c>
      <c r="G251" s="30"/>
      <c r="H251" s="30"/>
      <c r="I251" s="30"/>
      <c r="J251" s="30"/>
      <c r="K251" s="30"/>
    </row>
    <row r="252" ht="15.75" customHeight="1" spans="1:11">
      <c r="A252" s="28">
        <v>45997</v>
      </c>
      <c r="B252" s="29">
        <v>45997</v>
      </c>
      <c r="C252" s="30"/>
      <c r="D252" s="52">
        <v>3.77</v>
      </c>
      <c r="E252" s="52"/>
      <c r="F252" s="52">
        <v>25.41</v>
      </c>
      <c r="G252" s="30"/>
      <c r="H252" s="30"/>
      <c r="I252" s="30"/>
      <c r="J252" s="30"/>
      <c r="K252" s="30"/>
    </row>
    <row r="253" ht="15.75" customHeight="1" spans="1:11">
      <c r="A253" s="28">
        <v>45998</v>
      </c>
      <c r="B253" s="29">
        <v>45998</v>
      </c>
      <c r="C253" s="30"/>
      <c r="D253" s="52">
        <v>4.14</v>
      </c>
      <c r="E253" s="52"/>
      <c r="F253" s="52">
        <v>25.65</v>
      </c>
      <c r="G253" s="52"/>
      <c r="H253" s="30"/>
      <c r="I253" s="30"/>
      <c r="J253" s="30"/>
      <c r="K253" s="30"/>
    </row>
    <row r="254" ht="15.75" customHeight="1" spans="1:11">
      <c r="A254" s="28">
        <v>45999</v>
      </c>
      <c r="B254" s="29">
        <v>45999</v>
      </c>
      <c r="C254" s="30"/>
      <c r="D254" s="52">
        <v>4.06</v>
      </c>
      <c r="E254" s="52"/>
      <c r="F254" s="52">
        <v>25.92</v>
      </c>
      <c r="G254" s="30"/>
      <c r="H254" s="30"/>
      <c r="I254" s="30"/>
      <c r="J254" s="30"/>
      <c r="K254" s="30"/>
    </row>
    <row r="255" ht="15.75" customHeight="1" spans="1:11">
      <c r="A255" s="28">
        <v>46000</v>
      </c>
      <c r="B255" s="29">
        <v>46000</v>
      </c>
      <c r="C255" s="30"/>
      <c r="D255" s="52">
        <v>4.47</v>
      </c>
      <c r="E255" s="52"/>
      <c r="F255" s="52">
        <v>26.65</v>
      </c>
      <c r="G255" s="30"/>
      <c r="H255" s="30"/>
      <c r="I255" s="30"/>
      <c r="J255" s="30"/>
      <c r="K255" s="30"/>
    </row>
    <row r="256" ht="15.75" customHeight="1" spans="1:11">
      <c r="A256" s="28">
        <v>46001</v>
      </c>
      <c r="B256" s="29">
        <v>46001</v>
      </c>
      <c r="C256" s="30"/>
      <c r="D256" s="52">
        <v>4.44</v>
      </c>
      <c r="E256" s="52"/>
      <c r="F256" s="52">
        <v>27.02</v>
      </c>
      <c r="G256" s="30"/>
      <c r="H256" s="30"/>
      <c r="I256" s="30"/>
      <c r="J256" s="30"/>
      <c r="K256" s="30"/>
    </row>
    <row r="257" ht="15.75" customHeight="1" spans="1:11">
      <c r="A257" s="28">
        <v>46002</v>
      </c>
      <c r="B257" s="29">
        <v>46002</v>
      </c>
      <c r="C257" s="30"/>
      <c r="D257" s="52">
        <v>4.32</v>
      </c>
      <c r="E257" s="52"/>
      <c r="F257" s="52">
        <v>26.3</v>
      </c>
      <c r="G257" s="30"/>
      <c r="H257" s="30"/>
      <c r="I257" s="30"/>
      <c r="J257" s="30"/>
      <c r="K257" s="30"/>
    </row>
    <row r="258" ht="15.75" customHeight="1" spans="1:11">
      <c r="A258" s="28">
        <v>46003</v>
      </c>
      <c r="B258" s="29">
        <v>46003</v>
      </c>
      <c r="C258" s="30"/>
      <c r="D258" s="52">
        <v>4.1</v>
      </c>
      <c r="E258" s="52"/>
      <c r="F258" s="52">
        <v>25.34</v>
      </c>
      <c r="G258" s="30"/>
      <c r="H258" s="30"/>
      <c r="I258" s="30"/>
      <c r="J258" s="30"/>
      <c r="K258" s="30"/>
    </row>
    <row r="259" ht="15.75" customHeight="1" spans="1:11">
      <c r="A259" s="28">
        <v>46004</v>
      </c>
      <c r="B259" s="29">
        <v>46004</v>
      </c>
      <c r="C259" s="30"/>
      <c r="D259" s="52">
        <v>4.3</v>
      </c>
      <c r="E259" s="52"/>
      <c r="F259" s="52">
        <v>26.12</v>
      </c>
      <c r="G259" s="30"/>
      <c r="H259" s="30"/>
      <c r="I259" s="30"/>
      <c r="J259" s="30"/>
      <c r="K259" s="30"/>
    </row>
    <row r="260" ht="15.75" customHeight="1" spans="1:11">
      <c r="A260" s="28">
        <v>46005</v>
      </c>
      <c r="B260" s="29">
        <v>46005</v>
      </c>
      <c r="C260" s="30"/>
      <c r="D260" s="52">
        <v>4.2</v>
      </c>
      <c r="E260" s="52"/>
      <c r="F260" s="52">
        <v>26.51</v>
      </c>
      <c r="G260" s="30"/>
      <c r="H260" s="30"/>
      <c r="I260" s="30"/>
      <c r="J260" s="30"/>
      <c r="K260" s="30"/>
    </row>
    <row r="261" ht="15.75" customHeight="1" spans="1:11">
      <c r="A261" s="28">
        <v>46006</v>
      </c>
      <c r="B261" s="29">
        <v>46006</v>
      </c>
      <c r="C261" s="30"/>
      <c r="D261" s="52">
        <v>4.26</v>
      </c>
      <c r="E261" s="52"/>
      <c r="F261" s="52">
        <v>26.9</v>
      </c>
      <c r="G261" s="52"/>
      <c r="H261" s="30"/>
      <c r="I261" s="30"/>
      <c r="J261" s="30"/>
      <c r="K261" s="30"/>
    </row>
    <row r="262" ht="15.75" customHeight="1" spans="1:11">
      <c r="A262" s="28">
        <v>46007</v>
      </c>
      <c r="B262" s="29">
        <v>46007</v>
      </c>
      <c r="C262" s="30"/>
      <c r="D262" s="52">
        <v>4.1</v>
      </c>
      <c r="E262" s="52"/>
      <c r="F262" s="52">
        <v>23.9</v>
      </c>
      <c r="G262" s="30"/>
      <c r="H262" s="30"/>
      <c r="I262" s="30"/>
      <c r="J262" s="30"/>
      <c r="K262" s="30"/>
    </row>
    <row r="263" ht="15.75" customHeight="1" spans="1:11">
      <c r="A263" s="28">
        <v>46008</v>
      </c>
      <c r="B263" s="29">
        <v>46008</v>
      </c>
      <c r="C263" s="30"/>
      <c r="D263" s="52">
        <v>3.88</v>
      </c>
      <c r="E263" s="52"/>
      <c r="F263" s="52">
        <v>26.14</v>
      </c>
      <c r="G263" s="30"/>
      <c r="H263" s="30"/>
      <c r="I263" s="30"/>
      <c r="J263" s="30"/>
      <c r="K263" s="30"/>
    </row>
    <row r="264" ht="15.75" customHeight="1" spans="1:11">
      <c r="A264" s="28">
        <v>46009</v>
      </c>
      <c r="B264" s="29">
        <v>46009</v>
      </c>
      <c r="C264" s="30"/>
      <c r="D264" s="52">
        <v>4.08</v>
      </c>
      <c r="E264" s="52"/>
      <c r="F264" s="52">
        <v>27.09</v>
      </c>
      <c r="G264" s="30"/>
      <c r="H264" s="30"/>
      <c r="I264" s="30"/>
      <c r="J264" s="30"/>
      <c r="K264" s="30"/>
    </row>
    <row r="265" ht="15.75" customHeight="1" spans="1:11">
      <c r="A265" s="28">
        <v>46010</v>
      </c>
      <c r="B265" s="29">
        <v>46010</v>
      </c>
      <c r="C265" s="30"/>
      <c r="D265" s="52">
        <v>4.38</v>
      </c>
      <c r="E265" s="52"/>
      <c r="F265" s="52">
        <v>27</v>
      </c>
      <c r="G265" s="30"/>
      <c r="H265" s="30"/>
      <c r="I265" s="30"/>
      <c r="J265" s="30"/>
      <c r="K265" s="30"/>
    </row>
    <row r="266" ht="15.75" customHeight="1" spans="1:11">
      <c r="A266" s="28">
        <v>46011</v>
      </c>
      <c r="B266" s="29">
        <v>46011</v>
      </c>
      <c r="C266" s="30"/>
      <c r="D266" s="52">
        <v>4.35</v>
      </c>
      <c r="E266" s="52"/>
      <c r="F266" s="52">
        <v>29.04</v>
      </c>
      <c r="G266" s="30"/>
      <c r="H266" s="30"/>
      <c r="I266" s="30"/>
      <c r="J266" s="30"/>
      <c r="K266" s="30"/>
    </row>
    <row r="267" ht="15.75" customHeight="1" spans="1:11">
      <c r="A267" s="28">
        <v>46012</v>
      </c>
      <c r="B267" s="29">
        <v>46012</v>
      </c>
      <c r="C267" s="30"/>
      <c r="D267" s="52">
        <v>3.07</v>
      </c>
      <c r="E267" s="52"/>
      <c r="F267" s="52">
        <v>26.19</v>
      </c>
      <c r="G267" s="30"/>
      <c r="H267" s="30"/>
      <c r="I267" s="30"/>
      <c r="J267" s="30"/>
      <c r="K267" s="30"/>
    </row>
    <row r="268" ht="15.75" customHeight="1" spans="1:11">
      <c r="A268" s="28">
        <v>46013</v>
      </c>
      <c r="B268" s="29">
        <v>46013</v>
      </c>
      <c r="C268" s="30"/>
      <c r="D268" s="52">
        <v>4.03</v>
      </c>
      <c r="E268" s="52"/>
      <c r="F268" s="52">
        <v>26.53</v>
      </c>
      <c r="G268" s="30"/>
      <c r="H268" s="30"/>
      <c r="I268" s="30"/>
      <c r="J268" s="30"/>
      <c r="K268" s="30"/>
    </row>
    <row r="269" ht="15.75" customHeight="1" spans="1:11">
      <c r="A269" s="28">
        <v>46014</v>
      </c>
      <c r="B269" s="29">
        <v>46014</v>
      </c>
      <c r="C269" s="30"/>
      <c r="D269" s="52">
        <v>4.14</v>
      </c>
      <c r="E269" s="52"/>
      <c r="F269" s="52">
        <v>26.09</v>
      </c>
      <c r="G269" s="30"/>
      <c r="H269" s="30"/>
      <c r="I269" s="30"/>
      <c r="J269" s="30"/>
      <c r="K269" s="30"/>
    </row>
    <row r="270" ht="15.75" customHeight="1" spans="1:11">
      <c r="A270" s="28">
        <v>46015</v>
      </c>
      <c r="B270" s="29">
        <v>46015</v>
      </c>
      <c r="C270" s="30"/>
      <c r="D270" s="52">
        <v>4.19</v>
      </c>
      <c r="E270" s="52"/>
      <c r="F270" s="52">
        <v>25.95</v>
      </c>
      <c r="G270" s="30"/>
      <c r="H270" s="30"/>
      <c r="I270" s="30"/>
      <c r="J270" s="30"/>
      <c r="K270" s="30"/>
    </row>
    <row r="271" ht="15.75" customHeight="1" spans="1:11">
      <c r="A271" s="28">
        <v>46016</v>
      </c>
      <c r="B271" s="29">
        <v>46016</v>
      </c>
      <c r="C271" s="30"/>
      <c r="D271" s="52">
        <v>4.12</v>
      </c>
      <c r="E271" s="52"/>
      <c r="F271" s="52">
        <v>25.65</v>
      </c>
      <c r="G271" s="30"/>
      <c r="H271" s="30"/>
      <c r="I271" s="30"/>
      <c r="J271" s="30"/>
      <c r="K271" s="30"/>
    </row>
    <row r="272" ht="15.75" customHeight="1" spans="1:11">
      <c r="A272" s="28">
        <v>46017</v>
      </c>
      <c r="B272" s="29">
        <v>46017</v>
      </c>
      <c r="C272" s="30"/>
      <c r="D272" s="52">
        <v>3.95</v>
      </c>
      <c r="E272" s="52"/>
      <c r="F272" s="52">
        <v>25.09</v>
      </c>
      <c r="G272" s="30"/>
      <c r="H272" s="30"/>
      <c r="I272" s="30"/>
      <c r="J272" s="30"/>
      <c r="K272" s="30"/>
    </row>
    <row r="273" ht="15.75" customHeight="1" spans="1:11">
      <c r="A273" s="28">
        <v>46018</v>
      </c>
      <c r="B273" s="29">
        <v>46018</v>
      </c>
      <c r="C273" s="30"/>
      <c r="D273" s="52">
        <v>3.75</v>
      </c>
      <c r="E273" s="52"/>
      <c r="F273" s="52">
        <v>24.75</v>
      </c>
      <c r="G273" s="30"/>
      <c r="H273" s="30"/>
      <c r="I273" s="30"/>
      <c r="J273" s="30"/>
      <c r="K273" s="30"/>
    </row>
    <row r="274" ht="15.75" customHeight="1" spans="1:11">
      <c r="A274" s="28">
        <v>46019</v>
      </c>
      <c r="B274" s="29">
        <v>46019</v>
      </c>
      <c r="C274" s="30"/>
      <c r="D274" s="30"/>
      <c r="E274" s="52"/>
      <c r="F274" s="52">
        <v>23.8</v>
      </c>
      <c r="G274" s="30"/>
      <c r="H274" s="30"/>
      <c r="I274" s="30"/>
      <c r="J274" s="30"/>
      <c r="K274" s="30"/>
    </row>
    <row r="275" ht="15.75" customHeight="1" spans="1:11">
      <c r="A275" s="28">
        <v>46020</v>
      </c>
      <c r="B275" s="29">
        <v>46020</v>
      </c>
      <c r="C275" s="30"/>
      <c r="D275" s="52">
        <v>3.76</v>
      </c>
      <c r="E275" s="52"/>
      <c r="F275" s="52">
        <v>25.63</v>
      </c>
      <c r="G275" s="30"/>
      <c r="H275" s="30"/>
      <c r="I275" s="30"/>
      <c r="J275" s="30"/>
      <c r="K275" s="30"/>
    </row>
    <row r="276" ht="15.75" customHeight="1" spans="1:11">
      <c r="A276" s="28">
        <v>46021</v>
      </c>
      <c r="B276" s="29">
        <v>46021</v>
      </c>
      <c r="C276" s="30"/>
      <c r="D276" s="52">
        <v>3.72</v>
      </c>
      <c r="E276" s="52"/>
      <c r="F276" s="52">
        <v>24.75</v>
      </c>
      <c r="G276" s="30"/>
      <c r="H276" s="30"/>
      <c r="I276" s="30"/>
      <c r="J276" s="30"/>
      <c r="K276" s="30"/>
    </row>
    <row r="277" ht="15.75" customHeight="1" spans="1:11">
      <c r="A277" s="28">
        <v>46022</v>
      </c>
      <c r="B277" s="29">
        <v>46022</v>
      </c>
      <c r="C277" s="30"/>
      <c r="D277" s="52">
        <v>3.22</v>
      </c>
      <c r="E277" s="52"/>
      <c r="F277" s="52">
        <v>25.41</v>
      </c>
      <c r="G277" s="30"/>
      <c r="H277" s="30"/>
      <c r="I277" s="30"/>
      <c r="J277" s="30"/>
      <c r="K277" s="30"/>
    </row>
    <row r="278" ht="15.75" customHeight="1" spans="1:11">
      <c r="A278" s="28">
        <v>46023</v>
      </c>
      <c r="B278" s="29">
        <v>46023</v>
      </c>
      <c r="C278" s="30"/>
      <c r="D278" s="52">
        <v>4.03</v>
      </c>
      <c r="E278" s="52"/>
      <c r="F278" s="52">
        <v>24.46</v>
      </c>
      <c r="G278" s="30"/>
      <c r="H278" s="30"/>
      <c r="I278" s="30"/>
      <c r="J278" s="30"/>
      <c r="K278" s="30"/>
    </row>
    <row r="279" ht="15.75" customHeight="1" spans="1:11">
      <c r="A279" s="28">
        <v>46024</v>
      </c>
      <c r="B279" s="29">
        <v>46024</v>
      </c>
      <c r="C279" s="30"/>
      <c r="D279" s="52">
        <v>4.05</v>
      </c>
      <c r="E279" s="52"/>
      <c r="F279" s="52">
        <v>22.95</v>
      </c>
      <c r="G279" s="30"/>
      <c r="H279" s="30"/>
      <c r="I279" s="30"/>
      <c r="J279" s="30"/>
      <c r="K279" s="30"/>
    </row>
    <row r="280" ht="15.75" customHeight="1" spans="1:11">
      <c r="A280" s="28">
        <v>46025</v>
      </c>
      <c r="B280" s="29">
        <v>46025</v>
      </c>
      <c r="C280" s="30"/>
      <c r="D280" s="52">
        <v>4.34</v>
      </c>
      <c r="E280" s="52"/>
      <c r="F280" s="52">
        <v>22.14</v>
      </c>
      <c r="G280" s="30"/>
      <c r="H280" s="30"/>
      <c r="I280" s="30"/>
      <c r="J280" s="30"/>
      <c r="K280" s="30"/>
    </row>
    <row r="281" ht="15.75" customHeight="1" spans="1:11">
      <c r="A281" s="28">
        <v>46026</v>
      </c>
      <c r="B281" s="29">
        <v>46026</v>
      </c>
      <c r="C281" s="30"/>
      <c r="D281" s="52">
        <v>4.1</v>
      </c>
      <c r="E281" s="52"/>
      <c r="F281" s="52">
        <v>22.57</v>
      </c>
      <c r="G281" s="30"/>
      <c r="H281" s="30"/>
      <c r="I281" s="30"/>
      <c r="J281" s="30"/>
      <c r="K281" s="30"/>
    </row>
    <row r="282" ht="15.75" customHeight="1" spans="1:11">
      <c r="A282" s="28">
        <v>46027</v>
      </c>
      <c r="B282" s="29">
        <v>46027</v>
      </c>
      <c r="C282" s="30"/>
      <c r="D282" s="52">
        <v>4.03</v>
      </c>
      <c r="E282" s="52"/>
      <c r="F282" s="52">
        <v>23.17</v>
      </c>
      <c r="G282" s="30"/>
      <c r="H282" s="30"/>
      <c r="I282" s="30"/>
      <c r="J282" s="30"/>
      <c r="K282" s="30"/>
    </row>
    <row r="283" ht="15.75" customHeight="1" spans="1:11">
      <c r="A283" s="28">
        <v>46028</v>
      </c>
      <c r="B283" s="29">
        <v>46028</v>
      </c>
      <c r="C283" s="30"/>
      <c r="D283" s="52">
        <v>4.09</v>
      </c>
      <c r="E283" s="52"/>
      <c r="F283" s="52">
        <v>23.23</v>
      </c>
      <c r="G283" s="30"/>
      <c r="H283" s="30"/>
      <c r="I283" s="30"/>
      <c r="J283" s="30"/>
      <c r="K283" s="30"/>
    </row>
    <row r="284" ht="15.75" customHeight="1" spans="1:11">
      <c r="A284" s="28">
        <v>46029</v>
      </c>
      <c r="B284" s="29">
        <v>46029</v>
      </c>
      <c r="C284" s="30"/>
      <c r="D284" s="52">
        <v>1.3</v>
      </c>
      <c r="E284" s="52"/>
      <c r="F284" s="52">
        <v>20.81</v>
      </c>
      <c r="G284" s="30"/>
      <c r="H284" s="30"/>
      <c r="I284" s="30"/>
      <c r="J284" s="30"/>
      <c r="K284" s="30"/>
    </row>
    <row r="285" ht="15.75" customHeight="1" spans="1:11">
      <c r="A285" s="28">
        <v>46030</v>
      </c>
      <c r="B285" s="29">
        <v>46030</v>
      </c>
      <c r="C285" s="30"/>
      <c r="D285" s="52">
        <v>3.62</v>
      </c>
      <c r="E285" s="52"/>
      <c r="F285" s="52">
        <v>21.85</v>
      </c>
      <c r="G285" s="30"/>
      <c r="H285" s="30"/>
      <c r="I285" s="30"/>
      <c r="J285" s="30"/>
      <c r="K285" s="30"/>
    </row>
    <row r="286" ht="15.75" customHeight="1" spans="1:11">
      <c r="A286" s="28">
        <v>46031</v>
      </c>
      <c r="B286" s="29">
        <v>46031</v>
      </c>
      <c r="C286" s="30"/>
      <c r="D286" s="52">
        <v>3.76</v>
      </c>
      <c r="E286" s="52"/>
      <c r="F286" s="52">
        <v>20.97</v>
      </c>
      <c r="G286" s="30"/>
      <c r="H286" s="30"/>
      <c r="I286" s="30"/>
      <c r="J286" s="30"/>
      <c r="K286" s="30"/>
    </row>
    <row r="287" ht="15.75" customHeight="1" spans="1:11">
      <c r="A287" s="28">
        <v>46032</v>
      </c>
      <c r="B287" s="29">
        <v>46032</v>
      </c>
      <c r="C287" s="30"/>
      <c r="D287" s="52">
        <v>4.15</v>
      </c>
      <c r="E287" s="52"/>
      <c r="F287" s="52">
        <v>21.31</v>
      </c>
      <c r="G287" s="30"/>
      <c r="H287" s="30"/>
      <c r="I287" s="30"/>
      <c r="J287" s="30"/>
      <c r="K287" s="30"/>
    </row>
    <row r="288" ht="15.75" customHeight="1" spans="1:11">
      <c r="A288" s="28">
        <v>46033</v>
      </c>
      <c r="B288" s="29">
        <v>46033</v>
      </c>
      <c r="C288" s="30"/>
      <c r="D288" s="52">
        <v>4.2</v>
      </c>
      <c r="E288" s="52"/>
      <c r="F288" s="52">
        <v>21.7</v>
      </c>
      <c r="G288" s="30"/>
      <c r="H288" s="30"/>
      <c r="I288" s="30"/>
      <c r="J288" s="30"/>
      <c r="K288" s="30"/>
    </row>
    <row r="289" ht="15.75" customHeight="1" spans="1:11">
      <c r="A289" s="28">
        <v>46034</v>
      </c>
      <c r="B289" s="29">
        <v>46034</v>
      </c>
      <c r="C289" s="30"/>
      <c r="D289" s="52">
        <v>3.39</v>
      </c>
      <c r="E289" s="52"/>
      <c r="F289" s="52">
        <v>25.9</v>
      </c>
      <c r="G289" s="30"/>
      <c r="H289" s="30"/>
      <c r="I289" s="30"/>
      <c r="J289" s="30"/>
      <c r="K289" s="30"/>
    </row>
    <row r="290" ht="15.75" customHeight="1" spans="1:11">
      <c r="A290" s="28">
        <v>46035</v>
      </c>
      <c r="B290" s="29">
        <v>46035</v>
      </c>
      <c r="C290" s="30"/>
      <c r="D290" s="52">
        <v>3.96</v>
      </c>
      <c r="E290" s="52"/>
      <c r="F290" s="52">
        <v>24.65</v>
      </c>
      <c r="G290" s="30"/>
      <c r="H290" s="30"/>
      <c r="I290" s="30"/>
      <c r="J290" s="30"/>
      <c r="K290" s="30"/>
    </row>
    <row r="291" ht="15.75" customHeight="1" spans="1:11">
      <c r="A291" s="28">
        <v>46036</v>
      </c>
      <c r="B291" s="29">
        <v>46036</v>
      </c>
      <c r="C291" s="30"/>
      <c r="D291" s="52">
        <v>4.5</v>
      </c>
      <c r="E291" s="52"/>
      <c r="F291" s="52">
        <v>23.29</v>
      </c>
      <c r="G291" s="30"/>
      <c r="H291" s="30"/>
      <c r="I291" s="30"/>
      <c r="J291" s="30"/>
      <c r="K291" s="30"/>
    </row>
    <row r="292" ht="15.75" customHeight="1" spans="1:11">
      <c r="A292" s="28">
        <v>46037</v>
      </c>
      <c r="B292" s="29">
        <v>46037</v>
      </c>
      <c r="C292" s="30"/>
      <c r="D292" s="52">
        <v>4.62</v>
      </c>
      <c r="E292" s="52"/>
      <c r="F292" s="52">
        <v>24.31</v>
      </c>
      <c r="G292" s="30"/>
      <c r="H292" s="30"/>
      <c r="I292" s="30"/>
      <c r="J292" s="30"/>
      <c r="K292" s="30"/>
    </row>
    <row r="293" ht="15.75" customHeight="1" spans="1:11">
      <c r="A293" s="28">
        <v>46038</v>
      </c>
      <c r="B293" s="29">
        <v>46038</v>
      </c>
      <c r="C293" s="30"/>
      <c r="D293" s="52">
        <v>4.29</v>
      </c>
      <c r="E293" s="52"/>
      <c r="F293" s="52">
        <v>25.04</v>
      </c>
      <c r="G293" s="30"/>
      <c r="H293" s="30"/>
      <c r="I293" s="30"/>
      <c r="J293" s="30"/>
      <c r="K293" s="30"/>
    </row>
    <row r="294" ht="15.75" customHeight="1" spans="1:11">
      <c r="A294" s="28">
        <v>46039</v>
      </c>
      <c r="B294" s="29">
        <v>46039</v>
      </c>
      <c r="C294" s="30"/>
      <c r="D294" s="52">
        <v>4.14</v>
      </c>
      <c r="E294" s="52"/>
      <c r="F294" s="52">
        <v>23.12</v>
      </c>
      <c r="G294" s="30"/>
      <c r="H294" s="30"/>
      <c r="I294" s="30"/>
      <c r="J294" s="30"/>
      <c r="K294" s="30"/>
    </row>
    <row r="295" ht="15.75" customHeight="1" spans="1:11">
      <c r="A295" s="28">
        <v>46040</v>
      </c>
      <c r="B295" s="29">
        <v>46040</v>
      </c>
      <c r="C295" s="30"/>
      <c r="D295" s="52">
        <v>3.66</v>
      </c>
      <c r="E295" s="52"/>
      <c r="F295" s="52">
        <v>23.53</v>
      </c>
      <c r="G295" s="30"/>
      <c r="H295" s="30"/>
      <c r="I295" s="30"/>
      <c r="J295" s="30"/>
      <c r="K295" s="30"/>
    </row>
    <row r="296" ht="15.75" customHeight="1" spans="1:11">
      <c r="A296" s="28">
        <v>46041</v>
      </c>
      <c r="B296" s="29">
        <v>46041</v>
      </c>
      <c r="C296" s="30"/>
      <c r="D296" s="52">
        <v>4.51</v>
      </c>
      <c r="E296" s="52"/>
      <c r="F296" s="52">
        <v>24.19</v>
      </c>
      <c r="G296" s="30"/>
      <c r="H296" s="30"/>
      <c r="I296" s="30"/>
      <c r="J296" s="30"/>
      <c r="K296" s="30"/>
    </row>
    <row r="297" ht="15.75" customHeight="1" spans="1:11">
      <c r="A297" s="28">
        <v>46042</v>
      </c>
      <c r="B297" s="29">
        <v>46042</v>
      </c>
      <c r="C297" s="30"/>
      <c r="D297" s="52">
        <v>4.26</v>
      </c>
      <c r="E297" s="52"/>
      <c r="F297" s="52">
        <v>23.78</v>
      </c>
      <c r="G297" s="30"/>
      <c r="H297" s="30"/>
      <c r="I297" s="30"/>
      <c r="J297" s="30"/>
      <c r="K297" s="30"/>
    </row>
    <row r="298" ht="15.75" customHeight="1" spans="1:11">
      <c r="A298" s="28">
        <v>46043</v>
      </c>
      <c r="B298" s="29">
        <v>46043</v>
      </c>
      <c r="C298" s="30"/>
      <c r="D298" s="52">
        <v>3.77</v>
      </c>
      <c r="E298" s="52"/>
      <c r="F298" s="52">
        <v>25.26</v>
      </c>
      <c r="G298" s="30"/>
      <c r="H298" s="30"/>
      <c r="I298" s="30"/>
      <c r="J298" s="30"/>
      <c r="K298" s="30"/>
    </row>
    <row r="299" ht="15.75" customHeight="1" spans="1:11">
      <c r="A299" s="28">
        <v>46044</v>
      </c>
      <c r="B299" s="29">
        <v>46044</v>
      </c>
      <c r="C299" s="30"/>
      <c r="D299" s="52">
        <v>3.81</v>
      </c>
      <c r="E299" s="52"/>
      <c r="F299" s="52">
        <v>26.14</v>
      </c>
      <c r="G299" s="30"/>
      <c r="H299" s="30"/>
      <c r="I299" s="30"/>
      <c r="J299" s="30"/>
      <c r="K299" s="30"/>
    </row>
    <row r="300" ht="15.75" customHeight="1" spans="1:11">
      <c r="A300" s="28">
        <v>46045</v>
      </c>
      <c r="B300" s="29">
        <v>46045</v>
      </c>
      <c r="C300" s="30"/>
      <c r="D300" s="52">
        <v>3.29</v>
      </c>
      <c r="E300" s="52"/>
      <c r="F300" s="52">
        <v>21.76</v>
      </c>
      <c r="G300" s="30"/>
      <c r="H300" s="30"/>
      <c r="I300" s="30"/>
      <c r="J300" s="30"/>
      <c r="K300" s="30"/>
    </row>
    <row r="301" ht="15.75" customHeight="1" spans="1:11">
      <c r="A301" s="28">
        <v>46046</v>
      </c>
      <c r="B301" s="29">
        <v>46046</v>
      </c>
      <c r="C301" s="30"/>
      <c r="D301" s="52">
        <v>3.82</v>
      </c>
      <c r="E301" s="52"/>
      <c r="F301" s="52">
        <v>22.19</v>
      </c>
      <c r="G301" s="30"/>
      <c r="H301" s="30"/>
      <c r="I301" s="30"/>
      <c r="J301" s="30"/>
      <c r="K301" s="30"/>
    </row>
    <row r="302" ht="15.75" customHeight="1" spans="1:11">
      <c r="A302" s="28">
        <v>46047</v>
      </c>
      <c r="B302" s="29">
        <v>46047</v>
      </c>
      <c r="C302" s="30"/>
      <c r="D302" s="52">
        <v>3.64</v>
      </c>
      <c r="E302" s="52"/>
      <c r="F302" s="52">
        <v>20.95</v>
      </c>
      <c r="G302" s="30"/>
      <c r="H302" s="30"/>
      <c r="I302" s="30"/>
      <c r="J302" s="30"/>
      <c r="K302" s="30"/>
    </row>
    <row r="303" ht="15.75" customHeight="1" spans="1:11">
      <c r="A303" s="28">
        <v>46048</v>
      </c>
      <c r="B303" s="29">
        <v>46048</v>
      </c>
      <c r="C303" s="30"/>
      <c r="D303" s="52">
        <v>4.03</v>
      </c>
      <c r="E303" s="52"/>
      <c r="F303" s="52">
        <v>24.52</v>
      </c>
      <c r="G303" s="30"/>
      <c r="H303" s="30"/>
      <c r="I303" s="30"/>
      <c r="J303" s="30"/>
      <c r="K303" s="30"/>
    </row>
    <row r="304" ht="15.75" customHeight="1" spans="1:11">
      <c r="A304" s="28">
        <v>46049</v>
      </c>
      <c r="B304" s="29">
        <v>46049</v>
      </c>
      <c r="C304" s="30"/>
      <c r="D304" s="52">
        <v>4.37</v>
      </c>
      <c r="E304" s="52"/>
      <c r="F304" s="52">
        <v>22.68</v>
      </c>
      <c r="G304" s="30"/>
      <c r="H304" s="30"/>
      <c r="I304" s="30"/>
      <c r="J304" s="30"/>
      <c r="K304" s="30"/>
    </row>
    <row r="305" ht="15.75" customHeight="1" spans="1:11">
      <c r="A305" s="28">
        <v>46050</v>
      </c>
      <c r="B305" s="29">
        <v>46050</v>
      </c>
      <c r="C305" s="30"/>
      <c r="D305" s="52">
        <v>4.7</v>
      </c>
      <c r="E305" s="52"/>
      <c r="F305" s="52">
        <v>21.73</v>
      </c>
      <c r="G305" s="30"/>
      <c r="H305" s="30"/>
      <c r="I305" s="30"/>
      <c r="J305" s="30"/>
      <c r="K305" s="30"/>
    </row>
    <row r="306" ht="15.75" customHeight="1" spans="1:11">
      <c r="A306" s="28">
        <v>46051</v>
      </c>
      <c r="B306" s="29">
        <v>46051</v>
      </c>
      <c r="C306" s="30"/>
      <c r="D306" s="52">
        <v>4.32</v>
      </c>
      <c r="E306" s="52"/>
      <c r="F306" s="52">
        <v>22.67</v>
      </c>
      <c r="G306" s="30"/>
      <c r="H306" s="30"/>
      <c r="I306" s="30"/>
      <c r="J306" s="30"/>
      <c r="K306" s="30"/>
    </row>
    <row r="307" ht="15.75" customHeight="1" spans="1:11">
      <c r="A307" s="28">
        <v>46052</v>
      </c>
      <c r="B307" s="29">
        <v>46052</v>
      </c>
      <c r="C307" s="30"/>
      <c r="D307" s="52">
        <v>3.11</v>
      </c>
      <c r="E307" s="30"/>
      <c r="F307" s="53">
        <v>25.3</v>
      </c>
      <c r="G307" s="30"/>
      <c r="H307" s="30"/>
      <c r="I307" s="30"/>
      <c r="J307" s="30"/>
      <c r="K307" s="30"/>
    </row>
    <row r="308" ht="15.75" customHeight="1" spans="1:11">
      <c r="A308" s="28">
        <v>46053</v>
      </c>
      <c r="B308" s="29">
        <v>46053</v>
      </c>
      <c r="C308" s="30"/>
      <c r="D308" s="52">
        <v>3.36</v>
      </c>
      <c r="E308" s="30"/>
      <c r="F308" s="52">
        <v>26.95</v>
      </c>
      <c r="G308" s="30"/>
      <c r="H308" s="30"/>
      <c r="I308" s="30"/>
      <c r="J308" s="30"/>
      <c r="K308" s="30"/>
    </row>
    <row r="309" ht="15.75" customHeight="1" spans="1:11">
      <c r="A309" s="28">
        <v>46054</v>
      </c>
      <c r="B309" s="29">
        <v>46054</v>
      </c>
      <c r="C309" s="30"/>
      <c r="D309" s="52">
        <v>3.43</v>
      </c>
      <c r="E309" s="30"/>
      <c r="F309" s="52">
        <v>27.02</v>
      </c>
      <c r="G309" s="30"/>
      <c r="H309" s="30"/>
      <c r="I309" s="30"/>
      <c r="J309" s="30"/>
      <c r="K309" s="30"/>
    </row>
    <row r="310" ht="15.75" customHeight="1" spans="1:11">
      <c r="A310" s="28">
        <v>46055</v>
      </c>
      <c r="B310" s="29">
        <v>46055</v>
      </c>
      <c r="C310" s="30"/>
      <c r="D310" s="52">
        <v>3.46</v>
      </c>
      <c r="E310" s="30"/>
      <c r="F310" s="52">
        <v>27.29</v>
      </c>
      <c r="G310" s="30"/>
      <c r="H310" s="30"/>
      <c r="I310" s="30"/>
      <c r="J310" s="30"/>
      <c r="K310" s="30"/>
    </row>
    <row r="311" ht="15.75" customHeight="1" spans="1:11">
      <c r="A311" s="28">
        <v>46056</v>
      </c>
      <c r="B311" s="29">
        <v>46056</v>
      </c>
      <c r="C311" s="30"/>
      <c r="D311" s="53">
        <v>3.7</v>
      </c>
      <c r="E311" s="30"/>
      <c r="F311" s="52">
        <v>26.26</v>
      </c>
      <c r="G311" s="30"/>
      <c r="H311" s="30"/>
      <c r="I311" s="30"/>
      <c r="J311" s="30"/>
      <c r="K311" s="30"/>
    </row>
    <row r="312" ht="15.75" customHeight="1" spans="1:11">
      <c r="A312" s="28">
        <v>46057</v>
      </c>
      <c r="B312" s="29">
        <v>46057</v>
      </c>
      <c r="C312" s="30"/>
      <c r="D312" s="52">
        <v>3.76</v>
      </c>
      <c r="E312" s="52"/>
      <c r="F312" s="52">
        <v>30.06</v>
      </c>
      <c r="G312" s="30"/>
      <c r="H312" s="30"/>
      <c r="I312" s="30"/>
      <c r="J312" s="30"/>
      <c r="K312" s="30"/>
    </row>
    <row r="313" ht="15.75" customHeight="1" spans="1:11">
      <c r="A313" s="28">
        <v>46058</v>
      </c>
      <c r="B313" s="29">
        <v>46058</v>
      </c>
      <c r="C313" s="30"/>
      <c r="D313" s="52">
        <v>3.98</v>
      </c>
      <c r="E313" s="52"/>
      <c r="F313" s="52">
        <v>27.3</v>
      </c>
      <c r="G313" s="30"/>
      <c r="H313" s="30"/>
      <c r="I313" s="30"/>
      <c r="J313" s="30"/>
      <c r="K313" s="30"/>
    </row>
    <row r="314" ht="15.75" customHeight="1" spans="1:11">
      <c r="A314" s="28">
        <v>46059</v>
      </c>
      <c r="B314" s="29">
        <v>46059</v>
      </c>
      <c r="C314" s="30"/>
      <c r="D314" s="52">
        <v>4.18</v>
      </c>
      <c r="E314" s="30"/>
      <c r="F314" s="52">
        <v>29.62</v>
      </c>
      <c r="G314" s="30"/>
      <c r="H314" s="30"/>
      <c r="I314" s="30"/>
      <c r="J314" s="30"/>
      <c r="K314" s="30"/>
    </row>
    <row r="315" ht="15.75" customHeight="1" spans="1:11">
      <c r="A315" s="28">
        <v>46060</v>
      </c>
      <c r="B315" s="29">
        <v>46060</v>
      </c>
      <c r="C315" s="30"/>
      <c r="D315" s="52">
        <v>4.05</v>
      </c>
      <c r="E315" s="30"/>
      <c r="F315" s="52">
        <v>27.93</v>
      </c>
      <c r="G315" s="30"/>
      <c r="H315" s="30"/>
      <c r="I315" s="30"/>
      <c r="J315" s="30"/>
      <c r="K315" s="30"/>
    </row>
    <row r="316" ht="15.75" customHeight="1" spans="1:11">
      <c r="A316" s="28">
        <v>46061</v>
      </c>
      <c r="B316" s="29">
        <v>46061</v>
      </c>
      <c r="C316" s="30"/>
      <c r="D316" s="52">
        <v>4.18</v>
      </c>
      <c r="E316" s="30"/>
      <c r="F316" s="52">
        <v>29.18</v>
      </c>
      <c r="G316" s="30"/>
      <c r="H316" s="30"/>
      <c r="I316" s="30"/>
      <c r="J316" s="30"/>
      <c r="K316" s="30"/>
    </row>
    <row r="317" ht="15.75" customHeight="1" spans="1:11">
      <c r="A317" s="28">
        <v>46062</v>
      </c>
      <c r="B317" s="29">
        <v>46062</v>
      </c>
      <c r="C317" s="30"/>
      <c r="D317" s="52">
        <v>4.31</v>
      </c>
      <c r="E317" s="30"/>
      <c r="F317" s="52">
        <v>27.34</v>
      </c>
      <c r="G317" s="30"/>
      <c r="H317" s="30"/>
      <c r="I317" s="30"/>
      <c r="J317" s="30"/>
      <c r="K317" s="30"/>
    </row>
    <row r="318" ht="15.75" customHeight="1" spans="1:11">
      <c r="A318" s="28">
        <v>46063</v>
      </c>
      <c r="B318" s="29">
        <v>46063</v>
      </c>
      <c r="C318" s="30"/>
      <c r="D318" s="52">
        <v>4.51</v>
      </c>
      <c r="E318" s="30"/>
      <c r="F318" s="52">
        <v>26.79</v>
      </c>
      <c r="G318" s="30"/>
      <c r="H318" s="30"/>
      <c r="I318" s="30"/>
      <c r="J318" s="30"/>
      <c r="K318" s="30"/>
    </row>
    <row r="319" ht="15.75" customHeight="1" spans="1:11">
      <c r="A319" s="28">
        <v>46064</v>
      </c>
      <c r="B319" s="29">
        <v>46064</v>
      </c>
      <c r="C319" s="30"/>
      <c r="D319" s="52">
        <v>4.64</v>
      </c>
      <c r="E319" s="30"/>
      <c r="F319" s="52">
        <v>27.13</v>
      </c>
      <c r="G319" s="30"/>
      <c r="H319" s="30"/>
      <c r="I319" s="30"/>
      <c r="J319" s="30"/>
      <c r="K319" s="30"/>
    </row>
    <row r="320" ht="15.75" customHeight="1" spans="1:11">
      <c r="A320" s="28">
        <v>46065</v>
      </c>
      <c r="B320" s="29">
        <v>46065</v>
      </c>
      <c r="C320" s="30"/>
      <c r="D320" s="52">
        <v>4.72</v>
      </c>
      <c r="E320" s="30"/>
      <c r="F320" s="52">
        <v>29.94</v>
      </c>
      <c r="G320" s="30"/>
      <c r="H320" s="30"/>
      <c r="I320" s="30"/>
      <c r="J320" s="30"/>
      <c r="K320" s="30"/>
    </row>
    <row r="321" ht="15.75" customHeight="1" spans="1:11">
      <c r="A321" s="28">
        <v>46066</v>
      </c>
      <c r="B321" s="29">
        <v>46066</v>
      </c>
      <c r="C321" s="30"/>
      <c r="D321" s="52">
        <v>4.22</v>
      </c>
      <c r="E321" s="30"/>
      <c r="F321" s="52">
        <v>29.97</v>
      </c>
      <c r="G321" s="30"/>
      <c r="H321" s="30"/>
      <c r="I321" s="30"/>
      <c r="J321" s="30"/>
      <c r="K321" s="30"/>
    </row>
    <row r="322" ht="15.75" customHeight="1" spans="1:11">
      <c r="A322" s="28">
        <v>46067</v>
      </c>
      <c r="B322" s="29">
        <v>46067</v>
      </c>
      <c r="C322" s="30"/>
      <c r="D322" s="52">
        <v>4.24</v>
      </c>
      <c r="E322" s="30"/>
      <c r="F322" s="52">
        <v>30.48</v>
      </c>
      <c r="G322" s="30"/>
      <c r="H322" s="30"/>
      <c r="I322" s="30"/>
      <c r="J322" s="30"/>
      <c r="K322" s="30"/>
    </row>
    <row r="323" ht="15.75" customHeight="1" spans="1:11">
      <c r="A323" s="28">
        <v>46068</v>
      </c>
      <c r="B323" s="29">
        <v>46068</v>
      </c>
      <c r="C323" s="30"/>
      <c r="D323" s="52">
        <v>4.63</v>
      </c>
      <c r="E323" s="30"/>
      <c r="F323" s="52">
        <v>30.18</v>
      </c>
      <c r="G323" s="30"/>
      <c r="H323" s="30"/>
      <c r="I323" s="30"/>
      <c r="J323" s="30"/>
      <c r="K323" s="30"/>
    </row>
    <row r="324" ht="15.75" customHeight="1" spans="1:11">
      <c r="A324" s="28">
        <v>46069</v>
      </c>
      <c r="B324" s="29">
        <v>46069</v>
      </c>
      <c r="C324" s="30"/>
      <c r="D324" s="52">
        <v>4.67</v>
      </c>
      <c r="E324" s="30"/>
      <c r="F324" s="52">
        <v>28.69</v>
      </c>
      <c r="G324" s="30"/>
      <c r="H324" s="30"/>
      <c r="I324" s="30"/>
      <c r="J324" s="30"/>
      <c r="K324" s="30"/>
    </row>
    <row r="325" ht="15.75" customHeight="1" spans="1:11">
      <c r="A325" s="28">
        <v>46070</v>
      </c>
      <c r="B325" s="29">
        <v>46070</v>
      </c>
      <c r="C325" s="30"/>
      <c r="D325" s="53">
        <v>4.6</v>
      </c>
      <c r="E325" s="30"/>
      <c r="F325" s="52">
        <v>26.81</v>
      </c>
      <c r="G325" s="30"/>
      <c r="H325" s="30"/>
      <c r="I325" s="30"/>
      <c r="J325" s="30"/>
      <c r="K325" s="30"/>
    </row>
    <row r="326" ht="15.75" customHeight="1" spans="1:11">
      <c r="A326" s="28">
        <v>46071</v>
      </c>
      <c r="B326" s="29">
        <v>46071</v>
      </c>
      <c r="C326" s="30"/>
      <c r="D326" s="52">
        <v>4.76</v>
      </c>
      <c r="E326" s="30"/>
      <c r="F326" s="52">
        <v>27.79</v>
      </c>
      <c r="G326" s="30"/>
      <c r="H326" s="30"/>
      <c r="I326" s="30"/>
      <c r="J326" s="30"/>
      <c r="K326" s="30"/>
    </row>
    <row r="327" ht="15.75" customHeight="1" spans="1:11">
      <c r="A327" s="28">
        <v>46072</v>
      </c>
      <c r="B327" s="29">
        <v>46072</v>
      </c>
      <c r="C327" s="30"/>
      <c r="D327" s="52">
        <v>4.64</v>
      </c>
      <c r="E327" s="52"/>
      <c r="F327" s="52">
        <v>28.58</v>
      </c>
      <c r="G327" s="30"/>
      <c r="H327" s="30"/>
      <c r="I327" s="30"/>
      <c r="J327" s="30"/>
      <c r="K327" s="30"/>
    </row>
    <row r="328" ht="15.75" customHeight="1" spans="1:11">
      <c r="A328" s="28">
        <v>46073</v>
      </c>
      <c r="B328" s="29">
        <v>46073</v>
      </c>
      <c r="C328" s="30"/>
      <c r="D328" s="52">
        <v>4.29</v>
      </c>
      <c r="E328" s="30"/>
      <c r="F328" s="52">
        <v>29.41</v>
      </c>
      <c r="G328" s="30"/>
      <c r="H328" s="30"/>
      <c r="I328" s="30"/>
      <c r="J328" s="30"/>
      <c r="K328" s="30"/>
    </row>
    <row r="329" ht="15.75" customHeight="1" spans="1:11">
      <c r="A329" s="28">
        <v>46074</v>
      </c>
      <c r="B329" s="29">
        <v>46074</v>
      </c>
      <c r="C329" s="30"/>
      <c r="D329" s="30">
        <v>4.46</v>
      </c>
      <c r="E329" s="30"/>
      <c r="F329" s="30">
        <v>30.76</v>
      </c>
      <c r="G329" s="30"/>
      <c r="H329" s="30"/>
      <c r="I329" s="30"/>
      <c r="J329" s="30"/>
      <c r="K329" s="30"/>
    </row>
    <row r="330" ht="15.75" customHeight="1" spans="1:11">
      <c r="A330" s="28">
        <v>46075</v>
      </c>
      <c r="B330" s="29">
        <v>46075</v>
      </c>
      <c r="C330" s="30"/>
      <c r="D330" s="54">
        <v>4.2</v>
      </c>
      <c r="E330" s="30"/>
      <c r="F330" s="30">
        <v>31.13</v>
      </c>
      <c r="G330" s="30"/>
      <c r="H330" s="30"/>
      <c r="I330" s="30"/>
      <c r="J330" s="30"/>
      <c r="K330" s="30"/>
    </row>
    <row r="331" ht="15.75" customHeight="1" spans="1:11">
      <c r="A331" s="28">
        <v>46076</v>
      </c>
      <c r="B331" s="29">
        <v>46076</v>
      </c>
      <c r="C331" s="30"/>
      <c r="D331" s="30">
        <v>4.13</v>
      </c>
      <c r="E331" s="30"/>
      <c r="F331" s="30">
        <v>31.45</v>
      </c>
      <c r="G331" s="30"/>
      <c r="H331" s="30"/>
      <c r="I331" s="30"/>
      <c r="J331" s="30"/>
      <c r="K331" s="30"/>
    </row>
    <row r="332" ht="15.75" customHeight="1" spans="1:11">
      <c r="A332" s="28">
        <v>46077</v>
      </c>
      <c r="B332" s="29">
        <v>46077</v>
      </c>
      <c r="C332" s="30"/>
      <c r="D332" s="30">
        <v>4.13</v>
      </c>
      <c r="E332" s="30"/>
      <c r="F332" s="30">
        <v>32.45</v>
      </c>
      <c r="G332" s="30"/>
      <c r="H332" s="30"/>
      <c r="I332" s="30"/>
      <c r="J332" s="30"/>
      <c r="K332" s="30"/>
    </row>
    <row r="333" ht="15.75" customHeight="1" spans="1:11">
      <c r="A333" s="28">
        <v>46078</v>
      </c>
      <c r="B333" s="29">
        <v>46078</v>
      </c>
      <c r="C333" s="30"/>
      <c r="D333" s="30">
        <v>4.96</v>
      </c>
      <c r="E333" s="30"/>
      <c r="F333" s="30">
        <v>31.15</v>
      </c>
      <c r="G333" s="30"/>
      <c r="H333" s="30"/>
      <c r="I333" s="30"/>
      <c r="J333" s="30"/>
      <c r="K333" s="30"/>
    </row>
    <row r="334" ht="15.75" customHeight="1" spans="1:11">
      <c r="A334" s="28">
        <v>46079</v>
      </c>
      <c r="B334" s="29">
        <v>46079</v>
      </c>
      <c r="C334" s="30"/>
      <c r="D334" s="30">
        <v>4.76</v>
      </c>
      <c r="E334" s="30"/>
      <c r="F334" s="30">
        <v>28.04</v>
      </c>
      <c r="G334" s="30"/>
      <c r="H334" s="30"/>
      <c r="I334" s="30"/>
      <c r="J334" s="30"/>
      <c r="K334" s="30"/>
    </row>
    <row r="335" ht="15.75" customHeight="1" spans="1:11">
      <c r="A335" s="28">
        <v>46080</v>
      </c>
      <c r="B335" s="29">
        <v>46080</v>
      </c>
      <c r="C335" s="30"/>
      <c r="D335" s="54">
        <v>4.3</v>
      </c>
      <c r="E335" s="30"/>
      <c r="F335" s="30">
        <v>28.28</v>
      </c>
      <c r="G335" s="30"/>
      <c r="H335" s="30"/>
      <c r="I335" s="30"/>
      <c r="J335" s="30"/>
      <c r="K335" s="30"/>
    </row>
    <row r="336" ht="15.75" customHeight="1" spans="1:11">
      <c r="A336" s="28">
        <v>46081</v>
      </c>
      <c r="B336" s="29">
        <v>46081</v>
      </c>
      <c r="C336" s="30"/>
      <c r="D336" s="30">
        <v>4.83</v>
      </c>
      <c r="E336" s="30"/>
      <c r="F336" s="30">
        <v>28.68</v>
      </c>
      <c r="G336" s="30"/>
      <c r="H336" s="30"/>
      <c r="I336" s="30"/>
      <c r="J336" s="30"/>
      <c r="K336" s="30"/>
    </row>
    <row r="337" ht="15.75" customHeight="1" spans="1:11">
      <c r="A337" s="28">
        <v>46082</v>
      </c>
      <c r="B337" s="29">
        <v>46082</v>
      </c>
      <c r="C337" s="30"/>
      <c r="D337" s="30">
        <v>4.71</v>
      </c>
      <c r="E337" s="30"/>
      <c r="F337" s="30">
        <v>28.93</v>
      </c>
      <c r="G337" s="30"/>
      <c r="H337" s="30"/>
      <c r="I337" s="30"/>
      <c r="J337" s="30"/>
      <c r="K337" s="30"/>
    </row>
    <row r="338" ht="15.75" customHeight="1" spans="1:11">
      <c r="A338" s="28">
        <v>46083</v>
      </c>
      <c r="B338" s="29">
        <v>46083</v>
      </c>
      <c r="C338" s="30"/>
      <c r="D338" s="30">
        <v>4.77</v>
      </c>
      <c r="E338" s="30"/>
      <c r="F338" s="30">
        <v>30.44</v>
      </c>
      <c r="G338" s="30"/>
      <c r="H338" s="30"/>
      <c r="I338" s="30"/>
      <c r="J338" s="30"/>
      <c r="K338" s="30"/>
    </row>
    <row r="339" ht="15.75" customHeight="1" spans="1:11">
      <c r="A339" s="28">
        <v>46084</v>
      </c>
      <c r="B339" s="29">
        <v>46084</v>
      </c>
      <c r="C339" s="30"/>
      <c r="D339" s="30">
        <v>4.6</v>
      </c>
      <c r="E339" s="30"/>
      <c r="F339" s="30">
        <v>32.53</v>
      </c>
      <c r="G339" s="30"/>
      <c r="H339" s="30"/>
      <c r="I339" s="30"/>
      <c r="J339" s="30"/>
      <c r="K339" s="30"/>
    </row>
    <row r="340" ht="15.75" customHeight="1" spans="1:11">
      <c r="A340" s="28">
        <v>46085</v>
      </c>
      <c r="B340" s="29">
        <v>46085</v>
      </c>
      <c r="C340" s="30"/>
      <c r="D340" s="30">
        <v>4.78</v>
      </c>
      <c r="E340" s="30"/>
      <c r="F340" s="30">
        <v>33.73</v>
      </c>
      <c r="G340" s="30"/>
      <c r="H340" s="30"/>
      <c r="I340" s="30"/>
      <c r="J340" s="30"/>
      <c r="K340" s="30"/>
    </row>
    <row r="341" ht="15.75" customHeight="1" spans="1:11">
      <c r="A341" s="28">
        <v>46086</v>
      </c>
      <c r="B341" s="29">
        <v>46086</v>
      </c>
      <c r="C341" s="30"/>
      <c r="D341" s="30">
        <v>4.88</v>
      </c>
      <c r="E341" s="30"/>
      <c r="F341" s="30">
        <v>32.17</v>
      </c>
      <c r="G341" s="30"/>
      <c r="H341" s="30"/>
      <c r="I341" s="30"/>
      <c r="J341" s="30"/>
      <c r="K341" s="30"/>
    </row>
    <row r="342" ht="15.75" customHeight="1" spans="1:11">
      <c r="A342" s="28">
        <v>46087</v>
      </c>
      <c r="B342" s="29">
        <v>46087</v>
      </c>
      <c r="C342" s="30"/>
      <c r="D342" s="30">
        <v>5.11</v>
      </c>
      <c r="E342" s="30"/>
      <c r="F342" s="30">
        <v>29.71</v>
      </c>
      <c r="G342" s="30"/>
      <c r="H342" s="30"/>
      <c r="I342" s="30"/>
      <c r="J342" s="30"/>
      <c r="K342" s="30"/>
    </row>
    <row r="343" ht="15.75" customHeight="1" spans="1:11">
      <c r="A343" s="28">
        <v>46088</v>
      </c>
      <c r="B343" s="29">
        <v>46088</v>
      </c>
      <c r="C343" s="30"/>
      <c r="D343" s="30">
        <v>4.7</v>
      </c>
      <c r="E343" s="30"/>
      <c r="F343" s="30">
        <v>31.86</v>
      </c>
      <c r="G343" s="30"/>
      <c r="H343" s="30"/>
      <c r="I343" s="30"/>
      <c r="J343" s="30"/>
      <c r="K343" s="30"/>
    </row>
    <row r="344" ht="15.75" customHeight="1" spans="1:11">
      <c r="A344" s="28">
        <v>46089</v>
      </c>
      <c r="B344" s="29">
        <v>46089</v>
      </c>
      <c r="C344" s="30"/>
      <c r="D344" s="30">
        <v>4.9</v>
      </c>
      <c r="E344" s="30"/>
      <c r="F344" s="30">
        <v>34.4</v>
      </c>
      <c r="G344" s="30"/>
      <c r="H344" s="30"/>
      <c r="I344" s="30"/>
      <c r="J344" s="30"/>
      <c r="K344" s="30"/>
    </row>
    <row r="345" ht="15.75" customHeight="1" spans="1:11">
      <c r="A345" s="28">
        <v>46090</v>
      </c>
      <c r="B345" s="29">
        <v>46090</v>
      </c>
      <c r="C345" s="30"/>
      <c r="D345" s="52">
        <v>5.06</v>
      </c>
      <c r="E345" s="30"/>
      <c r="F345" s="52">
        <v>36.4</v>
      </c>
      <c r="G345" s="30"/>
      <c r="H345" s="30"/>
      <c r="I345" s="30"/>
      <c r="J345" s="30"/>
      <c r="K345" s="30"/>
    </row>
    <row r="346" ht="15.75" customHeight="1" spans="1:11">
      <c r="A346" s="28">
        <v>46091</v>
      </c>
      <c r="B346" s="29">
        <v>46091</v>
      </c>
      <c r="C346" s="30"/>
      <c r="D346" s="52">
        <v>5.02</v>
      </c>
      <c r="E346" s="30"/>
      <c r="F346" s="52">
        <v>35.97</v>
      </c>
      <c r="G346" s="30"/>
      <c r="H346" s="30"/>
      <c r="I346" s="30"/>
      <c r="J346" s="30"/>
      <c r="K346" s="30"/>
    </row>
    <row r="347" ht="15.75" customHeight="1" spans="1:11">
      <c r="A347" s="28">
        <v>46092</v>
      </c>
      <c r="B347" s="29">
        <v>46092</v>
      </c>
      <c r="C347" s="30"/>
      <c r="D347" s="52">
        <v>4.98</v>
      </c>
      <c r="E347" s="30"/>
      <c r="F347" s="52">
        <v>35.82</v>
      </c>
      <c r="G347" s="30"/>
      <c r="H347" s="30"/>
      <c r="I347" s="30"/>
      <c r="J347" s="30"/>
      <c r="K347" s="30"/>
    </row>
    <row r="348" ht="15.75" customHeight="1" spans="1:11">
      <c r="A348" s="28">
        <v>46093</v>
      </c>
      <c r="B348" s="29">
        <v>46093</v>
      </c>
      <c r="C348" s="30"/>
      <c r="D348" s="52">
        <v>4.97</v>
      </c>
      <c r="E348" s="30"/>
      <c r="F348" s="52">
        <v>34.75</v>
      </c>
      <c r="G348" s="30"/>
      <c r="H348" s="30"/>
      <c r="I348" s="30"/>
      <c r="J348" s="30"/>
      <c r="K348" s="30"/>
    </row>
    <row r="349" ht="15.75" customHeight="1" spans="1:11">
      <c r="A349" s="28">
        <v>46094</v>
      </c>
      <c r="B349" s="29">
        <v>46094</v>
      </c>
      <c r="C349" s="30"/>
      <c r="D349" s="30">
        <v>4.91</v>
      </c>
      <c r="E349" s="30"/>
      <c r="F349" s="30">
        <v>34</v>
      </c>
      <c r="G349" s="30"/>
      <c r="H349" s="30"/>
      <c r="I349" s="30"/>
      <c r="J349" s="30"/>
      <c r="K349" s="30"/>
    </row>
    <row r="350" ht="15.75" customHeight="1" spans="1:11">
      <c r="A350" s="28">
        <v>46095</v>
      </c>
      <c r="B350" s="29">
        <v>46095</v>
      </c>
      <c r="C350" s="30"/>
      <c r="D350" s="30">
        <v>5.26</v>
      </c>
      <c r="E350" s="30"/>
      <c r="F350" s="30">
        <v>32.02</v>
      </c>
      <c r="G350" s="30"/>
      <c r="H350" s="30"/>
      <c r="I350" s="30"/>
      <c r="J350" s="30"/>
      <c r="K350" s="30"/>
    </row>
    <row r="351" ht="15.75" customHeight="1" spans="1:11">
      <c r="A351" s="28">
        <v>46096</v>
      </c>
      <c r="B351" s="29">
        <v>46096</v>
      </c>
      <c r="C351" s="30"/>
      <c r="D351" s="30">
        <v>5.08</v>
      </c>
      <c r="E351" s="30"/>
      <c r="F351" s="30">
        <v>32.13</v>
      </c>
      <c r="G351" s="30"/>
      <c r="H351" s="30"/>
      <c r="I351" s="30"/>
      <c r="J351" s="30"/>
      <c r="K351" s="30"/>
    </row>
    <row r="352" ht="15.75" customHeight="1" spans="1:11">
      <c r="A352" s="28">
        <v>46097</v>
      </c>
      <c r="B352" s="29">
        <v>46097</v>
      </c>
      <c r="C352" s="30"/>
      <c r="D352" s="30">
        <v>5.17</v>
      </c>
      <c r="E352" s="30"/>
      <c r="F352" s="30">
        <v>32.13</v>
      </c>
      <c r="G352" s="30"/>
      <c r="H352" s="30"/>
      <c r="I352" s="30"/>
      <c r="J352" s="30"/>
      <c r="K352" s="30"/>
    </row>
    <row r="353" ht="15.75" customHeight="1" spans="1:11">
      <c r="A353" s="28">
        <v>46098</v>
      </c>
      <c r="B353" s="29">
        <v>46098</v>
      </c>
      <c r="C353" s="30"/>
      <c r="D353" s="30">
        <v>5.02</v>
      </c>
      <c r="E353" s="30"/>
      <c r="F353" s="30">
        <v>31.79</v>
      </c>
      <c r="G353" s="30"/>
      <c r="H353" s="30"/>
      <c r="I353" s="30"/>
      <c r="J353" s="30"/>
      <c r="K353" s="30"/>
    </row>
    <row r="354" ht="15.75" customHeight="1" spans="1:11">
      <c r="A354" s="28">
        <v>46099</v>
      </c>
      <c r="B354" s="29">
        <v>46099</v>
      </c>
      <c r="C354" s="30"/>
      <c r="D354" s="30">
        <v>5.03</v>
      </c>
      <c r="E354" s="30"/>
      <c r="F354" s="30">
        <v>31.39</v>
      </c>
      <c r="G354" s="30"/>
      <c r="H354" s="30"/>
      <c r="I354" s="30"/>
      <c r="J354" s="30"/>
      <c r="K354" s="30"/>
    </row>
    <row r="355" ht="15.75" customHeight="1" spans="1:11">
      <c r="A355" s="28">
        <v>46100</v>
      </c>
      <c r="B355" s="29">
        <v>46100</v>
      </c>
      <c r="C355" s="30"/>
      <c r="D355" s="30">
        <v>3.97</v>
      </c>
      <c r="E355" s="30"/>
      <c r="F355" s="54">
        <v>29.4</v>
      </c>
      <c r="G355" s="30"/>
      <c r="H355" s="30"/>
      <c r="I355" s="30"/>
      <c r="J355" s="30"/>
      <c r="K355" s="30"/>
    </row>
    <row r="356" ht="15.75" customHeight="1" spans="1:11">
      <c r="A356" s="28">
        <v>46101</v>
      </c>
      <c r="B356" s="29">
        <v>46101</v>
      </c>
      <c r="C356" s="30"/>
      <c r="D356" s="30">
        <v>4.49</v>
      </c>
      <c r="E356" s="30"/>
      <c r="F356" s="30">
        <v>28.97</v>
      </c>
      <c r="G356" s="30"/>
      <c r="H356" s="30"/>
      <c r="I356" s="30"/>
      <c r="J356" s="30"/>
      <c r="K356" s="30"/>
    </row>
    <row r="357" ht="15.75" customHeight="1" spans="1:11">
      <c r="A357" s="28">
        <v>46102</v>
      </c>
      <c r="B357" s="29">
        <v>46102</v>
      </c>
      <c r="C357" s="30"/>
      <c r="D357" s="30">
        <v>5.04</v>
      </c>
      <c r="E357" s="30"/>
      <c r="F357" s="30">
        <v>31.06</v>
      </c>
      <c r="G357" s="30"/>
      <c r="H357" s="30"/>
      <c r="I357" s="30"/>
      <c r="J357" s="30"/>
      <c r="K357" s="30"/>
    </row>
    <row r="358" ht="15.75" customHeight="1" spans="1:11">
      <c r="A358" s="28">
        <v>46103</v>
      </c>
      <c r="B358" s="29">
        <v>46103</v>
      </c>
      <c r="C358" s="30"/>
      <c r="D358" s="30">
        <v>5.33</v>
      </c>
      <c r="E358" s="30"/>
      <c r="F358" s="30">
        <v>31.73</v>
      </c>
      <c r="G358" s="30"/>
      <c r="H358" s="30"/>
      <c r="I358" s="30"/>
      <c r="J358" s="30"/>
      <c r="K358" s="30"/>
    </row>
    <row r="359" ht="15.75" customHeight="1" spans="1:11">
      <c r="A359" s="28">
        <v>46104</v>
      </c>
      <c r="B359" s="29">
        <v>46104</v>
      </c>
      <c r="C359" s="30"/>
      <c r="D359" s="30">
        <v>5.48</v>
      </c>
      <c r="E359" s="30"/>
      <c r="F359" s="30">
        <v>32.41</v>
      </c>
      <c r="G359" s="30"/>
      <c r="H359" s="30"/>
      <c r="I359" s="30"/>
      <c r="J359" s="30"/>
      <c r="K359" s="30"/>
    </row>
    <row r="360" ht="15.75" customHeight="1" spans="1:11">
      <c r="A360" s="28">
        <v>46105</v>
      </c>
      <c r="B360" s="29">
        <v>46105</v>
      </c>
      <c r="C360" s="30"/>
      <c r="D360" s="30">
        <v>5.17</v>
      </c>
      <c r="E360" s="30"/>
      <c r="F360" s="30">
        <v>32.17</v>
      </c>
      <c r="G360" s="30"/>
      <c r="H360" s="30"/>
      <c r="I360" s="30"/>
      <c r="J360" s="30"/>
      <c r="K360" s="30"/>
    </row>
    <row r="361" ht="15.75" customHeight="1" spans="1:11">
      <c r="A361" s="28">
        <v>46106</v>
      </c>
      <c r="B361" s="29">
        <v>46106</v>
      </c>
      <c r="C361" s="30"/>
      <c r="D361" s="30">
        <v>5.27</v>
      </c>
      <c r="E361" s="30"/>
      <c r="F361" s="30">
        <v>33.66</v>
      </c>
      <c r="G361" s="30"/>
      <c r="H361" s="30"/>
      <c r="I361" s="30"/>
      <c r="J361" s="30"/>
      <c r="K361" s="30"/>
    </row>
    <row r="362" ht="15.75" customHeight="1" spans="1:11">
      <c r="A362" s="28">
        <v>46107</v>
      </c>
      <c r="B362" s="29">
        <v>46107</v>
      </c>
      <c r="C362" s="30"/>
      <c r="D362" s="30">
        <v>5.69</v>
      </c>
      <c r="E362" s="30"/>
      <c r="F362" s="30">
        <v>33.56</v>
      </c>
      <c r="G362" s="30"/>
      <c r="H362" s="30"/>
      <c r="I362" s="30"/>
      <c r="J362" s="30"/>
      <c r="K362" s="30"/>
    </row>
    <row r="363" ht="15.75" customHeight="1" spans="1:11">
      <c r="A363" s="28">
        <v>46108</v>
      </c>
      <c r="B363" s="29">
        <v>46108</v>
      </c>
      <c r="C363" s="30"/>
      <c r="D363" s="30">
        <v>5.71</v>
      </c>
      <c r="E363" s="30"/>
      <c r="F363" s="30">
        <v>33.63</v>
      </c>
      <c r="G363" s="30"/>
      <c r="H363" s="30"/>
      <c r="I363" s="30"/>
      <c r="J363" s="30"/>
      <c r="K363" s="30"/>
    </row>
    <row r="364" ht="15.75" customHeight="1" spans="1:11">
      <c r="A364" s="28">
        <v>46109</v>
      </c>
      <c r="B364" s="29">
        <v>46109</v>
      </c>
      <c r="C364" s="30"/>
      <c r="D364" s="30">
        <v>5.59</v>
      </c>
      <c r="E364" s="30"/>
      <c r="F364" s="30">
        <v>31.86</v>
      </c>
      <c r="G364" s="30"/>
      <c r="H364" s="30"/>
      <c r="I364" s="30"/>
      <c r="J364" s="30"/>
      <c r="K364" s="30"/>
    </row>
    <row r="365" ht="15.75" customHeight="1" spans="1:11">
      <c r="A365" s="28">
        <v>46110</v>
      </c>
      <c r="B365" s="29">
        <v>46110</v>
      </c>
      <c r="C365" s="30"/>
      <c r="D365" s="30">
        <v>4.52</v>
      </c>
      <c r="E365" s="30"/>
      <c r="F365" s="30">
        <v>31.02</v>
      </c>
      <c r="G365" s="30"/>
      <c r="H365" s="30"/>
      <c r="I365" s="30"/>
      <c r="J365" s="30"/>
      <c r="K365" s="30"/>
    </row>
    <row r="366" ht="15.75" customHeight="1" spans="1:11">
      <c r="A366" s="28">
        <v>46111</v>
      </c>
      <c r="B366" s="29">
        <v>46111</v>
      </c>
      <c r="C366" s="30"/>
      <c r="D366" s="30">
        <v>5.49</v>
      </c>
      <c r="E366" s="30"/>
      <c r="F366" s="30">
        <v>33</v>
      </c>
      <c r="G366" s="30"/>
      <c r="H366" s="30"/>
      <c r="I366" s="30"/>
      <c r="J366" s="30"/>
      <c r="K366" s="30"/>
    </row>
    <row r="367" ht="15.75" customHeight="1" spans="1:11">
      <c r="A367" s="28">
        <v>46111</v>
      </c>
      <c r="B367" s="29">
        <v>46112</v>
      </c>
      <c r="C367" s="30"/>
      <c r="D367" s="30">
        <v>4.89</v>
      </c>
      <c r="E367" s="30"/>
      <c r="F367" s="30">
        <v>31.36</v>
      </c>
      <c r="G367" s="30"/>
      <c r="H367" s="30"/>
      <c r="I367" s="30"/>
      <c r="J367" s="30"/>
      <c r="K367" s="30"/>
    </row>
    <row r="368" ht="15.75" customHeight="1" spans="1:11">
      <c r="A368" s="28">
        <v>46130</v>
      </c>
      <c r="B368" s="29">
        <v>46113</v>
      </c>
      <c r="C368" s="30"/>
      <c r="D368" s="30">
        <v>5.88</v>
      </c>
      <c r="E368" s="30"/>
      <c r="F368" s="30">
        <v>29.59</v>
      </c>
      <c r="G368" s="30"/>
      <c r="H368" s="30"/>
      <c r="I368" s="30"/>
      <c r="J368" s="30"/>
      <c r="K368" s="30"/>
    </row>
    <row r="369" ht="15.75" customHeight="1" spans="1:11">
      <c r="A369" s="28">
        <v>46130</v>
      </c>
      <c r="B369" s="29">
        <v>46114</v>
      </c>
      <c r="C369" s="30"/>
      <c r="D369" s="30">
        <v>5.36</v>
      </c>
      <c r="E369" s="30"/>
      <c r="F369" s="30">
        <v>29.55</v>
      </c>
      <c r="G369" s="30"/>
      <c r="H369" s="30"/>
      <c r="I369" s="30"/>
      <c r="J369" s="30"/>
      <c r="K369" s="30"/>
    </row>
    <row r="370" ht="15.75" customHeight="1" spans="1:11">
      <c r="A370" s="28">
        <v>46130</v>
      </c>
      <c r="B370" s="29">
        <v>46115</v>
      </c>
      <c r="C370" s="30"/>
      <c r="D370" s="30">
        <v>3.54</v>
      </c>
      <c r="E370" s="30"/>
      <c r="F370" s="30">
        <v>28.59</v>
      </c>
      <c r="G370" s="30"/>
      <c r="H370" s="30"/>
      <c r="I370" s="30"/>
      <c r="J370" s="30"/>
      <c r="K370" s="30"/>
    </row>
    <row r="371" ht="15.75" customHeight="1" spans="1:11">
      <c r="A371" s="28">
        <v>46130</v>
      </c>
      <c r="B371" s="29">
        <v>46116</v>
      </c>
      <c r="C371" s="30"/>
      <c r="D371" s="30">
        <v>5.98</v>
      </c>
      <c r="E371" s="30"/>
      <c r="F371" s="30">
        <v>30.95</v>
      </c>
      <c r="G371" s="30"/>
      <c r="H371" s="30"/>
      <c r="I371" s="30"/>
      <c r="J371" s="30"/>
      <c r="K371" s="30"/>
    </row>
    <row r="372" ht="15.75" customHeight="1" spans="1:11">
      <c r="A372" s="28">
        <v>46130</v>
      </c>
      <c r="B372" s="29">
        <v>46117</v>
      </c>
      <c r="C372" s="30"/>
      <c r="D372" s="54">
        <v>5.7</v>
      </c>
      <c r="E372" s="30"/>
      <c r="F372" s="30">
        <v>30.82</v>
      </c>
      <c r="G372" s="30"/>
      <c r="H372" s="30"/>
      <c r="I372" s="30"/>
      <c r="J372" s="30"/>
      <c r="K372" s="30"/>
    </row>
    <row r="373" ht="15.75" customHeight="1" spans="1:11">
      <c r="A373" s="28">
        <v>46130</v>
      </c>
      <c r="B373" s="29">
        <v>46118</v>
      </c>
      <c r="C373" s="30"/>
      <c r="D373" s="30">
        <v>5.61</v>
      </c>
      <c r="E373" s="30"/>
      <c r="F373" s="54">
        <v>31.1</v>
      </c>
      <c r="G373" s="30"/>
      <c r="H373" s="30"/>
      <c r="I373" s="30"/>
      <c r="J373" s="30"/>
      <c r="K373" s="30"/>
    </row>
    <row r="374" ht="15.75" customHeight="1" spans="1:11">
      <c r="A374" s="28">
        <v>46130</v>
      </c>
      <c r="B374" s="29">
        <v>46119</v>
      </c>
      <c r="C374" s="30"/>
      <c r="D374" s="30">
        <v>4.14</v>
      </c>
      <c r="E374" s="30"/>
      <c r="F374" s="30">
        <v>30.53</v>
      </c>
      <c r="G374" s="30"/>
      <c r="H374" s="30"/>
      <c r="I374" s="30"/>
      <c r="J374" s="30"/>
      <c r="K374" s="30"/>
    </row>
    <row r="375" ht="15.75" customHeight="1" spans="1:11">
      <c r="A375" s="28">
        <v>46130</v>
      </c>
      <c r="B375" s="29">
        <v>46120</v>
      </c>
      <c r="C375" s="30"/>
      <c r="D375">
        <v>5.52</v>
      </c>
      <c r="E375" s="30"/>
      <c r="F375">
        <v>31.27</v>
      </c>
      <c r="G375" s="30"/>
      <c r="H375" s="30"/>
      <c r="I375" s="30"/>
      <c r="J375" s="30"/>
      <c r="K375" s="30"/>
    </row>
    <row r="376" ht="15.75" customHeight="1" spans="1:11">
      <c r="A376" s="28">
        <v>46130</v>
      </c>
      <c r="B376" s="29">
        <v>46121</v>
      </c>
      <c r="C376" s="30"/>
      <c r="D376" s="30">
        <v>5.55</v>
      </c>
      <c r="E376" s="30"/>
      <c r="F376" s="30">
        <v>32.61</v>
      </c>
      <c r="G376" s="30"/>
      <c r="H376" s="30"/>
      <c r="I376" s="30"/>
      <c r="J376" s="30"/>
      <c r="K376" s="30"/>
    </row>
    <row r="377" ht="15.75" customHeight="1" spans="1:11">
      <c r="A377" s="28">
        <v>46130</v>
      </c>
      <c r="B377" s="29">
        <v>46122</v>
      </c>
      <c r="C377" s="30"/>
      <c r="D377" s="30">
        <v>5.43</v>
      </c>
      <c r="E377" s="30"/>
      <c r="F377" s="30">
        <v>33.7</v>
      </c>
      <c r="G377" s="30"/>
      <c r="H377" s="30"/>
      <c r="I377" s="30"/>
      <c r="J377" s="30"/>
      <c r="K377" s="30"/>
    </row>
    <row r="378" ht="15.75" customHeight="1" spans="1:11">
      <c r="A378" s="28">
        <v>46130</v>
      </c>
      <c r="B378" s="29">
        <v>46123</v>
      </c>
      <c r="C378" s="30"/>
      <c r="D378" s="30">
        <v>5.41</v>
      </c>
      <c r="E378" s="30"/>
      <c r="F378" s="30">
        <v>34.87</v>
      </c>
      <c r="G378" s="30"/>
      <c r="H378" s="30"/>
      <c r="I378" s="30"/>
      <c r="J378" s="30"/>
      <c r="K378" s="30"/>
    </row>
    <row r="379" ht="15.75" customHeight="1" spans="1:11">
      <c r="A379" s="28">
        <v>46130</v>
      </c>
      <c r="B379" s="29">
        <v>46124</v>
      </c>
      <c r="C379" s="30"/>
      <c r="D379" s="30">
        <v>5.5</v>
      </c>
      <c r="E379" s="30"/>
      <c r="F379" s="30">
        <v>35.55</v>
      </c>
      <c r="G379" s="30"/>
      <c r="H379" s="30"/>
      <c r="I379" s="30"/>
      <c r="J379" s="30"/>
      <c r="K379" s="30"/>
    </row>
    <row r="380" ht="15.75" customHeight="1" spans="1:11">
      <c r="A380" s="28">
        <v>46130</v>
      </c>
      <c r="B380" s="29">
        <v>46125</v>
      </c>
      <c r="C380" s="30"/>
      <c r="D380" s="30">
        <v>5.55</v>
      </c>
      <c r="E380" s="30"/>
      <c r="F380" s="30">
        <v>36.34</v>
      </c>
      <c r="G380" s="30"/>
      <c r="H380" s="30"/>
      <c r="I380" s="30"/>
      <c r="J380" s="30"/>
      <c r="K380" s="30"/>
    </row>
    <row r="381" ht="15.75" customHeight="1" spans="1:11">
      <c r="A381" s="28">
        <v>46130</v>
      </c>
      <c r="B381" s="29">
        <v>46126</v>
      </c>
      <c r="C381" s="30"/>
      <c r="D381" s="30">
        <v>5.76</v>
      </c>
      <c r="E381" s="30"/>
      <c r="F381" s="30">
        <v>35.53</v>
      </c>
      <c r="G381" s="30"/>
      <c r="H381" s="30"/>
      <c r="I381" s="30"/>
      <c r="J381" s="30"/>
      <c r="K381" s="30"/>
    </row>
    <row r="382" ht="15.75" customHeight="1" spans="1:11">
      <c r="A382" s="28">
        <v>46130</v>
      </c>
      <c r="B382" s="29">
        <v>46127</v>
      </c>
      <c r="C382" s="30"/>
      <c r="D382" s="30">
        <v>5.87</v>
      </c>
      <c r="E382" s="30"/>
      <c r="F382" s="30">
        <v>33.59</v>
      </c>
      <c r="G382" s="30"/>
      <c r="H382" s="30"/>
      <c r="I382" s="30"/>
      <c r="J382" s="30"/>
      <c r="K382" s="30"/>
    </row>
    <row r="383" ht="15.75" customHeight="1" spans="1:11">
      <c r="A383" s="28">
        <v>46130</v>
      </c>
      <c r="B383" s="29">
        <v>46128</v>
      </c>
      <c r="C383" s="30"/>
      <c r="D383" s="30">
        <v>5.74</v>
      </c>
      <c r="E383" s="30"/>
      <c r="F383" s="30">
        <v>34.76</v>
      </c>
      <c r="G383" s="30"/>
      <c r="H383" s="30"/>
      <c r="I383" s="30"/>
      <c r="J383" s="30"/>
      <c r="K383" s="30"/>
    </row>
    <row r="384" ht="15.75" customHeight="1" spans="1:11">
      <c r="A384" s="28">
        <v>46130</v>
      </c>
      <c r="B384" s="29">
        <v>46129</v>
      </c>
      <c r="C384" s="30"/>
      <c r="D384" s="30">
        <v>4.73</v>
      </c>
      <c r="E384" s="30"/>
      <c r="F384" s="30">
        <v>34.53</v>
      </c>
      <c r="G384" s="30"/>
      <c r="H384" s="30"/>
      <c r="I384" s="30"/>
      <c r="J384" s="30"/>
      <c r="K384" s="30"/>
    </row>
    <row r="385" ht="15.75" customHeight="1" spans="1:11">
      <c r="A385" s="28">
        <v>46130</v>
      </c>
      <c r="B385" s="29">
        <v>46130</v>
      </c>
      <c r="C385" s="30"/>
      <c r="D385" s="30">
        <v>5.69</v>
      </c>
      <c r="E385" s="30"/>
      <c r="F385" s="30">
        <v>35.6</v>
      </c>
      <c r="G385" s="30"/>
      <c r="H385" s="30"/>
      <c r="I385" s="30"/>
      <c r="J385" s="30"/>
      <c r="K385" s="30"/>
    </row>
    <row r="386" ht="15.75" customHeight="1" spans="1:11">
      <c r="A386" s="28">
        <v>46130</v>
      </c>
      <c r="B386" s="29">
        <v>46131</v>
      </c>
      <c r="C386" s="30"/>
      <c r="D386" s="30">
        <v>5.61</v>
      </c>
      <c r="E386" s="30"/>
      <c r="F386" s="30">
        <v>33.54</v>
      </c>
      <c r="G386" s="30"/>
      <c r="H386" s="30"/>
      <c r="I386" s="30"/>
      <c r="J386" s="30"/>
      <c r="K386" s="30"/>
    </row>
    <row r="387" ht="15.75" customHeight="1" spans="1:11">
      <c r="A387" s="28">
        <v>46130</v>
      </c>
      <c r="B387" s="29">
        <v>46132</v>
      </c>
      <c r="C387" s="30"/>
      <c r="D387" s="30">
        <v>5.66</v>
      </c>
      <c r="E387" s="30"/>
      <c r="F387" s="30">
        <v>34.95</v>
      </c>
      <c r="G387" s="30"/>
      <c r="H387" s="30"/>
      <c r="I387" s="30"/>
      <c r="J387" s="30"/>
      <c r="K387" s="30"/>
    </row>
    <row r="388" ht="15.75" customHeight="1" spans="1:11">
      <c r="A388" s="28">
        <v>46130</v>
      </c>
      <c r="B388" s="29">
        <v>46133</v>
      </c>
      <c r="C388" s="30"/>
      <c r="D388" s="54">
        <v>5.7</v>
      </c>
      <c r="E388" s="30"/>
      <c r="F388" s="30">
        <v>34.93</v>
      </c>
      <c r="G388" s="30"/>
      <c r="H388" s="30"/>
      <c r="I388" s="30"/>
      <c r="J388" s="30"/>
      <c r="K388" s="30"/>
    </row>
    <row r="389" ht="15.75" customHeight="1" spans="1:11">
      <c r="A389" s="28">
        <v>46130</v>
      </c>
      <c r="B389" s="29">
        <v>46134</v>
      </c>
      <c r="C389" s="30"/>
      <c r="D389" s="30">
        <v>5.68</v>
      </c>
      <c r="E389" s="30"/>
      <c r="F389" s="30">
        <v>33.63</v>
      </c>
      <c r="G389" s="30"/>
      <c r="H389" s="30"/>
      <c r="I389" s="30"/>
      <c r="J389" s="30"/>
      <c r="K389" s="30"/>
    </row>
    <row r="390" ht="15.75" customHeight="1" spans="1:11">
      <c r="A390" s="28">
        <v>46130</v>
      </c>
      <c r="B390" s="29">
        <v>46135</v>
      </c>
      <c r="C390" s="30"/>
      <c r="D390" s="30">
        <v>5.61</v>
      </c>
      <c r="E390" s="30"/>
      <c r="F390" s="30">
        <v>35.62</v>
      </c>
      <c r="G390" s="30"/>
      <c r="H390" s="30"/>
      <c r="I390" s="30"/>
      <c r="J390" s="30"/>
      <c r="K390" s="30"/>
    </row>
    <row r="391" ht="15.75" customHeight="1" spans="1:11">
      <c r="A391" s="28">
        <v>46130</v>
      </c>
      <c r="B391" s="29">
        <v>46136</v>
      </c>
      <c r="C391" s="30"/>
      <c r="D391" s="30">
        <v>5.86</v>
      </c>
      <c r="E391" s="30"/>
      <c r="F391" s="30">
        <v>36.08</v>
      </c>
      <c r="G391" s="30"/>
      <c r="H391" s="30"/>
      <c r="I391" s="30"/>
      <c r="J391" s="30"/>
      <c r="K391" s="30"/>
    </row>
    <row r="392" ht="15.75" customHeight="1" spans="1:11">
      <c r="A392" s="28">
        <v>46130</v>
      </c>
      <c r="B392" s="29">
        <v>46137</v>
      </c>
      <c r="C392" s="30"/>
      <c r="D392" s="30">
        <v>5.73</v>
      </c>
      <c r="E392" s="30"/>
      <c r="F392" s="30">
        <v>36.81</v>
      </c>
      <c r="G392" s="30"/>
      <c r="H392" s="30"/>
      <c r="I392" s="30"/>
      <c r="J392" s="30"/>
      <c r="K392" s="30"/>
    </row>
    <row r="393" ht="15.75" customHeight="1" spans="1:11">
      <c r="A393" s="28">
        <v>46130</v>
      </c>
      <c r="B393" s="29">
        <v>46138</v>
      </c>
      <c r="C393" s="30"/>
      <c r="D393" s="30">
        <v>5.58</v>
      </c>
      <c r="E393" s="30"/>
      <c r="F393" s="30">
        <v>38.26</v>
      </c>
      <c r="G393" s="30"/>
      <c r="H393" s="30"/>
      <c r="I393" s="30"/>
      <c r="J393" s="30"/>
      <c r="K393" s="30"/>
    </row>
    <row r="394" ht="15.75" customHeight="1" spans="1:11">
      <c r="A394" s="28">
        <v>46130</v>
      </c>
      <c r="B394" s="29">
        <v>46139</v>
      </c>
      <c r="C394" s="30"/>
      <c r="D394" s="30">
        <v>5.58</v>
      </c>
      <c r="E394" s="30"/>
      <c r="F394" s="30">
        <v>37.28</v>
      </c>
      <c r="G394" s="30"/>
      <c r="H394" s="30"/>
      <c r="I394" s="30"/>
      <c r="J394" s="30"/>
      <c r="K394" s="30"/>
    </row>
    <row r="395" ht="15.75" customHeight="1" spans="1:11">
      <c r="A395" s="28">
        <v>46130</v>
      </c>
      <c r="B395" s="29">
        <v>46140</v>
      </c>
      <c r="C395" s="30"/>
      <c r="D395" s="30">
        <v>5.74</v>
      </c>
      <c r="E395" s="30"/>
      <c r="F395" s="30">
        <v>36.48</v>
      </c>
      <c r="G395" s="30"/>
      <c r="H395" s="30"/>
      <c r="I395" s="30"/>
      <c r="J395" s="30"/>
      <c r="K395" s="30"/>
    </row>
    <row r="396" ht="15.75" customHeight="1" spans="1:11">
      <c r="A396" s="28">
        <v>46130</v>
      </c>
      <c r="B396" s="29">
        <v>46141</v>
      </c>
      <c r="C396" s="30"/>
      <c r="D396" s="54">
        <v>5.8</v>
      </c>
      <c r="E396" s="30"/>
      <c r="F396" s="30">
        <v>36.04</v>
      </c>
      <c r="G396" s="30"/>
      <c r="H396" s="30"/>
      <c r="I396" s="30"/>
      <c r="J396" s="30"/>
      <c r="K396" s="30"/>
    </row>
    <row r="397" ht="15.75" customHeight="1" spans="1:11">
      <c r="A397" s="28">
        <v>46130</v>
      </c>
      <c r="B397" s="29">
        <v>46142</v>
      </c>
      <c r="C397" s="30"/>
      <c r="D397" s="30">
        <v>5.65</v>
      </c>
      <c r="E397" s="30"/>
      <c r="F397" s="30">
        <v>34.77</v>
      </c>
      <c r="G397" s="30"/>
      <c r="H397" s="30"/>
      <c r="I397" s="30"/>
      <c r="J397" s="30"/>
      <c r="K397" s="30"/>
    </row>
    <row r="398" ht="15.75" customHeight="1" spans="1:11">
      <c r="A398" s="50">
        <v>46143</v>
      </c>
      <c r="B398" s="29">
        <v>46143</v>
      </c>
      <c r="C398" s="30"/>
      <c r="D398" s="30">
        <v>5.68</v>
      </c>
      <c r="E398" s="30"/>
      <c r="F398" s="30">
        <v>34.83</v>
      </c>
      <c r="G398" s="30"/>
      <c r="H398" s="30"/>
      <c r="I398" s="30"/>
      <c r="J398" s="30"/>
      <c r="K398" s="30"/>
    </row>
    <row r="399" ht="15.75" customHeight="1" spans="1:11">
      <c r="A399" s="50">
        <v>46144</v>
      </c>
      <c r="B399" s="29">
        <v>46144</v>
      </c>
      <c r="C399" s="30"/>
      <c r="D399" s="30">
        <v>5.85</v>
      </c>
      <c r="E399" s="30"/>
      <c r="F399" s="30">
        <v>35.32</v>
      </c>
      <c r="G399" s="30"/>
      <c r="H399" s="30"/>
      <c r="I399" s="30"/>
      <c r="J399" s="30"/>
      <c r="K399" s="30"/>
    </row>
    <row r="400" ht="15.75" customHeight="1" spans="1:11">
      <c r="A400" s="50">
        <v>46145</v>
      </c>
      <c r="B400" s="29">
        <v>46145</v>
      </c>
      <c r="C400" s="30"/>
      <c r="D400" s="30">
        <v>5.92</v>
      </c>
      <c r="E400" s="30"/>
      <c r="F400" s="30">
        <v>34.63</v>
      </c>
      <c r="G400" s="30"/>
      <c r="H400" s="30"/>
      <c r="I400" s="30"/>
      <c r="J400" s="30"/>
      <c r="K400" s="30"/>
    </row>
    <row r="401" ht="15.75" customHeight="1" spans="1:11">
      <c r="A401" s="50">
        <v>46146</v>
      </c>
      <c r="B401" s="29">
        <v>46146</v>
      </c>
      <c r="C401" s="30"/>
      <c r="D401" s="30">
        <v>5.77</v>
      </c>
      <c r="E401" s="30"/>
      <c r="F401" s="30">
        <v>34.24</v>
      </c>
      <c r="G401" s="30"/>
      <c r="H401" s="30"/>
      <c r="I401" s="30"/>
      <c r="J401" s="30"/>
      <c r="K401" s="30"/>
    </row>
    <row r="402" ht="15.75" customHeight="1" spans="1:11">
      <c r="A402" s="50">
        <v>46147</v>
      </c>
      <c r="B402" s="29">
        <v>46147</v>
      </c>
      <c r="C402" s="30"/>
      <c r="D402" s="30">
        <v>5.76</v>
      </c>
      <c r="E402" s="30"/>
      <c r="F402" s="30">
        <v>35</v>
      </c>
      <c r="G402" s="30"/>
      <c r="H402" s="30"/>
      <c r="I402" s="30"/>
      <c r="J402" s="30"/>
      <c r="K402" s="30"/>
    </row>
    <row r="403" ht="15.75" customHeight="1" spans="1:11">
      <c r="A403" s="50">
        <v>46148</v>
      </c>
      <c r="B403" s="29">
        <v>46148</v>
      </c>
      <c r="C403" s="30"/>
      <c r="D403" s="30">
        <v>5.72</v>
      </c>
      <c r="E403" s="30"/>
      <c r="F403" s="30">
        <v>35.53</v>
      </c>
      <c r="G403" s="30"/>
      <c r="H403" s="30"/>
      <c r="I403" s="30"/>
      <c r="J403" s="30"/>
      <c r="K403" s="30"/>
    </row>
    <row r="404" ht="15.75" customHeight="1" spans="1:11">
      <c r="A404" s="50">
        <v>46149</v>
      </c>
      <c r="B404" s="29">
        <v>46149</v>
      </c>
      <c r="C404" s="30"/>
      <c r="D404" s="30">
        <v>5.81</v>
      </c>
      <c r="E404" s="30"/>
      <c r="F404" s="30">
        <v>36.51</v>
      </c>
      <c r="G404" s="30"/>
      <c r="H404" s="30"/>
      <c r="I404" s="30"/>
      <c r="J404" s="30"/>
      <c r="K404" s="30"/>
    </row>
    <row r="405" ht="15.75" customHeight="1" spans="1:11">
      <c r="A405" s="50">
        <v>46150</v>
      </c>
      <c r="B405" s="29">
        <v>46150</v>
      </c>
      <c r="C405" s="30"/>
      <c r="D405" s="30">
        <v>5.79</v>
      </c>
      <c r="E405" s="30"/>
      <c r="F405" s="30">
        <v>36.53</v>
      </c>
      <c r="G405" s="30"/>
      <c r="H405" s="30"/>
      <c r="I405" s="30"/>
      <c r="J405" s="30"/>
      <c r="K405" s="30"/>
    </row>
    <row r="406" ht="15.75" customHeight="1" spans="1:11">
      <c r="A406" s="50">
        <v>46151</v>
      </c>
      <c r="B406" s="29">
        <v>46151</v>
      </c>
      <c r="C406" s="30"/>
      <c r="D406" s="30">
        <v>5.88</v>
      </c>
      <c r="E406" s="30"/>
      <c r="F406" s="30">
        <v>36.97</v>
      </c>
      <c r="G406" s="30"/>
      <c r="H406" s="30"/>
      <c r="I406" s="30"/>
      <c r="J406" s="30"/>
      <c r="K406" s="30"/>
    </row>
    <row r="407" ht="15.75" customHeight="1" spans="1:11">
      <c r="A407" s="50">
        <v>46152</v>
      </c>
      <c r="B407" s="29">
        <v>46152</v>
      </c>
      <c r="C407" s="30"/>
      <c r="D407" s="30">
        <v>5.98</v>
      </c>
      <c r="E407" s="30"/>
      <c r="F407" s="30">
        <v>37.51</v>
      </c>
      <c r="G407" s="30"/>
      <c r="H407" s="30"/>
      <c r="I407" s="30"/>
      <c r="J407" s="30"/>
      <c r="K407" s="30"/>
    </row>
    <row r="408" ht="15.75" customHeight="1" spans="1:11">
      <c r="A408" s="50">
        <v>46153</v>
      </c>
      <c r="B408" s="29">
        <v>46153</v>
      </c>
      <c r="C408" s="30"/>
      <c r="D408" s="30">
        <v>5.95</v>
      </c>
      <c r="E408" s="30"/>
      <c r="F408" s="30">
        <v>37.51</v>
      </c>
      <c r="G408" s="30"/>
      <c r="H408" s="30"/>
      <c r="I408" s="30"/>
      <c r="J408" s="30"/>
      <c r="K408" s="30"/>
    </row>
    <row r="409" ht="15.75" customHeight="1" spans="1:11">
      <c r="A409" s="50">
        <v>46154</v>
      </c>
      <c r="B409" s="29">
        <v>46154</v>
      </c>
      <c r="C409" s="30"/>
      <c r="D409" s="30">
        <v>5.77</v>
      </c>
      <c r="E409" s="30"/>
      <c r="F409" s="30">
        <v>36.85</v>
      </c>
      <c r="G409" s="30"/>
      <c r="H409" s="30"/>
      <c r="I409" s="30"/>
      <c r="J409" s="30"/>
      <c r="K409" s="30"/>
    </row>
    <row r="410" ht="15.75" customHeight="1" spans="1:11">
      <c r="A410" s="50">
        <v>46155</v>
      </c>
      <c r="B410" s="29">
        <v>46155</v>
      </c>
      <c r="C410" s="30"/>
      <c r="D410" s="30">
        <v>0.11</v>
      </c>
      <c r="E410" s="30"/>
      <c r="F410" s="30">
        <v>35.33</v>
      </c>
      <c r="G410" s="30"/>
      <c r="H410" s="30"/>
      <c r="I410" s="30"/>
      <c r="J410" s="30"/>
      <c r="K410" s="30"/>
    </row>
    <row r="411" ht="15.75" customHeight="1" spans="1:11">
      <c r="A411" s="50">
        <v>46156</v>
      </c>
      <c r="B411" s="29">
        <v>46156</v>
      </c>
      <c r="C411" s="30"/>
      <c r="D411" s="30">
        <v>5.88</v>
      </c>
      <c r="E411" s="30"/>
      <c r="F411" s="30">
        <v>36.59</v>
      </c>
      <c r="G411" s="30"/>
      <c r="H411" s="30"/>
      <c r="I411" s="30"/>
      <c r="J411" s="30"/>
      <c r="K411" s="30"/>
    </row>
    <row r="412" ht="15.75" customHeight="1" spans="1:11">
      <c r="A412" s="50">
        <v>46157</v>
      </c>
      <c r="B412" s="29">
        <v>46157</v>
      </c>
      <c r="C412" s="30"/>
      <c r="D412" s="30">
        <v>5.69</v>
      </c>
      <c r="E412" s="30"/>
      <c r="F412" s="30">
        <v>34.16</v>
      </c>
      <c r="G412" s="30"/>
      <c r="H412" s="30"/>
      <c r="I412" s="30"/>
      <c r="J412" s="30"/>
      <c r="K412" s="30"/>
    </row>
    <row r="413" ht="15.75" customHeight="1" spans="1:11">
      <c r="A413" s="50">
        <v>46158</v>
      </c>
      <c r="B413" s="29">
        <v>46158</v>
      </c>
      <c r="C413" s="30"/>
      <c r="D413" s="30">
        <v>6.02</v>
      </c>
      <c r="E413" s="30"/>
      <c r="F413" s="30">
        <v>36.18</v>
      </c>
      <c r="G413" s="30"/>
      <c r="H413" s="30"/>
      <c r="I413" s="30"/>
      <c r="J413" s="30"/>
      <c r="K413" s="30"/>
    </row>
    <row r="414" ht="15.75" customHeight="1" spans="1:11">
      <c r="A414" s="50">
        <v>46159</v>
      </c>
      <c r="B414" s="29">
        <v>46159</v>
      </c>
      <c r="C414" s="30"/>
      <c r="D414" s="30">
        <v>6.06</v>
      </c>
      <c r="E414" s="30"/>
      <c r="F414" s="30">
        <v>36.59</v>
      </c>
      <c r="G414" s="30"/>
      <c r="H414" s="30"/>
      <c r="I414" s="30"/>
      <c r="J414" s="30"/>
      <c r="K414" s="30"/>
    </row>
    <row r="415" ht="15.75" customHeight="1" spans="1:11">
      <c r="A415" s="50">
        <v>46160</v>
      </c>
      <c r="B415" s="29">
        <v>46160</v>
      </c>
      <c r="C415" s="30"/>
      <c r="D415" s="30">
        <v>5.85</v>
      </c>
      <c r="E415" s="30"/>
      <c r="F415" s="30">
        <v>35.86</v>
      </c>
      <c r="G415" s="30"/>
      <c r="H415" s="30"/>
      <c r="I415" s="30"/>
      <c r="J415" s="30"/>
      <c r="K415" s="30"/>
    </row>
    <row r="416" ht="15.75" customHeight="1" spans="1:11">
      <c r="A416" s="50">
        <v>46161</v>
      </c>
      <c r="B416" s="29">
        <v>46161</v>
      </c>
      <c r="C416" s="30"/>
      <c r="D416" s="30">
        <v>6.11</v>
      </c>
      <c r="E416" s="30"/>
      <c r="F416" s="30">
        <v>35.36</v>
      </c>
      <c r="G416" s="30"/>
      <c r="H416" s="30"/>
      <c r="I416" s="30"/>
      <c r="J416" s="30"/>
      <c r="K416" s="30"/>
    </row>
    <row r="417" ht="15.75" customHeight="1" spans="1:11">
      <c r="A417" s="50">
        <v>46162</v>
      </c>
      <c r="B417" s="29">
        <v>46162</v>
      </c>
      <c r="C417" s="30"/>
      <c r="D417" s="30">
        <v>5.89</v>
      </c>
      <c r="E417" s="30"/>
      <c r="F417" s="30">
        <v>35</v>
      </c>
      <c r="G417" s="30"/>
      <c r="H417" s="30"/>
      <c r="I417" s="30"/>
      <c r="J417" s="30"/>
      <c r="K417" s="30"/>
    </row>
    <row r="418" ht="15.75" customHeight="1" spans="1:11">
      <c r="A418" s="50">
        <v>46163</v>
      </c>
      <c r="B418" s="29">
        <v>46163</v>
      </c>
      <c r="C418" s="30"/>
      <c r="D418" s="30">
        <v>5.55</v>
      </c>
      <c r="E418" s="30"/>
      <c r="F418" s="30">
        <v>36.32</v>
      </c>
      <c r="G418" s="30"/>
      <c r="H418" s="30"/>
      <c r="I418" s="30"/>
      <c r="J418" s="30"/>
      <c r="K418" s="30"/>
    </row>
    <row r="419" ht="15.75" customHeight="1" spans="1:11">
      <c r="A419" s="50">
        <v>46164</v>
      </c>
      <c r="B419" s="29">
        <v>46164</v>
      </c>
      <c r="C419" s="30"/>
      <c r="D419" s="30">
        <v>5.82</v>
      </c>
      <c r="E419" s="30"/>
      <c r="F419" s="30">
        <v>37.12</v>
      </c>
      <c r="G419" s="30"/>
      <c r="H419" s="30"/>
      <c r="I419" s="30"/>
      <c r="J419" s="30"/>
      <c r="K419" s="30"/>
    </row>
    <row r="420" ht="15.75" customHeight="1" spans="1:11">
      <c r="A420" s="50">
        <v>46165</v>
      </c>
      <c r="B420" s="29">
        <v>46165</v>
      </c>
      <c r="C420" s="30"/>
      <c r="D420" s="30">
        <v>5.36</v>
      </c>
      <c r="E420" s="30"/>
      <c r="F420" s="30">
        <v>36.24</v>
      </c>
      <c r="G420" s="30"/>
      <c r="H420" s="30"/>
      <c r="I420" s="30"/>
      <c r="J420" s="30"/>
      <c r="K420" s="30"/>
    </row>
    <row r="421" ht="15.75" customHeight="1" spans="1:11">
      <c r="A421" s="50">
        <v>46166</v>
      </c>
      <c r="B421" s="29">
        <v>46166</v>
      </c>
      <c r="C421" s="30"/>
      <c r="D421" s="30">
        <v>5.26</v>
      </c>
      <c r="E421" s="30"/>
      <c r="F421" s="30">
        <v>34.75</v>
      </c>
      <c r="G421" s="30"/>
      <c r="H421" s="30"/>
      <c r="I421" s="30"/>
      <c r="J421" s="30"/>
      <c r="K421" s="30"/>
    </row>
    <row r="422" ht="15.75" customHeight="1" spans="1:11">
      <c r="A422" s="50">
        <v>46167</v>
      </c>
      <c r="B422" s="29">
        <v>46167</v>
      </c>
      <c r="C422" s="30"/>
      <c r="D422" s="30">
        <v>5.83</v>
      </c>
      <c r="E422" s="30"/>
      <c r="F422" s="30">
        <v>34.73</v>
      </c>
      <c r="G422" s="30"/>
      <c r="H422" s="30"/>
      <c r="I422" s="30"/>
      <c r="J422" s="30"/>
      <c r="K422" s="30"/>
    </row>
    <row r="423" ht="15.75" customHeight="1" spans="1:11">
      <c r="A423" s="50">
        <v>46168</v>
      </c>
      <c r="B423" s="29">
        <v>46168</v>
      </c>
      <c r="C423" s="30"/>
      <c r="D423" s="54">
        <v>5.9</v>
      </c>
      <c r="E423" s="30"/>
      <c r="F423" s="30">
        <v>35</v>
      </c>
      <c r="G423" s="30"/>
      <c r="H423" s="30"/>
      <c r="I423" s="30"/>
      <c r="J423" s="30"/>
      <c r="K423" s="30"/>
    </row>
    <row r="424" ht="15.75" customHeight="1" spans="1:11">
      <c r="A424" s="50">
        <v>46169</v>
      </c>
      <c r="B424" s="29">
        <v>46169</v>
      </c>
      <c r="C424" s="30"/>
      <c r="D424" s="30">
        <v>5.91</v>
      </c>
      <c r="E424" s="30"/>
      <c r="F424" s="30">
        <v>35.05</v>
      </c>
      <c r="G424" s="30"/>
      <c r="H424" s="30"/>
      <c r="I424" s="30"/>
      <c r="J424" s="30"/>
      <c r="K424" s="30"/>
    </row>
    <row r="425" ht="15.75" customHeight="1" spans="1:11">
      <c r="A425" s="50">
        <v>46170</v>
      </c>
      <c r="B425" s="29">
        <v>46170</v>
      </c>
      <c r="C425" s="30"/>
      <c r="D425" s="30">
        <v>5.84</v>
      </c>
      <c r="E425" s="30"/>
      <c r="F425" s="30">
        <v>35</v>
      </c>
      <c r="G425" s="30"/>
      <c r="H425" s="30"/>
      <c r="I425" s="30"/>
      <c r="J425" s="30"/>
      <c r="K425" s="30"/>
    </row>
    <row r="426" ht="15.75" customHeight="1" spans="1:11">
      <c r="A426" s="50">
        <v>46171</v>
      </c>
      <c r="B426" s="29">
        <v>46171</v>
      </c>
      <c r="C426" s="30"/>
      <c r="D426" s="30">
        <v>5.74</v>
      </c>
      <c r="E426" s="30"/>
      <c r="F426" s="30">
        <v>33.82</v>
      </c>
      <c r="G426" s="30"/>
      <c r="H426" s="30"/>
      <c r="I426" s="30"/>
      <c r="J426" s="30"/>
      <c r="K426" s="30"/>
    </row>
    <row r="427" ht="15.75" customHeight="1" spans="1:11">
      <c r="A427" s="50">
        <v>46172</v>
      </c>
      <c r="B427" s="29">
        <v>46172</v>
      </c>
      <c r="C427" s="30"/>
      <c r="D427" s="30">
        <v>5.35</v>
      </c>
      <c r="E427" s="30"/>
      <c r="F427" s="30">
        <v>34.31</v>
      </c>
      <c r="G427" s="30"/>
      <c r="H427" s="30"/>
      <c r="I427" s="30"/>
      <c r="J427" s="30"/>
      <c r="K427" s="30"/>
    </row>
    <row r="428" ht="15.75" customHeight="1" spans="1:11">
      <c r="A428" s="50">
        <v>46173</v>
      </c>
      <c r="B428" s="55">
        <v>46173</v>
      </c>
      <c r="C428" s="30"/>
      <c r="D428" s="30">
        <v>4.28</v>
      </c>
      <c r="E428" s="30"/>
      <c r="F428" s="30">
        <v>33.04</v>
      </c>
      <c r="G428" s="30"/>
      <c r="H428" s="30"/>
      <c r="I428" s="30"/>
      <c r="J428" s="30"/>
      <c r="K428" s="30"/>
    </row>
    <row r="429" ht="15.75" customHeight="1" spans="1:11">
      <c r="A429" s="50">
        <v>46174</v>
      </c>
      <c r="B429" s="55">
        <v>46174</v>
      </c>
      <c r="C429" s="30"/>
      <c r="D429" s="30">
        <v>4.68</v>
      </c>
      <c r="E429" s="30"/>
      <c r="F429" s="30">
        <v>34.25</v>
      </c>
      <c r="G429" s="30"/>
      <c r="H429" s="30"/>
      <c r="I429" s="30"/>
      <c r="J429" s="30"/>
      <c r="K429" s="30"/>
    </row>
    <row r="430" ht="15.75" customHeight="1" spans="1:11">
      <c r="A430" s="50">
        <v>46175</v>
      </c>
      <c r="B430" s="55">
        <v>46175</v>
      </c>
      <c r="C430" s="30"/>
      <c r="D430" s="30">
        <v>4.16</v>
      </c>
      <c r="E430" s="30"/>
      <c r="F430" s="30">
        <v>33.46</v>
      </c>
      <c r="G430" s="30"/>
      <c r="H430" s="30"/>
      <c r="I430" s="30"/>
      <c r="J430" s="30"/>
      <c r="K430" s="30"/>
    </row>
    <row r="431" ht="15.75" customHeight="1" spans="1:11">
      <c r="A431" s="50">
        <v>46176</v>
      </c>
      <c r="B431" s="55">
        <v>46176</v>
      </c>
      <c r="C431" s="30"/>
      <c r="D431" s="30">
        <v>5.76</v>
      </c>
      <c r="E431" s="30"/>
      <c r="F431" s="30">
        <v>35.47</v>
      </c>
      <c r="G431" s="30"/>
      <c r="H431" s="30"/>
      <c r="I431" s="30"/>
      <c r="J431" s="30"/>
      <c r="K431" s="30"/>
    </row>
    <row r="432" ht="15.75" customHeight="1" spans="1:11">
      <c r="A432" s="50">
        <v>46177</v>
      </c>
      <c r="B432" s="55">
        <v>46177</v>
      </c>
      <c r="C432" s="30"/>
      <c r="D432" s="30">
        <v>5.41</v>
      </c>
      <c r="E432" s="30"/>
      <c r="F432" s="30">
        <v>34.19</v>
      </c>
      <c r="G432" s="30"/>
      <c r="H432" s="30"/>
      <c r="I432" s="30"/>
      <c r="J432" s="30"/>
      <c r="K432" s="30"/>
    </row>
    <row r="433" ht="15.75" customHeight="1" spans="1:11">
      <c r="A433" s="50">
        <v>46178</v>
      </c>
      <c r="B433" s="55">
        <v>46178</v>
      </c>
      <c r="C433" s="30"/>
      <c r="D433" s="30">
        <v>3.66</v>
      </c>
      <c r="E433" s="30"/>
      <c r="F433" s="30">
        <v>34.09</v>
      </c>
      <c r="G433" s="30"/>
      <c r="H433" s="30"/>
      <c r="I433" s="30"/>
      <c r="J433" s="30"/>
      <c r="K433" s="30"/>
    </row>
    <row r="434" ht="15.75" customHeight="1" spans="1:11">
      <c r="A434" s="50">
        <v>46179</v>
      </c>
      <c r="B434" s="55">
        <v>46179</v>
      </c>
      <c r="C434" s="30"/>
      <c r="D434" s="30"/>
      <c r="E434" s="30"/>
      <c r="F434" s="30"/>
      <c r="G434" s="30"/>
      <c r="H434" s="30"/>
      <c r="I434" s="30"/>
      <c r="J434" s="30"/>
      <c r="K434" s="30"/>
    </row>
    <row r="435" ht="15.75" customHeight="1" spans="1:11">
      <c r="A435" s="50">
        <v>46180</v>
      </c>
      <c r="B435" s="55">
        <v>46180</v>
      </c>
      <c r="C435" s="30"/>
      <c r="D435" s="30"/>
      <c r="E435" s="30"/>
      <c r="F435" s="30"/>
      <c r="G435" s="30"/>
      <c r="H435" s="30"/>
      <c r="I435" s="30"/>
      <c r="J435" s="30"/>
      <c r="K435" s="30"/>
    </row>
    <row r="436" ht="15.75" customHeight="1" spans="1:11">
      <c r="A436" s="50">
        <v>46181</v>
      </c>
      <c r="B436" s="55">
        <v>46181</v>
      </c>
      <c r="C436" s="30"/>
      <c r="D436" s="30"/>
      <c r="E436" s="30"/>
      <c r="F436" s="30"/>
      <c r="G436" s="30"/>
      <c r="H436" s="30"/>
      <c r="I436" s="30"/>
      <c r="J436" s="30"/>
      <c r="K436" s="30"/>
    </row>
    <row r="437" ht="15.75" customHeight="1" spans="1:11">
      <c r="A437" s="50">
        <v>46182</v>
      </c>
      <c r="B437" s="55">
        <v>46182</v>
      </c>
      <c r="C437" s="30"/>
      <c r="D437" s="30"/>
      <c r="E437" s="30"/>
      <c r="F437" s="30"/>
      <c r="G437" s="30"/>
      <c r="H437" s="30"/>
      <c r="I437" s="30"/>
      <c r="J437" s="30"/>
      <c r="K437" s="30"/>
    </row>
    <row r="438" ht="15.75" customHeight="1" spans="1:11">
      <c r="A438" s="50">
        <v>46183</v>
      </c>
      <c r="B438" s="55">
        <v>46183</v>
      </c>
      <c r="C438" s="30"/>
      <c r="D438" s="30"/>
      <c r="E438" s="30"/>
      <c r="F438" s="30"/>
      <c r="G438" s="30"/>
      <c r="H438" s="30"/>
      <c r="I438" s="30"/>
      <c r="J438" s="30"/>
      <c r="K438" s="30"/>
    </row>
    <row r="439" ht="15.75" customHeight="1" spans="1:11">
      <c r="A439" s="50">
        <v>46184</v>
      </c>
      <c r="B439" s="55">
        <v>46184</v>
      </c>
      <c r="C439" s="30"/>
      <c r="D439" s="30"/>
      <c r="E439" s="30"/>
      <c r="F439" s="30"/>
      <c r="G439" s="30"/>
      <c r="H439" s="30"/>
      <c r="I439" s="30"/>
      <c r="J439" s="30"/>
      <c r="K439" s="30"/>
    </row>
    <row r="440" ht="15.75" customHeight="1" spans="1:11">
      <c r="A440" s="50">
        <v>46185</v>
      </c>
      <c r="B440" s="55">
        <v>46185</v>
      </c>
      <c r="C440" s="30"/>
      <c r="D440" s="30"/>
      <c r="E440" s="30"/>
      <c r="F440" s="30"/>
      <c r="G440" s="30"/>
      <c r="H440" s="30"/>
      <c r="I440" s="30"/>
      <c r="J440" s="30"/>
      <c r="K440" s="30"/>
    </row>
    <row r="441" ht="15.75" customHeight="1" spans="1:11">
      <c r="A441" s="50">
        <v>46186</v>
      </c>
      <c r="B441" s="55">
        <v>46186</v>
      </c>
      <c r="C441" s="30"/>
      <c r="D441" s="30"/>
      <c r="E441" s="30"/>
      <c r="F441" s="30"/>
      <c r="G441" s="30"/>
      <c r="H441" s="30"/>
      <c r="I441" s="30"/>
      <c r="J441" s="30"/>
      <c r="K441" s="30"/>
    </row>
    <row r="442" ht="15.75" customHeight="1" spans="1:11">
      <c r="A442" s="50">
        <v>46187</v>
      </c>
      <c r="B442" s="55">
        <v>46187</v>
      </c>
      <c r="C442" s="30"/>
      <c r="D442" s="30"/>
      <c r="E442" s="30"/>
      <c r="F442" s="30"/>
      <c r="G442" s="30"/>
      <c r="H442" s="30"/>
      <c r="I442" s="30"/>
      <c r="J442" s="30"/>
      <c r="K442" s="30"/>
    </row>
    <row r="443" ht="15.75" customHeight="1" spans="1:11">
      <c r="A443" s="50">
        <v>46188</v>
      </c>
      <c r="B443" s="55">
        <v>46188</v>
      </c>
      <c r="C443" s="30"/>
      <c r="D443" s="30"/>
      <c r="E443" s="30"/>
      <c r="F443" s="30"/>
      <c r="G443" s="30"/>
      <c r="H443" s="30"/>
      <c r="I443" s="30"/>
      <c r="J443" s="30"/>
      <c r="K443" s="30"/>
    </row>
    <row r="444" ht="15.75" customHeight="1" spans="1:11">
      <c r="A444" s="50">
        <v>46189</v>
      </c>
      <c r="B444" s="55">
        <v>46189</v>
      </c>
      <c r="C444" s="30"/>
      <c r="D444" s="30"/>
      <c r="E444" s="30"/>
      <c r="F444" s="30"/>
      <c r="G444" s="30"/>
      <c r="H444" s="30"/>
      <c r="I444" s="30"/>
      <c r="J444" s="30"/>
      <c r="K444" s="30"/>
    </row>
    <row r="445" ht="15.75" customHeight="1" spans="1:11">
      <c r="A445" s="50">
        <v>46190</v>
      </c>
      <c r="B445" s="55">
        <v>46190</v>
      </c>
      <c r="C445" s="30"/>
      <c r="D445" s="30"/>
      <c r="E445" s="30"/>
      <c r="F445" s="30"/>
      <c r="G445" s="30"/>
      <c r="H445" s="30"/>
      <c r="I445" s="30"/>
      <c r="J445" s="30"/>
      <c r="K445" s="30"/>
    </row>
    <row r="446" ht="15.75" customHeight="1" spans="1:11">
      <c r="A446" s="50">
        <v>46191</v>
      </c>
      <c r="B446" s="55">
        <v>46191</v>
      </c>
      <c r="C446" s="30"/>
      <c r="D446" s="30"/>
      <c r="E446" s="30"/>
      <c r="F446" s="30"/>
      <c r="G446" s="30"/>
      <c r="H446" s="30"/>
      <c r="I446" s="30"/>
      <c r="J446" s="30"/>
      <c r="K446" s="30"/>
    </row>
    <row r="447" ht="15.75" customHeight="1" spans="1:11">
      <c r="A447" s="50">
        <v>46192</v>
      </c>
      <c r="B447" s="55">
        <v>46192</v>
      </c>
      <c r="C447" s="30"/>
      <c r="D447" s="30"/>
      <c r="E447" s="30"/>
      <c r="F447" s="30"/>
      <c r="G447" s="30"/>
      <c r="H447" s="30"/>
      <c r="I447" s="30"/>
      <c r="J447" s="30"/>
      <c r="K447" s="30"/>
    </row>
    <row r="448" ht="15.75" customHeight="1" spans="1:11">
      <c r="A448" s="50">
        <v>46193</v>
      </c>
      <c r="B448" s="55">
        <v>46193</v>
      </c>
      <c r="C448" s="30"/>
      <c r="D448" s="30"/>
      <c r="E448" s="30"/>
      <c r="F448" s="30"/>
      <c r="G448" s="30"/>
      <c r="H448" s="30"/>
      <c r="I448" s="30"/>
      <c r="J448" s="30"/>
      <c r="K448" s="30"/>
    </row>
    <row r="449" ht="15.75" customHeight="1" spans="1:11">
      <c r="A449" s="50">
        <v>46194</v>
      </c>
      <c r="B449" s="55">
        <v>46194</v>
      </c>
      <c r="C449" s="30"/>
      <c r="D449" s="30"/>
      <c r="E449" s="30"/>
      <c r="F449" s="30"/>
      <c r="G449" s="30"/>
      <c r="H449" s="30"/>
      <c r="I449" s="30"/>
      <c r="J449" s="30"/>
      <c r="K449" s="30"/>
    </row>
    <row r="450" ht="15.75" customHeight="1" spans="1:11">
      <c r="A450" s="50">
        <v>46195</v>
      </c>
      <c r="B450" s="55">
        <v>46195</v>
      </c>
      <c r="C450" s="30"/>
      <c r="D450" s="30"/>
      <c r="E450" s="30"/>
      <c r="F450" s="30"/>
      <c r="G450" s="30"/>
      <c r="H450" s="30"/>
      <c r="I450" s="30"/>
      <c r="J450" s="30"/>
      <c r="K450" s="30"/>
    </row>
    <row r="451" ht="15.75" customHeight="1" spans="1:11">
      <c r="A451" s="50">
        <v>46196</v>
      </c>
      <c r="B451" s="55">
        <v>46196</v>
      </c>
      <c r="C451" s="30"/>
      <c r="D451" s="30"/>
      <c r="E451" s="30"/>
      <c r="F451" s="30"/>
      <c r="G451" s="30"/>
      <c r="H451" s="30"/>
      <c r="I451" s="30"/>
      <c r="J451" s="30"/>
      <c r="K451" s="30"/>
    </row>
    <row r="452" ht="15.75" customHeight="1" spans="1:11">
      <c r="A452" s="50">
        <v>46197</v>
      </c>
      <c r="B452" s="55">
        <v>46197</v>
      </c>
      <c r="C452" s="30"/>
      <c r="D452" s="30"/>
      <c r="E452" s="30"/>
      <c r="F452" s="30"/>
      <c r="G452" s="30"/>
      <c r="H452" s="30"/>
      <c r="I452" s="30"/>
      <c r="J452" s="30"/>
      <c r="K452" s="30"/>
    </row>
    <row r="453" ht="15.75" customHeight="1" spans="1:11">
      <c r="A453" s="50">
        <v>46198</v>
      </c>
      <c r="B453" s="55">
        <v>46198</v>
      </c>
      <c r="C453" s="30"/>
      <c r="D453" s="30"/>
      <c r="E453" s="30"/>
      <c r="F453" s="30"/>
      <c r="G453" s="30"/>
      <c r="H453" s="30"/>
      <c r="I453" s="30"/>
      <c r="J453" s="30"/>
      <c r="K453" s="30"/>
    </row>
    <row r="454" ht="15.75" customHeight="1" spans="1:11">
      <c r="A454" s="50">
        <v>46199</v>
      </c>
      <c r="B454" s="55">
        <v>46199</v>
      </c>
      <c r="C454" s="30"/>
      <c r="D454" s="30"/>
      <c r="E454" s="30"/>
      <c r="F454" s="30"/>
      <c r="G454" s="30"/>
      <c r="H454" s="30"/>
      <c r="I454" s="30"/>
      <c r="J454" s="30"/>
      <c r="K454" s="30"/>
    </row>
    <row r="455" ht="15.75" customHeight="1" spans="1:11">
      <c r="A455" s="50">
        <v>46200</v>
      </c>
      <c r="B455" s="55">
        <v>46200</v>
      </c>
      <c r="C455" s="30"/>
      <c r="D455" s="30"/>
      <c r="E455" s="30"/>
      <c r="F455" s="30"/>
      <c r="G455" s="30"/>
      <c r="H455" s="30"/>
      <c r="I455" s="30"/>
      <c r="J455" s="30"/>
      <c r="K455" s="30"/>
    </row>
    <row r="456" ht="15.75" customHeight="1" spans="1:11">
      <c r="A456" s="50">
        <v>46201</v>
      </c>
      <c r="B456" s="55">
        <v>46201</v>
      </c>
      <c r="C456" s="30"/>
      <c r="D456" s="30"/>
      <c r="E456" s="30"/>
      <c r="F456" s="30"/>
      <c r="G456" s="30"/>
      <c r="H456" s="30"/>
      <c r="I456" s="30"/>
      <c r="J456" s="30"/>
      <c r="K456" s="30"/>
    </row>
    <row r="457" ht="15.75" customHeight="1" spans="1:11">
      <c r="A457" s="50">
        <v>46202</v>
      </c>
      <c r="B457" s="55">
        <v>46202</v>
      </c>
      <c r="C457" s="30"/>
      <c r="D457" s="30"/>
      <c r="E457" s="30"/>
      <c r="F457" s="30"/>
      <c r="G457" s="30"/>
      <c r="H457" s="30"/>
      <c r="I457" s="30"/>
      <c r="J457" s="30"/>
      <c r="K457" s="30"/>
    </row>
    <row r="458" ht="15.75" customHeight="1" spans="1:11">
      <c r="A458" s="50">
        <v>46203</v>
      </c>
      <c r="B458" s="55">
        <v>46203</v>
      </c>
      <c r="C458" s="30"/>
      <c r="D458" s="30"/>
      <c r="E458" s="30"/>
      <c r="F458" s="30"/>
      <c r="G458" s="30"/>
      <c r="H458" s="30"/>
      <c r="I458" s="30"/>
      <c r="J458" s="30"/>
      <c r="K458" s="30"/>
    </row>
    <row r="459" ht="15.75" customHeight="1" spans="1:11">
      <c r="A459" s="50">
        <v>46204</v>
      </c>
      <c r="B459" s="55">
        <v>46204</v>
      </c>
      <c r="C459" s="30"/>
      <c r="D459" s="30"/>
      <c r="E459" s="30"/>
      <c r="F459" s="30"/>
      <c r="G459" s="30"/>
      <c r="H459" s="30"/>
      <c r="I459" s="30"/>
      <c r="J459" s="30"/>
      <c r="K459" s="30"/>
    </row>
    <row r="460" ht="15.75" customHeight="1" spans="1:11">
      <c r="A460" s="50">
        <v>46205</v>
      </c>
      <c r="B460" s="55">
        <v>46205</v>
      </c>
      <c r="C460" s="30"/>
      <c r="D460" s="30"/>
      <c r="E460" s="30"/>
      <c r="F460" s="30"/>
      <c r="G460" s="30"/>
      <c r="H460" s="30"/>
      <c r="I460" s="30"/>
      <c r="J460" s="30"/>
      <c r="K460" s="30"/>
    </row>
    <row r="461" ht="15.75" customHeight="1" spans="1:11">
      <c r="A461" s="50">
        <v>46206</v>
      </c>
      <c r="B461" s="55">
        <v>46206</v>
      </c>
      <c r="C461" s="30"/>
      <c r="D461" s="30"/>
      <c r="E461" s="30"/>
      <c r="F461" s="30"/>
      <c r="G461" s="30"/>
      <c r="H461" s="30"/>
      <c r="I461" s="30"/>
      <c r="J461" s="30"/>
      <c r="K461" s="30"/>
    </row>
    <row r="462" ht="15.75" customHeight="1" spans="1:11">
      <c r="A462" s="50">
        <v>46207</v>
      </c>
      <c r="B462" s="55">
        <v>46207</v>
      </c>
      <c r="C462" s="30"/>
      <c r="D462" s="30"/>
      <c r="E462" s="30"/>
      <c r="F462" s="30"/>
      <c r="G462" s="30"/>
      <c r="H462" s="30"/>
      <c r="I462" s="30"/>
      <c r="J462" s="30"/>
      <c r="K462" s="30"/>
    </row>
    <row r="463" ht="15.75" customHeight="1" spans="1:11">
      <c r="A463" s="50">
        <v>46208</v>
      </c>
      <c r="B463" s="55">
        <v>46208</v>
      </c>
      <c r="C463" s="30"/>
      <c r="D463" s="30"/>
      <c r="E463" s="30"/>
      <c r="F463" s="30"/>
      <c r="G463" s="30"/>
      <c r="H463" s="30"/>
      <c r="I463" s="30"/>
      <c r="J463" s="30"/>
      <c r="K463" s="30"/>
    </row>
    <row r="464" ht="15.75" customHeight="1" spans="1:11">
      <c r="A464" s="50">
        <v>46209</v>
      </c>
      <c r="B464" s="55">
        <v>46209</v>
      </c>
      <c r="C464" s="30"/>
      <c r="D464" s="30"/>
      <c r="E464" s="30"/>
      <c r="F464" s="30"/>
      <c r="G464" s="30"/>
      <c r="H464" s="30"/>
      <c r="I464" s="30"/>
      <c r="J464" s="30"/>
      <c r="K464" s="30"/>
    </row>
    <row r="465" ht="15.75" customHeight="1" spans="1:11">
      <c r="A465" s="50">
        <v>46210</v>
      </c>
      <c r="B465" s="55">
        <v>46210</v>
      </c>
      <c r="C465" s="30"/>
      <c r="D465" s="30"/>
      <c r="E465" s="30"/>
      <c r="F465" s="30"/>
      <c r="G465" s="30"/>
      <c r="H465" s="30"/>
      <c r="I465" s="30"/>
      <c r="J465" s="30"/>
      <c r="K465" s="30"/>
    </row>
    <row r="466" ht="15.75" customHeight="1" spans="1:11">
      <c r="A466" s="50">
        <v>46211</v>
      </c>
      <c r="B466" s="55">
        <v>46211</v>
      </c>
      <c r="C466" s="30"/>
      <c r="D466" s="30"/>
      <c r="E466" s="30"/>
      <c r="F466" s="30"/>
      <c r="G466" s="30"/>
      <c r="H466" s="30"/>
      <c r="I466" s="30"/>
      <c r="J466" s="30"/>
      <c r="K466" s="30"/>
    </row>
    <row r="467" ht="15.75" customHeight="1" spans="1:11">
      <c r="A467" s="50">
        <v>46212</v>
      </c>
      <c r="B467" s="55">
        <v>46212</v>
      </c>
      <c r="C467" s="30"/>
      <c r="D467" s="30"/>
      <c r="E467" s="30"/>
      <c r="F467" s="30"/>
      <c r="G467" s="30"/>
      <c r="H467" s="30"/>
      <c r="I467" s="30"/>
      <c r="J467" s="30"/>
      <c r="K467" s="30"/>
    </row>
    <row r="468" ht="15.75" customHeight="1" spans="1:11">
      <c r="A468" s="50">
        <v>46213</v>
      </c>
      <c r="B468" s="55">
        <v>46213</v>
      </c>
      <c r="C468" s="30"/>
      <c r="D468" s="30"/>
      <c r="E468" s="30"/>
      <c r="F468" s="30"/>
      <c r="G468" s="30"/>
      <c r="H468" s="30"/>
      <c r="I468" s="30"/>
      <c r="J468" s="30"/>
      <c r="K468" s="30"/>
    </row>
    <row r="469" ht="15.75" customHeight="1" spans="1:11">
      <c r="A469" s="50">
        <v>46214</v>
      </c>
      <c r="B469" s="55">
        <v>46214</v>
      </c>
      <c r="C469" s="30"/>
      <c r="D469" s="30"/>
      <c r="E469" s="30"/>
      <c r="F469" s="30"/>
      <c r="G469" s="30"/>
      <c r="H469" s="30"/>
      <c r="I469" s="30"/>
      <c r="J469" s="30"/>
      <c r="K469" s="30"/>
    </row>
    <row r="470" ht="15.75" customHeight="1" spans="1:11">
      <c r="A470" s="50">
        <v>46215</v>
      </c>
      <c r="B470" s="55">
        <v>46215</v>
      </c>
      <c r="C470" s="30"/>
      <c r="D470" s="30"/>
      <c r="E470" s="30"/>
      <c r="F470" s="30"/>
      <c r="G470" s="30"/>
      <c r="H470" s="30"/>
      <c r="I470" s="30"/>
      <c r="J470" s="30"/>
      <c r="K470" s="30"/>
    </row>
    <row r="471" ht="15.75" customHeight="1" spans="1:11">
      <c r="A471" s="50">
        <v>46216</v>
      </c>
      <c r="B471" s="55">
        <v>46216</v>
      </c>
      <c r="C471" s="30"/>
      <c r="D471" s="30"/>
      <c r="E471" s="30"/>
      <c r="F471" s="30"/>
      <c r="G471" s="30"/>
      <c r="H471" s="30"/>
      <c r="I471" s="30"/>
      <c r="J471" s="30"/>
      <c r="K471" s="30"/>
    </row>
    <row r="472" ht="15.75" customHeight="1" spans="1:11">
      <c r="A472" s="50">
        <v>46217</v>
      </c>
      <c r="B472" s="55">
        <v>46217</v>
      </c>
      <c r="C472" s="30"/>
      <c r="D472" s="30"/>
      <c r="E472" s="30"/>
      <c r="F472" s="30"/>
      <c r="G472" s="30"/>
      <c r="H472" s="30"/>
      <c r="I472" s="30"/>
      <c r="J472" s="30"/>
      <c r="K472" s="30"/>
    </row>
    <row r="473" ht="15.75" customHeight="1" spans="1:11">
      <c r="A473" s="50">
        <v>46218</v>
      </c>
      <c r="B473" s="55">
        <v>46218</v>
      </c>
      <c r="C473" s="30"/>
      <c r="D473" s="30"/>
      <c r="E473" s="30"/>
      <c r="F473" s="30"/>
      <c r="G473" s="30"/>
      <c r="H473" s="30"/>
      <c r="I473" s="30"/>
      <c r="J473" s="30"/>
      <c r="K473" s="30"/>
    </row>
    <row r="474" ht="15.75" customHeight="1" spans="1:11">
      <c r="A474" s="50">
        <v>46219</v>
      </c>
      <c r="B474" s="55">
        <v>46219</v>
      </c>
      <c r="C474" s="30"/>
      <c r="D474" s="30"/>
      <c r="E474" s="30"/>
      <c r="F474" s="30"/>
      <c r="G474" s="30"/>
      <c r="H474" s="30"/>
      <c r="I474" s="30"/>
      <c r="J474" s="30"/>
      <c r="K474" s="30"/>
    </row>
    <row r="475" ht="15.75" customHeight="1" spans="1:11">
      <c r="A475" s="50">
        <v>46220</v>
      </c>
      <c r="B475" s="55">
        <v>46220</v>
      </c>
      <c r="C475" s="30"/>
      <c r="D475" s="30"/>
      <c r="E475" s="30"/>
      <c r="F475" s="30"/>
      <c r="G475" s="30"/>
      <c r="H475" s="30"/>
      <c r="I475" s="30"/>
      <c r="J475" s="30"/>
      <c r="K475" s="30"/>
    </row>
    <row r="476" ht="15.75" customHeight="1" spans="1:11">
      <c r="A476" s="50">
        <v>46221</v>
      </c>
      <c r="B476" s="55">
        <v>46221</v>
      </c>
      <c r="C476" s="30"/>
      <c r="D476" s="30"/>
      <c r="E476" s="30"/>
      <c r="F476" s="30"/>
      <c r="G476" s="30"/>
      <c r="H476" s="30"/>
      <c r="I476" s="30"/>
      <c r="J476" s="30"/>
      <c r="K476" s="30"/>
    </row>
    <row r="477" ht="15.75" customHeight="1" spans="1:11">
      <c r="A477" s="50">
        <v>46222</v>
      </c>
      <c r="B477" s="55">
        <v>46222</v>
      </c>
      <c r="C477" s="30"/>
      <c r="D477" s="30"/>
      <c r="E477" s="30"/>
      <c r="F477" s="30"/>
      <c r="G477" s="30"/>
      <c r="H477" s="30"/>
      <c r="I477" s="30"/>
      <c r="J477" s="30"/>
      <c r="K477" s="30"/>
    </row>
    <row r="478" ht="15.75" customHeight="1" spans="1:11">
      <c r="A478" s="50">
        <v>46223</v>
      </c>
      <c r="B478" s="55">
        <v>46223</v>
      </c>
      <c r="C478" s="30"/>
      <c r="D478" s="30"/>
      <c r="E478" s="30"/>
      <c r="F478" s="30"/>
      <c r="G478" s="30"/>
      <c r="H478" s="30"/>
      <c r="I478" s="30"/>
      <c r="J478" s="30"/>
      <c r="K478" s="30"/>
    </row>
    <row r="479" ht="15.75" customHeight="1" spans="1:11">
      <c r="A479" s="50">
        <v>46224</v>
      </c>
      <c r="B479" s="55">
        <v>46224</v>
      </c>
      <c r="C479" s="30"/>
      <c r="D479" s="30"/>
      <c r="E479" s="30"/>
      <c r="F479" s="30"/>
      <c r="G479" s="30"/>
      <c r="H479" s="30"/>
      <c r="I479" s="30"/>
      <c r="J479" s="30"/>
      <c r="K479" s="30"/>
    </row>
    <row r="480" ht="15.75" customHeight="1" spans="1:11">
      <c r="A480" s="50">
        <v>46225</v>
      </c>
      <c r="B480" s="55">
        <v>46225</v>
      </c>
      <c r="C480" s="30"/>
      <c r="D480" s="30"/>
      <c r="E480" s="30"/>
      <c r="F480" s="30"/>
      <c r="G480" s="30"/>
      <c r="H480" s="30"/>
      <c r="I480" s="30"/>
      <c r="J480" s="30"/>
      <c r="K480" s="30"/>
    </row>
    <row r="481" ht="15.75" customHeight="1" spans="1:11">
      <c r="A481" s="50">
        <v>46226</v>
      </c>
      <c r="B481" s="55">
        <v>46226</v>
      </c>
      <c r="C481" s="30"/>
      <c r="D481" s="30"/>
      <c r="E481" s="30"/>
      <c r="F481" s="30"/>
      <c r="G481" s="30"/>
      <c r="H481" s="30"/>
      <c r="I481" s="30"/>
      <c r="J481" s="30"/>
      <c r="K481" s="30"/>
    </row>
    <row r="482" ht="15.75" customHeight="1" spans="1:11">
      <c r="A482" s="50">
        <v>46227</v>
      </c>
      <c r="B482" s="55">
        <v>46227</v>
      </c>
      <c r="C482" s="30"/>
      <c r="D482" s="30"/>
      <c r="E482" s="30"/>
      <c r="F482" s="30"/>
      <c r="G482" s="30"/>
      <c r="H482" s="30"/>
      <c r="I482" s="30"/>
      <c r="J482" s="30"/>
      <c r="K482" s="30"/>
    </row>
    <row r="483" ht="15.75" customHeight="1" spans="1:11">
      <c r="A483" s="50">
        <v>46228</v>
      </c>
      <c r="B483" s="55">
        <v>46228</v>
      </c>
      <c r="C483" s="30"/>
      <c r="D483" s="30"/>
      <c r="E483" s="30"/>
      <c r="F483" s="30"/>
      <c r="G483" s="30"/>
      <c r="H483" s="30"/>
      <c r="I483" s="30"/>
      <c r="J483" s="30"/>
      <c r="K483" s="30"/>
    </row>
    <row r="484" ht="15.75" customHeight="1" spans="1:11">
      <c r="A484" s="50">
        <v>46229</v>
      </c>
      <c r="B484" s="55">
        <v>46229</v>
      </c>
      <c r="C484" s="30"/>
      <c r="D484" s="30"/>
      <c r="E484" s="30"/>
      <c r="F484" s="30"/>
      <c r="G484" s="30"/>
      <c r="H484" s="30"/>
      <c r="I484" s="30"/>
      <c r="J484" s="30"/>
      <c r="K484" s="30"/>
    </row>
    <row r="485" ht="15.75" customHeight="1" spans="1:11">
      <c r="A485" s="50">
        <v>46230</v>
      </c>
      <c r="B485" s="55">
        <v>46230</v>
      </c>
      <c r="C485" s="30"/>
      <c r="D485" s="30"/>
      <c r="E485" s="30"/>
      <c r="F485" s="30"/>
      <c r="G485" s="30"/>
      <c r="H485" s="30"/>
      <c r="I485" s="30"/>
      <c r="J485" s="30"/>
      <c r="K485" s="30"/>
    </row>
    <row r="486" ht="15.75" customHeight="1" spans="1:11">
      <c r="A486" s="50">
        <v>46231</v>
      </c>
      <c r="B486" s="55">
        <v>46231</v>
      </c>
      <c r="C486" s="30"/>
      <c r="D486" s="30"/>
      <c r="E486" s="30"/>
      <c r="F486" s="30"/>
      <c r="G486" s="30"/>
      <c r="H486" s="30"/>
      <c r="I486" s="30"/>
      <c r="J486" s="30"/>
      <c r="K486" s="30"/>
    </row>
    <row r="487" ht="15.75" customHeight="1" spans="1:11">
      <c r="A487" s="50">
        <v>46232</v>
      </c>
      <c r="B487" s="55">
        <v>46232</v>
      </c>
      <c r="C487" s="30"/>
      <c r="D487" s="30"/>
      <c r="E487" s="30"/>
      <c r="F487" s="30"/>
      <c r="G487" s="30"/>
      <c r="H487" s="30"/>
      <c r="I487" s="30"/>
      <c r="J487" s="30"/>
      <c r="K487" s="30"/>
    </row>
    <row r="488" ht="15.75" customHeight="1" spans="1:11">
      <c r="A488" s="50">
        <v>46233</v>
      </c>
      <c r="B488" s="55">
        <v>46233</v>
      </c>
      <c r="C488" s="30"/>
      <c r="D488" s="30"/>
      <c r="E488" s="30"/>
      <c r="F488" s="30"/>
      <c r="G488" s="30"/>
      <c r="H488" s="30"/>
      <c r="I488" s="30"/>
      <c r="J488" s="30"/>
      <c r="K488" s="30"/>
    </row>
    <row r="489" ht="15.75" customHeight="1" spans="1:11">
      <c r="A489" s="50">
        <v>46234</v>
      </c>
      <c r="B489" s="55">
        <v>46234</v>
      </c>
      <c r="C489" s="30"/>
      <c r="D489" s="30"/>
      <c r="E489" s="30"/>
      <c r="F489" s="30"/>
      <c r="G489" s="30"/>
      <c r="H489" s="30"/>
      <c r="I489" s="30"/>
      <c r="J489" s="30"/>
      <c r="K489" s="30"/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fitToWidth="0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2:O589"/>
  <sheetViews>
    <sheetView workbookViewId="0">
      <pane xSplit="2" ySplit="3" topLeftCell="C548" activePane="bottomRight" state="frozen"/>
      <selection/>
      <selection pane="topRight"/>
      <selection pane="bottomLeft"/>
      <selection pane="bottomRight" activeCell="K546" sqref="K546"/>
    </sheetView>
  </sheetViews>
  <sheetFormatPr defaultColWidth="9" defaultRowHeight="14.25"/>
  <cols>
    <col min="2" max="2" width="9.375"/>
    <col min="3" max="3" width="11.25" customWidth="1"/>
    <col min="4" max="4" width="19.5" customWidth="1"/>
    <col min="5" max="5" width="10.25" customWidth="1"/>
    <col min="7" max="7" width="9" customWidth="1"/>
    <col min="8" max="8" width="20" customWidth="1"/>
    <col min="11" max="11" width="15" customWidth="1"/>
    <col min="12" max="12" width="13.75" customWidth="1"/>
    <col min="14" max="14" width="22.375" customWidth="1"/>
  </cols>
  <sheetData>
    <row r="2" spans="1:15">
      <c r="C2" s="23" t="s">
        <v>238</v>
      </c>
      <c r="D2" s="23"/>
      <c r="E2" s="23"/>
    </row>
    <row r="3" s="22" customFormat="1" ht="39" customHeight="1" spans="1:15">
      <c r="A3" s="24" t="s">
        <v>230</v>
      </c>
      <c r="B3" s="24" t="s">
        <v>1</v>
      </c>
      <c r="C3" s="25" t="s">
        <v>239</v>
      </c>
      <c r="D3" s="25" t="s">
        <v>240</v>
      </c>
      <c r="E3" s="25" t="s">
        <v>241</v>
      </c>
      <c r="F3" s="26" t="s">
        <v>242</v>
      </c>
      <c r="G3" s="26" t="s">
        <v>243</v>
      </c>
      <c r="H3" s="26"/>
      <c r="I3" s="26" t="s">
        <v>244</v>
      </c>
      <c r="J3" s="26" t="s">
        <v>245</v>
      </c>
      <c r="K3" s="26" t="s">
        <v>246</v>
      </c>
      <c r="L3" s="26" t="s">
        <v>247</v>
      </c>
      <c r="M3" s="27" t="s">
        <v>248</v>
      </c>
      <c r="N3" s="25" t="s">
        <v>249</v>
      </c>
      <c r="O3" s="22" t="s">
        <v>31</v>
      </c>
    </row>
    <row r="4" ht="15" spans="1:15">
      <c r="A4" s="28">
        <v>45747</v>
      </c>
      <c r="B4" s="29">
        <v>45747</v>
      </c>
      <c r="C4" s="30"/>
      <c r="D4" s="30"/>
      <c r="E4" s="30"/>
      <c r="F4" s="30"/>
      <c r="G4" s="30"/>
      <c r="H4" s="30"/>
      <c r="I4" s="30"/>
      <c r="J4" s="30"/>
      <c r="K4" s="31"/>
      <c r="L4" s="31"/>
      <c r="M4" s="30"/>
      <c r="N4" s="30"/>
    </row>
    <row r="5" ht="15" spans="1:15">
      <c r="A5" s="28">
        <v>45748</v>
      </c>
      <c r="B5" s="29">
        <v>45748</v>
      </c>
      <c r="C5" s="30"/>
      <c r="D5" s="30"/>
      <c r="E5" s="30"/>
      <c r="F5" s="30"/>
      <c r="G5" s="30"/>
      <c r="H5" s="30"/>
      <c r="I5" s="30"/>
      <c r="J5" s="30"/>
      <c r="K5" s="31"/>
      <c r="L5" s="31"/>
      <c r="M5" s="30"/>
      <c r="N5" s="30"/>
    </row>
    <row r="6" ht="15" spans="1:15">
      <c r="A6" s="28">
        <v>45749</v>
      </c>
      <c r="B6" s="29">
        <v>45749</v>
      </c>
      <c r="C6" s="30"/>
      <c r="D6" s="30"/>
      <c r="E6" s="30"/>
      <c r="F6" s="30"/>
      <c r="G6" s="30"/>
      <c r="H6" s="30"/>
      <c r="I6" s="30"/>
      <c r="J6" s="30"/>
      <c r="K6" s="31"/>
      <c r="L6" s="31"/>
      <c r="M6" s="30"/>
      <c r="N6" s="30"/>
    </row>
    <row r="7" ht="15" spans="1:15">
      <c r="A7" s="28">
        <v>45750</v>
      </c>
      <c r="B7" s="29">
        <v>45750</v>
      </c>
      <c r="C7" s="30"/>
      <c r="D7" s="30"/>
      <c r="E7" s="30"/>
      <c r="F7" s="30"/>
      <c r="G7" s="30"/>
      <c r="H7" s="30"/>
      <c r="I7" s="30"/>
      <c r="J7" s="30"/>
      <c r="K7" s="31"/>
      <c r="L7" s="31"/>
      <c r="M7" s="30"/>
      <c r="N7" s="30"/>
    </row>
    <row r="8" ht="15" spans="1:15">
      <c r="A8" s="28">
        <v>45751</v>
      </c>
      <c r="B8" s="29">
        <v>45751</v>
      </c>
      <c r="C8" s="30"/>
      <c r="D8" s="30"/>
      <c r="E8" s="30"/>
      <c r="F8" s="30"/>
      <c r="G8" s="30"/>
      <c r="H8" s="30"/>
      <c r="I8" s="30"/>
      <c r="J8" s="30"/>
      <c r="K8" s="31"/>
      <c r="L8" s="31"/>
      <c r="M8" s="30"/>
      <c r="N8" s="30"/>
    </row>
    <row r="9" ht="15" spans="1:15">
      <c r="A9" s="28">
        <v>45752</v>
      </c>
      <c r="B9" s="29">
        <v>45752</v>
      </c>
      <c r="C9" s="30"/>
      <c r="D9" s="30"/>
      <c r="E9" s="30"/>
      <c r="F9" s="30"/>
      <c r="G9" s="30"/>
      <c r="H9" s="30"/>
      <c r="I9" s="30"/>
      <c r="J9" s="30"/>
      <c r="K9" s="31"/>
      <c r="L9" s="31"/>
      <c r="M9" s="30"/>
      <c r="N9" s="30"/>
    </row>
    <row r="10" ht="15" spans="1:15">
      <c r="A10" s="28">
        <v>45753</v>
      </c>
      <c r="B10" s="29">
        <v>45753</v>
      </c>
      <c r="C10" s="30"/>
      <c r="D10" s="30"/>
      <c r="E10" s="30"/>
      <c r="F10" s="30"/>
      <c r="G10" s="30"/>
      <c r="H10" s="30"/>
      <c r="I10" s="30"/>
      <c r="J10" s="30"/>
      <c r="K10" s="31"/>
      <c r="L10" s="31"/>
      <c r="M10" s="30"/>
      <c r="N10" s="30"/>
    </row>
    <row r="11" ht="15" spans="1:15">
      <c r="A11" s="28">
        <v>45754</v>
      </c>
      <c r="B11" s="29">
        <v>45754</v>
      </c>
      <c r="C11" s="30"/>
      <c r="D11" s="30"/>
      <c r="E11" s="30"/>
      <c r="F11" s="30"/>
      <c r="G11" s="30"/>
      <c r="H11" s="30"/>
      <c r="I11" s="30"/>
      <c r="J11" s="30"/>
      <c r="K11" s="31"/>
      <c r="L11" s="31"/>
      <c r="M11" s="30"/>
      <c r="N11" s="30"/>
    </row>
    <row r="12" ht="15" spans="1:15">
      <c r="A12" s="28">
        <v>45755</v>
      </c>
      <c r="B12" s="29">
        <v>45755</v>
      </c>
      <c r="C12" s="30"/>
      <c r="D12" s="30"/>
      <c r="E12" s="30"/>
      <c r="F12" s="30"/>
      <c r="G12" s="30"/>
      <c r="H12" s="30"/>
      <c r="I12" s="30"/>
      <c r="J12" s="30"/>
      <c r="K12" s="31"/>
      <c r="L12" s="31"/>
      <c r="M12" s="30"/>
      <c r="N12" s="30"/>
    </row>
    <row r="13" ht="15" spans="1:15">
      <c r="A13" s="28">
        <v>45756</v>
      </c>
      <c r="B13" s="29">
        <v>45756</v>
      </c>
      <c r="C13" s="30"/>
      <c r="D13" s="30"/>
      <c r="E13" s="30"/>
      <c r="F13" s="30"/>
      <c r="G13" s="30"/>
      <c r="H13" s="30"/>
      <c r="I13" s="30"/>
      <c r="J13" s="30"/>
      <c r="K13" s="31"/>
      <c r="L13" s="31"/>
      <c r="M13" s="30"/>
      <c r="N13" s="30"/>
    </row>
    <row r="14" ht="15" spans="1:15">
      <c r="A14" s="28">
        <v>45757</v>
      </c>
      <c r="B14" s="29">
        <v>45757</v>
      </c>
      <c r="C14" s="30"/>
      <c r="D14" s="30"/>
      <c r="E14" s="30"/>
      <c r="F14" s="30"/>
      <c r="G14" s="30"/>
      <c r="H14" s="30" t="str">
        <f>IFERROR(VLOOKUP(G14,Basic_Data!$E$2:$I$9,5,0),"")</f>
        <v/>
      </c>
      <c r="I14" s="30" t="str">
        <f>IFERROR(VLOOKUP($G14,Basic_Data!$E$2:$H$10,4,0),"")</f>
        <v/>
      </c>
      <c r="J14" s="30"/>
      <c r="K14" s="31" t="str">
        <f>IFERROR(VLOOKUP($B14-1,Inverter_PR!$B:$I,Module_Cleaning!H14,0),"")</f>
        <v/>
      </c>
      <c r="L14" s="31" t="str">
        <f>IFERROR(VLOOKUP($B14+1,Inverter_PR!$B:$I,Module_Cleaning!H14,0),"")</f>
        <v/>
      </c>
      <c r="M14" s="30" t="str">
        <f t="shared" ref="M14:M85" si="0">IFERROR(I14-J14,"")</f>
        <v/>
      </c>
      <c r="N14" s="30"/>
    </row>
    <row r="15" ht="15" spans="1:15">
      <c r="A15" s="28">
        <v>45758</v>
      </c>
      <c r="B15" s="29">
        <v>45758</v>
      </c>
      <c r="C15" s="30"/>
      <c r="D15" s="30"/>
      <c r="E15" s="30"/>
      <c r="F15" s="30"/>
      <c r="G15" s="30" t="s">
        <v>38</v>
      </c>
      <c r="H15" s="30">
        <f>IFERROR(VLOOKUP(G15,Basic_Data!$E$2:$I$9,5,0),"")</f>
        <v>5</v>
      </c>
      <c r="I15" s="30">
        <f>IFERROR(VLOOKUP($G15,Basic_Data!$E$2:$H$10,4,0),"")</f>
        <v>644</v>
      </c>
      <c r="J15" s="30">
        <v>644</v>
      </c>
      <c r="K15" s="31">
        <f>IFERROR(VLOOKUP($B15-1,Inverter_PR!$B:$I,Module_Cleaning!H15,0),"")</f>
        <v>1.01580509637949</v>
      </c>
      <c r="L15" s="31">
        <f>IFERROR(VLOOKUP($B15+1,Inverter_PR!$B:$I,Module_Cleaning!H15,0),"")</f>
        <v>1.01552598536905</v>
      </c>
      <c r="M15" s="30">
        <f t="shared" si="0"/>
        <v>0</v>
      </c>
      <c r="N15" s="30" t="s">
        <v>250</v>
      </c>
    </row>
    <row r="16" ht="15" spans="1:15">
      <c r="A16" s="28">
        <v>45759</v>
      </c>
      <c r="B16" s="29">
        <v>45759</v>
      </c>
      <c r="C16" s="30"/>
      <c r="D16" s="30"/>
      <c r="E16" s="30"/>
      <c r="F16" s="30"/>
      <c r="G16" s="30" t="s">
        <v>37</v>
      </c>
      <c r="H16" s="30">
        <f>IFERROR(VLOOKUP(G16,Basic_Data!$E$2:$I$9,5,0),"")</f>
        <v>4</v>
      </c>
      <c r="I16" s="30">
        <f>IFERROR(VLOOKUP($G16,Basic_Data!$E$2:$H$10,4,0),"")</f>
        <v>616</v>
      </c>
      <c r="J16" s="30">
        <v>616</v>
      </c>
      <c r="K16" s="31">
        <f>IFERROR(VLOOKUP($B16-1,Inverter_PR!$B:$I,Module_Cleaning!H16,0),"")</f>
        <v>1.00206834136079</v>
      </c>
      <c r="L16" s="31">
        <f>IFERROR(VLOOKUP($B16+1,Inverter_PR!$B:$I,Module_Cleaning!H16,0),"")</f>
        <v>0.96637228026481</v>
      </c>
      <c r="M16" s="30">
        <f t="shared" si="0"/>
        <v>0</v>
      </c>
      <c r="N16" s="30" t="s">
        <v>250</v>
      </c>
    </row>
    <row r="17" ht="15" spans="1:14">
      <c r="A17" s="28">
        <v>45760</v>
      </c>
      <c r="B17" s="29">
        <v>45760</v>
      </c>
      <c r="C17" s="30"/>
      <c r="D17" s="30"/>
      <c r="E17" s="30"/>
      <c r="F17" s="30"/>
      <c r="G17" s="30"/>
      <c r="H17" s="30" t="str">
        <f>IFERROR(VLOOKUP(G17,Basic_Data!$E$2:$I$9,5,0),"")</f>
        <v/>
      </c>
      <c r="I17" s="30" t="str">
        <f>IFERROR(VLOOKUP($G17,Basic_Data!$E$2:$H$10,4,0),"")</f>
        <v/>
      </c>
      <c r="J17" s="30"/>
      <c r="K17" s="31" t="str">
        <f>IFERROR(VLOOKUP($B17-1,Inverter_PR!$B:$I,Module_Cleaning!H17,0),"")</f>
        <v/>
      </c>
      <c r="L17" s="31" t="str">
        <f>IFERROR(VLOOKUP($B17+1,Inverter_PR!$B:$I,Module_Cleaning!H17,0),"")</f>
        <v/>
      </c>
      <c r="M17" s="30" t="str">
        <f t="shared" si="0"/>
        <v/>
      </c>
      <c r="N17" s="30"/>
    </row>
    <row r="18" ht="15" spans="1:14">
      <c r="A18" s="28">
        <v>45761</v>
      </c>
      <c r="B18" s="29">
        <v>45761</v>
      </c>
      <c r="C18" s="30"/>
      <c r="D18" s="30"/>
      <c r="E18" s="30"/>
      <c r="F18" s="30"/>
      <c r="G18" s="30" t="s">
        <v>41</v>
      </c>
      <c r="H18" s="30">
        <f>IFERROR(VLOOKUP(G18,Basic_Data!$E$2:$I$9,5,0),"")</f>
        <v>8</v>
      </c>
      <c r="I18" s="30">
        <f>IFERROR(VLOOKUP($G18,Basic_Data!$E$2:$H$10,4,0),"")</f>
        <v>644</v>
      </c>
      <c r="J18" s="30">
        <v>644</v>
      </c>
      <c r="K18" s="31">
        <f>IFERROR(VLOOKUP($B18-1,Inverter_PR!$B:$I,Module_Cleaning!H18,0),"")</f>
        <v>0.939195954581447</v>
      </c>
      <c r="L18" s="31">
        <f>IFERROR(VLOOKUP($B18+1,Inverter_PR!$B:$I,Module_Cleaning!H18,0),"")</f>
        <v>0.974731070463021</v>
      </c>
      <c r="M18" s="30">
        <f t="shared" si="0"/>
        <v>0</v>
      </c>
      <c r="N18" s="32" t="s">
        <v>251</v>
      </c>
    </row>
    <row r="19" ht="15" customHeight="1" spans="1:14">
      <c r="A19" s="33">
        <v>45762</v>
      </c>
      <c r="B19" s="34">
        <v>45762</v>
      </c>
      <c r="C19" s="35">
        <v>5</v>
      </c>
      <c r="D19" s="35">
        <v>7500</v>
      </c>
      <c r="E19" s="35"/>
      <c r="F19" s="35">
        <v>2</v>
      </c>
      <c r="G19" s="30" t="s">
        <v>35</v>
      </c>
      <c r="H19" s="30">
        <f>IFERROR(VLOOKUP(G19,Basic_Data!$E$2:$I$9,5,0),"")</f>
        <v>2</v>
      </c>
      <c r="I19" s="30">
        <f>IFERROR(VLOOKUP($G19,Basic_Data!$E$2:$H$10,4,0),"")</f>
        <v>616</v>
      </c>
      <c r="J19" s="30">
        <v>616</v>
      </c>
      <c r="K19" s="31">
        <f>IFERROR(VLOOKUP($B19-1,Inverter_PR!$B:$I,Module_Cleaning!H19,0),"")</f>
        <v>0.969354422336074</v>
      </c>
      <c r="L19" s="31">
        <f>IFERROR(VLOOKUP($B19+1,Inverter_PR!$B:$I,Module_Cleaning!H19,0),"")</f>
        <v>1.02561294320439</v>
      </c>
      <c r="M19" s="30">
        <f t="shared" si="0"/>
        <v>0</v>
      </c>
      <c r="N19" s="32"/>
    </row>
    <row r="20" ht="15" customHeight="1" spans="1:14">
      <c r="A20" s="36"/>
      <c r="B20" s="37"/>
      <c r="C20" s="38"/>
      <c r="D20" s="38"/>
      <c r="E20" s="38"/>
      <c r="F20" s="38"/>
      <c r="G20" s="30" t="s">
        <v>36</v>
      </c>
      <c r="H20" s="30">
        <f>IFERROR(VLOOKUP(G20,Basic_Data!$E$2:$I$9,5,0),"")</f>
        <v>3</v>
      </c>
      <c r="I20" s="30">
        <f>IFERROR(VLOOKUP($G20,Basic_Data!$E$2:$H$10,4,0),"")</f>
        <v>616</v>
      </c>
      <c r="J20" s="30">
        <v>616</v>
      </c>
      <c r="K20" s="31" t="str">
        <f>IFERROR(VLOOKUP($B20-1,Inverter_PR!$B:$I,Module_Cleaning!H20,0),"")</f>
        <v/>
      </c>
      <c r="L20" s="31" t="str">
        <f>IFERROR(VLOOKUP($B20+1,Inverter_PR!$B:$I,Module_Cleaning!H20,0),"")</f>
        <v/>
      </c>
      <c r="M20" s="30"/>
      <c r="N20" s="32"/>
    </row>
    <row r="21" ht="15" customHeight="1" spans="1:14">
      <c r="A21" s="36"/>
      <c r="B21" s="37"/>
      <c r="C21" s="38"/>
      <c r="D21" s="38"/>
      <c r="E21" s="38"/>
      <c r="F21" s="38"/>
      <c r="G21" s="30" t="s">
        <v>37</v>
      </c>
      <c r="H21" s="30">
        <f>IFERROR(VLOOKUP(G21,Basic_Data!$E$2:$I$9,5,0),"")</f>
        <v>4</v>
      </c>
      <c r="I21" s="30">
        <f>IFERROR(VLOOKUP($G21,Basic_Data!$E$2:$H$10,4,0),"")</f>
        <v>616</v>
      </c>
      <c r="J21" s="30">
        <v>616</v>
      </c>
      <c r="K21" s="31" t="str">
        <f>IFERROR(VLOOKUP($B21-1,Inverter_PR!$B:$I,Module_Cleaning!H21,0),"")</f>
        <v/>
      </c>
      <c r="L21" s="31" t="str">
        <f>IFERROR(VLOOKUP($B21+1,Inverter_PR!$B:$I,Module_Cleaning!H21,0),"")</f>
        <v/>
      </c>
      <c r="M21" s="30"/>
      <c r="N21" s="32"/>
    </row>
    <row r="22" ht="15" customHeight="1" spans="1:14">
      <c r="A22" s="36"/>
      <c r="B22" s="37"/>
      <c r="C22" s="38"/>
      <c r="D22" s="38"/>
      <c r="E22" s="38"/>
      <c r="F22" s="38"/>
      <c r="G22" s="30" t="s">
        <v>38</v>
      </c>
      <c r="H22" s="30">
        <f>IFERROR(VLOOKUP(G22,Basic_Data!$E$2:$I$9,5,0),"")</f>
        <v>5</v>
      </c>
      <c r="I22" s="30">
        <f>IFERROR(VLOOKUP($G22,Basic_Data!$E$2:$H$10,4,0),"")</f>
        <v>644</v>
      </c>
      <c r="J22" s="30">
        <v>644</v>
      </c>
      <c r="K22" s="31" t="str">
        <f>IFERROR(VLOOKUP($B22-1,Inverter_PR!$B:$I,Module_Cleaning!H22,0),"")</f>
        <v/>
      </c>
      <c r="L22" s="31" t="str">
        <f>IFERROR(VLOOKUP($B22+1,Inverter_PR!$B:$I,Module_Cleaning!H22,0),"")</f>
        <v/>
      </c>
      <c r="M22" s="30"/>
      <c r="N22" s="32"/>
    </row>
    <row r="23" ht="15" customHeight="1" spans="1:14">
      <c r="A23" s="39"/>
      <c r="B23" s="40"/>
      <c r="C23" s="41"/>
      <c r="D23" s="41"/>
      <c r="E23" s="41"/>
      <c r="F23" s="41"/>
      <c r="G23" s="30" t="s">
        <v>39</v>
      </c>
      <c r="H23" s="30">
        <f>IFERROR(VLOOKUP(G23,Basic_Data!$E$2:$I$9,5,0),"")</f>
        <v>6</v>
      </c>
      <c r="I23" s="30">
        <f>IFERROR(VLOOKUP($G23,Basic_Data!$E$2:$H$10,4,0),"")</f>
        <v>644</v>
      </c>
      <c r="J23" s="30">
        <v>644</v>
      </c>
      <c r="K23" s="31" t="str">
        <f>IFERROR(VLOOKUP($B23-1,Inverter_PR!$B:$I,Module_Cleaning!H23,0),"")</f>
        <v/>
      </c>
      <c r="L23" s="31" t="str">
        <f>IFERROR(VLOOKUP($B23+1,Inverter_PR!$B:$I,Module_Cleaning!H23,0),"")</f>
        <v/>
      </c>
      <c r="M23" s="30"/>
      <c r="N23" s="32"/>
    </row>
    <row r="24" ht="15" customHeight="1" spans="1:14">
      <c r="A24" s="33">
        <v>45763</v>
      </c>
      <c r="B24" s="34">
        <v>45763</v>
      </c>
      <c r="C24" s="35">
        <v>2</v>
      </c>
      <c r="D24" s="35">
        <v>3000</v>
      </c>
      <c r="E24" s="35"/>
      <c r="F24" s="35">
        <v>2</v>
      </c>
      <c r="G24" s="30" t="s">
        <v>40</v>
      </c>
      <c r="H24" s="30">
        <f>IFERROR(VLOOKUP(G24,Basic_Data!$E$2:$I$9,5,0),"")</f>
        <v>7</v>
      </c>
      <c r="I24" s="30">
        <f>IFERROR(VLOOKUP($G24,Basic_Data!$E$2:$H$10,4,0),"")</f>
        <v>644</v>
      </c>
      <c r="J24" s="30">
        <v>644</v>
      </c>
      <c r="K24" s="31">
        <f>IFERROR(VLOOKUP($B24-1,Inverter_PR!$B:$I,Module_Cleaning!H24,0),"")</f>
        <v>0.976352902958408</v>
      </c>
      <c r="L24" s="31">
        <f>IFERROR(VLOOKUP($B24+1,Inverter_PR!$B:$I,Module_Cleaning!H24,0),"")</f>
        <v>0.985876763108409</v>
      </c>
      <c r="M24" s="30">
        <f t="shared" si="0"/>
        <v>0</v>
      </c>
      <c r="N24" s="30"/>
    </row>
    <row r="25" ht="15" customHeight="1" spans="1:14">
      <c r="A25" s="39"/>
      <c r="B25" s="40"/>
      <c r="C25" s="41"/>
      <c r="D25" s="41"/>
      <c r="E25" s="41"/>
      <c r="F25" s="41"/>
      <c r="G25" s="30" t="s">
        <v>41</v>
      </c>
      <c r="H25" s="30"/>
      <c r="I25" s="30">
        <f>IFERROR(VLOOKUP($G25,Basic_Data!$E$2:$H$10,4,0),"")</f>
        <v>644</v>
      </c>
      <c r="J25" s="30">
        <v>644</v>
      </c>
      <c r="K25" s="31"/>
      <c r="L25" s="31"/>
      <c r="M25" s="30"/>
      <c r="N25" s="30"/>
    </row>
    <row r="26" ht="15" spans="1:14">
      <c r="A26" s="28">
        <v>45764</v>
      </c>
      <c r="B26" s="29">
        <v>45764</v>
      </c>
      <c r="C26" s="42">
        <v>0</v>
      </c>
      <c r="D26" s="42">
        <v>0</v>
      </c>
      <c r="E26" s="42">
        <v>0</v>
      </c>
      <c r="F26" s="42"/>
      <c r="G26" s="42"/>
      <c r="H26" s="42" t="str">
        <f>IFERROR(VLOOKUP(G26,Basic_Data!$E$2:$I$9,5,0),"")</f>
        <v/>
      </c>
      <c r="I26" s="42">
        <v>0</v>
      </c>
      <c r="J26" s="42">
        <v>0</v>
      </c>
      <c r="K26" s="43" t="str">
        <f>IFERROR(VLOOKUP($B26-1,Inverter_PR!$B:$I,Module_Cleaning!H26,0),"")</f>
        <v/>
      </c>
      <c r="L26" s="43" t="str">
        <f>IFERROR(VLOOKUP($B26+1,Inverter_PR!$B:$I,Module_Cleaning!H26,0),"")</f>
        <v/>
      </c>
      <c r="M26" s="42">
        <f t="shared" si="0"/>
        <v>0</v>
      </c>
      <c r="N26" s="44" t="s">
        <v>252</v>
      </c>
    </row>
    <row r="27" ht="15" spans="1:14">
      <c r="A27" s="28">
        <v>45765</v>
      </c>
      <c r="B27" s="29">
        <v>45765</v>
      </c>
      <c r="C27" s="42">
        <v>0</v>
      </c>
      <c r="D27" s="42">
        <v>0</v>
      </c>
      <c r="E27" s="42">
        <v>0</v>
      </c>
      <c r="F27" s="42"/>
      <c r="G27" s="42"/>
      <c r="H27" s="42" t="str">
        <f>IFERROR(VLOOKUP(G27,Basic_Data!$E$2:$I$9,5,0),"")</f>
        <v/>
      </c>
      <c r="I27" s="42">
        <v>0</v>
      </c>
      <c r="J27" s="42">
        <v>0</v>
      </c>
      <c r="K27" s="43" t="str">
        <f>IFERROR(VLOOKUP($B27-1,Inverter_PR!$B:$I,Module_Cleaning!H27,0),"")</f>
        <v/>
      </c>
      <c r="L27" s="43" t="str">
        <f>IFERROR(VLOOKUP($B27+1,Inverter_PR!$B:$I,Module_Cleaning!H27,0),"")</f>
        <v/>
      </c>
      <c r="M27" s="42">
        <f t="shared" si="0"/>
        <v>0</v>
      </c>
      <c r="N27" s="44" t="s">
        <v>252</v>
      </c>
    </row>
    <row r="28" ht="15" spans="1:14">
      <c r="A28" s="28">
        <v>45766</v>
      </c>
      <c r="B28" s="29">
        <v>45766</v>
      </c>
      <c r="C28" s="30"/>
      <c r="D28" s="30"/>
      <c r="E28" s="30"/>
      <c r="F28" s="30">
        <v>3</v>
      </c>
      <c r="G28" s="30" t="s">
        <v>35</v>
      </c>
      <c r="H28" s="30">
        <f>IFERROR(VLOOKUP(G28,Basic_Data!$E$2:$I$9,5,0),"")</f>
        <v>2</v>
      </c>
      <c r="I28" s="30">
        <f>IFERROR(VLOOKUP($G28,Basic_Data!$E$2:$H$10,4,0),"")</f>
        <v>616</v>
      </c>
      <c r="J28" s="30">
        <v>616</v>
      </c>
      <c r="K28" s="31">
        <f>IFERROR(VLOOKUP($B28-1,Inverter_PR!$B:$I,Module_Cleaning!H28,0),"")</f>
        <v>0.992412419183906</v>
      </c>
      <c r="L28" s="31">
        <f>IFERROR(VLOOKUP($B28+1,Inverter_PR!$B:$I,Module_Cleaning!H28,0),"")</f>
        <v>0.959866345546636</v>
      </c>
      <c r="M28" s="30">
        <f t="shared" si="0"/>
        <v>0</v>
      </c>
      <c r="N28" s="32" t="s">
        <v>250</v>
      </c>
    </row>
    <row r="29" ht="15" spans="1:14">
      <c r="A29" s="28">
        <v>45766</v>
      </c>
      <c r="B29" s="29">
        <v>45766</v>
      </c>
      <c r="C29" s="30"/>
      <c r="D29" s="30"/>
      <c r="E29" s="30"/>
      <c r="F29" s="30">
        <v>3</v>
      </c>
      <c r="G29" s="30" t="s">
        <v>36</v>
      </c>
      <c r="H29" s="30"/>
      <c r="I29" s="30">
        <f>IFERROR(VLOOKUP($G29,Basic_Data!$E$2:$H$10,4,0),"")</f>
        <v>616</v>
      </c>
      <c r="J29" s="30">
        <v>616</v>
      </c>
      <c r="K29" s="31" t="str">
        <f>IFERROR(VLOOKUP($B29-1,Inverter_PR!$B:$I,Module_Cleaning!H29,0),"")</f>
        <v/>
      </c>
      <c r="L29" s="31"/>
      <c r="M29" s="30">
        <f t="shared" si="0"/>
        <v>0</v>
      </c>
      <c r="N29" s="32" t="s">
        <v>250</v>
      </c>
    </row>
    <row r="30" ht="15" spans="1:14">
      <c r="A30" s="28">
        <v>45767</v>
      </c>
      <c r="B30" s="29">
        <v>45767</v>
      </c>
      <c r="C30" s="30"/>
      <c r="D30" s="30"/>
      <c r="E30" s="30"/>
      <c r="F30" s="30">
        <v>3</v>
      </c>
      <c r="G30" s="30" t="s">
        <v>37</v>
      </c>
      <c r="H30" s="30">
        <f>IFERROR(VLOOKUP(G30,Basic_Data!$E$2:$I$9,5,0),"")</f>
        <v>4</v>
      </c>
      <c r="I30" s="30">
        <f>IFERROR(VLOOKUP($G30,Basic_Data!$E$2:$H$10,4,0),"")</f>
        <v>616</v>
      </c>
      <c r="J30" s="30">
        <v>616</v>
      </c>
      <c r="K30" s="31">
        <f>IFERROR(VLOOKUP($B30-1,Inverter_PR!$B:$I,Module_Cleaning!H30,0),"")</f>
        <v>0.991340742009069</v>
      </c>
      <c r="L30" s="31">
        <f>IFERROR(VLOOKUP($B30+1,Inverter_PR!$B:$I,Module_Cleaning!H30,0),"")</f>
        <v>0.952750438011379</v>
      </c>
      <c r="M30" s="30">
        <f t="shared" si="0"/>
        <v>0</v>
      </c>
      <c r="N30" s="32" t="s">
        <v>250</v>
      </c>
    </row>
    <row r="31" ht="15" spans="1:14">
      <c r="A31" s="28">
        <v>45767</v>
      </c>
      <c r="B31" s="29">
        <v>45767</v>
      </c>
      <c r="C31" s="30"/>
      <c r="D31" s="30"/>
      <c r="E31" s="30"/>
      <c r="F31" s="30">
        <v>3</v>
      </c>
      <c r="G31" s="30" t="s">
        <v>38</v>
      </c>
      <c r="H31" s="30">
        <v>5</v>
      </c>
      <c r="I31" s="30">
        <v>644</v>
      </c>
      <c r="J31" s="30">
        <v>644</v>
      </c>
      <c r="K31" s="31">
        <f>IFERROR(VLOOKUP($B31-1,Inverter_PR!$B:$I,Module_Cleaning!H31,0),"")</f>
        <v>1.00859976172677</v>
      </c>
      <c r="L31" s="31">
        <f>IFERROR(VLOOKUP($B31+1,Inverter_PR!$B:$I,Module_Cleaning!H31,0),"")</f>
        <v>0.971439220767331</v>
      </c>
      <c r="M31" s="30">
        <f t="shared" si="0"/>
        <v>0</v>
      </c>
      <c r="N31" s="32" t="s">
        <v>250</v>
      </c>
    </row>
    <row r="32" ht="15" spans="1:14">
      <c r="A32" s="28">
        <v>45768</v>
      </c>
      <c r="B32" s="29">
        <v>45768</v>
      </c>
      <c r="C32" s="30"/>
      <c r="D32" s="30"/>
      <c r="E32" s="30"/>
      <c r="F32" s="30">
        <v>3</v>
      </c>
      <c r="G32" s="30" t="s">
        <v>39</v>
      </c>
      <c r="H32" s="30">
        <f>IFERROR(VLOOKUP(G32,Basic_Data!$E$2:$I$9,5,0),"")</f>
        <v>6</v>
      </c>
      <c r="I32" s="30">
        <f>IFERROR(VLOOKUP($G32,Basic_Data!$E$2:$H$10,4,0),"")</f>
        <v>644</v>
      </c>
      <c r="J32" s="30">
        <v>644</v>
      </c>
      <c r="K32" s="31">
        <f>IFERROR(VLOOKUP($B32-1,Inverter_PR!$B:$I,Module_Cleaning!H32,0),"")</f>
        <v>1.0020974131904</v>
      </c>
      <c r="L32" s="31">
        <f>IFERROR(VLOOKUP($B32+1,Inverter_PR!$B:$I,Module_Cleaning!H32,0),"")</f>
        <v>0.976134138328538</v>
      </c>
      <c r="M32" s="30">
        <f t="shared" si="0"/>
        <v>0</v>
      </c>
      <c r="N32" s="32" t="s">
        <v>250</v>
      </c>
    </row>
    <row r="33" ht="15" spans="1:14">
      <c r="A33" s="28">
        <v>45768</v>
      </c>
      <c r="B33" s="29">
        <v>45768</v>
      </c>
      <c r="C33" s="30"/>
      <c r="D33" s="30"/>
      <c r="E33" s="30"/>
      <c r="F33" s="30">
        <v>3</v>
      </c>
      <c r="G33" s="30" t="s">
        <v>40</v>
      </c>
      <c r="H33" s="30">
        <v>7</v>
      </c>
      <c r="I33" s="30">
        <v>644</v>
      </c>
      <c r="J33" s="30">
        <v>644</v>
      </c>
      <c r="K33" s="31">
        <f>IFERROR(VLOOKUP($B33-1,Inverter_PR!$B:$I,Module_Cleaning!H33,0),"")</f>
        <v>0.956529361693109</v>
      </c>
      <c r="L33" s="31">
        <f>IFERROR(VLOOKUP($B33+1,Inverter_PR!$B:$I,Module_Cleaning!H33,0),"")</f>
        <v>0.932599078567067</v>
      </c>
      <c r="M33" s="30">
        <f t="shared" si="0"/>
        <v>0</v>
      </c>
      <c r="N33" s="32" t="s">
        <v>250</v>
      </c>
    </row>
    <row r="34" ht="15" spans="1:14">
      <c r="A34" s="28">
        <v>45768</v>
      </c>
      <c r="B34" s="29">
        <v>45768</v>
      </c>
      <c r="C34" s="42">
        <v>0</v>
      </c>
      <c r="D34" s="42">
        <v>0</v>
      </c>
      <c r="E34" s="42">
        <v>0</v>
      </c>
      <c r="F34" s="42">
        <v>0</v>
      </c>
      <c r="G34" s="42"/>
      <c r="H34" s="42"/>
      <c r="I34" s="42">
        <v>0</v>
      </c>
      <c r="J34" s="42">
        <v>0</v>
      </c>
      <c r="K34" s="43">
        <v>0</v>
      </c>
      <c r="L34" s="43">
        <v>0</v>
      </c>
      <c r="M34" s="42">
        <v>0</v>
      </c>
      <c r="N34" s="42" t="s">
        <v>253</v>
      </c>
    </row>
    <row r="35" ht="15" spans="1:14">
      <c r="A35" s="28">
        <v>45769</v>
      </c>
      <c r="B35" s="29">
        <v>45769</v>
      </c>
      <c r="C35" s="30"/>
      <c r="D35" s="30"/>
      <c r="E35" s="30"/>
      <c r="F35" s="30">
        <v>3</v>
      </c>
      <c r="G35" s="30" t="s">
        <v>41</v>
      </c>
      <c r="H35" s="30">
        <f>IFERROR(VLOOKUP(G35,Basic_Data!$E$2:$I$9,5,0),"")</f>
        <v>8</v>
      </c>
      <c r="I35" s="30">
        <f>IFERROR(VLOOKUP($G35,Basic_Data!$E$2:$H$10,4,0),"")</f>
        <v>644</v>
      </c>
      <c r="J35" s="30">
        <v>644</v>
      </c>
      <c r="K35" s="31">
        <f>IFERROR(VLOOKUP($B35-1,Inverter_PR!$B:$I,Module_Cleaning!H35,0),"")</f>
        <v>0.838509316770186</v>
      </c>
      <c r="L35" s="31">
        <f>IFERROR(VLOOKUP($B35+1,Inverter_PR!$B:$I,Module_Cleaning!H35,0),"")</f>
        <v>0.918390411609398</v>
      </c>
      <c r="M35" s="30">
        <f t="shared" si="0"/>
        <v>0</v>
      </c>
      <c r="N35" s="30" t="s">
        <v>250</v>
      </c>
    </row>
    <row r="36" ht="15" spans="1:14">
      <c r="A36" s="28">
        <v>45770</v>
      </c>
      <c r="B36" s="29">
        <v>45770</v>
      </c>
      <c r="C36" s="42">
        <v>0</v>
      </c>
      <c r="D36" s="42">
        <v>0</v>
      </c>
      <c r="E36" s="42">
        <v>0</v>
      </c>
      <c r="F36" s="42"/>
      <c r="G36" s="42"/>
      <c r="H36" s="42" t="str">
        <f>IFERROR(VLOOKUP(G36,Basic_Data!$E$2:$I$9,5,0),"")</f>
        <v/>
      </c>
      <c r="I36" s="42">
        <v>0</v>
      </c>
      <c r="J36" s="42">
        <v>0</v>
      </c>
      <c r="K36" s="43" t="str">
        <f>IFERROR(VLOOKUP($B36-1,Inverter_PR!$B:$I,Module_Cleaning!H36,0),"")</f>
        <v/>
      </c>
      <c r="L36" s="43" t="str">
        <f>IFERROR(VLOOKUP($B36+1,Inverter_PR!$B:$I,Module_Cleaning!H36,0),"")</f>
        <v/>
      </c>
      <c r="M36" s="42">
        <f t="shared" si="0"/>
        <v>0</v>
      </c>
      <c r="N36" s="42" t="s">
        <v>252</v>
      </c>
    </row>
    <row r="37" ht="15" spans="1:14">
      <c r="A37" s="28">
        <v>45771</v>
      </c>
      <c r="B37" s="29">
        <v>45771</v>
      </c>
      <c r="C37" s="30"/>
      <c r="D37" s="30"/>
      <c r="E37" s="30"/>
      <c r="F37" s="30">
        <v>4</v>
      </c>
      <c r="G37" s="30" t="s">
        <v>35</v>
      </c>
      <c r="H37" s="30">
        <f>IFERROR(VLOOKUP(G37,Basic_Data!$E$2:$I$9,5,0),"")</f>
        <v>2</v>
      </c>
      <c r="I37" s="30">
        <f>IFERROR(VLOOKUP($G37,Basic_Data!$E$2:$H$10,4,0),"")</f>
        <v>616</v>
      </c>
      <c r="J37" s="30">
        <v>616</v>
      </c>
      <c r="K37" s="31">
        <f>IFERROR(VLOOKUP($B37-1,Inverter_PR!$B:$I,Module_Cleaning!H37,0),"")</f>
        <v>0.932523134357997</v>
      </c>
      <c r="L37" s="31">
        <f>IFERROR(VLOOKUP($B37+1,Inverter_PR!$B:$I,Module_Cleaning!H37,0),"")</f>
        <v>0.965042373284599</v>
      </c>
      <c r="M37" s="30">
        <f t="shared" si="0"/>
        <v>0</v>
      </c>
      <c r="N37" s="30" t="s">
        <v>250</v>
      </c>
    </row>
    <row r="38" ht="15" spans="1:14">
      <c r="A38" s="28">
        <v>45772</v>
      </c>
      <c r="B38" s="29">
        <v>45772</v>
      </c>
      <c r="C38" s="30"/>
      <c r="D38" s="30"/>
      <c r="E38" s="30"/>
      <c r="F38" s="30">
        <v>4</v>
      </c>
      <c r="G38" s="30" t="s">
        <v>36</v>
      </c>
      <c r="H38" s="30">
        <f>IFERROR(VLOOKUP(G38,Basic_Data!$E$2:$I$9,5,0),"")</f>
        <v>3</v>
      </c>
      <c r="I38" s="30">
        <f>IFERROR(VLOOKUP($G38,Basic_Data!$E$2:$H$10,4,0),"")</f>
        <v>616</v>
      </c>
      <c r="J38" s="30">
        <v>616</v>
      </c>
      <c r="K38" s="31">
        <f>IFERROR(VLOOKUP($B38-1,Inverter_PR!$B:$I,Module_Cleaning!H38,0),"")</f>
        <v>0.964177919322407</v>
      </c>
      <c r="L38" s="31">
        <f>IFERROR(VLOOKUP($B38+1,Inverter_PR!$B:$I,Module_Cleaning!H38,0),"")</f>
        <v>1.25917014551593</v>
      </c>
      <c r="M38" s="30">
        <f t="shared" si="0"/>
        <v>0</v>
      </c>
      <c r="N38" s="30" t="s">
        <v>250</v>
      </c>
    </row>
    <row r="39" ht="15" spans="1:14">
      <c r="A39" s="28">
        <v>45773</v>
      </c>
      <c r="B39" s="29">
        <v>45773</v>
      </c>
      <c r="C39" s="30"/>
      <c r="D39" s="30"/>
      <c r="E39" s="30"/>
      <c r="F39" s="30">
        <v>4</v>
      </c>
      <c r="G39" s="30" t="s">
        <v>37</v>
      </c>
      <c r="H39" s="30">
        <f>IFERROR(VLOOKUP(G39,Basic_Data!$E$2:$I$9,5,0),"")</f>
        <v>4</v>
      </c>
      <c r="I39" s="30">
        <f>IFERROR(VLOOKUP($G39,Basic_Data!$E$2:$H$10,4,0),"")</f>
        <v>616</v>
      </c>
      <c r="J39" s="30">
        <v>616</v>
      </c>
      <c r="K39" s="31">
        <f>IFERROR(VLOOKUP($B39-1,Inverter_PR!$B:$I,Module_Cleaning!H39,0),"")</f>
        <v>0.971223357057399</v>
      </c>
      <c r="L39" s="31">
        <f>IFERROR(VLOOKUP($B39+1,Inverter_PR!$B:$I,Module_Cleaning!H39,0),"")</f>
        <v>1.10276652931246</v>
      </c>
      <c r="M39" s="30">
        <f t="shared" si="0"/>
        <v>0</v>
      </c>
      <c r="N39" s="30" t="s">
        <v>250</v>
      </c>
    </row>
    <row r="40" ht="15" spans="1:14">
      <c r="A40" s="28">
        <v>45774</v>
      </c>
      <c r="B40" s="29">
        <v>45774</v>
      </c>
      <c r="C40" s="42">
        <v>0</v>
      </c>
      <c r="D40" s="42">
        <v>0</v>
      </c>
      <c r="E40" s="42">
        <v>0</v>
      </c>
      <c r="F40" s="42">
        <v>0</v>
      </c>
      <c r="G40" s="42"/>
      <c r="H40" s="42" t="str">
        <f>IFERROR(VLOOKUP(G40,Basic_Data!$E$2:$I$9,5,0),"")</f>
        <v/>
      </c>
      <c r="I40" s="42">
        <v>0</v>
      </c>
      <c r="J40" s="42">
        <v>0</v>
      </c>
      <c r="K40" s="43" t="str">
        <f>IFERROR(VLOOKUP($B40-1,Inverter_PR!$B:$I,Module_Cleaning!H40,0),"")</f>
        <v/>
      </c>
      <c r="L40" s="43" t="str">
        <f>IFERROR(VLOOKUP($B40+1,Inverter_PR!$B:$I,Module_Cleaning!H40,0),"")</f>
        <v/>
      </c>
      <c r="M40" s="42">
        <f t="shared" si="0"/>
        <v>0</v>
      </c>
      <c r="N40" s="42" t="s">
        <v>252</v>
      </c>
    </row>
    <row r="41" ht="15" spans="1:14">
      <c r="A41" s="28">
        <v>45775</v>
      </c>
      <c r="B41" s="29">
        <v>45775</v>
      </c>
      <c r="C41" s="30"/>
      <c r="D41" s="30"/>
      <c r="E41" s="30"/>
      <c r="F41" s="30">
        <v>4</v>
      </c>
      <c r="G41" s="30" t="s">
        <v>38</v>
      </c>
      <c r="H41" s="30">
        <f>IFERROR(VLOOKUP(G41,Basic_Data!$E$2:$I$9,5,0),"")</f>
        <v>5</v>
      </c>
      <c r="I41" s="30">
        <f>IFERROR(VLOOKUP($G41,Basic_Data!$E$2:$H$10,4,0),"")</f>
        <v>644</v>
      </c>
      <c r="J41" s="30">
        <v>644</v>
      </c>
      <c r="K41" s="31">
        <f>IFERROR(VLOOKUP($B41-1,Inverter_PR!$B:$I,Module_Cleaning!H41,0),"")</f>
        <v>1.10400658173018</v>
      </c>
      <c r="L41" s="31">
        <f>IFERROR(VLOOKUP($B41+1,Inverter_PR!$B:$I,Module_Cleaning!H41,0),"")</f>
        <v>0.96484782422979</v>
      </c>
      <c r="M41" s="30">
        <f t="shared" si="0"/>
        <v>0</v>
      </c>
      <c r="N41" s="30" t="s">
        <v>250</v>
      </c>
    </row>
    <row r="42" ht="15" spans="1:14">
      <c r="A42" s="28">
        <v>45776</v>
      </c>
      <c r="B42" s="29">
        <v>45776</v>
      </c>
      <c r="C42" s="42">
        <v>0</v>
      </c>
      <c r="D42" s="42">
        <v>0</v>
      </c>
      <c r="E42" s="42">
        <v>0</v>
      </c>
      <c r="F42" s="42">
        <v>0</v>
      </c>
      <c r="G42" s="42"/>
      <c r="H42" s="42" t="str">
        <f>IFERROR(VLOOKUP(G42,Basic_Data!$E$2:$I$9,5,0),"")</f>
        <v/>
      </c>
      <c r="I42" s="42">
        <v>0</v>
      </c>
      <c r="J42" s="42">
        <v>0</v>
      </c>
      <c r="K42" s="43" t="str">
        <f>IFERROR(VLOOKUP($B42-1,Inverter_PR!$B:$I,Module_Cleaning!H42,0),"")</f>
        <v/>
      </c>
      <c r="L42" s="43" t="str">
        <f>IFERROR(VLOOKUP($B42+1,Inverter_PR!$B:$I,Module_Cleaning!H42,0),"")</f>
        <v/>
      </c>
      <c r="M42" s="42">
        <f t="shared" si="0"/>
        <v>0</v>
      </c>
      <c r="N42" s="42" t="s">
        <v>252</v>
      </c>
    </row>
    <row r="43" ht="15" spans="1:14">
      <c r="A43" s="28">
        <v>45777</v>
      </c>
      <c r="B43" s="29">
        <v>45777</v>
      </c>
      <c r="C43" s="30"/>
      <c r="D43" s="30"/>
      <c r="E43" s="30"/>
      <c r="F43" s="30">
        <v>4</v>
      </c>
      <c r="G43" s="30" t="s">
        <v>39</v>
      </c>
      <c r="H43" s="30">
        <f>IFERROR(VLOOKUP(G43,Basic_Data!$E$2:$I$9,5,0),"")</f>
        <v>6</v>
      </c>
      <c r="I43" s="30">
        <f>IFERROR(VLOOKUP($G43,Basic_Data!$E$2:$H$10,4,0),"")</f>
        <v>644</v>
      </c>
      <c r="J43" s="30">
        <v>644</v>
      </c>
      <c r="K43" s="31">
        <f>IFERROR(VLOOKUP($B43-1,Inverter_PR!$B:$I,Module_Cleaning!H43,0),"")</f>
        <v>0.958116728078482</v>
      </c>
      <c r="L43" s="31">
        <f>IFERROR(VLOOKUP($B43+1,Inverter_PR!$B:$I,Module_Cleaning!H43,0),"")</f>
        <v>0.955438593077594</v>
      </c>
      <c r="M43" s="30">
        <f t="shared" si="0"/>
        <v>0</v>
      </c>
      <c r="N43" s="30" t="s">
        <v>250</v>
      </c>
    </row>
    <row r="44" ht="15" spans="1:14">
      <c r="A44" s="28">
        <v>45778</v>
      </c>
      <c r="B44" s="29">
        <v>45778</v>
      </c>
      <c r="C44" s="30">
        <v>1</v>
      </c>
      <c r="D44" s="30">
        <v>1500</v>
      </c>
      <c r="E44" s="30">
        <v>1485</v>
      </c>
      <c r="F44" s="30">
        <v>1</v>
      </c>
      <c r="G44" s="30" t="s">
        <v>35</v>
      </c>
      <c r="H44" s="30">
        <f>IFERROR(VLOOKUP(G44,Basic_Data!$E$2:$I$9,5,0),"")</f>
        <v>2</v>
      </c>
      <c r="I44" s="30">
        <f>IFERROR(VLOOKUP($G44,Basic_Data!$E$2:$H$10,4,0),"")</f>
        <v>616</v>
      </c>
      <c r="J44" s="30">
        <v>616</v>
      </c>
      <c r="K44" s="31">
        <f>IFERROR(VLOOKUP($B44-1,Inverter_PR!$B:$I,Module_Cleaning!H44,0),"")</f>
        <v>0.973226461221776</v>
      </c>
      <c r="L44" s="31">
        <f>IFERROR(VLOOKUP($B44+1,Inverter_PR!$B:$I,Module_Cleaning!H44,0),"")</f>
        <v>0.9775844825461</v>
      </c>
      <c r="M44" s="30">
        <f t="shared" si="0"/>
        <v>0</v>
      </c>
      <c r="N44" s="30" t="s">
        <v>251</v>
      </c>
    </row>
    <row r="45" ht="15" spans="1:14">
      <c r="A45" s="28">
        <v>45779</v>
      </c>
      <c r="B45" s="29">
        <v>45779</v>
      </c>
      <c r="C45" s="30">
        <v>6</v>
      </c>
      <c r="D45" s="30">
        <v>9000</v>
      </c>
      <c r="E45" s="30"/>
      <c r="F45" s="30">
        <v>1</v>
      </c>
      <c r="G45" s="30" t="s">
        <v>36</v>
      </c>
      <c r="H45" s="30">
        <f>IFERROR(VLOOKUP(G45,Basic_Data!$E$2:$I$9,5,0),"")</f>
        <v>3</v>
      </c>
      <c r="I45" s="30">
        <f>IFERROR(VLOOKUP($G45,Basic_Data!$E$2:$H$10,4,0),"")</f>
        <v>616</v>
      </c>
      <c r="J45" s="30">
        <v>616</v>
      </c>
      <c r="K45" s="31">
        <f>IFERROR(VLOOKUP($B45-1,Inverter_PR!$B:$I,Module_Cleaning!H45,0),"")</f>
        <v>0.975125419072611</v>
      </c>
      <c r="L45" s="31">
        <f>IFERROR(VLOOKUP($B45+1,Inverter_PR!$B:$I,Module_Cleaning!H45,0),"")</f>
        <v>0.986848075067286</v>
      </c>
      <c r="M45" s="30">
        <f t="shared" si="0"/>
        <v>0</v>
      </c>
      <c r="N45" s="30" t="s">
        <v>251</v>
      </c>
    </row>
    <row r="46" ht="15" spans="1:14">
      <c r="A46" s="28"/>
      <c r="B46" s="29"/>
      <c r="C46" s="30"/>
      <c r="D46" s="30"/>
      <c r="E46" s="30"/>
      <c r="F46" s="30">
        <v>1</v>
      </c>
      <c r="G46" s="30" t="s">
        <v>37</v>
      </c>
      <c r="H46" s="30">
        <v>4</v>
      </c>
      <c r="I46" s="30">
        <f>IFERROR(VLOOKUP($G46,Basic_Data!$E$2:$H$10,4,0),"")</f>
        <v>616</v>
      </c>
      <c r="J46" s="30">
        <v>616</v>
      </c>
      <c r="K46" s="31" t="str">
        <f>IFERROR(VLOOKUP($B46-1,Inverter_PR!$B:$I,Module_Cleaning!H46,0),"")</f>
        <v/>
      </c>
      <c r="L46" s="31"/>
      <c r="M46" s="30"/>
      <c r="N46" s="30" t="s">
        <v>251</v>
      </c>
    </row>
    <row r="47" ht="15" spans="1:14">
      <c r="A47" s="28"/>
      <c r="B47" s="29"/>
      <c r="C47" s="30"/>
      <c r="D47" s="30"/>
      <c r="E47" s="30"/>
      <c r="F47" s="30">
        <v>1</v>
      </c>
      <c r="G47" s="30" t="s">
        <v>38</v>
      </c>
      <c r="H47" s="30">
        <v>5</v>
      </c>
      <c r="I47" s="30">
        <f>IFERROR(VLOOKUP($G47,Basic_Data!$E$2:$H$10,4,0),"")</f>
        <v>644</v>
      </c>
      <c r="J47" s="30">
        <v>616</v>
      </c>
      <c r="K47" s="31" t="str">
        <f>IFERROR(VLOOKUP($B47-1,Inverter_PR!$B:$I,Module_Cleaning!H47,0),"")</f>
        <v/>
      </c>
      <c r="L47" s="31"/>
      <c r="M47" s="30"/>
      <c r="N47" s="30" t="s">
        <v>251</v>
      </c>
    </row>
    <row r="48" ht="15" spans="1:14">
      <c r="A48" s="28"/>
      <c r="B48" s="29"/>
      <c r="C48" s="30"/>
      <c r="D48" s="30"/>
      <c r="E48" s="30"/>
      <c r="F48" s="30">
        <v>1</v>
      </c>
      <c r="G48" s="30" t="s">
        <v>39</v>
      </c>
      <c r="H48" s="30">
        <v>6</v>
      </c>
      <c r="I48" s="30">
        <f>IFERROR(VLOOKUP($G48,Basic_Data!$E$2:$H$10,4,0),"")</f>
        <v>644</v>
      </c>
      <c r="J48" s="30">
        <v>616</v>
      </c>
      <c r="K48" s="31" t="str">
        <f>IFERROR(VLOOKUP($B48-1,Inverter_PR!$B:$I,Module_Cleaning!H48,0),"")</f>
        <v/>
      </c>
      <c r="L48" s="31"/>
      <c r="M48" s="30"/>
      <c r="N48" s="30" t="s">
        <v>251</v>
      </c>
    </row>
    <row r="49" ht="15" spans="1:14">
      <c r="A49" s="28"/>
      <c r="B49" s="29"/>
      <c r="C49" s="30"/>
      <c r="D49" s="30"/>
      <c r="E49" s="30"/>
      <c r="F49" s="30">
        <v>1</v>
      </c>
      <c r="G49" s="30" t="s">
        <v>40</v>
      </c>
      <c r="H49" s="30">
        <v>7</v>
      </c>
      <c r="I49" s="30">
        <f>IFERROR(VLOOKUP($G49,Basic_Data!$E$2:$H$10,4,0),"")</f>
        <v>644</v>
      </c>
      <c r="J49" s="30">
        <v>616</v>
      </c>
      <c r="K49" s="31" t="str">
        <f>IFERROR(VLOOKUP($B49-1,Inverter_PR!$B:$I,Module_Cleaning!H49,0),"")</f>
        <v/>
      </c>
      <c r="L49" s="31"/>
      <c r="M49" s="30"/>
      <c r="N49" s="30" t="s">
        <v>251</v>
      </c>
    </row>
    <row r="50" ht="15" spans="1:14">
      <c r="A50" s="28">
        <v>45780</v>
      </c>
      <c r="B50" s="29">
        <v>45780</v>
      </c>
      <c r="C50" s="30">
        <v>1</v>
      </c>
      <c r="D50" s="30">
        <v>1500</v>
      </c>
      <c r="E50" s="30"/>
      <c r="F50" s="30">
        <v>1</v>
      </c>
      <c r="G50" s="30" t="s">
        <v>41</v>
      </c>
      <c r="H50" s="30">
        <f>IFERROR(VLOOKUP(G50,Basic_Data!$E$2:$I$9,5,0),"")</f>
        <v>8</v>
      </c>
      <c r="I50" s="30">
        <f>IFERROR(VLOOKUP($G50,Basic_Data!$E$2:$H$10,4,0),"")</f>
        <v>644</v>
      </c>
      <c r="J50" s="30">
        <v>644</v>
      </c>
      <c r="K50" s="31">
        <f>IFERROR(VLOOKUP($B50-1,Inverter_PR!$B:$I,Module_Cleaning!H50,0),"")</f>
        <v>0.920982585383487</v>
      </c>
      <c r="L50" s="31">
        <f>IFERROR(VLOOKUP($B50+1,Inverter_PR!$B:$I,Module_Cleaning!H50,0),"")</f>
        <v>0.989004727109462</v>
      </c>
      <c r="M50" s="30">
        <f t="shared" si="0"/>
        <v>0</v>
      </c>
      <c r="N50" s="30" t="s">
        <v>251</v>
      </c>
    </row>
    <row r="51" ht="15" spans="1:14">
      <c r="A51" s="28">
        <v>45781</v>
      </c>
      <c r="B51" s="29">
        <v>45781</v>
      </c>
      <c r="C51" s="30">
        <v>0</v>
      </c>
      <c r="D51" s="30">
        <v>0</v>
      </c>
      <c r="E51" s="30">
        <v>0</v>
      </c>
      <c r="F51" s="30">
        <v>0</v>
      </c>
      <c r="G51" s="30"/>
      <c r="H51" s="30" t="str">
        <f>IFERROR(VLOOKUP(G51,Basic_Data!$E$2:$I$9,5,0),"")</f>
        <v/>
      </c>
      <c r="I51" s="30">
        <v>0</v>
      </c>
      <c r="J51" s="30">
        <v>0</v>
      </c>
      <c r="K51" s="31" t="str">
        <f>IFERROR(VLOOKUP($B51-1,Inverter_PR!$B:$I,Module_Cleaning!H51,0),"")</f>
        <v/>
      </c>
      <c r="L51" s="31" t="str">
        <f>IFERROR(VLOOKUP($B51+1,Inverter_PR!$B:$I,Module_Cleaning!H51,0),"")</f>
        <v/>
      </c>
      <c r="M51" s="30">
        <f t="shared" si="0"/>
        <v>0</v>
      </c>
      <c r="N51" s="30" t="s">
        <v>252</v>
      </c>
    </row>
    <row r="52" ht="15" spans="1:14">
      <c r="A52" s="28">
        <v>45782</v>
      </c>
      <c r="B52" s="29">
        <v>45782</v>
      </c>
      <c r="C52" s="30">
        <v>0</v>
      </c>
      <c r="D52" s="30">
        <v>0</v>
      </c>
      <c r="E52" s="30">
        <v>0</v>
      </c>
      <c r="F52" s="30">
        <v>0</v>
      </c>
      <c r="G52" s="30"/>
      <c r="H52" s="30" t="str">
        <f>IFERROR(VLOOKUP(G52,Basic_Data!$E$2:$I$9,5,0),"")</f>
        <v/>
      </c>
      <c r="I52" s="30">
        <v>0</v>
      </c>
      <c r="J52" s="30">
        <v>0</v>
      </c>
      <c r="K52" s="31" t="str">
        <f>IFERROR(VLOOKUP($B52-1,Inverter_PR!$B:$I,Module_Cleaning!H52,0),"")</f>
        <v/>
      </c>
      <c r="L52" s="31" t="str">
        <f>IFERROR(VLOOKUP($B52+1,Inverter_PR!$B:$I,Module_Cleaning!H52,0),"")</f>
        <v/>
      </c>
      <c r="M52" s="30">
        <f t="shared" si="0"/>
        <v>0</v>
      </c>
      <c r="N52" s="30" t="s">
        <v>252</v>
      </c>
    </row>
    <row r="53" ht="15" spans="1:14">
      <c r="A53" s="28">
        <v>45783</v>
      </c>
      <c r="B53" s="29">
        <v>45783</v>
      </c>
      <c r="C53" s="30">
        <v>0</v>
      </c>
      <c r="D53" s="30">
        <v>0</v>
      </c>
      <c r="E53" s="30">
        <v>0</v>
      </c>
      <c r="F53" s="30">
        <v>0</v>
      </c>
      <c r="G53" s="30"/>
      <c r="H53" s="30" t="str">
        <f>IFERROR(VLOOKUP(G53,Basic_Data!$E$2:$I$9,5,0),"")</f>
        <v/>
      </c>
      <c r="I53" s="30">
        <v>0</v>
      </c>
      <c r="J53" s="30">
        <v>0</v>
      </c>
      <c r="K53" s="31" t="str">
        <f>IFERROR(VLOOKUP($B53-1,Inverter_PR!$B:$I,Module_Cleaning!H53,0),"")</f>
        <v/>
      </c>
      <c r="L53" s="31" t="str">
        <f>IFERROR(VLOOKUP($B53+1,Inverter_PR!$B:$I,Module_Cleaning!H53,0),"")</f>
        <v/>
      </c>
      <c r="M53" s="30">
        <f t="shared" si="0"/>
        <v>0</v>
      </c>
      <c r="N53" s="30" t="s">
        <v>252</v>
      </c>
    </row>
    <row r="54" ht="15" spans="1:14">
      <c r="A54" s="28">
        <v>45784</v>
      </c>
      <c r="B54" s="29">
        <v>45784</v>
      </c>
      <c r="C54" s="42"/>
      <c r="D54" s="42"/>
      <c r="E54" s="42"/>
      <c r="F54" s="42"/>
      <c r="G54" s="42"/>
      <c r="H54" s="42" t="str">
        <f>IFERROR(VLOOKUP(G54,Basic_Data!$E$2:$I$9,5,0),"")</f>
        <v/>
      </c>
      <c r="I54" s="42" t="str">
        <f>IFERROR(VLOOKUP($G54,Basic_Data!$E$2:$H$10,4,0),"")</f>
        <v/>
      </c>
      <c r="J54" s="42"/>
      <c r="K54" s="43" t="str">
        <f>IFERROR(VLOOKUP($B54-1,Inverter_PR!$B:$I,Module_Cleaning!H54,0),"")</f>
        <v/>
      </c>
      <c r="L54" s="43" t="str">
        <f>IFERROR(VLOOKUP($B54+1,Inverter_PR!$B:$I,Module_Cleaning!H54,0),"")</f>
        <v/>
      </c>
      <c r="M54" s="42" t="str">
        <f t="shared" si="0"/>
        <v/>
      </c>
      <c r="N54" s="42" t="s">
        <v>254</v>
      </c>
    </row>
    <row r="55" ht="15" spans="1:14">
      <c r="A55" s="28">
        <v>45785</v>
      </c>
      <c r="B55" s="29">
        <v>45785</v>
      </c>
      <c r="C55" s="30">
        <v>0</v>
      </c>
      <c r="D55" s="30"/>
      <c r="E55" s="30">
        <v>0</v>
      </c>
      <c r="F55" s="30">
        <v>0</v>
      </c>
      <c r="G55" s="30"/>
      <c r="H55" s="30" t="str">
        <f>IFERROR(VLOOKUP(G55,Basic_Data!$E$2:$I$9,5,0),"")</f>
        <v/>
      </c>
      <c r="I55" s="30">
        <v>0</v>
      </c>
      <c r="J55" s="30">
        <v>0</v>
      </c>
      <c r="K55" s="31" t="str">
        <f>IFERROR(VLOOKUP($B55-1,Inverter_PR!$B:$I,Module_Cleaning!H55,0),"")</f>
        <v/>
      </c>
      <c r="L55" s="31" t="str">
        <f>IFERROR(VLOOKUP($B55+1,Inverter_PR!$B:$I,Module_Cleaning!H55,0),"")</f>
        <v/>
      </c>
      <c r="M55" s="30">
        <v>0</v>
      </c>
      <c r="N55" s="30" t="s">
        <v>252</v>
      </c>
    </row>
    <row r="56" ht="15" spans="1:14">
      <c r="A56" s="28">
        <v>45786</v>
      </c>
      <c r="B56" s="29">
        <v>45786</v>
      </c>
      <c r="C56" s="42"/>
      <c r="D56" s="42"/>
      <c r="E56" s="42"/>
      <c r="F56" s="42"/>
      <c r="G56" s="42"/>
      <c r="H56" s="42" t="str">
        <f>IFERROR(VLOOKUP(G56,Basic_Data!$E$2:$I$9,5,0),"")</f>
        <v/>
      </c>
      <c r="I56" s="42" t="str">
        <f>IFERROR(VLOOKUP($G56,Basic_Data!$E$2:$H$10,4,0),"")</f>
        <v/>
      </c>
      <c r="J56" s="42"/>
      <c r="K56" s="43" t="str">
        <f>IFERROR(VLOOKUP($B56-1,Inverter_PR!$B:$I,Module_Cleaning!H56,0),"")</f>
        <v/>
      </c>
      <c r="L56" s="43" t="str">
        <f>IFERROR(VLOOKUP($B56+1,Inverter_PR!$B:$I,Module_Cleaning!H56,0),"")</f>
        <v/>
      </c>
      <c r="M56" s="42" t="str">
        <f t="shared" si="0"/>
        <v/>
      </c>
      <c r="N56" s="42" t="s">
        <v>254</v>
      </c>
    </row>
    <row r="57" ht="15" spans="1:14">
      <c r="A57" s="28">
        <v>45787</v>
      </c>
      <c r="B57" s="29">
        <v>45787</v>
      </c>
      <c r="C57" s="42"/>
      <c r="D57" s="42"/>
      <c r="E57" s="42"/>
      <c r="F57" s="42"/>
      <c r="G57" s="42"/>
      <c r="H57" s="42" t="str">
        <f>IFERROR(VLOOKUP(G57,Basic_Data!$E$2:$I$9,5,0),"")</f>
        <v/>
      </c>
      <c r="I57" s="42" t="str">
        <f>IFERROR(VLOOKUP($G57,Basic_Data!$E$2:$H$10,4,0),"")</f>
        <v/>
      </c>
      <c r="J57" s="42"/>
      <c r="K57" s="43" t="str">
        <f>IFERROR(VLOOKUP($B57-1,Inverter_PR!$B:$I,Module_Cleaning!H57,0),"")</f>
        <v/>
      </c>
      <c r="L57" s="43" t="str">
        <f>IFERROR(VLOOKUP($B57+1,Inverter_PR!$B:$I,Module_Cleaning!H57,0),"")</f>
        <v/>
      </c>
      <c r="M57" s="42" t="str">
        <f t="shared" ref="M57" si="1">IFERROR(I57-J57,"")</f>
        <v/>
      </c>
      <c r="N57" s="42" t="s">
        <v>254</v>
      </c>
    </row>
    <row r="58" ht="15" spans="1:14">
      <c r="A58" s="28">
        <v>45788</v>
      </c>
      <c r="B58" s="29">
        <v>45788</v>
      </c>
      <c r="C58" s="30">
        <v>0</v>
      </c>
      <c r="D58" s="30"/>
      <c r="E58" s="30">
        <v>0</v>
      </c>
      <c r="F58" s="30">
        <v>0</v>
      </c>
      <c r="G58" s="30"/>
      <c r="H58" s="30" t="str">
        <f>IFERROR(VLOOKUP(G58,Basic_Data!$E$2:$I$9,5,0),"")</f>
        <v/>
      </c>
      <c r="I58" s="30">
        <v>0</v>
      </c>
      <c r="J58" s="30">
        <v>0</v>
      </c>
      <c r="K58" s="31" t="str">
        <f>IFERROR(VLOOKUP($B58-1,Inverter_PR!$B:$I,Module_Cleaning!H58,0),"")</f>
        <v/>
      </c>
      <c r="L58" s="31" t="str">
        <f>IFERROR(VLOOKUP($B58+1,Inverter_PR!$B:$I,Module_Cleaning!H58,0),"")</f>
        <v/>
      </c>
      <c r="M58" s="30">
        <v>0</v>
      </c>
      <c r="N58" s="30" t="s">
        <v>252</v>
      </c>
    </row>
    <row r="59" ht="15" spans="1:14">
      <c r="A59" s="28">
        <v>45789</v>
      </c>
      <c r="B59" s="29">
        <v>45789</v>
      </c>
      <c r="C59" s="30">
        <v>0</v>
      </c>
      <c r="D59" s="30"/>
      <c r="E59" s="30">
        <v>0</v>
      </c>
      <c r="F59" s="30">
        <v>0</v>
      </c>
      <c r="G59" s="30"/>
      <c r="H59" s="30" t="str">
        <f>IFERROR(VLOOKUP(G59,Basic_Data!$E$2:$I$9,5,0),"")</f>
        <v/>
      </c>
      <c r="I59" s="30">
        <v>0</v>
      </c>
      <c r="J59" s="30">
        <v>0</v>
      </c>
      <c r="K59" s="31" t="str">
        <f>IFERROR(VLOOKUP($B59-1,Inverter_PR!$B:$I,Module_Cleaning!H59,0),"")</f>
        <v/>
      </c>
      <c r="L59" s="31" t="str">
        <f>IFERROR(VLOOKUP($B59+1,Inverter_PR!$B:$I,Module_Cleaning!H59,0),"")</f>
        <v/>
      </c>
      <c r="M59" s="30">
        <v>0</v>
      </c>
      <c r="N59" s="30" t="s">
        <v>252</v>
      </c>
    </row>
    <row r="60" ht="15" spans="1:14">
      <c r="A60" s="28">
        <v>45790</v>
      </c>
      <c r="B60" s="29">
        <v>45790</v>
      </c>
      <c r="C60" s="30">
        <v>0</v>
      </c>
      <c r="D60" s="30"/>
      <c r="E60" s="30">
        <v>0</v>
      </c>
      <c r="F60" s="30">
        <v>0</v>
      </c>
      <c r="G60" s="30"/>
      <c r="H60" s="30" t="str">
        <f>IFERROR(VLOOKUP(G60,Basic_Data!$E$2:$I$9,5,0),"")</f>
        <v/>
      </c>
      <c r="I60" s="30">
        <v>0</v>
      </c>
      <c r="J60" s="30">
        <v>0</v>
      </c>
      <c r="K60" s="31" t="str">
        <f>IFERROR(VLOOKUP($B60-1,Inverter_PR!$B:$I,Module_Cleaning!H60,0),"")</f>
        <v/>
      </c>
      <c r="L60" s="31" t="str">
        <f>IFERROR(VLOOKUP($B60+1,Inverter_PR!$B:$I,Module_Cleaning!H60,0),"")</f>
        <v/>
      </c>
      <c r="M60" s="30">
        <v>0</v>
      </c>
      <c r="N60" s="30" t="s">
        <v>252</v>
      </c>
    </row>
    <row r="61" ht="15" spans="1:14">
      <c r="A61" s="28">
        <v>45791</v>
      </c>
      <c r="B61" s="29">
        <v>45791</v>
      </c>
      <c r="C61" s="30">
        <v>0</v>
      </c>
      <c r="D61" s="30"/>
      <c r="E61" s="30">
        <v>0</v>
      </c>
      <c r="F61" s="30">
        <v>0</v>
      </c>
      <c r="G61" s="30"/>
      <c r="H61" s="30" t="str">
        <f>IFERROR(VLOOKUP(G61,Basic_Data!$E$2:$I$9,5,0),"")</f>
        <v/>
      </c>
      <c r="I61" s="30">
        <v>0</v>
      </c>
      <c r="J61" s="30">
        <v>0</v>
      </c>
      <c r="K61" s="31" t="str">
        <f>IFERROR(VLOOKUP($B61-1,Inverter_PR!$B:$I,Module_Cleaning!H61,0),"")</f>
        <v/>
      </c>
      <c r="L61" s="31" t="str">
        <f>IFERROR(VLOOKUP($B61+1,Inverter_PR!$B:$I,Module_Cleaning!H61,0),"")</f>
        <v/>
      </c>
      <c r="M61" s="30">
        <v>0</v>
      </c>
      <c r="N61" s="30" t="s">
        <v>252</v>
      </c>
    </row>
    <row r="62" ht="15" spans="1:14">
      <c r="A62" s="28">
        <v>45792</v>
      </c>
      <c r="B62" s="29">
        <v>45792</v>
      </c>
      <c r="C62" s="30">
        <v>0</v>
      </c>
      <c r="D62" s="30"/>
      <c r="E62" s="30">
        <v>0</v>
      </c>
      <c r="F62" s="30">
        <v>0</v>
      </c>
      <c r="G62" s="30"/>
      <c r="H62" s="30" t="str">
        <f>IFERROR(VLOOKUP(G62,Basic_Data!$E$2:$I$9,5,0),"")</f>
        <v/>
      </c>
      <c r="I62" s="30">
        <v>0</v>
      </c>
      <c r="J62" s="30">
        <v>0</v>
      </c>
      <c r="K62" s="31" t="str">
        <f>IFERROR(VLOOKUP($B62-1,Inverter_PR!$B:$I,Module_Cleaning!H62,0),"")</f>
        <v/>
      </c>
      <c r="L62" s="31" t="str">
        <f>IFERROR(VLOOKUP($B62+1,Inverter_PR!$B:$I,Module_Cleaning!H62,0),"")</f>
        <v/>
      </c>
      <c r="M62" s="30">
        <v>0</v>
      </c>
      <c r="N62" s="30" t="s">
        <v>252</v>
      </c>
    </row>
    <row r="63" ht="15" spans="1:14">
      <c r="A63" s="28">
        <v>45793</v>
      </c>
      <c r="B63" s="29">
        <v>45793</v>
      </c>
      <c r="C63" s="30">
        <v>0</v>
      </c>
      <c r="D63" s="30"/>
      <c r="E63" s="30">
        <v>0</v>
      </c>
      <c r="F63" s="30">
        <v>0</v>
      </c>
      <c r="G63" s="30"/>
      <c r="H63" s="30" t="str">
        <f>IFERROR(VLOOKUP(G63,Basic_Data!$E$2:$I$9,5,0),"")</f>
        <v/>
      </c>
      <c r="I63" s="30">
        <v>0</v>
      </c>
      <c r="J63" s="30">
        <v>0</v>
      </c>
      <c r="K63" s="31" t="str">
        <f>IFERROR(VLOOKUP($B63-1,Inverter_PR!$B:$I,Module_Cleaning!H63,0),"")</f>
        <v/>
      </c>
      <c r="L63" s="31" t="str">
        <f>IFERROR(VLOOKUP($B63+1,Inverter_PR!$B:$I,Module_Cleaning!H63,0),"")</f>
        <v/>
      </c>
      <c r="M63" s="30">
        <v>0</v>
      </c>
      <c r="N63" s="30" t="s">
        <v>252</v>
      </c>
    </row>
    <row r="64" ht="15" spans="1:14">
      <c r="A64" s="28">
        <v>45794</v>
      </c>
      <c r="B64" s="29">
        <v>45794</v>
      </c>
      <c r="C64" s="30">
        <v>0</v>
      </c>
      <c r="D64" s="30"/>
      <c r="E64" s="30">
        <v>0</v>
      </c>
      <c r="F64" s="30">
        <v>0</v>
      </c>
      <c r="G64" s="30"/>
      <c r="H64" s="30" t="str">
        <f>IFERROR(VLOOKUP(G64,Basic_Data!$E$2:$I$9,5,0),"")</f>
        <v/>
      </c>
      <c r="I64" s="30">
        <v>0</v>
      </c>
      <c r="J64" s="30">
        <v>0</v>
      </c>
      <c r="K64" s="31" t="str">
        <f>IFERROR(VLOOKUP($B64-1,Inverter_PR!$B:$I,Module_Cleaning!H64,0),"")</f>
        <v/>
      </c>
      <c r="L64" s="31" t="str">
        <f>IFERROR(VLOOKUP($B64+1,Inverter_PR!$B:$I,Module_Cleaning!H64,0),"")</f>
        <v/>
      </c>
      <c r="M64" s="30">
        <v>0</v>
      </c>
      <c r="N64" s="30" t="s">
        <v>252</v>
      </c>
    </row>
    <row r="65" ht="15" spans="1:14">
      <c r="A65" s="28">
        <v>45795</v>
      </c>
      <c r="B65" s="29">
        <v>45795</v>
      </c>
      <c r="C65" s="30">
        <v>0</v>
      </c>
      <c r="D65" s="30"/>
      <c r="E65" s="30">
        <v>0</v>
      </c>
      <c r="F65" s="30">
        <v>0</v>
      </c>
      <c r="G65" s="30"/>
      <c r="H65" s="30" t="str">
        <f>IFERROR(VLOOKUP(G65,Basic_Data!$E$2:$I$9,5,0),"")</f>
        <v/>
      </c>
      <c r="I65" s="30">
        <v>0</v>
      </c>
      <c r="J65" s="30">
        <v>0</v>
      </c>
      <c r="K65" s="31" t="str">
        <f>IFERROR(VLOOKUP($B65-1,Inverter_PR!$B:$I,Module_Cleaning!H65,0),"")</f>
        <v/>
      </c>
      <c r="L65" s="31" t="str">
        <f>IFERROR(VLOOKUP($B65+1,Inverter_PR!$B:$I,Module_Cleaning!H65,0),"")</f>
        <v/>
      </c>
      <c r="M65" s="30">
        <v>0</v>
      </c>
      <c r="N65" s="30" t="s">
        <v>252</v>
      </c>
    </row>
    <row r="66" ht="15" spans="1:14">
      <c r="A66" s="28">
        <v>45796</v>
      </c>
      <c r="B66" s="29">
        <v>45796</v>
      </c>
      <c r="C66" s="30">
        <v>0</v>
      </c>
      <c r="D66" s="30"/>
      <c r="E66" s="30">
        <v>0</v>
      </c>
      <c r="F66" s="30">
        <v>0</v>
      </c>
      <c r="G66" s="30"/>
      <c r="H66" s="30" t="str">
        <f>IFERROR(VLOOKUP(G66,Basic_Data!$E$2:$I$9,5,0),"")</f>
        <v/>
      </c>
      <c r="I66" s="30">
        <v>0</v>
      </c>
      <c r="J66" s="30">
        <v>0</v>
      </c>
      <c r="K66" s="31" t="str">
        <f>IFERROR(VLOOKUP($B66-1,Inverter_PR!$B:$I,Module_Cleaning!H66,0),"")</f>
        <v/>
      </c>
      <c r="L66" s="31" t="str">
        <f>IFERROR(VLOOKUP($B66+1,Inverter_PR!$B:$I,Module_Cleaning!H66,0),"")</f>
        <v/>
      </c>
      <c r="M66" s="30">
        <v>0</v>
      </c>
      <c r="N66" s="30" t="s">
        <v>252</v>
      </c>
    </row>
    <row r="67" ht="15" spans="1:14">
      <c r="A67" s="28">
        <v>45797</v>
      </c>
      <c r="B67" s="29">
        <v>45797</v>
      </c>
      <c r="C67" s="42">
        <v>0</v>
      </c>
      <c r="D67" s="42"/>
      <c r="E67" s="42">
        <v>0</v>
      </c>
      <c r="F67" s="42">
        <v>0</v>
      </c>
      <c r="G67" s="42"/>
      <c r="H67" s="42" t="str">
        <f>IFERROR(VLOOKUP(G67,Basic_Data!$E$2:$I$9,5,0),"")</f>
        <v/>
      </c>
      <c r="I67" s="42">
        <v>0</v>
      </c>
      <c r="J67" s="42">
        <v>0</v>
      </c>
      <c r="K67" s="43" t="str">
        <f>IFERROR(VLOOKUP($B67-1,Inverter_PR!$B:$I,Module_Cleaning!H67,0),"")</f>
        <v/>
      </c>
      <c r="L67" s="43" t="str">
        <f>IFERROR(VLOOKUP($B67+1,Inverter_PR!$B:$I,Module_Cleaning!H67,0),"")</f>
        <v/>
      </c>
      <c r="M67" s="42">
        <v>0</v>
      </c>
      <c r="N67" s="42" t="s">
        <v>254</v>
      </c>
    </row>
    <row r="68" ht="15" spans="1:14">
      <c r="A68" s="28">
        <v>45798</v>
      </c>
      <c r="B68" s="29">
        <v>45798</v>
      </c>
      <c r="C68" s="30">
        <v>0</v>
      </c>
      <c r="D68" s="30"/>
      <c r="E68" s="30">
        <v>0</v>
      </c>
      <c r="F68" s="30">
        <v>0</v>
      </c>
      <c r="G68" s="30"/>
      <c r="H68" s="30" t="str">
        <f>IFERROR(VLOOKUP(G68,Basic_Data!$E$2:$I$9,5,0),"")</f>
        <v/>
      </c>
      <c r="I68" s="30">
        <v>0</v>
      </c>
      <c r="J68" s="30">
        <v>0</v>
      </c>
      <c r="K68" s="31" t="str">
        <f>IFERROR(VLOOKUP($B68-1,Inverter_PR!$B:$I,Module_Cleaning!H68,0),"")</f>
        <v/>
      </c>
      <c r="L68" s="31" t="str">
        <f>IFERROR(VLOOKUP($B68+1,Inverter_PR!$B:$I,Module_Cleaning!H68,0),"")</f>
        <v/>
      </c>
      <c r="M68" s="30">
        <v>0</v>
      </c>
      <c r="N68" s="30" t="s">
        <v>252</v>
      </c>
    </row>
    <row r="69" ht="15" spans="1:14">
      <c r="A69" s="28">
        <v>45799</v>
      </c>
      <c r="B69" s="29">
        <v>45799</v>
      </c>
      <c r="C69" s="30">
        <v>0</v>
      </c>
      <c r="D69" s="30"/>
      <c r="E69" s="30">
        <v>0</v>
      </c>
      <c r="F69" s="30">
        <v>0</v>
      </c>
      <c r="G69" s="30"/>
      <c r="H69" s="30" t="str">
        <f>IFERROR(VLOOKUP(G69,Basic_Data!$E$2:$I$9,5,0),"")</f>
        <v/>
      </c>
      <c r="I69" s="30">
        <v>0</v>
      </c>
      <c r="J69" s="30">
        <v>0</v>
      </c>
      <c r="K69" s="31" t="str">
        <f>IFERROR(VLOOKUP($B69-1,Inverter_PR!$B:$I,Module_Cleaning!H69,0),"")</f>
        <v/>
      </c>
      <c r="L69" s="31" t="str">
        <f>IFERROR(VLOOKUP($B69+1,Inverter_PR!$B:$I,Module_Cleaning!H69,0),"")</f>
        <v/>
      </c>
      <c r="M69" s="30">
        <v>0</v>
      </c>
      <c r="N69" s="30" t="s">
        <v>252</v>
      </c>
    </row>
    <row r="70" ht="15" spans="1:14">
      <c r="A70" s="28">
        <v>45800</v>
      </c>
      <c r="B70" s="29">
        <v>45800</v>
      </c>
      <c r="C70" s="30">
        <v>0</v>
      </c>
      <c r="D70" s="30"/>
      <c r="E70" s="30">
        <v>0</v>
      </c>
      <c r="F70" s="30">
        <v>0</v>
      </c>
      <c r="G70" s="30"/>
      <c r="H70" s="30" t="str">
        <f>IFERROR(VLOOKUP(G70,Basic_Data!$E$2:$I$9,5,0),"")</f>
        <v/>
      </c>
      <c r="I70" s="30">
        <v>0</v>
      </c>
      <c r="J70" s="30">
        <v>0</v>
      </c>
      <c r="K70" s="31" t="str">
        <f>IFERROR(VLOOKUP($B70-1,Inverter_PR!$B:$I,Module_Cleaning!H70,0),"")</f>
        <v/>
      </c>
      <c r="L70" s="31" t="str">
        <f>IFERROR(VLOOKUP($B70+1,Inverter_PR!$B:$I,Module_Cleaning!H70,0),"")</f>
        <v/>
      </c>
      <c r="M70" s="30">
        <v>0</v>
      </c>
      <c r="N70" s="30" t="s">
        <v>252</v>
      </c>
    </row>
    <row r="71" ht="15" spans="1:14">
      <c r="A71" s="28">
        <v>45801</v>
      </c>
      <c r="B71" s="29">
        <v>45801</v>
      </c>
      <c r="C71" s="30">
        <v>0</v>
      </c>
      <c r="D71" s="30"/>
      <c r="E71" s="30">
        <v>0</v>
      </c>
      <c r="F71" s="30">
        <v>0</v>
      </c>
      <c r="G71" s="30"/>
      <c r="H71" s="30" t="str">
        <f>IFERROR(VLOOKUP(G71,Basic_Data!$E$2:$I$9,5,0),"")</f>
        <v/>
      </c>
      <c r="I71" s="30">
        <v>0</v>
      </c>
      <c r="J71" s="30">
        <v>0</v>
      </c>
      <c r="K71" s="31" t="str">
        <f>IFERROR(VLOOKUP($B71-1,Inverter_PR!$B:$I,Module_Cleaning!H71,0),"")</f>
        <v/>
      </c>
      <c r="L71" s="31" t="str">
        <f>IFERROR(VLOOKUP($B71+1,Inverter_PR!$B:$I,Module_Cleaning!H71,0),"")</f>
        <v/>
      </c>
      <c r="M71" s="30">
        <v>0</v>
      </c>
      <c r="N71" s="30" t="s">
        <v>252</v>
      </c>
    </row>
    <row r="72" ht="15" spans="1:14">
      <c r="A72" s="28">
        <v>45802</v>
      </c>
      <c r="B72" s="29">
        <v>45802</v>
      </c>
      <c r="C72" s="30">
        <v>0</v>
      </c>
      <c r="D72" s="30"/>
      <c r="E72" s="30">
        <v>0</v>
      </c>
      <c r="F72" s="30">
        <v>0</v>
      </c>
      <c r="G72" s="30"/>
      <c r="H72" s="30" t="str">
        <f>IFERROR(VLOOKUP(G72,Basic_Data!$E$2:$I$9,5,0),"")</f>
        <v/>
      </c>
      <c r="I72" s="30">
        <v>0</v>
      </c>
      <c r="J72" s="30">
        <v>0</v>
      </c>
      <c r="K72" s="31" t="str">
        <f>IFERROR(VLOOKUP($B72-1,Inverter_PR!$B:$I,Module_Cleaning!H72,0),"")</f>
        <v/>
      </c>
      <c r="L72" s="31" t="str">
        <f>IFERROR(VLOOKUP($B72+1,Inverter_PR!$B:$I,Module_Cleaning!H72,0),"")</f>
        <v/>
      </c>
      <c r="M72" s="30">
        <v>0</v>
      </c>
      <c r="N72" s="30" t="s">
        <v>252</v>
      </c>
    </row>
    <row r="73" ht="15" spans="1:14">
      <c r="A73" s="28">
        <v>45803</v>
      </c>
      <c r="B73" s="29">
        <v>45803</v>
      </c>
      <c r="C73" s="30">
        <v>0</v>
      </c>
      <c r="D73" s="30"/>
      <c r="E73" s="30">
        <v>0</v>
      </c>
      <c r="F73" s="30">
        <v>0</v>
      </c>
      <c r="G73" s="30"/>
      <c r="H73" s="30" t="str">
        <f>IFERROR(VLOOKUP(G73,Basic_Data!$E$2:$I$9,5,0),"")</f>
        <v/>
      </c>
      <c r="I73" s="30">
        <v>0</v>
      </c>
      <c r="J73" s="30">
        <v>0</v>
      </c>
      <c r="K73" s="31" t="str">
        <f>IFERROR(VLOOKUP($B73-1,Inverter_PR!$B:$I,Module_Cleaning!H73,0),"")</f>
        <v/>
      </c>
      <c r="L73" s="31" t="str">
        <f>IFERROR(VLOOKUP($B73+1,Inverter_PR!$B:$I,Module_Cleaning!H73,0),"")</f>
        <v/>
      </c>
      <c r="M73" s="30">
        <v>0</v>
      </c>
      <c r="N73" s="30" t="s">
        <v>252</v>
      </c>
    </row>
    <row r="74" ht="15" spans="1:14">
      <c r="A74" s="28">
        <v>45804</v>
      </c>
      <c r="B74" s="29">
        <v>45804</v>
      </c>
      <c r="C74" s="30">
        <v>0</v>
      </c>
      <c r="D74" s="30"/>
      <c r="E74" s="30">
        <v>0</v>
      </c>
      <c r="F74" s="30">
        <v>0</v>
      </c>
      <c r="G74" s="30"/>
      <c r="H74" s="30" t="str">
        <f>IFERROR(VLOOKUP(G74,Basic_Data!$E$2:$I$9,5,0),"")</f>
        <v/>
      </c>
      <c r="I74" s="30">
        <v>0</v>
      </c>
      <c r="J74" s="30">
        <v>0</v>
      </c>
      <c r="K74" s="31" t="str">
        <f>IFERROR(VLOOKUP($B74-1,Inverter_PR!$B:$I,Module_Cleaning!H74,0),"")</f>
        <v/>
      </c>
      <c r="L74" s="31" t="str">
        <f>IFERROR(VLOOKUP($B74+1,Inverter_PR!$B:$I,Module_Cleaning!H74,0),"")</f>
        <v/>
      </c>
      <c r="M74" s="30">
        <v>0</v>
      </c>
      <c r="N74" s="30" t="s">
        <v>252</v>
      </c>
    </row>
    <row r="75" ht="15" spans="1:14">
      <c r="A75" s="28">
        <v>45805</v>
      </c>
      <c r="B75" s="29">
        <v>45805</v>
      </c>
      <c r="C75" s="30">
        <v>0</v>
      </c>
      <c r="D75" s="30"/>
      <c r="E75" s="30">
        <v>0</v>
      </c>
      <c r="F75" s="30">
        <v>0</v>
      </c>
      <c r="G75" s="30"/>
      <c r="H75" s="30" t="str">
        <f>IFERROR(VLOOKUP(G75,Basic_Data!$E$2:$I$9,5,0),"")</f>
        <v/>
      </c>
      <c r="I75" s="30">
        <v>0</v>
      </c>
      <c r="J75" s="30">
        <v>0</v>
      </c>
      <c r="K75" s="31" t="str">
        <f>IFERROR(VLOOKUP($B75-1,Inverter_PR!$B:$I,Module_Cleaning!H75,0),"")</f>
        <v/>
      </c>
      <c r="L75" s="31" t="str">
        <f>IFERROR(VLOOKUP($B75+1,Inverter_PR!$B:$I,Module_Cleaning!H75,0),"")</f>
        <v/>
      </c>
      <c r="M75" s="30">
        <v>0</v>
      </c>
      <c r="N75" s="30" t="s">
        <v>252</v>
      </c>
    </row>
    <row r="76" ht="15" spans="1:14">
      <c r="A76" s="28">
        <v>45806</v>
      </c>
      <c r="B76" s="29">
        <v>45806</v>
      </c>
      <c r="C76" s="30">
        <v>0</v>
      </c>
      <c r="D76" s="30"/>
      <c r="E76" s="30">
        <v>0</v>
      </c>
      <c r="F76" s="30">
        <v>0</v>
      </c>
      <c r="G76" s="30"/>
      <c r="H76" s="30" t="str">
        <f>IFERROR(VLOOKUP(G76,Basic_Data!$E$2:$I$9,5,0),"")</f>
        <v/>
      </c>
      <c r="I76" s="30">
        <v>0</v>
      </c>
      <c r="J76" s="30">
        <v>0</v>
      </c>
      <c r="K76" s="31" t="str">
        <f>IFERROR(VLOOKUP($B76-1,Inverter_PR!$B:$I,Module_Cleaning!H76,0),"")</f>
        <v/>
      </c>
      <c r="L76" s="31" t="str">
        <f>IFERROR(VLOOKUP($B76+1,Inverter_PR!$B:$I,Module_Cleaning!H76,0),"")</f>
        <v/>
      </c>
      <c r="M76" s="30">
        <v>0</v>
      </c>
      <c r="N76" s="30" t="s">
        <v>252</v>
      </c>
    </row>
    <row r="77" ht="15" spans="1:14">
      <c r="A77" s="28">
        <v>45807</v>
      </c>
      <c r="B77" s="29">
        <v>45807</v>
      </c>
      <c r="C77" s="30">
        <v>0</v>
      </c>
      <c r="D77" s="30"/>
      <c r="E77" s="30">
        <v>0</v>
      </c>
      <c r="F77" s="30">
        <v>1</v>
      </c>
      <c r="G77" s="30" t="s">
        <v>35</v>
      </c>
      <c r="H77" s="30">
        <f>IFERROR(VLOOKUP(G77,Basic_Data!$E$2:$I$9,5,0),"")</f>
        <v>2</v>
      </c>
      <c r="I77" s="30">
        <f>IFERROR(VLOOKUP($G77,Basic_Data!$E$2:$H$10,4,0),"")</f>
        <v>616</v>
      </c>
      <c r="J77" s="30">
        <v>616</v>
      </c>
      <c r="K77" s="31">
        <f>IFERROR(VLOOKUP($B77-1,Inverter_PR!$B:$I,Module_Cleaning!H77,0),"")</f>
        <v>0.973627381295314</v>
      </c>
      <c r="L77" s="31">
        <f>IFERROR(VLOOKUP($B77+1,Inverter_PR!$B:$I,Module_Cleaning!H77,0),"")</f>
        <v>0.939795131032927</v>
      </c>
      <c r="M77" s="30">
        <f t="shared" si="0"/>
        <v>0</v>
      </c>
      <c r="N77" s="30" t="s">
        <v>250</v>
      </c>
    </row>
    <row r="78" ht="15" spans="1:14">
      <c r="A78" s="28">
        <v>45807</v>
      </c>
      <c r="B78" s="29">
        <v>45807</v>
      </c>
      <c r="C78" s="30">
        <v>0</v>
      </c>
      <c r="D78" s="30"/>
      <c r="E78" s="30">
        <v>0</v>
      </c>
      <c r="F78" s="30">
        <v>1</v>
      </c>
      <c r="G78" s="30" t="s">
        <v>36</v>
      </c>
      <c r="H78" s="30">
        <v>3</v>
      </c>
      <c r="I78" s="30">
        <f>IFERROR(VLOOKUP($G78,Basic_Data!$E$2:$H$10,4,0),"")</f>
        <v>616</v>
      </c>
      <c r="J78" s="30">
        <v>616</v>
      </c>
      <c r="K78" s="31">
        <f>IFERROR(VLOOKUP($B78-1,Inverter_PR!$B:$I,Module_Cleaning!H78,0),"")</f>
        <v>0.96558011724659</v>
      </c>
      <c r="L78" s="31">
        <f>IFERROR(VLOOKUP($B78+1,Inverter_PR!$B:$I,Module_Cleaning!H78,0),"")</f>
        <v>0.939349126563962</v>
      </c>
      <c r="M78" s="30">
        <f t="shared" si="0"/>
        <v>0</v>
      </c>
      <c r="N78" s="30" t="s">
        <v>250</v>
      </c>
    </row>
    <row r="79" ht="15" spans="1:14">
      <c r="A79" s="28">
        <v>45808</v>
      </c>
      <c r="B79" s="29">
        <v>45808</v>
      </c>
      <c r="C79" s="30">
        <v>0</v>
      </c>
      <c r="D79" s="30"/>
      <c r="E79" s="30">
        <v>0</v>
      </c>
      <c r="F79" s="30">
        <v>1</v>
      </c>
      <c r="G79" s="30" t="s">
        <v>37</v>
      </c>
      <c r="H79" s="30">
        <f>IFERROR(VLOOKUP(G79,Basic_Data!$E$2:$I$9,5,0),"")</f>
        <v>4</v>
      </c>
      <c r="I79" s="30">
        <f>IFERROR(VLOOKUP($G79,Basic_Data!$E$2:$H$10,4,0),"")</f>
        <v>616</v>
      </c>
      <c r="J79" s="30">
        <v>616</v>
      </c>
      <c r="K79" s="31">
        <f>IFERROR(VLOOKUP($B79-1,Inverter_PR!$B:$I,Module_Cleaning!H79,0),"")</f>
        <v>0.936233428718634</v>
      </c>
      <c r="L79" s="31">
        <f>IFERROR(VLOOKUP($B79+1,Inverter_PR!$B:$I,Module_Cleaning!H79,0),"")</f>
        <v>0.946481316517417</v>
      </c>
      <c r="M79" s="30">
        <f t="shared" si="0"/>
        <v>0</v>
      </c>
      <c r="N79" s="30" t="s">
        <v>250</v>
      </c>
    </row>
    <row r="80" ht="15" spans="1:14">
      <c r="A80" s="28">
        <v>45808</v>
      </c>
      <c r="B80" s="29">
        <v>45808</v>
      </c>
      <c r="C80" s="30"/>
      <c r="D80" s="30"/>
      <c r="E80" s="30"/>
      <c r="F80" s="30">
        <v>1</v>
      </c>
      <c r="G80" s="30" t="s">
        <v>38</v>
      </c>
      <c r="H80" s="30">
        <v>5</v>
      </c>
      <c r="I80" s="30">
        <f>IFERROR(VLOOKUP($G80,Basic_Data!$E$2:$H$10,4,0),"")</f>
        <v>644</v>
      </c>
      <c r="J80" s="30">
        <v>644</v>
      </c>
      <c r="K80" s="31">
        <f>IFERROR(VLOOKUP($B80-1,Inverter_PR!$B:$I,Module_Cleaning!H80,0),"")</f>
        <v>0.945436638941923</v>
      </c>
      <c r="L80" s="31">
        <f>IFERROR(VLOOKUP($B80+1,Inverter_PR!$B:$I,Module_Cleaning!H80,0),"")</f>
        <v>0.961536681304724</v>
      </c>
      <c r="M80" s="30">
        <f t="shared" si="0"/>
        <v>0</v>
      </c>
      <c r="N80" s="30" t="s">
        <v>250</v>
      </c>
    </row>
    <row r="81" ht="15" spans="1:14">
      <c r="A81" s="28">
        <v>45809</v>
      </c>
      <c r="B81" s="29">
        <v>45809</v>
      </c>
      <c r="C81" s="30">
        <v>0</v>
      </c>
      <c r="D81" s="30"/>
      <c r="E81" s="30"/>
      <c r="F81" s="30">
        <v>1</v>
      </c>
      <c r="G81" s="30" t="s">
        <v>39</v>
      </c>
      <c r="H81" s="30">
        <f>IFERROR(VLOOKUP(G81,Basic_Data!$E$2:$I$9,5,0),"")</f>
        <v>6</v>
      </c>
      <c r="I81" s="30">
        <f>IFERROR(VLOOKUP($G81,Basic_Data!$E$2:$H$10,4,0),"")</f>
        <v>644</v>
      </c>
      <c r="J81" s="30">
        <v>644</v>
      </c>
      <c r="K81" s="31">
        <f>IFERROR(VLOOKUP($B81-1,Inverter_PR!$B:$I,Module_Cleaning!H81,0),"")</f>
        <v>0.933251423643033</v>
      </c>
      <c r="L81" s="31">
        <f>IFERROR(VLOOKUP($B81+1,Inverter_PR!$B:$I,Module_Cleaning!H81,0),"")</f>
        <v>0.888580243333836</v>
      </c>
      <c r="M81" s="30">
        <f t="shared" si="0"/>
        <v>0</v>
      </c>
      <c r="N81" s="30" t="s">
        <v>250</v>
      </c>
    </row>
    <row r="82" ht="15" spans="1:14">
      <c r="A82" s="28">
        <v>45809</v>
      </c>
      <c r="B82" s="29">
        <v>45809</v>
      </c>
      <c r="C82" s="30">
        <v>0</v>
      </c>
      <c r="D82" s="30"/>
      <c r="E82" s="30">
        <v>0</v>
      </c>
      <c r="F82" s="30">
        <v>1</v>
      </c>
      <c r="G82" s="30" t="s">
        <v>40</v>
      </c>
      <c r="H82" s="30">
        <v>7</v>
      </c>
      <c r="I82" s="30">
        <v>644</v>
      </c>
      <c r="J82" s="30">
        <v>644</v>
      </c>
      <c r="K82" s="31">
        <f>IFERROR(VLOOKUP($B82-1,Inverter_PR!$B:$I,Module_Cleaning!H82,0),"")</f>
        <v>0.935775550384058</v>
      </c>
      <c r="L82" s="31">
        <f>IFERROR(VLOOKUP($B82+1,Inverter_PR!$B:$I,Module_Cleaning!H82,0),"")</f>
        <v>0.890691903378505</v>
      </c>
      <c r="M82" s="30"/>
      <c r="N82" s="30" t="s">
        <v>250</v>
      </c>
    </row>
    <row r="83" ht="15" spans="1:14">
      <c r="A83" s="28">
        <v>45809</v>
      </c>
      <c r="B83" s="29">
        <v>45809</v>
      </c>
      <c r="C83" s="30">
        <v>0</v>
      </c>
      <c r="D83" s="30"/>
      <c r="E83" s="30">
        <v>0</v>
      </c>
      <c r="F83" s="30">
        <v>1</v>
      </c>
      <c r="G83" s="30" t="s">
        <v>41</v>
      </c>
      <c r="H83" s="30">
        <v>8</v>
      </c>
      <c r="I83" s="30">
        <v>644</v>
      </c>
      <c r="J83" s="30">
        <v>644</v>
      </c>
      <c r="K83" s="31">
        <f>IFERROR(VLOOKUP($B83-1,Inverter_PR!$B:$I,Module_Cleaning!H83,0),"")</f>
        <v>0.928223485064331</v>
      </c>
      <c r="L83" s="31">
        <f>IFERROR(VLOOKUP($B83+1,Inverter_PR!$B:$I,Module_Cleaning!H83,0),"")</f>
        <v>0.881369081867862</v>
      </c>
      <c r="M83" s="30"/>
      <c r="N83" s="30" t="s">
        <v>250</v>
      </c>
    </row>
    <row r="84" ht="15" spans="1:14">
      <c r="A84" s="28">
        <v>45810</v>
      </c>
      <c r="B84" s="29">
        <v>45810</v>
      </c>
      <c r="C84" s="30">
        <v>0</v>
      </c>
      <c r="D84" s="30"/>
      <c r="E84" s="30">
        <v>0</v>
      </c>
      <c r="F84" s="30">
        <v>0</v>
      </c>
      <c r="G84" s="30"/>
      <c r="H84" s="30" t="str">
        <f>IFERROR(VLOOKUP(G84,Basic_Data!$E$2:$I$9,5,0),"")</f>
        <v/>
      </c>
      <c r="I84" s="30">
        <v>0</v>
      </c>
      <c r="J84" s="30">
        <v>0</v>
      </c>
      <c r="K84" s="31">
        <v>0</v>
      </c>
      <c r="L84" s="31">
        <v>0</v>
      </c>
      <c r="M84" s="30">
        <f t="shared" si="0"/>
        <v>0</v>
      </c>
      <c r="N84" s="30" t="s">
        <v>252</v>
      </c>
    </row>
    <row r="85" ht="15" spans="1:14">
      <c r="A85" s="28">
        <v>45811</v>
      </c>
      <c r="B85" s="29">
        <v>45811</v>
      </c>
      <c r="C85" s="30">
        <v>0</v>
      </c>
      <c r="D85" s="30"/>
      <c r="E85" s="30">
        <v>0</v>
      </c>
      <c r="F85" s="30">
        <v>0</v>
      </c>
      <c r="G85" s="30"/>
      <c r="H85" s="30" t="str">
        <f>IFERROR(VLOOKUP(G85,Basic_Data!$E$2:$I$9,5,0),"")</f>
        <v/>
      </c>
      <c r="I85" s="30">
        <v>0</v>
      </c>
      <c r="J85" s="30">
        <v>0</v>
      </c>
      <c r="K85" s="31">
        <v>0</v>
      </c>
      <c r="L85" s="31">
        <v>0</v>
      </c>
      <c r="M85" s="30">
        <f t="shared" si="0"/>
        <v>0</v>
      </c>
      <c r="N85" s="30" t="s">
        <v>252</v>
      </c>
    </row>
    <row r="86" ht="15" spans="1:14">
      <c r="A86" s="28">
        <v>45812</v>
      </c>
      <c r="B86" s="29">
        <v>45812</v>
      </c>
      <c r="C86" s="30">
        <v>4</v>
      </c>
      <c r="D86" s="30">
        <v>4000</v>
      </c>
      <c r="E86" s="30"/>
      <c r="F86" s="30">
        <v>1</v>
      </c>
      <c r="G86" s="30" t="s">
        <v>35</v>
      </c>
      <c r="H86" s="30">
        <f>IFERROR(VLOOKUP(G86,Basic_Data!$E$2:$I$9,5,0),"")</f>
        <v>2</v>
      </c>
      <c r="I86" s="30">
        <f>IFERROR(VLOOKUP($G86,Basic_Data!$E$2:$H$10,4,0),"")</f>
        <v>616</v>
      </c>
      <c r="J86" s="30">
        <v>616</v>
      </c>
      <c r="K86" s="31">
        <f>IFERROR(VLOOKUP($B86-1,Inverter_PR!$B:$I,Module_Cleaning!H86,0),"")</f>
        <v>0.896326488389642</v>
      </c>
      <c r="L86" s="31">
        <f>IFERROR(VLOOKUP($B86+1,Inverter_PR!$B:$I,Module_Cleaning!H86,0),"")</f>
        <v>0.982280843750399</v>
      </c>
      <c r="M86" s="30">
        <f t="shared" ref="M86:M109" si="2">IFERROR(I86-J86,"")</f>
        <v>0</v>
      </c>
      <c r="N86" s="30" t="s">
        <v>251</v>
      </c>
    </row>
    <row r="87" ht="15" spans="1:14">
      <c r="A87" s="28">
        <v>45812</v>
      </c>
      <c r="B87" s="29">
        <v>45812</v>
      </c>
      <c r="C87" s="30"/>
      <c r="D87" s="30"/>
      <c r="E87" s="30"/>
      <c r="F87" s="30">
        <v>1</v>
      </c>
      <c r="G87" s="30" t="s">
        <v>36</v>
      </c>
      <c r="H87" s="30">
        <v>3</v>
      </c>
      <c r="I87" s="30">
        <v>616</v>
      </c>
      <c r="J87" s="30">
        <v>616</v>
      </c>
      <c r="K87" s="31">
        <f>IFERROR(VLOOKUP($B87-1,Inverter_PR!$B:$I,Module_Cleaning!H87,0),"")</f>
        <v>0.889485931890455</v>
      </c>
      <c r="L87" s="31">
        <f>IFERROR(VLOOKUP($B87+1,Inverter_PR!$B:$I,Module_Cleaning!H87,0),"")</f>
        <v>0.974220587850518</v>
      </c>
      <c r="M87" s="30">
        <v>0</v>
      </c>
      <c r="N87" s="30" t="s">
        <v>251</v>
      </c>
    </row>
    <row r="88" ht="15" spans="1:14">
      <c r="A88" s="28">
        <v>45812</v>
      </c>
      <c r="B88" s="29">
        <v>45812</v>
      </c>
      <c r="C88" s="30"/>
      <c r="D88" s="30"/>
      <c r="E88" s="30"/>
      <c r="F88" s="30">
        <v>1</v>
      </c>
      <c r="G88" s="30" t="s">
        <v>37</v>
      </c>
      <c r="H88" s="30">
        <v>4</v>
      </c>
      <c r="I88" s="30">
        <v>616</v>
      </c>
      <c r="J88" s="30">
        <v>616</v>
      </c>
      <c r="K88" s="31">
        <f>IFERROR(VLOOKUP($B88-1,Inverter_PR!$B:$I,Module_Cleaning!H88,0),"")</f>
        <v>0.889976604719511</v>
      </c>
      <c r="L88" s="31">
        <f>IFERROR(VLOOKUP($B88+1,Inverter_PR!$B:$I,Module_Cleaning!H88,0),"")</f>
        <v>0.965327817256754</v>
      </c>
      <c r="M88" s="30">
        <v>0</v>
      </c>
      <c r="N88" s="30" t="s">
        <v>251</v>
      </c>
    </row>
    <row r="89" ht="15" spans="1:14">
      <c r="A89" s="28">
        <v>45812</v>
      </c>
      <c r="B89" s="29">
        <v>45812</v>
      </c>
      <c r="C89" s="30"/>
      <c r="D89" s="30"/>
      <c r="E89" s="30"/>
      <c r="F89" s="30">
        <v>1</v>
      </c>
      <c r="G89" s="30" t="s">
        <v>38</v>
      </c>
      <c r="H89" s="30">
        <v>5</v>
      </c>
      <c r="I89" s="30">
        <v>616</v>
      </c>
      <c r="J89" s="30">
        <v>616</v>
      </c>
      <c r="K89" s="31">
        <f>IFERROR(VLOOKUP($B89-1,Inverter_PR!$B:$I,Module_Cleaning!H89,0),"")</f>
        <v>0.904571297819041</v>
      </c>
      <c r="L89" s="31">
        <f>IFERROR(VLOOKUP($B89+1,Inverter_PR!$B:$I,Module_Cleaning!H89,0),"")</f>
        <v>0.960535804388625</v>
      </c>
      <c r="M89" s="30">
        <v>0</v>
      </c>
      <c r="N89" s="30" t="s">
        <v>251</v>
      </c>
    </row>
    <row r="90" ht="15" spans="1:14">
      <c r="A90" s="28">
        <v>45813</v>
      </c>
      <c r="B90" s="29">
        <v>45813</v>
      </c>
      <c r="C90" s="30">
        <v>3</v>
      </c>
      <c r="D90" s="30">
        <v>3000</v>
      </c>
      <c r="E90" s="30"/>
      <c r="F90" s="30">
        <v>1</v>
      </c>
      <c r="G90" s="30" t="s">
        <v>39</v>
      </c>
      <c r="H90" s="30">
        <f>IFERROR(VLOOKUP(G90,Basic_Data!$E$2:$I$9,5,0),"")</f>
        <v>6</v>
      </c>
      <c r="I90" s="30">
        <f>IFERROR(VLOOKUP($G90,Basic_Data!$E$2:$H$10,4,0),"")</f>
        <v>644</v>
      </c>
      <c r="J90" s="30">
        <v>644</v>
      </c>
      <c r="K90" s="31">
        <f>IFERROR(VLOOKUP($B90-1,Inverter_PR!$B:$I,Module_Cleaning!H90,0),"")</f>
        <v>0.889974669076637</v>
      </c>
      <c r="L90" s="31">
        <f>IFERROR(VLOOKUP($B90+1,Inverter_PR!$B:$I,Module_Cleaning!H90,0),"")</f>
        <v>0.926098269995212</v>
      </c>
      <c r="M90" s="30">
        <f t="shared" si="2"/>
        <v>0</v>
      </c>
      <c r="N90" s="30" t="s">
        <v>251</v>
      </c>
    </row>
    <row r="91" ht="15" spans="1:14">
      <c r="A91" s="28">
        <v>45813</v>
      </c>
      <c r="B91" s="29">
        <v>45813</v>
      </c>
      <c r="C91" s="30"/>
      <c r="D91" s="30"/>
      <c r="E91" s="30"/>
      <c r="F91" s="30">
        <v>1</v>
      </c>
      <c r="G91" s="30" t="s">
        <v>40</v>
      </c>
      <c r="H91" s="30">
        <v>7</v>
      </c>
      <c r="I91" s="30">
        <f>IFERROR(VLOOKUP($G91,Basic_Data!$E$2:$H$10,4,0),"")</f>
        <v>644</v>
      </c>
      <c r="J91" s="30">
        <v>644</v>
      </c>
      <c r="K91" s="31">
        <f>IFERROR(VLOOKUP($B91-1,Inverter_PR!$B:$I,Module_Cleaning!H91,0),"")</f>
        <v>0.89413568011623</v>
      </c>
      <c r="L91" s="31">
        <f>IFERROR(VLOOKUP($B91+1,Inverter_PR!$B:$I,Module_Cleaning!H91,0),"")</f>
        <v>0.924990838998042</v>
      </c>
      <c r="M91" s="30">
        <f t="shared" si="2"/>
        <v>0</v>
      </c>
      <c r="N91" s="30" t="s">
        <v>251</v>
      </c>
    </row>
    <row r="92" ht="15" spans="1:14">
      <c r="A92" s="28">
        <v>45813</v>
      </c>
      <c r="B92" s="29">
        <v>45813</v>
      </c>
      <c r="C92" s="30"/>
      <c r="D92" s="30"/>
      <c r="E92" s="30"/>
      <c r="F92" s="30">
        <v>1</v>
      </c>
      <c r="G92" s="30" t="s">
        <v>41</v>
      </c>
      <c r="H92" s="30">
        <v>8</v>
      </c>
      <c r="I92" s="30">
        <f>IFERROR(VLOOKUP($G92,Basic_Data!$E$2:$H$10,4,0),"")</f>
        <v>644</v>
      </c>
      <c r="J92" s="30">
        <v>644</v>
      </c>
      <c r="K92" s="31">
        <f>IFERROR(VLOOKUP($B92-1,Inverter_PR!$B:$I,Module_Cleaning!H92,0),"")</f>
        <v>0.883743401312912</v>
      </c>
      <c r="L92" s="31">
        <f>IFERROR(VLOOKUP($B92+1,Inverter_PR!$B:$I,Module_Cleaning!H92,0),"")</f>
        <v>0.914431250475727</v>
      </c>
      <c r="M92" s="30">
        <f t="shared" si="2"/>
        <v>0</v>
      </c>
      <c r="N92" s="30" t="s">
        <v>251</v>
      </c>
    </row>
    <row r="93" ht="15" spans="1:14">
      <c r="A93" s="28">
        <v>45814</v>
      </c>
      <c r="B93" s="29">
        <v>45814</v>
      </c>
      <c r="C93" s="30">
        <v>0</v>
      </c>
      <c r="D93" s="30">
        <v>0</v>
      </c>
      <c r="E93" s="30">
        <v>0</v>
      </c>
      <c r="F93" s="30">
        <v>0</v>
      </c>
      <c r="G93" s="30"/>
      <c r="H93" s="30" t="str">
        <f>IFERROR(VLOOKUP(G93,Basic_Data!$E$2:$I$9,5,0),"")</f>
        <v/>
      </c>
      <c r="I93" s="30">
        <v>0</v>
      </c>
      <c r="J93" s="30">
        <v>0</v>
      </c>
      <c r="K93" s="31">
        <v>0</v>
      </c>
      <c r="L93" s="31">
        <v>0</v>
      </c>
      <c r="M93" s="30">
        <f t="shared" si="2"/>
        <v>0</v>
      </c>
      <c r="N93" s="30" t="s">
        <v>252</v>
      </c>
    </row>
    <row r="94" ht="15" spans="1:14">
      <c r="A94" s="28">
        <v>45815</v>
      </c>
      <c r="B94" s="29">
        <v>45815</v>
      </c>
      <c r="C94" s="30">
        <v>0</v>
      </c>
      <c r="D94" s="30">
        <v>0</v>
      </c>
      <c r="E94" s="30">
        <v>0</v>
      </c>
      <c r="F94" s="30">
        <v>0</v>
      </c>
      <c r="G94" s="30"/>
      <c r="H94" s="30" t="str">
        <f>IFERROR(VLOOKUP(G94,Basic_Data!$E$2:$I$9,5,0),"")</f>
        <v/>
      </c>
      <c r="I94" s="30">
        <v>0</v>
      </c>
      <c r="J94" s="30">
        <v>0</v>
      </c>
      <c r="K94" s="31">
        <v>0</v>
      </c>
      <c r="L94" s="31">
        <v>0</v>
      </c>
      <c r="M94" s="30">
        <f t="shared" ref="M94" si="3">IFERROR(I94-J94,"")</f>
        <v>0</v>
      </c>
      <c r="N94" s="30" t="s">
        <v>252</v>
      </c>
    </row>
    <row r="95" ht="15" spans="1:14">
      <c r="A95" s="28">
        <v>45816</v>
      </c>
      <c r="B95" s="29">
        <v>45816</v>
      </c>
      <c r="C95" s="30">
        <v>0</v>
      </c>
      <c r="D95" s="30">
        <v>0</v>
      </c>
      <c r="E95" s="30">
        <v>0</v>
      </c>
      <c r="F95" s="30">
        <v>0</v>
      </c>
      <c r="G95" s="30"/>
      <c r="H95" s="30" t="str">
        <f>IFERROR(VLOOKUP(G95,Basic_Data!$E$2:$I$9,5,0),"")</f>
        <v/>
      </c>
      <c r="I95" s="30">
        <v>0</v>
      </c>
      <c r="J95" s="30">
        <v>0</v>
      </c>
      <c r="K95" s="31">
        <v>0</v>
      </c>
      <c r="L95" s="31">
        <v>0</v>
      </c>
      <c r="M95" s="30">
        <f t="shared" ref="M95" si="4">IFERROR(I95-J95,"")</f>
        <v>0</v>
      </c>
      <c r="N95" s="30" t="s">
        <v>252</v>
      </c>
    </row>
    <row r="96" ht="15" spans="1:14">
      <c r="A96" s="28">
        <v>45817</v>
      </c>
      <c r="B96" s="29">
        <v>45817</v>
      </c>
      <c r="C96" s="30">
        <v>0</v>
      </c>
      <c r="D96" s="30">
        <v>0</v>
      </c>
      <c r="E96" s="30">
        <v>0</v>
      </c>
      <c r="F96" s="30">
        <v>2</v>
      </c>
      <c r="G96" s="30" t="s">
        <v>35</v>
      </c>
      <c r="H96" s="30">
        <f>IFERROR(VLOOKUP(G96,Basic_Data!$E$2:$I$9,5,0),"")</f>
        <v>2</v>
      </c>
      <c r="I96" s="30">
        <f>IFERROR(VLOOKUP($G96,Basic_Data!$E$2:$H$10,4,0),"")</f>
        <v>616</v>
      </c>
      <c r="J96" s="30">
        <v>616</v>
      </c>
      <c r="K96" s="31">
        <f>IFERROR(VLOOKUP($B96-1,Inverter_PR!$B:$I,Module_Cleaning!H96,0),"")</f>
        <v>0.956126858962555</v>
      </c>
      <c r="L96" s="31">
        <v>0</v>
      </c>
      <c r="M96" s="30">
        <f t="shared" si="2"/>
        <v>0</v>
      </c>
      <c r="N96" s="30" t="s">
        <v>250</v>
      </c>
    </row>
    <row r="97" ht="15" spans="1:14">
      <c r="A97" s="28">
        <v>45817</v>
      </c>
      <c r="B97" s="29">
        <v>45817</v>
      </c>
      <c r="C97" s="30">
        <v>0</v>
      </c>
      <c r="D97" s="30">
        <v>0</v>
      </c>
      <c r="E97" s="30">
        <v>0</v>
      </c>
      <c r="F97" s="30">
        <v>2</v>
      </c>
      <c r="G97" s="30" t="s">
        <v>36</v>
      </c>
      <c r="H97" s="30">
        <v>3</v>
      </c>
      <c r="I97" s="30">
        <f>IFERROR(VLOOKUP($G97,Basic_Data!$E$2:$H$10,4,0),"")</f>
        <v>616</v>
      </c>
      <c r="J97" s="30">
        <v>616</v>
      </c>
      <c r="K97" s="31">
        <f>IFERROR(VLOOKUP($B97-1,Inverter_PR!$B:$I,Module_Cleaning!H97,0),"")</f>
        <v>0.950911473847254</v>
      </c>
      <c r="L97" s="31">
        <v>0</v>
      </c>
      <c r="M97" s="30">
        <v>0</v>
      </c>
      <c r="N97" s="30" t="s">
        <v>250</v>
      </c>
    </row>
    <row r="98" ht="15" spans="1:14">
      <c r="A98" s="28">
        <v>45818</v>
      </c>
      <c r="B98" s="29">
        <v>45818</v>
      </c>
      <c r="C98" s="30">
        <v>0</v>
      </c>
      <c r="D98" s="30">
        <v>0</v>
      </c>
      <c r="E98" s="30">
        <v>0</v>
      </c>
      <c r="F98" s="30">
        <v>2</v>
      </c>
      <c r="G98" s="30" t="s">
        <v>37</v>
      </c>
      <c r="H98" s="30">
        <f>IFERROR(VLOOKUP(G98,Basic_Data!$E$2:$I$9,5,0),"")</f>
        <v>4</v>
      </c>
      <c r="I98" s="30">
        <f>IFERROR(VLOOKUP($G98,Basic_Data!$E$2:$H$10,4,0),"")</f>
        <v>616</v>
      </c>
      <c r="J98" s="30">
        <v>616</v>
      </c>
      <c r="K98" s="31">
        <f>IFERROR(VLOOKUP($B98-1,Inverter_PR!$B:$I,Module_Cleaning!H98,0),"")</f>
        <v>0.94475333263579</v>
      </c>
      <c r="L98" s="31">
        <f>IFERROR(VLOOKUP($B98+1,Inverter_PR!$B:$I,Module_Cleaning!H98,0),"")</f>
        <v>0.952986818461449</v>
      </c>
      <c r="M98" s="30">
        <f t="shared" si="2"/>
        <v>0</v>
      </c>
      <c r="N98" s="30" t="s">
        <v>250</v>
      </c>
    </row>
    <row r="99" ht="15" spans="1:14">
      <c r="A99" s="28">
        <v>45818</v>
      </c>
      <c r="B99" s="29">
        <v>45818</v>
      </c>
      <c r="C99" s="30">
        <v>0</v>
      </c>
      <c r="D99" s="30">
        <v>0</v>
      </c>
      <c r="E99" s="30">
        <v>0</v>
      </c>
      <c r="F99" s="30">
        <v>2</v>
      </c>
      <c r="G99" s="30" t="s">
        <v>38</v>
      </c>
      <c r="H99" s="30">
        <v>5</v>
      </c>
      <c r="I99" s="30">
        <v>616</v>
      </c>
      <c r="J99" s="30">
        <v>616</v>
      </c>
      <c r="K99" s="31">
        <f>IFERROR(VLOOKUP($B99-1,Inverter_PR!$B:$I,Module_Cleaning!H99,0),"")</f>
        <v>0.949798866292582</v>
      </c>
      <c r="L99" s="31">
        <f>IFERROR(VLOOKUP($B99+1,Inverter_PR!$B:$I,Module_Cleaning!H99,0),"")</f>
        <v>0.962052608381662</v>
      </c>
      <c r="M99" s="30">
        <v>0</v>
      </c>
      <c r="N99" s="30" t="s">
        <v>250</v>
      </c>
    </row>
    <row r="100" ht="15" spans="1:14">
      <c r="A100" s="28">
        <v>45819</v>
      </c>
      <c r="B100" s="29">
        <v>45819</v>
      </c>
      <c r="C100" s="30">
        <v>0</v>
      </c>
      <c r="D100" s="30">
        <v>0</v>
      </c>
      <c r="E100" s="30">
        <v>0</v>
      </c>
      <c r="F100" s="30">
        <v>2</v>
      </c>
      <c r="G100" s="30" t="s">
        <v>39</v>
      </c>
      <c r="H100" s="30">
        <f>IFERROR(VLOOKUP(G100,Basic_Data!$E$2:$I$9,5,0),"")</f>
        <v>6</v>
      </c>
      <c r="I100" s="30">
        <f>IFERROR(VLOOKUP($G100,Basic_Data!$E$2:$H$10,4,0),"")</f>
        <v>644</v>
      </c>
      <c r="J100" s="30">
        <v>644</v>
      </c>
      <c r="K100" s="31">
        <f>IFERROR(VLOOKUP($B100-1,Inverter_PR!$B:$I,Module_Cleaning!H100,0),"")</f>
        <v>0.895790342418435</v>
      </c>
      <c r="L100" s="31">
        <f>IFERROR(VLOOKUP($B100+1,Inverter_PR!$B:$I,Module_Cleaning!H100,0),"")</f>
        <v>0.974785164645788</v>
      </c>
      <c r="M100" s="30">
        <f t="shared" si="2"/>
        <v>0</v>
      </c>
      <c r="N100" s="30" t="s">
        <v>250</v>
      </c>
    </row>
    <row r="101" ht="15" spans="1:14">
      <c r="A101" s="28">
        <v>45812</v>
      </c>
      <c r="B101" s="29">
        <v>45819</v>
      </c>
      <c r="C101" s="30">
        <v>0</v>
      </c>
      <c r="D101" s="30">
        <v>0</v>
      </c>
      <c r="E101" s="30">
        <v>0</v>
      </c>
      <c r="F101" s="30">
        <v>2</v>
      </c>
      <c r="G101" s="30" t="s">
        <v>40</v>
      </c>
      <c r="H101" s="30">
        <f>IFERROR(VLOOKUP(G101,Basic_Data!$E$2:$I$9,5,0),"")</f>
        <v>7</v>
      </c>
      <c r="I101" s="30">
        <f>IFERROR(VLOOKUP($G101,Basic_Data!$E$2:$H$10,4,0),"")</f>
        <v>644</v>
      </c>
      <c r="J101" s="30">
        <v>644</v>
      </c>
      <c r="K101" s="31">
        <f>IFERROR(VLOOKUP($B101-1,Inverter_PR!$B:$I,Module_Cleaning!H101,0),"")</f>
        <v>0.898682191735799</v>
      </c>
      <c r="L101" s="31">
        <f>IFERROR(VLOOKUP($B101+1,Inverter_PR!$B:$I,Module_Cleaning!H101,0),"")</f>
        <v>0.9767491523042</v>
      </c>
      <c r="M101" s="30">
        <f t="shared" ref="M101" si="5">IFERROR(I101-J101,"")</f>
        <v>0</v>
      </c>
      <c r="N101" s="30" t="s">
        <v>250</v>
      </c>
    </row>
    <row r="102" ht="15" spans="1:14">
      <c r="A102" s="28">
        <v>45842</v>
      </c>
      <c r="B102" s="29">
        <v>45819</v>
      </c>
      <c r="C102" s="30">
        <v>0</v>
      </c>
      <c r="D102" s="30">
        <v>0</v>
      </c>
      <c r="E102" s="30">
        <v>0</v>
      </c>
      <c r="F102" s="30">
        <v>2</v>
      </c>
      <c r="G102" s="30" t="s">
        <v>41</v>
      </c>
      <c r="H102" s="30">
        <f>IFERROR(VLOOKUP(G102,Basic_Data!$E$2:$I$9,5,0),"")</f>
        <v>8</v>
      </c>
      <c r="I102" s="30">
        <f>IFERROR(VLOOKUP($G102,Basic_Data!$E$2:$H$10,4,0),"")</f>
        <v>644</v>
      </c>
      <c r="J102" s="30">
        <v>644</v>
      </c>
      <c r="K102" s="31">
        <f>IFERROR(VLOOKUP($B102-1,Inverter_PR!$B:$I,Module_Cleaning!H102,0),"")</f>
        <v>0.899909360265307</v>
      </c>
      <c r="L102" s="31">
        <f>IFERROR(VLOOKUP($B102+1,Inverter_PR!$B:$I,Module_Cleaning!H102,0),"")</f>
        <v>0.969418775832661</v>
      </c>
      <c r="M102" s="30">
        <f t="shared" ref="M102" si="6">IFERROR(I102-J102,"")</f>
        <v>0</v>
      </c>
      <c r="N102" s="30" t="s">
        <v>250</v>
      </c>
    </row>
    <row r="103" ht="15" spans="1:14">
      <c r="A103" s="28">
        <v>45820</v>
      </c>
      <c r="B103" s="29">
        <v>45820</v>
      </c>
      <c r="C103" s="30">
        <v>0</v>
      </c>
      <c r="D103" s="30">
        <v>0</v>
      </c>
      <c r="E103" s="30">
        <v>0</v>
      </c>
      <c r="F103" s="30">
        <v>0</v>
      </c>
      <c r="G103" s="30"/>
      <c r="H103" s="30" t="str">
        <f>IFERROR(VLOOKUP(G103,Basic_Data!$E$2:$I$9,5,0),"")</f>
        <v/>
      </c>
      <c r="I103" s="30">
        <v>0</v>
      </c>
      <c r="J103" s="30">
        <v>0</v>
      </c>
      <c r="K103" s="31" t="str">
        <f>IFERROR(VLOOKUP($B103-1,Inverter_PR!$B:$I,Module_Cleaning!H103,0),"")</f>
        <v/>
      </c>
      <c r="L103" s="31" t="str">
        <f>IFERROR(VLOOKUP($B103+1,Inverter_PR!$B:$I,Module_Cleaning!H103,0),"")</f>
        <v/>
      </c>
      <c r="M103" s="30">
        <f t="shared" si="2"/>
        <v>0</v>
      </c>
      <c r="N103" s="30" t="s">
        <v>252</v>
      </c>
    </row>
    <row r="104" ht="15" spans="1:14">
      <c r="A104" s="28">
        <v>45821</v>
      </c>
      <c r="B104" s="29">
        <v>45821</v>
      </c>
      <c r="C104" s="30">
        <v>0</v>
      </c>
      <c r="D104" s="30">
        <v>0</v>
      </c>
      <c r="E104" s="30">
        <v>0</v>
      </c>
      <c r="F104" s="30">
        <v>0</v>
      </c>
      <c r="G104" s="30"/>
      <c r="H104" s="30" t="str">
        <f>IFERROR(VLOOKUP(G104,Basic_Data!$E$2:$I$9,5,0),"")</f>
        <v/>
      </c>
      <c r="I104" s="30">
        <v>0</v>
      </c>
      <c r="J104" s="30">
        <v>0</v>
      </c>
      <c r="K104" s="31" t="str">
        <f>IFERROR(VLOOKUP($B104-1,Inverter_PR!$B:$I,Module_Cleaning!H104,0),"")</f>
        <v/>
      </c>
      <c r="L104" s="31" t="str">
        <f>IFERROR(VLOOKUP($B104+1,Inverter_PR!$B:$I,Module_Cleaning!H104,0),"")</f>
        <v/>
      </c>
      <c r="M104" s="30">
        <f t="shared" ref="M104" si="7">IFERROR(I104-J104,"")</f>
        <v>0</v>
      </c>
      <c r="N104" s="30" t="s">
        <v>252</v>
      </c>
    </row>
    <row r="105" ht="15" spans="1:14">
      <c r="A105" s="28">
        <v>45822</v>
      </c>
      <c r="B105" s="29">
        <v>45822</v>
      </c>
      <c r="C105" s="30">
        <v>0</v>
      </c>
      <c r="D105" s="30">
        <v>0</v>
      </c>
      <c r="E105" s="30">
        <v>0</v>
      </c>
      <c r="F105" s="30">
        <v>0</v>
      </c>
      <c r="G105" s="30"/>
      <c r="H105" s="30" t="str">
        <f>IFERROR(VLOOKUP(G105,Basic_Data!$E$2:$I$9,5,0),"")</f>
        <v/>
      </c>
      <c r="I105" s="30">
        <v>0</v>
      </c>
      <c r="J105" s="30">
        <v>0</v>
      </c>
      <c r="K105" s="31" t="str">
        <f>IFERROR(VLOOKUP($B105-1,Inverter_PR!$B:$I,Module_Cleaning!H105,0),"")</f>
        <v/>
      </c>
      <c r="L105" s="31" t="str">
        <f>IFERROR(VLOOKUP($B105+1,Inverter_PR!$B:$I,Module_Cleaning!H105,0),"")</f>
        <v/>
      </c>
      <c r="M105" s="30">
        <f t="shared" ref="M105" si="8">IFERROR(I105-J105,"")</f>
        <v>0</v>
      </c>
      <c r="N105" s="30" t="s">
        <v>252</v>
      </c>
    </row>
    <row r="106" ht="15" spans="1:14">
      <c r="A106" s="28">
        <v>45823</v>
      </c>
      <c r="B106" s="29">
        <v>45823</v>
      </c>
      <c r="C106" s="42">
        <v>0</v>
      </c>
      <c r="D106" s="42">
        <v>0</v>
      </c>
      <c r="E106" s="42">
        <v>0</v>
      </c>
      <c r="F106" s="42">
        <v>0</v>
      </c>
      <c r="G106" s="42"/>
      <c r="H106" s="42" t="str">
        <f>IFERROR(VLOOKUP(G106,Basic_Data!$E$2:$I$9,5,0),"")</f>
        <v/>
      </c>
      <c r="I106" s="42">
        <v>0</v>
      </c>
      <c r="J106" s="42">
        <v>0</v>
      </c>
      <c r="K106" s="43" t="str">
        <f>IFERROR(VLOOKUP($B106-1,Inverter_PR!$B:$I,Module_Cleaning!H106,0),"")</f>
        <v/>
      </c>
      <c r="L106" s="43" t="str">
        <f>IFERROR(VLOOKUP($B106+1,Inverter_PR!$B:$I,Module_Cleaning!H106,0),"")</f>
        <v/>
      </c>
      <c r="M106" s="42">
        <f t="shared" ref="M106" si="9">IFERROR(I106-J106,"")</f>
        <v>0</v>
      </c>
      <c r="N106" s="42" t="s">
        <v>254</v>
      </c>
    </row>
    <row r="107" ht="15" spans="1:14">
      <c r="A107" s="28">
        <v>45824</v>
      </c>
      <c r="B107" s="29">
        <v>45824</v>
      </c>
      <c r="C107" s="42">
        <v>0</v>
      </c>
      <c r="D107" s="42">
        <v>0</v>
      </c>
      <c r="E107" s="42">
        <v>0</v>
      </c>
      <c r="F107" s="42">
        <v>0</v>
      </c>
      <c r="G107" s="42"/>
      <c r="H107" s="42" t="str">
        <f>IFERROR(VLOOKUP(G107,Basic_Data!$E$2:$I$9,5,0),"")</f>
        <v/>
      </c>
      <c r="I107" s="42">
        <v>0</v>
      </c>
      <c r="J107" s="42">
        <v>0</v>
      </c>
      <c r="K107" s="43" t="str">
        <f>IFERROR(VLOOKUP($B107-1,Inverter_PR!$B:$I,Module_Cleaning!H107,0),"")</f>
        <v/>
      </c>
      <c r="L107" s="43" t="str">
        <f>IFERROR(VLOOKUP($B107+1,Inverter_PR!$B:$I,Module_Cleaning!H107,0),"")</f>
        <v/>
      </c>
      <c r="M107" s="42">
        <f t="shared" ref="M107" si="10">IFERROR(I107-J107,"")</f>
        <v>0</v>
      </c>
      <c r="N107" s="42" t="s">
        <v>254</v>
      </c>
    </row>
    <row r="108" ht="15" spans="1:14">
      <c r="A108" s="28">
        <v>45825</v>
      </c>
      <c r="B108" s="29">
        <v>45825</v>
      </c>
      <c r="C108" s="42">
        <v>0</v>
      </c>
      <c r="D108" s="42">
        <v>0</v>
      </c>
      <c r="E108" s="42">
        <v>0</v>
      </c>
      <c r="F108" s="42">
        <v>0</v>
      </c>
      <c r="G108" s="42"/>
      <c r="H108" s="42" t="str">
        <f>IFERROR(VLOOKUP(G108,Basic_Data!$E$2:$I$9,5,0),"")</f>
        <v/>
      </c>
      <c r="I108" s="42">
        <v>0</v>
      </c>
      <c r="J108" s="42">
        <v>0</v>
      </c>
      <c r="K108" s="43" t="str">
        <f>IFERROR(VLOOKUP($B108-1,Inverter_PR!$B:$I,Module_Cleaning!H108,0),"")</f>
        <v/>
      </c>
      <c r="L108" s="43" t="str">
        <f>IFERROR(VLOOKUP($B108+1,Inverter_PR!$B:$I,Module_Cleaning!H108,0),"")</f>
        <v/>
      </c>
      <c r="M108" s="42">
        <f t="shared" ref="M108" si="11">IFERROR(I108-J108,"")</f>
        <v>0</v>
      </c>
      <c r="N108" s="42" t="s">
        <v>254</v>
      </c>
    </row>
    <row r="109" ht="15" spans="1:14">
      <c r="A109" s="28">
        <v>45826</v>
      </c>
      <c r="B109" s="29">
        <v>45826</v>
      </c>
      <c r="C109" s="30">
        <v>0</v>
      </c>
      <c r="D109" s="30">
        <v>0</v>
      </c>
      <c r="E109" s="30">
        <v>0</v>
      </c>
      <c r="F109" s="30">
        <v>0</v>
      </c>
      <c r="G109" s="30"/>
      <c r="H109" s="30">
        <v>0</v>
      </c>
      <c r="I109" s="30">
        <v>0</v>
      </c>
      <c r="J109" s="30">
        <v>0</v>
      </c>
      <c r="K109" s="31">
        <v>0</v>
      </c>
      <c r="L109" s="31">
        <v>0</v>
      </c>
      <c r="M109" s="30">
        <f t="shared" si="2"/>
        <v>0</v>
      </c>
      <c r="N109" s="30" t="s">
        <v>252</v>
      </c>
    </row>
    <row r="110" ht="15" spans="1:14">
      <c r="A110" s="28">
        <v>45827</v>
      </c>
      <c r="B110" s="29">
        <v>45827</v>
      </c>
      <c r="C110" s="30">
        <v>0</v>
      </c>
      <c r="D110" s="30">
        <v>0</v>
      </c>
      <c r="E110" s="30">
        <v>0</v>
      </c>
      <c r="F110" s="30">
        <v>0</v>
      </c>
      <c r="G110" s="30"/>
      <c r="H110" s="30">
        <v>0</v>
      </c>
      <c r="I110" s="30">
        <v>0</v>
      </c>
      <c r="J110" s="30">
        <v>0</v>
      </c>
      <c r="K110" s="31">
        <v>0</v>
      </c>
      <c r="L110" s="31">
        <v>0</v>
      </c>
      <c r="M110" s="30">
        <f t="shared" ref="M110" si="12">IFERROR(I110-J110,"")</f>
        <v>0</v>
      </c>
      <c r="N110" s="30" t="s">
        <v>252</v>
      </c>
    </row>
    <row r="111" ht="15" spans="1:14">
      <c r="A111" s="28">
        <v>45828</v>
      </c>
      <c r="B111" s="29">
        <v>45828</v>
      </c>
      <c r="C111" s="30">
        <v>0</v>
      </c>
      <c r="D111" s="30">
        <v>0</v>
      </c>
      <c r="E111" s="30">
        <v>0</v>
      </c>
      <c r="F111" s="30">
        <v>0</v>
      </c>
      <c r="G111" s="30"/>
      <c r="H111" s="30">
        <v>0</v>
      </c>
      <c r="I111" s="30">
        <v>0</v>
      </c>
      <c r="J111" s="30">
        <v>0</v>
      </c>
      <c r="K111" s="31">
        <v>0</v>
      </c>
      <c r="L111" s="31">
        <v>0</v>
      </c>
      <c r="M111" s="30">
        <f t="shared" ref="M111" si="13">IFERROR(I111-J111,"")</f>
        <v>0</v>
      </c>
      <c r="N111" s="30" t="s">
        <v>252</v>
      </c>
    </row>
    <row r="112" ht="15" spans="1:14">
      <c r="A112" s="28">
        <v>45829</v>
      </c>
      <c r="B112" s="29">
        <v>45829</v>
      </c>
      <c r="C112" s="30">
        <v>0</v>
      </c>
      <c r="D112" s="30">
        <v>0</v>
      </c>
      <c r="E112" s="30">
        <v>0</v>
      </c>
      <c r="F112" s="30">
        <v>0</v>
      </c>
      <c r="G112" s="30"/>
      <c r="H112" s="30">
        <v>0</v>
      </c>
      <c r="I112" s="30">
        <v>0</v>
      </c>
      <c r="J112" s="30">
        <v>0</v>
      </c>
      <c r="K112" s="31">
        <v>0</v>
      </c>
      <c r="L112" s="31">
        <v>0</v>
      </c>
      <c r="M112" s="30">
        <f t="shared" ref="M112" si="14">IFERROR(I112-J112,"")</f>
        <v>0</v>
      </c>
      <c r="N112" s="30" t="s">
        <v>252</v>
      </c>
    </row>
    <row r="113" ht="15" spans="1:14">
      <c r="A113" s="28">
        <v>45830</v>
      </c>
      <c r="B113" s="29">
        <v>45830</v>
      </c>
      <c r="C113" s="30">
        <v>0</v>
      </c>
      <c r="D113" s="30">
        <v>0</v>
      </c>
      <c r="E113" s="30">
        <v>0</v>
      </c>
      <c r="F113" s="30">
        <v>0</v>
      </c>
      <c r="G113" s="30"/>
      <c r="H113" s="30">
        <v>0</v>
      </c>
      <c r="I113" s="30">
        <v>0</v>
      </c>
      <c r="J113" s="30">
        <v>0</v>
      </c>
      <c r="K113" s="31">
        <v>0</v>
      </c>
      <c r="L113" s="31">
        <v>0</v>
      </c>
      <c r="M113" s="30">
        <f t="shared" ref="M113" si="15">IFERROR(I113-J113,"")</f>
        <v>0</v>
      </c>
      <c r="N113" s="30" t="s">
        <v>254</v>
      </c>
    </row>
    <row r="114" ht="15" spans="1:14">
      <c r="A114" s="28">
        <v>45831</v>
      </c>
      <c r="B114" s="29">
        <v>45831</v>
      </c>
      <c r="C114" s="30">
        <v>0</v>
      </c>
      <c r="D114" s="30">
        <v>0</v>
      </c>
      <c r="E114" s="30">
        <v>0</v>
      </c>
      <c r="F114" s="30">
        <v>0</v>
      </c>
      <c r="G114" s="30"/>
      <c r="H114" s="30">
        <v>0</v>
      </c>
      <c r="I114" s="30">
        <v>0</v>
      </c>
      <c r="J114" s="30">
        <v>0</v>
      </c>
      <c r="K114" s="31">
        <v>0</v>
      </c>
      <c r="L114" s="31">
        <v>0</v>
      </c>
      <c r="M114" s="30">
        <f t="shared" ref="M114" si="16">IFERROR(I114-J114,"")</f>
        <v>0</v>
      </c>
      <c r="N114" s="30" t="s">
        <v>254</v>
      </c>
    </row>
    <row r="115" ht="15" spans="1:14">
      <c r="A115" s="28">
        <v>45832</v>
      </c>
      <c r="B115" s="29">
        <v>45832</v>
      </c>
      <c r="C115" s="30">
        <v>0</v>
      </c>
      <c r="D115" s="30">
        <v>0</v>
      </c>
      <c r="E115" s="30">
        <v>0</v>
      </c>
      <c r="F115" s="30">
        <v>0</v>
      </c>
      <c r="G115" s="30"/>
      <c r="H115" s="30">
        <v>0</v>
      </c>
      <c r="I115" s="30">
        <v>0</v>
      </c>
      <c r="J115" s="30">
        <v>0</v>
      </c>
      <c r="K115" s="31">
        <v>0</v>
      </c>
      <c r="L115" s="31">
        <v>0</v>
      </c>
      <c r="M115" s="30">
        <f t="shared" ref="M115" si="17">IFERROR(I115-J115,"")</f>
        <v>0</v>
      </c>
      <c r="N115" s="30" t="s">
        <v>252</v>
      </c>
    </row>
    <row r="116" ht="15" spans="1:14">
      <c r="A116" s="28">
        <v>45833</v>
      </c>
      <c r="B116" s="29">
        <v>45833</v>
      </c>
      <c r="C116" s="42">
        <v>0</v>
      </c>
      <c r="D116" s="42">
        <v>0</v>
      </c>
      <c r="E116" s="42">
        <v>0</v>
      </c>
      <c r="F116" s="42">
        <v>0</v>
      </c>
      <c r="G116" s="42"/>
      <c r="H116" s="42">
        <v>0</v>
      </c>
      <c r="I116" s="42">
        <v>0</v>
      </c>
      <c r="J116" s="42">
        <v>0</v>
      </c>
      <c r="K116" s="43">
        <v>0</v>
      </c>
      <c r="L116" s="43">
        <v>0</v>
      </c>
      <c r="M116" s="42">
        <f t="shared" ref="M116" si="18">IFERROR(I116-J116,"")</f>
        <v>0</v>
      </c>
      <c r="N116" s="42" t="s">
        <v>254</v>
      </c>
    </row>
    <row r="117" ht="15" spans="1:14">
      <c r="A117" s="28">
        <v>45834</v>
      </c>
      <c r="B117" s="29">
        <v>45834</v>
      </c>
      <c r="C117" s="42">
        <v>0</v>
      </c>
      <c r="D117" s="42">
        <v>0</v>
      </c>
      <c r="E117" s="42">
        <v>0</v>
      </c>
      <c r="F117" s="42">
        <v>0</v>
      </c>
      <c r="G117" s="42"/>
      <c r="H117" s="42">
        <v>0</v>
      </c>
      <c r="I117" s="42">
        <v>0</v>
      </c>
      <c r="J117" s="42">
        <v>0</v>
      </c>
      <c r="K117" s="43">
        <v>0</v>
      </c>
      <c r="L117" s="43">
        <v>0</v>
      </c>
      <c r="M117" s="42">
        <f t="shared" ref="M117" si="19">IFERROR(I117-J117,"")</f>
        <v>0</v>
      </c>
      <c r="N117" s="42" t="s">
        <v>254</v>
      </c>
    </row>
    <row r="118" ht="15" spans="1:14">
      <c r="A118" s="28">
        <v>45835</v>
      </c>
      <c r="B118" s="29">
        <v>45835</v>
      </c>
      <c r="C118" s="42">
        <v>0</v>
      </c>
      <c r="D118" s="42">
        <v>0</v>
      </c>
      <c r="E118" s="42">
        <v>0</v>
      </c>
      <c r="F118" s="42">
        <v>0</v>
      </c>
      <c r="G118" s="42"/>
      <c r="H118" s="42">
        <v>0</v>
      </c>
      <c r="I118" s="42">
        <v>0</v>
      </c>
      <c r="J118" s="42">
        <v>0</v>
      </c>
      <c r="K118" s="43">
        <v>0</v>
      </c>
      <c r="L118" s="43">
        <v>0</v>
      </c>
      <c r="M118" s="42">
        <f t="shared" ref="M118" si="20">IFERROR(I118-J118,"")</f>
        <v>0</v>
      </c>
      <c r="N118" s="42" t="s">
        <v>254</v>
      </c>
    </row>
    <row r="119" ht="15" spans="1:14">
      <c r="A119" s="28">
        <v>45836</v>
      </c>
      <c r="B119" s="29">
        <v>45836</v>
      </c>
      <c r="C119" s="45">
        <v>0</v>
      </c>
      <c r="D119" s="45">
        <v>0</v>
      </c>
      <c r="E119" s="45">
        <v>0</v>
      </c>
      <c r="F119" s="45">
        <v>0</v>
      </c>
      <c r="G119" s="45"/>
      <c r="H119" s="45">
        <v>0</v>
      </c>
      <c r="I119" s="45">
        <v>0</v>
      </c>
      <c r="J119" s="45">
        <v>0</v>
      </c>
      <c r="K119" s="46">
        <v>0</v>
      </c>
      <c r="L119" s="46">
        <v>0</v>
      </c>
      <c r="M119" s="45">
        <f t="shared" ref="M119" si="21">IFERROR(I119-J119,"")</f>
        <v>0</v>
      </c>
      <c r="N119" s="45" t="s">
        <v>252</v>
      </c>
    </row>
    <row r="120" ht="15" spans="1:14">
      <c r="A120" s="28">
        <v>45837</v>
      </c>
      <c r="B120" s="29">
        <v>45837</v>
      </c>
      <c r="C120" s="45">
        <v>0</v>
      </c>
      <c r="D120" s="45">
        <v>0</v>
      </c>
      <c r="E120" s="45">
        <v>0</v>
      </c>
      <c r="F120" s="45">
        <v>0</v>
      </c>
      <c r="G120" s="45"/>
      <c r="H120" s="45">
        <v>0</v>
      </c>
      <c r="I120" s="45">
        <v>0</v>
      </c>
      <c r="J120" s="45">
        <v>0</v>
      </c>
      <c r="K120" s="46">
        <v>0</v>
      </c>
      <c r="L120" s="46">
        <v>0</v>
      </c>
      <c r="M120" s="45">
        <f t="shared" ref="M120" si="22">IFERROR(I120-J120,"")</f>
        <v>0</v>
      </c>
      <c r="N120" s="45" t="s">
        <v>252</v>
      </c>
    </row>
    <row r="121" ht="15" spans="1:14">
      <c r="A121" s="28">
        <v>45838</v>
      </c>
      <c r="B121" s="29">
        <v>45838</v>
      </c>
      <c r="C121" s="42">
        <v>0</v>
      </c>
      <c r="D121" s="42">
        <v>0</v>
      </c>
      <c r="E121" s="42">
        <v>0</v>
      </c>
      <c r="F121" s="42">
        <v>0</v>
      </c>
      <c r="G121" s="42"/>
      <c r="H121" s="42">
        <v>0</v>
      </c>
      <c r="I121" s="42">
        <v>0</v>
      </c>
      <c r="J121" s="42">
        <v>0</v>
      </c>
      <c r="K121" s="43">
        <v>0</v>
      </c>
      <c r="L121" s="43">
        <v>0</v>
      </c>
      <c r="M121" s="42">
        <f t="shared" ref="M121" si="23">IFERROR(I121-J121,"")</f>
        <v>0</v>
      </c>
      <c r="N121" s="42" t="s">
        <v>254</v>
      </c>
    </row>
    <row r="122" ht="15" spans="1:14">
      <c r="A122" s="28">
        <v>45839</v>
      </c>
      <c r="B122" s="29">
        <v>45839</v>
      </c>
      <c r="C122" s="45">
        <v>0</v>
      </c>
      <c r="D122" s="45">
        <v>0</v>
      </c>
      <c r="E122" s="45">
        <v>0</v>
      </c>
      <c r="F122" s="45">
        <v>0</v>
      </c>
      <c r="G122" s="45"/>
      <c r="H122" s="45">
        <v>0</v>
      </c>
      <c r="I122" s="45">
        <v>0</v>
      </c>
      <c r="J122" s="45">
        <v>0</v>
      </c>
      <c r="K122" s="46">
        <v>0</v>
      </c>
      <c r="L122" s="46">
        <v>0</v>
      </c>
      <c r="M122" s="45">
        <f t="shared" ref="M122" si="24">IFERROR(I122-J122,"")</f>
        <v>0</v>
      </c>
      <c r="N122" s="45" t="s">
        <v>252</v>
      </c>
    </row>
    <row r="123" ht="15" spans="1:14">
      <c r="A123" s="28">
        <v>45840</v>
      </c>
      <c r="B123" s="29">
        <v>45840</v>
      </c>
      <c r="C123" s="42">
        <v>0</v>
      </c>
      <c r="D123" s="42">
        <v>0</v>
      </c>
      <c r="E123" s="42">
        <v>0</v>
      </c>
      <c r="F123" s="42">
        <v>0</v>
      </c>
      <c r="G123" s="42"/>
      <c r="H123" s="42">
        <v>0</v>
      </c>
      <c r="I123" s="42">
        <v>0</v>
      </c>
      <c r="J123" s="42">
        <v>0</v>
      </c>
      <c r="K123" s="43">
        <v>0</v>
      </c>
      <c r="L123" s="43">
        <v>0</v>
      </c>
      <c r="M123" s="42">
        <f t="shared" ref="M123" si="25">IFERROR(I123-J123,"")</f>
        <v>0</v>
      </c>
      <c r="N123" s="42" t="s">
        <v>254</v>
      </c>
    </row>
    <row r="124" ht="15" spans="1:14">
      <c r="A124" s="28">
        <v>45841</v>
      </c>
      <c r="B124" s="29">
        <v>45841</v>
      </c>
      <c r="C124" s="42">
        <v>0</v>
      </c>
      <c r="D124" s="42">
        <v>0</v>
      </c>
      <c r="E124" s="42">
        <v>0</v>
      </c>
      <c r="F124" s="42">
        <v>0</v>
      </c>
      <c r="G124" s="42"/>
      <c r="H124" s="42">
        <v>0</v>
      </c>
      <c r="I124" s="42">
        <v>0</v>
      </c>
      <c r="J124" s="42">
        <v>0</v>
      </c>
      <c r="K124" s="43">
        <v>0</v>
      </c>
      <c r="L124" s="43">
        <v>0</v>
      </c>
      <c r="M124" s="42">
        <f t="shared" ref="M124" si="26">IFERROR(I124-J124,"")</f>
        <v>0</v>
      </c>
      <c r="N124" s="42" t="s">
        <v>254</v>
      </c>
    </row>
    <row r="125" ht="15" spans="1:14">
      <c r="A125" s="28">
        <v>45842</v>
      </c>
      <c r="B125" s="29">
        <v>45842</v>
      </c>
      <c r="C125" s="42">
        <v>0</v>
      </c>
      <c r="D125" s="42">
        <v>0</v>
      </c>
      <c r="E125" s="42">
        <v>0</v>
      </c>
      <c r="F125" s="42">
        <v>0</v>
      </c>
      <c r="G125" s="42"/>
      <c r="H125" s="42">
        <v>0</v>
      </c>
      <c r="I125" s="42">
        <v>0</v>
      </c>
      <c r="J125" s="42">
        <v>0</v>
      </c>
      <c r="K125" s="43">
        <v>0</v>
      </c>
      <c r="L125" s="43">
        <v>0</v>
      </c>
      <c r="M125" s="42">
        <f t="shared" ref="M125" si="27">IFERROR(I125-J125,"")</f>
        <v>0</v>
      </c>
      <c r="N125" s="42" t="s">
        <v>254</v>
      </c>
    </row>
    <row r="126" ht="15" spans="1:14">
      <c r="A126" s="28">
        <v>45843</v>
      </c>
      <c r="B126" s="29">
        <v>45843</v>
      </c>
      <c r="C126" s="45">
        <v>0</v>
      </c>
      <c r="D126" s="45">
        <v>0</v>
      </c>
      <c r="E126" s="45">
        <v>0</v>
      </c>
      <c r="F126" s="45">
        <v>0</v>
      </c>
      <c r="G126" s="45"/>
      <c r="H126" s="45">
        <v>0</v>
      </c>
      <c r="I126" s="45">
        <v>0</v>
      </c>
      <c r="J126" s="45">
        <v>0</v>
      </c>
      <c r="K126" s="46">
        <v>0</v>
      </c>
      <c r="L126" s="46">
        <v>0</v>
      </c>
      <c r="M126" s="45">
        <f t="shared" ref="M126" si="28">IFERROR(I126-J126,"")</f>
        <v>0</v>
      </c>
      <c r="N126" s="45" t="s">
        <v>252</v>
      </c>
    </row>
    <row r="127" ht="15" spans="1:14">
      <c r="A127" s="28">
        <v>45844</v>
      </c>
      <c r="B127" s="29">
        <v>45844</v>
      </c>
      <c r="C127" s="42">
        <v>0</v>
      </c>
      <c r="D127" s="42">
        <v>0</v>
      </c>
      <c r="E127" s="42">
        <v>0</v>
      </c>
      <c r="F127" s="42">
        <v>0</v>
      </c>
      <c r="G127" s="42"/>
      <c r="H127" s="42">
        <v>0</v>
      </c>
      <c r="I127" s="42">
        <v>0</v>
      </c>
      <c r="J127" s="42">
        <v>0</v>
      </c>
      <c r="K127" s="43">
        <v>0</v>
      </c>
      <c r="L127" s="43">
        <v>0</v>
      </c>
      <c r="M127" s="42">
        <f t="shared" ref="M127" si="29">IFERROR(I127-J127,"")</f>
        <v>0</v>
      </c>
      <c r="N127" s="42" t="s">
        <v>254</v>
      </c>
    </row>
    <row r="128" ht="15" spans="1:14">
      <c r="A128" s="28">
        <v>45845</v>
      </c>
      <c r="B128" s="29">
        <v>45845</v>
      </c>
      <c r="C128" s="42">
        <v>0</v>
      </c>
      <c r="D128" s="42">
        <v>0</v>
      </c>
      <c r="E128" s="42">
        <v>0</v>
      </c>
      <c r="F128" s="42">
        <v>0</v>
      </c>
      <c r="G128" s="42"/>
      <c r="H128" s="42">
        <v>0</v>
      </c>
      <c r="I128" s="42">
        <v>0</v>
      </c>
      <c r="J128" s="42">
        <v>0</v>
      </c>
      <c r="K128" s="43">
        <v>0</v>
      </c>
      <c r="L128" s="43">
        <v>0</v>
      </c>
      <c r="M128" s="42">
        <f t="shared" ref="M128" si="30">IFERROR(I128-J128,"")</f>
        <v>0</v>
      </c>
      <c r="N128" s="42" t="s">
        <v>254</v>
      </c>
    </row>
    <row r="129" ht="15" spans="1:14">
      <c r="A129" s="28">
        <v>45846</v>
      </c>
      <c r="B129" s="29">
        <v>45846</v>
      </c>
      <c r="C129" s="45">
        <v>0</v>
      </c>
      <c r="D129" s="45">
        <v>0</v>
      </c>
      <c r="E129" s="45">
        <v>0</v>
      </c>
      <c r="F129" s="45">
        <v>0</v>
      </c>
      <c r="G129" s="45"/>
      <c r="H129" s="45">
        <v>0</v>
      </c>
      <c r="I129" s="45">
        <v>0</v>
      </c>
      <c r="J129" s="45">
        <v>0</v>
      </c>
      <c r="K129" s="46">
        <v>0</v>
      </c>
      <c r="L129" s="46">
        <v>0</v>
      </c>
      <c r="M129" s="45">
        <f t="shared" ref="M129" si="31">IFERROR(I129-J129,"")</f>
        <v>0</v>
      </c>
      <c r="N129" s="45" t="s">
        <v>252</v>
      </c>
    </row>
    <row r="130" ht="15" spans="1:14">
      <c r="A130" s="28">
        <v>45847</v>
      </c>
      <c r="B130" s="29">
        <v>45847</v>
      </c>
      <c r="C130" s="45">
        <v>0</v>
      </c>
      <c r="D130" s="45">
        <v>0</v>
      </c>
      <c r="E130" s="45">
        <v>0</v>
      </c>
      <c r="F130" s="45">
        <v>0</v>
      </c>
      <c r="G130" s="45"/>
      <c r="H130" s="45">
        <v>0</v>
      </c>
      <c r="I130" s="45">
        <v>0</v>
      </c>
      <c r="J130" s="45">
        <v>0</v>
      </c>
      <c r="K130" s="46">
        <v>0</v>
      </c>
      <c r="L130" s="46">
        <v>0</v>
      </c>
      <c r="M130" s="45">
        <f t="shared" ref="M130" si="32">IFERROR(I130-J130,"")</f>
        <v>0</v>
      </c>
      <c r="N130" s="45" t="s">
        <v>252</v>
      </c>
    </row>
    <row r="131" ht="15" spans="1:14">
      <c r="A131" s="28">
        <v>45848</v>
      </c>
      <c r="B131" s="29">
        <v>45848</v>
      </c>
      <c r="C131" s="45">
        <v>0</v>
      </c>
      <c r="D131" s="45">
        <v>0</v>
      </c>
      <c r="E131" s="45">
        <v>0</v>
      </c>
      <c r="F131" s="45">
        <v>0</v>
      </c>
      <c r="G131" s="45"/>
      <c r="H131" s="45">
        <v>0</v>
      </c>
      <c r="I131" s="45">
        <v>0</v>
      </c>
      <c r="J131" s="45">
        <v>0</v>
      </c>
      <c r="K131" s="46">
        <v>0</v>
      </c>
      <c r="L131" s="46">
        <v>0</v>
      </c>
      <c r="M131" s="45">
        <f t="shared" ref="M131" si="33">IFERROR(I131-J131,"")</f>
        <v>0</v>
      </c>
      <c r="N131" s="45" t="s">
        <v>252</v>
      </c>
    </row>
    <row r="132" ht="15" spans="1:14">
      <c r="A132" s="28">
        <v>45849</v>
      </c>
      <c r="B132" s="29">
        <v>45849</v>
      </c>
      <c r="C132" s="45">
        <v>0</v>
      </c>
      <c r="D132" s="45">
        <v>0</v>
      </c>
      <c r="E132" s="45">
        <v>0</v>
      </c>
      <c r="F132" s="45">
        <v>0</v>
      </c>
      <c r="G132" s="45"/>
      <c r="H132" s="45">
        <v>0</v>
      </c>
      <c r="I132" s="45">
        <v>0</v>
      </c>
      <c r="J132" s="45">
        <v>0</v>
      </c>
      <c r="K132" s="46">
        <v>0</v>
      </c>
      <c r="L132" s="46">
        <v>0</v>
      </c>
      <c r="M132" s="45">
        <f t="shared" ref="M132" si="34">IFERROR(I132-J132,"")</f>
        <v>0</v>
      </c>
      <c r="N132" s="45" t="s">
        <v>252</v>
      </c>
    </row>
    <row r="133" ht="15" spans="1:14">
      <c r="A133" s="28">
        <v>45850</v>
      </c>
      <c r="B133" s="29">
        <v>45850</v>
      </c>
      <c r="C133" s="45">
        <v>0</v>
      </c>
      <c r="D133" s="45">
        <v>0</v>
      </c>
      <c r="E133" s="45">
        <v>0</v>
      </c>
      <c r="F133" s="45">
        <v>0</v>
      </c>
      <c r="G133" s="45"/>
      <c r="H133" s="45">
        <v>0</v>
      </c>
      <c r="I133" s="45">
        <v>0</v>
      </c>
      <c r="J133" s="45">
        <v>0</v>
      </c>
      <c r="K133" s="46">
        <v>0</v>
      </c>
      <c r="L133" s="46">
        <v>0</v>
      </c>
      <c r="M133" s="45">
        <f t="shared" ref="M133" si="35">IFERROR(I133-J133,"")</f>
        <v>0</v>
      </c>
      <c r="N133" s="45" t="s">
        <v>252</v>
      </c>
    </row>
    <row r="134" ht="15" spans="1:14">
      <c r="A134" s="28">
        <v>45851</v>
      </c>
      <c r="B134" s="29">
        <v>45851</v>
      </c>
      <c r="C134" s="45">
        <v>0</v>
      </c>
      <c r="D134" s="45">
        <v>0</v>
      </c>
      <c r="E134" s="45">
        <v>0</v>
      </c>
      <c r="F134" s="45">
        <v>0</v>
      </c>
      <c r="G134" s="45"/>
      <c r="H134" s="45">
        <v>0</v>
      </c>
      <c r="I134" s="45">
        <v>0</v>
      </c>
      <c r="J134" s="45">
        <v>0</v>
      </c>
      <c r="K134" s="46">
        <v>0</v>
      </c>
      <c r="L134" s="46">
        <v>0</v>
      </c>
      <c r="M134" s="45">
        <f t="shared" ref="M134" si="36">IFERROR(I134-J134,"")</f>
        <v>0</v>
      </c>
      <c r="N134" s="45" t="s">
        <v>252</v>
      </c>
    </row>
    <row r="135" ht="15" spans="1:14">
      <c r="A135" s="28">
        <v>45852</v>
      </c>
      <c r="B135" s="29">
        <v>45852</v>
      </c>
      <c r="C135" s="45">
        <v>0</v>
      </c>
      <c r="D135" s="45">
        <v>0</v>
      </c>
      <c r="E135" s="45">
        <v>0</v>
      </c>
      <c r="F135" s="45">
        <v>0</v>
      </c>
      <c r="G135" s="45"/>
      <c r="H135" s="45">
        <v>0</v>
      </c>
      <c r="I135" s="45">
        <v>0</v>
      </c>
      <c r="J135" s="45">
        <v>0</v>
      </c>
      <c r="K135" s="46">
        <v>0</v>
      </c>
      <c r="L135" s="46">
        <v>0</v>
      </c>
      <c r="M135" s="45">
        <f t="shared" ref="M135" si="37">IFERROR(I135-J135,"")</f>
        <v>0</v>
      </c>
      <c r="N135" s="45" t="s">
        <v>252</v>
      </c>
    </row>
    <row r="136" ht="15" spans="1:14">
      <c r="A136" s="28">
        <v>45853</v>
      </c>
      <c r="B136" s="29">
        <v>45853</v>
      </c>
      <c r="C136" s="45">
        <v>0</v>
      </c>
      <c r="D136" s="45">
        <v>0</v>
      </c>
      <c r="E136" s="45">
        <v>0</v>
      </c>
      <c r="F136" s="45">
        <v>0</v>
      </c>
      <c r="G136" s="45"/>
      <c r="H136" s="45">
        <v>0</v>
      </c>
      <c r="I136" s="45">
        <v>0</v>
      </c>
      <c r="J136" s="45">
        <v>0</v>
      </c>
      <c r="K136" s="46">
        <v>0</v>
      </c>
      <c r="L136" s="46">
        <v>0</v>
      </c>
      <c r="M136" s="45">
        <f t="shared" ref="M136" si="38">IFERROR(I136-J136,"")</f>
        <v>0</v>
      </c>
      <c r="N136" s="45" t="s">
        <v>252</v>
      </c>
    </row>
    <row r="137" ht="15" spans="1:14">
      <c r="A137" s="28">
        <v>45854</v>
      </c>
      <c r="B137" s="29">
        <v>45854</v>
      </c>
      <c r="C137" s="45">
        <v>0</v>
      </c>
      <c r="D137" s="45">
        <v>0</v>
      </c>
      <c r="E137" s="45">
        <v>0</v>
      </c>
      <c r="F137" s="45">
        <v>0</v>
      </c>
      <c r="G137" s="45"/>
      <c r="H137" s="45">
        <v>0</v>
      </c>
      <c r="I137" s="45">
        <v>0</v>
      </c>
      <c r="J137" s="45">
        <v>0</v>
      </c>
      <c r="K137" s="46">
        <v>0</v>
      </c>
      <c r="L137" s="46">
        <v>0</v>
      </c>
      <c r="M137" s="45">
        <f t="shared" ref="M137" si="39">IFERROR(I137-J137,"")</f>
        <v>0</v>
      </c>
      <c r="N137" s="45" t="s">
        <v>252</v>
      </c>
    </row>
    <row r="138" ht="15" spans="1:14">
      <c r="A138" s="28">
        <v>45855</v>
      </c>
      <c r="B138" s="29">
        <v>45855</v>
      </c>
      <c r="C138" s="45">
        <v>0</v>
      </c>
      <c r="D138" s="45">
        <v>0</v>
      </c>
      <c r="E138" s="45">
        <v>0</v>
      </c>
      <c r="F138" s="45">
        <v>0</v>
      </c>
      <c r="G138" s="45"/>
      <c r="H138" s="45">
        <v>0</v>
      </c>
      <c r="I138" s="45">
        <v>0</v>
      </c>
      <c r="J138" s="45">
        <v>0</v>
      </c>
      <c r="K138" s="46">
        <v>0</v>
      </c>
      <c r="L138" s="46">
        <v>0</v>
      </c>
      <c r="M138" s="45">
        <f t="shared" ref="M138" si="40">IFERROR(I138-J138,"")</f>
        <v>0</v>
      </c>
      <c r="N138" s="45" t="s">
        <v>252</v>
      </c>
    </row>
    <row r="139" ht="15" spans="1:14">
      <c r="A139" s="28">
        <v>45856</v>
      </c>
      <c r="B139" s="29">
        <v>45856</v>
      </c>
      <c r="C139" s="45">
        <v>0</v>
      </c>
      <c r="D139" s="45">
        <v>0</v>
      </c>
      <c r="E139" s="45">
        <v>0</v>
      </c>
      <c r="F139" s="45">
        <v>0</v>
      </c>
      <c r="G139" s="45"/>
      <c r="H139" s="45">
        <v>0</v>
      </c>
      <c r="I139" s="45">
        <v>0</v>
      </c>
      <c r="J139" s="45">
        <v>0</v>
      </c>
      <c r="K139" s="46">
        <v>0</v>
      </c>
      <c r="L139" s="46">
        <v>0</v>
      </c>
      <c r="M139" s="45">
        <f t="shared" ref="M139" si="41">IFERROR(I139-J139,"")</f>
        <v>0</v>
      </c>
      <c r="N139" s="45" t="s">
        <v>252</v>
      </c>
    </row>
    <row r="140" ht="15" spans="1:14">
      <c r="A140" s="28">
        <v>45857</v>
      </c>
      <c r="B140" s="29">
        <v>45857</v>
      </c>
      <c r="C140" s="45">
        <v>0</v>
      </c>
      <c r="D140" s="45">
        <v>0</v>
      </c>
      <c r="E140" s="45">
        <v>0</v>
      </c>
      <c r="F140" s="45">
        <v>0</v>
      </c>
      <c r="G140" s="45"/>
      <c r="H140" s="45">
        <v>0</v>
      </c>
      <c r="I140" s="45">
        <v>0</v>
      </c>
      <c r="J140" s="45">
        <v>0</v>
      </c>
      <c r="K140" s="46">
        <v>0</v>
      </c>
      <c r="L140" s="46">
        <v>0</v>
      </c>
      <c r="M140" s="45">
        <f t="shared" ref="M140" si="42">IFERROR(I140-J140,"")</f>
        <v>0</v>
      </c>
      <c r="N140" s="45" t="s">
        <v>252</v>
      </c>
    </row>
    <row r="141" ht="15" spans="1:14">
      <c r="A141" s="28">
        <v>45858</v>
      </c>
      <c r="B141" s="29">
        <v>45858</v>
      </c>
      <c r="C141" s="42">
        <v>0</v>
      </c>
      <c r="D141" s="42">
        <v>0</v>
      </c>
      <c r="E141" s="42">
        <v>0</v>
      </c>
      <c r="F141" s="42">
        <v>0</v>
      </c>
      <c r="G141" s="42"/>
      <c r="H141" s="42">
        <v>0</v>
      </c>
      <c r="I141" s="42">
        <v>0</v>
      </c>
      <c r="J141" s="42">
        <v>0</v>
      </c>
      <c r="K141" s="43">
        <v>0</v>
      </c>
      <c r="L141" s="43">
        <v>0</v>
      </c>
      <c r="M141" s="42">
        <f t="shared" ref="M141" si="43">IFERROR(I141-J141,"")</f>
        <v>0</v>
      </c>
      <c r="N141" s="42" t="s">
        <v>254</v>
      </c>
    </row>
    <row r="142" ht="15" spans="1:14">
      <c r="A142" s="28">
        <v>45859</v>
      </c>
      <c r="B142" s="29">
        <v>45859</v>
      </c>
      <c r="C142" s="47">
        <v>0</v>
      </c>
      <c r="D142" s="47">
        <v>0</v>
      </c>
      <c r="E142" s="47">
        <v>0</v>
      </c>
      <c r="F142" s="47">
        <v>0</v>
      </c>
      <c r="G142" s="47"/>
      <c r="H142" s="47">
        <v>0</v>
      </c>
      <c r="I142" s="47">
        <v>0</v>
      </c>
      <c r="J142" s="47">
        <v>0</v>
      </c>
      <c r="K142" s="48">
        <v>0</v>
      </c>
      <c r="L142" s="48">
        <v>0</v>
      </c>
      <c r="M142" s="47">
        <f t="shared" ref="M142" si="44">IFERROR(I142-J142,"")</f>
        <v>0</v>
      </c>
      <c r="N142" s="45" t="s">
        <v>252</v>
      </c>
    </row>
    <row r="143" ht="15" spans="1:14">
      <c r="A143" s="28">
        <v>45860</v>
      </c>
      <c r="B143" s="29">
        <v>45860</v>
      </c>
      <c r="C143" s="47">
        <v>0</v>
      </c>
      <c r="D143" s="47">
        <v>0</v>
      </c>
      <c r="E143" s="47">
        <v>0</v>
      </c>
      <c r="F143" s="47">
        <v>0</v>
      </c>
      <c r="G143" s="47"/>
      <c r="H143" s="47">
        <v>0</v>
      </c>
      <c r="I143" s="47">
        <v>0</v>
      </c>
      <c r="J143" s="47">
        <v>0</v>
      </c>
      <c r="K143" s="48">
        <v>0</v>
      </c>
      <c r="L143" s="48">
        <v>0</v>
      </c>
      <c r="M143" s="47">
        <f t="shared" ref="M143" si="45">IFERROR(I143-J143,"")</f>
        <v>0</v>
      </c>
      <c r="N143" s="45" t="s">
        <v>252</v>
      </c>
    </row>
    <row r="144" ht="15" spans="1:14">
      <c r="A144" s="28">
        <v>45861</v>
      </c>
      <c r="B144" s="29">
        <v>45861</v>
      </c>
      <c r="C144" s="47">
        <v>0</v>
      </c>
      <c r="D144" s="47">
        <v>0</v>
      </c>
      <c r="E144" s="47">
        <v>0</v>
      </c>
      <c r="F144" s="47">
        <v>0</v>
      </c>
      <c r="G144" s="47"/>
      <c r="H144" s="47">
        <v>0</v>
      </c>
      <c r="I144" s="47">
        <v>0</v>
      </c>
      <c r="J144" s="47">
        <v>0</v>
      </c>
      <c r="K144" s="48">
        <v>0</v>
      </c>
      <c r="L144" s="48">
        <v>0</v>
      </c>
      <c r="M144" s="47">
        <f t="shared" ref="M144" si="46">IFERROR(I144-J144,"")</f>
        <v>0</v>
      </c>
      <c r="N144" s="45" t="s">
        <v>252</v>
      </c>
    </row>
    <row r="145" ht="15" spans="1:14">
      <c r="A145" s="28">
        <v>45862</v>
      </c>
      <c r="B145" s="29">
        <v>45862</v>
      </c>
      <c r="C145" s="42">
        <v>0</v>
      </c>
      <c r="D145" s="42">
        <v>0</v>
      </c>
      <c r="E145" s="42">
        <v>0</v>
      </c>
      <c r="F145" s="42">
        <v>0</v>
      </c>
      <c r="G145" s="42"/>
      <c r="H145" s="42">
        <v>0</v>
      </c>
      <c r="I145" s="42">
        <v>0</v>
      </c>
      <c r="J145" s="42">
        <v>0</v>
      </c>
      <c r="K145" s="43">
        <v>0</v>
      </c>
      <c r="L145" s="43">
        <v>0</v>
      </c>
      <c r="M145" s="42">
        <f t="shared" ref="M145" si="47">IFERROR(I145-J145,"")</f>
        <v>0</v>
      </c>
      <c r="N145" s="42" t="s">
        <v>254</v>
      </c>
    </row>
    <row r="146" ht="15" spans="1:14">
      <c r="A146" s="28">
        <v>45863</v>
      </c>
      <c r="B146" s="29">
        <v>45863</v>
      </c>
      <c r="C146" s="47">
        <v>0</v>
      </c>
      <c r="D146" s="47">
        <v>0</v>
      </c>
      <c r="E146" s="47">
        <v>0</v>
      </c>
      <c r="F146" s="47">
        <v>0</v>
      </c>
      <c r="G146" s="47"/>
      <c r="H146" s="47">
        <v>0</v>
      </c>
      <c r="I146" s="47">
        <v>0</v>
      </c>
      <c r="J146" s="47">
        <v>0</v>
      </c>
      <c r="K146" s="48">
        <v>0</v>
      </c>
      <c r="L146" s="48">
        <v>0</v>
      </c>
      <c r="M146" s="47">
        <f t="shared" ref="M146" si="48">IFERROR(I146-J146,"")</f>
        <v>0</v>
      </c>
      <c r="N146" s="45" t="s">
        <v>252</v>
      </c>
    </row>
    <row r="147" ht="15" spans="1:14">
      <c r="A147" s="28">
        <v>45864</v>
      </c>
      <c r="B147" s="29">
        <v>45864</v>
      </c>
      <c r="C147" s="47">
        <v>0</v>
      </c>
      <c r="D147" s="47">
        <v>0</v>
      </c>
      <c r="E147" s="47">
        <v>0</v>
      </c>
      <c r="F147" s="47">
        <v>0</v>
      </c>
      <c r="G147" s="47"/>
      <c r="H147" s="47">
        <v>0</v>
      </c>
      <c r="I147" s="47">
        <v>0</v>
      </c>
      <c r="J147" s="47">
        <v>0</v>
      </c>
      <c r="K147" s="48">
        <v>0</v>
      </c>
      <c r="L147" s="48">
        <v>0</v>
      </c>
      <c r="M147" s="47">
        <f t="shared" ref="M147" si="49">IFERROR(I147-J147,"")</f>
        <v>0</v>
      </c>
      <c r="N147" s="45" t="s">
        <v>252</v>
      </c>
    </row>
    <row r="148" ht="15" spans="1:14">
      <c r="A148" s="28">
        <v>45865</v>
      </c>
      <c r="B148" s="29">
        <v>45865</v>
      </c>
      <c r="C148" s="42">
        <v>0</v>
      </c>
      <c r="D148" s="42">
        <v>0</v>
      </c>
      <c r="E148" s="42">
        <v>0</v>
      </c>
      <c r="F148" s="42">
        <v>0</v>
      </c>
      <c r="G148" s="42"/>
      <c r="H148" s="42">
        <v>0</v>
      </c>
      <c r="I148" s="42">
        <v>0</v>
      </c>
      <c r="J148" s="42">
        <v>0</v>
      </c>
      <c r="K148" s="43">
        <v>0</v>
      </c>
      <c r="L148" s="43">
        <v>0</v>
      </c>
      <c r="M148" s="42">
        <f t="shared" ref="M148" si="50">IFERROR(I148-J148,"")</f>
        <v>0</v>
      </c>
      <c r="N148" s="42" t="s">
        <v>254</v>
      </c>
    </row>
    <row r="149" ht="15" spans="1:14">
      <c r="A149" s="28">
        <v>45866</v>
      </c>
      <c r="B149" s="29">
        <v>45866</v>
      </c>
      <c r="C149" s="47">
        <v>0</v>
      </c>
      <c r="D149" s="47">
        <v>0</v>
      </c>
      <c r="E149" s="47">
        <v>0</v>
      </c>
      <c r="F149" s="47">
        <v>0</v>
      </c>
      <c r="G149" s="47"/>
      <c r="H149" s="47">
        <v>0</v>
      </c>
      <c r="I149" s="47">
        <v>0</v>
      </c>
      <c r="J149" s="47">
        <v>0</v>
      </c>
      <c r="K149" s="48">
        <v>0</v>
      </c>
      <c r="L149" s="48">
        <v>0</v>
      </c>
      <c r="M149" s="47">
        <f t="shared" ref="M149" si="51">IFERROR(I149-J149,"")</f>
        <v>0</v>
      </c>
      <c r="N149" s="47" t="s">
        <v>252</v>
      </c>
    </row>
    <row r="150" ht="15" spans="1:14">
      <c r="A150" s="28">
        <v>45867</v>
      </c>
      <c r="B150" s="29">
        <v>45867</v>
      </c>
      <c r="C150" s="47">
        <v>0</v>
      </c>
      <c r="D150" s="47">
        <v>0</v>
      </c>
      <c r="E150" s="47">
        <v>0</v>
      </c>
      <c r="F150" s="47">
        <v>0</v>
      </c>
      <c r="G150" s="47"/>
      <c r="H150" s="47">
        <v>0</v>
      </c>
      <c r="I150" s="47">
        <v>0</v>
      </c>
      <c r="J150" s="47">
        <v>0</v>
      </c>
      <c r="K150" s="48">
        <v>0</v>
      </c>
      <c r="L150" s="48">
        <v>0</v>
      </c>
      <c r="M150" s="47">
        <f t="shared" ref="M150" si="52">IFERROR(I150-J150,"")</f>
        <v>0</v>
      </c>
      <c r="N150" s="47" t="s">
        <v>252</v>
      </c>
    </row>
    <row r="151" ht="15" spans="1:14">
      <c r="A151" s="28">
        <v>45868</v>
      </c>
      <c r="B151" s="29">
        <v>45868</v>
      </c>
      <c r="C151" s="47">
        <v>0</v>
      </c>
      <c r="D151" s="47">
        <v>0</v>
      </c>
      <c r="E151" s="47">
        <v>0</v>
      </c>
      <c r="F151" s="47">
        <v>0</v>
      </c>
      <c r="G151" s="47"/>
      <c r="H151" s="47">
        <v>0</v>
      </c>
      <c r="I151" s="47">
        <v>0</v>
      </c>
      <c r="J151" s="47">
        <v>0</v>
      </c>
      <c r="K151" s="48">
        <v>0</v>
      </c>
      <c r="L151" s="48">
        <v>0</v>
      </c>
      <c r="M151" s="47">
        <f t="shared" ref="M151" si="53">IFERROR(I151-J151,"")</f>
        <v>0</v>
      </c>
      <c r="N151" s="47" t="s">
        <v>252</v>
      </c>
    </row>
    <row r="152" ht="15" spans="1:14">
      <c r="A152" s="28">
        <v>45869</v>
      </c>
      <c r="B152" s="29">
        <v>45869</v>
      </c>
      <c r="C152" s="47">
        <v>0</v>
      </c>
      <c r="D152" s="47">
        <v>0</v>
      </c>
      <c r="E152" s="47">
        <v>0</v>
      </c>
      <c r="F152" s="47">
        <v>0</v>
      </c>
      <c r="G152" s="47"/>
      <c r="H152" s="47">
        <v>0</v>
      </c>
      <c r="I152" s="47">
        <v>0</v>
      </c>
      <c r="J152" s="47">
        <v>0</v>
      </c>
      <c r="K152" s="48">
        <v>0</v>
      </c>
      <c r="L152" s="48">
        <v>0</v>
      </c>
      <c r="M152" s="47">
        <f t="shared" ref="M152" si="54">IFERROR(I152-J152,"")</f>
        <v>0</v>
      </c>
      <c r="N152" s="47" t="s">
        <v>252</v>
      </c>
    </row>
    <row r="153" ht="15" spans="1:14">
      <c r="A153" s="28">
        <v>45870</v>
      </c>
      <c r="B153" s="29">
        <v>45870</v>
      </c>
      <c r="C153" s="47">
        <v>0</v>
      </c>
      <c r="D153" s="47">
        <v>0</v>
      </c>
      <c r="E153" s="47">
        <v>0</v>
      </c>
      <c r="F153" s="47">
        <v>0</v>
      </c>
      <c r="G153" s="47"/>
      <c r="H153" s="47">
        <v>0</v>
      </c>
      <c r="I153" s="47">
        <v>0</v>
      </c>
      <c r="J153" s="47">
        <v>0</v>
      </c>
      <c r="K153" s="48">
        <v>0</v>
      </c>
      <c r="L153" s="48">
        <v>0</v>
      </c>
      <c r="M153" s="47">
        <f t="shared" ref="M153" si="55">IFERROR(I153-J153,"")</f>
        <v>0</v>
      </c>
      <c r="N153" s="47" t="s">
        <v>252</v>
      </c>
    </row>
    <row r="154" ht="15" spans="1:14">
      <c r="A154" s="28">
        <v>45871</v>
      </c>
      <c r="B154" s="29">
        <v>45871</v>
      </c>
      <c r="C154" s="47">
        <v>0</v>
      </c>
      <c r="D154" s="47">
        <v>0</v>
      </c>
      <c r="E154" s="47">
        <v>0</v>
      </c>
      <c r="F154" s="47">
        <v>0</v>
      </c>
      <c r="G154" s="47"/>
      <c r="H154" s="47">
        <v>0</v>
      </c>
      <c r="I154" s="47">
        <v>0</v>
      </c>
      <c r="J154" s="47">
        <v>0</v>
      </c>
      <c r="K154" s="48">
        <v>0</v>
      </c>
      <c r="L154" s="48">
        <v>0</v>
      </c>
      <c r="M154" s="47">
        <f t="shared" ref="M154" si="56">IFERROR(I154-J154,"")</f>
        <v>0</v>
      </c>
      <c r="N154" s="47" t="s">
        <v>252</v>
      </c>
    </row>
    <row r="155" ht="15" spans="1:14">
      <c r="A155" s="28">
        <v>45872</v>
      </c>
      <c r="B155" s="29">
        <v>45872</v>
      </c>
      <c r="C155" s="47">
        <v>0</v>
      </c>
      <c r="D155" s="47">
        <v>0</v>
      </c>
      <c r="E155" s="47">
        <v>0</v>
      </c>
      <c r="F155" s="47">
        <v>0</v>
      </c>
      <c r="G155" s="47"/>
      <c r="H155" s="47">
        <v>0</v>
      </c>
      <c r="I155" s="47">
        <v>0</v>
      </c>
      <c r="J155" s="47">
        <v>0</v>
      </c>
      <c r="K155" s="48">
        <v>0</v>
      </c>
      <c r="L155" s="48">
        <v>0</v>
      </c>
      <c r="M155" s="47">
        <f t="shared" ref="M155" si="57">IFERROR(I155-J155,"")</f>
        <v>0</v>
      </c>
      <c r="N155" s="47" t="s">
        <v>252</v>
      </c>
    </row>
    <row r="156" ht="15" spans="1:14">
      <c r="A156" s="28">
        <v>45873</v>
      </c>
      <c r="B156" s="29">
        <v>45873</v>
      </c>
      <c r="C156" s="47">
        <v>0</v>
      </c>
      <c r="D156" s="47">
        <v>0</v>
      </c>
      <c r="E156" s="47">
        <v>0</v>
      </c>
      <c r="F156" s="47">
        <v>0</v>
      </c>
      <c r="G156" s="47"/>
      <c r="H156" s="47">
        <v>0</v>
      </c>
      <c r="I156" s="47">
        <v>0</v>
      </c>
      <c r="J156" s="47">
        <v>0</v>
      </c>
      <c r="K156" s="48">
        <v>0</v>
      </c>
      <c r="L156" s="48">
        <v>0</v>
      </c>
      <c r="M156" s="47">
        <f t="shared" ref="M156" si="58">IFERROR(I156-J156,"")</f>
        <v>0</v>
      </c>
      <c r="N156" s="47" t="s">
        <v>252</v>
      </c>
    </row>
    <row r="157" ht="15" spans="1:14">
      <c r="A157" s="28">
        <v>45874</v>
      </c>
      <c r="B157" s="29">
        <v>45874</v>
      </c>
      <c r="C157" s="47">
        <v>0</v>
      </c>
      <c r="D157" s="47">
        <v>0</v>
      </c>
      <c r="E157" s="47">
        <v>0</v>
      </c>
      <c r="F157" s="47">
        <v>0</v>
      </c>
      <c r="G157" s="47"/>
      <c r="H157" s="47">
        <v>0</v>
      </c>
      <c r="I157" s="47">
        <v>0</v>
      </c>
      <c r="J157" s="47">
        <v>0</v>
      </c>
      <c r="K157" s="48">
        <v>0</v>
      </c>
      <c r="L157" s="48">
        <v>0</v>
      </c>
      <c r="M157" s="47">
        <f t="shared" ref="M157" si="59">IFERROR(I157-J157,"")</f>
        <v>0</v>
      </c>
      <c r="N157" s="47" t="s">
        <v>252</v>
      </c>
    </row>
    <row r="158" ht="15" spans="1:14">
      <c r="A158" s="28">
        <v>45875</v>
      </c>
      <c r="B158" s="29">
        <v>45875</v>
      </c>
      <c r="C158" s="47">
        <v>0</v>
      </c>
      <c r="D158" s="47">
        <v>0</v>
      </c>
      <c r="E158" s="47">
        <v>0</v>
      </c>
      <c r="F158" s="47">
        <v>0</v>
      </c>
      <c r="G158" s="47"/>
      <c r="H158" s="47">
        <v>0</v>
      </c>
      <c r="I158" s="47">
        <v>0</v>
      </c>
      <c r="J158" s="47">
        <v>0</v>
      </c>
      <c r="K158" s="48">
        <v>0</v>
      </c>
      <c r="L158" s="48">
        <v>0</v>
      </c>
      <c r="M158" s="47">
        <f t="shared" ref="M158" si="60">IFERROR(I158-J158,"")</f>
        <v>0</v>
      </c>
      <c r="N158" s="47" t="s">
        <v>252</v>
      </c>
    </row>
    <row r="159" ht="15" spans="1:14">
      <c r="A159" s="28">
        <v>45876</v>
      </c>
      <c r="B159" s="29">
        <v>45876</v>
      </c>
      <c r="C159" s="47">
        <v>0</v>
      </c>
      <c r="D159" s="47">
        <v>0</v>
      </c>
      <c r="E159" s="47">
        <v>0</v>
      </c>
      <c r="F159" s="47">
        <v>0</v>
      </c>
      <c r="G159" s="47"/>
      <c r="H159" s="47">
        <v>0</v>
      </c>
      <c r="I159" s="47">
        <v>0</v>
      </c>
      <c r="J159" s="47">
        <v>0</v>
      </c>
      <c r="K159" s="48">
        <v>0</v>
      </c>
      <c r="L159" s="48">
        <v>0</v>
      </c>
      <c r="M159" s="47">
        <f t="shared" ref="M159" si="61">IFERROR(I159-J159,"")</f>
        <v>0</v>
      </c>
      <c r="N159" s="47" t="s">
        <v>252</v>
      </c>
    </row>
    <row r="160" ht="15" spans="1:14">
      <c r="A160" s="28">
        <v>45877</v>
      </c>
      <c r="B160" s="29">
        <v>45877</v>
      </c>
      <c r="C160" s="42">
        <v>0</v>
      </c>
      <c r="D160" s="42">
        <v>0</v>
      </c>
      <c r="E160" s="42">
        <v>0</v>
      </c>
      <c r="F160" s="42">
        <v>0</v>
      </c>
      <c r="G160" s="42"/>
      <c r="H160" s="42">
        <v>0</v>
      </c>
      <c r="I160" s="42">
        <v>0</v>
      </c>
      <c r="J160" s="42">
        <v>0</v>
      </c>
      <c r="K160" s="43">
        <v>0</v>
      </c>
      <c r="L160" s="43">
        <v>0</v>
      </c>
      <c r="M160" s="42">
        <f t="shared" ref="M160" si="62">IFERROR(I160-J160,"")</f>
        <v>0</v>
      </c>
      <c r="N160" s="42" t="s">
        <v>254</v>
      </c>
    </row>
    <row r="161" ht="15" spans="1:14">
      <c r="A161" s="28">
        <v>45878</v>
      </c>
      <c r="B161" s="29">
        <v>45878</v>
      </c>
      <c r="C161" s="45">
        <v>0</v>
      </c>
      <c r="D161" s="45">
        <v>0</v>
      </c>
      <c r="E161" s="45">
        <v>0</v>
      </c>
      <c r="F161" s="45">
        <v>0</v>
      </c>
      <c r="G161" s="45"/>
      <c r="H161" s="45">
        <v>0</v>
      </c>
      <c r="I161" s="45">
        <v>0</v>
      </c>
      <c r="J161" s="45">
        <v>0</v>
      </c>
      <c r="K161" s="46">
        <v>0</v>
      </c>
      <c r="L161" s="46">
        <v>0</v>
      </c>
      <c r="M161" s="45">
        <f t="shared" ref="M161" si="63">IFERROR(I161-J161,"")</f>
        <v>0</v>
      </c>
      <c r="N161" s="45" t="s">
        <v>252</v>
      </c>
    </row>
    <row r="162" ht="15" spans="1:14">
      <c r="A162" s="28">
        <v>45879</v>
      </c>
      <c r="B162" s="29">
        <v>45879</v>
      </c>
      <c r="C162" s="45">
        <v>0</v>
      </c>
      <c r="D162" s="45">
        <v>0</v>
      </c>
      <c r="E162" s="45">
        <v>0</v>
      </c>
      <c r="F162" s="45">
        <v>0</v>
      </c>
      <c r="G162" s="45"/>
      <c r="H162" s="45">
        <v>0</v>
      </c>
      <c r="I162" s="45">
        <v>0</v>
      </c>
      <c r="J162" s="45">
        <v>0</v>
      </c>
      <c r="K162" s="46">
        <v>0</v>
      </c>
      <c r="L162" s="46">
        <v>0</v>
      </c>
      <c r="M162" s="45">
        <f t="shared" ref="M162:M163" si="64">IFERROR(I162-J162,"")</f>
        <v>0</v>
      </c>
      <c r="N162" s="45" t="s">
        <v>252</v>
      </c>
    </row>
    <row r="163" ht="15" spans="1:14">
      <c r="A163" s="28">
        <v>45880</v>
      </c>
      <c r="B163" s="29">
        <v>45880</v>
      </c>
      <c r="C163" s="42">
        <v>0</v>
      </c>
      <c r="D163" s="42">
        <v>0</v>
      </c>
      <c r="E163" s="42">
        <v>0</v>
      </c>
      <c r="F163" s="42">
        <v>0</v>
      </c>
      <c r="G163" s="42"/>
      <c r="H163" s="42">
        <v>0</v>
      </c>
      <c r="I163" s="42">
        <v>0</v>
      </c>
      <c r="J163" s="42">
        <v>0</v>
      </c>
      <c r="K163" s="43">
        <v>0</v>
      </c>
      <c r="L163" s="43">
        <v>0</v>
      </c>
      <c r="M163" s="42">
        <f t="shared" si="64"/>
        <v>0</v>
      </c>
      <c r="N163" s="42" t="s">
        <v>254</v>
      </c>
    </row>
    <row r="164" ht="15" spans="1:14">
      <c r="A164" s="28">
        <v>45881</v>
      </c>
      <c r="B164" s="29">
        <v>45881</v>
      </c>
      <c r="C164" s="45">
        <v>0</v>
      </c>
      <c r="D164" s="45">
        <v>0</v>
      </c>
      <c r="E164" s="45">
        <v>0</v>
      </c>
      <c r="F164" s="45">
        <v>0</v>
      </c>
      <c r="G164" s="45"/>
      <c r="H164" s="45">
        <v>0</v>
      </c>
      <c r="I164" s="45">
        <v>0</v>
      </c>
      <c r="J164" s="45">
        <v>0</v>
      </c>
      <c r="K164" s="46">
        <v>0</v>
      </c>
      <c r="L164" s="46">
        <v>0</v>
      </c>
      <c r="M164" s="45">
        <f t="shared" ref="M164" si="65">IFERROR(I164-J164,"")</f>
        <v>0</v>
      </c>
      <c r="N164" s="45" t="s">
        <v>252</v>
      </c>
    </row>
    <row r="165" ht="15" spans="1:14">
      <c r="A165" s="28">
        <v>45882</v>
      </c>
      <c r="B165" s="29">
        <v>45882</v>
      </c>
      <c r="C165" s="45">
        <v>0</v>
      </c>
      <c r="D165" s="45">
        <v>0</v>
      </c>
      <c r="E165" s="45">
        <v>0</v>
      </c>
      <c r="F165" s="45">
        <v>0</v>
      </c>
      <c r="G165" s="45"/>
      <c r="H165" s="45">
        <v>0</v>
      </c>
      <c r="I165" s="45">
        <v>0</v>
      </c>
      <c r="J165" s="45">
        <v>0</v>
      </c>
      <c r="K165" s="46">
        <v>0</v>
      </c>
      <c r="L165" s="46">
        <v>0</v>
      </c>
      <c r="M165" s="45">
        <f t="shared" ref="M165:M166" si="66">IFERROR(I165-J165,"")</f>
        <v>0</v>
      </c>
      <c r="N165" s="45" t="s">
        <v>252</v>
      </c>
    </row>
    <row r="166" ht="15" spans="1:14">
      <c r="A166" s="28">
        <v>45883</v>
      </c>
      <c r="B166" s="29">
        <v>45883</v>
      </c>
      <c r="C166" s="42">
        <v>0</v>
      </c>
      <c r="D166" s="42">
        <v>0</v>
      </c>
      <c r="E166" s="42">
        <v>0</v>
      </c>
      <c r="F166" s="42">
        <v>0</v>
      </c>
      <c r="G166" s="42"/>
      <c r="H166" s="42">
        <v>0</v>
      </c>
      <c r="I166" s="42">
        <v>0</v>
      </c>
      <c r="J166" s="42">
        <v>0</v>
      </c>
      <c r="K166" s="43">
        <v>0</v>
      </c>
      <c r="L166" s="43">
        <v>0</v>
      </c>
      <c r="M166" s="42">
        <f t="shared" si="66"/>
        <v>0</v>
      </c>
      <c r="N166" s="42" t="s">
        <v>254</v>
      </c>
    </row>
    <row r="167" ht="15" spans="1:14">
      <c r="A167" s="28">
        <v>45884</v>
      </c>
      <c r="B167" s="29">
        <v>45884</v>
      </c>
      <c r="C167" s="42">
        <v>0</v>
      </c>
      <c r="D167" s="42">
        <v>0</v>
      </c>
      <c r="E167" s="42">
        <v>0</v>
      </c>
      <c r="F167" s="42">
        <v>0</v>
      </c>
      <c r="G167" s="42"/>
      <c r="H167" s="42">
        <v>0</v>
      </c>
      <c r="I167" s="42">
        <v>0</v>
      </c>
      <c r="J167" s="42">
        <v>0</v>
      </c>
      <c r="K167" s="43">
        <v>0</v>
      </c>
      <c r="L167" s="43">
        <v>0</v>
      </c>
      <c r="M167" s="42">
        <f t="shared" ref="M167:M168" si="67">IFERROR(I167-J167,"")</f>
        <v>0</v>
      </c>
      <c r="N167" s="42" t="s">
        <v>254</v>
      </c>
    </row>
    <row r="168" ht="15" spans="1:14">
      <c r="A168" s="28">
        <v>45885</v>
      </c>
      <c r="B168" s="29">
        <v>45885</v>
      </c>
      <c r="C168" s="45">
        <v>0</v>
      </c>
      <c r="D168" s="45">
        <v>0</v>
      </c>
      <c r="E168" s="45">
        <v>0</v>
      </c>
      <c r="F168" s="45">
        <v>0</v>
      </c>
      <c r="G168" s="45"/>
      <c r="H168" s="45">
        <v>0</v>
      </c>
      <c r="I168" s="45">
        <v>0</v>
      </c>
      <c r="J168" s="45">
        <v>0</v>
      </c>
      <c r="K168" s="46">
        <v>0</v>
      </c>
      <c r="L168" s="46">
        <v>0</v>
      </c>
      <c r="M168" s="45">
        <f t="shared" si="67"/>
        <v>0</v>
      </c>
      <c r="N168" s="45" t="s">
        <v>252</v>
      </c>
    </row>
    <row r="169" ht="15" spans="1:14">
      <c r="A169" s="28">
        <v>45886</v>
      </c>
      <c r="B169" s="29">
        <v>45886</v>
      </c>
      <c r="C169" s="42">
        <v>0</v>
      </c>
      <c r="D169" s="42">
        <v>0</v>
      </c>
      <c r="E169" s="42">
        <v>0</v>
      </c>
      <c r="F169" s="42">
        <v>0</v>
      </c>
      <c r="G169" s="42"/>
      <c r="H169" s="42">
        <v>0</v>
      </c>
      <c r="I169" s="42">
        <v>0</v>
      </c>
      <c r="J169" s="42">
        <v>0</v>
      </c>
      <c r="K169" s="43">
        <v>0</v>
      </c>
      <c r="L169" s="43">
        <v>0</v>
      </c>
      <c r="M169" s="42">
        <f t="shared" ref="M169" si="68">IFERROR(I169-J169,"")</f>
        <v>0</v>
      </c>
      <c r="N169" s="42" t="s">
        <v>254</v>
      </c>
    </row>
    <row r="170" ht="15" spans="1:14">
      <c r="A170" s="28">
        <v>45887</v>
      </c>
      <c r="B170" s="29">
        <v>45887</v>
      </c>
      <c r="C170" s="42">
        <v>0</v>
      </c>
      <c r="D170" s="42">
        <v>0</v>
      </c>
      <c r="E170" s="42">
        <v>0</v>
      </c>
      <c r="F170" s="42">
        <v>0</v>
      </c>
      <c r="G170" s="42"/>
      <c r="H170" s="42">
        <v>0</v>
      </c>
      <c r="I170" s="42">
        <v>0</v>
      </c>
      <c r="J170" s="42">
        <v>0</v>
      </c>
      <c r="K170" s="43">
        <v>0</v>
      </c>
      <c r="L170" s="43">
        <v>0</v>
      </c>
      <c r="M170" s="42">
        <f t="shared" ref="M170" si="69">IFERROR(I170-J170,"")</f>
        <v>0</v>
      </c>
      <c r="N170" s="42" t="s">
        <v>254</v>
      </c>
    </row>
    <row r="171" ht="15" spans="1:14">
      <c r="A171" s="28">
        <v>45888</v>
      </c>
      <c r="B171" s="29">
        <v>45888</v>
      </c>
      <c r="C171" s="30"/>
      <c r="D171" s="30"/>
      <c r="E171" s="30"/>
      <c r="F171" s="30"/>
      <c r="G171" s="30"/>
      <c r="H171" s="30" t="str">
        <f>IFERROR(VLOOKUP(G171,Basic_Data!$E$2:$I$9,5,0),"")</f>
        <v/>
      </c>
      <c r="I171" s="30" t="str">
        <f>IFERROR(VLOOKUP($G171,Basic_Data!$E$2:$H$10,4,0),"")</f>
        <v/>
      </c>
      <c r="J171" s="30"/>
      <c r="K171" s="31" t="str">
        <f>IFERROR(VLOOKUP($B171-1,Inverter_PR!$B:$I,Module_Cleaning!H171,0),"")</f>
        <v/>
      </c>
      <c r="L171" s="31" t="str">
        <f>IFERROR(VLOOKUP($B171+1,Inverter_PR!$B:$I,Module_Cleaning!H171,0),"")</f>
        <v/>
      </c>
      <c r="M171" s="30" t="str">
        <f t="shared" ref="M171:M205" si="70">IFERROR(I171-J171,"")</f>
        <v/>
      </c>
      <c r="N171" s="30"/>
    </row>
    <row r="172" ht="15" spans="1:14">
      <c r="A172" s="28">
        <v>45889</v>
      </c>
      <c r="B172" s="29">
        <v>45889</v>
      </c>
      <c r="C172" s="30"/>
      <c r="D172" s="30"/>
      <c r="E172" s="30"/>
      <c r="F172" s="30"/>
      <c r="G172" s="30"/>
      <c r="H172" s="30" t="str">
        <f>IFERROR(VLOOKUP(G172,Basic_Data!$E$2:$I$9,5,0),"")</f>
        <v/>
      </c>
      <c r="I172" s="30" t="str">
        <f>IFERROR(VLOOKUP($G172,Basic_Data!$E$2:$H$10,4,0),"")</f>
        <v/>
      </c>
      <c r="J172" s="30"/>
      <c r="K172" s="31" t="str">
        <f>IFERROR(VLOOKUP($B172-1,Inverter_PR!$B:$I,Module_Cleaning!H172,0),"")</f>
        <v/>
      </c>
      <c r="L172" s="31" t="str">
        <f>IFERROR(VLOOKUP($B172+1,Inverter_PR!$B:$I,Module_Cleaning!H172,0),"")</f>
        <v/>
      </c>
      <c r="M172" s="30" t="str">
        <f t="shared" si="70"/>
        <v/>
      </c>
      <c r="N172" s="30"/>
    </row>
    <row r="173" ht="15" spans="1:14">
      <c r="A173" s="28">
        <v>45890</v>
      </c>
      <c r="B173" s="29">
        <v>45890</v>
      </c>
      <c r="C173" s="30"/>
      <c r="D173" s="30"/>
      <c r="E173" s="30"/>
      <c r="F173" s="30"/>
      <c r="G173" s="30"/>
      <c r="H173" s="30" t="str">
        <f>IFERROR(VLOOKUP(G173,Basic_Data!$E$2:$I$9,5,0),"")</f>
        <v/>
      </c>
      <c r="I173" s="30" t="str">
        <f>IFERROR(VLOOKUP($G173,Basic_Data!$E$2:$H$10,4,0),"")</f>
        <v/>
      </c>
      <c r="J173" s="30"/>
      <c r="K173" s="31" t="str">
        <f>IFERROR(VLOOKUP($B173-1,Inverter_PR!$B:$I,Module_Cleaning!H173,0),"")</f>
        <v/>
      </c>
      <c r="L173" s="31" t="str">
        <f>IFERROR(VLOOKUP($B173+1,Inverter_PR!$B:$I,Module_Cleaning!H173,0),"")</f>
        <v/>
      </c>
      <c r="M173" s="30" t="str">
        <f t="shared" si="70"/>
        <v/>
      </c>
      <c r="N173" s="30"/>
    </row>
    <row r="174" ht="15" spans="1:14">
      <c r="A174" s="28">
        <v>45891</v>
      </c>
      <c r="B174" s="29">
        <v>45891</v>
      </c>
      <c r="C174" s="30"/>
      <c r="D174" s="30"/>
      <c r="E174" s="30"/>
      <c r="F174" s="30"/>
      <c r="G174" s="30"/>
      <c r="H174" s="30" t="str">
        <f>IFERROR(VLOOKUP(G174,Basic_Data!$E$2:$I$9,5,0),"")</f>
        <v/>
      </c>
      <c r="I174" s="30" t="str">
        <f>IFERROR(VLOOKUP($G174,Basic_Data!$E$2:$H$10,4,0),"")</f>
        <v/>
      </c>
      <c r="J174" s="30"/>
      <c r="K174" s="31" t="str">
        <f>IFERROR(VLOOKUP($B174-1,Inverter_PR!$B:$I,Module_Cleaning!H174,0),"")</f>
        <v/>
      </c>
      <c r="L174" s="31" t="str">
        <f>IFERROR(VLOOKUP($B174+1,Inverter_PR!$B:$I,Module_Cleaning!H174,0),"")</f>
        <v/>
      </c>
      <c r="M174" s="30" t="str">
        <f t="shared" si="70"/>
        <v/>
      </c>
      <c r="N174" s="30"/>
    </row>
    <row r="175" ht="15" spans="1:14">
      <c r="A175" s="28">
        <v>45892</v>
      </c>
      <c r="B175" s="29">
        <v>45892</v>
      </c>
      <c r="C175" s="30"/>
      <c r="D175" s="30"/>
      <c r="E175" s="30"/>
      <c r="F175" s="30"/>
      <c r="G175" s="30"/>
      <c r="H175" s="30" t="str">
        <f>IFERROR(VLOOKUP(G175,Basic_Data!$E$2:$I$9,5,0),"")</f>
        <v/>
      </c>
      <c r="I175" s="30" t="str">
        <f>IFERROR(VLOOKUP($G175,Basic_Data!$E$2:$H$10,4,0),"")</f>
        <v/>
      </c>
      <c r="J175" s="30"/>
      <c r="K175" s="31" t="str">
        <f>IFERROR(VLOOKUP($B175-1,Inverter_PR!$B:$I,Module_Cleaning!H175,0),"")</f>
        <v/>
      </c>
      <c r="L175" s="31" t="str">
        <f>IFERROR(VLOOKUP($B175+1,Inverter_PR!$B:$I,Module_Cleaning!H175,0),"")</f>
        <v/>
      </c>
      <c r="M175" s="30" t="str">
        <f t="shared" si="70"/>
        <v/>
      </c>
      <c r="N175" s="30"/>
    </row>
    <row r="176" ht="15" spans="1:14">
      <c r="A176" s="28">
        <v>45893</v>
      </c>
      <c r="B176" s="29">
        <v>45893</v>
      </c>
      <c r="C176" s="30"/>
      <c r="D176" s="30"/>
      <c r="E176" s="30"/>
      <c r="F176" s="30"/>
      <c r="G176" s="30"/>
      <c r="H176" s="30" t="str">
        <f>IFERROR(VLOOKUP(G176,Basic_Data!$E$2:$I$9,5,0),"")</f>
        <v/>
      </c>
      <c r="I176" s="30" t="str">
        <f>IFERROR(VLOOKUP($G176,Basic_Data!$E$2:$H$10,4,0),"")</f>
        <v/>
      </c>
      <c r="J176" s="30"/>
      <c r="K176" s="31" t="str">
        <f>IFERROR(VLOOKUP($B176-1,Inverter_PR!$B:$I,Module_Cleaning!H176,0),"")</f>
        <v/>
      </c>
      <c r="L176" s="31" t="str">
        <f>IFERROR(VLOOKUP($B176+1,Inverter_PR!$B:$I,Module_Cleaning!H176,0),"")</f>
        <v/>
      </c>
      <c r="M176" s="30" t="str">
        <f t="shared" si="70"/>
        <v/>
      </c>
      <c r="N176" s="30"/>
    </row>
    <row r="177" ht="15" spans="1:14">
      <c r="A177" s="28">
        <v>45894</v>
      </c>
      <c r="B177" s="29">
        <v>45894</v>
      </c>
      <c r="C177" s="30"/>
      <c r="D177" s="30"/>
      <c r="E177" s="30"/>
      <c r="F177" s="30"/>
      <c r="G177" s="30"/>
      <c r="H177" s="30" t="str">
        <f>IFERROR(VLOOKUP(G177,Basic_Data!$E$2:$I$9,5,0),"")</f>
        <v/>
      </c>
      <c r="I177" s="30" t="str">
        <f>IFERROR(VLOOKUP($G177,Basic_Data!$E$2:$H$10,4,0),"")</f>
        <v/>
      </c>
      <c r="J177" s="30"/>
      <c r="K177" s="31" t="str">
        <f>IFERROR(VLOOKUP($B177-1,Inverter_PR!$B:$I,Module_Cleaning!H177,0),"")</f>
        <v/>
      </c>
      <c r="L177" s="31" t="str">
        <f>IFERROR(VLOOKUP($B177+1,Inverter_PR!$B:$I,Module_Cleaning!H177,0),"")</f>
        <v/>
      </c>
      <c r="M177" s="30" t="str">
        <f t="shared" si="70"/>
        <v/>
      </c>
      <c r="N177" s="30"/>
    </row>
    <row r="178" ht="15" spans="1:14">
      <c r="A178" s="28">
        <v>45895</v>
      </c>
      <c r="B178" s="29">
        <v>45895</v>
      </c>
      <c r="C178" s="30"/>
      <c r="D178" s="30"/>
      <c r="E178" s="30"/>
      <c r="F178" s="30"/>
      <c r="G178" s="30"/>
      <c r="H178" s="30" t="str">
        <f>IFERROR(VLOOKUP(G178,Basic_Data!$E$2:$I$9,5,0),"")</f>
        <v/>
      </c>
      <c r="I178" s="30" t="str">
        <f>IFERROR(VLOOKUP($G178,Basic_Data!$E$2:$H$10,4,0),"")</f>
        <v/>
      </c>
      <c r="J178" s="30"/>
      <c r="K178" s="31" t="str">
        <f>IFERROR(VLOOKUP($B178-1,Inverter_PR!$B:$I,Module_Cleaning!H178,0),"")</f>
        <v/>
      </c>
      <c r="L178" s="31" t="str">
        <f>IFERROR(VLOOKUP($B178+1,Inverter_PR!$B:$I,Module_Cleaning!H178,0),"")</f>
        <v/>
      </c>
      <c r="M178" s="30" t="str">
        <f t="shared" si="70"/>
        <v/>
      </c>
      <c r="N178" s="30"/>
    </row>
    <row r="179" ht="15" spans="1:14">
      <c r="A179" s="28">
        <v>45896</v>
      </c>
      <c r="B179" s="29">
        <v>45896</v>
      </c>
      <c r="C179" s="30"/>
      <c r="D179" s="30"/>
      <c r="E179" s="30"/>
      <c r="F179" s="30"/>
      <c r="G179" s="30"/>
      <c r="H179" s="30" t="str">
        <f>IFERROR(VLOOKUP(G179,Basic_Data!$E$2:$I$9,5,0),"")</f>
        <v/>
      </c>
      <c r="I179" s="30" t="str">
        <f>IFERROR(VLOOKUP($G179,Basic_Data!$E$2:$H$10,4,0),"")</f>
        <v/>
      </c>
      <c r="J179" s="30"/>
      <c r="K179" s="31" t="str">
        <f>IFERROR(VLOOKUP($B179-1,Inverter_PR!$B:$I,Module_Cleaning!H179,0),"")</f>
        <v/>
      </c>
      <c r="L179" s="31" t="str">
        <f>IFERROR(VLOOKUP($B179+1,Inverter_PR!$B:$I,Module_Cleaning!H179,0),"")</f>
        <v/>
      </c>
      <c r="M179" s="30" t="str">
        <f t="shared" si="70"/>
        <v/>
      </c>
      <c r="N179" s="30"/>
    </row>
    <row r="180" ht="15" spans="1:14">
      <c r="A180" s="28">
        <v>45897</v>
      </c>
      <c r="B180" s="29">
        <v>45897</v>
      </c>
      <c r="C180" s="30"/>
      <c r="D180" s="30"/>
      <c r="E180" s="30"/>
      <c r="F180" s="30"/>
      <c r="G180" s="30"/>
      <c r="H180" s="30" t="str">
        <f>IFERROR(VLOOKUP(G180,Basic_Data!$E$2:$I$9,5,0),"")</f>
        <v/>
      </c>
      <c r="I180" s="30" t="str">
        <f>IFERROR(VLOOKUP($G180,Basic_Data!$E$2:$H$10,4,0),"")</f>
        <v/>
      </c>
      <c r="J180" s="30"/>
      <c r="K180" s="31" t="str">
        <f>IFERROR(VLOOKUP($B180-1,Inverter_PR!$B:$I,Module_Cleaning!H180,0),"")</f>
        <v/>
      </c>
      <c r="L180" s="31" t="str">
        <f>IFERROR(VLOOKUP($B180+1,Inverter_PR!$B:$I,Module_Cleaning!H180,0),"")</f>
        <v/>
      </c>
      <c r="M180" s="30" t="str">
        <f t="shared" si="70"/>
        <v/>
      </c>
      <c r="N180" s="30"/>
    </row>
    <row r="181" ht="15" spans="1:14">
      <c r="A181" s="28">
        <v>45898</v>
      </c>
      <c r="B181" s="29">
        <v>45898</v>
      </c>
      <c r="C181" s="30"/>
      <c r="D181" s="30"/>
      <c r="E181" s="30"/>
      <c r="F181" s="30"/>
      <c r="G181" s="30"/>
      <c r="H181" s="30" t="str">
        <f>IFERROR(VLOOKUP(G181,Basic_Data!$E$2:$I$9,5,0),"")</f>
        <v/>
      </c>
      <c r="I181" s="30" t="str">
        <f>IFERROR(VLOOKUP($G181,Basic_Data!$E$2:$H$10,4,0),"")</f>
        <v/>
      </c>
      <c r="J181" s="30"/>
      <c r="K181" s="31" t="str">
        <f>IFERROR(VLOOKUP($B181-1,Inverter_PR!$B:$I,Module_Cleaning!H181,0),"")</f>
        <v/>
      </c>
      <c r="L181" s="31" t="str">
        <f>IFERROR(VLOOKUP($B181+1,Inverter_PR!$B:$I,Module_Cleaning!H181,0),"")</f>
        <v/>
      </c>
      <c r="M181" s="30" t="str">
        <f t="shared" si="70"/>
        <v/>
      </c>
      <c r="N181" s="30"/>
    </row>
    <row r="182" ht="15" spans="1:14">
      <c r="A182" s="28">
        <v>45899</v>
      </c>
      <c r="B182" s="29">
        <v>45899</v>
      </c>
      <c r="C182" s="30"/>
      <c r="D182" s="30"/>
      <c r="E182" s="30"/>
      <c r="F182" s="30"/>
      <c r="G182" s="30"/>
      <c r="H182" s="30" t="str">
        <f>IFERROR(VLOOKUP(G182,Basic_Data!$E$2:$I$9,5,0),"")</f>
        <v/>
      </c>
      <c r="I182" s="30" t="str">
        <f>IFERROR(VLOOKUP($G182,Basic_Data!$E$2:$H$10,4,0),"")</f>
        <v/>
      </c>
      <c r="J182" s="30"/>
      <c r="K182" s="31" t="str">
        <f>IFERROR(VLOOKUP($B182-1,Inverter_PR!$B:$I,Module_Cleaning!H182,0),"")</f>
        <v/>
      </c>
      <c r="L182" s="31" t="str">
        <f>IFERROR(VLOOKUP($B182+1,Inverter_PR!$B:$I,Module_Cleaning!H182,0),"")</f>
        <v/>
      </c>
      <c r="M182" s="30" t="str">
        <f t="shared" si="70"/>
        <v/>
      </c>
      <c r="N182" s="30"/>
    </row>
    <row r="183" ht="15" spans="1:14">
      <c r="A183" s="28">
        <v>45900</v>
      </c>
      <c r="B183" s="29">
        <v>45900</v>
      </c>
      <c r="C183" s="30"/>
      <c r="D183" s="30"/>
      <c r="E183" s="30"/>
      <c r="F183" s="30"/>
      <c r="G183" s="30"/>
      <c r="H183" s="30" t="str">
        <f>IFERROR(VLOOKUP(G183,Basic_Data!$E$2:$I$9,5,0),"")</f>
        <v/>
      </c>
      <c r="I183" s="30" t="str">
        <f>IFERROR(VLOOKUP($G183,Basic_Data!$E$2:$H$10,4,0),"")</f>
        <v/>
      </c>
      <c r="J183" s="30"/>
      <c r="K183" s="31" t="str">
        <f>IFERROR(VLOOKUP($B183-1,Inverter_PR!$B:$I,Module_Cleaning!H183,0),"")</f>
        <v/>
      </c>
      <c r="L183" s="31" t="str">
        <f>IFERROR(VLOOKUP($B183+1,Inverter_PR!$B:$I,Module_Cleaning!H183,0),"")</f>
        <v/>
      </c>
      <c r="M183" s="30" t="str">
        <f t="shared" si="70"/>
        <v/>
      </c>
      <c r="N183" s="30"/>
    </row>
    <row r="184" ht="15" spans="1:14">
      <c r="A184" s="28">
        <v>45901</v>
      </c>
      <c r="B184" s="29">
        <v>45901</v>
      </c>
      <c r="C184" s="30"/>
      <c r="D184" s="30"/>
      <c r="E184" s="30"/>
      <c r="F184" s="30"/>
      <c r="G184" s="30"/>
      <c r="H184" s="30" t="str">
        <f>IFERROR(VLOOKUP(G184,Basic_Data!$E$2:$I$9,5,0),"")</f>
        <v/>
      </c>
      <c r="I184" s="30" t="str">
        <f>IFERROR(VLOOKUP($G184,Basic_Data!$E$2:$H$10,4,0),"")</f>
        <v/>
      </c>
      <c r="J184" s="30"/>
      <c r="K184" s="31" t="str">
        <f>IFERROR(VLOOKUP($B184-1,Inverter_PR!$B:$I,Module_Cleaning!H184,0),"")</f>
        <v/>
      </c>
      <c r="L184" s="31" t="str">
        <f>IFERROR(VLOOKUP($B184+1,Inverter_PR!$B:$I,Module_Cleaning!H184,0),"")</f>
        <v/>
      </c>
      <c r="M184" s="30" t="str">
        <f t="shared" si="70"/>
        <v/>
      </c>
      <c r="N184" s="30"/>
    </row>
    <row r="185" ht="15" spans="1:14">
      <c r="A185" s="28">
        <v>45902</v>
      </c>
      <c r="B185" s="29">
        <v>45902</v>
      </c>
      <c r="C185" s="30"/>
      <c r="D185" s="30"/>
      <c r="E185" s="30"/>
      <c r="F185" s="30"/>
      <c r="G185" s="30"/>
      <c r="H185" s="30" t="str">
        <f>IFERROR(VLOOKUP(G185,Basic_Data!$E$2:$I$9,5,0),"")</f>
        <v/>
      </c>
      <c r="I185" s="30" t="str">
        <f>IFERROR(VLOOKUP($G185,Basic_Data!$E$2:$H$10,4,0),"")</f>
        <v/>
      </c>
      <c r="J185" s="30"/>
      <c r="K185" s="31" t="str">
        <f>IFERROR(VLOOKUP($B185-1,Inverter_PR!$B:$I,Module_Cleaning!H185,0),"")</f>
        <v/>
      </c>
      <c r="L185" s="31" t="str">
        <f>IFERROR(VLOOKUP($B185+1,Inverter_PR!$B:$I,Module_Cleaning!H185,0),"")</f>
        <v/>
      </c>
      <c r="M185" s="30" t="str">
        <f t="shared" si="70"/>
        <v/>
      </c>
      <c r="N185" s="30"/>
    </row>
    <row r="186" ht="15" spans="1:14">
      <c r="A186" s="28">
        <v>45903</v>
      </c>
      <c r="B186" s="29">
        <v>45903</v>
      </c>
      <c r="C186" s="30"/>
      <c r="D186" s="30"/>
      <c r="E186" s="30"/>
      <c r="F186" s="30"/>
      <c r="G186" s="30"/>
      <c r="H186" s="30" t="str">
        <f>IFERROR(VLOOKUP(G186,Basic_Data!$E$2:$I$9,5,0),"")</f>
        <v/>
      </c>
      <c r="I186" s="30" t="str">
        <f>IFERROR(VLOOKUP($G186,Basic_Data!$E$2:$H$10,4,0),"")</f>
        <v/>
      </c>
      <c r="J186" s="30"/>
      <c r="K186" s="31" t="str">
        <f>IFERROR(VLOOKUP($B186-1,Inverter_PR!$B:$I,Module_Cleaning!H186,0),"")</f>
        <v/>
      </c>
      <c r="L186" s="31" t="str">
        <f>IFERROR(VLOOKUP($B186+1,Inverter_PR!$B:$I,Module_Cleaning!H186,0),"")</f>
        <v/>
      </c>
      <c r="M186" s="30" t="str">
        <f t="shared" si="70"/>
        <v/>
      </c>
      <c r="N186" s="30"/>
    </row>
    <row r="187" ht="15" spans="1:14">
      <c r="A187" s="28">
        <v>45904</v>
      </c>
      <c r="B187" s="29">
        <v>45904</v>
      </c>
      <c r="C187" s="30"/>
      <c r="D187" s="30"/>
      <c r="E187" s="30"/>
      <c r="F187" s="30"/>
      <c r="G187" s="30"/>
      <c r="H187" s="30" t="str">
        <f>IFERROR(VLOOKUP(G187,Basic_Data!$E$2:$I$9,5,0),"")</f>
        <v/>
      </c>
      <c r="I187" s="30" t="str">
        <f>IFERROR(VLOOKUP($G187,Basic_Data!$E$2:$H$10,4,0),"")</f>
        <v/>
      </c>
      <c r="J187" s="30"/>
      <c r="K187" s="31" t="str">
        <f>IFERROR(VLOOKUP($B187-1,Inverter_PR!$B:$I,Module_Cleaning!H187,0),"")</f>
        <v/>
      </c>
      <c r="L187" s="31" t="str">
        <f>IFERROR(VLOOKUP($B187+1,Inverter_PR!$B:$I,Module_Cleaning!H187,0),"")</f>
        <v/>
      </c>
      <c r="M187" s="30" t="str">
        <f t="shared" si="70"/>
        <v/>
      </c>
      <c r="N187" s="30"/>
    </row>
    <row r="188" ht="15" spans="1:14">
      <c r="A188" s="28">
        <v>45905</v>
      </c>
      <c r="B188" s="29">
        <v>45905</v>
      </c>
      <c r="C188" s="30"/>
      <c r="D188" s="30"/>
      <c r="E188" s="30"/>
      <c r="F188" s="30"/>
      <c r="G188" s="30"/>
      <c r="H188" s="30" t="str">
        <f>IFERROR(VLOOKUP(G188,Basic_Data!$E$2:$I$9,5,0),"")</f>
        <v/>
      </c>
      <c r="I188" s="30" t="str">
        <f>IFERROR(VLOOKUP($G188,Basic_Data!$E$2:$H$10,4,0),"")</f>
        <v/>
      </c>
      <c r="J188" s="30"/>
      <c r="K188" s="31" t="str">
        <f>IFERROR(VLOOKUP($B188-1,Inverter_PR!$B:$I,Module_Cleaning!H188,0),"")</f>
        <v/>
      </c>
      <c r="L188" s="31" t="str">
        <f>IFERROR(VLOOKUP($B188+1,Inverter_PR!$B:$I,Module_Cleaning!H188,0),"")</f>
        <v/>
      </c>
      <c r="M188" s="30" t="str">
        <f t="shared" si="70"/>
        <v/>
      </c>
      <c r="N188" s="30"/>
    </row>
    <row r="189" ht="15" spans="1:14">
      <c r="A189" s="28">
        <v>45906</v>
      </c>
      <c r="B189" s="29">
        <v>45906</v>
      </c>
      <c r="C189" s="30"/>
      <c r="D189" s="30"/>
      <c r="E189" s="30"/>
      <c r="F189" s="30"/>
      <c r="G189" s="30"/>
      <c r="H189" s="30" t="str">
        <f>IFERROR(VLOOKUP(G189,Basic_Data!$E$2:$I$9,5,0),"")</f>
        <v/>
      </c>
      <c r="I189" s="30" t="str">
        <f>IFERROR(VLOOKUP($G189,Basic_Data!$E$2:$H$10,4,0),"")</f>
        <v/>
      </c>
      <c r="J189" s="30"/>
      <c r="K189" s="31" t="str">
        <f>IFERROR(VLOOKUP($B189-1,Inverter_PR!$B:$I,Module_Cleaning!H189,0),"")</f>
        <v/>
      </c>
      <c r="L189" s="31" t="str">
        <f>IFERROR(VLOOKUP($B189+1,Inverter_PR!$B:$I,Module_Cleaning!H189,0),"")</f>
        <v/>
      </c>
      <c r="M189" s="30" t="str">
        <f t="shared" si="70"/>
        <v/>
      </c>
      <c r="N189" s="30"/>
    </row>
    <row r="190" ht="15" spans="1:14">
      <c r="A190" s="28">
        <v>45907</v>
      </c>
      <c r="B190" s="29">
        <v>45907</v>
      </c>
      <c r="C190" s="30"/>
      <c r="D190" s="30"/>
      <c r="E190" s="30"/>
      <c r="F190" s="30"/>
      <c r="G190" s="30"/>
      <c r="H190" s="30" t="str">
        <f>IFERROR(VLOOKUP(G190,Basic_Data!$E$2:$I$9,5,0),"")</f>
        <v/>
      </c>
      <c r="I190" s="30" t="str">
        <f>IFERROR(VLOOKUP($G190,Basic_Data!$E$2:$H$10,4,0),"")</f>
        <v/>
      </c>
      <c r="J190" s="30"/>
      <c r="K190" s="31" t="str">
        <f>IFERROR(VLOOKUP($B190-1,Inverter_PR!$B:$I,Module_Cleaning!H190,0),"")</f>
        <v/>
      </c>
      <c r="L190" s="31" t="str">
        <f>IFERROR(VLOOKUP($B190+1,Inverter_PR!$B:$I,Module_Cleaning!H190,0),"")</f>
        <v/>
      </c>
      <c r="M190" s="30" t="str">
        <f t="shared" si="70"/>
        <v/>
      </c>
      <c r="N190" s="30"/>
    </row>
    <row r="191" ht="15" spans="1:14">
      <c r="A191" s="28">
        <v>45908</v>
      </c>
      <c r="B191" s="29">
        <v>45908</v>
      </c>
      <c r="C191" s="30"/>
      <c r="D191" s="30"/>
      <c r="E191" s="30"/>
      <c r="F191" s="30"/>
      <c r="G191" s="30"/>
      <c r="H191" s="30" t="str">
        <f>IFERROR(VLOOKUP(G191,Basic_Data!$E$2:$I$9,5,0),"")</f>
        <v/>
      </c>
      <c r="I191" s="30" t="str">
        <f>IFERROR(VLOOKUP($G191,Basic_Data!$E$2:$H$10,4,0),"")</f>
        <v/>
      </c>
      <c r="J191" s="30"/>
      <c r="K191" s="31" t="str">
        <f>IFERROR(VLOOKUP($B191-1,Inverter_PR!$B:$I,Module_Cleaning!H191,0),"")</f>
        <v/>
      </c>
      <c r="L191" s="31" t="str">
        <f>IFERROR(VLOOKUP($B191+1,Inverter_PR!$B:$I,Module_Cleaning!H191,0),"")</f>
        <v/>
      </c>
      <c r="M191" s="30" t="str">
        <f t="shared" si="70"/>
        <v/>
      </c>
      <c r="N191" s="30"/>
    </row>
    <row r="192" ht="15" spans="1:14">
      <c r="A192" s="28">
        <v>45909</v>
      </c>
      <c r="B192" s="29">
        <v>45909</v>
      </c>
      <c r="C192" s="30"/>
      <c r="D192" s="30"/>
      <c r="E192" s="30"/>
      <c r="F192" s="30"/>
      <c r="G192" s="30"/>
      <c r="H192" s="30" t="str">
        <f>IFERROR(VLOOKUP(G192,Basic_Data!$E$2:$I$9,5,0),"")</f>
        <v/>
      </c>
      <c r="I192" s="30" t="str">
        <f>IFERROR(VLOOKUP($G192,Basic_Data!$E$2:$H$10,4,0),"")</f>
        <v/>
      </c>
      <c r="J192" s="30"/>
      <c r="K192" s="31" t="str">
        <f>IFERROR(VLOOKUP($B192-1,Inverter_PR!$B:$I,Module_Cleaning!H192,0),"")</f>
        <v/>
      </c>
      <c r="L192" s="31" t="str">
        <f>IFERROR(VLOOKUP($B192+1,Inverter_PR!$B:$I,Module_Cleaning!H192,0),"")</f>
        <v/>
      </c>
      <c r="M192" s="30" t="str">
        <f t="shared" si="70"/>
        <v/>
      </c>
      <c r="N192" s="30"/>
    </row>
    <row r="193" ht="15" spans="1:14">
      <c r="A193" s="28">
        <v>45910</v>
      </c>
      <c r="B193" s="29">
        <v>45910</v>
      </c>
      <c r="C193" s="30"/>
      <c r="D193" s="30"/>
      <c r="E193" s="30"/>
      <c r="F193" s="30"/>
      <c r="G193" s="30"/>
      <c r="H193" s="30" t="str">
        <f>IFERROR(VLOOKUP(G193,Basic_Data!$E$2:$I$9,5,0),"")</f>
        <v/>
      </c>
      <c r="I193" s="30" t="str">
        <f>IFERROR(VLOOKUP($G193,Basic_Data!$E$2:$H$10,4,0),"")</f>
        <v/>
      </c>
      <c r="J193" s="30"/>
      <c r="K193" s="31" t="str">
        <f>IFERROR(VLOOKUP($B193-1,Inverter_PR!$B:$I,Module_Cleaning!H193,0),"")</f>
        <v/>
      </c>
      <c r="L193" s="31" t="str">
        <f>IFERROR(VLOOKUP($B193+1,Inverter_PR!$B:$I,Module_Cleaning!H193,0),"")</f>
        <v/>
      </c>
      <c r="M193" s="30" t="str">
        <f t="shared" si="70"/>
        <v/>
      </c>
      <c r="N193" s="30"/>
    </row>
    <row r="194" ht="15" spans="1:14">
      <c r="A194" s="28">
        <v>45911</v>
      </c>
      <c r="B194" s="29">
        <v>45911</v>
      </c>
      <c r="C194" s="30"/>
      <c r="D194" s="30"/>
      <c r="E194" s="30"/>
      <c r="F194" s="30"/>
      <c r="G194" s="30"/>
      <c r="H194" s="30" t="str">
        <f>IFERROR(VLOOKUP(G194,Basic_Data!$E$2:$I$9,5,0),"")</f>
        <v/>
      </c>
      <c r="I194" s="30" t="str">
        <f>IFERROR(VLOOKUP($G194,Basic_Data!$E$2:$H$10,4,0),"")</f>
        <v/>
      </c>
      <c r="J194" s="30"/>
      <c r="K194" s="31" t="str">
        <f>IFERROR(VLOOKUP($B194-1,Inverter_PR!$B:$I,Module_Cleaning!H194,0),"")</f>
        <v/>
      </c>
      <c r="L194" s="31" t="str">
        <f>IFERROR(VLOOKUP($B194+1,Inverter_PR!$B:$I,Module_Cleaning!H194,0),"")</f>
        <v/>
      </c>
      <c r="M194" s="30" t="str">
        <f t="shared" si="70"/>
        <v/>
      </c>
      <c r="N194" s="30"/>
    </row>
    <row r="195" ht="15" spans="1:14">
      <c r="A195" s="28">
        <v>45912</v>
      </c>
      <c r="B195" s="29">
        <v>45912</v>
      </c>
      <c r="C195" s="30"/>
      <c r="D195" s="30"/>
      <c r="E195" s="30"/>
      <c r="F195" s="30"/>
      <c r="G195" s="30"/>
      <c r="H195" s="30" t="str">
        <f>IFERROR(VLOOKUP(G195,Basic_Data!$E$2:$I$9,5,0),"")</f>
        <v/>
      </c>
      <c r="I195" s="30" t="str">
        <f>IFERROR(VLOOKUP($G195,Basic_Data!$E$2:$H$10,4,0),"")</f>
        <v/>
      </c>
      <c r="J195" s="30"/>
      <c r="K195" s="31" t="str">
        <f>IFERROR(VLOOKUP($B195-1,Inverter_PR!$B:$I,Module_Cleaning!H195,0),"")</f>
        <v/>
      </c>
      <c r="L195" s="31" t="str">
        <f>IFERROR(VLOOKUP($B195+1,Inverter_PR!$B:$I,Module_Cleaning!H195,0),"")</f>
        <v/>
      </c>
      <c r="M195" s="30" t="str">
        <f t="shared" si="70"/>
        <v/>
      </c>
      <c r="N195" s="30"/>
    </row>
    <row r="196" ht="15" spans="1:14">
      <c r="A196" s="28">
        <v>45913</v>
      </c>
      <c r="B196" s="29">
        <v>45913</v>
      </c>
      <c r="C196" s="30"/>
      <c r="D196" s="30"/>
      <c r="E196" s="30"/>
      <c r="F196" s="30"/>
      <c r="G196" s="30"/>
      <c r="H196" s="30" t="str">
        <f>IFERROR(VLOOKUP(G196,Basic_Data!$E$2:$I$9,5,0),"")</f>
        <v/>
      </c>
      <c r="I196" s="30" t="str">
        <f>IFERROR(VLOOKUP($G196,Basic_Data!$E$2:$H$10,4,0),"")</f>
        <v/>
      </c>
      <c r="J196" s="30"/>
      <c r="K196" s="31" t="str">
        <f>IFERROR(VLOOKUP($B196-1,Inverter_PR!$B:$I,Module_Cleaning!H196,0),"")</f>
        <v/>
      </c>
      <c r="L196" s="31" t="str">
        <f>IFERROR(VLOOKUP($B196+1,Inverter_PR!$B:$I,Module_Cleaning!H196,0),"")</f>
        <v/>
      </c>
      <c r="M196" s="30" t="str">
        <f t="shared" si="70"/>
        <v/>
      </c>
      <c r="N196" s="30"/>
    </row>
    <row r="197" ht="15" spans="1:14">
      <c r="A197" s="28">
        <v>45914</v>
      </c>
      <c r="B197" s="29">
        <v>45914</v>
      </c>
      <c r="C197" s="30"/>
      <c r="D197" s="30"/>
      <c r="E197" s="30"/>
      <c r="F197" s="30"/>
      <c r="G197" s="30"/>
      <c r="H197" s="30" t="str">
        <f>IFERROR(VLOOKUP(G197,Basic_Data!$E$2:$I$9,5,0),"")</f>
        <v/>
      </c>
      <c r="I197" s="30" t="str">
        <f>IFERROR(VLOOKUP($G197,Basic_Data!$E$2:$H$10,4,0),"")</f>
        <v/>
      </c>
      <c r="J197" s="30"/>
      <c r="K197" s="31" t="str">
        <f>IFERROR(VLOOKUP($B197-1,Inverter_PR!$B:$I,Module_Cleaning!H197,0),"")</f>
        <v/>
      </c>
      <c r="L197" s="31" t="str">
        <f>IFERROR(VLOOKUP($B197+1,Inverter_PR!$B:$I,Module_Cleaning!H197,0),"")</f>
        <v/>
      </c>
      <c r="M197" s="30" t="str">
        <f t="shared" si="70"/>
        <v/>
      </c>
      <c r="N197" s="30"/>
    </row>
    <row r="198" ht="15" spans="1:14">
      <c r="A198" s="28">
        <v>45915</v>
      </c>
      <c r="B198" s="29">
        <v>45915</v>
      </c>
      <c r="C198" s="30"/>
      <c r="D198" s="30"/>
      <c r="E198" s="30"/>
      <c r="F198" s="30"/>
      <c r="G198" s="30"/>
      <c r="H198" s="30" t="str">
        <f>IFERROR(VLOOKUP(G198,Basic_Data!$E$2:$I$9,5,0),"")</f>
        <v/>
      </c>
      <c r="I198" s="30" t="str">
        <f>IFERROR(VLOOKUP($G198,Basic_Data!$E$2:$H$10,4,0),"")</f>
        <v/>
      </c>
      <c r="J198" s="30"/>
      <c r="K198" s="31" t="str">
        <f>IFERROR(VLOOKUP($B198-1,Inverter_PR!$B:$I,Module_Cleaning!H198,0),"")</f>
        <v/>
      </c>
      <c r="L198" s="31" t="str">
        <f>IFERROR(VLOOKUP($B198+1,Inverter_PR!$B:$I,Module_Cleaning!H198,0),"")</f>
        <v/>
      </c>
      <c r="M198" s="30" t="str">
        <f t="shared" si="70"/>
        <v/>
      </c>
      <c r="N198" s="30"/>
    </row>
    <row r="199" ht="15" spans="1:14">
      <c r="A199" s="28">
        <v>45916</v>
      </c>
      <c r="B199" s="29">
        <v>45916</v>
      </c>
      <c r="C199" s="30"/>
      <c r="D199" s="30"/>
      <c r="E199" s="30"/>
      <c r="F199" s="30"/>
      <c r="G199" s="30"/>
      <c r="H199" s="30" t="str">
        <f>IFERROR(VLOOKUP(G199,Basic_Data!$E$2:$I$9,5,0),"")</f>
        <v/>
      </c>
      <c r="I199" s="30" t="str">
        <f>IFERROR(VLOOKUP($G199,Basic_Data!$E$2:$H$10,4,0),"")</f>
        <v/>
      </c>
      <c r="J199" s="30"/>
      <c r="K199" s="31" t="str">
        <f>IFERROR(VLOOKUP($B199-1,Inverter_PR!$B:$I,Module_Cleaning!H199,0),"")</f>
        <v/>
      </c>
      <c r="L199" s="31" t="str">
        <f>IFERROR(VLOOKUP($B199+1,Inverter_PR!$B:$I,Module_Cleaning!H199,0),"")</f>
        <v/>
      </c>
      <c r="M199" s="30" t="str">
        <f t="shared" si="70"/>
        <v/>
      </c>
      <c r="N199" s="30"/>
    </row>
    <row r="200" ht="15" spans="1:14">
      <c r="A200" s="28">
        <v>45917</v>
      </c>
      <c r="B200" s="29">
        <v>45917</v>
      </c>
      <c r="C200" s="30"/>
      <c r="D200" s="30"/>
      <c r="E200" s="30"/>
      <c r="F200" s="30"/>
      <c r="G200" s="30"/>
      <c r="H200" s="30" t="str">
        <f>IFERROR(VLOOKUP(G200,Basic_Data!$E$2:$I$9,5,0),"")</f>
        <v/>
      </c>
      <c r="I200" s="30" t="str">
        <f>IFERROR(VLOOKUP($G200,Basic_Data!$E$2:$H$10,4,0),"")</f>
        <v/>
      </c>
      <c r="J200" s="30"/>
      <c r="K200" s="31" t="str">
        <f>IFERROR(VLOOKUP($B200-1,Inverter_PR!$B:$I,Module_Cleaning!H200,0),"")</f>
        <v/>
      </c>
      <c r="L200" s="31" t="str">
        <f>IFERROR(VLOOKUP($B200+1,Inverter_PR!$B:$I,Module_Cleaning!H200,0),"")</f>
        <v/>
      </c>
      <c r="M200" s="30" t="str">
        <f t="shared" si="70"/>
        <v/>
      </c>
      <c r="N200" s="30"/>
    </row>
    <row r="201" ht="15" spans="1:14">
      <c r="A201" s="28">
        <v>45918</v>
      </c>
      <c r="B201" s="29">
        <v>45918</v>
      </c>
      <c r="C201" s="30"/>
      <c r="D201" s="30"/>
      <c r="E201" s="30"/>
      <c r="F201" s="30"/>
      <c r="G201" s="30"/>
      <c r="H201" s="30" t="str">
        <f>IFERROR(VLOOKUP(G201,Basic_Data!$E$2:$I$9,5,0),"")</f>
        <v/>
      </c>
      <c r="I201" s="30" t="str">
        <f>IFERROR(VLOOKUP($G201,Basic_Data!$E$2:$H$10,4,0),"")</f>
        <v/>
      </c>
      <c r="J201" s="30"/>
      <c r="K201" s="31" t="str">
        <f>IFERROR(VLOOKUP($B201-1,Inverter_PR!$B:$I,Module_Cleaning!H201,0),"")</f>
        <v/>
      </c>
      <c r="L201" s="31" t="str">
        <f>IFERROR(VLOOKUP($B201+1,Inverter_PR!$B:$I,Module_Cleaning!H201,0),"")</f>
        <v/>
      </c>
      <c r="M201" s="30" t="str">
        <f t="shared" si="70"/>
        <v/>
      </c>
      <c r="N201" s="30"/>
    </row>
    <row r="202" ht="15" spans="1:14">
      <c r="A202" s="28">
        <v>45919</v>
      </c>
      <c r="B202" s="29">
        <v>45919</v>
      </c>
      <c r="C202" s="30"/>
      <c r="D202" s="30"/>
      <c r="E202" s="30"/>
      <c r="F202" s="30"/>
      <c r="G202" s="30"/>
      <c r="H202" s="30" t="str">
        <f>IFERROR(VLOOKUP(G202,Basic_Data!$E$2:$I$9,5,0),"")</f>
        <v/>
      </c>
      <c r="I202" s="30" t="str">
        <f>IFERROR(VLOOKUP($G202,Basic_Data!$E$2:$H$10,4,0),"")</f>
        <v/>
      </c>
      <c r="J202" s="30"/>
      <c r="K202" s="31" t="str">
        <f>IFERROR(VLOOKUP($B202-1,Inverter_PR!$B:$I,Module_Cleaning!H202,0),"")</f>
        <v/>
      </c>
      <c r="L202" s="31" t="str">
        <f>IFERROR(VLOOKUP($B202+1,Inverter_PR!$B:$I,Module_Cleaning!H202,0),"")</f>
        <v/>
      </c>
      <c r="M202" s="30" t="str">
        <f t="shared" si="70"/>
        <v/>
      </c>
      <c r="N202" s="30"/>
    </row>
    <row r="203" ht="15" spans="1:14">
      <c r="A203" s="28">
        <v>45920</v>
      </c>
      <c r="B203" s="29">
        <v>45920</v>
      </c>
      <c r="C203" s="30"/>
      <c r="D203" s="30"/>
      <c r="E203" s="30"/>
      <c r="F203" s="30"/>
      <c r="G203" s="30"/>
      <c r="H203" s="30" t="str">
        <f>IFERROR(VLOOKUP(G203,Basic_Data!$E$2:$I$9,5,0),"")</f>
        <v/>
      </c>
      <c r="I203" s="30" t="str">
        <f>IFERROR(VLOOKUP($G203,Basic_Data!$E$2:$H$10,4,0),"")</f>
        <v/>
      </c>
      <c r="J203" s="30"/>
      <c r="K203" s="31" t="str">
        <f>IFERROR(VLOOKUP($B203-1,Inverter_PR!$B:$I,Module_Cleaning!H203,0),"")</f>
        <v/>
      </c>
      <c r="L203" s="31" t="str">
        <f>IFERROR(VLOOKUP($B203+1,Inverter_PR!$B:$I,Module_Cleaning!H203,0),"")</f>
        <v/>
      </c>
      <c r="M203" s="30" t="str">
        <f t="shared" si="70"/>
        <v/>
      </c>
      <c r="N203" s="30"/>
    </row>
    <row r="204" ht="15" spans="1:14">
      <c r="A204" s="28">
        <v>45921</v>
      </c>
      <c r="B204" s="29">
        <v>45921</v>
      </c>
      <c r="C204" s="30"/>
      <c r="D204" s="30"/>
      <c r="E204" s="30"/>
      <c r="F204" s="30"/>
      <c r="G204" s="30"/>
      <c r="H204" s="30" t="str">
        <f>IFERROR(VLOOKUP(G204,Basic_Data!$E$2:$I$9,5,0),"")</f>
        <v/>
      </c>
      <c r="I204" s="30" t="str">
        <f>IFERROR(VLOOKUP($G204,Basic_Data!$E$2:$H$10,4,0),"")</f>
        <v/>
      </c>
      <c r="J204" s="30"/>
      <c r="K204" s="31" t="str">
        <f>IFERROR(VLOOKUP($B204-1,Inverter_PR!$B:$I,Module_Cleaning!H204,0),"")</f>
        <v/>
      </c>
      <c r="L204" s="31" t="str">
        <f>IFERROR(VLOOKUP($B204+1,Inverter_PR!$B:$I,Module_Cleaning!H204,0),"")</f>
        <v/>
      </c>
      <c r="M204" s="30" t="str">
        <f t="shared" si="70"/>
        <v/>
      </c>
      <c r="N204" s="30"/>
    </row>
    <row r="205" ht="15" spans="1:14">
      <c r="A205" s="28">
        <v>45922</v>
      </c>
      <c r="B205" s="29">
        <v>45922</v>
      </c>
      <c r="C205" s="30"/>
      <c r="D205" s="30"/>
      <c r="E205" s="30"/>
      <c r="F205" s="30"/>
      <c r="G205" s="30"/>
      <c r="H205" s="30" t="str">
        <f>IFERROR(VLOOKUP(G205,Basic_Data!$E$2:$I$9,5,0),"")</f>
        <v/>
      </c>
      <c r="I205" s="30" t="str">
        <f>IFERROR(VLOOKUP($G205,Basic_Data!$E$2:$H$10,4,0),"")</f>
        <v/>
      </c>
      <c r="J205" s="30"/>
      <c r="K205" s="31" t="str">
        <f>IFERROR(VLOOKUP($B205-1,Inverter_PR!$B:$I,Module_Cleaning!H205,0),"")</f>
        <v/>
      </c>
      <c r="L205" s="31" t="str">
        <f>IFERROR(VLOOKUP($B205+1,Inverter_PR!$B:$I,Module_Cleaning!H205,0),"")</f>
        <v/>
      </c>
      <c r="M205" s="30" t="str">
        <f t="shared" si="70"/>
        <v/>
      </c>
      <c r="N205" s="30"/>
    </row>
    <row r="206" ht="15" spans="1:14">
      <c r="A206" s="28">
        <v>45923</v>
      </c>
      <c r="B206" s="29">
        <v>45923</v>
      </c>
      <c r="C206" s="30">
        <v>0</v>
      </c>
      <c r="D206" s="30">
        <v>0</v>
      </c>
      <c r="E206" s="30">
        <v>0</v>
      </c>
      <c r="F206" s="30">
        <v>0</v>
      </c>
      <c r="G206" s="30"/>
      <c r="H206" s="30">
        <v>0</v>
      </c>
      <c r="I206" s="30">
        <v>0</v>
      </c>
      <c r="J206" s="30">
        <v>0</v>
      </c>
      <c r="K206" s="31">
        <v>0</v>
      </c>
      <c r="L206" s="31">
        <v>0</v>
      </c>
      <c r="M206" s="30"/>
      <c r="N206" s="30" t="s">
        <v>252</v>
      </c>
    </row>
    <row r="207" ht="15" spans="1:14">
      <c r="A207" s="28">
        <v>45924</v>
      </c>
      <c r="B207" s="29">
        <v>45924</v>
      </c>
      <c r="C207" s="30">
        <v>0</v>
      </c>
      <c r="D207" s="30">
        <v>0</v>
      </c>
      <c r="E207" s="30">
        <v>0</v>
      </c>
      <c r="F207" s="30">
        <v>0</v>
      </c>
      <c r="G207" s="30"/>
      <c r="H207" s="30">
        <v>0</v>
      </c>
      <c r="I207" s="30">
        <v>0</v>
      </c>
      <c r="J207" s="30">
        <v>0</v>
      </c>
      <c r="K207" s="31">
        <v>0</v>
      </c>
      <c r="L207" s="31">
        <v>0</v>
      </c>
      <c r="M207" s="30"/>
      <c r="N207" s="30" t="s">
        <v>252</v>
      </c>
    </row>
    <row r="208" ht="15" spans="1:14">
      <c r="A208" s="28">
        <v>45925</v>
      </c>
      <c r="B208" s="29">
        <v>45925</v>
      </c>
      <c r="C208" s="30">
        <v>0</v>
      </c>
      <c r="D208" s="30">
        <v>0</v>
      </c>
      <c r="E208" s="30">
        <v>0</v>
      </c>
      <c r="F208" s="30">
        <v>0</v>
      </c>
      <c r="G208" s="30"/>
      <c r="H208" s="30">
        <v>0</v>
      </c>
      <c r="I208" s="30">
        <v>0</v>
      </c>
      <c r="J208" s="30">
        <v>0</v>
      </c>
      <c r="K208" s="31">
        <v>0</v>
      </c>
      <c r="L208" s="31">
        <v>0</v>
      </c>
      <c r="M208" s="30"/>
      <c r="N208" s="30" t="s">
        <v>252</v>
      </c>
    </row>
    <row r="209" ht="15" spans="1:14">
      <c r="A209" s="28">
        <v>45926</v>
      </c>
      <c r="B209" s="29">
        <v>45926</v>
      </c>
      <c r="C209" s="30">
        <v>0</v>
      </c>
      <c r="D209" s="30">
        <v>0</v>
      </c>
      <c r="E209" s="30">
        <v>0</v>
      </c>
      <c r="F209" s="30">
        <v>0</v>
      </c>
      <c r="G209" s="30"/>
      <c r="H209" s="30">
        <v>0</v>
      </c>
      <c r="I209" s="30">
        <v>0</v>
      </c>
      <c r="J209" s="30">
        <v>0</v>
      </c>
      <c r="K209" s="31">
        <v>0</v>
      </c>
      <c r="L209" s="31">
        <v>0</v>
      </c>
      <c r="M209" s="30"/>
      <c r="N209" s="30" t="s">
        <v>252</v>
      </c>
    </row>
    <row r="210" ht="15" spans="1:14">
      <c r="A210" s="28">
        <v>45927</v>
      </c>
      <c r="B210" s="29">
        <v>45927</v>
      </c>
      <c r="C210" s="30">
        <v>0</v>
      </c>
      <c r="D210" s="30">
        <v>0</v>
      </c>
      <c r="E210" s="30">
        <v>0</v>
      </c>
      <c r="F210" s="30">
        <v>0</v>
      </c>
      <c r="G210" s="30"/>
      <c r="H210" s="30">
        <v>0</v>
      </c>
      <c r="I210" s="30">
        <v>0</v>
      </c>
      <c r="J210" s="30">
        <v>0</v>
      </c>
      <c r="K210" s="31">
        <v>0</v>
      </c>
      <c r="L210" s="31">
        <v>0</v>
      </c>
      <c r="M210" s="30"/>
      <c r="N210" s="30" t="s">
        <v>252</v>
      </c>
    </row>
    <row r="211" ht="15" spans="1:14">
      <c r="A211" s="28">
        <v>45928</v>
      </c>
      <c r="B211" s="29">
        <v>45928</v>
      </c>
      <c r="C211" s="45">
        <v>0</v>
      </c>
      <c r="D211" s="45">
        <v>0</v>
      </c>
      <c r="E211" s="45">
        <v>0</v>
      </c>
      <c r="F211" s="45">
        <v>0</v>
      </c>
      <c r="G211" s="45"/>
      <c r="H211" s="45">
        <v>0</v>
      </c>
      <c r="I211" s="45">
        <v>0</v>
      </c>
      <c r="J211" s="45">
        <v>0</v>
      </c>
      <c r="K211" s="46">
        <v>0</v>
      </c>
      <c r="L211" s="46">
        <v>0</v>
      </c>
      <c r="M211" s="45">
        <f t="shared" ref="M211" si="71">IFERROR(I211-J211,"")</f>
        <v>0</v>
      </c>
      <c r="N211" s="45" t="s">
        <v>252</v>
      </c>
    </row>
    <row r="212" ht="15" spans="1:14">
      <c r="A212" s="28">
        <v>45929</v>
      </c>
      <c r="B212" s="29">
        <v>45929</v>
      </c>
      <c r="C212" s="42">
        <v>0</v>
      </c>
      <c r="D212" s="42">
        <v>0</v>
      </c>
      <c r="E212" s="42">
        <v>0</v>
      </c>
      <c r="F212" s="42">
        <v>0</v>
      </c>
      <c r="G212" s="42"/>
      <c r="H212" s="42">
        <v>0</v>
      </c>
      <c r="I212" s="42">
        <v>0</v>
      </c>
      <c r="J212" s="42">
        <v>0</v>
      </c>
      <c r="K212" s="43">
        <v>0</v>
      </c>
      <c r="L212" s="43">
        <v>0</v>
      </c>
      <c r="M212" s="42">
        <f t="shared" ref="M212" si="72">IFERROR(I212-J212,"")</f>
        <v>0</v>
      </c>
      <c r="N212" s="42" t="s">
        <v>254</v>
      </c>
    </row>
    <row r="213" ht="15" spans="1:14">
      <c r="A213" s="28">
        <v>45930</v>
      </c>
      <c r="B213" s="29">
        <v>45930</v>
      </c>
      <c r="C213" s="42">
        <v>0</v>
      </c>
      <c r="D213" s="42">
        <v>0</v>
      </c>
      <c r="E213" s="42">
        <v>0</v>
      </c>
      <c r="F213" s="42">
        <v>0</v>
      </c>
      <c r="G213" s="42"/>
      <c r="H213" s="42">
        <v>0</v>
      </c>
      <c r="I213" s="42">
        <v>0</v>
      </c>
      <c r="J213" s="42">
        <v>0</v>
      </c>
      <c r="K213" s="43">
        <v>0</v>
      </c>
      <c r="L213" s="43">
        <v>0</v>
      </c>
      <c r="M213" s="42">
        <f t="shared" ref="M213" si="73">IFERROR(I213-J213,"")</f>
        <v>0</v>
      </c>
      <c r="N213" s="42" t="s">
        <v>254</v>
      </c>
    </row>
    <row r="214" ht="15" spans="1:14">
      <c r="A214" s="28">
        <v>45931</v>
      </c>
      <c r="B214" s="29">
        <v>45931</v>
      </c>
      <c r="C214" s="42">
        <v>0</v>
      </c>
      <c r="D214" s="42">
        <v>0</v>
      </c>
      <c r="E214" s="42">
        <v>0</v>
      </c>
      <c r="F214" s="42">
        <v>0</v>
      </c>
      <c r="G214" s="42"/>
      <c r="H214" s="42">
        <v>0</v>
      </c>
      <c r="I214" s="42">
        <v>0</v>
      </c>
      <c r="J214" s="42">
        <v>0</v>
      </c>
      <c r="K214" s="43">
        <v>0</v>
      </c>
      <c r="L214" s="43">
        <v>0</v>
      </c>
      <c r="M214" s="42">
        <f t="shared" ref="M214" si="74">IFERROR(I214-J214,"")</f>
        <v>0</v>
      </c>
      <c r="N214" s="42" t="s">
        <v>254</v>
      </c>
    </row>
    <row r="215" ht="15" spans="1:14">
      <c r="A215" s="28">
        <v>45932</v>
      </c>
      <c r="B215" s="29">
        <v>45932</v>
      </c>
      <c r="C215" s="42">
        <v>0</v>
      </c>
      <c r="D215" s="42">
        <v>0</v>
      </c>
      <c r="E215" s="42">
        <v>0</v>
      </c>
      <c r="F215" s="42">
        <v>0</v>
      </c>
      <c r="G215" s="42"/>
      <c r="H215" s="42">
        <v>0</v>
      </c>
      <c r="I215" s="42">
        <v>0</v>
      </c>
      <c r="J215" s="42">
        <v>0</v>
      </c>
      <c r="K215" s="43">
        <v>0</v>
      </c>
      <c r="L215" s="43">
        <v>0</v>
      </c>
      <c r="M215" s="42">
        <f t="shared" ref="M215:M216" si="75">IFERROR(I215-J215,"")</f>
        <v>0</v>
      </c>
      <c r="N215" s="42" t="s">
        <v>254</v>
      </c>
    </row>
    <row r="216" ht="15" spans="1:14">
      <c r="A216" s="28">
        <v>45933</v>
      </c>
      <c r="B216" s="29">
        <v>45933</v>
      </c>
      <c r="C216" s="45">
        <v>0</v>
      </c>
      <c r="D216" s="45">
        <v>0</v>
      </c>
      <c r="E216" s="45">
        <v>0</v>
      </c>
      <c r="F216" s="45">
        <v>0</v>
      </c>
      <c r="G216" s="45"/>
      <c r="H216" s="45">
        <v>0</v>
      </c>
      <c r="I216" s="45">
        <v>0</v>
      </c>
      <c r="J216" s="45">
        <v>0</v>
      </c>
      <c r="K216" s="46">
        <v>0</v>
      </c>
      <c r="L216" s="46">
        <v>0</v>
      </c>
      <c r="M216" s="45">
        <f t="shared" si="75"/>
        <v>0</v>
      </c>
      <c r="N216" s="45" t="s">
        <v>252</v>
      </c>
    </row>
    <row r="217" ht="15" spans="1:14">
      <c r="A217" s="28">
        <v>45934</v>
      </c>
      <c r="B217" s="29">
        <v>45934</v>
      </c>
      <c r="C217" s="45">
        <v>0</v>
      </c>
      <c r="D217" s="45">
        <v>0</v>
      </c>
      <c r="E217" s="45">
        <v>0</v>
      </c>
      <c r="F217" s="45">
        <v>0</v>
      </c>
      <c r="G217" s="45"/>
      <c r="H217" s="45">
        <v>0</v>
      </c>
      <c r="I217" s="45">
        <v>0</v>
      </c>
      <c r="J217" s="45">
        <v>0</v>
      </c>
      <c r="K217" s="46">
        <v>0</v>
      </c>
      <c r="L217" s="46">
        <v>0</v>
      </c>
      <c r="M217" s="45">
        <f t="shared" ref="M217" si="76">IFERROR(I217-J217,"")</f>
        <v>0</v>
      </c>
      <c r="N217" s="45" t="s">
        <v>252</v>
      </c>
    </row>
    <row r="218" ht="15" spans="1:14">
      <c r="A218" s="28">
        <v>45935</v>
      </c>
      <c r="B218" s="29">
        <v>45935</v>
      </c>
      <c r="C218" s="45">
        <v>0</v>
      </c>
      <c r="D218" s="45">
        <v>0</v>
      </c>
      <c r="E218" s="45">
        <v>0</v>
      </c>
      <c r="F218" s="45">
        <v>0</v>
      </c>
      <c r="G218" s="45"/>
      <c r="H218" s="45">
        <v>0</v>
      </c>
      <c r="I218" s="45">
        <v>0</v>
      </c>
      <c r="J218" s="45">
        <v>0</v>
      </c>
      <c r="K218" s="46">
        <v>0</v>
      </c>
      <c r="L218" s="46">
        <v>0</v>
      </c>
      <c r="M218" s="45">
        <f t="shared" ref="M218" si="77">IFERROR(I218-J218,"")</f>
        <v>0</v>
      </c>
      <c r="N218" s="45" t="s">
        <v>252</v>
      </c>
    </row>
    <row r="219" ht="15" spans="1:14">
      <c r="A219" s="28">
        <v>45936</v>
      </c>
      <c r="B219" s="29">
        <v>45936</v>
      </c>
      <c r="C219" s="45">
        <v>0</v>
      </c>
      <c r="D219" s="45">
        <v>0</v>
      </c>
      <c r="E219" s="45">
        <v>0</v>
      </c>
      <c r="F219" s="45">
        <v>0</v>
      </c>
      <c r="G219" s="45"/>
      <c r="H219" s="45">
        <v>0</v>
      </c>
      <c r="I219" s="45">
        <v>0</v>
      </c>
      <c r="J219" s="45">
        <v>0</v>
      </c>
      <c r="K219" s="46">
        <v>0</v>
      </c>
      <c r="L219" s="46">
        <v>0</v>
      </c>
      <c r="M219" s="45">
        <f t="shared" ref="M219" si="78">IFERROR(I219-J219,"")</f>
        <v>0</v>
      </c>
      <c r="N219" s="45" t="s">
        <v>252</v>
      </c>
    </row>
    <row r="220" ht="15" spans="1:14">
      <c r="A220" s="28">
        <v>45937</v>
      </c>
      <c r="B220" s="29">
        <v>45937</v>
      </c>
      <c r="C220" s="45">
        <v>0</v>
      </c>
      <c r="D220" s="45">
        <v>0</v>
      </c>
      <c r="E220" s="45">
        <v>0</v>
      </c>
      <c r="F220" s="45">
        <v>0</v>
      </c>
      <c r="G220" s="45"/>
      <c r="H220" s="45">
        <v>0</v>
      </c>
      <c r="I220" s="45">
        <v>0</v>
      </c>
      <c r="J220" s="45">
        <v>0</v>
      </c>
      <c r="K220" s="46">
        <v>0</v>
      </c>
      <c r="L220" s="46">
        <v>0</v>
      </c>
      <c r="M220" s="45">
        <f t="shared" ref="M220" si="79">IFERROR(I220-J220,"")</f>
        <v>0</v>
      </c>
      <c r="N220" s="45" t="s">
        <v>252</v>
      </c>
    </row>
    <row r="221" ht="15" spans="1:14">
      <c r="A221" s="28">
        <v>45938</v>
      </c>
      <c r="B221" s="29">
        <v>45938</v>
      </c>
      <c r="C221" s="45">
        <v>0</v>
      </c>
      <c r="D221" s="45">
        <v>0</v>
      </c>
      <c r="E221" s="45">
        <v>0</v>
      </c>
      <c r="F221" s="45">
        <v>0</v>
      </c>
      <c r="G221" s="45"/>
      <c r="H221" s="45">
        <v>0</v>
      </c>
      <c r="I221" s="45">
        <v>0</v>
      </c>
      <c r="J221" s="45">
        <v>0</v>
      </c>
      <c r="K221" s="46">
        <v>0</v>
      </c>
      <c r="L221" s="46">
        <v>0</v>
      </c>
      <c r="M221" s="45">
        <f t="shared" ref="M221" si="80">IFERROR(I221-J221,"")</f>
        <v>0</v>
      </c>
      <c r="N221" s="45" t="s">
        <v>252</v>
      </c>
    </row>
    <row r="222" ht="15" spans="1:14">
      <c r="A222" s="28">
        <v>45939</v>
      </c>
      <c r="B222" s="29">
        <v>45939</v>
      </c>
      <c r="C222" s="45">
        <v>0</v>
      </c>
      <c r="D222" s="45">
        <v>0</v>
      </c>
      <c r="E222" s="45">
        <v>0</v>
      </c>
      <c r="F222" s="45">
        <v>0</v>
      </c>
      <c r="G222" s="45"/>
      <c r="H222" s="45">
        <v>0</v>
      </c>
      <c r="I222" s="45">
        <v>0</v>
      </c>
      <c r="J222" s="45">
        <v>0</v>
      </c>
      <c r="K222" s="46">
        <v>0</v>
      </c>
      <c r="L222" s="46">
        <v>0</v>
      </c>
      <c r="M222" s="45">
        <f t="shared" ref="M222" si="81">IFERROR(I222-J222,"")</f>
        <v>0</v>
      </c>
      <c r="N222" s="45" t="s">
        <v>252</v>
      </c>
    </row>
    <row r="223" ht="15" spans="1:14">
      <c r="A223" s="28">
        <v>45940</v>
      </c>
      <c r="B223" s="29">
        <v>45940</v>
      </c>
      <c r="C223" s="45">
        <v>0</v>
      </c>
      <c r="D223" s="45">
        <v>0</v>
      </c>
      <c r="E223" s="45">
        <v>0</v>
      </c>
      <c r="F223" s="45">
        <v>0</v>
      </c>
      <c r="G223" s="45"/>
      <c r="H223" s="45">
        <v>0</v>
      </c>
      <c r="I223" s="45">
        <v>0</v>
      </c>
      <c r="J223" s="45">
        <v>0</v>
      </c>
      <c r="K223" s="46">
        <v>0</v>
      </c>
      <c r="L223" s="46">
        <v>0</v>
      </c>
      <c r="M223" s="45">
        <f t="shared" ref="M223" si="82">IFERROR(I223-J223,"")</f>
        <v>0</v>
      </c>
      <c r="N223" s="45" t="s">
        <v>252</v>
      </c>
    </row>
    <row r="224" ht="15" spans="1:14">
      <c r="A224" s="28">
        <v>45941</v>
      </c>
      <c r="B224" s="29">
        <v>45941</v>
      </c>
      <c r="C224" s="45">
        <v>0</v>
      </c>
      <c r="D224" s="45">
        <v>0</v>
      </c>
      <c r="E224" s="45">
        <v>0</v>
      </c>
      <c r="F224" s="45">
        <v>0</v>
      </c>
      <c r="G224" s="45"/>
      <c r="H224" s="45">
        <v>0</v>
      </c>
      <c r="I224" s="45">
        <v>0</v>
      </c>
      <c r="J224" s="45">
        <v>0</v>
      </c>
      <c r="K224" s="46">
        <v>0</v>
      </c>
      <c r="L224" s="46">
        <v>0</v>
      </c>
      <c r="M224" s="45">
        <f t="shared" ref="M224" si="83">IFERROR(I224-J224,"")</f>
        <v>0</v>
      </c>
      <c r="N224" s="45" t="s">
        <v>252</v>
      </c>
    </row>
    <row r="225" ht="15" spans="1:14">
      <c r="A225" s="28">
        <v>45942</v>
      </c>
      <c r="B225" s="29">
        <v>45942</v>
      </c>
      <c r="C225" s="45">
        <v>0</v>
      </c>
      <c r="D225" s="45">
        <v>0</v>
      </c>
      <c r="E225" s="45">
        <v>0</v>
      </c>
      <c r="F225" s="45">
        <v>0</v>
      </c>
      <c r="G225" s="45"/>
      <c r="H225" s="45">
        <v>0</v>
      </c>
      <c r="I225" s="45">
        <v>0</v>
      </c>
      <c r="J225" s="45">
        <v>0</v>
      </c>
      <c r="K225" s="46">
        <v>0</v>
      </c>
      <c r="L225" s="46">
        <v>0</v>
      </c>
      <c r="M225" s="45">
        <f t="shared" ref="M225" si="84">IFERROR(I225-J225,"")</f>
        <v>0</v>
      </c>
      <c r="N225" s="45" t="s">
        <v>252</v>
      </c>
    </row>
    <row r="226" ht="15" spans="1:14">
      <c r="A226" s="28">
        <v>45943</v>
      </c>
      <c r="B226" s="29">
        <v>45943</v>
      </c>
      <c r="C226" s="45">
        <v>0</v>
      </c>
      <c r="D226" s="45">
        <v>0</v>
      </c>
      <c r="E226" s="45">
        <v>0</v>
      </c>
      <c r="F226" s="45">
        <v>0</v>
      </c>
      <c r="G226" s="45"/>
      <c r="H226" s="45">
        <v>0</v>
      </c>
      <c r="I226" s="45">
        <v>0</v>
      </c>
      <c r="J226" s="45">
        <v>0</v>
      </c>
      <c r="K226" s="46">
        <v>0</v>
      </c>
      <c r="L226" s="46">
        <v>0</v>
      </c>
      <c r="M226" s="45">
        <f t="shared" ref="M226" si="85">IFERROR(I226-J226,"")</f>
        <v>0</v>
      </c>
      <c r="N226" s="45" t="s">
        <v>252</v>
      </c>
    </row>
    <row r="227" ht="15" spans="1:14">
      <c r="A227" s="28">
        <v>45944</v>
      </c>
      <c r="B227" s="29">
        <v>45944</v>
      </c>
      <c r="C227" s="45">
        <v>0</v>
      </c>
      <c r="D227" s="45">
        <v>0</v>
      </c>
      <c r="E227" s="45">
        <v>0</v>
      </c>
      <c r="F227" s="45">
        <v>0</v>
      </c>
      <c r="G227" s="45"/>
      <c r="H227" s="45">
        <v>0</v>
      </c>
      <c r="I227" s="45">
        <v>0</v>
      </c>
      <c r="J227" s="45">
        <v>0</v>
      </c>
      <c r="K227" s="46">
        <v>0</v>
      </c>
      <c r="L227" s="46">
        <v>0</v>
      </c>
      <c r="M227" s="45">
        <f t="shared" ref="M227" si="86">IFERROR(I227-J227,"")</f>
        <v>0</v>
      </c>
      <c r="N227" s="45" t="s">
        <v>252</v>
      </c>
    </row>
    <row r="228" ht="15" spans="1:14">
      <c r="A228" s="28">
        <v>45945</v>
      </c>
      <c r="B228" s="29">
        <v>45945</v>
      </c>
      <c r="C228" s="45">
        <v>0</v>
      </c>
      <c r="D228" s="45">
        <v>0</v>
      </c>
      <c r="E228" s="45">
        <v>0</v>
      </c>
      <c r="F228" s="45">
        <v>0</v>
      </c>
      <c r="G228" s="45"/>
      <c r="H228" s="45">
        <v>0</v>
      </c>
      <c r="I228" s="45">
        <v>0</v>
      </c>
      <c r="J228" s="45">
        <v>0</v>
      </c>
      <c r="K228" s="46">
        <v>0</v>
      </c>
      <c r="L228" s="46">
        <v>0</v>
      </c>
      <c r="M228" s="45">
        <f t="shared" ref="M228" si="87">IFERROR(I228-J228,"")</f>
        <v>0</v>
      </c>
      <c r="N228" s="45" t="s">
        <v>252</v>
      </c>
    </row>
    <row r="229" ht="15" spans="1:14">
      <c r="A229" s="28">
        <v>45946</v>
      </c>
      <c r="B229" s="29">
        <v>45946</v>
      </c>
      <c r="C229" s="45">
        <v>0</v>
      </c>
      <c r="D229" s="45">
        <v>0</v>
      </c>
      <c r="E229" s="45">
        <v>0</v>
      </c>
      <c r="F229" s="45">
        <v>0</v>
      </c>
      <c r="G229" s="45"/>
      <c r="H229" s="45">
        <v>0</v>
      </c>
      <c r="I229" s="45">
        <v>0</v>
      </c>
      <c r="J229" s="45">
        <v>0</v>
      </c>
      <c r="K229" s="46">
        <v>0</v>
      </c>
      <c r="L229" s="46">
        <v>0</v>
      </c>
      <c r="M229" s="45">
        <f t="shared" ref="M229" si="88">IFERROR(I229-J229,"")</f>
        <v>0</v>
      </c>
      <c r="N229" s="45" t="s">
        <v>252</v>
      </c>
    </row>
    <row r="230" ht="15" spans="1:14">
      <c r="A230" s="28">
        <v>45947</v>
      </c>
      <c r="B230" s="29">
        <v>45947</v>
      </c>
      <c r="C230" s="30">
        <v>2</v>
      </c>
      <c r="D230" s="30">
        <v>6000</v>
      </c>
      <c r="E230" s="30">
        <v>709</v>
      </c>
      <c r="F230" s="30">
        <v>1</v>
      </c>
      <c r="G230" s="30" t="s">
        <v>35</v>
      </c>
      <c r="H230" s="30">
        <f>IFERROR(VLOOKUP(G230,Basic_Data!$E$2:$I$9,5,0),"")</f>
        <v>2</v>
      </c>
      <c r="I230" s="30">
        <f>IFERROR(VLOOKUP($G230,Basic_Data!$E$2:$H$10,4,0),"")</f>
        <v>616</v>
      </c>
      <c r="J230" s="30">
        <v>616</v>
      </c>
      <c r="K230" s="46">
        <v>0</v>
      </c>
      <c r="L230" s="46">
        <v>0</v>
      </c>
      <c r="M230" s="30">
        <f t="shared" ref="M230:M309" si="89">IFERROR(I230-J230,"")</f>
        <v>0</v>
      </c>
      <c r="N230" s="30" t="s">
        <v>251</v>
      </c>
    </row>
    <row r="231" ht="15" spans="1:14">
      <c r="A231" s="28"/>
      <c r="B231" s="29"/>
      <c r="C231" s="30"/>
      <c r="D231" s="30"/>
      <c r="E231" s="30"/>
      <c r="F231" s="30"/>
      <c r="G231" s="30" t="s">
        <v>36</v>
      </c>
      <c r="H231" s="30">
        <v>3</v>
      </c>
      <c r="I231" s="30">
        <v>616</v>
      </c>
      <c r="J231" s="30">
        <v>616</v>
      </c>
      <c r="K231" s="46">
        <v>0</v>
      </c>
      <c r="L231" s="46">
        <v>0</v>
      </c>
      <c r="M231" s="30">
        <f t="shared" si="89"/>
        <v>0</v>
      </c>
      <c r="N231" s="30" t="s">
        <v>251</v>
      </c>
    </row>
    <row r="232" ht="15" spans="1:14">
      <c r="A232" s="28"/>
      <c r="B232" s="29"/>
      <c r="C232" s="30"/>
      <c r="D232" s="30"/>
      <c r="E232" s="30"/>
      <c r="F232" s="30"/>
      <c r="G232" s="30" t="s">
        <v>37</v>
      </c>
      <c r="H232" s="30">
        <v>4</v>
      </c>
      <c r="I232" s="30">
        <v>616</v>
      </c>
      <c r="J232" s="30">
        <v>616</v>
      </c>
      <c r="K232" s="46">
        <v>0</v>
      </c>
      <c r="L232" s="46">
        <v>0</v>
      </c>
      <c r="M232" s="30">
        <f t="shared" si="89"/>
        <v>0</v>
      </c>
      <c r="N232" s="30" t="s">
        <v>251</v>
      </c>
    </row>
    <row r="233" ht="15" spans="1:14">
      <c r="A233" s="28">
        <v>45948</v>
      </c>
      <c r="B233" s="29">
        <v>45948</v>
      </c>
      <c r="C233" s="30">
        <v>2</v>
      </c>
      <c r="D233" s="30">
        <v>6000</v>
      </c>
      <c r="E233" s="30"/>
      <c r="F233" s="30"/>
      <c r="G233" s="30" t="s">
        <v>38</v>
      </c>
      <c r="H233" s="30">
        <f>IFERROR(VLOOKUP(G233,Basic_Data!$E$2:$I$9,5,0),"")</f>
        <v>5</v>
      </c>
      <c r="I233" s="30">
        <f>IFERROR(VLOOKUP($G233,Basic_Data!$E$2:$H$10,4,0),"")</f>
        <v>644</v>
      </c>
      <c r="J233" s="30">
        <v>644</v>
      </c>
      <c r="K233" s="46">
        <v>0</v>
      </c>
      <c r="L233" s="46">
        <v>0</v>
      </c>
      <c r="M233" s="30">
        <f t="shared" si="89"/>
        <v>0</v>
      </c>
      <c r="N233" s="30" t="s">
        <v>251</v>
      </c>
    </row>
    <row r="234" ht="15" spans="1:14">
      <c r="A234" s="28"/>
      <c r="B234" s="29"/>
      <c r="C234" s="30"/>
      <c r="D234" s="30"/>
      <c r="E234" s="30"/>
      <c r="F234" s="30"/>
      <c r="G234" s="30" t="s">
        <v>39</v>
      </c>
      <c r="H234" s="30">
        <v>6</v>
      </c>
      <c r="I234" s="30">
        <f>IFERROR(VLOOKUP($G234,Basic_Data!$E$2:$H$10,4,0),"")</f>
        <v>644</v>
      </c>
      <c r="J234" s="30">
        <v>644</v>
      </c>
      <c r="K234" s="46">
        <v>0</v>
      </c>
      <c r="L234" s="46">
        <v>0</v>
      </c>
      <c r="M234" s="30">
        <f t="shared" si="89"/>
        <v>0</v>
      </c>
      <c r="N234" s="30" t="s">
        <v>251</v>
      </c>
    </row>
    <row r="235" ht="15" spans="1:14">
      <c r="A235" s="28"/>
      <c r="B235" s="29"/>
      <c r="C235" s="30"/>
      <c r="D235" s="30"/>
      <c r="E235" s="30"/>
      <c r="F235" s="30"/>
      <c r="G235" s="30" t="s">
        <v>40</v>
      </c>
      <c r="H235" s="30">
        <v>7</v>
      </c>
      <c r="I235" s="30">
        <f>IFERROR(VLOOKUP($G235,Basic_Data!$E$2:$H$10,4,0),"")</f>
        <v>644</v>
      </c>
      <c r="J235" s="30">
        <v>644</v>
      </c>
      <c r="K235" s="46">
        <v>0</v>
      </c>
      <c r="L235" s="46">
        <v>0</v>
      </c>
      <c r="M235" s="30">
        <f t="shared" si="89"/>
        <v>0</v>
      </c>
      <c r="N235" s="30" t="s">
        <v>251</v>
      </c>
    </row>
    <row r="236" ht="15" spans="1:14">
      <c r="A236" s="28">
        <v>45949</v>
      </c>
      <c r="B236" s="29">
        <v>45949</v>
      </c>
      <c r="C236" s="30">
        <v>1</v>
      </c>
      <c r="D236" s="30">
        <v>3000</v>
      </c>
      <c r="E236" s="30"/>
      <c r="F236" s="30"/>
      <c r="G236" s="30" t="s">
        <v>41</v>
      </c>
      <c r="H236" s="30">
        <f>IFERROR(VLOOKUP(G236,Basic_Data!$E$2:$I$9,5,0),"")</f>
        <v>8</v>
      </c>
      <c r="I236" s="30">
        <f>IFERROR(VLOOKUP($G236,Basic_Data!$E$2:$H$10,4,0),"")</f>
        <v>644</v>
      </c>
      <c r="J236" s="30">
        <v>644</v>
      </c>
      <c r="K236" s="46">
        <v>0</v>
      </c>
      <c r="L236" s="46">
        <v>0</v>
      </c>
      <c r="M236" s="30">
        <f t="shared" si="89"/>
        <v>0</v>
      </c>
      <c r="N236" s="30" t="s">
        <v>251</v>
      </c>
    </row>
    <row r="237" ht="15" spans="1:14">
      <c r="A237" s="28">
        <v>45950</v>
      </c>
      <c r="B237" s="29">
        <v>45950</v>
      </c>
      <c r="C237" s="30">
        <v>0</v>
      </c>
      <c r="D237" s="30">
        <v>0</v>
      </c>
      <c r="E237" s="30">
        <v>0</v>
      </c>
      <c r="F237" s="30">
        <v>0</v>
      </c>
      <c r="G237" s="30"/>
      <c r="H237" s="30">
        <v>0</v>
      </c>
      <c r="I237" s="30">
        <v>0</v>
      </c>
      <c r="J237" s="30">
        <v>0</v>
      </c>
      <c r="K237" s="31">
        <v>0</v>
      </c>
      <c r="L237" s="31">
        <v>0</v>
      </c>
      <c r="M237" s="30">
        <v>0</v>
      </c>
      <c r="N237" s="30" t="s">
        <v>252</v>
      </c>
    </row>
    <row r="238" ht="15" spans="1:14">
      <c r="A238" s="28">
        <v>45951</v>
      </c>
      <c r="B238" s="29">
        <v>45951</v>
      </c>
      <c r="C238" s="30">
        <v>0</v>
      </c>
      <c r="D238" s="30">
        <v>0</v>
      </c>
      <c r="E238" s="30">
        <v>0</v>
      </c>
      <c r="F238" s="30">
        <v>0</v>
      </c>
      <c r="G238" s="30"/>
      <c r="H238" s="30">
        <v>0</v>
      </c>
      <c r="I238" s="30">
        <v>0</v>
      </c>
      <c r="J238" s="30">
        <v>0</v>
      </c>
      <c r="K238" s="31">
        <v>0</v>
      </c>
      <c r="L238" s="31">
        <v>0</v>
      </c>
      <c r="M238" s="30">
        <v>0</v>
      </c>
      <c r="N238" s="30" t="s">
        <v>252</v>
      </c>
    </row>
    <row r="239" ht="15" spans="1:14">
      <c r="A239" s="28">
        <v>45952</v>
      </c>
      <c r="B239" s="29">
        <v>45952</v>
      </c>
      <c r="C239" s="30">
        <v>0</v>
      </c>
      <c r="D239" s="30">
        <v>0</v>
      </c>
      <c r="E239" s="30">
        <v>0</v>
      </c>
      <c r="F239" s="30">
        <v>0</v>
      </c>
      <c r="G239" s="30"/>
      <c r="H239" s="30">
        <v>0</v>
      </c>
      <c r="I239" s="30">
        <v>0</v>
      </c>
      <c r="J239" s="30">
        <v>0</v>
      </c>
      <c r="K239" s="31">
        <v>0</v>
      </c>
      <c r="L239" s="31">
        <v>0</v>
      </c>
      <c r="M239" s="30">
        <v>0</v>
      </c>
      <c r="N239" s="30" t="s">
        <v>252</v>
      </c>
    </row>
    <row r="240" ht="15" spans="1:14">
      <c r="A240" s="28">
        <v>45953</v>
      </c>
      <c r="B240" s="29">
        <v>45953</v>
      </c>
      <c r="C240" s="30">
        <v>0</v>
      </c>
      <c r="D240" s="30">
        <v>0</v>
      </c>
      <c r="E240" s="30">
        <v>0</v>
      </c>
      <c r="F240" s="30">
        <v>0</v>
      </c>
      <c r="G240" s="30"/>
      <c r="H240" s="30">
        <v>0</v>
      </c>
      <c r="I240" s="30">
        <v>0</v>
      </c>
      <c r="J240" s="30">
        <v>0</v>
      </c>
      <c r="K240" s="31">
        <v>0</v>
      </c>
      <c r="L240" s="31">
        <v>0</v>
      </c>
      <c r="M240" s="30">
        <v>0</v>
      </c>
      <c r="N240" s="30" t="s">
        <v>252</v>
      </c>
    </row>
    <row r="241" ht="15" spans="1:14">
      <c r="A241" s="28">
        <v>45954</v>
      </c>
      <c r="B241" s="29">
        <v>45954</v>
      </c>
      <c r="C241" s="30">
        <v>0</v>
      </c>
      <c r="D241" s="30">
        <v>0</v>
      </c>
      <c r="E241" s="30">
        <v>0</v>
      </c>
      <c r="F241" s="30">
        <v>0</v>
      </c>
      <c r="G241" s="30"/>
      <c r="H241" s="30">
        <v>0</v>
      </c>
      <c r="I241" s="30">
        <v>0</v>
      </c>
      <c r="J241" s="30">
        <v>0</v>
      </c>
      <c r="K241" s="31">
        <v>0</v>
      </c>
      <c r="L241" s="31">
        <v>0</v>
      </c>
      <c r="M241" s="30">
        <v>0</v>
      </c>
      <c r="N241" s="30" t="s">
        <v>252</v>
      </c>
    </row>
    <row r="242" ht="15" spans="1:14">
      <c r="A242" s="28">
        <v>45955</v>
      </c>
      <c r="B242" s="29">
        <v>45955</v>
      </c>
      <c r="C242" s="30">
        <v>0</v>
      </c>
      <c r="D242" s="30">
        <v>0</v>
      </c>
      <c r="E242" s="30">
        <v>0</v>
      </c>
      <c r="F242" s="30">
        <v>0</v>
      </c>
      <c r="G242" s="30"/>
      <c r="H242" s="30">
        <v>0</v>
      </c>
      <c r="I242" s="30">
        <v>0</v>
      </c>
      <c r="J242" s="30">
        <v>0</v>
      </c>
      <c r="K242" s="31">
        <v>0</v>
      </c>
      <c r="L242" s="31">
        <v>0</v>
      </c>
      <c r="M242" s="30">
        <v>0</v>
      </c>
      <c r="N242" s="30" t="s">
        <v>252</v>
      </c>
    </row>
    <row r="243" ht="15" spans="1:14">
      <c r="A243" s="28">
        <v>45956</v>
      </c>
      <c r="B243" s="29">
        <v>45956</v>
      </c>
      <c r="C243" s="30">
        <v>0</v>
      </c>
      <c r="D243" s="30">
        <v>0</v>
      </c>
      <c r="E243" s="30">
        <v>0</v>
      </c>
      <c r="F243" s="30">
        <v>0</v>
      </c>
      <c r="G243" s="30"/>
      <c r="H243" s="30">
        <v>0</v>
      </c>
      <c r="I243" s="30">
        <v>0</v>
      </c>
      <c r="J243" s="30">
        <v>0</v>
      </c>
      <c r="K243" s="31">
        <v>0</v>
      </c>
      <c r="L243" s="31">
        <v>0</v>
      </c>
      <c r="M243" s="30">
        <v>0</v>
      </c>
      <c r="N243" s="30" t="s">
        <v>252</v>
      </c>
    </row>
    <row r="244" ht="15" spans="1:14">
      <c r="A244" s="28">
        <v>45957</v>
      </c>
      <c r="B244" s="29">
        <v>45957</v>
      </c>
      <c r="C244" s="42">
        <v>0</v>
      </c>
      <c r="D244" s="42">
        <v>0</v>
      </c>
      <c r="E244" s="42">
        <v>0</v>
      </c>
      <c r="F244" s="42">
        <v>0</v>
      </c>
      <c r="G244" s="42"/>
      <c r="H244" s="42">
        <v>0</v>
      </c>
      <c r="I244" s="42">
        <v>0</v>
      </c>
      <c r="J244" s="42">
        <v>0</v>
      </c>
      <c r="K244" s="43">
        <v>0</v>
      </c>
      <c r="L244" s="43">
        <v>0</v>
      </c>
      <c r="M244" s="42">
        <v>0</v>
      </c>
      <c r="N244" s="42" t="s">
        <v>254</v>
      </c>
    </row>
    <row r="245" ht="15" spans="1:14">
      <c r="A245" s="28">
        <v>45958</v>
      </c>
      <c r="B245" s="29">
        <v>45958</v>
      </c>
      <c r="C245" s="42">
        <v>0</v>
      </c>
      <c r="D245" s="42">
        <v>0</v>
      </c>
      <c r="E245" s="42">
        <v>0</v>
      </c>
      <c r="F245" s="42">
        <v>0</v>
      </c>
      <c r="G245" s="42"/>
      <c r="H245" s="42">
        <v>0</v>
      </c>
      <c r="I245" s="42">
        <v>0</v>
      </c>
      <c r="J245" s="42">
        <v>0</v>
      </c>
      <c r="K245" s="43">
        <v>0</v>
      </c>
      <c r="L245" s="43">
        <v>0</v>
      </c>
      <c r="M245" s="42">
        <v>0</v>
      </c>
      <c r="N245" s="42" t="s">
        <v>254</v>
      </c>
    </row>
    <row r="246" ht="15" spans="1:14">
      <c r="A246" s="28">
        <v>45959</v>
      </c>
      <c r="B246" s="29">
        <v>45959</v>
      </c>
      <c r="C246" s="30">
        <v>0</v>
      </c>
      <c r="D246" s="30">
        <v>0</v>
      </c>
      <c r="E246" s="30">
        <v>0</v>
      </c>
      <c r="F246" s="30">
        <v>0</v>
      </c>
      <c r="G246" s="30"/>
      <c r="H246" s="30">
        <v>0</v>
      </c>
      <c r="I246" s="30">
        <v>0</v>
      </c>
      <c r="J246" s="30">
        <v>0</v>
      </c>
      <c r="K246" s="31">
        <v>0</v>
      </c>
      <c r="L246" s="31">
        <v>0</v>
      </c>
      <c r="M246" s="30">
        <v>0</v>
      </c>
      <c r="N246" s="30" t="s">
        <v>252</v>
      </c>
    </row>
    <row r="247" ht="15" spans="1:14">
      <c r="A247" s="28">
        <v>45960</v>
      </c>
      <c r="B247" s="29">
        <v>45960</v>
      </c>
      <c r="C247" s="42">
        <v>0</v>
      </c>
      <c r="D247" s="42">
        <v>0</v>
      </c>
      <c r="E247" s="42">
        <v>0</v>
      </c>
      <c r="F247" s="42">
        <v>0</v>
      </c>
      <c r="G247" s="42"/>
      <c r="H247" s="42">
        <v>0</v>
      </c>
      <c r="I247" s="42">
        <v>0</v>
      </c>
      <c r="J247" s="42">
        <v>0</v>
      </c>
      <c r="K247" s="43">
        <v>0</v>
      </c>
      <c r="L247" s="43">
        <v>0</v>
      </c>
      <c r="M247" s="42">
        <v>0</v>
      </c>
      <c r="N247" s="42" t="s">
        <v>254</v>
      </c>
    </row>
    <row r="248" ht="15" spans="1:14">
      <c r="A248" s="28">
        <v>45961</v>
      </c>
      <c r="B248" s="29">
        <v>45961</v>
      </c>
      <c r="C248" s="30">
        <v>0</v>
      </c>
      <c r="D248" s="30">
        <v>0</v>
      </c>
      <c r="E248" s="30">
        <v>0</v>
      </c>
      <c r="F248" s="30">
        <v>0</v>
      </c>
      <c r="G248" s="30"/>
      <c r="H248" s="30">
        <v>0</v>
      </c>
      <c r="I248" s="30">
        <v>0</v>
      </c>
      <c r="J248" s="30">
        <v>0</v>
      </c>
      <c r="K248" s="31">
        <v>0</v>
      </c>
      <c r="L248" s="31">
        <v>0</v>
      </c>
      <c r="M248" s="30">
        <v>0</v>
      </c>
      <c r="N248" s="30" t="s">
        <v>252</v>
      </c>
    </row>
    <row r="249" ht="15" spans="1:14">
      <c r="A249" s="28">
        <v>45962</v>
      </c>
      <c r="B249" s="29">
        <v>45962</v>
      </c>
      <c r="C249" s="30">
        <v>0</v>
      </c>
      <c r="D249" s="30">
        <v>0</v>
      </c>
      <c r="E249" s="30">
        <v>0</v>
      </c>
      <c r="F249" s="30">
        <v>0</v>
      </c>
      <c r="G249" s="30"/>
      <c r="H249" s="30">
        <v>0</v>
      </c>
      <c r="I249" s="30">
        <v>0</v>
      </c>
      <c r="J249" s="30">
        <v>0</v>
      </c>
      <c r="K249" s="31">
        <v>0</v>
      </c>
      <c r="L249" s="31">
        <v>0</v>
      </c>
      <c r="M249" s="30">
        <v>0</v>
      </c>
      <c r="N249" s="30" t="s">
        <v>252</v>
      </c>
    </row>
    <row r="250" ht="15" spans="1:14">
      <c r="A250" s="28">
        <v>45963</v>
      </c>
      <c r="B250" s="29">
        <v>45963</v>
      </c>
      <c r="C250" s="30">
        <v>0</v>
      </c>
      <c r="D250" s="30">
        <v>0</v>
      </c>
      <c r="E250" s="30">
        <v>0</v>
      </c>
      <c r="F250" s="30">
        <v>0</v>
      </c>
      <c r="G250" s="30"/>
      <c r="H250" s="30">
        <v>0</v>
      </c>
      <c r="I250" s="30">
        <v>0</v>
      </c>
      <c r="J250" s="30">
        <v>0</v>
      </c>
      <c r="K250" s="31">
        <v>0</v>
      </c>
      <c r="L250" s="31">
        <v>0</v>
      </c>
      <c r="M250" s="30">
        <v>0</v>
      </c>
      <c r="N250" s="30" t="s">
        <v>252</v>
      </c>
    </row>
    <row r="251" ht="15" spans="1:14">
      <c r="A251" s="28">
        <v>45964</v>
      </c>
      <c r="B251" s="29">
        <v>45964</v>
      </c>
      <c r="C251" s="30">
        <v>0</v>
      </c>
      <c r="D251" s="30">
        <v>0</v>
      </c>
      <c r="E251" s="30">
        <v>0</v>
      </c>
      <c r="F251" s="30">
        <v>0</v>
      </c>
      <c r="G251" s="30"/>
      <c r="H251" s="30">
        <v>0</v>
      </c>
      <c r="I251" s="30">
        <v>0</v>
      </c>
      <c r="J251" s="30">
        <v>0</v>
      </c>
      <c r="K251" s="31">
        <v>0</v>
      </c>
      <c r="L251" s="31">
        <v>0</v>
      </c>
      <c r="M251" s="30">
        <v>0</v>
      </c>
      <c r="N251" s="30" t="s">
        <v>252</v>
      </c>
    </row>
    <row r="252" ht="15" spans="1:14">
      <c r="A252" s="28">
        <v>45965</v>
      </c>
      <c r="B252" s="29">
        <v>45965</v>
      </c>
      <c r="C252" s="30">
        <v>0</v>
      </c>
      <c r="D252" s="30">
        <v>0</v>
      </c>
      <c r="E252" s="30">
        <v>0</v>
      </c>
      <c r="F252" s="30">
        <v>0</v>
      </c>
      <c r="G252" s="30"/>
      <c r="H252" s="30">
        <v>0</v>
      </c>
      <c r="I252" s="30">
        <v>0</v>
      </c>
      <c r="J252" s="30">
        <v>0</v>
      </c>
      <c r="K252" s="31">
        <v>0</v>
      </c>
      <c r="L252" s="31">
        <v>0</v>
      </c>
      <c r="M252" s="30">
        <v>0</v>
      </c>
      <c r="N252" s="30" t="s">
        <v>252</v>
      </c>
    </row>
    <row r="253" ht="15" spans="1:14">
      <c r="A253" s="28">
        <v>45966</v>
      </c>
      <c r="B253" s="29">
        <v>45966</v>
      </c>
      <c r="C253" s="30">
        <v>0</v>
      </c>
      <c r="D253" s="30">
        <v>0</v>
      </c>
      <c r="E253" s="30">
        <v>0</v>
      </c>
      <c r="F253" s="30">
        <v>0</v>
      </c>
      <c r="G253" s="30"/>
      <c r="H253" s="30">
        <v>0</v>
      </c>
      <c r="I253" s="30">
        <v>0</v>
      </c>
      <c r="J253" s="30">
        <v>0</v>
      </c>
      <c r="K253" s="31">
        <v>0</v>
      </c>
      <c r="L253" s="31">
        <v>0</v>
      </c>
      <c r="M253" s="30">
        <v>0</v>
      </c>
      <c r="N253" s="30" t="s">
        <v>252</v>
      </c>
    </row>
    <row r="254" ht="15" spans="1:14">
      <c r="A254" s="28">
        <v>45967</v>
      </c>
      <c r="B254" s="29">
        <v>45967</v>
      </c>
      <c r="C254" s="30">
        <v>0</v>
      </c>
      <c r="D254" s="30">
        <v>0</v>
      </c>
      <c r="E254" s="30">
        <v>0</v>
      </c>
      <c r="F254" s="30">
        <v>0</v>
      </c>
      <c r="G254" s="30"/>
      <c r="H254" s="30">
        <v>0</v>
      </c>
      <c r="I254" s="30">
        <v>0</v>
      </c>
      <c r="J254" s="30">
        <v>0</v>
      </c>
      <c r="K254" s="31">
        <v>0</v>
      </c>
      <c r="L254" s="31">
        <v>0</v>
      </c>
      <c r="M254" s="30">
        <v>0</v>
      </c>
      <c r="N254" s="30" t="s">
        <v>252</v>
      </c>
    </row>
    <row r="255" ht="15" spans="1:14">
      <c r="A255" s="28">
        <v>45968</v>
      </c>
      <c r="B255" s="29">
        <v>45968</v>
      </c>
      <c r="C255" s="30">
        <v>0</v>
      </c>
      <c r="D255" s="30">
        <v>0</v>
      </c>
      <c r="E255" s="30">
        <v>0</v>
      </c>
      <c r="F255" s="30">
        <v>0</v>
      </c>
      <c r="G255" s="30"/>
      <c r="H255" s="30">
        <v>0</v>
      </c>
      <c r="I255" s="30">
        <v>0</v>
      </c>
      <c r="J255" s="30">
        <v>0</v>
      </c>
      <c r="K255" s="31">
        <v>0</v>
      </c>
      <c r="L255" s="31">
        <v>0</v>
      </c>
      <c r="M255" s="30">
        <v>0</v>
      </c>
      <c r="N255" s="30" t="s">
        <v>252</v>
      </c>
    </row>
    <row r="256" ht="15" spans="1:14">
      <c r="A256" s="28">
        <v>45969</v>
      </c>
      <c r="B256" s="29">
        <v>45969</v>
      </c>
      <c r="C256" s="30">
        <v>0</v>
      </c>
      <c r="D256" s="30">
        <v>0</v>
      </c>
      <c r="E256" s="30">
        <v>0</v>
      </c>
      <c r="F256" s="30">
        <v>0</v>
      </c>
      <c r="G256" s="30"/>
      <c r="H256" s="30">
        <v>0</v>
      </c>
      <c r="I256" s="30">
        <v>0</v>
      </c>
      <c r="J256" s="30">
        <v>0</v>
      </c>
      <c r="K256" s="31">
        <v>0</v>
      </c>
      <c r="L256" s="31">
        <v>0</v>
      </c>
      <c r="M256" s="30">
        <v>0</v>
      </c>
      <c r="N256" s="30" t="s">
        <v>252</v>
      </c>
    </row>
    <row r="257" ht="15" spans="1:14">
      <c r="A257" s="28">
        <v>45970</v>
      </c>
      <c r="B257" s="29">
        <v>45970</v>
      </c>
      <c r="C257" s="30">
        <v>1</v>
      </c>
      <c r="D257" s="30">
        <v>3000</v>
      </c>
      <c r="E257" s="30"/>
      <c r="F257" s="30">
        <v>1</v>
      </c>
      <c r="G257" s="30" t="s">
        <v>35</v>
      </c>
      <c r="H257" s="30">
        <f>IFERROR(VLOOKUP(G257,Basic_Data!$E$2:$I$9,5,0),"")</f>
        <v>2</v>
      </c>
      <c r="I257" s="30">
        <f>IFERROR(VLOOKUP($G257,Basic_Data!$E$2:$H$10,4,0),"")</f>
        <v>616</v>
      </c>
      <c r="J257" s="30">
        <v>616</v>
      </c>
      <c r="K257" s="31">
        <v>0</v>
      </c>
      <c r="L257" s="31">
        <v>0</v>
      </c>
      <c r="M257" s="30">
        <f t="shared" si="89"/>
        <v>0</v>
      </c>
      <c r="N257" s="30" t="s">
        <v>251</v>
      </c>
    </row>
    <row r="258" ht="15" spans="1:14">
      <c r="A258" s="28"/>
      <c r="B258" s="29"/>
      <c r="C258" s="30"/>
      <c r="D258" s="30"/>
      <c r="E258" s="30"/>
      <c r="F258" s="30">
        <v>1</v>
      </c>
      <c r="G258" s="30" t="s">
        <v>36</v>
      </c>
      <c r="H258" s="30">
        <v>3</v>
      </c>
      <c r="I258" s="30">
        <f>IFERROR(VLOOKUP($G258,Basic_Data!$E$2:$H$10,4,0),"")</f>
        <v>616</v>
      </c>
      <c r="J258" s="30">
        <v>616</v>
      </c>
      <c r="K258" s="31">
        <v>0</v>
      </c>
      <c r="L258" s="31">
        <v>0</v>
      </c>
      <c r="M258" s="30">
        <f t="shared" si="89"/>
        <v>0</v>
      </c>
      <c r="N258" s="30" t="s">
        <v>251</v>
      </c>
    </row>
    <row r="259" ht="15" spans="1:14">
      <c r="A259" s="28">
        <v>45971</v>
      </c>
      <c r="B259" s="29">
        <v>45971</v>
      </c>
      <c r="C259" s="30">
        <v>2</v>
      </c>
      <c r="D259" s="30">
        <v>6000</v>
      </c>
      <c r="E259" s="30"/>
      <c r="F259" s="30">
        <v>1</v>
      </c>
      <c r="G259" s="30" t="s">
        <v>37</v>
      </c>
      <c r="H259" s="30">
        <f>IFERROR(VLOOKUP(G259,Basic_Data!$E$2:$I$9,5,0),"")</f>
        <v>4</v>
      </c>
      <c r="I259" s="30">
        <f>IFERROR(VLOOKUP($G259,Basic_Data!$E$2:$H$10,4,0),"")</f>
        <v>616</v>
      </c>
      <c r="J259" s="30">
        <v>616</v>
      </c>
      <c r="K259" s="31">
        <v>0</v>
      </c>
      <c r="L259" s="31">
        <v>0</v>
      </c>
      <c r="M259" s="30">
        <f t="shared" si="89"/>
        <v>0</v>
      </c>
      <c r="N259" s="30" t="s">
        <v>251</v>
      </c>
    </row>
    <row r="260" ht="15" spans="1:14">
      <c r="A260" s="28"/>
      <c r="B260" s="29"/>
      <c r="C260" s="30"/>
      <c r="D260" s="30"/>
      <c r="E260" s="30"/>
      <c r="F260" s="30">
        <v>1</v>
      </c>
      <c r="G260" s="30" t="s">
        <v>38</v>
      </c>
      <c r="H260" s="30">
        <v>5</v>
      </c>
      <c r="I260" s="30">
        <f>IFERROR(VLOOKUP($G260,Basic_Data!$E$2:$H$10,4,0),"")</f>
        <v>644</v>
      </c>
      <c r="J260" s="30">
        <f>IFERROR(VLOOKUP($G260,Basic_Data!$E$2:$H$10,4,0),"")</f>
        <v>644</v>
      </c>
      <c r="K260" s="31">
        <v>0</v>
      </c>
      <c r="L260" s="31">
        <v>0</v>
      </c>
      <c r="M260" s="30">
        <f t="shared" si="89"/>
        <v>0</v>
      </c>
      <c r="N260" s="30" t="s">
        <v>251</v>
      </c>
    </row>
    <row r="261" ht="15" spans="1:14">
      <c r="A261" s="28"/>
      <c r="B261" s="29"/>
      <c r="C261" s="30"/>
      <c r="D261" s="30"/>
      <c r="E261" s="30"/>
      <c r="F261" s="30">
        <v>1</v>
      </c>
      <c r="G261" s="30" t="s">
        <v>39</v>
      </c>
      <c r="H261" s="30"/>
      <c r="I261" s="30">
        <f>IFERROR(VLOOKUP($G261,Basic_Data!$E$2:$H$10,4,0),"")</f>
        <v>644</v>
      </c>
      <c r="J261" s="30">
        <f>IFERROR(VLOOKUP($G261,Basic_Data!$E$2:$H$10,4,0),"")</f>
        <v>644</v>
      </c>
      <c r="K261" s="31">
        <v>0</v>
      </c>
      <c r="L261" s="31">
        <v>0</v>
      </c>
      <c r="M261" s="30">
        <f t="shared" si="89"/>
        <v>0</v>
      </c>
      <c r="N261" s="30" t="s">
        <v>251</v>
      </c>
    </row>
    <row r="262" ht="15" spans="1:14">
      <c r="A262" s="28"/>
      <c r="B262" s="29"/>
      <c r="C262" s="30"/>
      <c r="D262" s="30"/>
      <c r="E262" s="30"/>
      <c r="F262" s="30">
        <v>1</v>
      </c>
      <c r="G262" s="30" t="s">
        <v>40</v>
      </c>
      <c r="H262" s="30"/>
      <c r="I262" s="30">
        <f>IFERROR(VLOOKUP($G262,Basic_Data!$E$2:$H$10,4,0),"")</f>
        <v>644</v>
      </c>
      <c r="J262" s="30">
        <f>IFERROR(VLOOKUP($G262,Basic_Data!$E$2:$H$10,4,0),"")</f>
        <v>644</v>
      </c>
      <c r="K262" s="31">
        <v>0</v>
      </c>
      <c r="L262" s="31">
        <v>0</v>
      </c>
      <c r="M262" s="30">
        <f t="shared" si="89"/>
        <v>0</v>
      </c>
      <c r="N262" s="30" t="s">
        <v>251</v>
      </c>
    </row>
    <row r="263" ht="15" spans="1:14">
      <c r="A263" s="28">
        <v>45972</v>
      </c>
      <c r="B263" s="29">
        <v>45972</v>
      </c>
      <c r="C263" s="30">
        <v>1</v>
      </c>
      <c r="D263" s="30">
        <v>1500</v>
      </c>
      <c r="E263" s="30"/>
      <c r="F263" s="30">
        <v>1</v>
      </c>
      <c r="G263" s="30" t="s">
        <v>41</v>
      </c>
      <c r="H263" s="30">
        <f>IFERROR(VLOOKUP(G263,Basic_Data!$E$2:$I$9,5,0),"")</f>
        <v>8</v>
      </c>
      <c r="I263" s="30">
        <f>IFERROR(VLOOKUP($G263,Basic_Data!$E$2:$H$10,4,0),"")</f>
        <v>644</v>
      </c>
      <c r="J263" s="30">
        <v>644</v>
      </c>
      <c r="K263" s="31">
        <v>0</v>
      </c>
      <c r="L263" s="31">
        <v>0</v>
      </c>
      <c r="M263" s="30">
        <f t="shared" si="89"/>
        <v>0</v>
      </c>
      <c r="N263" s="30" t="s">
        <v>251</v>
      </c>
    </row>
    <row r="264" ht="15" spans="1:14">
      <c r="A264" s="28">
        <v>45973</v>
      </c>
      <c r="B264" s="29">
        <v>45973</v>
      </c>
      <c r="C264" s="30">
        <v>0</v>
      </c>
      <c r="D264" s="30">
        <v>0</v>
      </c>
      <c r="E264" s="30">
        <v>0</v>
      </c>
      <c r="F264" s="30">
        <v>0</v>
      </c>
      <c r="G264" s="30"/>
      <c r="H264" s="30" t="str">
        <f>IFERROR(VLOOKUP(G264,Basic_Data!$E$2:$I$9,5,0),"")</f>
        <v/>
      </c>
      <c r="I264" s="30">
        <v>0</v>
      </c>
      <c r="J264" s="30">
        <v>0</v>
      </c>
      <c r="K264" s="31">
        <v>0</v>
      </c>
      <c r="L264" s="31">
        <v>0</v>
      </c>
      <c r="M264" s="30">
        <f t="shared" si="89"/>
        <v>0</v>
      </c>
      <c r="N264" s="30" t="s">
        <v>252</v>
      </c>
    </row>
    <row r="265" ht="15" spans="1:14">
      <c r="A265" s="28">
        <v>45974</v>
      </c>
      <c r="B265" s="29">
        <v>45974</v>
      </c>
      <c r="C265" s="30">
        <v>0</v>
      </c>
      <c r="D265" s="30">
        <v>0</v>
      </c>
      <c r="E265" s="30">
        <v>0</v>
      </c>
      <c r="F265" s="30">
        <v>0</v>
      </c>
      <c r="G265" s="30"/>
      <c r="H265" s="30" t="str">
        <f>IFERROR(VLOOKUP(G265,Basic_Data!$E$2:$I$9,5,0),"")</f>
        <v/>
      </c>
      <c r="I265" s="30">
        <v>0</v>
      </c>
      <c r="J265" s="30">
        <v>0</v>
      </c>
      <c r="K265" s="31">
        <v>0</v>
      </c>
      <c r="L265" s="31">
        <v>0</v>
      </c>
      <c r="M265" s="30">
        <f t="shared" ref="M265" si="90">IFERROR(I265-J265,"")</f>
        <v>0</v>
      </c>
      <c r="N265" s="30" t="s">
        <v>252</v>
      </c>
    </row>
    <row r="266" ht="15" spans="1:14">
      <c r="A266" s="28">
        <v>45975</v>
      </c>
      <c r="B266" s="29">
        <v>45975</v>
      </c>
      <c r="C266" s="30">
        <v>0</v>
      </c>
      <c r="D266" s="30">
        <v>0</v>
      </c>
      <c r="E266" s="30">
        <v>0</v>
      </c>
      <c r="F266" s="30">
        <v>0</v>
      </c>
      <c r="G266" s="30"/>
      <c r="H266" s="30" t="str">
        <f>IFERROR(VLOOKUP(G266,Basic_Data!$E$2:$I$9,5,0),"")</f>
        <v/>
      </c>
      <c r="I266" s="30">
        <v>0</v>
      </c>
      <c r="J266" s="30">
        <v>0</v>
      </c>
      <c r="K266" s="31">
        <v>0</v>
      </c>
      <c r="L266" s="31">
        <v>0</v>
      </c>
      <c r="M266" s="30">
        <f t="shared" ref="M266" si="91">IFERROR(I266-J266,"")</f>
        <v>0</v>
      </c>
      <c r="N266" s="30" t="s">
        <v>252</v>
      </c>
    </row>
    <row r="267" ht="15" spans="1:14">
      <c r="A267" s="28">
        <v>45976</v>
      </c>
      <c r="B267" s="29">
        <v>45976</v>
      </c>
      <c r="C267" s="30">
        <v>0</v>
      </c>
      <c r="D267" s="30">
        <v>0</v>
      </c>
      <c r="E267" s="30">
        <v>0</v>
      </c>
      <c r="F267" s="30">
        <v>0</v>
      </c>
      <c r="G267" s="30"/>
      <c r="H267" s="30" t="str">
        <f>IFERROR(VLOOKUP(G267,Basic_Data!$E$2:$I$9,5,0),"")</f>
        <v/>
      </c>
      <c r="I267" s="30">
        <v>0</v>
      </c>
      <c r="J267" s="30">
        <v>0</v>
      </c>
      <c r="K267" s="31">
        <v>0</v>
      </c>
      <c r="L267" s="31">
        <v>0</v>
      </c>
      <c r="M267" s="30">
        <f t="shared" ref="M267" si="92">IFERROR(I267-J267,"")</f>
        <v>0</v>
      </c>
      <c r="N267" s="30" t="s">
        <v>252</v>
      </c>
    </row>
    <row r="268" ht="15" spans="1:14">
      <c r="A268" s="28">
        <v>45977</v>
      </c>
      <c r="B268" s="29">
        <v>45977</v>
      </c>
      <c r="C268" s="30">
        <v>0</v>
      </c>
      <c r="D268" s="30">
        <v>0</v>
      </c>
      <c r="E268" s="30">
        <v>0</v>
      </c>
      <c r="F268" s="30">
        <v>0</v>
      </c>
      <c r="G268" s="30"/>
      <c r="H268" s="30" t="str">
        <f>IFERROR(VLOOKUP(G268,Basic_Data!$E$2:$I$9,5,0),"")</f>
        <v/>
      </c>
      <c r="I268" s="30">
        <v>0</v>
      </c>
      <c r="J268" s="30">
        <v>0</v>
      </c>
      <c r="K268" s="31">
        <v>0</v>
      </c>
      <c r="L268" s="31">
        <v>0</v>
      </c>
      <c r="M268" s="30">
        <f t="shared" ref="M268" si="93">IFERROR(I268-J268,"")</f>
        <v>0</v>
      </c>
      <c r="N268" s="30" t="s">
        <v>252</v>
      </c>
    </row>
    <row r="269" ht="15" spans="1:14">
      <c r="A269" s="28">
        <v>45978</v>
      </c>
      <c r="B269" s="29">
        <v>45978</v>
      </c>
      <c r="C269" s="30">
        <v>0</v>
      </c>
      <c r="D269" s="30">
        <v>0</v>
      </c>
      <c r="E269" s="30">
        <v>0</v>
      </c>
      <c r="F269" s="30">
        <v>0</v>
      </c>
      <c r="G269" s="30"/>
      <c r="H269" s="30" t="str">
        <f>IFERROR(VLOOKUP(G269,Basic_Data!$E$2:$I$9,5,0),"")</f>
        <v/>
      </c>
      <c r="I269" s="30">
        <v>0</v>
      </c>
      <c r="J269" s="30">
        <v>0</v>
      </c>
      <c r="K269" s="31">
        <v>0</v>
      </c>
      <c r="L269" s="31">
        <v>0</v>
      </c>
      <c r="M269" s="30">
        <f t="shared" ref="M269" si="94">IFERROR(I269-J269,"")</f>
        <v>0</v>
      </c>
      <c r="N269" s="30" t="s">
        <v>252</v>
      </c>
    </row>
    <row r="270" ht="15" spans="1:14">
      <c r="A270" s="28">
        <v>45979</v>
      </c>
      <c r="B270" s="29">
        <v>45979</v>
      </c>
      <c r="C270" s="30">
        <v>0</v>
      </c>
      <c r="D270" s="30">
        <v>0</v>
      </c>
      <c r="E270" s="30">
        <v>0</v>
      </c>
      <c r="F270" s="30">
        <v>0</v>
      </c>
      <c r="G270" s="30"/>
      <c r="H270" s="30" t="str">
        <f>IFERROR(VLOOKUP(G270,Basic_Data!$E$2:$I$9,5,0),"")</f>
        <v/>
      </c>
      <c r="I270" s="30">
        <v>0</v>
      </c>
      <c r="J270" s="30">
        <v>0</v>
      </c>
      <c r="K270" s="31">
        <v>0</v>
      </c>
      <c r="L270" s="31">
        <v>0</v>
      </c>
      <c r="M270" s="30">
        <f t="shared" ref="M270" si="95">IFERROR(I270-J270,"")</f>
        <v>0</v>
      </c>
      <c r="N270" s="30" t="s">
        <v>252</v>
      </c>
    </row>
    <row r="271" ht="15" spans="1:14">
      <c r="A271" s="28">
        <v>45980</v>
      </c>
      <c r="B271" s="29">
        <v>45980</v>
      </c>
      <c r="C271" s="30">
        <v>0</v>
      </c>
      <c r="D271" s="30">
        <v>0</v>
      </c>
      <c r="E271" s="30">
        <v>0</v>
      </c>
      <c r="F271" s="30">
        <v>0</v>
      </c>
      <c r="G271" s="30"/>
      <c r="H271" s="30" t="str">
        <f>IFERROR(VLOOKUP(G271,Basic_Data!$E$2:$I$9,5,0),"")</f>
        <v/>
      </c>
      <c r="I271" s="30">
        <v>0</v>
      </c>
      <c r="J271" s="30">
        <v>0</v>
      </c>
      <c r="K271" s="31">
        <v>0</v>
      </c>
      <c r="L271" s="31">
        <v>0</v>
      </c>
      <c r="M271" s="30">
        <f t="shared" ref="M271" si="96">IFERROR(I271-J271,"")</f>
        <v>0</v>
      </c>
      <c r="N271" s="30" t="s">
        <v>252</v>
      </c>
    </row>
    <row r="272" ht="15" spans="1:14">
      <c r="A272" s="28">
        <v>45981</v>
      </c>
      <c r="B272" s="29">
        <v>45981</v>
      </c>
      <c r="C272" s="30">
        <v>0</v>
      </c>
      <c r="D272" s="30">
        <v>0</v>
      </c>
      <c r="E272" s="30">
        <v>0</v>
      </c>
      <c r="F272" s="30">
        <v>0</v>
      </c>
      <c r="G272" s="30"/>
      <c r="H272" s="30" t="str">
        <f>IFERROR(VLOOKUP(G272,Basic_Data!$E$2:$I$9,5,0),"")</f>
        <v/>
      </c>
      <c r="I272" s="30">
        <v>0</v>
      </c>
      <c r="J272" s="30">
        <v>0</v>
      </c>
      <c r="K272" s="31">
        <v>0</v>
      </c>
      <c r="L272" s="31">
        <v>0</v>
      </c>
      <c r="M272" s="30">
        <f t="shared" ref="M272" si="97">IFERROR(I272-J272,"")</f>
        <v>0</v>
      </c>
      <c r="N272" s="30" t="s">
        <v>252</v>
      </c>
    </row>
    <row r="273" ht="15" spans="1:14">
      <c r="A273" s="28">
        <v>45982</v>
      </c>
      <c r="B273" s="29">
        <v>45982</v>
      </c>
      <c r="C273" s="30">
        <v>0</v>
      </c>
      <c r="D273" s="30">
        <v>0</v>
      </c>
      <c r="E273" s="30">
        <v>0</v>
      </c>
      <c r="F273" s="30">
        <v>0</v>
      </c>
      <c r="G273" s="30"/>
      <c r="H273" s="30" t="str">
        <f>IFERROR(VLOOKUP(G273,Basic_Data!$E$2:$I$9,5,0),"")</f>
        <v/>
      </c>
      <c r="I273" s="30">
        <v>0</v>
      </c>
      <c r="J273" s="30">
        <v>0</v>
      </c>
      <c r="K273" s="31">
        <v>0</v>
      </c>
      <c r="L273" s="31">
        <v>0</v>
      </c>
      <c r="M273" s="30">
        <f t="shared" ref="M273" si="98">IFERROR(I273-J273,"")</f>
        <v>0</v>
      </c>
      <c r="N273" s="30" t="s">
        <v>252</v>
      </c>
    </row>
    <row r="274" ht="15" spans="1:14">
      <c r="A274" s="28">
        <v>45983</v>
      </c>
      <c r="B274" s="29">
        <v>45983</v>
      </c>
      <c r="C274" s="30">
        <v>0</v>
      </c>
      <c r="D274" s="30">
        <v>0</v>
      </c>
      <c r="E274" s="30">
        <v>0</v>
      </c>
      <c r="F274" s="30">
        <v>0</v>
      </c>
      <c r="G274" s="30"/>
      <c r="H274" s="30" t="str">
        <f>IFERROR(VLOOKUP(G274,Basic_Data!$E$2:$I$9,5,0),"")</f>
        <v/>
      </c>
      <c r="I274" s="30">
        <v>0</v>
      </c>
      <c r="J274" s="30">
        <v>0</v>
      </c>
      <c r="K274" s="31">
        <v>0</v>
      </c>
      <c r="L274" s="31">
        <v>0</v>
      </c>
      <c r="M274" s="30">
        <f t="shared" ref="M274" si="99">IFERROR(I274-J274,"")</f>
        <v>0</v>
      </c>
      <c r="N274" s="30" t="s">
        <v>252</v>
      </c>
    </row>
    <row r="275" ht="15" spans="1:14">
      <c r="A275" s="28">
        <v>45984</v>
      </c>
      <c r="B275" s="29">
        <v>45984</v>
      </c>
      <c r="C275" s="30">
        <v>0</v>
      </c>
      <c r="D275" s="30">
        <v>0</v>
      </c>
      <c r="E275" s="30">
        <v>0</v>
      </c>
      <c r="F275" s="30">
        <v>0</v>
      </c>
      <c r="G275" s="30"/>
      <c r="H275" s="30" t="str">
        <f>IFERROR(VLOOKUP(G275,Basic_Data!$E$2:$I$9,5,0),"")</f>
        <v/>
      </c>
      <c r="I275" s="30">
        <v>0</v>
      </c>
      <c r="J275" s="30">
        <v>0</v>
      </c>
      <c r="K275" s="31">
        <v>0</v>
      </c>
      <c r="L275" s="31">
        <v>0</v>
      </c>
      <c r="M275" s="30">
        <f t="shared" ref="M275" si="100">IFERROR(I275-J275,"")</f>
        <v>0</v>
      </c>
      <c r="N275" s="30" t="s">
        <v>252</v>
      </c>
    </row>
    <row r="276" ht="15" spans="1:14">
      <c r="A276" s="28">
        <v>45985</v>
      </c>
      <c r="B276" s="29">
        <v>45985</v>
      </c>
      <c r="C276" s="30">
        <v>0</v>
      </c>
      <c r="D276" s="30">
        <v>0</v>
      </c>
      <c r="E276" s="30">
        <v>0</v>
      </c>
      <c r="F276" s="30">
        <v>0</v>
      </c>
      <c r="G276" s="30"/>
      <c r="H276" s="30" t="str">
        <f>IFERROR(VLOOKUP(G276,Basic_Data!$E$2:$I$9,5,0),"")</f>
        <v/>
      </c>
      <c r="I276" s="30">
        <v>0</v>
      </c>
      <c r="J276" s="30">
        <v>0</v>
      </c>
      <c r="K276" s="31">
        <v>0</v>
      </c>
      <c r="L276" s="31">
        <v>0</v>
      </c>
      <c r="M276" s="30">
        <f t="shared" ref="M276" si="101">IFERROR(I276-J276,"")</f>
        <v>0</v>
      </c>
      <c r="N276" s="30" t="s">
        <v>252</v>
      </c>
    </row>
    <row r="277" ht="15" spans="1:14">
      <c r="A277" s="28">
        <v>45986</v>
      </c>
      <c r="B277" s="29">
        <v>45986</v>
      </c>
      <c r="C277" s="30">
        <v>0</v>
      </c>
      <c r="D277" s="30">
        <v>0</v>
      </c>
      <c r="E277" s="30">
        <v>0</v>
      </c>
      <c r="F277" s="30">
        <v>0</v>
      </c>
      <c r="G277" s="30"/>
      <c r="H277" s="30" t="str">
        <f>IFERROR(VLOOKUP(G277,Basic_Data!$E$2:$I$9,5,0),"")</f>
        <v/>
      </c>
      <c r="I277" s="30">
        <v>0</v>
      </c>
      <c r="J277" s="30">
        <v>0</v>
      </c>
      <c r="K277" s="31">
        <v>0</v>
      </c>
      <c r="L277" s="31">
        <v>0</v>
      </c>
      <c r="M277" s="30">
        <f t="shared" ref="M277" si="102">IFERROR(I277-J277,"")</f>
        <v>0</v>
      </c>
      <c r="N277" s="30" t="s">
        <v>252</v>
      </c>
    </row>
    <row r="278" ht="15" spans="1:14">
      <c r="A278" s="28">
        <v>45987</v>
      </c>
      <c r="B278" s="29">
        <v>45987</v>
      </c>
      <c r="C278" s="30">
        <v>0</v>
      </c>
      <c r="D278" s="30">
        <v>0</v>
      </c>
      <c r="E278" s="30">
        <v>0</v>
      </c>
      <c r="F278" s="30">
        <v>0</v>
      </c>
      <c r="G278" s="30"/>
      <c r="H278" s="30" t="str">
        <f>IFERROR(VLOOKUP(G278,Basic_Data!$E$2:$I$9,5,0),"")</f>
        <v/>
      </c>
      <c r="I278" s="30">
        <v>0</v>
      </c>
      <c r="J278" s="30">
        <v>0</v>
      </c>
      <c r="K278" s="31">
        <v>0</v>
      </c>
      <c r="L278" s="31">
        <v>0</v>
      </c>
      <c r="M278" s="30">
        <f t="shared" ref="M278" si="103">IFERROR(I278-J278,"")</f>
        <v>0</v>
      </c>
      <c r="N278" s="30" t="s">
        <v>252</v>
      </c>
    </row>
    <row r="279" ht="15" spans="1:14">
      <c r="A279" s="28">
        <v>45988</v>
      </c>
      <c r="B279" s="29">
        <v>45988</v>
      </c>
      <c r="C279" s="30">
        <v>0</v>
      </c>
      <c r="D279" s="30">
        <v>0</v>
      </c>
      <c r="E279" s="30">
        <v>0</v>
      </c>
      <c r="F279" s="30">
        <v>0</v>
      </c>
      <c r="G279" s="30"/>
      <c r="H279" s="30" t="str">
        <f>IFERROR(VLOOKUP(G279,Basic_Data!$E$2:$I$9,5,0),"")</f>
        <v/>
      </c>
      <c r="I279" s="30">
        <v>0</v>
      </c>
      <c r="J279" s="30">
        <v>0</v>
      </c>
      <c r="K279" s="31">
        <v>0</v>
      </c>
      <c r="L279" s="31">
        <v>0</v>
      </c>
      <c r="M279" s="30">
        <f t="shared" ref="M279" si="104">IFERROR(I279-J279,"")</f>
        <v>0</v>
      </c>
      <c r="N279" s="30" t="s">
        <v>252</v>
      </c>
    </row>
    <row r="280" ht="15" spans="1:14">
      <c r="A280" s="28">
        <v>45989</v>
      </c>
      <c r="B280" s="29">
        <v>45989</v>
      </c>
      <c r="C280" s="30">
        <v>1</v>
      </c>
      <c r="D280" s="30">
        <v>3000</v>
      </c>
      <c r="E280" s="30">
        <v>0</v>
      </c>
      <c r="F280" s="30">
        <v>2</v>
      </c>
      <c r="G280" s="30" t="s">
        <v>41</v>
      </c>
      <c r="H280" s="30">
        <f>IFERROR(VLOOKUP(G280,Basic_Data!$E$2:$I$9,5,0),"")</f>
        <v>8</v>
      </c>
      <c r="I280" s="30">
        <f>IFERROR(VLOOKUP($G280,Basic_Data!$E$2:$H$10,4,0),"")</f>
        <v>644</v>
      </c>
      <c r="J280" s="30">
        <f>IFERROR(VLOOKUP($G280,Basic_Data!$E$2:$H$10,4,0),"")</f>
        <v>644</v>
      </c>
      <c r="K280" s="31">
        <v>0</v>
      </c>
      <c r="L280" s="31">
        <v>0</v>
      </c>
      <c r="M280" s="30">
        <f t="shared" ref="M280" si="105">IFERROR(I280-J280,"")</f>
        <v>0</v>
      </c>
      <c r="N280" s="30" t="s">
        <v>251</v>
      </c>
    </row>
    <row r="281" ht="15" spans="1:14">
      <c r="A281" s="28">
        <v>45990</v>
      </c>
      <c r="B281" s="29">
        <v>45990</v>
      </c>
      <c r="C281" s="30">
        <v>2</v>
      </c>
      <c r="D281" s="30">
        <v>6000</v>
      </c>
      <c r="E281" s="30">
        <v>0</v>
      </c>
      <c r="F281" s="30">
        <v>2</v>
      </c>
      <c r="G281" s="30" t="s">
        <v>35</v>
      </c>
      <c r="H281" s="30">
        <f>IFERROR(VLOOKUP(G281,Basic_Data!$E$2:$I$9,5,0),"")</f>
        <v>2</v>
      </c>
      <c r="I281" s="30">
        <f>IFERROR(VLOOKUP($G281,Basic_Data!$E$2:$H$10,4,0),"")</f>
        <v>616</v>
      </c>
      <c r="J281" s="30">
        <f>IFERROR(VLOOKUP($G281,Basic_Data!$E$2:$H$10,4,0),"")</f>
        <v>616</v>
      </c>
      <c r="K281" s="31">
        <f>IFERROR(VLOOKUP($B281-1,Inverter_PR!$B:$I,Module_Cleaning!H281,0),"")</f>
        <v>1.21051609575783</v>
      </c>
      <c r="L281" s="31">
        <f>IFERROR(VLOOKUP($B281+1,Inverter_PR!$B:$I,Module_Cleaning!H281,0),"")</f>
        <v>1.41367212750065</v>
      </c>
      <c r="M281" s="30">
        <f t="shared" si="89"/>
        <v>0</v>
      </c>
      <c r="N281" s="30" t="s">
        <v>251</v>
      </c>
    </row>
    <row r="282" ht="15" spans="1:14">
      <c r="A282" s="28"/>
      <c r="B282" s="29"/>
      <c r="C282" s="30"/>
      <c r="D282" s="30"/>
      <c r="E282" s="30">
        <v>0</v>
      </c>
      <c r="F282" s="30">
        <v>2</v>
      </c>
      <c r="G282" s="30" t="s">
        <v>36</v>
      </c>
      <c r="H282" s="30"/>
      <c r="I282" s="30">
        <f>IFERROR(VLOOKUP($G282,Basic_Data!$E$2:$H$10,4,0),"")</f>
        <v>616</v>
      </c>
      <c r="J282" s="30">
        <f>IFERROR(VLOOKUP($G282,Basic_Data!$E$2:$H$10,4,0),"")</f>
        <v>616</v>
      </c>
      <c r="K282" s="31"/>
      <c r="L282" s="31"/>
      <c r="M282" s="30">
        <f t="shared" si="89"/>
        <v>0</v>
      </c>
      <c r="N282" s="30" t="s">
        <v>251</v>
      </c>
    </row>
    <row r="283" ht="15" spans="1:14">
      <c r="A283" s="28"/>
      <c r="B283" s="29"/>
      <c r="C283" s="30"/>
      <c r="D283" s="30"/>
      <c r="E283" s="30">
        <v>0</v>
      </c>
      <c r="F283" s="30">
        <v>2</v>
      </c>
      <c r="G283" s="30" t="s">
        <v>37</v>
      </c>
      <c r="H283" s="30"/>
      <c r="I283" s="30">
        <f>IFERROR(VLOOKUP($G283,Basic_Data!$E$2:$H$10,4,0),"")</f>
        <v>616</v>
      </c>
      <c r="J283" s="30">
        <f>IFERROR(VLOOKUP($G283,Basic_Data!$E$2:$H$10,4,0),"")</f>
        <v>616</v>
      </c>
      <c r="K283" s="31"/>
      <c r="L283" s="31"/>
      <c r="M283" s="30">
        <f t="shared" si="89"/>
        <v>0</v>
      </c>
      <c r="N283" s="30" t="s">
        <v>251</v>
      </c>
    </row>
    <row r="284" ht="15" spans="1:14">
      <c r="A284" s="28"/>
      <c r="B284" s="29"/>
      <c r="C284" s="30"/>
      <c r="D284" s="30"/>
      <c r="E284" s="30">
        <v>0</v>
      </c>
      <c r="F284" s="30">
        <v>2</v>
      </c>
      <c r="G284" s="30" t="s">
        <v>38</v>
      </c>
      <c r="H284" s="30"/>
      <c r="I284" s="30">
        <f>IFERROR(VLOOKUP($G284,Basic_Data!$E$2:$H$10,4,0),"")</f>
        <v>644</v>
      </c>
      <c r="J284" s="30">
        <f>IFERROR(VLOOKUP($G284,Basic_Data!$E$2:$H$10,4,0),"")</f>
        <v>644</v>
      </c>
      <c r="K284" s="31"/>
      <c r="L284" s="31"/>
      <c r="M284" s="30">
        <f t="shared" si="89"/>
        <v>0</v>
      </c>
      <c r="N284" s="30" t="s">
        <v>251</v>
      </c>
    </row>
    <row r="285" ht="15" spans="1:14">
      <c r="A285" s="28"/>
      <c r="B285" s="29"/>
      <c r="C285" s="30"/>
      <c r="D285" s="30"/>
      <c r="E285" s="30">
        <v>0</v>
      </c>
      <c r="F285" s="30">
        <v>2</v>
      </c>
      <c r="G285" s="30" t="s">
        <v>39</v>
      </c>
      <c r="H285" s="30"/>
      <c r="I285" s="30">
        <f>IFERROR(VLOOKUP($G285,Basic_Data!$E$2:$H$10,4,0),"")</f>
        <v>644</v>
      </c>
      <c r="J285" s="30">
        <f>IFERROR(VLOOKUP($G285,Basic_Data!$E$2:$H$10,4,0),"")</f>
        <v>644</v>
      </c>
      <c r="K285" s="31"/>
      <c r="L285" s="31"/>
      <c r="M285" s="30">
        <f t="shared" si="89"/>
        <v>0</v>
      </c>
      <c r="N285" s="30" t="s">
        <v>251</v>
      </c>
    </row>
    <row r="286" ht="15" spans="1:14">
      <c r="A286" s="28">
        <v>45991</v>
      </c>
      <c r="B286" s="29">
        <v>45991</v>
      </c>
      <c r="C286" s="30">
        <v>1</v>
      </c>
      <c r="D286" s="30">
        <v>3000</v>
      </c>
      <c r="E286" s="30">
        <v>0</v>
      </c>
      <c r="F286" s="30">
        <v>2</v>
      </c>
      <c r="G286" s="30" t="s">
        <v>40</v>
      </c>
      <c r="H286" s="30">
        <f>IFERROR(VLOOKUP(G286,Basic_Data!$E$2:$I$9,5,0),"")</f>
        <v>7</v>
      </c>
      <c r="I286" s="30">
        <f>IFERROR(VLOOKUP($G286,Basic_Data!$E$2:$H$10,4,0),"")</f>
        <v>644</v>
      </c>
      <c r="J286" s="30">
        <f>IFERROR(VLOOKUP($G286,Basic_Data!$E$2:$H$10,4,0),"")</f>
        <v>644</v>
      </c>
      <c r="K286" s="31">
        <f>IFERROR(VLOOKUP($B286-1,Inverter_PR!$B:$I,Module_Cleaning!H286,0),"")</f>
        <v>1.42539979971915</v>
      </c>
      <c r="L286" s="31">
        <f>IFERROR(VLOOKUP($B286+1,Inverter_PR!$B:$I,Module_Cleaning!H286,0),"")</f>
        <v>1.84463939617559</v>
      </c>
      <c r="M286" s="30">
        <f>IFERROR(I286-J287,"")</f>
        <v>0</v>
      </c>
      <c r="N286" s="30" t="s">
        <v>251</v>
      </c>
    </row>
    <row r="287" ht="15" spans="1:14">
      <c r="A287" s="28"/>
      <c r="B287" s="29"/>
      <c r="C287" s="30"/>
      <c r="D287" s="30"/>
      <c r="E287" s="30">
        <v>0</v>
      </c>
      <c r="F287" s="30"/>
      <c r="G287" s="30" t="s">
        <v>41</v>
      </c>
      <c r="H287" s="30"/>
      <c r="I287" s="30">
        <f>IFERROR(VLOOKUP($G287,Basic_Data!$E$2:$H$10,4,0),"")</f>
        <v>644</v>
      </c>
      <c r="J287" s="30">
        <f>IFERROR(VLOOKUP($G286,Basic_Data!$E$2:$H$10,4,0),"")</f>
        <v>644</v>
      </c>
      <c r="K287" s="31"/>
      <c r="L287" s="31"/>
      <c r="M287" s="30"/>
      <c r="N287" s="30" t="s">
        <v>251</v>
      </c>
    </row>
    <row r="288" ht="15" spans="1:14">
      <c r="A288" s="28">
        <v>45992</v>
      </c>
      <c r="B288" s="29">
        <v>45992</v>
      </c>
      <c r="C288" s="30">
        <v>2</v>
      </c>
      <c r="D288" s="30">
        <v>3000</v>
      </c>
      <c r="E288" s="30"/>
      <c r="F288" s="30">
        <v>3</v>
      </c>
      <c r="G288" s="30" t="s">
        <v>35</v>
      </c>
      <c r="H288" s="30">
        <f>IFERROR(VLOOKUP(G288,Basic_Data!$E$2:$I$9,5,0),"")</f>
        <v>2</v>
      </c>
      <c r="I288" s="30">
        <f>IFERROR(VLOOKUP($G288,Basic_Data!$E$2:$H$10,4,0),"")</f>
        <v>616</v>
      </c>
      <c r="J288" s="30">
        <v>420</v>
      </c>
      <c r="K288" s="31">
        <f>IFERROR(VLOOKUP($B288-1,Inverter_PR!$B:$I,Module_Cleaning!H288,0),"")</f>
        <v>1.41367212750065</v>
      </c>
      <c r="L288" s="31">
        <f>IFERROR(VLOOKUP($B288+1,Inverter_PR!$B:$I,Module_Cleaning!H288,0),"")</f>
        <v>1.19819237119368</v>
      </c>
      <c r="M288" s="30">
        <f t="shared" si="89"/>
        <v>196</v>
      </c>
      <c r="N288" s="30" t="s">
        <v>255</v>
      </c>
    </row>
    <row r="289" ht="15" spans="1:14">
      <c r="A289" s="28"/>
      <c r="B289" s="29"/>
      <c r="C289" s="30"/>
      <c r="D289" s="30"/>
      <c r="E289" s="30"/>
      <c r="F289" s="30">
        <v>3</v>
      </c>
      <c r="G289" s="30" t="s">
        <v>36</v>
      </c>
      <c r="H289" s="30"/>
      <c r="I289" s="30">
        <f>IFERROR(VLOOKUP($G289,Basic_Data!$E$2:$H$10,4,0),"")</f>
        <v>616</v>
      </c>
      <c r="J289" s="30">
        <v>336</v>
      </c>
      <c r="K289" s="31"/>
      <c r="L289" s="31"/>
      <c r="M289" s="30"/>
      <c r="N289" s="30" t="s">
        <v>255</v>
      </c>
    </row>
    <row r="290" ht="15" spans="1:14">
      <c r="A290" s="28"/>
      <c r="B290" s="29"/>
      <c r="C290" s="30"/>
      <c r="D290" s="30"/>
      <c r="E290" s="30"/>
      <c r="F290" s="30">
        <v>3</v>
      </c>
      <c r="G290" s="30" t="s">
        <v>37</v>
      </c>
      <c r="H290" s="30"/>
      <c r="I290" s="30">
        <f>IFERROR(VLOOKUP($G290,Basic_Data!$E$2:$H$10,4,0),"")</f>
        <v>616</v>
      </c>
      <c r="J290" s="30">
        <v>336</v>
      </c>
      <c r="K290" s="31"/>
      <c r="L290" s="31"/>
      <c r="M290" s="30"/>
      <c r="N290" s="30" t="s">
        <v>255</v>
      </c>
    </row>
    <row r="291" ht="15" spans="1:14">
      <c r="A291" s="28"/>
      <c r="B291" s="29"/>
      <c r="C291" s="30"/>
      <c r="D291" s="30"/>
      <c r="E291" s="30"/>
      <c r="F291" s="30">
        <v>3</v>
      </c>
      <c r="G291" s="30" t="s">
        <v>38</v>
      </c>
      <c r="H291" s="30"/>
      <c r="I291" s="30">
        <f>IFERROR(VLOOKUP($G291,Basic_Data!$E$2:$H$10,4,0),"")</f>
        <v>644</v>
      </c>
      <c r="J291" s="30">
        <v>176</v>
      </c>
      <c r="K291" s="31"/>
      <c r="L291" s="31"/>
      <c r="M291" s="30"/>
      <c r="N291" s="30" t="s">
        <v>255</v>
      </c>
    </row>
    <row r="292" ht="15" spans="1:14">
      <c r="A292" s="28"/>
      <c r="B292" s="29"/>
      <c r="C292" s="30"/>
      <c r="D292" s="30"/>
      <c r="E292" s="30"/>
      <c r="F292" s="30">
        <v>3</v>
      </c>
      <c r="G292" s="30" t="s">
        <v>39</v>
      </c>
      <c r="H292" s="30"/>
      <c r="I292" s="30">
        <f>IFERROR(VLOOKUP($G292,Basic_Data!$E$2:$H$10,4,0),"")</f>
        <v>644</v>
      </c>
      <c r="J292" s="30">
        <v>110</v>
      </c>
      <c r="K292" s="31"/>
      <c r="L292" s="31"/>
      <c r="M292" s="30"/>
      <c r="N292" s="30" t="s">
        <v>255</v>
      </c>
    </row>
    <row r="293" ht="15" spans="1:14">
      <c r="A293" s="28">
        <v>45993</v>
      </c>
      <c r="B293" s="29">
        <v>45993</v>
      </c>
      <c r="C293" s="30"/>
      <c r="D293" s="30"/>
      <c r="E293" s="30"/>
      <c r="F293" s="30">
        <v>3</v>
      </c>
      <c r="G293" s="30" t="s">
        <v>35</v>
      </c>
      <c r="H293" s="30">
        <f>IFERROR(VLOOKUP(G293,Basic_Data!$E$2:$I$9,5,0),"")</f>
        <v>2</v>
      </c>
      <c r="I293" s="30">
        <f>IFERROR(VLOOKUP($G293,Basic_Data!$E$2:$H$10,4,0),"")</f>
        <v>616</v>
      </c>
      <c r="J293" s="30">
        <v>616</v>
      </c>
      <c r="K293" s="31">
        <f>IFERROR(VLOOKUP($B293-1,Inverter_PR!$B:$I,Module_Cleaning!H293,0),"")</f>
        <v>1.80013180317722</v>
      </c>
      <c r="L293" s="31">
        <f>IFERROR(VLOOKUP($B293+1,Inverter_PR!$B:$I,Module_Cleaning!H293,0),"")</f>
        <v>1.19231792593013</v>
      </c>
      <c r="M293" s="30">
        <f t="shared" si="89"/>
        <v>0</v>
      </c>
      <c r="N293" s="30" t="s">
        <v>255</v>
      </c>
    </row>
    <row r="294" ht="15" spans="1:14">
      <c r="A294" s="28"/>
      <c r="B294" s="29"/>
      <c r="C294" s="30"/>
      <c r="D294" s="30"/>
      <c r="E294" s="30"/>
      <c r="F294" s="30">
        <v>3</v>
      </c>
      <c r="G294" s="30" t="s">
        <v>36</v>
      </c>
      <c r="H294" s="30"/>
      <c r="I294" s="30">
        <f>IFERROR(VLOOKUP($G294,Basic_Data!$E$2:$H$10,4,0),"")</f>
        <v>616</v>
      </c>
      <c r="J294" s="30">
        <v>616</v>
      </c>
      <c r="K294" s="31"/>
      <c r="L294" s="31"/>
      <c r="M294" s="30"/>
      <c r="N294" s="30" t="s">
        <v>255</v>
      </c>
    </row>
    <row r="295" ht="15" spans="1:14">
      <c r="A295" s="28"/>
      <c r="B295" s="29"/>
      <c r="C295" s="30"/>
      <c r="D295" s="30"/>
      <c r="E295" s="30"/>
      <c r="F295" s="30">
        <v>3</v>
      </c>
      <c r="G295" s="30" t="s">
        <v>37</v>
      </c>
      <c r="H295" s="30"/>
      <c r="I295" s="30">
        <f>IFERROR(VLOOKUP($G295,Basic_Data!$E$2:$H$10,4,0),"")</f>
        <v>616</v>
      </c>
      <c r="J295" s="30">
        <v>616</v>
      </c>
      <c r="K295" s="31"/>
      <c r="L295" s="31"/>
      <c r="M295" s="30"/>
      <c r="N295" s="30" t="s">
        <v>255</v>
      </c>
    </row>
    <row r="296" ht="15" spans="1:14">
      <c r="A296" s="28"/>
      <c r="B296" s="29"/>
      <c r="C296" s="30"/>
      <c r="D296" s="30"/>
      <c r="E296" s="30"/>
      <c r="F296" s="30">
        <v>3</v>
      </c>
      <c r="G296" s="30" t="s">
        <v>38</v>
      </c>
      <c r="H296" s="30"/>
      <c r="I296" s="30">
        <f>IFERROR(VLOOKUP($G296,Basic_Data!$E$2:$H$10,4,0),"")</f>
        <v>644</v>
      </c>
      <c r="J296" s="30">
        <v>644</v>
      </c>
      <c r="K296" s="31"/>
      <c r="L296" s="31"/>
      <c r="M296" s="30"/>
      <c r="N296" s="30" t="s">
        <v>255</v>
      </c>
    </row>
    <row r="297" ht="15" spans="1:14">
      <c r="A297" s="28"/>
      <c r="B297" s="29"/>
      <c r="C297" s="30"/>
      <c r="D297" s="30"/>
      <c r="E297" s="30"/>
      <c r="F297" s="30">
        <v>3</v>
      </c>
      <c r="G297" s="30" t="s">
        <v>39</v>
      </c>
      <c r="H297" s="30"/>
      <c r="I297" s="30">
        <f>IFERROR(VLOOKUP($G297,Basic_Data!$E$2:$H$10,4,0),"")</f>
        <v>644</v>
      </c>
      <c r="J297" s="30">
        <v>644</v>
      </c>
      <c r="K297" s="31"/>
      <c r="L297" s="31"/>
      <c r="M297" s="30"/>
      <c r="N297" s="30" t="s">
        <v>255</v>
      </c>
    </row>
    <row r="298" ht="15" spans="1:14">
      <c r="A298" s="28">
        <v>45994</v>
      </c>
      <c r="B298" s="29">
        <v>45994</v>
      </c>
      <c r="C298" s="30"/>
      <c r="D298" s="30"/>
      <c r="E298" s="30"/>
      <c r="F298" s="30">
        <v>3</v>
      </c>
      <c r="G298" s="30" t="s">
        <v>40</v>
      </c>
      <c r="H298" s="30">
        <f>IFERROR(VLOOKUP(G298,Basic_Data!$E$2:$I$9,5,0),"")</f>
        <v>7</v>
      </c>
      <c r="I298" s="30">
        <f>IFERROR(VLOOKUP($G298,Basic_Data!$E$2:$H$10,4,0),"")</f>
        <v>644</v>
      </c>
      <c r="J298" s="30">
        <v>644</v>
      </c>
      <c r="K298" s="31">
        <f>IFERROR(VLOOKUP($B298-1,Inverter_PR!$B:$I,Module_Cleaning!H298,0),"")</f>
        <v>1.20391882321337</v>
      </c>
      <c r="L298" s="31">
        <f>IFERROR(VLOOKUP($B298+1,Inverter_PR!$B:$I,Module_Cleaning!H298,0),"")</f>
        <v>1.16639360936676</v>
      </c>
      <c r="M298" s="30">
        <f t="shared" si="89"/>
        <v>0</v>
      </c>
      <c r="N298" s="30" t="s">
        <v>255</v>
      </c>
    </row>
    <row r="299" ht="15" spans="1:14">
      <c r="A299" s="28"/>
      <c r="B299" s="29"/>
      <c r="C299" s="30"/>
      <c r="D299" s="30"/>
      <c r="E299" s="30"/>
      <c r="F299" s="30">
        <v>3</v>
      </c>
      <c r="G299" s="30" t="s">
        <v>41</v>
      </c>
      <c r="H299" s="30"/>
      <c r="I299" s="30">
        <f>IFERROR(VLOOKUP($G299,Basic_Data!$E$2:$H$10,4,0),"")</f>
        <v>644</v>
      </c>
      <c r="J299" s="30">
        <v>644</v>
      </c>
      <c r="K299" s="31"/>
      <c r="L299" s="31"/>
      <c r="M299" s="30"/>
      <c r="N299" s="30" t="s">
        <v>255</v>
      </c>
    </row>
    <row r="300" ht="15" spans="1:14">
      <c r="A300" s="28">
        <v>45995</v>
      </c>
      <c r="B300" s="29">
        <v>45995</v>
      </c>
      <c r="C300" s="30">
        <v>0</v>
      </c>
      <c r="D300" s="30">
        <v>0</v>
      </c>
      <c r="E300" s="30">
        <v>0</v>
      </c>
      <c r="F300" s="30">
        <v>0</v>
      </c>
      <c r="G300" s="30"/>
      <c r="H300" s="30">
        <v>0</v>
      </c>
      <c r="I300" s="30">
        <v>0</v>
      </c>
      <c r="J300" s="30">
        <v>0</v>
      </c>
      <c r="K300" s="31">
        <v>0</v>
      </c>
      <c r="L300" s="31">
        <v>0</v>
      </c>
      <c r="M300" s="30">
        <f t="shared" ref="M300" si="106">IFERROR(I300-J300,"")</f>
        <v>0</v>
      </c>
      <c r="N300" s="30" t="s">
        <v>252</v>
      </c>
    </row>
    <row r="301" ht="15" spans="1:14">
      <c r="A301" s="28">
        <v>45996</v>
      </c>
      <c r="B301" s="29">
        <v>45996</v>
      </c>
      <c r="C301" s="30">
        <v>0</v>
      </c>
      <c r="D301" s="30">
        <v>0</v>
      </c>
      <c r="E301" s="30">
        <v>0</v>
      </c>
      <c r="F301" s="30">
        <v>0</v>
      </c>
      <c r="G301" s="30"/>
      <c r="H301" s="30">
        <v>0</v>
      </c>
      <c r="I301" s="30">
        <v>0</v>
      </c>
      <c r="J301" s="30">
        <v>0</v>
      </c>
      <c r="K301" s="31">
        <v>0</v>
      </c>
      <c r="L301" s="31">
        <v>0</v>
      </c>
      <c r="M301" s="30">
        <f t="shared" si="89"/>
        <v>0</v>
      </c>
      <c r="N301" s="30" t="s">
        <v>252</v>
      </c>
    </row>
    <row r="302" ht="15" spans="1:14">
      <c r="A302" s="28">
        <v>45997</v>
      </c>
      <c r="B302" s="29">
        <v>45997</v>
      </c>
      <c r="C302" s="30">
        <v>0</v>
      </c>
      <c r="D302" s="30">
        <v>0</v>
      </c>
      <c r="E302" s="30">
        <v>0</v>
      </c>
      <c r="F302" s="30">
        <v>0</v>
      </c>
      <c r="G302" s="30"/>
      <c r="H302" s="30">
        <v>0</v>
      </c>
      <c r="I302" s="30">
        <v>0</v>
      </c>
      <c r="J302" s="30">
        <v>0</v>
      </c>
      <c r="K302" s="31">
        <v>0</v>
      </c>
      <c r="L302" s="31">
        <v>0</v>
      </c>
      <c r="M302" s="30">
        <f t="shared" ref="M302" si="107">IFERROR(I302-J302,"")</f>
        <v>0</v>
      </c>
      <c r="N302" s="30" t="s">
        <v>252</v>
      </c>
    </row>
    <row r="303" ht="15" spans="1:14">
      <c r="A303" s="28">
        <v>45998</v>
      </c>
      <c r="B303" s="29">
        <v>45998</v>
      </c>
      <c r="C303" s="30">
        <v>0</v>
      </c>
      <c r="D303" s="30">
        <v>0</v>
      </c>
      <c r="E303" s="30">
        <v>0</v>
      </c>
      <c r="F303" s="30">
        <v>0</v>
      </c>
      <c r="G303" s="30"/>
      <c r="H303" s="30">
        <v>0</v>
      </c>
      <c r="I303" s="30">
        <v>0</v>
      </c>
      <c r="J303" s="30">
        <v>0</v>
      </c>
      <c r="K303" s="31">
        <v>0</v>
      </c>
      <c r="L303" s="31">
        <v>0</v>
      </c>
      <c r="M303" s="30">
        <f t="shared" ref="M303" si="108">IFERROR(I303-J303,"")</f>
        <v>0</v>
      </c>
      <c r="N303" s="30" t="s">
        <v>252</v>
      </c>
    </row>
    <row r="304" ht="15" spans="1:14">
      <c r="A304" s="28">
        <v>45999</v>
      </c>
      <c r="B304" s="29">
        <v>45999</v>
      </c>
      <c r="C304" s="30">
        <v>0</v>
      </c>
      <c r="D304" s="30">
        <v>0</v>
      </c>
      <c r="E304" s="30">
        <v>0</v>
      </c>
      <c r="F304" s="30">
        <v>0</v>
      </c>
      <c r="G304" s="30"/>
      <c r="H304" s="30">
        <v>0</v>
      </c>
      <c r="I304" s="30">
        <v>0</v>
      </c>
      <c r="J304" s="30">
        <v>0</v>
      </c>
      <c r="K304" s="31">
        <v>0</v>
      </c>
      <c r="L304" s="31">
        <v>0</v>
      </c>
      <c r="M304" s="30">
        <f t="shared" ref="M304" si="109">IFERROR(I304-J304,"")</f>
        <v>0</v>
      </c>
      <c r="N304" s="30" t="s">
        <v>252</v>
      </c>
    </row>
    <row r="305" ht="15" spans="1:14">
      <c r="A305" s="28">
        <v>46000</v>
      </c>
      <c r="B305" s="29">
        <v>46000</v>
      </c>
      <c r="C305" s="30">
        <v>0</v>
      </c>
      <c r="D305" s="30">
        <v>0</v>
      </c>
      <c r="E305" s="30">
        <v>0</v>
      </c>
      <c r="F305" s="30">
        <v>0</v>
      </c>
      <c r="G305" s="30"/>
      <c r="H305" s="30">
        <v>0</v>
      </c>
      <c r="I305" s="30">
        <v>0</v>
      </c>
      <c r="J305" s="30">
        <v>0</v>
      </c>
      <c r="K305" s="31">
        <v>0</v>
      </c>
      <c r="L305" s="31">
        <v>0</v>
      </c>
      <c r="M305" s="30">
        <f t="shared" ref="M305" si="110">IFERROR(I305-J305,"")</f>
        <v>0</v>
      </c>
      <c r="N305" s="30" t="s">
        <v>252</v>
      </c>
    </row>
    <row r="306" ht="15" spans="1:14">
      <c r="A306" s="28">
        <v>46001</v>
      </c>
      <c r="B306" s="29">
        <v>46001</v>
      </c>
      <c r="C306" s="30">
        <v>0</v>
      </c>
      <c r="D306" s="30">
        <v>0</v>
      </c>
      <c r="E306" s="30">
        <v>0</v>
      </c>
      <c r="F306" s="30">
        <v>0</v>
      </c>
      <c r="G306" s="30"/>
      <c r="H306" s="30">
        <v>0</v>
      </c>
      <c r="I306" s="30">
        <v>0</v>
      </c>
      <c r="J306" s="30">
        <v>0</v>
      </c>
      <c r="K306" s="31">
        <v>0</v>
      </c>
      <c r="L306" s="31">
        <v>0</v>
      </c>
      <c r="M306" s="30">
        <f t="shared" ref="M306" si="111">IFERROR(I306-J306,"")</f>
        <v>0</v>
      </c>
      <c r="N306" s="30" t="s">
        <v>252</v>
      </c>
    </row>
    <row r="307" ht="15" spans="1:14">
      <c r="A307" s="28">
        <v>46002</v>
      </c>
      <c r="B307" s="29">
        <v>46002</v>
      </c>
      <c r="C307" s="30"/>
      <c r="D307" s="30"/>
      <c r="E307" s="30"/>
      <c r="F307" s="30">
        <v>1</v>
      </c>
      <c r="G307" s="30" t="s">
        <v>35</v>
      </c>
      <c r="H307" s="30">
        <f>IFERROR(VLOOKUP(G307,Basic_Data!$E$2:$I$9,5,0),"")</f>
        <v>2</v>
      </c>
      <c r="I307" s="30">
        <f>IFERROR(VLOOKUP($G307,Basic_Data!$E$2:$H$10,4,0),"")</f>
        <v>616</v>
      </c>
      <c r="J307" s="30">
        <v>616</v>
      </c>
      <c r="K307" s="31">
        <f>IFERROR(VLOOKUP($B307-1,Inverter_PR!$B:$I,Module_Cleaning!H307,0),"")</f>
        <v>1.13761816743468</v>
      </c>
      <c r="L307" s="31">
        <f>IFERROR(VLOOKUP($B307+1,Inverter_PR!$B:$I,Module_Cleaning!H307,0),"")</f>
        <v>1.22997387486087</v>
      </c>
      <c r="M307" s="30">
        <f t="shared" si="89"/>
        <v>0</v>
      </c>
      <c r="N307" s="30" t="s">
        <v>256</v>
      </c>
    </row>
    <row r="308" ht="15" spans="1:14">
      <c r="A308" s="28"/>
      <c r="B308" s="29"/>
      <c r="C308" s="30"/>
      <c r="D308" s="30"/>
      <c r="E308" s="30"/>
      <c r="F308" s="30">
        <v>1</v>
      </c>
      <c r="G308" s="30" t="s">
        <v>36</v>
      </c>
      <c r="H308" s="30"/>
      <c r="I308" s="30"/>
      <c r="J308" s="30"/>
      <c r="K308" s="31"/>
      <c r="L308" s="31"/>
      <c r="M308" s="30"/>
      <c r="N308" s="30" t="s">
        <v>256</v>
      </c>
    </row>
    <row r="309" ht="15" spans="1:14">
      <c r="A309" s="28">
        <v>46003</v>
      </c>
      <c r="B309" s="29">
        <v>46003</v>
      </c>
      <c r="C309" s="30"/>
      <c r="D309" s="30"/>
      <c r="E309" s="30"/>
      <c r="F309" s="30">
        <v>1</v>
      </c>
      <c r="G309" s="30" t="s">
        <v>37</v>
      </c>
      <c r="H309" s="30">
        <f>IFERROR(VLOOKUP(G309,Basic_Data!$E$2:$I$9,5,0),"")</f>
        <v>4</v>
      </c>
      <c r="I309" s="30">
        <f>IFERROR(VLOOKUP($G309,Basic_Data!$E$2:$H$10,4,0),"")</f>
        <v>616</v>
      </c>
      <c r="J309" s="30"/>
      <c r="K309" s="31">
        <f>IFERROR(VLOOKUP($B309-1,Inverter_PR!$B:$I,Module_Cleaning!H309,0),"")</f>
        <v>1.17987845912158</v>
      </c>
      <c r="L309" s="31">
        <f>IFERROR(VLOOKUP($B309+1,Inverter_PR!$B:$I,Module_Cleaning!H309,0),"")</f>
        <v>1.15273940908675</v>
      </c>
      <c r="M309" s="30">
        <f t="shared" si="89"/>
        <v>616</v>
      </c>
      <c r="N309" s="30" t="s">
        <v>256</v>
      </c>
    </row>
    <row r="310" ht="15" spans="1:14">
      <c r="A310" s="28"/>
      <c r="B310" s="29"/>
      <c r="C310" s="30"/>
      <c r="D310" s="30"/>
      <c r="E310" s="30"/>
      <c r="F310" s="30"/>
      <c r="G310" s="30" t="s">
        <v>38</v>
      </c>
      <c r="H310" s="30"/>
      <c r="I310" s="30"/>
      <c r="J310" s="30"/>
      <c r="K310" s="31"/>
      <c r="L310" s="31"/>
      <c r="M310" s="30"/>
      <c r="N310" s="30" t="s">
        <v>256</v>
      </c>
    </row>
    <row r="311" ht="15" spans="1:14">
      <c r="A311" s="28">
        <v>46004</v>
      </c>
      <c r="B311" s="29">
        <v>46004</v>
      </c>
      <c r="C311" s="30"/>
      <c r="D311" s="30"/>
      <c r="E311" s="30"/>
      <c r="F311" s="30">
        <v>1</v>
      </c>
      <c r="G311" s="30" t="s">
        <v>39</v>
      </c>
      <c r="H311" s="30">
        <f>IFERROR(VLOOKUP(G311,Basic_Data!$E$2:$I$9,5,0),"")</f>
        <v>6</v>
      </c>
      <c r="I311" s="30">
        <f>IFERROR(VLOOKUP($G311,Basic_Data!$E$2:$H$10,4,0),"")</f>
        <v>644</v>
      </c>
      <c r="J311" s="30"/>
      <c r="K311" s="31">
        <f>IFERROR(VLOOKUP($B311-1,Inverter_PR!$B:$I,Module_Cleaning!H311,0),"")</f>
        <v>1.23720481606206</v>
      </c>
      <c r="L311" s="31">
        <f>IFERROR(VLOOKUP($B311+1,Inverter_PR!$B:$I,Module_Cleaning!H311,0),"")</f>
        <v>1.15718844378597</v>
      </c>
      <c r="M311" s="30">
        <f>IFERROR(I311-J311,"")</f>
        <v>644</v>
      </c>
      <c r="N311" s="30" t="s">
        <v>256</v>
      </c>
    </row>
    <row r="312" ht="15" spans="1:14">
      <c r="A312" s="28">
        <v>46005</v>
      </c>
      <c r="B312" s="29">
        <v>46005</v>
      </c>
      <c r="C312" s="30"/>
      <c r="D312" s="30"/>
      <c r="E312" s="30"/>
      <c r="F312" s="30">
        <v>1</v>
      </c>
      <c r="G312" s="30" t="s">
        <v>40</v>
      </c>
      <c r="H312" s="30">
        <f>IFERROR(VLOOKUP(G312,Basic_Data!$E$2:$I$9,5,0),"")</f>
        <v>7</v>
      </c>
      <c r="I312" s="30">
        <f>IFERROR(VLOOKUP($G312,Basic_Data!$E$2:$H$10,4,0),"")</f>
        <v>644</v>
      </c>
      <c r="J312" s="30"/>
      <c r="K312" s="31">
        <f>IFERROR(VLOOKUP($B312-1,Inverter_PR!$B:$I,Module_Cleaning!H312,0),"")</f>
        <v>1.13875169459069</v>
      </c>
      <c r="L312" s="31">
        <f>IFERROR(VLOOKUP($B312+1,Inverter_PR!$B:$I,Module_Cleaning!H312,0),"")</f>
        <v>1.15819233978529</v>
      </c>
      <c r="M312" s="30">
        <f>IFERROR(I312-J312,"")</f>
        <v>644</v>
      </c>
      <c r="N312" s="30" t="s">
        <v>256</v>
      </c>
    </row>
    <row r="313" ht="15" spans="1:14">
      <c r="A313" s="28"/>
      <c r="B313" s="29"/>
      <c r="C313" s="30"/>
      <c r="D313" s="30"/>
      <c r="E313" s="30"/>
      <c r="F313" s="30">
        <v>1</v>
      </c>
      <c r="G313" s="30" t="s">
        <v>41</v>
      </c>
      <c r="H313" s="30"/>
      <c r="I313" s="30"/>
      <c r="J313" s="30"/>
      <c r="K313" s="31"/>
      <c r="L313" s="31"/>
      <c r="M313" s="30"/>
      <c r="N313" s="30" t="s">
        <v>256</v>
      </c>
    </row>
    <row r="314" ht="15" spans="1:14">
      <c r="A314" s="28">
        <v>46006</v>
      </c>
      <c r="B314" s="29">
        <v>46006</v>
      </c>
      <c r="C314" s="30">
        <v>0</v>
      </c>
      <c r="D314" s="30">
        <v>0</v>
      </c>
      <c r="E314" s="30">
        <v>0</v>
      </c>
      <c r="F314" s="30">
        <v>0</v>
      </c>
      <c r="G314" s="30"/>
      <c r="H314" s="30" t="str">
        <f>IFERROR(VLOOKUP(G314,Basic_Data!$E$2:$I$9,5,0),"")</f>
        <v/>
      </c>
      <c r="I314" s="30">
        <v>0</v>
      </c>
      <c r="J314" s="30">
        <v>0</v>
      </c>
      <c r="K314" s="31">
        <v>0</v>
      </c>
      <c r="L314" s="31">
        <v>0</v>
      </c>
      <c r="M314" s="30">
        <f>IFERROR(I314-J314,"")</f>
        <v>0</v>
      </c>
      <c r="N314" s="30" t="s">
        <v>252</v>
      </c>
    </row>
    <row r="315" ht="15" spans="1:14">
      <c r="A315" s="28">
        <v>46007</v>
      </c>
      <c r="B315" s="29">
        <v>46007</v>
      </c>
      <c r="C315" s="30">
        <v>0</v>
      </c>
      <c r="D315" s="30">
        <v>0</v>
      </c>
      <c r="E315" s="30">
        <v>0</v>
      </c>
      <c r="F315" s="30">
        <v>0</v>
      </c>
      <c r="G315" s="30"/>
      <c r="H315" s="30" t="str">
        <f>IFERROR(VLOOKUP(G315,Basic_Data!$E$2:$I$9,5,0),"")</f>
        <v/>
      </c>
      <c r="I315" s="30">
        <v>0</v>
      </c>
      <c r="J315" s="30">
        <v>0</v>
      </c>
      <c r="K315" s="31">
        <v>0</v>
      </c>
      <c r="L315" s="31">
        <v>0</v>
      </c>
      <c r="M315" s="30">
        <f t="shared" ref="M315:M316" si="112">IFERROR(I315-J315,"")</f>
        <v>0</v>
      </c>
      <c r="N315" s="30" t="s">
        <v>252</v>
      </c>
    </row>
    <row r="316" ht="15" spans="1:14">
      <c r="A316" s="28">
        <v>46008</v>
      </c>
      <c r="B316" s="29">
        <v>46008</v>
      </c>
      <c r="C316" s="30">
        <v>2</v>
      </c>
      <c r="D316" s="30">
        <v>6000</v>
      </c>
      <c r="E316" s="30"/>
      <c r="F316" s="30">
        <v>2</v>
      </c>
      <c r="G316" s="30" t="s">
        <v>41</v>
      </c>
      <c r="H316" s="30">
        <f>IFERROR(VLOOKUP(G316,Basic_Data!$E$2:$I$9,5,0),"")</f>
        <v>8</v>
      </c>
      <c r="I316" s="30">
        <f>IFERROR(VLOOKUP($G316,Basic_Data!$E$2:$H$10,4,0),"")</f>
        <v>644</v>
      </c>
      <c r="J316" s="30"/>
      <c r="K316" s="31">
        <f>IFERROR(VLOOKUP($B316-1,Inverter_PR!$B:$I,Module_Cleaning!H316,0),"")</f>
        <v>1.08429498449637</v>
      </c>
      <c r="L316" s="31">
        <f>IFERROR(VLOOKUP($B316+1,Inverter_PR!$B:$I,Module_Cleaning!H316,0),"")</f>
        <v>1.10779453384864</v>
      </c>
      <c r="M316" s="30">
        <f t="shared" si="112"/>
        <v>644</v>
      </c>
      <c r="N316" s="30" t="s">
        <v>251</v>
      </c>
    </row>
    <row r="317" ht="15" spans="1:14">
      <c r="A317" s="28"/>
      <c r="B317" s="29"/>
      <c r="C317" s="30"/>
      <c r="D317" s="30"/>
      <c r="E317" s="30"/>
      <c r="F317" s="30">
        <v>2</v>
      </c>
      <c r="G317" s="30" t="s">
        <v>40</v>
      </c>
      <c r="H317" s="30"/>
      <c r="I317" s="30"/>
      <c r="J317" s="30"/>
      <c r="K317" s="31"/>
      <c r="L317" s="31"/>
      <c r="M317" s="30"/>
      <c r="N317" s="30" t="s">
        <v>251</v>
      </c>
    </row>
    <row r="318" ht="15" spans="1:14">
      <c r="A318" s="28">
        <v>46009</v>
      </c>
      <c r="B318" s="29">
        <v>46009</v>
      </c>
      <c r="C318" s="30">
        <v>1</v>
      </c>
      <c r="D318" s="30">
        <v>3000</v>
      </c>
      <c r="E318" s="30"/>
      <c r="F318" s="30">
        <v>2</v>
      </c>
      <c r="G318" s="30" t="s">
        <v>39</v>
      </c>
      <c r="H318" s="30">
        <f>IFERROR(VLOOKUP(G318,Basic_Data!$E$2:$I$9,5,0),"")</f>
        <v>6</v>
      </c>
      <c r="I318" s="30">
        <f>IFERROR(VLOOKUP($G318,Basic_Data!$E$2:$H$10,4,0),"")</f>
        <v>644</v>
      </c>
      <c r="J318" s="30"/>
      <c r="K318" s="31">
        <f>IFERROR(VLOOKUP($B318-1,Inverter_PR!$B:$I,Module_Cleaning!H318,0),"")</f>
        <v>1.16395007087666</v>
      </c>
      <c r="L318" s="31">
        <f>IFERROR(VLOOKUP($B318+1,Inverter_PR!$B:$I,Module_Cleaning!H318,0),"")</f>
        <v>1.17453907922787</v>
      </c>
      <c r="M318" s="30">
        <f>IFERROR(I318-J318,"")</f>
        <v>644</v>
      </c>
      <c r="N318" s="30" t="s">
        <v>251</v>
      </c>
    </row>
    <row r="319" ht="15" spans="1:14">
      <c r="A319" s="28"/>
      <c r="B319" s="29"/>
      <c r="C319" s="30"/>
      <c r="D319" s="30"/>
      <c r="E319" s="30"/>
      <c r="F319" s="30">
        <v>2</v>
      </c>
      <c r="G319" s="30" t="s">
        <v>38</v>
      </c>
      <c r="H319" s="30"/>
      <c r="I319" s="30"/>
      <c r="J319" s="30"/>
      <c r="K319" s="31"/>
      <c r="L319" s="31"/>
      <c r="M319" s="30"/>
      <c r="N319" s="30" t="s">
        <v>251</v>
      </c>
    </row>
    <row r="320" ht="15" spans="1:14">
      <c r="A320" s="28"/>
      <c r="B320" s="29"/>
      <c r="C320" s="30"/>
      <c r="D320" s="30"/>
      <c r="E320" s="30"/>
      <c r="F320" s="30">
        <v>2</v>
      </c>
      <c r="G320" s="30" t="s">
        <v>37</v>
      </c>
      <c r="H320" s="30"/>
      <c r="I320" s="30"/>
      <c r="J320" s="30"/>
      <c r="K320" s="31"/>
      <c r="L320" s="31"/>
      <c r="M320" s="30"/>
      <c r="N320" s="30" t="s">
        <v>251</v>
      </c>
    </row>
    <row r="321" ht="15" spans="1:14">
      <c r="A321" s="28">
        <v>46010</v>
      </c>
      <c r="B321" s="29">
        <v>46010</v>
      </c>
      <c r="C321" s="30">
        <v>2</v>
      </c>
      <c r="D321" s="30">
        <v>6000</v>
      </c>
      <c r="E321" s="30"/>
      <c r="F321" s="30">
        <v>2</v>
      </c>
      <c r="G321" s="30" t="s">
        <v>36</v>
      </c>
      <c r="H321" s="30">
        <f>IFERROR(VLOOKUP(G321,Basic_Data!$E$2:$I$9,5,0),"")</f>
        <v>3</v>
      </c>
      <c r="I321" s="30">
        <f>IFERROR(VLOOKUP($G321,Basic_Data!$E$2:$H$10,4,0),"")</f>
        <v>616</v>
      </c>
      <c r="J321" s="30"/>
      <c r="K321" s="31">
        <f>IFERROR(VLOOKUP($B321-1,Inverter_PR!$B:$I,Module_Cleaning!H321,0),"")</f>
        <v>1.16826025656301</v>
      </c>
      <c r="L321" s="31">
        <f>IFERROR(VLOOKUP($B321+1,Inverter_PR!$B:$I,Module_Cleaning!H321,0),"")</f>
        <v>1.16816011153246</v>
      </c>
      <c r="M321" s="30">
        <f>IFERROR(I321-J321,"")</f>
        <v>616</v>
      </c>
      <c r="N321" s="30" t="s">
        <v>251</v>
      </c>
    </row>
    <row r="322" ht="15" spans="1:14">
      <c r="A322" s="28"/>
      <c r="B322" s="29"/>
      <c r="C322" s="30"/>
      <c r="D322" s="30"/>
      <c r="E322" s="30"/>
      <c r="F322" s="30">
        <v>2</v>
      </c>
      <c r="G322" s="30" t="s">
        <v>35</v>
      </c>
      <c r="H322" s="30"/>
      <c r="I322" s="30">
        <v>616</v>
      </c>
      <c r="J322" s="30"/>
      <c r="K322" s="31"/>
      <c r="L322" s="31"/>
      <c r="M322" s="30"/>
      <c r="N322" s="30" t="s">
        <v>251</v>
      </c>
    </row>
    <row r="323" ht="15" spans="1:14">
      <c r="A323" s="28">
        <v>46011</v>
      </c>
      <c r="B323" s="29">
        <v>46011</v>
      </c>
      <c r="C323" s="30">
        <v>0</v>
      </c>
      <c r="D323" s="30">
        <v>0</v>
      </c>
      <c r="E323" s="30">
        <v>0</v>
      </c>
      <c r="F323" s="30">
        <v>0</v>
      </c>
      <c r="G323" s="30"/>
      <c r="H323" s="30">
        <v>0</v>
      </c>
      <c r="I323" s="30">
        <v>0</v>
      </c>
      <c r="J323" s="30">
        <v>0</v>
      </c>
      <c r="K323" s="31">
        <v>0</v>
      </c>
      <c r="L323" s="31">
        <v>0</v>
      </c>
      <c r="M323" s="30">
        <f>IFERROR(I323-J323,"")</f>
        <v>0</v>
      </c>
      <c r="N323" s="30" t="s">
        <v>252</v>
      </c>
    </row>
    <row r="324" ht="15" spans="1:14">
      <c r="A324" s="28">
        <v>46012</v>
      </c>
      <c r="B324" s="29">
        <v>46012</v>
      </c>
      <c r="C324" s="30">
        <v>0</v>
      </c>
      <c r="D324" s="30">
        <v>0</v>
      </c>
      <c r="E324" s="30">
        <v>0</v>
      </c>
      <c r="F324" s="30">
        <v>0</v>
      </c>
      <c r="G324" s="30"/>
      <c r="H324" s="30">
        <v>0</v>
      </c>
      <c r="I324" s="30">
        <v>0</v>
      </c>
      <c r="J324" s="30">
        <v>0</v>
      </c>
      <c r="K324" s="31">
        <v>0</v>
      </c>
      <c r="L324" s="31">
        <v>0</v>
      </c>
      <c r="M324" s="30">
        <f t="shared" ref="M324" si="113">IFERROR(I324-J324,"")</f>
        <v>0</v>
      </c>
      <c r="N324" s="30" t="s">
        <v>252</v>
      </c>
    </row>
    <row r="325" ht="15" spans="1:14">
      <c r="A325" s="28">
        <v>46013</v>
      </c>
      <c r="B325" s="29">
        <v>46013</v>
      </c>
      <c r="C325" s="30">
        <v>0</v>
      </c>
      <c r="D325" s="30">
        <v>0</v>
      </c>
      <c r="E325" s="30">
        <v>0</v>
      </c>
      <c r="F325" s="30">
        <v>0</v>
      </c>
      <c r="G325" s="30"/>
      <c r="H325" s="30">
        <v>0</v>
      </c>
      <c r="I325" s="30">
        <v>0</v>
      </c>
      <c r="J325" s="30">
        <v>0</v>
      </c>
      <c r="K325" s="31">
        <v>0</v>
      </c>
      <c r="L325" s="31">
        <v>0</v>
      </c>
      <c r="M325" s="30">
        <f t="shared" ref="M325" si="114">IFERROR(I325-J325,"")</f>
        <v>0</v>
      </c>
      <c r="N325" s="30" t="s">
        <v>252</v>
      </c>
    </row>
    <row r="326" ht="15" spans="1:14">
      <c r="A326" s="28">
        <v>46014</v>
      </c>
      <c r="B326" s="29">
        <v>46014</v>
      </c>
      <c r="C326" s="30">
        <v>0</v>
      </c>
      <c r="D326" s="30">
        <v>0</v>
      </c>
      <c r="E326" s="30">
        <v>0</v>
      </c>
      <c r="F326" s="30">
        <v>0</v>
      </c>
      <c r="G326" s="30"/>
      <c r="H326" s="30">
        <v>0</v>
      </c>
      <c r="I326" s="30">
        <v>0</v>
      </c>
      <c r="J326" s="30">
        <v>0</v>
      </c>
      <c r="K326" s="31">
        <v>0</v>
      </c>
      <c r="L326" s="31">
        <v>0</v>
      </c>
      <c r="M326" s="30">
        <f t="shared" ref="M326:M329" si="115">IFERROR(I326-J326,"")</f>
        <v>0</v>
      </c>
      <c r="N326" s="30" t="s">
        <v>252</v>
      </c>
    </row>
    <row r="327" ht="15" spans="1:14">
      <c r="A327" s="28">
        <v>46015</v>
      </c>
      <c r="B327" s="29">
        <v>46015</v>
      </c>
      <c r="C327" s="30"/>
      <c r="D327" s="30"/>
      <c r="E327" s="30"/>
      <c r="F327" s="30">
        <v>3</v>
      </c>
      <c r="G327" s="30" t="s">
        <v>41</v>
      </c>
      <c r="H327" s="30">
        <f>IFERROR(VLOOKUP(G327,Basic_Data!$E$2:$I$9,5,0),"")</f>
        <v>8</v>
      </c>
      <c r="I327" s="30">
        <f>IFERROR(VLOOKUP($G327,Basic_Data!$E$2:$H$10,4,0),"")</f>
        <v>644</v>
      </c>
      <c r="J327" s="30"/>
      <c r="K327" s="31">
        <f>IFERROR(VLOOKUP($B327-1,Inverter_PR!$B:$I,Module_Cleaning!H327,0),"")</f>
        <v>1.13611494440824</v>
      </c>
      <c r="L327" s="31">
        <f>IFERROR(VLOOKUP($B327+1,Inverter_PR!$B:$I,Module_Cleaning!H327,0),"")</f>
        <v>1.06159756841731</v>
      </c>
      <c r="M327" s="30">
        <f t="shared" si="115"/>
        <v>644</v>
      </c>
      <c r="N327" s="30" t="s">
        <v>250</v>
      </c>
    </row>
    <row r="328" ht="15" spans="1:14">
      <c r="A328" s="28">
        <v>46016</v>
      </c>
      <c r="B328" s="29">
        <v>46016</v>
      </c>
      <c r="C328" s="30"/>
      <c r="D328" s="30"/>
      <c r="E328" s="30"/>
      <c r="F328" s="30">
        <v>3</v>
      </c>
      <c r="G328" s="30" t="s">
        <v>40</v>
      </c>
      <c r="H328" s="30">
        <f>IFERROR(VLOOKUP(G328,Basic_Data!$E$2:$I$9,5,0),"")</f>
        <v>7</v>
      </c>
      <c r="I328" s="30">
        <f>IFERROR(VLOOKUP($G328,Basic_Data!$E$2:$H$10,4,0),"")</f>
        <v>644</v>
      </c>
      <c r="J328" s="30"/>
      <c r="K328" s="31">
        <f>IFERROR(VLOOKUP($B328-1,Inverter_PR!$B:$I,Module_Cleaning!H328,0),"")</f>
        <v>1.20109652740482</v>
      </c>
      <c r="L328" s="31">
        <f>IFERROR(VLOOKUP($B328+1,Inverter_PR!$B:$I,Module_Cleaning!H328,0),"")</f>
        <v>1.20417262046018</v>
      </c>
      <c r="M328" s="30">
        <f t="shared" si="115"/>
        <v>644</v>
      </c>
      <c r="N328" s="30" t="s">
        <v>250</v>
      </c>
    </row>
    <row r="329" ht="15" spans="1:14">
      <c r="A329" s="28">
        <v>46017</v>
      </c>
      <c r="B329" s="29">
        <v>46017</v>
      </c>
      <c r="C329" s="30">
        <v>0</v>
      </c>
      <c r="D329" s="30">
        <v>0</v>
      </c>
      <c r="E329" s="30">
        <v>0</v>
      </c>
      <c r="F329" s="30">
        <v>3</v>
      </c>
      <c r="G329" s="30" t="s">
        <v>39</v>
      </c>
      <c r="H329" s="30">
        <f>IFERROR(VLOOKUP(G329,Basic_Data!$E$2:$I$9,5,0),"")</f>
        <v>6</v>
      </c>
      <c r="I329" s="30">
        <v>0</v>
      </c>
      <c r="J329" s="30">
        <v>0</v>
      </c>
      <c r="K329" s="31">
        <v>0</v>
      </c>
      <c r="L329" s="31">
        <v>0</v>
      </c>
      <c r="M329" s="30">
        <f t="shared" si="115"/>
        <v>0</v>
      </c>
      <c r="N329" s="30" t="s">
        <v>250</v>
      </c>
    </row>
    <row r="330" ht="15" spans="1:14">
      <c r="A330" s="28"/>
      <c r="B330" s="29"/>
      <c r="C330" s="30"/>
      <c r="D330" s="30"/>
      <c r="E330" s="30"/>
      <c r="F330" s="30">
        <v>3</v>
      </c>
      <c r="G330" s="30" t="s">
        <v>38</v>
      </c>
      <c r="H330" s="30"/>
      <c r="I330" s="30"/>
      <c r="J330" s="30"/>
      <c r="K330" s="31"/>
      <c r="L330" s="31"/>
      <c r="M330" s="30"/>
      <c r="N330" s="30" t="s">
        <v>250</v>
      </c>
    </row>
    <row r="331" ht="15" spans="1:14">
      <c r="A331" s="28">
        <v>46018</v>
      </c>
      <c r="B331" s="29">
        <v>46018</v>
      </c>
      <c r="C331" s="30">
        <v>0</v>
      </c>
      <c r="D331" s="30">
        <v>0</v>
      </c>
      <c r="E331" s="30">
        <v>0</v>
      </c>
      <c r="F331" s="30">
        <v>0</v>
      </c>
      <c r="G331" s="30"/>
      <c r="H331" s="30">
        <v>0</v>
      </c>
      <c r="I331" s="30">
        <v>0</v>
      </c>
      <c r="J331" s="30">
        <v>0</v>
      </c>
      <c r="K331" s="31">
        <v>0</v>
      </c>
      <c r="L331" s="31">
        <v>0</v>
      </c>
      <c r="M331" s="30">
        <f>IFERROR(I331-J331,"")</f>
        <v>0</v>
      </c>
      <c r="N331" s="30" t="s">
        <v>252</v>
      </c>
    </row>
    <row r="332" ht="15" spans="1:14">
      <c r="A332" s="28">
        <v>46019</v>
      </c>
      <c r="B332" s="29">
        <v>46019</v>
      </c>
      <c r="C332" s="30">
        <v>0</v>
      </c>
      <c r="D332" s="30">
        <v>0</v>
      </c>
      <c r="E332" s="30">
        <v>0</v>
      </c>
      <c r="F332" s="30">
        <v>0</v>
      </c>
      <c r="G332" s="30"/>
      <c r="H332" s="30" t="str">
        <f>IFERROR(VLOOKUP(G332,Basic_Data!$E$2:$I$9,5,0),"")</f>
        <v/>
      </c>
      <c r="I332" s="30">
        <v>0</v>
      </c>
      <c r="J332" s="30">
        <v>0</v>
      </c>
      <c r="K332" s="31">
        <v>0</v>
      </c>
      <c r="L332" s="31">
        <v>0</v>
      </c>
      <c r="M332" s="30">
        <f>IFERROR(I332-J332,"")</f>
        <v>0</v>
      </c>
      <c r="N332" s="30" t="s">
        <v>252</v>
      </c>
    </row>
    <row r="333" ht="15" spans="1:14">
      <c r="A333" s="28">
        <v>46020</v>
      </c>
      <c r="B333" s="29">
        <v>46020</v>
      </c>
      <c r="C333" s="30">
        <v>0</v>
      </c>
      <c r="D333" s="30">
        <v>0</v>
      </c>
      <c r="E333" s="30">
        <v>0</v>
      </c>
      <c r="F333" s="30">
        <v>0</v>
      </c>
      <c r="G333" s="30"/>
      <c r="H333" s="30" t="str">
        <f>IFERROR(VLOOKUP(G333,Basic_Data!$E$2:$I$9,5,0),"")</f>
        <v/>
      </c>
      <c r="I333" s="30">
        <v>0</v>
      </c>
      <c r="J333" s="30">
        <v>0</v>
      </c>
      <c r="K333" s="31">
        <v>0</v>
      </c>
      <c r="L333" s="31">
        <v>0</v>
      </c>
      <c r="M333" s="30">
        <f t="shared" ref="M333" si="116">IFERROR(I333-J333,"")</f>
        <v>0</v>
      </c>
      <c r="N333" s="30" t="s">
        <v>252</v>
      </c>
    </row>
    <row r="334" ht="15" spans="1:14">
      <c r="A334" s="28">
        <v>46021</v>
      </c>
      <c r="B334" s="29">
        <v>46021</v>
      </c>
      <c r="C334" s="30">
        <v>0</v>
      </c>
      <c r="D334" s="30">
        <v>0</v>
      </c>
      <c r="E334" s="30">
        <v>0</v>
      </c>
      <c r="F334" s="30">
        <v>0</v>
      </c>
      <c r="G334" s="30"/>
      <c r="H334" s="30" t="str">
        <f>IFERROR(VLOOKUP(G334,Basic_Data!$E$2:$I$9,5,0),"")</f>
        <v/>
      </c>
      <c r="I334" s="30">
        <v>0</v>
      </c>
      <c r="J334" s="30">
        <v>0</v>
      </c>
      <c r="K334" s="31">
        <v>0</v>
      </c>
      <c r="L334" s="31">
        <v>0</v>
      </c>
      <c r="M334" s="30">
        <f t="shared" ref="M334" si="117">IFERROR(I334-J334,"")</f>
        <v>0</v>
      </c>
      <c r="N334" s="30" t="s">
        <v>257</v>
      </c>
    </row>
    <row r="335" ht="15" spans="1:14">
      <c r="A335" s="28">
        <v>46022</v>
      </c>
      <c r="B335" s="29">
        <v>46022</v>
      </c>
      <c r="C335" s="30">
        <v>0</v>
      </c>
      <c r="D335" s="30">
        <v>0</v>
      </c>
      <c r="E335" s="30">
        <v>0</v>
      </c>
      <c r="F335" s="30">
        <v>0</v>
      </c>
      <c r="G335" s="30"/>
      <c r="H335" s="30" t="str">
        <f>IFERROR(VLOOKUP(G335,Basic_Data!$E$2:$I$9,5,0),"")</f>
        <v/>
      </c>
      <c r="I335" s="30">
        <v>0</v>
      </c>
      <c r="J335" s="30">
        <v>0</v>
      </c>
      <c r="K335" s="31">
        <v>0</v>
      </c>
      <c r="L335" s="31">
        <v>0</v>
      </c>
      <c r="M335" s="30">
        <f t="shared" ref="M335" si="118">IFERROR(I335-J335,"")</f>
        <v>0</v>
      </c>
      <c r="N335" s="30" t="s">
        <v>257</v>
      </c>
    </row>
    <row r="336" ht="15" spans="1:14">
      <c r="A336" s="28">
        <v>46023</v>
      </c>
      <c r="B336" s="29">
        <v>46023</v>
      </c>
      <c r="C336" s="30">
        <v>0</v>
      </c>
      <c r="D336" s="30">
        <v>0</v>
      </c>
      <c r="E336" s="30">
        <v>0</v>
      </c>
      <c r="F336" s="30">
        <v>0</v>
      </c>
      <c r="G336" s="30"/>
      <c r="H336" s="30" t="str">
        <f>IFERROR(VLOOKUP(G336,Basic_Data!$E$2:$I$9,5,0),"")</f>
        <v/>
      </c>
      <c r="I336" s="30">
        <v>0</v>
      </c>
      <c r="J336" s="30">
        <v>0</v>
      </c>
      <c r="K336" s="31">
        <v>0</v>
      </c>
      <c r="L336" s="31">
        <v>0</v>
      </c>
      <c r="M336" s="30">
        <f t="shared" ref="M336" si="119">IFERROR(I336-J336,"")</f>
        <v>0</v>
      </c>
      <c r="N336" s="30" t="s">
        <v>257</v>
      </c>
    </row>
    <row r="337" ht="15" spans="1:14">
      <c r="A337" s="28">
        <v>46024</v>
      </c>
      <c r="B337" s="29">
        <v>46024</v>
      </c>
      <c r="C337" s="30">
        <v>0</v>
      </c>
      <c r="D337" s="30">
        <v>0</v>
      </c>
      <c r="E337" s="30">
        <v>0</v>
      </c>
      <c r="F337" s="30">
        <v>0</v>
      </c>
      <c r="G337" s="30"/>
      <c r="H337" s="30" t="str">
        <f>IFERROR(VLOOKUP(G337,Basic_Data!$E$2:$I$9,5,0),"")</f>
        <v/>
      </c>
      <c r="I337" s="30">
        <v>0</v>
      </c>
      <c r="J337" s="30">
        <v>0</v>
      </c>
      <c r="K337" s="31">
        <v>0</v>
      </c>
      <c r="L337" s="31">
        <v>0</v>
      </c>
      <c r="M337" s="30">
        <f t="shared" ref="M337" si="120">IFERROR(I337-J337,"")</f>
        <v>0</v>
      </c>
      <c r="N337" s="30" t="s">
        <v>257</v>
      </c>
    </row>
    <row r="338" ht="15" spans="1:14">
      <c r="A338" s="28">
        <v>46025</v>
      </c>
      <c r="B338" s="29">
        <v>46025</v>
      </c>
      <c r="C338" s="30">
        <v>0</v>
      </c>
      <c r="D338" s="30">
        <v>0</v>
      </c>
      <c r="E338" s="30">
        <v>0</v>
      </c>
      <c r="F338" s="30">
        <v>0</v>
      </c>
      <c r="G338" s="30"/>
      <c r="H338" s="30" t="str">
        <f>IFERROR(VLOOKUP(G338,Basic_Data!$E$2:$I$9,5,0),"")</f>
        <v/>
      </c>
      <c r="I338" s="30">
        <v>0</v>
      </c>
      <c r="J338" s="30">
        <v>0</v>
      </c>
      <c r="K338" s="31">
        <v>0</v>
      </c>
      <c r="L338" s="31">
        <v>0</v>
      </c>
      <c r="M338" s="30">
        <f t="shared" ref="M338" si="121">IFERROR(I338-J338,"")</f>
        <v>0</v>
      </c>
      <c r="N338" s="30" t="s">
        <v>257</v>
      </c>
    </row>
    <row r="339" ht="15" spans="1:14">
      <c r="A339" s="28">
        <v>46026</v>
      </c>
      <c r="B339" s="29">
        <v>46026</v>
      </c>
      <c r="C339" s="30">
        <v>0</v>
      </c>
      <c r="D339" s="30">
        <v>0</v>
      </c>
      <c r="E339" s="30">
        <v>0</v>
      </c>
      <c r="F339" s="30">
        <v>0</v>
      </c>
      <c r="G339" s="30"/>
      <c r="H339" s="30" t="str">
        <f>IFERROR(VLOOKUP(G339,Basic_Data!$E$2:$I$9,5,0),"")</f>
        <v/>
      </c>
      <c r="I339" s="30">
        <v>0</v>
      </c>
      <c r="J339" s="30">
        <v>0</v>
      </c>
      <c r="K339" s="31">
        <v>0</v>
      </c>
      <c r="L339" s="31">
        <v>0</v>
      </c>
      <c r="M339" s="30">
        <f t="shared" ref="M339" si="122">IFERROR(I339-J339,"")</f>
        <v>0</v>
      </c>
      <c r="N339" s="30" t="s">
        <v>257</v>
      </c>
    </row>
    <row r="340" ht="15" spans="1:14">
      <c r="A340" s="28">
        <v>46027</v>
      </c>
      <c r="B340" s="29">
        <v>46027</v>
      </c>
      <c r="C340" s="30">
        <v>0</v>
      </c>
      <c r="D340" s="30">
        <v>0</v>
      </c>
      <c r="E340" s="30">
        <v>0</v>
      </c>
      <c r="F340" s="30">
        <v>0</v>
      </c>
      <c r="G340" s="30"/>
      <c r="H340" s="30" t="str">
        <f>IFERROR(VLOOKUP(G340,Basic_Data!$E$2:$I$9,5,0),"")</f>
        <v/>
      </c>
      <c r="I340" s="30">
        <v>0</v>
      </c>
      <c r="J340" s="30">
        <v>0</v>
      </c>
      <c r="K340" s="31">
        <v>0</v>
      </c>
      <c r="L340" s="31">
        <v>0</v>
      </c>
      <c r="M340" s="30">
        <f t="shared" ref="M340" si="123">IFERROR(I340-J340,"")</f>
        <v>0</v>
      </c>
      <c r="N340" s="30" t="s">
        <v>257</v>
      </c>
    </row>
    <row r="341" ht="15" spans="1:14">
      <c r="A341" s="28">
        <v>46028</v>
      </c>
      <c r="B341" s="29">
        <v>46028</v>
      </c>
      <c r="C341" s="30">
        <v>0</v>
      </c>
      <c r="D341" s="30">
        <v>0</v>
      </c>
      <c r="E341" s="30">
        <v>0</v>
      </c>
      <c r="F341" s="30">
        <v>0</v>
      </c>
      <c r="G341" s="30"/>
      <c r="H341" s="30">
        <v>0</v>
      </c>
      <c r="I341" s="30">
        <v>0</v>
      </c>
      <c r="J341" s="30">
        <v>0</v>
      </c>
      <c r="K341" s="31">
        <v>0</v>
      </c>
      <c r="L341" s="31">
        <v>0</v>
      </c>
      <c r="M341" s="30">
        <v>0</v>
      </c>
      <c r="N341" s="30" t="s">
        <v>257</v>
      </c>
    </row>
    <row r="342" ht="15" spans="1:14">
      <c r="A342" s="28">
        <v>46029</v>
      </c>
      <c r="B342" s="29">
        <v>46029</v>
      </c>
      <c r="C342" s="30">
        <v>0</v>
      </c>
      <c r="D342" s="30">
        <v>0</v>
      </c>
      <c r="E342" s="30">
        <v>0</v>
      </c>
      <c r="F342" s="30">
        <v>0</v>
      </c>
      <c r="G342" s="30"/>
      <c r="H342" s="30">
        <v>0</v>
      </c>
      <c r="I342" s="30">
        <v>0</v>
      </c>
      <c r="J342" s="30">
        <v>0</v>
      </c>
      <c r="K342" s="31">
        <v>0</v>
      </c>
      <c r="L342" s="31">
        <v>0</v>
      </c>
      <c r="M342" s="30">
        <v>0</v>
      </c>
      <c r="N342" s="30" t="s">
        <v>257</v>
      </c>
    </row>
    <row r="343" ht="15" spans="1:14">
      <c r="A343" s="28">
        <v>46030</v>
      </c>
      <c r="B343" s="29">
        <v>46030</v>
      </c>
      <c r="C343" s="30">
        <v>0</v>
      </c>
      <c r="D343" s="30">
        <v>0</v>
      </c>
      <c r="E343" s="30">
        <v>0</v>
      </c>
      <c r="F343" s="30">
        <v>0</v>
      </c>
      <c r="G343" s="30"/>
      <c r="H343" s="30">
        <v>0</v>
      </c>
      <c r="I343" s="30">
        <v>0</v>
      </c>
      <c r="J343" s="30">
        <v>0</v>
      </c>
      <c r="K343" s="31">
        <v>0</v>
      </c>
      <c r="L343" s="31">
        <v>0</v>
      </c>
      <c r="M343" s="30">
        <v>0</v>
      </c>
      <c r="N343" s="30" t="s">
        <v>257</v>
      </c>
    </row>
    <row r="344" ht="15" spans="1:14">
      <c r="A344" s="28">
        <v>46031</v>
      </c>
      <c r="B344" s="29">
        <v>46031</v>
      </c>
      <c r="C344" s="30">
        <v>0</v>
      </c>
      <c r="D344" s="30">
        <v>0</v>
      </c>
      <c r="E344" s="30">
        <v>0</v>
      </c>
      <c r="F344" s="30">
        <v>0</v>
      </c>
      <c r="G344" s="30"/>
      <c r="H344" s="30">
        <v>0</v>
      </c>
      <c r="I344" s="30">
        <v>0</v>
      </c>
      <c r="J344" s="30">
        <v>0</v>
      </c>
      <c r="K344" s="31">
        <v>0</v>
      </c>
      <c r="L344" s="31">
        <v>0</v>
      </c>
      <c r="M344" s="30">
        <v>0</v>
      </c>
      <c r="N344" s="30" t="s">
        <v>257</v>
      </c>
    </row>
    <row r="345" ht="15" spans="1:14">
      <c r="A345" s="28">
        <v>46032</v>
      </c>
      <c r="B345" s="29">
        <v>46032</v>
      </c>
      <c r="C345" s="30">
        <v>0</v>
      </c>
      <c r="D345" s="30">
        <v>0</v>
      </c>
      <c r="E345" s="30">
        <v>0</v>
      </c>
      <c r="F345" s="30">
        <v>0</v>
      </c>
      <c r="G345" s="30"/>
      <c r="H345" s="30">
        <v>0</v>
      </c>
      <c r="I345" s="30">
        <v>0</v>
      </c>
      <c r="J345" s="30">
        <v>0</v>
      </c>
      <c r="K345" s="31">
        <v>0</v>
      </c>
      <c r="L345" s="31">
        <v>0</v>
      </c>
      <c r="M345" s="30">
        <v>0</v>
      </c>
      <c r="N345" s="30" t="s">
        <v>257</v>
      </c>
    </row>
    <row r="346" ht="15" spans="1:14">
      <c r="A346" s="28">
        <v>46033</v>
      </c>
      <c r="B346" s="29">
        <v>46033</v>
      </c>
      <c r="C346" s="30">
        <v>0</v>
      </c>
      <c r="D346" s="30">
        <v>0</v>
      </c>
      <c r="E346" s="30">
        <v>0</v>
      </c>
      <c r="F346" s="30">
        <v>0</v>
      </c>
      <c r="G346" s="30"/>
      <c r="H346" s="30">
        <v>0</v>
      </c>
      <c r="I346" s="30">
        <v>0</v>
      </c>
      <c r="J346" s="30">
        <v>0</v>
      </c>
      <c r="K346" s="31">
        <v>0</v>
      </c>
      <c r="L346" s="31">
        <v>0</v>
      </c>
      <c r="M346" s="30">
        <v>0</v>
      </c>
      <c r="N346" s="30" t="s">
        <v>257</v>
      </c>
    </row>
    <row r="347" ht="15" spans="1:14">
      <c r="A347" s="28">
        <v>46034</v>
      </c>
      <c r="B347" s="29">
        <v>46034</v>
      </c>
      <c r="C347" s="30">
        <v>1</v>
      </c>
      <c r="D347" s="30"/>
      <c r="E347" s="30"/>
      <c r="F347" s="30">
        <v>1</v>
      </c>
      <c r="G347" s="30" t="s">
        <v>41</v>
      </c>
      <c r="H347" s="30">
        <f>IFERROR(VLOOKUP(G347,Basic_Data!$E$2:$I$9,5,0),"")</f>
        <v>8</v>
      </c>
      <c r="I347" s="30">
        <f>IFERROR(VLOOKUP($G347,Basic_Data!$E$2:$H$10,4,0),"")</f>
        <v>644</v>
      </c>
      <c r="J347" s="30"/>
      <c r="K347" s="31">
        <f>IFERROR(VLOOKUP($B347-1,Inverter_PR!$B:$I,Module_Cleaning!H347,0),"")</f>
        <v>1.06495689620084</v>
      </c>
      <c r="L347" s="31">
        <f>IFERROR(VLOOKUP($B347+1,Inverter_PR!$B:$I,Module_Cleaning!H347,0),"")</f>
        <v>1.10777845121682</v>
      </c>
      <c r="M347" s="30">
        <f>IFERROR(I347-J347,"")</f>
        <v>644</v>
      </c>
      <c r="N347" s="30" t="s">
        <v>251</v>
      </c>
    </row>
    <row r="348" ht="15" spans="1:14">
      <c r="A348" s="28"/>
      <c r="B348" s="29"/>
      <c r="C348" s="30"/>
      <c r="D348" s="30"/>
      <c r="E348" s="30"/>
      <c r="F348" s="30">
        <v>1</v>
      </c>
      <c r="G348" s="30" t="s">
        <v>40</v>
      </c>
      <c r="H348" s="30"/>
      <c r="I348" s="30"/>
      <c r="J348" s="30"/>
      <c r="K348" s="31"/>
      <c r="L348" s="31"/>
      <c r="M348" s="30"/>
      <c r="N348" s="30" t="s">
        <v>251</v>
      </c>
    </row>
    <row r="349" ht="15" spans="1:14">
      <c r="A349" s="28">
        <v>46035</v>
      </c>
      <c r="B349" s="29">
        <v>46035</v>
      </c>
      <c r="C349" s="30">
        <v>3</v>
      </c>
      <c r="D349" s="30"/>
      <c r="E349" s="30"/>
      <c r="F349" s="30">
        <v>1</v>
      </c>
      <c r="G349" s="30" t="s">
        <v>39</v>
      </c>
      <c r="H349" s="30">
        <f>IFERROR(VLOOKUP(G349,Basic_Data!$E$2:$I$9,5,0),"")</f>
        <v>6</v>
      </c>
      <c r="I349" s="30">
        <f>IFERROR(VLOOKUP($G349,Basic_Data!$E$2:$H$10,4,0),"")</f>
        <v>644</v>
      </c>
      <c r="J349" s="30"/>
      <c r="K349" s="31">
        <f>IFERROR(VLOOKUP($B349-1,Inverter_PR!$B:$I,Module_Cleaning!H349,0),"")</f>
        <v>1.2343356847771</v>
      </c>
      <c r="L349" s="31">
        <f>IFERROR(VLOOKUP($B349+1,Inverter_PR!$B:$I,Module_Cleaning!H349,0),"")</f>
        <v>1.2057287214846</v>
      </c>
      <c r="M349" s="30">
        <f>IFERROR(I349-J349,"")</f>
        <v>644</v>
      </c>
      <c r="N349" s="30" t="s">
        <v>251</v>
      </c>
    </row>
    <row r="350" ht="15" spans="1:14">
      <c r="A350" s="28"/>
      <c r="B350" s="29"/>
      <c r="C350" s="30"/>
      <c r="D350" s="30"/>
      <c r="E350" s="30"/>
      <c r="F350" s="30"/>
      <c r="G350" s="30" t="s">
        <v>38</v>
      </c>
      <c r="H350" s="30"/>
      <c r="I350" s="30"/>
      <c r="J350" s="30"/>
      <c r="K350" s="31"/>
      <c r="L350" s="31"/>
      <c r="M350" s="30"/>
      <c r="N350" s="30" t="s">
        <v>251</v>
      </c>
    </row>
    <row r="351" ht="15" spans="1:14">
      <c r="A351" s="28"/>
      <c r="B351" s="29"/>
      <c r="C351" s="30"/>
      <c r="D351" s="30"/>
      <c r="E351" s="30"/>
      <c r="F351" s="30"/>
      <c r="G351" s="30" t="s">
        <v>37</v>
      </c>
      <c r="H351" s="30"/>
      <c r="I351" s="30"/>
      <c r="J351" s="30"/>
      <c r="K351" s="31"/>
      <c r="L351" s="31"/>
      <c r="M351" s="30"/>
      <c r="N351" s="30" t="s">
        <v>251</v>
      </c>
    </row>
    <row r="352" ht="15" spans="1:14">
      <c r="A352" s="28"/>
      <c r="B352" s="29"/>
      <c r="C352" s="30"/>
      <c r="D352" s="30"/>
      <c r="E352" s="30"/>
      <c r="F352" s="30"/>
      <c r="G352" s="30" t="s">
        <v>35</v>
      </c>
      <c r="H352" s="30"/>
      <c r="I352" s="30"/>
      <c r="J352" s="30"/>
      <c r="K352" s="31"/>
      <c r="L352" s="31"/>
      <c r="M352" s="30"/>
      <c r="N352" s="30" t="s">
        <v>251</v>
      </c>
    </row>
    <row r="353" ht="15" spans="1:14">
      <c r="A353" s="28"/>
      <c r="B353" s="29"/>
      <c r="C353" s="30"/>
      <c r="D353" s="30"/>
      <c r="E353" s="30"/>
      <c r="F353" s="30"/>
      <c r="G353" s="30" t="s">
        <v>36</v>
      </c>
      <c r="H353" s="30"/>
      <c r="I353" s="30"/>
      <c r="J353" s="30"/>
      <c r="K353" s="31"/>
      <c r="L353" s="31"/>
      <c r="M353" s="30"/>
      <c r="N353" s="30" t="s">
        <v>251</v>
      </c>
    </row>
    <row r="354" ht="15" spans="1:14">
      <c r="A354" s="28">
        <v>46036</v>
      </c>
      <c r="B354" s="29">
        <v>46036</v>
      </c>
      <c r="C354" s="30">
        <v>0</v>
      </c>
      <c r="D354" s="30">
        <v>0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 t="s">
        <v>257</v>
      </c>
    </row>
    <row r="355" ht="15" spans="1:14">
      <c r="A355" s="28">
        <v>46037</v>
      </c>
      <c r="B355" s="29">
        <v>46037</v>
      </c>
      <c r="C355" s="30">
        <v>0</v>
      </c>
      <c r="D355" s="30">
        <v>0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 t="s">
        <v>257</v>
      </c>
    </row>
    <row r="356" ht="15" spans="1:14">
      <c r="A356" s="28">
        <v>46038</v>
      </c>
      <c r="B356" s="29">
        <v>46038</v>
      </c>
      <c r="C356" s="30">
        <v>0</v>
      </c>
      <c r="D356" s="30">
        <v>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 t="s">
        <v>257</v>
      </c>
    </row>
    <row r="357" ht="15" spans="1:14">
      <c r="A357" s="28">
        <v>46039</v>
      </c>
      <c r="B357" s="29">
        <v>46039</v>
      </c>
      <c r="C357" s="30">
        <v>0</v>
      </c>
      <c r="D357" s="30">
        <v>0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 t="s">
        <v>257</v>
      </c>
    </row>
    <row r="358" ht="15" spans="1:14">
      <c r="A358" s="28">
        <v>46040</v>
      </c>
      <c r="B358" s="29">
        <v>46040</v>
      </c>
      <c r="C358" s="30">
        <v>0</v>
      </c>
      <c r="D358" s="30">
        <v>0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 t="s">
        <v>257</v>
      </c>
    </row>
    <row r="359" ht="15" spans="1:14">
      <c r="A359" s="28">
        <v>46041</v>
      </c>
      <c r="B359" s="29">
        <v>46041</v>
      </c>
      <c r="C359" s="30">
        <v>0</v>
      </c>
      <c r="D359" s="30">
        <v>0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 t="s">
        <v>257</v>
      </c>
    </row>
    <row r="360" ht="15" spans="1:14">
      <c r="A360" s="28">
        <v>46042</v>
      </c>
      <c r="B360" s="29">
        <v>46042</v>
      </c>
      <c r="C360" s="30">
        <v>0</v>
      </c>
      <c r="D360" s="30">
        <v>0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 t="s">
        <v>257</v>
      </c>
    </row>
    <row r="361" ht="15" spans="1:14">
      <c r="A361" s="28">
        <v>46043</v>
      </c>
      <c r="B361" s="29">
        <v>46043</v>
      </c>
      <c r="C361" s="30"/>
      <c r="D361" s="30"/>
      <c r="E361" s="30"/>
      <c r="F361" s="30">
        <v>1</v>
      </c>
      <c r="G361" s="30" t="s">
        <v>35</v>
      </c>
      <c r="H361" s="30">
        <f>IFERROR(VLOOKUP(G361,Basic_Data!$E$2:$I$9,5,0),"")</f>
        <v>2</v>
      </c>
      <c r="I361" s="30">
        <f>IFERROR(VLOOKUP($G361,Basic_Data!$E$2:$H$10,4,0),"")</f>
        <v>616</v>
      </c>
      <c r="J361" s="30"/>
      <c r="K361" s="31">
        <f>IFERROR(VLOOKUP($B361-1,Inverter_PR!$B:$I,Module_Cleaning!H361,0),"")</f>
        <v>1.14620863910178</v>
      </c>
      <c r="L361" s="31">
        <f>IFERROR(VLOOKUP($B361+1,Inverter_PR!$B:$I,Module_Cleaning!H361,0),"")</f>
        <v>1.13455376042965</v>
      </c>
      <c r="M361" s="30">
        <f>IFERROR(I361-J361,"")</f>
        <v>616</v>
      </c>
      <c r="N361" s="30" t="s">
        <v>250</v>
      </c>
    </row>
    <row r="362" ht="15" spans="1:14">
      <c r="A362" s="28">
        <v>46044</v>
      </c>
      <c r="B362" s="29">
        <v>46044</v>
      </c>
      <c r="C362" s="30"/>
      <c r="D362" s="30"/>
      <c r="E362" s="30"/>
      <c r="F362" s="30">
        <v>1</v>
      </c>
      <c r="G362" s="30" t="s">
        <v>36</v>
      </c>
      <c r="H362" s="30">
        <f>IFERROR(VLOOKUP(G362,Basic_Data!$E$2:$I$9,5,0),"")</f>
        <v>3</v>
      </c>
      <c r="I362" s="30">
        <f>IFERROR(VLOOKUP($G362,Basic_Data!$E$2:$H$10,4,0),"")</f>
        <v>616</v>
      </c>
      <c r="J362" s="30"/>
      <c r="K362" s="31">
        <f>IFERROR(VLOOKUP($B362-1,Inverter_PR!$B:$I,Module_Cleaning!H362,0),"")</f>
        <v>1.17063417443044</v>
      </c>
      <c r="L362" s="31">
        <f>IFERROR(VLOOKUP($B362+1,Inverter_PR!$B:$I,Module_Cleaning!H362,0),"")</f>
        <v>1.22646169535548</v>
      </c>
      <c r="M362" s="30">
        <f>IFERROR(I362-J362,"")</f>
        <v>616</v>
      </c>
      <c r="N362" s="30" t="s">
        <v>250</v>
      </c>
    </row>
    <row r="363" ht="15" spans="1:14">
      <c r="A363" s="28"/>
      <c r="B363" s="29"/>
      <c r="C363" s="30"/>
      <c r="D363" s="30"/>
      <c r="E363" s="30"/>
      <c r="F363" s="30">
        <v>1</v>
      </c>
      <c r="G363" s="30" t="s">
        <v>37</v>
      </c>
      <c r="H363" s="30"/>
      <c r="I363" s="30"/>
      <c r="J363" s="30"/>
      <c r="K363" s="31"/>
      <c r="L363" s="31"/>
      <c r="M363" s="30"/>
      <c r="N363" s="30" t="s">
        <v>250</v>
      </c>
    </row>
    <row r="364" ht="15" spans="1:14">
      <c r="A364" s="28">
        <v>46045</v>
      </c>
      <c r="B364" s="29">
        <v>46045</v>
      </c>
      <c r="C364" s="30"/>
      <c r="D364" s="30"/>
      <c r="E364" s="30"/>
      <c r="F364" s="30">
        <v>1</v>
      </c>
      <c r="G364" s="30" t="s">
        <v>38</v>
      </c>
      <c r="H364" s="30">
        <f>IFERROR(VLOOKUP(G364,Basic_Data!$E$2:$I$9,5,0),"")</f>
        <v>5</v>
      </c>
      <c r="I364" s="30">
        <f>IFERROR(VLOOKUP($G364,Basic_Data!$E$2:$H$10,4,0),"")</f>
        <v>644</v>
      </c>
      <c r="J364" s="30"/>
      <c r="K364" s="31">
        <f>IFERROR(VLOOKUP($B364-1,Inverter_PR!$B:$I,Module_Cleaning!H364,0),"")</f>
        <v>1.16075438715354</v>
      </c>
      <c r="L364" s="31">
        <f>IFERROR(VLOOKUP($B364+1,Inverter_PR!$B:$I,Module_Cleaning!H364,0),"")</f>
        <v>1.2599276998227</v>
      </c>
      <c r="M364" s="30">
        <f>IFERROR(I364-J364,"")</f>
        <v>644</v>
      </c>
      <c r="N364" s="30" t="s">
        <v>250</v>
      </c>
    </row>
    <row r="365" ht="15" spans="1:14">
      <c r="A365" s="28">
        <v>46046</v>
      </c>
      <c r="B365" s="29">
        <v>46046</v>
      </c>
      <c r="C365" s="30">
        <v>0</v>
      </c>
      <c r="D365" s="30">
        <v>0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 t="s">
        <v>257</v>
      </c>
    </row>
    <row r="366" ht="15" spans="1:14">
      <c r="A366" s="28">
        <v>46047</v>
      </c>
      <c r="B366" s="29">
        <v>46047</v>
      </c>
      <c r="C366" s="30">
        <v>0</v>
      </c>
      <c r="D366" s="30">
        <v>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 t="s">
        <v>257</v>
      </c>
    </row>
    <row r="367" ht="15" spans="1:14">
      <c r="A367" s="28">
        <v>46048</v>
      </c>
      <c r="B367" s="29">
        <v>46048</v>
      </c>
      <c r="C367" s="30">
        <v>0</v>
      </c>
      <c r="D367" s="30">
        <v>0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 t="s">
        <v>257</v>
      </c>
    </row>
    <row r="368" ht="15" spans="1:14">
      <c r="A368" s="28">
        <v>46049</v>
      </c>
      <c r="B368" s="29">
        <v>46049</v>
      </c>
      <c r="C368" s="30">
        <v>0</v>
      </c>
      <c r="D368" s="30">
        <v>0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 t="s">
        <v>257</v>
      </c>
    </row>
    <row r="369" ht="15" spans="1:14">
      <c r="A369" s="28">
        <v>46050</v>
      </c>
      <c r="B369" s="29">
        <v>46050</v>
      </c>
      <c r="C369" s="30">
        <v>4</v>
      </c>
      <c r="D369" s="30">
        <v>12000</v>
      </c>
      <c r="E369" s="30">
        <v>0</v>
      </c>
      <c r="F369" s="30">
        <v>2</v>
      </c>
      <c r="G369" s="30" t="s">
        <v>36</v>
      </c>
      <c r="H369" s="30">
        <f>IFERROR(VLOOKUP(G369,Basic_Data!$E$2:$I$9,5,0),"")</f>
        <v>3</v>
      </c>
      <c r="I369" s="30">
        <f>IFERROR(VLOOKUP($G369,Basic_Data!$E$2:$H$10,4,0),"")</f>
        <v>616</v>
      </c>
      <c r="J369" s="30"/>
      <c r="K369" s="31">
        <f>IFERROR(VLOOKUP($B369-1,Inverter_PR!$B:$I,Module_Cleaning!H369,0),"")</f>
        <v>1.22090818299329</v>
      </c>
      <c r="L369" s="31">
        <f>IFERROR(VLOOKUP($B369+1,Inverter_PR!$B:$I,Module_Cleaning!H369,0),"")</f>
        <v>1.23723169881427</v>
      </c>
      <c r="M369" s="30">
        <f>IFERROR(I369-J369,"")</f>
        <v>616</v>
      </c>
      <c r="N369" s="30" t="s">
        <v>251</v>
      </c>
    </row>
    <row r="370" ht="15" spans="1:14">
      <c r="A370" s="28"/>
      <c r="B370" s="29"/>
      <c r="C370" s="30"/>
      <c r="D370" s="30"/>
      <c r="E370" s="30"/>
      <c r="F370" s="30">
        <v>2</v>
      </c>
      <c r="G370" s="30" t="s">
        <v>37</v>
      </c>
      <c r="H370" s="30"/>
      <c r="I370" s="30"/>
      <c r="J370" s="30"/>
      <c r="K370" s="31"/>
      <c r="L370" s="31"/>
      <c r="M370" s="30"/>
      <c r="N370" s="30" t="s">
        <v>251</v>
      </c>
    </row>
    <row r="371" ht="15" spans="1:14">
      <c r="A371" s="28"/>
      <c r="B371" s="29"/>
      <c r="C371" s="30"/>
      <c r="D371" s="30"/>
      <c r="E371" s="30"/>
      <c r="F371" s="30">
        <v>2</v>
      </c>
      <c r="G371" s="30" t="s">
        <v>38</v>
      </c>
      <c r="H371" s="30"/>
      <c r="I371" s="30"/>
      <c r="J371" s="30"/>
      <c r="K371" s="31"/>
      <c r="L371" s="31"/>
      <c r="M371" s="30"/>
      <c r="N371" s="30" t="s">
        <v>251</v>
      </c>
    </row>
    <row r="372" ht="15" spans="1:14">
      <c r="A372" s="28"/>
      <c r="B372" s="29"/>
      <c r="C372" s="30"/>
      <c r="D372" s="30"/>
      <c r="E372" s="30"/>
      <c r="F372" s="30">
        <v>2</v>
      </c>
      <c r="G372" s="30" t="s">
        <v>39</v>
      </c>
      <c r="H372" s="30"/>
      <c r="I372" s="30"/>
      <c r="J372" s="30"/>
      <c r="K372" s="31"/>
      <c r="L372" s="31"/>
      <c r="M372" s="30"/>
      <c r="N372" s="30" t="s">
        <v>251</v>
      </c>
    </row>
    <row r="373" ht="15" spans="1:14">
      <c r="A373" s="28"/>
      <c r="B373" s="29"/>
      <c r="C373" s="30"/>
      <c r="D373" s="30"/>
      <c r="E373" s="30"/>
      <c r="F373" s="30">
        <v>2</v>
      </c>
      <c r="G373" s="30" t="s">
        <v>40</v>
      </c>
      <c r="H373" s="30"/>
      <c r="I373" s="30"/>
      <c r="J373" s="30"/>
      <c r="K373" s="31"/>
      <c r="L373" s="31"/>
      <c r="M373" s="30"/>
      <c r="N373" s="30" t="s">
        <v>251</v>
      </c>
    </row>
    <row r="374" ht="15" spans="1:14">
      <c r="A374" s="28"/>
      <c r="B374" s="29"/>
      <c r="C374" s="30"/>
      <c r="D374" s="30"/>
      <c r="E374" s="30"/>
      <c r="F374" s="30">
        <v>2</v>
      </c>
      <c r="G374" s="30" t="s">
        <v>41</v>
      </c>
      <c r="H374" s="30"/>
      <c r="I374" s="30"/>
      <c r="J374" s="30"/>
      <c r="K374" s="31"/>
      <c r="L374" s="31"/>
      <c r="M374" s="30"/>
      <c r="N374" s="30" t="s">
        <v>251</v>
      </c>
    </row>
    <row r="375" ht="15" spans="1:14">
      <c r="A375" s="28">
        <v>46051</v>
      </c>
      <c r="B375" s="29">
        <v>46051</v>
      </c>
      <c r="C375" s="30">
        <v>1</v>
      </c>
      <c r="D375" s="30">
        <v>3000</v>
      </c>
      <c r="E375" s="30">
        <v>0</v>
      </c>
      <c r="F375" s="30">
        <v>2</v>
      </c>
      <c r="G375" s="30" t="s">
        <v>35</v>
      </c>
      <c r="H375" s="30">
        <f>IFERROR(VLOOKUP(G375,Basic_Data!$E$2:$I$9,5,0),"")</f>
        <v>2</v>
      </c>
      <c r="I375" s="30">
        <f>IFERROR(VLOOKUP($G375,Basic_Data!$E$2:$H$10,4,0),"")</f>
        <v>616</v>
      </c>
      <c r="J375" s="30"/>
      <c r="K375" s="31">
        <f>IFERROR(VLOOKUP($B375-1,Inverter_PR!$B:$I,Module_Cleaning!H375,0),"")</f>
        <v>1.19298376813505</v>
      </c>
      <c r="L375" s="31">
        <f>IFERROR(VLOOKUP($B375+1,Inverter_PR!$B:$I,Module_Cleaning!H375,0),"")</f>
        <v>1.19717740591513</v>
      </c>
      <c r="M375" s="30">
        <f>IFERROR(I375-J375,"")</f>
        <v>616</v>
      </c>
      <c r="N375" s="30" t="s">
        <v>251</v>
      </c>
    </row>
    <row r="376" ht="15" spans="1:14">
      <c r="A376" s="28">
        <v>46052</v>
      </c>
      <c r="B376" s="29">
        <v>46052</v>
      </c>
      <c r="C376" s="30">
        <v>0</v>
      </c>
      <c r="D376" s="30">
        <v>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 t="s">
        <v>257</v>
      </c>
    </row>
    <row r="377" ht="15" spans="1:14">
      <c r="A377" s="28">
        <v>46053</v>
      </c>
      <c r="B377" s="29">
        <v>46053</v>
      </c>
      <c r="C377" s="30">
        <v>0</v>
      </c>
      <c r="D377" s="30">
        <v>0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 t="s">
        <v>257</v>
      </c>
    </row>
    <row r="378" ht="15" spans="1:14">
      <c r="A378" s="28">
        <v>46054</v>
      </c>
      <c r="B378" s="29">
        <v>46054</v>
      </c>
      <c r="C378" s="30">
        <v>0</v>
      </c>
      <c r="D378" s="30">
        <v>0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 t="s">
        <v>257</v>
      </c>
    </row>
    <row r="379" ht="15" spans="1:14">
      <c r="A379" s="28">
        <v>46055</v>
      </c>
      <c r="B379" s="29">
        <v>46055</v>
      </c>
      <c r="C379" s="30">
        <v>0</v>
      </c>
      <c r="D379" s="30">
        <v>0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 t="s">
        <v>257</v>
      </c>
    </row>
    <row r="380" ht="15" spans="1:14">
      <c r="A380" s="28">
        <v>46056</v>
      </c>
      <c r="B380" s="29">
        <v>46056</v>
      </c>
      <c r="C380" s="30">
        <v>0</v>
      </c>
      <c r="D380" s="30">
        <v>0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 t="s">
        <v>257</v>
      </c>
    </row>
    <row r="381" ht="15" spans="1:14">
      <c r="A381" s="28">
        <v>46057</v>
      </c>
      <c r="B381" s="29">
        <v>46057</v>
      </c>
      <c r="C381" s="30">
        <v>0</v>
      </c>
      <c r="D381" s="30">
        <v>0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 t="s">
        <v>257</v>
      </c>
    </row>
    <row r="382" ht="15" spans="1:14">
      <c r="A382" s="28">
        <v>46058</v>
      </c>
      <c r="B382" s="29">
        <v>46058</v>
      </c>
      <c r="C382" s="30">
        <v>0</v>
      </c>
      <c r="D382" s="30">
        <v>0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 t="s">
        <v>257</v>
      </c>
    </row>
    <row r="383" ht="15" spans="1:14">
      <c r="A383" s="28">
        <v>46059</v>
      </c>
      <c r="B383" s="29">
        <v>46059</v>
      </c>
      <c r="C383" s="30">
        <v>0</v>
      </c>
      <c r="D383" s="30">
        <v>0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 t="s">
        <v>257</v>
      </c>
    </row>
    <row r="384" ht="15" spans="1:14">
      <c r="A384" s="28">
        <v>46060</v>
      </c>
      <c r="B384" s="29">
        <v>46060</v>
      </c>
      <c r="C384" s="30">
        <v>0</v>
      </c>
      <c r="D384" s="30">
        <v>0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 t="s">
        <v>257</v>
      </c>
    </row>
    <row r="385" ht="15" spans="1:14">
      <c r="A385" s="28">
        <v>46061</v>
      </c>
      <c r="B385" s="29">
        <v>46061</v>
      </c>
      <c r="C385" s="30">
        <v>0</v>
      </c>
      <c r="D385" s="30">
        <v>0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 t="s">
        <v>257</v>
      </c>
    </row>
    <row r="386" ht="15" spans="1:14">
      <c r="A386" s="28">
        <v>46062</v>
      </c>
      <c r="B386" s="29">
        <v>46062</v>
      </c>
      <c r="C386" s="30">
        <v>0</v>
      </c>
      <c r="D386" s="30">
        <v>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 t="s">
        <v>257</v>
      </c>
    </row>
    <row r="387" ht="15" spans="1:14">
      <c r="A387" s="28">
        <v>46063</v>
      </c>
      <c r="B387" s="29">
        <v>46063</v>
      </c>
      <c r="C387" s="30">
        <v>0</v>
      </c>
      <c r="D387" s="30">
        <v>0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 t="s">
        <v>257</v>
      </c>
    </row>
    <row r="388" ht="15" spans="1:14">
      <c r="A388" s="28">
        <v>46064</v>
      </c>
      <c r="B388" s="29">
        <v>46064</v>
      </c>
      <c r="C388" s="30">
        <v>0</v>
      </c>
      <c r="D388" s="30">
        <v>0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 t="s">
        <v>257</v>
      </c>
    </row>
    <row r="389" ht="15" spans="1:14">
      <c r="A389" s="28">
        <v>46065</v>
      </c>
      <c r="B389" s="29">
        <v>46065</v>
      </c>
      <c r="C389" s="30">
        <v>0</v>
      </c>
      <c r="D389" s="30">
        <v>0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 t="s">
        <v>257</v>
      </c>
    </row>
    <row r="390" ht="15" spans="1:14">
      <c r="A390" s="28">
        <v>46066</v>
      </c>
      <c r="B390" s="29">
        <v>46066</v>
      </c>
      <c r="C390" s="30">
        <v>2</v>
      </c>
      <c r="D390" s="30">
        <v>6000</v>
      </c>
      <c r="E390" s="30">
        <v>0</v>
      </c>
      <c r="F390" s="30">
        <v>0</v>
      </c>
      <c r="G390" s="30" t="s">
        <v>41</v>
      </c>
      <c r="H390" s="30">
        <f>IFERROR(VLOOKUP(G390,Basic_Data!$E$2:$I$9,5,0),"")</f>
        <v>8</v>
      </c>
      <c r="I390" s="30">
        <f>IFERROR(VLOOKUP($G390,Basic_Data!$E$2:$H$10,4,0),"")</f>
        <v>644</v>
      </c>
      <c r="J390" s="30"/>
      <c r="K390" s="31">
        <f>IFERROR(VLOOKUP($B390-1,Inverter_PR!$B:$I,Module_Cleaning!H390,0),"")</f>
        <v>1.10902547926339</v>
      </c>
      <c r="L390" s="49">
        <v>1.13</v>
      </c>
      <c r="M390" s="30">
        <f>IFERROR(I390-J390,"")</f>
        <v>644</v>
      </c>
      <c r="N390" s="30" t="s">
        <v>251</v>
      </c>
    </row>
    <row r="391" ht="15" spans="1:14">
      <c r="A391" s="28"/>
      <c r="B391" s="29"/>
      <c r="C391" s="30"/>
      <c r="D391" s="30"/>
      <c r="E391" s="30"/>
      <c r="F391" s="30"/>
      <c r="G391" s="30" t="s">
        <v>40</v>
      </c>
      <c r="H391" s="30"/>
      <c r="I391" s="30"/>
      <c r="J391" s="30"/>
      <c r="K391" s="31"/>
      <c r="L391" s="31"/>
      <c r="M391" s="30"/>
      <c r="N391" s="30" t="s">
        <v>251</v>
      </c>
    </row>
    <row r="392" ht="15" spans="1:14">
      <c r="A392" s="28"/>
      <c r="B392" s="29"/>
      <c r="C392" s="30"/>
      <c r="D392" s="30"/>
      <c r="E392" s="30"/>
      <c r="F392" s="30"/>
      <c r="G392" s="30" t="s">
        <v>39</v>
      </c>
      <c r="H392" s="30"/>
      <c r="I392" s="30"/>
      <c r="J392" s="30"/>
      <c r="K392" s="31"/>
      <c r="L392" s="31"/>
      <c r="M392" s="30"/>
      <c r="N392" s="30" t="s">
        <v>251</v>
      </c>
    </row>
    <row r="393" ht="15" spans="1:14">
      <c r="A393" s="28">
        <v>46067</v>
      </c>
      <c r="B393" s="29">
        <v>46067</v>
      </c>
      <c r="C393" s="30">
        <v>3</v>
      </c>
      <c r="D393" s="30">
        <v>9000</v>
      </c>
      <c r="E393" s="30"/>
      <c r="F393" s="30"/>
      <c r="G393" s="30" t="s">
        <v>38</v>
      </c>
      <c r="H393" s="30">
        <f>IFERROR(VLOOKUP(G393,Basic_Data!$E$2:$I$9,5,0),"")</f>
        <v>5</v>
      </c>
      <c r="I393" s="30">
        <f>IFERROR(VLOOKUP($G393,Basic_Data!$E$2:$H$10,4,0),"")</f>
        <v>644</v>
      </c>
      <c r="J393" s="30"/>
      <c r="K393" s="31">
        <f>IFERROR(VLOOKUP($B393-1,Inverter_PR!$B:$I,Module_Cleaning!H393,0),"")</f>
        <v>1.11583301353367</v>
      </c>
      <c r="L393" s="31">
        <v>1.18</v>
      </c>
      <c r="M393" s="30">
        <f>IFERROR(I393-J393,"")</f>
        <v>644</v>
      </c>
      <c r="N393" s="30" t="s">
        <v>251</v>
      </c>
    </row>
    <row r="394" ht="15" spans="1:14">
      <c r="A394" s="28"/>
      <c r="B394" s="29"/>
      <c r="C394" s="30"/>
      <c r="D394" s="30"/>
      <c r="E394" s="30"/>
      <c r="F394" s="30"/>
      <c r="G394" s="30" t="s">
        <v>37</v>
      </c>
      <c r="H394" s="30"/>
      <c r="I394" s="30"/>
      <c r="J394" s="30"/>
      <c r="K394" s="31"/>
      <c r="L394" s="31"/>
      <c r="M394" s="30"/>
      <c r="N394" s="30" t="s">
        <v>251</v>
      </c>
    </row>
    <row r="395" ht="15" spans="1:14">
      <c r="A395" s="28"/>
      <c r="B395" s="29"/>
      <c r="C395" s="30"/>
      <c r="D395" s="30"/>
      <c r="E395" s="30"/>
      <c r="F395" s="30"/>
      <c r="G395" s="30" t="s">
        <v>36</v>
      </c>
      <c r="H395" s="30"/>
      <c r="I395" s="30"/>
      <c r="J395" s="30"/>
      <c r="K395" s="31"/>
      <c r="L395" s="31"/>
      <c r="M395" s="30"/>
      <c r="N395" s="30" t="s">
        <v>251</v>
      </c>
    </row>
    <row r="396" ht="15" spans="1:14">
      <c r="A396" s="28"/>
      <c r="B396" s="29"/>
      <c r="C396" s="30"/>
      <c r="D396" s="30"/>
      <c r="E396" s="30"/>
      <c r="F396" s="30"/>
      <c r="G396" s="30" t="s">
        <v>35</v>
      </c>
      <c r="H396" s="30"/>
      <c r="I396" s="30"/>
      <c r="J396" s="30"/>
      <c r="K396" s="31"/>
      <c r="L396" s="31"/>
      <c r="M396" s="30"/>
      <c r="N396" s="30" t="s">
        <v>251</v>
      </c>
    </row>
    <row r="397" ht="15" spans="1:14">
      <c r="A397" s="28">
        <v>46068</v>
      </c>
      <c r="B397" s="29">
        <v>46068</v>
      </c>
      <c r="C397" s="30">
        <v>0</v>
      </c>
      <c r="D397" s="30">
        <v>0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 t="s">
        <v>257</v>
      </c>
    </row>
    <row r="398" ht="15" spans="1:14">
      <c r="A398" s="28">
        <v>46069</v>
      </c>
      <c r="B398" s="29">
        <v>46069</v>
      </c>
      <c r="C398" s="30">
        <v>0</v>
      </c>
      <c r="D398" s="30">
        <v>0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 t="s">
        <v>257</v>
      </c>
    </row>
    <row r="399" ht="15" spans="1:14">
      <c r="A399" s="28">
        <v>46070</v>
      </c>
      <c r="B399" s="29">
        <v>46070</v>
      </c>
      <c r="C399" s="30">
        <v>0</v>
      </c>
      <c r="D399" s="30">
        <v>0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 t="s">
        <v>257</v>
      </c>
    </row>
    <row r="400" ht="15" spans="1:14">
      <c r="A400" s="28">
        <v>46071</v>
      </c>
      <c r="B400" s="29">
        <v>46071</v>
      </c>
      <c r="C400" s="30">
        <v>0</v>
      </c>
      <c r="D400" s="30">
        <v>0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 t="s">
        <v>257</v>
      </c>
    </row>
    <row r="401" ht="15" spans="1:14">
      <c r="A401" s="28">
        <v>46072</v>
      </c>
      <c r="B401" s="29">
        <v>46072</v>
      </c>
      <c r="C401" s="30">
        <v>0</v>
      </c>
      <c r="D401" s="30">
        <v>0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 t="s">
        <v>257</v>
      </c>
    </row>
    <row r="402" ht="15" spans="1:14">
      <c r="A402" s="28">
        <v>46073</v>
      </c>
      <c r="B402" s="29">
        <v>46073</v>
      </c>
      <c r="C402" s="30">
        <v>0</v>
      </c>
      <c r="D402" s="30">
        <v>0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 t="s">
        <v>257</v>
      </c>
    </row>
    <row r="403" ht="15" spans="1:14">
      <c r="A403" s="28">
        <v>46074</v>
      </c>
      <c r="B403" s="29">
        <v>46074</v>
      </c>
      <c r="C403" s="30">
        <v>0</v>
      </c>
      <c r="D403" s="30">
        <v>0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 t="s">
        <v>257</v>
      </c>
    </row>
    <row r="404" ht="15" spans="1:14">
      <c r="A404" s="28">
        <v>46075</v>
      </c>
      <c r="B404" s="29">
        <v>46075</v>
      </c>
      <c r="C404" s="30">
        <v>0</v>
      </c>
      <c r="D404" s="30">
        <v>0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 t="s">
        <v>257</v>
      </c>
    </row>
    <row r="405" ht="15" spans="1:14">
      <c r="A405" s="28">
        <v>46076</v>
      </c>
      <c r="B405" s="29">
        <v>46076</v>
      </c>
      <c r="C405" s="30">
        <v>0</v>
      </c>
      <c r="D405" s="30">
        <v>0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 t="s">
        <v>257</v>
      </c>
    </row>
    <row r="406" ht="15" spans="1:14">
      <c r="A406" s="28">
        <v>46077</v>
      </c>
      <c r="B406" s="29">
        <v>46077</v>
      </c>
      <c r="C406" s="30">
        <v>0</v>
      </c>
      <c r="D406" s="30">
        <v>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 t="s">
        <v>257</v>
      </c>
    </row>
    <row r="407" ht="15" spans="1:14">
      <c r="A407" s="28">
        <v>46078</v>
      </c>
      <c r="B407" s="29">
        <v>46078</v>
      </c>
      <c r="C407" s="30">
        <v>2</v>
      </c>
      <c r="D407" s="30">
        <v>6000</v>
      </c>
      <c r="E407" s="30"/>
      <c r="F407" s="30"/>
      <c r="G407" s="30" t="s">
        <v>41</v>
      </c>
      <c r="H407" s="30">
        <f>IFERROR(VLOOKUP(G407,Basic_Data!$E$2:$I$9,5,0),"")</f>
        <v>8</v>
      </c>
      <c r="I407" s="30">
        <f>IFERROR(VLOOKUP($G407,Basic_Data!$E$2:$H$10,4,0),"")</f>
        <v>644</v>
      </c>
      <c r="J407" s="30"/>
      <c r="K407" s="31">
        <f>IFERROR(VLOOKUP($B407-1,Inverter_PR!$B:$I,Module_Cleaning!H407,0),"")</f>
        <v>1.08478687899409</v>
      </c>
      <c r="L407" s="31">
        <f>IFERROR(VLOOKUP($B407+1,Inverter_PR!$B:$I,Module_Cleaning!H407,0),"")</f>
        <v>1.12867644066003</v>
      </c>
      <c r="M407" s="30">
        <f>IFERROR(I407-J407,"")</f>
        <v>644</v>
      </c>
      <c r="N407" s="30" t="s">
        <v>251</v>
      </c>
    </row>
    <row r="408" ht="15" spans="1:14">
      <c r="A408" s="28"/>
      <c r="B408" s="29"/>
      <c r="C408" s="30"/>
      <c r="D408" s="30"/>
      <c r="E408" s="30"/>
      <c r="F408" s="30"/>
      <c r="G408" s="30" t="s">
        <v>40</v>
      </c>
      <c r="H408" s="30"/>
      <c r="I408" s="30"/>
      <c r="J408" s="30"/>
      <c r="K408" s="31"/>
      <c r="L408" s="31"/>
      <c r="M408" s="30"/>
      <c r="N408" s="30" t="s">
        <v>251</v>
      </c>
    </row>
    <row r="409" ht="15" spans="1:14">
      <c r="A409" s="28"/>
      <c r="B409" s="29"/>
      <c r="C409" s="30"/>
      <c r="D409" s="30"/>
      <c r="E409" s="30"/>
      <c r="F409" s="30"/>
      <c r="G409" s="30" t="s">
        <v>39</v>
      </c>
      <c r="H409" s="30"/>
      <c r="I409" s="30"/>
      <c r="J409" s="30"/>
      <c r="K409" s="31"/>
      <c r="L409" s="31"/>
      <c r="M409" s="30"/>
      <c r="N409" s="30" t="s">
        <v>251</v>
      </c>
    </row>
    <row r="410" ht="15" spans="1:14">
      <c r="A410" s="28"/>
      <c r="B410" s="29"/>
      <c r="C410" s="30"/>
      <c r="D410" s="30"/>
      <c r="E410" s="30"/>
      <c r="F410" s="30"/>
      <c r="G410" s="30" t="s">
        <v>38</v>
      </c>
      <c r="H410" s="30"/>
      <c r="I410" s="30"/>
      <c r="J410" s="30"/>
      <c r="K410" s="31"/>
      <c r="L410" s="31"/>
      <c r="M410" s="30"/>
      <c r="N410" s="30" t="s">
        <v>251</v>
      </c>
    </row>
    <row r="411" ht="15" spans="1:14">
      <c r="A411" s="28">
        <v>46079</v>
      </c>
      <c r="B411" s="29">
        <v>46079</v>
      </c>
      <c r="C411" s="30">
        <v>2</v>
      </c>
      <c r="D411" s="30">
        <v>6000</v>
      </c>
      <c r="E411" s="30"/>
      <c r="F411" s="30"/>
      <c r="G411" s="30" t="s">
        <v>37</v>
      </c>
      <c r="H411" s="30">
        <f>IFERROR(VLOOKUP(G411,Basic_Data!$E$2:$I$9,5,0),"")</f>
        <v>4</v>
      </c>
      <c r="I411" s="30">
        <f>IFERROR(VLOOKUP($G411,Basic_Data!$E$2:$H$10,4,0),"")</f>
        <v>616</v>
      </c>
      <c r="J411" s="30"/>
      <c r="K411" s="31">
        <f>IFERROR(VLOOKUP($B411-1,Inverter_PR!$B:$I,Module_Cleaning!H411,0),"")</f>
        <v>1.11709234461898</v>
      </c>
      <c r="L411" s="31">
        <f>IFERROR(VLOOKUP($B411+1,Inverter_PR!$B:$I,Module_Cleaning!H411,0),"")</f>
        <v>1.218678910166</v>
      </c>
      <c r="M411" s="30">
        <f>IFERROR(I411-J411,"")</f>
        <v>616</v>
      </c>
      <c r="N411" s="30" t="s">
        <v>251</v>
      </c>
    </row>
    <row r="412" ht="15" spans="1:14">
      <c r="A412" s="28"/>
      <c r="B412" s="29"/>
      <c r="C412" s="30"/>
      <c r="D412" s="30"/>
      <c r="E412" s="30"/>
      <c r="F412" s="30"/>
      <c r="G412" s="30" t="s">
        <v>36</v>
      </c>
      <c r="H412" s="30"/>
      <c r="I412" s="30"/>
      <c r="J412" s="30"/>
      <c r="K412" s="31"/>
      <c r="L412" s="31"/>
      <c r="M412" s="30"/>
      <c r="N412" s="30" t="s">
        <v>251</v>
      </c>
    </row>
    <row r="413" ht="15" spans="1:14">
      <c r="A413" s="28"/>
      <c r="B413" s="29"/>
      <c r="C413" s="30"/>
      <c r="D413" s="30"/>
      <c r="E413" s="30"/>
      <c r="F413" s="30"/>
      <c r="G413" s="30" t="s">
        <v>35</v>
      </c>
      <c r="H413" s="30"/>
      <c r="I413" s="30"/>
      <c r="J413" s="30"/>
      <c r="K413" s="31"/>
      <c r="L413" s="31"/>
      <c r="M413" s="30"/>
      <c r="N413" s="30" t="s">
        <v>251</v>
      </c>
    </row>
    <row r="414" ht="15" spans="1:14">
      <c r="A414" s="28">
        <v>46080</v>
      </c>
      <c r="B414" s="29">
        <v>46080</v>
      </c>
      <c r="C414" s="30">
        <v>0</v>
      </c>
      <c r="D414" s="30">
        <v>0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 t="s">
        <v>257</v>
      </c>
    </row>
    <row r="415" ht="15" spans="1:14">
      <c r="A415" s="28">
        <v>46081</v>
      </c>
      <c r="B415" s="29">
        <v>46081</v>
      </c>
      <c r="C415" s="30">
        <v>0</v>
      </c>
      <c r="D415" s="30">
        <v>0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 t="s">
        <v>257</v>
      </c>
    </row>
    <row r="416" ht="15" spans="1:14">
      <c r="A416" s="28">
        <v>46082</v>
      </c>
      <c r="B416" s="29">
        <v>46082</v>
      </c>
      <c r="C416" s="30">
        <v>0</v>
      </c>
      <c r="D416" s="30">
        <v>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 t="s">
        <v>257</v>
      </c>
    </row>
    <row r="417" ht="15" spans="1:14">
      <c r="A417" s="28">
        <v>46083</v>
      </c>
      <c r="B417" s="29">
        <v>46083</v>
      </c>
      <c r="C417" s="30">
        <v>0</v>
      </c>
      <c r="D417" s="30">
        <v>0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 t="s">
        <v>257</v>
      </c>
    </row>
    <row r="418" ht="15" spans="1:14">
      <c r="A418" s="28">
        <v>46084</v>
      </c>
      <c r="B418" s="29">
        <v>46084</v>
      </c>
      <c r="C418" s="30">
        <v>0</v>
      </c>
      <c r="D418" s="30">
        <v>0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 t="s">
        <v>257</v>
      </c>
    </row>
    <row r="419" ht="15" spans="1:14">
      <c r="A419" s="28">
        <v>46085</v>
      </c>
      <c r="B419" s="29">
        <v>46085</v>
      </c>
      <c r="C419" s="30">
        <v>0</v>
      </c>
      <c r="D419" s="30">
        <v>0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 t="s">
        <v>257</v>
      </c>
    </row>
    <row r="420" ht="15" spans="1:14">
      <c r="A420" s="28">
        <v>46086</v>
      </c>
      <c r="B420" s="29">
        <v>46086</v>
      </c>
      <c r="C420" s="30">
        <v>0</v>
      </c>
      <c r="D420" s="30">
        <v>0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 t="s">
        <v>257</v>
      </c>
    </row>
    <row r="421" ht="15" spans="1:14">
      <c r="A421" s="28">
        <v>46087</v>
      </c>
      <c r="B421" s="29">
        <v>46087</v>
      </c>
      <c r="C421" s="30">
        <v>0</v>
      </c>
      <c r="D421" s="30">
        <v>0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 t="s">
        <v>257</v>
      </c>
    </row>
    <row r="422" ht="15" spans="1:14">
      <c r="A422" s="28">
        <v>46088</v>
      </c>
      <c r="B422" s="29">
        <v>46088</v>
      </c>
      <c r="C422" s="30">
        <v>0</v>
      </c>
      <c r="D422" s="30">
        <v>0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 t="s">
        <v>257</v>
      </c>
    </row>
    <row r="423" ht="15" spans="1:14">
      <c r="A423" s="28">
        <v>46089</v>
      </c>
      <c r="B423" s="29">
        <v>46089</v>
      </c>
      <c r="C423" s="30">
        <v>0</v>
      </c>
      <c r="D423" s="30">
        <v>0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 t="s">
        <v>257</v>
      </c>
    </row>
    <row r="424" ht="15" spans="1:14">
      <c r="A424" s="28">
        <v>46090</v>
      </c>
      <c r="B424" s="29">
        <v>46090</v>
      </c>
      <c r="C424" s="30">
        <v>0</v>
      </c>
      <c r="D424" s="30">
        <v>0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 t="s">
        <v>257</v>
      </c>
    </row>
    <row r="425" ht="15" spans="1:14">
      <c r="A425" s="28">
        <v>46091</v>
      </c>
      <c r="B425" s="29">
        <v>46091</v>
      </c>
      <c r="C425" s="30">
        <v>0</v>
      </c>
      <c r="D425" s="30">
        <v>0</v>
      </c>
      <c r="E425" s="30">
        <v>0</v>
      </c>
      <c r="F425" s="30">
        <v>0</v>
      </c>
      <c r="G425" s="30">
        <v>0</v>
      </c>
      <c r="H425" s="30">
        <v>0</v>
      </c>
      <c r="I425" s="30">
        <v>0</v>
      </c>
      <c r="J425" s="30">
        <v>0</v>
      </c>
      <c r="K425" s="30">
        <v>0</v>
      </c>
      <c r="L425" s="30">
        <v>0</v>
      </c>
      <c r="M425" s="30">
        <v>0</v>
      </c>
      <c r="N425" s="30" t="s">
        <v>257</v>
      </c>
    </row>
    <row r="426" ht="15" spans="1:14">
      <c r="A426" s="28">
        <v>46092</v>
      </c>
      <c r="B426" s="29">
        <v>46092</v>
      </c>
      <c r="C426" s="30">
        <v>0</v>
      </c>
      <c r="D426" s="30">
        <v>0</v>
      </c>
      <c r="E426" s="30">
        <v>0</v>
      </c>
      <c r="F426" s="30">
        <v>0</v>
      </c>
      <c r="G426" s="30">
        <v>0</v>
      </c>
      <c r="H426" s="30">
        <v>0</v>
      </c>
      <c r="I426" s="30">
        <v>0</v>
      </c>
      <c r="J426" s="30">
        <v>0</v>
      </c>
      <c r="K426" s="30">
        <v>0</v>
      </c>
      <c r="L426" s="30">
        <v>0</v>
      </c>
      <c r="M426" s="30">
        <v>0</v>
      </c>
      <c r="N426" s="30" t="s">
        <v>257</v>
      </c>
    </row>
    <row r="427" ht="15" spans="1:14">
      <c r="A427" s="28">
        <v>46093</v>
      </c>
      <c r="B427" s="29">
        <v>46093</v>
      </c>
      <c r="C427" s="30">
        <v>0</v>
      </c>
      <c r="D427" s="30">
        <v>0</v>
      </c>
      <c r="E427" s="30">
        <v>0</v>
      </c>
      <c r="F427" s="30">
        <v>0</v>
      </c>
      <c r="G427" s="30">
        <v>0</v>
      </c>
      <c r="H427" s="30">
        <v>0</v>
      </c>
      <c r="I427" s="30">
        <v>0</v>
      </c>
      <c r="J427" s="30">
        <v>0</v>
      </c>
      <c r="K427" s="30">
        <v>0</v>
      </c>
      <c r="L427" s="30">
        <v>0</v>
      </c>
      <c r="M427" s="30">
        <v>0</v>
      </c>
      <c r="N427" s="30" t="s">
        <v>257</v>
      </c>
    </row>
    <row r="428" ht="15" spans="1:14">
      <c r="A428" s="28">
        <v>46094</v>
      </c>
      <c r="B428" s="29">
        <v>46094</v>
      </c>
      <c r="C428" s="30">
        <v>0</v>
      </c>
      <c r="D428" s="30">
        <v>0</v>
      </c>
      <c r="E428" s="30">
        <v>0</v>
      </c>
      <c r="F428" s="30">
        <v>0</v>
      </c>
      <c r="G428" s="30">
        <v>0</v>
      </c>
      <c r="H428" s="30">
        <v>0</v>
      </c>
      <c r="I428" s="30">
        <v>0</v>
      </c>
      <c r="J428" s="30">
        <v>0</v>
      </c>
      <c r="K428" s="30">
        <v>0</v>
      </c>
      <c r="L428" s="30">
        <v>0</v>
      </c>
      <c r="M428" s="30">
        <v>0</v>
      </c>
      <c r="N428" s="30" t="s">
        <v>257</v>
      </c>
    </row>
    <row r="429" ht="15" spans="1:14">
      <c r="A429" s="28">
        <v>46095</v>
      </c>
      <c r="B429" s="29">
        <v>46095</v>
      </c>
      <c r="C429" s="30">
        <v>0</v>
      </c>
      <c r="D429" s="30">
        <v>0</v>
      </c>
      <c r="E429" s="30">
        <v>0</v>
      </c>
      <c r="F429" s="30">
        <v>0</v>
      </c>
      <c r="G429" s="30">
        <v>0</v>
      </c>
      <c r="H429" s="30">
        <v>0</v>
      </c>
      <c r="I429" s="30">
        <v>0</v>
      </c>
      <c r="J429" s="30">
        <v>0</v>
      </c>
      <c r="K429" s="30">
        <v>0</v>
      </c>
      <c r="L429" s="30">
        <v>0</v>
      </c>
      <c r="M429" s="30">
        <v>0</v>
      </c>
      <c r="N429" s="30" t="s">
        <v>257</v>
      </c>
    </row>
    <row r="430" ht="15" spans="1:14">
      <c r="A430" s="28">
        <v>46096</v>
      </c>
      <c r="B430" s="29">
        <v>46096</v>
      </c>
      <c r="C430" s="30">
        <v>0</v>
      </c>
      <c r="D430" s="30">
        <v>0</v>
      </c>
      <c r="E430" s="30">
        <v>0</v>
      </c>
      <c r="F430" s="30">
        <v>0</v>
      </c>
      <c r="G430" s="30">
        <v>0</v>
      </c>
      <c r="H430" s="30">
        <v>0</v>
      </c>
      <c r="I430" s="30">
        <v>0</v>
      </c>
      <c r="J430" s="30">
        <v>0</v>
      </c>
      <c r="K430" s="30">
        <v>0</v>
      </c>
      <c r="L430" s="30">
        <v>0</v>
      </c>
      <c r="M430" s="30">
        <v>0</v>
      </c>
      <c r="N430" s="30" t="s">
        <v>257</v>
      </c>
    </row>
    <row r="431" ht="15" spans="1:14">
      <c r="A431" s="28">
        <v>46097</v>
      </c>
      <c r="B431" s="29">
        <v>46097</v>
      </c>
      <c r="C431" s="30">
        <v>0</v>
      </c>
      <c r="D431" s="30">
        <v>0</v>
      </c>
      <c r="E431" s="30">
        <v>0</v>
      </c>
      <c r="F431" s="30">
        <v>0</v>
      </c>
      <c r="G431" s="30">
        <v>0</v>
      </c>
      <c r="H431" s="30">
        <v>0</v>
      </c>
      <c r="I431" s="30">
        <v>0</v>
      </c>
      <c r="J431" s="30">
        <v>0</v>
      </c>
      <c r="K431" s="30">
        <v>0</v>
      </c>
      <c r="L431" s="30">
        <v>0</v>
      </c>
      <c r="M431" s="30">
        <v>0</v>
      </c>
      <c r="N431" s="30" t="s">
        <v>257</v>
      </c>
    </row>
    <row r="432" ht="15" spans="1:14">
      <c r="A432" s="28">
        <v>46098</v>
      </c>
      <c r="B432" s="29">
        <v>46098</v>
      </c>
      <c r="C432" s="30">
        <v>2</v>
      </c>
      <c r="D432" s="30">
        <v>6000</v>
      </c>
      <c r="E432" s="30">
        <v>0</v>
      </c>
      <c r="F432" s="30">
        <v>0</v>
      </c>
      <c r="G432" s="30" t="s">
        <v>35</v>
      </c>
      <c r="H432" s="30">
        <f>IFERROR(VLOOKUP(G432,Basic_Data!$E$2:$I$9,5,0),"")</f>
        <v>2</v>
      </c>
      <c r="I432" s="30">
        <f>IFERROR(VLOOKUP($G432,Basic_Data!$E$2:$H$10,4,0),"")</f>
        <v>616</v>
      </c>
      <c r="J432" s="30"/>
      <c r="K432" s="31">
        <f>IFERROR(VLOOKUP($B432-1,Inverter_PR!$B:$I,Module_Cleaning!H432,0),"")</f>
        <v>1.09532766667258</v>
      </c>
      <c r="L432" s="31">
        <f>IFERROR(VLOOKUP($B432+1,Inverter_PR!$B:$I,Module_Cleaning!H432,0),"")</f>
        <v>1.13710682408587</v>
      </c>
      <c r="M432" s="30">
        <f>IFERROR(I432-J432,"")</f>
        <v>616</v>
      </c>
      <c r="N432" s="30" t="s">
        <v>251</v>
      </c>
    </row>
    <row r="433" ht="15" spans="1:14">
      <c r="A433" s="28">
        <v>46098</v>
      </c>
      <c r="B433" s="29">
        <v>46098</v>
      </c>
      <c r="C433" s="30"/>
      <c r="D433" s="30"/>
      <c r="E433" s="30"/>
      <c r="F433" s="30"/>
      <c r="G433" s="30" t="s">
        <v>36</v>
      </c>
      <c r="H433" s="30"/>
      <c r="I433" s="30"/>
      <c r="J433" s="30"/>
      <c r="K433" s="31"/>
      <c r="L433" s="31"/>
      <c r="M433" s="30"/>
      <c r="N433" s="30" t="s">
        <v>251</v>
      </c>
    </row>
    <row r="434" ht="15" spans="1:14">
      <c r="A434" s="28">
        <v>46098</v>
      </c>
      <c r="B434" s="29">
        <v>46098</v>
      </c>
      <c r="C434" s="30"/>
      <c r="D434" s="30"/>
      <c r="E434" s="30"/>
      <c r="F434" s="30"/>
      <c r="G434" s="30" t="s">
        <v>37</v>
      </c>
      <c r="H434" s="30"/>
      <c r="I434" s="30"/>
      <c r="J434" s="30"/>
      <c r="K434" s="31"/>
      <c r="L434" s="31"/>
      <c r="M434" s="30"/>
      <c r="N434" s="30" t="s">
        <v>251</v>
      </c>
    </row>
    <row r="435" ht="15" spans="1:14">
      <c r="A435" s="28">
        <v>46099</v>
      </c>
      <c r="B435" s="29">
        <v>46099</v>
      </c>
      <c r="C435" s="30">
        <v>2</v>
      </c>
      <c r="D435" s="30">
        <v>6000</v>
      </c>
      <c r="E435" s="30">
        <v>0</v>
      </c>
      <c r="F435" s="30">
        <v>0</v>
      </c>
      <c r="G435" s="30" t="s">
        <v>38</v>
      </c>
      <c r="H435" s="30">
        <v>0</v>
      </c>
      <c r="I435" s="30">
        <v>0</v>
      </c>
      <c r="J435" s="30">
        <v>0</v>
      </c>
      <c r="K435" s="30">
        <v>0</v>
      </c>
      <c r="L435" s="30">
        <v>0</v>
      </c>
      <c r="M435" s="30">
        <v>0</v>
      </c>
      <c r="N435" s="30" t="s">
        <v>251</v>
      </c>
    </row>
    <row r="436" ht="15" spans="1:14">
      <c r="A436" s="28">
        <v>46099</v>
      </c>
      <c r="B436" s="29">
        <v>46099</v>
      </c>
      <c r="C436" s="30"/>
      <c r="D436" s="30"/>
      <c r="E436" s="30"/>
      <c r="F436" s="30"/>
      <c r="G436" s="30" t="s">
        <v>39</v>
      </c>
      <c r="H436" s="30"/>
      <c r="I436" s="30"/>
      <c r="J436" s="30"/>
      <c r="K436" s="30"/>
      <c r="L436" s="30"/>
      <c r="M436" s="30"/>
      <c r="N436" s="30" t="s">
        <v>251</v>
      </c>
    </row>
    <row r="437" ht="15" spans="1:14">
      <c r="A437" s="28">
        <v>46099</v>
      </c>
      <c r="B437" s="29">
        <v>46099</v>
      </c>
      <c r="C437" s="30"/>
      <c r="D437" s="30"/>
      <c r="E437" s="30"/>
      <c r="F437" s="30"/>
      <c r="G437" s="30" t="s">
        <v>40</v>
      </c>
      <c r="H437" s="30"/>
      <c r="I437" s="30"/>
      <c r="J437" s="30"/>
      <c r="K437" s="30"/>
      <c r="L437" s="30"/>
      <c r="M437" s="30"/>
      <c r="N437" s="30" t="s">
        <v>251</v>
      </c>
    </row>
    <row r="438" ht="15" spans="1:14">
      <c r="A438" s="28">
        <v>46099</v>
      </c>
      <c r="B438" s="29">
        <v>46099</v>
      </c>
      <c r="C438" s="30"/>
      <c r="D438" s="30"/>
      <c r="E438" s="30"/>
      <c r="F438" s="30"/>
      <c r="G438" s="30" t="s">
        <v>41</v>
      </c>
      <c r="H438" s="30"/>
      <c r="I438" s="30"/>
      <c r="J438" s="30"/>
      <c r="K438" s="30"/>
      <c r="L438" s="30"/>
      <c r="M438" s="30"/>
      <c r="N438" s="30" t="s">
        <v>251</v>
      </c>
    </row>
    <row r="439" ht="15" spans="1:14">
      <c r="A439" s="28">
        <v>46100</v>
      </c>
      <c r="B439" s="29">
        <v>46100</v>
      </c>
      <c r="C439" s="30">
        <v>0</v>
      </c>
      <c r="D439" s="30">
        <v>0</v>
      </c>
      <c r="E439" s="30">
        <v>0</v>
      </c>
      <c r="F439" s="30">
        <v>0</v>
      </c>
      <c r="G439" s="30">
        <v>0</v>
      </c>
      <c r="H439" s="30">
        <v>0</v>
      </c>
      <c r="I439" s="30">
        <v>0</v>
      </c>
      <c r="J439" s="30">
        <v>0</v>
      </c>
      <c r="K439" s="30">
        <v>0</v>
      </c>
      <c r="L439" s="30">
        <v>0</v>
      </c>
      <c r="M439" s="30">
        <v>0</v>
      </c>
      <c r="N439" s="30" t="s">
        <v>257</v>
      </c>
    </row>
    <row r="440" ht="15" spans="1:14">
      <c r="A440" s="28">
        <v>46101</v>
      </c>
      <c r="B440" s="29">
        <v>46101</v>
      </c>
      <c r="C440" s="30">
        <v>0</v>
      </c>
      <c r="D440" s="30">
        <v>0</v>
      </c>
      <c r="E440" s="30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  <c r="K440" s="30">
        <v>0</v>
      </c>
      <c r="L440" s="30">
        <v>0</v>
      </c>
      <c r="M440" s="30">
        <v>0</v>
      </c>
      <c r="N440" s="30" t="s">
        <v>257</v>
      </c>
    </row>
    <row r="441" ht="15" spans="1:14">
      <c r="A441" s="28">
        <v>46102</v>
      </c>
      <c r="B441" s="29">
        <v>46102</v>
      </c>
      <c r="C441" s="30">
        <v>0</v>
      </c>
      <c r="D441" s="30">
        <v>0</v>
      </c>
      <c r="E441" s="30">
        <v>0</v>
      </c>
      <c r="F441" s="30">
        <v>0</v>
      </c>
      <c r="G441" s="30">
        <v>0</v>
      </c>
      <c r="H441" s="30">
        <v>0</v>
      </c>
      <c r="I441" s="30">
        <v>0</v>
      </c>
      <c r="J441" s="30">
        <v>0</v>
      </c>
      <c r="K441" s="30">
        <v>0</v>
      </c>
      <c r="L441" s="30">
        <v>0</v>
      </c>
      <c r="M441" s="30">
        <v>0</v>
      </c>
      <c r="N441" s="30" t="s">
        <v>257</v>
      </c>
    </row>
    <row r="442" ht="15" spans="1:14">
      <c r="A442" s="28">
        <v>46103</v>
      </c>
      <c r="B442" s="29">
        <v>46103</v>
      </c>
      <c r="C442" s="30">
        <v>0</v>
      </c>
      <c r="D442" s="30">
        <v>0</v>
      </c>
      <c r="E442" s="30">
        <v>0</v>
      </c>
      <c r="F442" s="30">
        <v>0</v>
      </c>
      <c r="G442" s="30">
        <v>0</v>
      </c>
      <c r="H442" s="30">
        <v>0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 t="s">
        <v>257</v>
      </c>
    </row>
    <row r="443" ht="15" spans="1:14">
      <c r="A443" s="28">
        <v>46104</v>
      </c>
      <c r="B443" s="29">
        <v>46104</v>
      </c>
      <c r="C443" s="30">
        <v>0</v>
      </c>
      <c r="D443" s="30">
        <v>0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  <c r="K443" s="30">
        <v>0</v>
      </c>
      <c r="L443" s="30">
        <v>0</v>
      </c>
      <c r="M443" s="30">
        <f t="shared" ref="M443:M449" si="124">IFERROR(I443-J443,"")</f>
        <v>0</v>
      </c>
      <c r="N443" s="30" t="s">
        <v>257</v>
      </c>
    </row>
    <row r="444" ht="15" spans="1:14">
      <c r="A444" s="28">
        <v>46105</v>
      </c>
      <c r="B444" s="29">
        <v>46105</v>
      </c>
      <c r="C444" s="30">
        <v>0</v>
      </c>
      <c r="D444" s="30">
        <v>0</v>
      </c>
      <c r="E444" s="30">
        <v>0</v>
      </c>
      <c r="F444" s="30">
        <v>0</v>
      </c>
      <c r="G444" s="30">
        <v>0</v>
      </c>
      <c r="H444" s="30">
        <v>0</v>
      </c>
      <c r="I444" s="30">
        <v>0</v>
      </c>
      <c r="J444" s="30">
        <v>0</v>
      </c>
      <c r="K444" s="30">
        <v>0</v>
      </c>
      <c r="L444" s="30">
        <v>0</v>
      </c>
      <c r="M444" s="30">
        <f t="shared" si="124"/>
        <v>0</v>
      </c>
      <c r="N444" s="30" t="s">
        <v>257</v>
      </c>
    </row>
    <row r="445" ht="15" spans="1:14">
      <c r="A445" s="28">
        <v>46106</v>
      </c>
      <c r="B445" s="29">
        <v>46106</v>
      </c>
      <c r="C445" s="30">
        <v>0</v>
      </c>
      <c r="D445" s="30">
        <v>0</v>
      </c>
      <c r="E445" s="30">
        <v>0</v>
      </c>
      <c r="F445" s="30">
        <v>0</v>
      </c>
      <c r="G445" s="30">
        <v>0</v>
      </c>
      <c r="H445" s="30">
        <v>0</v>
      </c>
      <c r="I445" s="30">
        <v>0</v>
      </c>
      <c r="J445" s="30">
        <v>0</v>
      </c>
      <c r="K445" s="30">
        <v>0</v>
      </c>
      <c r="L445" s="30">
        <v>0</v>
      </c>
      <c r="M445" s="30">
        <f t="shared" si="124"/>
        <v>0</v>
      </c>
      <c r="N445" s="30" t="s">
        <v>257</v>
      </c>
    </row>
    <row r="446" ht="15" spans="1:14">
      <c r="A446" s="28">
        <v>46107</v>
      </c>
      <c r="B446" s="29">
        <v>46107</v>
      </c>
      <c r="C446" s="30">
        <v>0</v>
      </c>
      <c r="D446" s="30">
        <v>0</v>
      </c>
      <c r="E446" s="30">
        <v>0</v>
      </c>
      <c r="F446" s="30">
        <v>0</v>
      </c>
      <c r="G446" s="30">
        <v>0</v>
      </c>
      <c r="H446" s="30">
        <v>0</v>
      </c>
      <c r="I446" s="30">
        <v>0</v>
      </c>
      <c r="J446" s="30">
        <v>0</v>
      </c>
      <c r="K446" s="30">
        <v>0</v>
      </c>
      <c r="L446" s="30">
        <v>0</v>
      </c>
      <c r="M446" s="30">
        <f t="shared" si="124"/>
        <v>0</v>
      </c>
      <c r="N446" s="30" t="s">
        <v>257</v>
      </c>
    </row>
    <row r="447" ht="15" spans="1:14">
      <c r="A447" s="28">
        <v>46108</v>
      </c>
      <c r="B447" s="29">
        <v>46108</v>
      </c>
      <c r="C447" s="30">
        <v>0</v>
      </c>
      <c r="D447" s="30">
        <v>0</v>
      </c>
      <c r="E447" s="30">
        <v>0</v>
      </c>
      <c r="F447" s="30">
        <v>0</v>
      </c>
      <c r="G447" s="30">
        <v>0</v>
      </c>
      <c r="H447" s="30">
        <v>0</v>
      </c>
      <c r="I447" s="30">
        <v>0</v>
      </c>
      <c r="J447" s="30">
        <v>0</v>
      </c>
      <c r="K447" s="30">
        <v>0</v>
      </c>
      <c r="L447" s="30">
        <v>0</v>
      </c>
      <c r="M447" s="30">
        <f t="shared" si="124"/>
        <v>0</v>
      </c>
      <c r="N447" s="30" t="s">
        <v>257</v>
      </c>
    </row>
    <row r="448" ht="15" spans="1:14">
      <c r="A448" s="28">
        <v>46109</v>
      </c>
      <c r="B448" s="29">
        <v>46109</v>
      </c>
      <c r="C448" s="30">
        <v>0</v>
      </c>
      <c r="D448" s="30">
        <v>0</v>
      </c>
      <c r="E448" s="30">
        <v>0</v>
      </c>
      <c r="F448" s="30">
        <v>0</v>
      </c>
      <c r="G448" s="30">
        <v>0</v>
      </c>
      <c r="H448" s="30">
        <v>0</v>
      </c>
      <c r="I448" s="30">
        <v>0</v>
      </c>
      <c r="J448" s="30">
        <v>0</v>
      </c>
      <c r="K448" s="30">
        <v>0</v>
      </c>
      <c r="L448" s="30">
        <v>0</v>
      </c>
      <c r="M448" s="30">
        <f t="shared" si="124"/>
        <v>0</v>
      </c>
      <c r="N448" s="30" t="s">
        <v>257</v>
      </c>
    </row>
    <row r="449" ht="15" spans="1:14">
      <c r="A449" s="28">
        <v>46110</v>
      </c>
      <c r="B449" s="29">
        <v>46110</v>
      </c>
      <c r="C449" s="30">
        <v>0</v>
      </c>
      <c r="D449" s="30">
        <v>0</v>
      </c>
      <c r="E449" s="30">
        <v>0</v>
      </c>
      <c r="F449" s="30">
        <v>0</v>
      </c>
      <c r="G449" s="30">
        <v>0</v>
      </c>
      <c r="H449" s="30">
        <v>0</v>
      </c>
      <c r="I449" s="30">
        <v>0</v>
      </c>
      <c r="J449" s="30">
        <v>0</v>
      </c>
      <c r="K449" s="30">
        <v>0</v>
      </c>
      <c r="L449" s="30">
        <v>0</v>
      </c>
      <c r="M449" s="30">
        <f t="shared" si="124"/>
        <v>0</v>
      </c>
      <c r="N449" s="30" t="s">
        <v>257</v>
      </c>
    </row>
    <row r="450" ht="15" spans="1:14">
      <c r="A450" s="28">
        <v>46111</v>
      </c>
      <c r="B450" s="29">
        <v>46111</v>
      </c>
      <c r="C450" s="30">
        <v>0</v>
      </c>
      <c r="D450" s="30">
        <v>0</v>
      </c>
      <c r="E450" s="30">
        <v>0</v>
      </c>
      <c r="F450" s="30">
        <v>0</v>
      </c>
      <c r="G450" s="30">
        <v>0</v>
      </c>
      <c r="H450" s="30">
        <v>0</v>
      </c>
      <c r="I450" s="30">
        <v>0</v>
      </c>
      <c r="J450" s="30">
        <v>0</v>
      </c>
      <c r="K450" s="30">
        <v>0</v>
      </c>
      <c r="L450" s="30">
        <v>0</v>
      </c>
      <c r="M450" s="30">
        <f t="shared" ref="M450:M452" si="125">IFERROR(I450-J450,"")</f>
        <v>0</v>
      </c>
      <c r="N450" s="30" t="s">
        <v>257</v>
      </c>
    </row>
    <row r="451" ht="15" spans="1:14">
      <c r="A451" s="28">
        <v>46112</v>
      </c>
      <c r="B451" s="29">
        <v>46112</v>
      </c>
      <c r="C451" s="30">
        <v>0</v>
      </c>
      <c r="D451" s="30">
        <v>0</v>
      </c>
      <c r="E451" s="30">
        <v>0</v>
      </c>
      <c r="F451" s="30">
        <v>0</v>
      </c>
      <c r="G451" s="30">
        <v>0</v>
      </c>
      <c r="H451" s="30">
        <v>0</v>
      </c>
      <c r="I451" s="30">
        <v>0</v>
      </c>
      <c r="J451" s="30">
        <v>0</v>
      </c>
      <c r="K451" s="30">
        <v>0</v>
      </c>
      <c r="L451" s="30">
        <v>0</v>
      </c>
      <c r="M451" s="30">
        <f t="shared" si="125"/>
        <v>0</v>
      </c>
      <c r="N451" s="30" t="s">
        <v>257</v>
      </c>
    </row>
    <row r="452" ht="15" spans="1:14">
      <c r="A452" s="28">
        <v>46112</v>
      </c>
      <c r="B452" s="29">
        <v>46113</v>
      </c>
      <c r="C452" s="30">
        <v>1</v>
      </c>
      <c r="D452" s="30">
        <v>3000</v>
      </c>
      <c r="E452" s="30">
        <v>0</v>
      </c>
      <c r="F452" s="30">
        <v>0</v>
      </c>
      <c r="G452" s="30" t="s">
        <v>35</v>
      </c>
      <c r="H452" s="30">
        <f>IFERROR(VLOOKUP(G452,Basic_Data!$E$2:$I$9,5,0),"")</f>
        <v>2</v>
      </c>
      <c r="I452" s="30">
        <f>IFERROR(VLOOKUP($G452,Basic_Data!$E$2:$H$10,4,0),"")</f>
        <v>616</v>
      </c>
      <c r="J452" s="30"/>
      <c r="K452" s="31">
        <f>IFERROR(VLOOKUP($B452-1,Inverter_PR!$B:$I,Module_Cleaning!H452,0),"")</f>
        <v>1.02744715932086</v>
      </c>
      <c r="L452" s="31"/>
      <c r="M452" s="30">
        <f t="shared" si="125"/>
        <v>616</v>
      </c>
      <c r="N452" s="30" t="s">
        <v>251</v>
      </c>
    </row>
    <row r="453" ht="15" spans="1:14">
      <c r="A453" s="28">
        <v>46113</v>
      </c>
      <c r="B453" s="29">
        <v>46113</v>
      </c>
      <c r="C453" s="30"/>
      <c r="D453" s="30"/>
      <c r="E453" s="30"/>
      <c r="F453" s="30"/>
      <c r="G453" s="30" t="s">
        <v>36</v>
      </c>
      <c r="H453" s="30"/>
      <c r="I453" s="30"/>
      <c r="J453" s="30"/>
      <c r="K453" s="31"/>
      <c r="L453" s="31"/>
      <c r="M453" s="30">
        <v>0</v>
      </c>
      <c r="N453" s="30" t="s">
        <v>251</v>
      </c>
    </row>
    <row r="454" ht="15" spans="1:14">
      <c r="A454" s="28">
        <v>46113</v>
      </c>
      <c r="B454" s="29"/>
      <c r="C454" s="30"/>
      <c r="D454" s="30"/>
      <c r="E454" s="30"/>
      <c r="F454" s="30"/>
      <c r="G454" s="30" t="s">
        <v>37</v>
      </c>
      <c r="H454" s="30"/>
      <c r="I454" s="30"/>
      <c r="J454" s="30"/>
      <c r="K454" s="31"/>
      <c r="L454" s="31"/>
      <c r="M454" s="30"/>
      <c r="N454" s="30" t="s">
        <v>251</v>
      </c>
    </row>
    <row r="455" ht="15" spans="1:14">
      <c r="A455" s="28">
        <v>46113</v>
      </c>
      <c r="B455" s="29">
        <v>46114</v>
      </c>
      <c r="C455" s="30">
        <v>2</v>
      </c>
      <c r="D455" s="30">
        <v>6000</v>
      </c>
      <c r="E455" s="30">
        <v>0</v>
      </c>
      <c r="F455" s="30">
        <v>0</v>
      </c>
      <c r="G455" s="30" t="s">
        <v>38</v>
      </c>
      <c r="H455" s="30">
        <f>IFERROR(VLOOKUP(G455,Basic_Data!$E$2:$I$9,5,0),"")</f>
        <v>5</v>
      </c>
      <c r="I455" s="30">
        <f>IFERROR(VLOOKUP($G455,Basic_Data!$E$2:$H$10,4,0),"")</f>
        <v>644</v>
      </c>
      <c r="J455" s="30">
        <v>0</v>
      </c>
      <c r="K455" s="31" t="str">
        <f>IFERROR(VLOOKUP($B455-1,Inverter_PR!$B:$I,Module_Cleaning!H455,0),"")</f>
        <v/>
      </c>
      <c r="L455" s="31" t="str">
        <f>IFERROR(VLOOKUP($B455+1,Inverter_PR!$B:$I,Module_Cleaning!H455,0),"")</f>
        <v/>
      </c>
      <c r="M455" s="30">
        <f>IFERROR(I455-J455,"")</f>
        <v>644</v>
      </c>
      <c r="N455" s="30" t="s">
        <v>251</v>
      </c>
    </row>
    <row r="456" ht="15" spans="1:14">
      <c r="A456" s="28">
        <v>46113</v>
      </c>
      <c r="B456" s="29"/>
      <c r="C456" s="30"/>
      <c r="D456" s="30"/>
      <c r="E456" s="30"/>
      <c r="F456" s="30"/>
      <c r="G456" s="30" t="s">
        <v>39</v>
      </c>
      <c r="H456" s="30"/>
      <c r="I456" s="30"/>
      <c r="J456" s="30"/>
      <c r="K456" s="31"/>
      <c r="L456" s="31"/>
      <c r="M456" s="30"/>
      <c r="N456" s="30" t="s">
        <v>251</v>
      </c>
    </row>
    <row r="457" ht="15" spans="1:14">
      <c r="A457" s="28">
        <v>46113</v>
      </c>
      <c r="B457" s="29"/>
      <c r="C457" s="30"/>
      <c r="D457" s="30"/>
      <c r="E457" s="30"/>
      <c r="F457" s="30"/>
      <c r="G457" s="30" t="s">
        <v>40</v>
      </c>
      <c r="H457" s="30"/>
      <c r="I457" s="30"/>
      <c r="J457" s="30"/>
      <c r="K457" s="31"/>
      <c r="L457" s="31"/>
      <c r="M457" s="30"/>
      <c r="N457" s="30" t="s">
        <v>251</v>
      </c>
    </row>
    <row r="458" ht="15" spans="1:14">
      <c r="A458" s="28">
        <v>46113</v>
      </c>
      <c r="B458" s="29"/>
      <c r="C458" s="30"/>
      <c r="D458" s="30"/>
      <c r="E458" s="30"/>
      <c r="F458" s="30"/>
      <c r="G458" s="30" t="s">
        <v>41</v>
      </c>
      <c r="H458" s="30"/>
      <c r="I458" s="30"/>
      <c r="J458" s="30"/>
      <c r="K458" s="31"/>
      <c r="L458" s="31"/>
      <c r="M458" s="30"/>
      <c r="N458" s="30" t="s">
        <v>251</v>
      </c>
    </row>
    <row r="459" ht="15" spans="1:14">
      <c r="A459" s="28">
        <v>46113</v>
      </c>
      <c r="B459" s="29">
        <v>46115</v>
      </c>
      <c r="C459" s="30">
        <v>0</v>
      </c>
      <c r="D459" s="30">
        <v>0</v>
      </c>
      <c r="E459" s="30">
        <v>0</v>
      </c>
      <c r="F459" s="30">
        <v>0</v>
      </c>
      <c r="G459" s="30">
        <v>0</v>
      </c>
      <c r="H459" s="30">
        <v>0</v>
      </c>
      <c r="I459" s="30">
        <v>0</v>
      </c>
      <c r="J459" s="30">
        <v>0</v>
      </c>
      <c r="K459" s="30">
        <v>0</v>
      </c>
      <c r="L459" s="30">
        <v>0</v>
      </c>
      <c r="M459" s="30">
        <v>0</v>
      </c>
      <c r="N459" s="30" t="s">
        <v>257</v>
      </c>
    </row>
    <row r="460" ht="15" spans="1:14">
      <c r="A460" s="28">
        <v>46113</v>
      </c>
      <c r="B460" s="29">
        <v>46116</v>
      </c>
      <c r="C460" s="30">
        <v>0</v>
      </c>
      <c r="D460" s="30">
        <v>0</v>
      </c>
      <c r="E460" s="30">
        <v>0</v>
      </c>
      <c r="F460" s="30">
        <v>0</v>
      </c>
      <c r="G460" s="30">
        <v>0</v>
      </c>
      <c r="H460" s="30">
        <v>0</v>
      </c>
      <c r="I460" s="30">
        <v>0</v>
      </c>
      <c r="J460" s="30">
        <v>0</v>
      </c>
      <c r="K460" s="30">
        <v>0</v>
      </c>
      <c r="L460" s="30">
        <v>0</v>
      </c>
      <c r="M460" s="30">
        <v>0</v>
      </c>
      <c r="N460" s="30" t="s">
        <v>257</v>
      </c>
    </row>
    <row r="461" ht="15" spans="1:14">
      <c r="A461" s="28">
        <v>46113</v>
      </c>
      <c r="B461" s="29">
        <v>46117</v>
      </c>
      <c r="C461" s="30">
        <v>0</v>
      </c>
      <c r="D461" s="30">
        <v>0</v>
      </c>
      <c r="E461" s="30">
        <v>0</v>
      </c>
      <c r="F461" s="30">
        <v>0</v>
      </c>
      <c r="G461" s="30">
        <v>0</v>
      </c>
      <c r="H461" s="30">
        <v>0</v>
      </c>
      <c r="I461" s="30">
        <v>0</v>
      </c>
      <c r="J461" s="30">
        <v>0</v>
      </c>
      <c r="K461" s="30">
        <v>0</v>
      </c>
      <c r="L461" s="30">
        <v>0</v>
      </c>
      <c r="M461" s="30">
        <v>0</v>
      </c>
      <c r="N461" s="30" t="s">
        <v>257</v>
      </c>
    </row>
    <row r="462" ht="15" spans="1:14">
      <c r="A462" s="28">
        <v>46113</v>
      </c>
      <c r="B462" s="29">
        <v>46118</v>
      </c>
      <c r="C462" s="30">
        <v>0</v>
      </c>
      <c r="D462" s="30">
        <v>0</v>
      </c>
      <c r="E462" s="30">
        <v>0</v>
      </c>
      <c r="F462" s="30">
        <v>0</v>
      </c>
      <c r="G462" s="30">
        <v>0</v>
      </c>
      <c r="H462" s="30">
        <v>0</v>
      </c>
      <c r="I462" s="30">
        <v>0</v>
      </c>
      <c r="J462" s="30">
        <v>0</v>
      </c>
      <c r="K462" s="30">
        <v>0</v>
      </c>
      <c r="L462" s="30">
        <v>0</v>
      </c>
      <c r="M462" s="30">
        <v>0</v>
      </c>
      <c r="N462" s="30" t="s">
        <v>257</v>
      </c>
    </row>
    <row r="463" ht="15" spans="1:14">
      <c r="A463" s="28">
        <v>46113</v>
      </c>
      <c r="B463" s="29">
        <v>46119</v>
      </c>
      <c r="C463" s="30">
        <v>0</v>
      </c>
      <c r="D463" s="30">
        <v>0</v>
      </c>
      <c r="E463" s="30">
        <v>0</v>
      </c>
      <c r="F463" s="30">
        <v>0</v>
      </c>
      <c r="G463" s="30">
        <v>0</v>
      </c>
      <c r="H463" s="30">
        <v>0</v>
      </c>
      <c r="I463" s="30">
        <v>0</v>
      </c>
      <c r="J463" s="30">
        <v>0</v>
      </c>
      <c r="K463" s="30">
        <v>0</v>
      </c>
      <c r="L463" s="30">
        <v>0</v>
      </c>
      <c r="M463" s="30">
        <v>0</v>
      </c>
      <c r="N463" s="30" t="s">
        <v>257</v>
      </c>
    </row>
    <row r="464" ht="15" spans="1:14">
      <c r="A464" s="28">
        <v>46113</v>
      </c>
      <c r="B464" s="29">
        <v>46120</v>
      </c>
      <c r="C464" s="30">
        <v>0</v>
      </c>
      <c r="D464" s="30">
        <v>0</v>
      </c>
      <c r="E464" s="30">
        <v>0</v>
      </c>
      <c r="F464" s="30">
        <v>0</v>
      </c>
      <c r="G464" s="30">
        <v>0</v>
      </c>
      <c r="H464" s="30">
        <v>0</v>
      </c>
      <c r="I464" s="30">
        <v>0</v>
      </c>
      <c r="J464" s="30">
        <v>0</v>
      </c>
      <c r="K464" s="30">
        <v>0</v>
      </c>
      <c r="L464" s="30">
        <v>0</v>
      </c>
      <c r="M464" s="30">
        <v>0</v>
      </c>
      <c r="N464" s="30" t="s">
        <v>257</v>
      </c>
    </row>
    <row r="465" ht="15" spans="1:14">
      <c r="A465" s="28">
        <v>46113</v>
      </c>
      <c r="B465" s="29">
        <v>46121</v>
      </c>
      <c r="C465" s="30">
        <v>0</v>
      </c>
      <c r="D465" s="30">
        <v>0</v>
      </c>
      <c r="E465" s="30">
        <v>0</v>
      </c>
      <c r="F465" s="30">
        <v>0</v>
      </c>
      <c r="G465" s="30">
        <v>0</v>
      </c>
      <c r="H465" s="30">
        <v>0</v>
      </c>
      <c r="I465" s="30">
        <v>0</v>
      </c>
      <c r="J465" s="30">
        <v>0</v>
      </c>
      <c r="K465" s="30">
        <v>0</v>
      </c>
      <c r="L465" s="30">
        <v>0</v>
      </c>
      <c r="M465" s="30">
        <v>0</v>
      </c>
      <c r="N465" s="30" t="s">
        <v>257</v>
      </c>
    </row>
    <row r="466" ht="15" spans="1:14">
      <c r="A466" s="28">
        <v>46113</v>
      </c>
      <c r="B466" s="29">
        <v>46122</v>
      </c>
      <c r="C466" s="30">
        <v>0</v>
      </c>
      <c r="D466" s="30">
        <v>0</v>
      </c>
      <c r="E466" s="30">
        <v>0</v>
      </c>
      <c r="F466" s="30">
        <v>0</v>
      </c>
      <c r="G466" s="30">
        <v>0</v>
      </c>
      <c r="H466" s="30">
        <v>0</v>
      </c>
      <c r="I466" s="30">
        <v>0</v>
      </c>
      <c r="J466" s="30">
        <v>0</v>
      </c>
      <c r="K466" s="30">
        <v>0</v>
      </c>
      <c r="L466" s="30">
        <v>0</v>
      </c>
      <c r="M466" s="30">
        <v>0</v>
      </c>
      <c r="N466" s="30" t="s">
        <v>257</v>
      </c>
    </row>
    <row r="467" ht="15" spans="1:14">
      <c r="A467" s="28">
        <v>46113</v>
      </c>
      <c r="B467" s="29">
        <v>46123</v>
      </c>
      <c r="C467" s="30">
        <v>0</v>
      </c>
      <c r="D467" s="30">
        <v>0</v>
      </c>
      <c r="E467" s="30">
        <v>0</v>
      </c>
      <c r="F467" s="30">
        <v>0</v>
      </c>
      <c r="G467" s="30">
        <v>0</v>
      </c>
      <c r="H467" s="30">
        <v>0</v>
      </c>
      <c r="I467" s="30">
        <v>0</v>
      </c>
      <c r="J467" s="30">
        <v>0</v>
      </c>
      <c r="K467" s="30">
        <v>0</v>
      </c>
      <c r="L467" s="30">
        <v>0</v>
      </c>
      <c r="M467" s="30">
        <v>0</v>
      </c>
      <c r="N467" s="30" t="s">
        <v>257</v>
      </c>
    </row>
    <row r="468" ht="15" spans="1:14">
      <c r="A468" s="28">
        <v>46113</v>
      </c>
      <c r="B468" s="29">
        <v>46124</v>
      </c>
      <c r="C468" s="30">
        <v>0</v>
      </c>
      <c r="D468" s="30">
        <v>0</v>
      </c>
      <c r="E468" s="30">
        <v>0</v>
      </c>
      <c r="F468" s="30">
        <v>0</v>
      </c>
      <c r="G468" s="30">
        <v>0</v>
      </c>
      <c r="H468" s="30">
        <v>0</v>
      </c>
      <c r="I468" s="30">
        <v>0</v>
      </c>
      <c r="J468" s="30">
        <v>0</v>
      </c>
      <c r="K468" s="30">
        <v>0</v>
      </c>
      <c r="L468" s="30">
        <v>0</v>
      </c>
      <c r="M468" s="30">
        <v>0</v>
      </c>
      <c r="N468" s="30" t="s">
        <v>257</v>
      </c>
    </row>
    <row r="469" ht="15" spans="1:14">
      <c r="A469" s="28">
        <v>46113</v>
      </c>
      <c r="B469" s="29">
        <v>46125</v>
      </c>
      <c r="C469" s="30">
        <v>0</v>
      </c>
      <c r="D469" s="30">
        <v>0</v>
      </c>
      <c r="E469" s="30">
        <v>0</v>
      </c>
      <c r="F469" s="30">
        <v>0</v>
      </c>
      <c r="G469" s="30">
        <v>0</v>
      </c>
      <c r="H469" s="30">
        <v>0</v>
      </c>
      <c r="I469" s="30">
        <v>0</v>
      </c>
      <c r="J469" s="30">
        <v>0</v>
      </c>
      <c r="K469" s="30">
        <v>0</v>
      </c>
      <c r="L469" s="30">
        <v>0</v>
      </c>
      <c r="M469" s="30">
        <v>0</v>
      </c>
      <c r="N469" s="30" t="s">
        <v>257</v>
      </c>
    </row>
    <row r="470" ht="15" spans="1:14">
      <c r="A470" s="28">
        <v>46113</v>
      </c>
      <c r="B470" s="29">
        <v>46126</v>
      </c>
      <c r="C470" s="30">
        <v>1</v>
      </c>
      <c r="D470" s="30">
        <v>3000</v>
      </c>
      <c r="E470" s="30">
        <v>0</v>
      </c>
      <c r="F470" s="30">
        <v>0</v>
      </c>
      <c r="G470" s="30" t="s">
        <v>35</v>
      </c>
      <c r="H470" s="30">
        <f>IFERROR(VLOOKUP(G470,Basic_Data!$E$2:$I$9,5,0),"")</f>
        <v>2</v>
      </c>
      <c r="I470" s="30">
        <f>IFERROR(VLOOKUP($G470,Basic_Data!$E$2:$H$10,4,0),"")</f>
        <v>616</v>
      </c>
      <c r="J470" s="30">
        <v>0</v>
      </c>
      <c r="K470" s="49">
        <v>0</v>
      </c>
      <c r="L470" s="49">
        <v>0</v>
      </c>
      <c r="M470" s="30">
        <f>IFERROR(I470-J470,"")</f>
        <v>616</v>
      </c>
      <c r="N470" s="30" t="s">
        <v>251</v>
      </c>
    </row>
    <row r="471" ht="15" spans="1:14">
      <c r="A471" s="28">
        <v>46113</v>
      </c>
      <c r="B471" s="29">
        <v>46126</v>
      </c>
      <c r="C471" s="30"/>
      <c r="D471" s="30"/>
      <c r="E471" s="30"/>
      <c r="F471" s="30"/>
      <c r="G471" s="30" t="s">
        <v>36</v>
      </c>
      <c r="H471" s="30"/>
      <c r="I471" s="30"/>
      <c r="J471" s="30"/>
      <c r="K471" s="31"/>
      <c r="L471" s="31"/>
      <c r="M471" s="30"/>
      <c r="N471" s="30" t="s">
        <v>251</v>
      </c>
    </row>
    <row r="472" ht="15" spans="1:14">
      <c r="A472" s="28">
        <v>46113</v>
      </c>
      <c r="B472" s="29">
        <v>46126</v>
      </c>
      <c r="C472" s="30"/>
      <c r="D472" s="30"/>
      <c r="E472" s="30"/>
      <c r="F472" s="30"/>
      <c r="G472" s="30" t="s">
        <v>37</v>
      </c>
      <c r="H472" s="30"/>
      <c r="I472" s="30"/>
      <c r="J472" s="30"/>
      <c r="K472" s="31"/>
      <c r="L472" s="31"/>
      <c r="M472" s="30"/>
      <c r="N472" s="30" t="s">
        <v>251</v>
      </c>
    </row>
    <row r="473" ht="15" spans="1:14">
      <c r="A473" s="28">
        <v>46113</v>
      </c>
      <c r="B473" s="29">
        <v>46126</v>
      </c>
      <c r="C473" s="30"/>
      <c r="D473" s="30"/>
      <c r="E473" s="30"/>
      <c r="F473" s="30"/>
      <c r="G473" s="30" t="s">
        <v>38</v>
      </c>
      <c r="H473" s="30"/>
      <c r="I473" s="30"/>
      <c r="J473" s="30"/>
      <c r="K473" s="31"/>
      <c r="L473" s="31"/>
      <c r="M473" s="30"/>
      <c r="N473" s="30" t="s">
        <v>251</v>
      </c>
    </row>
    <row r="474" ht="15" spans="1:14">
      <c r="A474" s="28">
        <v>46113</v>
      </c>
      <c r="B474" s="29">
        <v>46127</v>
      </c>
      <c r="C474" s="30">
        <v>2</v>
      </c>
      <c r="D474" s="30">
        <v>6000</v>
      </c>
      <c r="E474" s="30">
        <v>0</v>
      </c>
      <c r="F474" s="30">
        <v>0</v>
      </c>
      <c r="G474" s="30" t="s">
        <v>39</v>
      </c>
      <c r="H474" s="30">
        <f>IFERROR(VLOOKUP(G474,Basic_Data!$E$2:$I$9,5,0),"")</f>
        <v>6</v>
      </c>
      <c r="I474" s="30">
        <f>IFERROR(VLOOKUP($G474,Basic_Data!$E$2:$H$10,4,0),"")</f>
        <v>644</v>
      </c>
      <c r="J474" s="30">
        <v>0</v>
      </c>
      <c r="K474" s="49">
        <v>0</v>
      </c>
      <c r="L474" s="49">
        <v>0</v>
      </c>
      <c r="M474" s="30">
        <f>IFERROR(I474-J474,"")</f>
        <v>644</v>
      </c>
      <c r="N474" s="30" t="s">
        <v>251</v>
      </c>
    </row>
    <row r="475" ht="15" spans="1:14">
      <c r="A475" s="28">
        <v>46113</v>
      </c>
      <c r="B475" s="29">
        <v>46127</v>
      </c>
      <c r="C475" s="30"/>
      <c r="D475" s="30"/>
      <c r="E475" s="30"/>
      <c r="F475" s="30"/>
      <c r="G475" s="30" t="s">
        <v>40</v>
      </c>
      <c r="H475" s="30"/>
      <c r="I475" s="30"/>
      <c r="J475" s="30"/>
      <c r="K475" s="31"/>
      <c r="L475" s="31"/>
      <c r="M475" s="30"/>
      <c r="N475" s="30" t="s">
        <v>251</v>
      </c>
    </row>
    <row r="476" ht="15" spans="1:14">
      <c r="A476" s="28">
        <v>46113</v>
      </c>
      <c r="B476" s="29">
        <v>46127</v>
      </c>
      <c r="C476" s="30"/>
      <c r="D476" s="30"/>
      <c r="E476" s="30"/>
      <c r="F476" s="30"/>
      <c r="G476" s="30" t="s">
        <v>41</v>
      </c>
      <c r="H476" s="30"/>
      <c r="I476" s="30"/>
      <c r="J476" s="30"/>
      <c r="K476" s="31"/>
      <c r="L476" s="31"/>
      <c r="M476" s="30"/>
      <c r="N476" s="30" t="s">
        <v>251</v>
      </c>
    </row>
    <row r="477" ht="15" spans="1:14">
      <c r="A477" s="28">
        <v>46113</v>
      </c>
      <c r="B477" s="29">
        <v>46128</v>
      </c>
      <c r="C477" s="30">
        <v>0</v>
      </c>
      <c r="D477" s="30">
        <v>0</v>
      </c>
      <c r="E477" s="30">
        <v>0</v>
      </c>
      <c r="F477" s="30">
        <v>0</v>
      </c>
      <c r="G477" s="30">
        <v>0</v>
      </c>
      <c r="H477" s="30">
        <v>0</v>
      </c>
      <c r="I477" s="30">
        <v>0</v>
      </c>
      <c r="J477" s="30">
        <v>0</v>
      </c>
      <c r="K477" s="30">
        <v>0</v>
      </c>
      <c r="L477" s="30">
        <v>0</v>
      </c>
      <c r="M477" s="30">
        <v>0</v>
      </c>
      <c r="N477" s="30" t="s">
        <v>257</v>
      </c>
    </row>
    <row r="478" ht="15" spans="1:14">
      <c r="A478" s="28">
        <v>46113</v>
      </c>
      <c r="B478" s="29">
        <v>46129</v>
      </c>
      <c r="C478" s="30">
        <v>0</v>
      </c>
      <c r="D478" s="30">
        <v>0</v>
      </c>
      <c r="E478" s="30">
        <v>0</v>
      </c>
      <c r="F478" s="30">
        <v>0</v>
      </c>
      <c r="G478" s="30">
        <v>0</v>
      </c>
      <c r="H478" s="30">
        <v>0</v>
      </c>
      <c r="I478" s="30">
        <v>0</v>
      </c>
      <c r="J478" s="30">
        <v>0</v>
      </c>
      <c r="K478" s="30">
        <v>0</v>
      </c>
      <c r="L478" s="30">
        <v>0</v>
      </c>
      <c r="M478" s="30">
        <v>0</v>
      </c>
      <c r="N478" s="30" t="s">
        <v>257</v>
      </c>
    </row>
    <row r="479" ht="15" spans="1:14">
      <c r="A479" s="28">
        <v>46113</v>
      </c>
      <c r="B479" s="29">
        <v>46130</v>
      </c>
      <c r="C479" s="30">
        <v>0</v>
      </c>
      <c r="D479" s="30">
        <v>0</v>
      </c>
      <c r="E479" s="30">
        <v>0</v>
      </c>
      <c r="F479" s="30">
        <v>0</v>
      </c>
      <c r="G479" s="30">
        <v>0</v>
      </c>
      <c r="H479" s="30">
        <v>0</v>
      </c>
      <c r="I479" s="30">
        <v>0</v>
      </c>
      <c r="J479" s="30">
        <v>0</v>
      </c>
      <c r="K479" s="30">
        <v>0</v>
      </c>
      <c r="L479" s="30">
        <v>0</v>
      </c>
      <c r="M479" s="30">
        <v>0</v>
      </c>
      <c r="N479" s="30" t="s">
        <v>257</v>
      </c>
    </row>
    <row r="480" ht="15" spans="1:14">
      <c r="A480" s="28">
        <v>46114</v>
      </c>
      <c r="B480" s="29">
        <v>46131</v>
      </c>
      <c r="C480" s="30">
        <v>0</v>
      </c>
      <c r="D480" s="30">
        <v>0</v>
      </c>
      <c r="E480" s="30">
        <v>0</v>
      </c>
      <c r="F480" s="30">
        <v>0</v>
      </c>
      <c r="G480" s="30">
        <v>0</v>
      </c>
      <c r="H480" s="30">
        <v>0</v>
      </c>
      <c r="I480" s="30">
        <v>0</v>
      </c>
      <c r="J480" s="30">
        <v>0</v>
      </c>
      <c r="K480" s="30">
        <v>0</v>
      </c>
      <c r="L480" s="30">
        <v>0</v>
      </c>
      <c r="M480" s="30">
        <v>0</v>
      </c>
      <c r="N480" s="30" t="s">
        <v>257</v>
      </c>
    </row>
    <row r="481" ht="15" spans="1:14">
      <c r="A481" s="28">
        <v>46115</v>
      </c>
      <c r="B481" s="29">
        <v>46132</v>
      </c>
      <c r="C481" s="30">
        <v>0</v>
      </c>
      <c r="D481" s="30">
        <v>0</v>
      </c>
      <c r="E481" s="30">
        <v>0</v>
      </c>
      <c r="F481" s="30">
        <v>0</v>
      </c>
      <c r="G481" s="30">
        <v>0</v>
      </c>
      <c r="H481" s="30">
        <v>0</v>
      </c>
      <c r="I481" s="30">
        <v>0</v>
      </c>
      <c r="J481" s="30">
        <v>0</v>
      </c>
      <c r="K481" s="30">
        <v>0</v>
      </c>
      <c r="L481" s="30">
        <v>0</v>
      </c>
      <c r="M481" s="30">
        <v>0</v>
      </c>
      <c r="N481" s="30" t="s">
        <v>257</v>
      </c>
    </row>
    <row r="482" ht="15" spans="1:14">
      <c r="A482" s="28">
        <v>46116</v>
      </c>
      <c r="B482" s="29">
        <v>46133</v>
      </c>
      <c r="C482" s="30">
        <v>0</v>
      </c>
      <c r="D482" s="30">
        <v>0</v>
      </c>
      <c r="E482" s="30">
        <v>0</v>
      </c>
      <c r="F482" s="30">
        <v>0</v>
      </c>
      <c r="G482" s="30">
        <v>0</v>
      </c>
      <c r="H482" s="30">
        <v>0</v>
      </c>
      <c r="I482" s="30">
        <v>0</v>
      </c>
      <c r="J482" s="30">
        <v>0</v>
      </c>
      <c r="K482" s="30">
        <v>0</v>
      </c>
      <c r="L482" s="30">
        <v>0</v>
      </c>
      <c r="M482" s="30">
        <v>0</v>
      </c>
      <c r="N482" s="30" t="s">
        <v>257</v>
      </c>
    </row>
    <row r="483" ht="15" spans="1:14">
      <c r="A483" s="28">
        <v>46117</v>
      </c>
      <c r="B483" s="29">
        <v>46134</v>
      </c>
      <c r="C483" s="30">
        <v>0</v>
      </c>
      <c r="D483" s="30">
        <v>0</v>
      </c>
      <c r="E483" s="30">
        <v>0</v>
      </c>
      <c r="F483" s="30">
        <v>0</v>
      </c>
      <c r="G483" s="30">
        <v>0</v>
      </c>
      <c r="H483" s="30">
        <v>0</v>
      </c>
      <c r="I483" s="30">
        <v>0</v>
      </c>
      <c r="J483" s="30">
        <v>0</v>
      </c>
      <c r="K483" s="30">
        <v>0</v>
      </c>
      <c r="L483" s="30">
        <v>0</v>
      </c>
      <c r="M483" s="30">
        <v>0</v>
      </c>
      <c r="N483" s="30" t="s">
        <v>257</v>
      </c>
    </row>
    <row r="484" ht="15" spans="1:14">
      <c r="A484" s="28">
        <v>46118</v>
      </c>
      <c r="B484" s="29">
        <v>46135</v>
      </c>
      <c r="C484" s="30">
        <v>0</v>
      </c>
      <c r="D484" s="30">
        <v>0</v>
      </c>
      <c r="E484" s="30">
        <v>0</v>
      </c>
      <c r="F484" s="30">
        <v>0</v>
      </c>
      <c r="G484" s="30">
        <v>0</v>
      </c>
      <c r="H484" s="30">
        <v>0</v>
      </c>
      <c r="I484" s="30">
        <v>0</v>
      </c>
      <c r="J484" s="30">
        <v>0</v>
      </c>
      <c r="K484" s="30">
        <v>0</v>
      </c>
      <c r="L484" s="30">
        <v>0</v>
      </c>
      <c r="M484" s="30">
        <v>0</v>
      </c>
      <c r="N484" s="30" t="s">
        <v>257</v>
      </c>
    </row>
    <row r="485" ht="15" spans="1:14">
      <c r="A485" s="28">
        <v>46119</v>
      </c>
      <c r="B485" s="29">
        <v>46136</v>
      </c>
      <c r="C485" s="30">
        <v>0</v>
      </c>
      <c r="D485" s="30">
        <v>0</v>
      </c>
      <c r="E485" s="30">
        <v>0</v>
      </c>
      <c r="F485" s="30">
        <v>0</v>
      </c>
      <c r="G485" s="30">
        <v>0</v>
      </c>
      <c r="H485" s="30">
        <v>0</v>
      </c>
      <c r="I485" s="30">
        <v>0</v>
      </c>
      <c r="J485" s="30">
        <v>0</v>
      </c>
      <c r="K485" s="30">
        <v>0</v>
      </c>
      <c r="L485" s="30">
        <v>0</v>
      </c>
      <c r="M485" s="30">
        <v>0</v>
      </c>
      <c r="N485" s="30" t="s">
        <v>257</v>
      </c>
    </row>
    <row r="486" ht="15" spans="1:14">
      <c r="A486" s="28">
        <v>46120</v>
      </c>
      <c r="B486" s="29">
        <v>46137</v>
      </c>
      <c r="C486" s="30">
        <v>0</v>
      </c>
      <c r="D486" s="30">
        <v>0</v>
      </c>
      <c r="E486" s="30">
        <v>0</v>
      </c>
      <c r="F486" s="30">
        <v>0</v>
      </c>
      <c r="G486" s="30">
        <v>0</v>
      </c>
      <c r="H486" s="30">
        <v>0</v>
      </c>
      <c r="I486" s="30">
        <v>0</v>
      </c>
      <c r="J486" s="30">
        <v>0</v>
      </c>
      <c r="K486" s="30">
        <v>0</v>
      </c>
      <c r="L486" s="30">
        <v>0</v>
      </c>
      <c r="M486" s="30">
        <v>0</v>
      </c>
      <c r="N486" s="30" t="s">
        <v>257</v>
      </c>
    </row>
    <row r="487" ht="15" spans="1:14">
      <c r="A487" s="28">
        <v>46121</v>
      </c>
      <c r="B487" s="29">
        <v>46138</v>
      </c>
      <c r="C487" s="30">
        <v>0</v>
      </c>
      <c r="D487" s="30">
        <v>0</v>
      </c>
      <c r="E487" s="30">
        <v>0</v>
      </c>
      <c r="F487" s="30">
        <v>1</v>
      </c>
      <c r="G487" s="30" t="s">
        <v>41</v>
      </c>
      <c r="H487" s="30">
        <v>0</v>
      </c>
      <c r="I487" s="30">
        <v>644</v>
      </c>
      <c r="J487" s="30">
        <v>644</v>
      </c>
      <c r="K487" s="30">
        <v>0</v>
      </c>
      <c r="L487" s="30">
        <v>0</v>
      </c>
      <c r="M487" s="30">
        <v>0</v>
      </c>
      <c r="N487" s="30" t="s">
        <v>250</v>
      </c>
    </row>
    <row r="488" ht="15" spans="1:14">
      <c r="A488" s="28">
        <v>46121</v>
      </c>
      <c r="B488" s="29">
        <v>46138</v>
      </c>
      <c r="C488" s="30">
        <v>0</v>
      </c>
      <c r="D488" s="30">
        <v>0</v>
      </c>
      <c r="E488" s="30">
        <v>0</v>
      </c>
      <c r="F488" s="30">
        <v>1</v>
      </c>
      <c r="G488" s="30" t="s">
        <v>40</v>
      </c>
      <c r="H488" s="30">
        <v>0</v>
      </c>
      <c r="I488" s="30">
        <v>644</v>
      </c>
      <c r="J488" s="30">
        <v>644</v>
      </c>
      <c r="K488" s="30">
        <v>0</v>
      </c>
      <c r="L488" s="30">
        <v>0</v>
      </c>
      <c r="M488" s="30">
        <v>0</v>
      </c>
      <c r="N488" s="30" t="s">
        <v>250</v>
      </c>
    </row>
    <row r="489" ht="15" spans="1:14">
      <c r="A489" s="28">
        <v>46122</v>
      </c>
      <c r="B489" s="29">
        <v>46139</v>
      </c>
      <c r="C489" s="30">
        <v>0</v>
      </c>
      <c r="D489" s="30">
        <v>0</v>
      </c>
      <c r="E489" s="30">
        <v>0</v>
      </c>
      <c r="F489" s="30">
        <v>1</v>
      </c>
      <c r="G489" s="30" t="s">
        <v>39</v>
      </c>
      <c r="H489" s="30">
        <v>0</v>
      </c>
      <c r="I489" s="30">
        <v>644</v>
      </c>
      <c r="J489" s="30">
        <v>644</v>
      </c>
      <c r="K489" s="30">
        <v>0</v>
      </c>
      <c r="L489" s="30">
        <v>0</v>
      </c>
      <c r="M489" s="30">
        <v>0</v>
      </c>
      <c r="N489" s="30" t="s">
        <v>250</v>
      </c>
    </row>
    <row r="490" ht="15" spans="1:14">
      <c r="A490" s="28">
        <v>46122</v>
      </c>
      <c r="B490" s="29">
        <v>46139</v>
      </c>
      <c r="C490" s="30">
        <v>0</v>
      </c>
      <c r="D490" s="30">
        <v>0</v>
      </c>
      <c r="E490" s="30">
        <v>0</v>
      </c>
      <c r="F490" s="30">
        <v>1</v>
      </c>
      <c r="G490" s="30" t="s">
        <v>38</v>
      </c>
      <c r="H490" s="30">
        <v>0</v>
      </c>
      <c r="I490" s="30">
        <v>644</v>
      </c>
      <c r="J490" s="30">
        <v>644</v>
      </c>
      <c r="K490" s="30">
        <v>0</v>
      </c>
      <c r="L490" s="30">
        <v>0</v>
      </c>
      <c r="M490" s="30">
        <v>0</v>
      </c>
      <c r="N490" s="30" t="s">
        <v>250</v>
      </c>
    </row>
    <row r="491" ht="15" spans="1:14">
      <c r="A491" s="28">
        <v>46123</v>
      </c>
      <c r="B491" s="29">
        <v>46140</v>
      </c>
      <c r="C491" s="30">
        <v>0</v>
      </c>
      <c r="D491" s="30">
        <v>0</v>
      </c>
      <c r="E491" s="30">
        <v>0</v>
      </c>
      <c r="F491" s="30">
        <v>1</v>
      </c>
      <c r="G491" s="30" t="s">
        <v>37</v>
      </c>
      <c r="H491" s="30">
        <v>0</v>
      </c>
      <c r="I491" s="30">
        <v>616</v>
      </c>
      <c r="J491" s="30">
        <v>616</v>
      </c>
      <c r="K491" s="30">
        <v>0</v>
      </c>
      <c r="L491" s="30">
        <v>0</v>
      </c>
      <c r="M491" s="30">
        <v>0</v>
      </c>
      <c r="N491" s="30" t="s">
        <v>250</v>
      </c>
    </row>
    <row r="492" ht="15" spans="1:14">
      <c r="A492" s="28">
        <v>46123</v>
      </c>
      <c r="B492" s="29">
        <v>46140</v>
      </c>
      <c r="C492" s="30">
        <v>0</v>
      </c>
      <c r="D492" s="30">
        <v>0</v>
      </c>
      <c r="E492" s="30">
        <v>0</v>
      </c>
      <c r="F492" s="30">
        <v>1</v>
      </c>
      <c r="G492" s="30" t="s">
        <v>36</v>
      </c>
      <c r="H492" s="30">
        <v>0</v>
      </c>
      <c r="I492" s="30">
        <v>616</v>
      </c>
      <c r="J492" s="30">
        <v>616</v>
      </c>
      <c r="K492" s="30">
        <v>0</v>
      </c>
      <c r="L492" s="30">
        <v>0</v>
      </c>
      <c r="M492" s="30">
        <v>0</v>
      </c>
      <c r="N492" s="30" t="s">
        <v>250</v>
      </c>
    </row>
    <row r="493" ht="15" spans="1:14">
      <c r="A493" s="28">
        <v>46124</v>
      </c>
      <c r="B493" s="29">
        <v>46141</v>
      </c>
      <c r="C493" s="30">
        <v>0</v>
      </c>
      <c r="D493" s="30">
        <v>0</v>
      </c>
      <c r="E493" s="30">
        <v>0</v>
      </c>
      <c r="F493" s="30">
        <v>1</v>
      </c>
      <c r="G493" s="30" t="s">
        <v>36</v>
      </c>
      <c r="H493" s="30">
        <v>0</v>
      </c>
      <c r="I493" s="30">
        <v>616</v>
      </c>
      <c r="J493" s="30">
        <v>616</v>
      </c>
      <c r="K493" s="30">
        <v>0</v>
      </c>
      <c r="L493" s="30">
        <v>0</v>
      </c>
      <c r="M493" s="30">
        <v>0</v>
      </c>
      <c r="N493" s="30" t="s">
        <v>250</v>
      </c>
    </row>
    <row r="494" ht="15" spans="1:14">
      <c r="A494" s="28">
        <v>46125</v>
      </c>
      <c r="B494" s="29">
        <v>46142</v>
      </c>
      <c r="C494" s="30">
        <v>0</v>
      </c>
      <c r="D494" s="30">
        <v>0</v>
      </c>
      <c r="E494" s="30">
        <v>0</v>
      </c>
      <c r="F494" s="30">
        <v>1</v>
      </c>
      <c r="G494" s="30" t="s">
        <v>35</v>
      </c>
      <c r="H494" s="30">
        <v>0</v>
      </c>
      <c r="I494" s="30">
        <v>616</v>
      </c>
      <c r="J494" s="30">
        <v>616</v>
      </c>
      <c r="K494" s="30">
        <v>0</v>
      </c>
      <c r="L494" s="30">
        <v>0</v>
      </c>
      <c r="M494" s="30">
        <v>0</v>
      </c>
      <c r="N494" s="30" t="s">
        <v>250</v>
      </c>
    </row>
    <row r="495" ht="15" spans="1:14">
      <c r="A495" s="50">
        <v>46143</v>
      </c>
      <c r="B495" s="29">
        <v>46143</v>
      </c>
      <c r="C495" s="30">
        <v>0</v>
      </c>
      <c r="D495" s="30">
        <v>0</v>
      </c>
      <c r="E495" s="30">
        <v>0</v>
      </c>
      <c r="F495" s="30">
        <v>0</v>
      </c>
      <c r="G495" s="30">
        <v>0</v>
      </c>
      <c r="H495" s="30">
        <v>0</v>
      </c>
      <c r="I495" s="30">
        <v>0</v>
      </c>
      <c r="J495" s="30">
        <v>0</v>
      </c>
      <c r="K495" s="30">
        <v>0</v>
      </c>
      <c r="L495" s="30">
        <v>0</v>
      </c>
      <c r="M495" s="30">
        <v>0</v>
      </c>
      <c r="N495" s="45" t="s">
        <v>252</v>
      </c>
    </row>
    <row r="496" ht="15" spans="1:14">
      <c r="A496" s="50">
        <v>46144</v>
      </c>
      <c r="B496" s="29">
        <v>46144</v>
      </c>
      <c r="C496" s="30">
        <v>0</v>
      </c>
      <c r="D496" s="30">
        <v>0</v>
      </c>
      <c r="E496" s="30">
        <v>0</v>
      </c>
      <c r="F496" s="30">
        <v>0</v>
      </c>
      <c r="G496" s="30">
        <v>0</v>
      </c>
      <c r="H496" s="30">
        <v>0</v>
      </c>
      <c r="I496" s="30">
        <v>0</v>
      </c>
      <c r="J496" s="30">
        <v>0</v>
      </c>
      <c r="K496" s="30">
        <v>0</v>
      </c>
      <c r="L496" s="30">
        <v>0</v>
      </c>
      <c r="M496" s="30">
        <v>0</v>
      </c>
      <c r="N496" s="45" t="s">
        <v>252</v>
      </c>
    </row>
    <row r="497" ht="15" spans="1:14">
      <c r="A497" s="50">
        <v>46145</v>
      </c>
      <c r="B497" s="29">
        <v>46145</v>
      </c>
      <c r="C497" s="30">
        <v>0</v>
      </c>
      <c r="D497" s="30">
        <v>0</v>
      </c>
      <c r="E497" s="30">
        <v>0</v>
      </c>
      <c r="F497" s="30">
        <v>0</v>
      </c>
      <c r="G497" s="30">
        <v>0</v>
      </c>
      <c r="H497" s="30">
        <v>0</v>
      </c>
      <c r="I497" s="30">
        <v>0</v>
      </c>
      <c r="J497" s="30">
        <v>0</v>
      </c>
      <c r="K497" s="30">
        <v>0</v>
      </c>
      <c r="L497" s="30">
        <v>0</v>
      </c>
      <c r="M497" s="30">
        <v>0</v>
      </c>
      <c r="N497" s="45" t="s">
        <v>252</v>
      </c>
    </row>
    <row r="498" ht="15" spans="1:14">
      <c r="A498" s="50">
        <v>46146</v>
      </c>
      <c r="B498" s="29">
        <v>46146</v>
      </c>
      <c r="C498" s="30">
        <v>0</v>
      </c>
      <c r="D498" s="30">
        <v>0</v>
      </c>
      <c r="E498" s="30">
        <v>0</v>
      </c>
      <c r="F498" s="30">
        <v>0</v>
      </c>
      <c r="G498" s="30">
        <v>0</v>
      </c>
      <c r="H498" s="30">
        <v>0</v>
      </c>
      <c r="I498" s="30">
        <v>0</v>
      </c>
      <c r="J498" s="30">
        <v>0</v>
      </c>
      <c r="K498" s="30">
        <v>0</v>
      </c>
      <c r="L498" s="30">
        <v>0</v>
      </c>
      <c r="M498" s="30">
        <v>0</v>
      </c>
      <c r="N498" s="45" t="s">
        <v>252</v>
      </c>
    </row>
    <row r="499" ht="15" spans="1:14">
      <c r="A499" s="50">
        <v>46147</v>
      </c>
      <c r="B499" s="29">
        <v>46147</v>
      </c>
      <c r="C499" s="30">
        <v>0</v>
      </c>
      <c r="D499" s="30">
        <v>0</v>
      </c>
      <c r="E499" s="30">
        <v>0</v>
      </c>
      <c r="F499" s="30">
        <v>0</v>
      </c>
      <c r="G499" s="30">
        <v>0</v>
      </c>
      <c r="H499" s="30">
        <v>0</v>
      </c>
      <c r="I499" s="30">
        <v>0</v>
      </c>
      <c r="J499" s="30">
        <v>0</v>
      </c>
      <c r="K499" s="30">
        <v>0</v>
      </c>
      <c r="L499" s="30">
        <v>0</v>
      </c>
      <c r="M499" s="30">
        <v>0</v>
      </c>
      <c r="N499" s="45" t="s">
        <v>252</v>
      </c>
    </row>
    <row r="500" ht="15" spans="1:14">
      <c r="A500" s="50">
        <v>46148</v>
      </c>
      <c r="B500" s="29">
        <v>46148</v>
      </c>
      <c r="C500" s="30">
        <v>0</v>
      </c>
      <c r="D500" s="30">
        <v>0</v>
      </c>
      <c r="E500" s="30">
        <v>0</v>
      </c>
      <c r="F500" s="30">
        <v>0</v>
      </c>
      <c r="G500" s="30">
        <v>0</v>
      </c>
      <c r="H500" s="30">
        <v>0</v>
      </c>
      <c r="I500" s="30">
        <v>0</v>
      </c>
      <c r="J500" s="30">
        <v>0</v>
      </c>
      <c r="K500" s="30">
        <v>0</v>
      </c>
      <c r="L500" s="30">
        <v>0</v>
      </c>
      <c r="M500" s="30">
        <v>0</v>
      </c>
      <c r="N500" s="45" t="s">
        <v>252</v>
      </c>
    </row>
    <row r="501" ht="15" spans="1:14">
      <c r="A501" s="50">
        <v>46149</v>
      </c>
      <c r="B501" s="29">
        <v>46149</v>
      </c>
      <c r="C501" s="30">
        <v>0</v>
      </c>
      <c r="D501" s="30">
        <v>0</v>
      </c>
      <c r="E501" s="30">
        <v>0</v>
      </c>
      <c r="F501" s="30">
        <v>0</v>
      </c>
      <c r="G501" s="30">
        <v>0</v>
      </c>
      <c r="H501" s="30">
        <v>0</v>
      </c>
      <c r="I501" s="30">
        <v>0</v>
      </c>
      <c r="J501" s="30">
        <v>0</v>
      </c>
      <c r="K501" s="30">
        <v>0</v>
      </c>
      <c r="L501" s="30">
        <v>0</v>
      </c>
      <c r="M501" s="30">
        <v>0</v>
      </c>
      <c r="N501" s="45" t="s">
        <v>252</v>
      </c>
    </row>
    <row r="502" ht="15" spans="1:14">
      <c r="A502" s="50">
        <v>46150</v>
      </c>
      <c r="B502" s="29">
        <v>46150</v>
      </c>
      <c r="C502" s="30">
        <v>0</v>
      </c>
      <c r="D502" s="30">
        <v>0</v>
      </c>
      <c r="E502" s="30">
        <v>0</v>
      </c>
      <c r="F502" s="30">
        <v>0</v>
      </c>
      <c r="G502" s="30">
        <v>0</v>
      </c>
      <c r="H502" s="30">
        <v>0</v>
      </c>
      <c r="I502" s="30">
        <v>0</v>
      </c>
      <c r="J502" s="30">
        <v>0</v>
      </c>
      <c r="K502" s="30">
        <v>0</v>
      </c>
      <c r="L502" s="30">
        <v>0</v>
      </c>
      <c r="M502" s="30">
        <v>0</v>
      </c>
      <c r="N502" s="45" t="s">
        <v>252</v>
      </c>
    </row>
    <row r="503" ht="15" spans="1:14">
      <c r="A503" s="50">
        <v>46151</v>
      </c>
      <c r="B503" s="29">
        <v>46151</v>
      </c>
      <c r="C503" s="30">
        <v>2</v>
      </c>
      <c r="D503" s="30">
        <v>6000</v>
      </c>
      <c r="E503" s="30">
        <v>0</v>
      </c>
      <c r="F503" s="30">
        <v>0</v>
      </c>
      <c r="G503" s="30" t="s">
        <v>41</v>
      </c>
      <c r="H503" s="30">
        <v>0</v>
      </c>
      <c r="I503" s="30">
        <v>644</v>
      </c>
      <c r="J503" s="30">
        <v>644</v>
      </c>
      <c r="K503" s="30">
        <v>0</v>
      </c>
      <c r="L503" s="30">
        <v>0</v>
      </c>
      <c r="M503" s="30">
        <v>0</v>
      </c>
      <c r="N503" s="30" t="s">
        <v>251</v>
      </c>
    </row>
    <row r="504" ht="15" spans="1:14">
      <c r="A504" s="50">
        <v>46151</v>
      </c>
      <c r="B504" s="29">
        <v>46151</v>
      </c>
      <c r="C504" s="30"/>
      <c r="D504" s="30"/>
      <c r="E504" s="30"/>
      <c r="F504" s="30"/>
      <c r="G504" s="30" t="s">
        <v>40</v>
      </c>
      <c r="H504" s="30"/>
      <c r="I504" s="30"/>
      <c r="J504" s="30"/>
      <c r="K504" s="30"/>
      <c r="L504" s="30"/>
      <c r="M504" s="30"/>
      <c r="N504" s="30" t="s">
        <v>251</v>
      </c>
    </row>
    <row r="505" ht="15" spans="1:14">
      <c r="A505" s="50">
        <v>46151</v>
      </c>
      <c r="B505" s="29">
        <v>46151</v>
      </c>
      <c r="C505" s="30"/>
      <c r="D505" s="30"/>
      <c r="E505" s="30"/>
      <c r="F505" s="30"/>
      <c r="G505" s="30" t="s">
        <v>39</v>
      </c>
      <c r="H505" s="30"/>
      <c r="I505" s="30"/>
      <c r="J505" s="30"/>
      <c r="K505" s="30"/>
      <c r="L505" s="30"/>
      <c r="M505" s="30"/>
      <c r="N505" s="30" t="s">
        <v>251</v>
      </c>
    </row>
    <row r="506" ht="15" spans="1:14">
      <c r="A506" s="50">
        <v>46151</v>
      </c>
      <c r="B506" s="29">
        <v>46151</v>
      </c>
      <c r="C506" s="30"/>
      <c r="D506" s="30"/>
      <c r="E506" s="30"/>
      <c r="F506" s="30"/>
      <c r="G506" s="30" t="s">
        <v>38</v>
      </c>
      <c r="H506" s="30"/>
      <c r="I506" s="30"/>
      <c r="J506" s="30"/>
      <c r="K506" s="30"/>
      <c r="L506" s="30"/>
      <c r="M506" s="30"/>
      <c r="N506" s="30" t="s">
        <v>251</v>
      </c>
    </row>
    <row r="507" ht="15" spans="1:14">
      <c r="A507" s="50">
        <v>46152</v>
      </c>
      <c r="B507" s="29">
        <v>46152</v>
      </c>
      <c r="C507" s="30">
        <v>2</v>
      </c>
      <c r="D507" s="30">
        <v>6000</v>
      </c>
      <c r="E507" s="30">
        <v>0</v>
      </c>
      <c r="F507" s="30">
        <v>0</v>
      </c>
      <c r="G507" s="30" t="s">
        <v>37</v>
      </c>
      <c r="H507" s="30">
        <v>0</v>
      </c>
      <c r="I507" s="30">
        <v>616</v>
      </c>
      <c r="J507" s="30">
        <v>616</v>
      </c>
      <c r="K507" s="30">
        <v>0</v>
      </c>
      <c r="L507" s="30">
        <v>0</v>
      </c>
      <c r="M507" s="30">
        <v>0</v>
      </c>
      <c r="N507" s="30" t="s">
        <v>251</v>
      </c>
    </row>
    <row r="508" ht="15" spans="1:14">
      <c r="A508" s="50">
        <v>46152</v>
      </c>
      <c r="B508" s="29">
        <v>46152</v>
      </c>
      <c r="C508" s="30"/>
      <c r="D508" s="30"/>
      <c r="E508" s="30"/>
      <c r="F508" s="30"/>
      <c r="G508" s="30" t="s">
        <v>36</v>
      </c>
      <c r="H508" s="30"/>
      <c r="I508" s="30"/>
      <c r="J508" s="30"/>
      <c r="K508" s="30"/>
      <c r="L508" s="30"/>
      <c r="M508" s="30"/>
      <c r="N508" s="30" t="s">
        <v>251</v>
      </c>
    </row>
    <row r="509" ht="15" spans="1:14">
      <c r="A509" s="50">
        <v>46152</v>
      </c>
      <c r="B509" s="29">
        <v>46152</v>
      </c>
      <c r="C509" s="30"/>
      <c r="D509" s="30"/>
      <c r="E509" s="30"/>
      <c r="F509" s="30"/>
      <c r="G509" s="30" t="s">
        <v>35</v>
      </c>
      <c r="H509" s="30"/>
      <c r="I509" s="30"/>
      <c r="J509" s="30"/>
      <c r="K509" s="30"/>
      <c r="L509" s="30"/>
      <c r="M509" s="30"/>
      <c r="N509" s="30" t="s">
        <v>251</v>
      </c>
    </row>
    <row r="510" ht="15" spans="1:14">
      <c r="A510" s="50">
        <v>46153</v>
      </c>
      <c r="B510" s="29">
        <v>46153</v>
      </c>
      <c r="C510" s="30">
        <v>0</v>
      </c>
      <c r="D510" s="30">
        <v>0</v>
      </c>
      <c r="E510" s="30">
        <v>0</v>
      </c>
      <c r="F510" s="30">
        <v>0</v>
      </c>
      <c r="G510" s="30" t="s">
        <v>35</v>
      </c>
      <c r="H510" s="30">
        <v>0</v>
      </c>
      <c r="I510" s="30">
        <v>616</v>
      </c>
      <c r="J510" s="30">
        <v>616</v>
      </c>
      <c r="K510" s="30">
        <v>0</v>
      </c>
      <c r="L510" s="30">
        <v>0</v>
      </c>
      <c r="M510" s="30">
        <v>0</v>
      </c>
      <c r="N510" s="30" t="s">
        <v>250</v>
      </c>
    </row>
    <row r="511" ht="15" spans="1:14">
      <c r="A511" s="29">
        <v>46153</v>
      </c>
      <c r="B511" s="29">
        <v>46153</v>
      </c>
      <c r="C511" s="30">
        <v>0</v>
      </c>
      <c r="D511" s="30">
        <v>0</v>
      </c>
      <c r="E511" s="30">
        <v>0</v>
      </c>
      <c r="F511" s="30">
        <v>0</v>
      </c>
      <c r="G511" s="30" t="s">
        <v>36</v>
      </c>
      <c r="H511" s="30">
        <v>0</v>
      </c>
      <c r="I511" s="30">
        <v>616</v>
      </c>
      <c r="J511" s="30">
        <v>616</v>
      </c>
      <c r="K511" s="30">
        <v>0</v>
      </c>
      <c r="L511" s="30">
        <v>0</v>
      </c>
      <c r="M511" s="30">
        <v>0</v>
      </c>
      <c r="N511" s="30" t="s">
        <v>250</v>
      </c>
    </row>
    <row r="512" ht="15" spans="1:14">
      <c r="A512" s="50">
        <v>46154</v>
      </c>
      <c r="B512" s="29">
        <v>46154</v>
      </c>
      <c r="C512" s="30">
        <v>0</v>
      </c>
      <c r="D512" s="30">
        <v>0</v>
      </c>
      <c r="E512" s="30">
        <v>0</v>
      </c>
      <c r="F512" s="30">
        <v>0</v>
      </c>
      <c r="G512" s="30" t="s">
        <v>37</v>
      </c>
      <c r="H512" s="30">
        <v>0</v>
      </c>
      <c r="I512" s="30">
        <v>616</v>
      </c>
      <c r="J512" s="30">
        <v>616</v>
      </c>
      <c r="K512" s="30">
        <v>0</v>
      </c>
      <c r="L512" s="30">
        <v>0</v>
      </c>
      <c r="M512" s="30">
        <v>0</v>
      </c>
      <c r="N512" s="30" t="s">
        <v>250</v>
      </c>
    </row>
    <row r="513" ht="15" spans="1:14">
      <c r="A513" s="50">
        <v>46155</v>
      </c>
      <c r="B513" s="29">
        <v>46155</v>
      </c>
      <c r="C513" s="30">
        <v>0</v>
      </c>
      <c r="D513" s="30">
        <v>0</v>
      </c>
      <c r="E513" s="30">
        <v>0</v>
      </c>
      <c r="F513" s="30">
        <v>0</v>
      </c>
      <c r="G513" s="30" t="s">
        <v>38</v>
      </c>
      <c r="H513" s="30">
        <v>0</v>
      </c>
      <c r="I513" s="30">
        <v>644</v>
      </c>
      <c r="J513" s="30">
        <v>644</v>
      </c>
      <c r="K513" s="30">
        <v>0</v>
      </c>
      <c r="L513" s="30">
        <v>0</v>
      </c>
      <c r="M513" s="30">
        <v>0</v>
      </c>
      <c r="N513" s="30" t="s">
        <v>250</v>
      </c>
    </row>
    <row r="514" ht="15" spans="1:14">
      <c r="A514" s="50">
        <v>46156</v>
      </c>
      <c r="B514" s="29">
        <v>46156</v>
      </c>
      <c r="C514" s="30">
        <v>0</v>
      </c>
      <c r="D514" s="30">
        <v>0</v>
      </c>
      <c r="E514" s="30">
        <v>0</v>
      </c>
      <c r="F514" s="30">
        <v>0</v>
      </c>
      <c r="G514" s="30" t="s">
        <v>38</v>
      </c>
      <c r="H514" s="30">
        <v>0</v>
      </c>
      <c r="I514" s="30">
        <v>644</v>
      </c>
      <c r="J514" s="30">
        <v>644</v>
      </c>
      <c r="K514" s="30">
        <v>0</v>
      </c>
      <c r="L514" s="30">
        <v>0</v>
      </c>
      <c r="M514" s="30">
        <v>0</v>
      </c>
      <c r="N514" s="30" t="s">
        <v>250</v>
      </c>
    </row>
    <row r="515" ht="15" spans="1:14">
      <c r="A515" s="50">
        <v>46157</v>
      </c>
      <c r="B515" s="29">
        <v>46157</v>
      </c>
      <c r="C515" s="30">
        <v>0</v>
      </c>
      <c r="D515" s="30">
        <v>0</v>
      </c>
      <c r="E515" s="30">
        <v>0</v>
      </c>
      <c r="F515" s="30">
        <v>0</v>
      </c>
      <c r="G515" s="30" t="s">
        <v>39</v>
      </c>
      <c r="H515" s="30">
        <v>0</v>
      </c>
      <c r="I515" s="30">
        <v>644</v>
      </c>
      <c r="J515" s="30">
        <v>644</v>
      </c>
      <c r="K515" s="30">
        <v>0</v>
      </c>
      <c r="L515" s="30">
        <v>0</v>
      </c>
      <c r="M515" s="30">
        <v>0</v>
      </c>
      <c r="N515" s="30" t="s">
        <v>250</v>
      </c>
    </row>
    <row r="516" ht="15" spans="1:14">
      <c r="A516" s="50">
        <v>46158</v>
      </c>
      <c r="B516" s="29">
        <v>46158</v>
      </c>
      <c r="C516" s="30">
        <v>0</v>
      </c>
      <c r="D516" s="30">
        <v>0</v>
      </c>
      <c r="E516" s="30">
        <v>0</v>
      </c>
      <c r="F516" s="30">
        <v>0</v>
      </c>
      <c r="G516" s="30" t="s">
        <v>40</v>
      </c>
      <c r="H516" s="30">
        <v>0</v>
      </c>
      <c r="I516" s="30">
        <v>644</v>
      </c>
      <c r="J516" s="30">
        <v>644</v>
      </c>
      <c r="K516" s="30">
        <v>0</v>
      </c>
      <c r="L516" s="30">
        <v>0</v>
      </c>
      <c r="M516" s="30">
        <v>0</v>
      </c>
      <c r="N516" s="30" t="s">
        <v>250</v>
      </c>
    </row>
    <row r="517" ht="15" spans="1:14">
      <c r="A517" s="50">
        <v>46158</v>
      </c>
      <c r="B517" s="29">
        <v>46158</v>
      </c>
      <c r="C517" s="30">
        <v>0</v>
      </c>
      <c r="D517" s="30">
        <v>0</v>
      </c>
      <c r="E517" s="30">
        <v>0</v>
      </c>
      <c r="F517" s="30">
        <v>0</v>
      </c>
      <c r="G517" s="30" t="s">
        <v>41</v>
      </c>
      <c r="H517" s="30">
        <v>0</v>
      </c>
      <c r="I517" s="30">
        <v>644</v>
      </c>
      <c r="J517" s="30">
        <v>644</v>
      </c>
      <c r="K517" s="30">
        <v>0</v>
      </c>
      <c r="L517" s="30">
        <v>0</v>
      </c>
      <c r="M517" s="30">
        <v>0</v>
      </c>
      <c r="N517" s="30" t="s">
        <v>250</v>
      </c>
    </row>
    <row r="518" ht="15" spans="1:14">
      <c r="A518" s="50">
        <v>46159</v>
      </c>
      <c r="B518" s="29">
        <v>46159</v>
      </c>
      <c r="C518" s="30">
        <v>0</v>
      </c>
      <c r="D518" s="30">
        <v>0</v>
      </c>
      <c r="E518" s="30">
        <v>0</v>
      </c>
      <c r="F518" s="30">
        <v>0</v>
      </c>
      <c r="G518" s="30">
        <v>0</v>
      </c>
      <c r="H518" s="30">
        <v>0</v>
      </c>
      <c r="I518" s="30">
        <v>0</v>
      </c>
      <c r="J518" s="30">
        <v>0</v>
      </c>
      <c r="K518" s="30">
        <v>0</v>
      </c>
      <c r="L518" s="30">
        <v>0</v>
      </c>
      <c r="M518" s="30">
        <v>0</v>
      </c>
      <c r="N518" s="45" t="s">
        <v>252</v>
      </c>
    </row>
    <row r="519" ht="15" spans="1:14">
      <c r="A519" s="50">
        <v>46160</v>
      </c>
      <c r="B519" s="29">
        <v>46160</v>
      </c>
      <c r="C519" s="30">
        <v>0</v>
      </c>
      <c r="D519" s="30">
        <v>0</v>
      </c>
      <c r="E519" s="30">
        <v>0</v>
      </c>
      <c r="F519" s="30">
        <v>0</v>
      </c>
      <c r="G519" s="30">
        <v>0</v>
      </c>
      <c r="H519" s="30">
        <v>0</v>
      </c>
      <c r="I519" s="30">
        <v>0</v>
      </c>
      <c r="J519" s="30">
        <v>0</v>
      </c>
      <c r="K519" s="30">
        <v>0</v>
      </c>
      <c r="L519" s="30">
        <v>0</v>
      </c>
      <c r="M519" s="30">
        <v>0</v>
      </c>
      <c r="N519" s="45" t="s">
        <v>252</v>
      </c>
    </row>
    <row r="520" ht="15" spans="1:14">
      <c r="A520" s="50">
        <v>46161</v>
      </c>
      <c r="B520" s="29">
        <v>46161</v>
      </c>
      <c r="C520" s="30">
        <v>0</v>
      </c>
      <c r="D520" s="30">
        <v>0</v>
      </c>
      <c r="E520" s="30">
        <v>0</v>
      </c>
      <c r="F520" s="30">
        <v>0</v>
      </c>
      <c r="G520" s="30">
        <v>0</v>
      </c>
      <c r="H520" s="30">
        <v>0</v>
      </c>
      <c r="I520" s="30">
        <v>0</v>
      </c>
      <c r="J520" s="30">
        <v>0</v>
      </c>
      <c r="K520" s="30">
        <v>0</v>
      </c>
      <c r="L520" s="30">
        <v>0</v>
      </c>
      <c r="M520" s="30">
        <v>0</v>
      </c>
      <c r="N520" s="45" t="s">
        <v>252</v>
      </c>
    </row>
    <row r="521" ht="15" spans="1:14">
      <c r="A521" s="50">
        <v>46162</v>
      </c>
      <c r="B521" s="29">
        <v>46162</v>
      </c>
      <c r="C521" s="30">
        <v>0</v>
      </c>
      <c r="D521" s="30">
        <v>0</v>
      </c>
      <c r="E521" s="30">
        <v>0</v>
      </c>
      <c r="F521" s="30">
        <v>0</v>
      </c>
      <c r="G521" s="30" t="s">
        <v>35</v>
      </c>
      <c r="H521" s="30">
        <v>0</v>
      </c>
      <c r="I521" s="30">
        <v>616</v>
      </c>
      <c r="J521" s="30">
        <v>616</v>
      </c>
      <c r="K521" s="30">
        <v>0</v>
      </c>
      <c r="L521" s="30">
        <v>0</v>
      </c>
      <c r="M521" s="30">
        <v>0</v>
      </c>
      <c r="N521" s="30" t="s">
        <v>256</v>
      </c>
    </row>
    <row r="522" ht="15" spans="1:14">
      <c r="A522" s="50">
        <v>46163</v>
      </c>
      <c r="B522" s="29">
        <v>46163</v>
      </c>
      <c r="C522" s="30">
        <v>0</v>
      </c>
      <c r="D522" s="30">
        <v>0</v>
      </c>
      <c r="E522" s="30">
        <v>0</v>
      </c>
      <c r="F522" s="30">
        <v>0</v>
      </c>
      <c r="G522" s="30" t="s">
        <v>35</v>
      </c>
      <c r="H522" s="30">
        <v>0</v>
      </c>
      <c r="I522" s="30">
        <v>616</v>
      </c>
      <c r="J522" s="30">
        <v>616</v>
      </c>
      <c r="K522" s="30">
        <v>0</v>
      </c>
      <c r="L522" s="30">
        <v>0</v>
      </c>
      <c r="M522" s="30">
        <v>0</v>
      </c>
      <c r="N522" s="30" t="s">
        <v>256</v>
      </c>
    </row>
    <row r="523" ht="15" spans="1:14">
      <c r="A523" s="50">
        <v>46164</v>
      </c>
      <c r="B523" s="29">
        <v>46164</v>
      </c>
      <c r="C523" s="30">
        <v>0</v>
      </c>
      <c r="D523" s="30">
        <v>0</v>
      </c>
      <c r="E523" s="30">
        <v>0</v>
      </c>
      <c r="F523" s="30">
        <v>0</v>
      </c>
      <c r="G523" s="30" t="s">
        <v>36</v>
      </c>
      <c r="H523" s="30">
        <v>0</v>
      </c>
      <c r="I523" s="30">
        <v>616</v>
      </c>
      <c r="J523" s="30">
        <v>616</v>
      </c>
      <c r="K523" s="30">
        <v>0</v>
      </c>
      <c r="L523" s="30">
        <v>0</v>
      </c>
      <c r="M523" s="30">
        <v>0</v>
      </c>
      <c r="N523" s="30" t="s">
        <v>256</v>
      </c>
    </row>
    <row r="524" ht="15" spans="1:14">
      <c r="A524" s="50">
        <v>46165</v>
      </c>
      <c r="B524" s="29">
        <v>46165</v>
      </c>
      <c r="C524" s="30">
        <v>0</v>
      </c>
      <c r="D524" s="30">
        <v>0</v>
      </c>
      <c r="E524" s="30">
        <v>0</v>
      </c>
      <c r="F524" s="30">
        <v>0</v>
      </c>
      <c r="G524" s="30" t="s">
        <v>37</v>
      </c>
      <c r="H524" s="30">
        <v>0</v>
      </c>
      <c r="I524" s="30">
        <v>616</v>
      </c>
      <c r="J524" s="30">
        <v>616</v>
      </c>
      <c r="K524" s="30">
        <v>0</v>
      </c>
      <c r="L524" s="30">
        <v>0</v>
      </c>
      <c r="M524" s="30">
        <v>0</v>
      </c>
      <c r="N524" s="30" t="s">
        <v>256</v>
      </c>
    </row>
    <row r="525" ht="15" spans="1:14">
      <c r="A525" s="50">
        <v>46166</v>
      </c>
      <c r="B525" s="29">
        <v>46166</v>
      </c>
      <c r="C525" s="30">
        <v>0</v>
      </c>
      <c r="D525" s="30">
        <v>0</v>
      </c>
      <c r="E525" s="30">
        <v>0</v>
      </c>
      <c r="F525" s="30">
        <v>0</v>
      </c>
      <c r="G525" s="30" t="s">
        <v>38</v>
      </c>
      <c r="H525" s="30">
        <v>0</v>
      </c>
      <c r="I525" s="30">
        <v>616</v>
      </c>
      <c r="J525" s="30">
        <v>616</v>
      </c>
      <c r="K525" s="30">
        <v>0</v>
      </c>
      <c r="L525" s="30">
        <v>0</v>
      </c>
      <c r="M525" s="30">
        <v>0</v>
      </c>
      <c r="N525" s="30" t="s">
        <v>256</v>
      </c>
    </row>
    <row r="526" ht="15" spans="1:14">
      <c r="A526" s="50">
        <v>46167</v>
      </c>
      <c r="B526" s="29">
        <v>46167</v>
      </c>
      <c r="C526" s="30">
        <v>0</v>
      </c>
      <c r="D526" s="30">
        <v>0</v>
      </c>
      <c r="E526" s="30">
        <v>0</v>
      </c>
      <c r="F526" s="30">
        <v>0</v>
      </c>
      <c r="G526" s="30" t="s">
        <v>39</v>
      </c>
      <c r="H526" s="30">
        <v>0</v>
      </c>
      <c r="I526" s="30">
        <v>644</v>
      </c>
      <c r="J526" s="30">
        <v>644</v>
      </c>
      <c r="K526" s="30">
        <v>0</v>
      </c>
      <c r="L526" s="30">
        <v>0</v>
      </c>
      <c r="M526" s="30">
        <v>0</v>
      </c>
      <c r="N526" s="30" t="s">
        <v>256</v>
      </c>
    </row>
    <row r="527" ht="15" spans="1:14">
      <c r="A527" s="50">
        <v>46168</v>
      </c>
      <c r="B527" s="29">
        <v>46168</v>
      </c>
      <c r="C527" s="30">
        <v>0</v>
      </c>
      <c r="D527" s="30">
        <v>0</v>
      </c>
      <c r="E527" s="30">
        <v>0</v>
      </c>
      <c r="F527" s="30">
        <v>0</v>
      </c>
      <c r="G527" s="30" t="s">
        <v>40</v>
      </c>
      <c r="H527" s="30">
        <v>0</v>
      </c>
      <c r="I527" s="30">
        <v>644</v>
      </c>
      <c r="J527" s="30">
        <v>644</v>
      </c>
      <c r="K527" s="30">
        <v>0</v>
      </c>
      <c r="L527" s="30">
        <v>0</v>
      </c>
      <c r="M527" s="30">
        <v>0</v>
      </c>
      <c r="N527" s="30" t="s">
        <v>256</v>
      </c>
    </row>
    <row r="528" ht="15" spans="1:14">
      <c r="A528" s="50">
        <v>46169</v>
      </c>
      <c r="B528" s="29">
        <v>46169</v>
      </c>
      <c r="C528" s="30">
        <v>0</v>
      </c>
      <c r="D528" s="30">
        <v>0</v>
      </c>
      <c r="E528" s="30">
        <v>0</v>
      </c>
      <c r="F528" s="30">
        <v>0</v>
      </c>
      <c r="G528" s="30" t="s">
        <v>41</v>
      </c>
      <c r="H528" s="30">
        <v>0</v>
      </c>
      <c r="I528" s="30">
        <v>644</v>
      </c>
      <c r="J528" s="30">
        <v>644</v>
      </c>
      <c r="K528" s="30">
        <v>0</v>
      </c>
      <c r="L528" s="30">
        <v>0</v>
      </c>
      <c r="M528" s="30">
        <v>0</v>
      </c>
      <c r="N528" s="30" t="s">
        <v>256</v>
      </c>
    </row>
    <row r="529" ht="15" spans="1:14">
      <c r="A529" s="50">
        <v>46170</v>
      </c>
      <c r="B529" s="29">
        <v>46170</v>
      </c>
      <c r="C529" s="30">
        <v>0</v>
      </c>
      <c r="D529" s="30">
        <v>0</v>
      </c>
      <c r="E529" s="30">
        <v>0</v>
      </c>
      <c r="F529" s="30">
        <v>0</v>
      </c>
      <c r="G529" s="30">
        <v>0</v>
      </c>
      <c r="H529" s="30">
        <v>0</v>
      </c>
      <c r="I529" s="30">
        <v>0</v>
      </c>
      <c r="J529" s="30">
        <v>0</v>
      </c>
      <c r="K529" s="30">
        <v>0</v>
      </c>
      <c r="L529" s="30">
        <v>0</v>
      </c>
      <c r="M529" s="30">
        <v>0</v>
      </c>
      <c r="N529" s="45" t="s">
        <v>252</v>
      </c>
    </row>
    <row r="530" ht="15" spans="1:14">
      <c r="A530" s="50">
        <v>46171</v>
      </c>
      <c r="B530" s="29">
        <v>46171</v>
      </c>
      <c r="C530" s="30">
        <v>0</v>
      </c>
      <c r="D530" s="30">
        <v>0</v>
      </c>
      <c r="E530" s="30">
        <v>0</v>
      </c>
      <c r="F530" s="30">
        <v>0</v>
      </c>
      <c r="G530" s="30">
        <v>0</v>
      </c>
      <c r="H530" s="30">
        <v>0</v>
      </c>
      <c r="I530" s="30">
        <v>0</v>
      </c>
      <c r="J530" s="30">
        <v>0</v>
      </c>
      <c r="K530" s="30">
        <v>0</v>
      </c>
      <c r="L530" s="30">
        <v>0</v>
      </c>
      <c r="M530" s="30">
        <v>0</v>
      </c>
      <c r="N530" s="45" t="s">
        <v>252</v>
      </c>
    </row>
    <row r="531" ht="15" spans="1:14">
      <c r="A531" s="50">
        <v>46172</v>
      </c>
      <c r="B531" s="29">
        <v>46172</v>
      </c>
      <c r="C531" s="30">
        <v>0</v>
      </c>
      <c r="D531" s="30">
        <v>0</v>
      </c>
      <c r="E531" s="30">
        <v>0</v>
      </c>
      <c r="F531" s="30">
        <v>0</v>
      </c>
      <c r="G531" s="30">
        <v>0</v>
      </c>
      <c r="H531" s="30">
        <v>0</v>
      </c>
      <c r="I531" s="30">
        <v>0</v>
      </c>
      <c r="J531" s="30">
        <v>0</v>
      </c>
      <c r="K531" s="30">
        <v>0</v>
      </c>
      <c r="L531" s="30">
        <v>0</v>
      </c>
      <c r="M531" s="30">
        <v>0</v>
      </c>
      <c r="N531" s="45" t="s">
        <v>252</v>
      </c>
    </row>
    <row r="532" ht="15" spans="1:14">
      <c r="A532" s="50">
        <v>46173</v>
      </c>
      <c r="B532" s="29">
        <v>46173</v>
      </c>
      <c r="C532" s="30">
        <v>0</v>
      </c>
      <c r="D532" s="30">
        <v>0</v>
      </c>
      <c r="E532" s="30">
        <v>0</v>
      </c>
      <c r="F532" s="30">
        <v>0</v>
      </c>
      <c r="G532" s="30" t="s">
        <v>35</v>
      </c>
      <c r="H532" s="30">
        <v>0</v>
      </c>
      <c r="I532" s="30">
        <v>616</v>
      </c>
      <c r="J532" s="30">
        <v>616</v>
      </c>
      <c r="K532" s="30">
        <v>0</v>
      </c>
      <c r="L532" s="30">
        <v>0</v>
      </c>
      <c r="M532" s="30">
        <v>0</v>
      </c>
      <c r="N532" s="30" t="s">
        <v>256</v>
      </c>
    </row>
    <row r="533" ht="15" spans="1:14">
      <c r="A533" s="50">
        <v>46173</v>
      </c>
      <c r="B533" s="29">
        <v>46173</v>
      </c>
      <c r="C533" s="30">
        <v>0</v>
      </c>
      <c r="D533" s="30">
        <v>0</v>
      </c>
      <c r="E533" s="30">
        <v>0</v>
      </c>
      <c r="F533" s="30">
        <v>0</v>
      </c>
      <c r="G533" s="30" t="s">
        <v>36</v>
      </c>
      <c r="H533" s="30">
        <v>0</v>
      </c>
      <c r="I533" s="30">
        <v>616</v>
      </c>
      <c r="J533" s="30">
        <v>616</v>
      </c>
      <c r="K533" s="30">
        <v>0</v>
      </c>
      <c r="L533" s="30">
        <v>0</v>
      </c>
      <c r="M533" s="30">
        <v>0</v>
      </c>
      <c r="N533" s="30" t="s">
        <v>256</v>
      </c>
    </row>
    <row r="534" ht="15" spans="1:14">
      <c r="A534" s="50">
        <v>46173</v>
      </c>
      <c r="B534" s="29">
        <v>46173</v>
      </c>
      <c r="C534" s="30">
        <v>0</v>
      </c>
      <c r="D534" s="30">
        <v>0</v>
      </c>
      <c r="E534" s="30">
        <v>0</v>
      </c>
      <c r="F534" s="30">
        <v>0</v>
      </c>
      <c r="G534" s="30" t="s">
        <v>37</v>
      </c>
      <c r="H534" s="30">
        <v>0</v>
      </c>
      <c r="I534" s="30">
        <v>616</v>
      </c>
      <c r="J534" s="30">
        <v>616</v>
      </c>
      <c r="K534" s="30">
        <v>0</v>
      </c>
      <c r="L534" s="30">
        <v>0</v>
      </c>
      <c r="M534" s="30">
        <v>0</v>
      </c>
      <c r="N534" s="30" t="s">
        <v>256</v>
      </c>
    </row>
    <row r="535" ht="15" spans="1:14">
      <c r="A535" s="50">
        <v>46173</v>
      </c>
      <c r="B535" s="29">
        <v>46173</v>
      </c>
      <c r="C535" s="30">
        <v>0</v>
      </c>
      <c r="D535" s="30">
        <v>0</v>
      </c>
      <c r="E535" s="30">
        <v>0</v>
      </c>
      <c r="F535" s="30">
        <v>0</v>
      </c>
      <c r="G535" s="30" t="s">
        <v>38</v>
      </c>
      <c r="H535" s="30">
        <v>0</v>
      </c>
      <c r="I535" s="30">
        <v>644</v>
      </c>
      <c r="J535" s="30">
        <v>644</v>
      </c>
      <c r="K535" s="30">
        <v>0</v>
      </c>
      <c r="L535" s="30">
        <v>0</v>
      </c>
      <c r="M535" s="30">
        <v>0</v>
      </c>
      <c r="N535" s="30" t="s">
        <v>256</v>
      </c>
    </row>
    <row r="536" ht="15" spans="1:14">
      <c r="A536" s="50">
        <v>46174</v>
      </c>
      <c r="B536" s="29">
        <v>46174</v>
      </c>
      <c r="C536" s="30">
        <v>0</v>
      </c>
      <c r="D536" s="30">
        <v>0</v>
      </c>
      <c r="E536" s="30">
        <v>0</v>
      </c>
      <c r="F536" s="30">
        <v>0</v>
      </c>
      <c r="G536" s="30" t="s">
        <v>39</v>
      </c>
      <c r="H536" s="30">
        <v>0</v>
      </c>
      <c r="I536" s="30">
        <v>644</v>
      </c>
      <c r="J536" s="30">
        <v>644</v>
      </c>
      <c r="K536" s="30">
        <v>0</v>
      </c>
      <c r="L536" s="30">
        <v>0</v>
      </c>
      <c r="M536" s="30">
        <v>0</v>
      </c>
      <c r="N536" s="30" t="s">
        <v>256</v>
      </c>
    </row>
    <row r="537" ht="15" spans="1:14">
      <c r="A537" s="50">
        <v>46174</v>
      </c>
      <c r="B537" s="29">
        <v>46174</v>
      </c>
      <c r="C537" s="30">
        <v>0</v>
      </c>
      <c r="D537" s="30">
        <v>0</v>
      </c>
      <c r="E537" s="30">
        <v>0</v>
      </c>
      <c r="F537" s="30">
        <v>0</v>
      </c>
      <c r="G537" s="30" t="s">
        <v>40</v>
      </c>
      <c r="H537" s="30">
        <v>0</v>
      </c>
      <c r="I537" s="30">
        <v>644</v>
      </c>
      <c r="J537" s="30">
        <v>644</v>
      </c>
      <c r="K537" s="30">
        <v>0</v>
      </c>
      <c r="L537" s="30">
        <v>0</v>
      </c>
      <c r="M537" s="30">
        <v>0</v>
      </c>
      <c r="N537" s="30" t="s">
        <v>256</v>
      </c>
    </row>
    <row r="538" ht="15" spans="1:14">
      <c r="A538" s="50">
        <v>46174</v>
      </c>
      <c r="B538" s="29">
        <v>46174</v>
      </c>
      <c r="C538" s="30">
        <v>0</v>
      </c>
      <c r="D538" s="30">
        <v>0</v>
      </c>
      <c r="E538" s="30">
        <v>0</v>
      </c>
      <c r="F538" s="30">
        <v>0</v>
      </c>
      <c r="G538" s="30" t="s">
        <v>41</v>
      </c>
      <c r="H538" s="30">
        <v>0</v>
      </c>
      <c r="I538" s="30">
        <v>644</v>
      </c>
      <c r="J538" s="30">
        <v>644</v>
      </c>
      <c r="K538" s="30">
        <v>0</v>
      </c>
      <c r="L538" s="30">
        <v>0</v>
      </c>
      <c r="M538" s="30">
        <v>0</v>
      </c>
      <c r="N538" s="30" t="s">
        <v>256</v>
      </c>
    </row>
    <row r="539" ht="15" spans="1:14">
      <c r="A539" s="50">
        <v>46175</v>
      </c>
      <c r="B539" s="29">
        <v>46175</v>
      </c>
      <c r="C539" s="30">
        <v>4</v>
      </c>
      <c r="D539" s="30">
        <v>6000</v>
      </c>
      <c r="E539" s="30"/>
      <c r="F539" s="30">
        <v>1</v>
      </c>
      <c r="G539" s="30" t="s">
        <v>41</v>
      </c>
      <c r="H539" s="30">
        <v>0</v>
      </c>
      <c r="I539" s="30">
        <v>644</v>
      </c>
      <c r="J539" s="30">
        <v>644</v>
      </c>
      <c r="K539" s="30">
        <v>0</v>
      </c>
      <c r="L539" s="30">
        <v>0</v>
      </c>
      <c r="M539" s="30">
        <v>0</v>
      </c>
      <c r="N539" s="30" t="s">
        <v>251</v>
      </c>
    </row>
    <row r="540" ht="15" spans="1:14">
      <c r="A540" s="50">
        <v>46175</v>
      </c>
      <c r="B540" s="29">
        <v>46175</v>
      </c>
      <c r="C540" s="30"/>
      <c r="D540" s="30"/>
      <c r="E540" s="30"/>
      <c r="F540" s="30"/>
      <c r="G540" s="30" t="s">
        <v>40</v>
      </c>
      <c r="H540" s="30">
        <v>0</v>
      </c>
      <c r="I540" s="30">
        <v>644</v>
      </c>
      <c r="J540" s="30">
        <v>644</v>
      </c>
      <c r="K540" s="30"/>
      <c r="L540" s="30"/>
      <c r="M540" s="30"/>
      <c r="N540" s="30" t="s">
        <v>251</v>
      </c>
    </row>
    <row r="541" ht="15" spans="1:14">
      <c r="A541" s="50">
        <v>46175</v>
      </c>
      <c r="B541" s="29">
        <v>46175</v>
      </c>
      <c r="C541" s="30"/>
      <c r="D541" s="30"/>
      <c r="E541" s="30"/>
      <c r="F541" s="30"/>
      <c r="G541" s="30" t="s">
        <v>39</v>
      </c>
      <c r="H541" s="30">
        <v>0</v>
      </c>
      <c r="I541" s="30">
        <v>644</v>
      </c>
      <c r="J541" s="30">
        <v>644</v>
      </c>
      <c r="K541" s="30"/>
      <c r="L541" s="30"/>
      <c r="M541" s="30"/>
      <c r="N541" s="30" t="s">
        <v>251</v>
      </c>
    </row>
    <row r="542" ht="15" spans="1:14">
      <c r="A542" s="50">
        <v>46175</v>
      </c>
      <c r="B542" s="29">
        <v>46175</v>
      </c>
      <c r="C542" s="30"/>
      <c r="D542" s="30"/>
      <c r="E542" s="30"/>
      <c r="F542" s="30"/>
      <c r="G542" s="30" t="s">
        <v>38</v>
      </c>
      <c r="H542" s="30">
        <v>0</v>
      </c>
      <c r="I542" s="30">
        <v>644</v>
      </c>
      <c r="J542" s="30">
        <v>644</v>
      </c>
      <c r="K542" s="30"/>
      <c r="L542" s="30"/>
      <c r="M542" s="30"/>
      <c r="N542" s="30" t="s">
        <v>251</v>
      </c>
    </row>
    <row r="543" ht="15" spans="1:14">
      <c r="A543" s="50">
        <v>46176</v>
      </c>
      <c r="B543" s="29">
        <v>46176</v>
      </c>
      <c r="C543" s="30">
        <v>4</v>
      </c>
      <c r="D543" s="30">
        <v>6000</v>
      </c>
      <c r="E543" s="30"/>
      <c r="F543" s="30"/>
      <c r="G543" s="30" t="s">
        <v>35</v>
      </c>
      <c r="H543" s="30"/>
      <c r="I543" s="30">
        <v>616</v>
      </c>
      <c r="J543" s="30">
        <v>616</v>
      </c>
      <c r="K543" s="30"/>
      <c r="L543" s="30"/>
      <c r="M543" s="30"/>
      <c r="N543" s="30" t="s">
        <v>251</v>
      </c>
    </row>
    <row r="544" ht="15" spans="1:14">
      <c r="A544" s="50">
        <v>46177</v>
      </c>
      <c r="B544" s="29">
        <v>46177</v>
      </c>
      <c r="C544" s="30"/>
      <c r="D544" s="30"/>
      <c r="E544" s="30"/>
      <c r="F544" s="30"/>
      <c r="G544" s="30" t="s">
        <v>36</v>
      </c>
      <c r="H544" s="30"/>
      <c r="I544" s="30">
        <v>616</v>
      </c>
      <c r="J544" s="30">
        <v>616</v>
      </c>
      <c r="K544" s="30"/>
      <c r="L544" s="30"/>
      <c r="M544" s="30"/>
      <c r="N544" s="30" t="s">
        <v>251</v>
      </c>
    </row>
    <row r="545" ht="15" spans="1:14">
      <c r="A545" s="50">
        <v>46178</v>
      </c>
      <c r="B545" s="29">
        <v>46178</v>
      </c>
      <c r="C545" s="30"/>
      <c r="D545" s="30"/>
      <c r="E545" s="30"/>
      <c r="F545" s="30"/>
      <c r="G545" s="30" t="s">
        <v>37</v>
      </c>
      <c r="H545" s="30"/>
      <c r="I545" s="30">
        <v>616</v>
      </c>
      <c r="J545" s="30">
        <v>616</v>
      </c>
      <c r="K545" s="30"/>
      <c r="L545" s="30"/>
      <c r="M545" s="30"/>
      <c r="N545" s="30" t="s">
        <v>251</v>
      </c>
    </row>
    <row r="546" ht="15" spans="1:14">
      <c r="A546" s="50">
        <v>46179</v>
      </c>
      <c r="B546" s="29">
        <v>46179</v>
      </c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</row>
    <row r="547" ht="15" spans="1:14">
      <c r="A547" s="50">
        <v>46180</v>
      </c>
      <c r="B547" s="29">
        <v>46180</v>
      </c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</row>
    <row r="548" ht="15" spans="1:14">
      <c r="A548" s="50">
        <v>46181</v>
      </c>
      <c r="B548" s="29">
        <v>46181</v>
      </c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</row>
    <row r="549" ht="15" spans="1:14">
      <c r="A549" s="50">
        <v>46182</v>
      </c>
      <c r="B549" s="29">
        <v>46182</v>
      </c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</row>
    <row r="550" ht="15" spans="1:14">
      <c r="A550" s="50">
        <v>46183</v>
      </c>
      <c r="B550" s="29">
        <v>46183</v>
      </c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</row>
    <row r="551" ht="15" spans="1:14">
      <c r="A551" s="50">
        <v>46184</v>
      </c>
      <c r="B551" s="29">
        <v>46184</v>
      </c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</row>
    <row r="552" ht="15" spans="1:14">
      <c r="A552" s="50">
        <v>46185</v>
      </c>
      <c r="B552" s="29">
        <v>46185</v>
      </c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</row>
    <row r="553" ht="15" spans="1:14">
      <c r="A553" s="50">
        <v>46186</v>
      </c>
      <c r="B553" s="29">
        <v>46186</v>
      </c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</row>
    <row r="554" ht="15" spans="1:14">
      <c r="A554" s="50">
        <v>46187</v>
      </c>
      <c r="B554" s="29">
        <v>46187</v>
      </c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</row>
    <row r="555" ht="15" spans="1:14">
      <c r="A555" s="50">
        <v>46188</v>
      </c>
      <c r="B555" s="29">
        <v>46188</v>
      </c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</row>
    <row r="556" ht="15" spans="1:14">
      <c r="A556" s="50">
        <v>46189</v>
      </c>
      <c r="B556" s="29">
        <v>46189</v>
      </c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</row>
    <row r="557" ht="15" spans="1:14">
      <c r="A557" s="50">
        <v>46190</v>
      </c>
      <c r="B557" s="29">
        <v>46190</v>
      </c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</row>
    <row r="558" ht="15" spans="1:14">
      <c r="A558" s="50">
        <v>46191</v>
      </c>
      <c r="B558" s="29">
        <v>46191</v>
      </c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</row>
    <row r="559" ht="15" spans="1:14">
      <c r="A559" s="50">
        <v>46192</v>
      </c>
      <c r="B559" s="29">
        <v>46192</v>
      </c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</row>
    <row r="560" ht="15" spans="1:14">
      <c r="A560" s="50">
        <v>46193</v>
      </c>
      <c r="B560" s="29">
        <v>46193</v>
      </c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</row>
    <row r="561" ht="15" spans="1:14">
      <c r="A561" s="50">
        <v>46194</v>
      </c>
      <c r="B561" s="29">
        <v>46194</v>
      </c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</row>
    <row r="562" ht="15" spans="1:14">
      <c r="A562" s="50">
        <v>46195</v>
      </c>
      <c r="B562" s="29">
        <v>46195</v>
      </c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</row>
    <row r="563" ht="15" spans="1:14">
      <c r="A563" s="50">
        <v>46196</v>
      </c>
      <c r="B563" s="29">
        <v>46196</v>
      </c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</row>
    <row r="564" ht="15" spans="1:14">
      <c r="A564" s="50">
        <v>46197</v>
      </c>
      <c r="B564" s="29">
        <v>46197</v>
      </c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</row>
    <row r="565" ht="15" spans="1:14">
      <c r="A565" s="50">
        <v>46198</v>
      </c>
      <c r="B565" s="29">
        <v>46198</v>
      </c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</row>
    <row r="566" ht="15" spans="1:14">
      <c r="A566" s="50">
        <v>46199</v>
      </c>
      <c r="B566" s="29">
        <v>46199</v>
      </c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</row>
    <row r="567" ht="15" spans="1:14">
      <c r="A567" s="50">
        <v>46200</v>
      </c>
      <c r="B567" s="29">
        <v>46200</v>
      </c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</row>
    <row r="568" ht="15" spans="1:14">
      <c r="A568" s="50">
        <v>46201</v>
      </c>
      <c r="B568" s="29">
        <v>46201</v>
      </c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</row>
    <row r="569" ht="15" spans="1:14">
      <c r="A569" s="50">
        <v>46202</v>
      </c>
      <c r="B569" s="29">
        <v>46202</v>
      </c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</row>
    <row r="570" ht="15" spans="1:14">
      <c r="A570" s="50">
        <v>46203</v>
      </c>
      <c r="B570" s="29">
        <v>46203</v>
      </c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</row>
    <row r="571" spans="1:14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</row>
    <row r="572" spans="1:14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</row>
    <row r="573" spans="1:14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</row>
    <row r="574" spans="1:1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</row>
    <row r="575" spans="1:14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</row>
    <row r="576" spans="1:14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</row>
    <row r="577" spans="1:14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</row>
    <row r="578" spans="1:14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</row>
    <row r="579" spans="1:14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</row>
    <row r="580" spans="1:14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</row>
    <row r="581" spans="1:14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</row>
    <row r="582" spans="1:14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</row>
    <row r="583" spans="1:14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</row>
    <row r="584" spans="1:1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</row>
    <row r="585" spans="1:14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</row>
    <row r="586" spans="1:14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</row>
    <row r="587" spans="1:14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</row>
    <row r="588" spans="1:14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</row>
    <row r="589" spans="1:14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</row>
  </sheetData>
  <mergeCells count="14">
    <mergeCell ref="C2:E2"/>
    <mergeCell ref="A19:A23"/>
    <mergeCell ref="A24:A25"/>
    <mergeCell ref="B19:B23"/>
    <mergeCell ref="B24:B25"/>
    <mergeCell ref="C19:C23"/>
    <mergeCell ref="C24:C25"/>
    <mergeCell ref="D19:D23"/>
    <mergeCell ref="D24:D25"/>
    <mergeCell ref="E19:E23"/>
    <mergeCell ref="E24:E25"/>
    <mergeCell ref="F19:F23"/>
    <mergeCell ref="F24:F25"/>
    <mergeCell ref="N18:N23"/>
  </mergeCells>
  <dataValidations count="1">
    <dataValidation type="list" allowBlank="1" showInputMessage="1" showErrorMessage="1" sqref="G4:G353 G361:G364 G369:G375 G390:G396 G407:G413 G432:G438 G452:G458 G470:G476 G487:G494 G503:G517 G521:G528 G532:G545">
      <formula1>Basic_Data!$E$3:$E$9</formula1>
    </dataValidation>
  </dataValidation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R347"/>
  <sheetViews>
    <sheetView workbookViewId="0">
      <pane ySplit="2" topLeftCell="A322" activePane="bottomLeft" state="frozen"/>
      <selection/>
      <selection pane="bottomLeft" activeCell="L329" sqref="L329"/>
    </sheetView>
  </sheetViews>
  <sheetFormatPr defaultColWidth="9" defaultRowHeight="12.75"/>
  <cols>
    <col min="1" max="1" width="9" style="13"/>
    <col min="2" max="4" width="9" style="14"/>
    <col min="5" max="5" width="9" style="13"/>
    <col min="6" max="6" width="9.375" style="13"/>
    <col min="7" max="15" width="9" style="13"/>
    <col min="16" max="16" width="12.625" style="13" customWidth="1"/>
    <col min="17" max="16384" width="9" style="13"/>
  </cols>
  <sheetData>
    <row r="1" ht="36" customHeight="1"/>
    <row r="2" ht="38.25" spans="1:18">
      <c r="A2" s="1" t="s">
        <v>1</v>
      </c>
      <c r="B2" s="1" t="s">
        <v>258</v>
      </c>
      <c r="C2" s="1" t="s">
        <v>259</v>
      </c>
      <c r="D2" s="1" t="s">
        <v>260</v>
      </c>
      <c r="E2" s="1" t="s">
        <v>261</v>
      </c>
      <c r="F2" s="1" t="s">
        <v>262</v>
      </c>
      <c r="G2" s="1" t="s">
        <v>263</v>
      </c>
      <c r="H2" s="1" t="s">
        <v>264</v>
      </c>
      <c r="I2" s="1" t="s">
        <v>265</v>
      </c>
      <c r="J2" s="1" t="s">
        <v>266</v>
      </c>
      <c r="K2" s="1" t="s">
        <v>267</v>
      </c>
      <c r="L2" s="1" t="s">
        <v>268</v>
      </c>
      <c r="M2" s="1" t="s">
        <v>269</v>
      </c>
      <c r="N2" s="1" t="s">
        <v>270</v>
      </c>
      <c r="O2" s="1" t="s">
        <v>271</v>
      </c>
      <c r="P2" s="1" t="s">
        <v>272</v>
      </c>
      <c r="Q2" s="1" t="s">
        <v>273</v>
      </c>
      <c r="R2" s="1" t="s">
        <v>274</v>
      </c>
    </row>
    <row r="3" ht="14.25" spans="1:18">
      <c r="A3" s="15" t="s">
        <v>275</v>
      </c>
      <c r="B3" s="3">
        <f>Data_Entry!P94</f>
        <v>8369.99999999989</v>
      </c>
      <c r="C3" s="3">
        <v>0</v>
      </c>
      <c r="D3" s="4">
        <f>Data_Entry!V94</f>
        <v>3.18</v>
      </c>
      <c r="E3" s="5">
        <f t="shared" ref="E3:E68" si="0">B3/(24*J3)</f>
        <v>0.144649523019492</v>
      </c>
      <c r="F3" s="6">
        <v>0</v>
      </c>
      <c r="G3" s="6">
        <v>0</v>
      </c>
      <c r="H3" s="7">
        <f t="shared" ref="H3:H68" si="1">(G3-F3)*24*60</f>
        <v>0</v>
      </c>
      <c r="I3" s="7">
        <f t="shared" ref="I3:I68" si="2">H3/60</f>
        <v>0</v>
      </c>
      <c r="J3" s="8">
        <v>2411</v>
      </c>
      <c r="K3" s="9"/>
      <c r="L3" s="8">
        <f t="shared" ref="L3:L68" si="3">J3*12</f>
        <v>28932</v>
      </c>
      <c r="M3" s="7">
        <f t="shared" ref="M3:M68" si="4">K3*I3</f>
        <v>0</v>
      </c>
      <c r="N3" s="10">
        <f t="shared" ref="N3:N68" si="5">(L3-M3)/L3</f>
        <v>1</v>
      </c>
      <c r="O3" s="11">
        <f t="shared" ref="O3:O68" si="6">E3/N3</f>
        <v>0.144649523019492</v>
      </c>
      <c r="P3" s="11"/>
      <c r="Q3" s="8">
        <f t="shared" ref="Q3:Q68" si="7">O3*J3*24</f>
        <v>8369.99999999988</v>
      </c>
      <c r="R3" s="12">
        <f t="shared" ref="R3:R68" si="8">Q3-B3</f>
        <v>0</v>
      </c>
    </row>
    <row r="4" ht="14.25" spans="1:18">
      <c r="A4" s="15">
        <v>45840</v>
      </c>
      <c r="B4" s="3">
        <f>Data_Entry!P95</f>
        <v>4380.00000000011</v>
      </c>
      <c r="C4" s="3">
        <v>0</v>
      </c>
      <c r="D4" s="4">
        <f>Data_Entry!V95</f>
        <v>1.61</v>
      </c>
      <c r="E4" s="5">
        <f t="shared" si="0"/>
        <v>0.0756947324761529</v>
      </c>
      <c r="F4" s="6">
        <v>0</v>
      </c>
      <c r="G4" s="6">
        <v>0</v>
      </c>
      <c r="H4" s="7">
        <f t="shared" si="1"/>
        <v>0</v>
      </c>
      <c r="I4" s="7">
        <f t="shared" si="2"/>
        <v>0</v>
      </c>
      <c r="J4" s="8">
        <v>2411</v>
      </c>
      <c r="K4" s="9"/>
      <c r="L4" s="8">
        <f t="shared" si="3"/>
        <v>28932</v>
      </c>
      <c r="M4" s="7">
        <f t="shared" si="4"/>
        <v>0</v>
      </c>
      <c r="N4" s="10">
        <f t="shared" si="5"/>
        <v>1</v>
      </c>
      <c r="O4" s="11">
        <f t="shared" si="6"/>
        <v>0.0756947324761529</v>
      </c>
      <c r="P4" s="11"/>
      <c r="Q4" s="8">
        <f t="shared" si="7"/>
        <v>4380.00000000011</v>
      </c>
      <c r="R4" s="12">
        <f t="shared" si="8"/>
        <v>0</v>
      </c>
    </row>
    <row r="5" ht="14.25" spans="1:18">
      <c r="A5" s="15">
        <v>45841</v>
      </c>
      <c r="B5" s="3">
        <f>Data_Entry!P96</f>
        <v>3869.99999999989</v>
      </c>
      <c r="C5" s="3">
        <v>0</v>
      </c>
      <c r="D5" s="4">
        <f>Data_Entry!V96</f>
        <v>1.11</v>
      </c>
      <c r="E5" s="5">
        <f t="shared" si="0"/>
        <v>0.0668809622563233</v>
      </c>
      <c r="F5" s="6">
        <v>0</v>
      </c>
      <c r="G5" s="6">
        <v>0</v>
      </c>
      <c r="H5" s="7">
        <f t="shared" si="1"/>
        <v>0</v>
      </c>
      <c r="I5" s="7">
        <f t="shared" si="2"/>
        <v>0</v>
      </c>
      <c r="J5" s="8">
        <v>2411</v>
      </c>
      <c r="K5" s="9"/>
      <c r="L5" s="8">
        <f t="shared" si="3"/>
        <v>28932</v>
      </c>
      <c r="M5" s="7">
        <f t="shared" si="4"/>
        <v>0</v>
      </c>
      <c r="N5" s="10">
        <f t="shared" si="5"/>
        <v>1</v>
      </c>
      <c r="O5" s="11">
        <f t="shared" si="6"/>
        <v>0.0668809622563233</v>
      </c>
      <c r="P5" s="11"/>
      <c r="Q5" s="8">
        <f t="shared" si="7"/>
        <v>3869.99999999989</v>
      </c>
      <c r="R5" s="12">
        <f t="shared" si="8"/>
        <v>0</v>
      </c>
    </row>
    <row r="6" ht="14.25" spans="1:18">
      <c r="A6" s="15">
        <v>45842</v>
      </c>
      <c r="B6" s="3">
        <f>Data_Entry!P97</f>
        <v>6540.00000000002</v>
      </c>
      <c r="C6" s="3">
        <v>0</v>
      </c>
      <c r="D6" s="4">
        <f>Data_Entry!V97</f>
        <v>2.7</v>
      </c>
      <c r="E6" s="5">
        <f t="shared" si="0"/>
        <v>0.113023641642472</v>
      </c>
      <c r="F6" s="6">
        <v>0</v>
      </c>
      <c r="G6" s="6">
        <v>0</v>
      </c>
      <c r="H6" s="7">
        <f t="shared" si="1"/>
        <v>0</v>
      </c>
      <c r="I6" s="7">
        <f t="shared" si="2"/>
        <v>0</v>
      </c>
      <c r="J6" s="8">
        <v>2411</v>
      </c>
      <c r="K6" s="9"/>
      <c r="L6" s="8">
        <f t="shared" si="3"/>
        <v>28932</v>
      </c>
      <c r="M6" s="7">
        <f t="shared" si="4"/>
        <v>0</v>
      </c>
      <c r="N6" s="10">
        <f t="shared" si="5"/>
        <v>1</v>
      </c>
      <c r="O6" s="11">
        <f t="shared" si="6"/>
        <v>0.113023641642472</v>
      </c>
      <c r="P6" s="11"/>
      <c r="Q6" s="8">
        <f t="shared" si="7"/>
        <v>6540</v>
      </c>
      <c r="R6" s="12">
        <f t="shared" si="8"/>
        <v>-2.00088834390044e-11</v>
      </c>
    </row>
    <row r="7" ht="14.25" spans="1:18">
      <c r="A7" s="15">
        <v>45843</v>
      </c>
      <c r="B7" s="3">
        <f>Data_Entry!P98</f>
        <v>3990.00000000012</v>
      </c>
      <c r="C7" s="3">
        <v>0</v>
      </c>
      <c r="D7" s="4">
        <f>Data_Entry!V98</f>
        <v>1.3</v>
      </c>
      <c r="E7" s="5">
        <f t="shared" si="0"/>
        <v>0.0689547905433451</v>
      </c>
      <c r="F7" s="6">
        <v>0</v>
      </c>
      <c r="G7" s="6">
        <v>0</v>
      </c>
      <c r="H7" s="7">
        <f t="shared" si="1"/>
        <v>0</v>
      </c>
      <c r="I7" s="7">
        <f t="shared" si="2"/>
        <v>0</v>
      </c>
      <c r="J7" s="8">
        <v>2411</v>
      </c>
      <c r="K7" s="9"/>
      <c r="L7" s="8">
        <f t="shared" si="3"/>
        <v>28932</v>
      </c>
      <c r="M7" s="7">
        <f t="shared" si="4"/>
        <v>0</v>
      </c>
      <c r="N7" s="10">
        <f t="shared" si="5"/>
        <v>1</v>
      </c>
      <c r="O7" s="11">
        <f t="shared" si="6"/>
        <v>0.0689547905433451</v>
      </c>
      <c r="P7" s="16"/>
      <c r="Q7" s="8">
        <f t="shared" si="7"/>
        <v>3990.00000000012</v>
      </c>
      <c r="R7" s="12">
        <f t="shared" si="8"/>
        <v>0</v>
      </c>
    </row>
    <row r="8" ht="14.25" spans="1:18">
      <c r="A8" s="15">
        <v>45844</v>
      </c>
      <c r="B8" s="3">
        <f>Data_Entry!P99</f>
        <v>6239.99999999995</v>
      </c>
      <c r="C8" s="3">
        <v>0</v>
      </c>
      <c r="D8" s="4">
        <f>Data_Entry!V99</f>
        <v>2.44</v>
      </c>
      <c r="E8" s="5">
        <f t="shared" si="0"/>
        <v>0.107839070924927</v>
      </c>
      <c r="F8" s="6">
        <v>0</v>
      </c>
      <c r="G8" s="6">
        <v>0</v>
      </c>
      <c r="H8" s="7">
        <f t="shared" si="1"/>
        <v>0</v>
      </c>
      <c r="I8" s="7">
        <f t="shared" si="2"/>
        <v>0</v>
      </c>
      <c r="J8" s="8">
        <v>2411</v>
      </c>
      <c r="K8" s="9"/>
      <c r="L8" s="8">
        <f t="shared" si="3"/>
        <v>28932</v>
      </c>
      <c r="M8" s="7">
        <f t="shared" si="4"/>
        <v>0</v>
      </c>
      <c r="N8" s="10">
        <f t="shared" si="5"/>
        <v>1</v>
      </c>
      <c r="O8" s="11">
        <f t="shared" si="6"/>
        <v>0.107839070924927</v>
      </c>
      <c r="P8" s="11"/>
      <c r="Q8" s="8">
        <f t="shared" si="7"/>
        <v>6239.99999999998</v>
      </c>
      <c r="R8" s="12">
        <f t="shared" si="8"/>
        <v>2.63753463514149e-11</v>
      </c>
    </row>
    <row r="9" ht="14.25" spans="1:18">
      <c r="A9" s="15">
        <v>45845</v>
      </c>
      <c r="B9" s="3">
        <f>Data_Entry!P100</f>
        <v>4860.00000000001</v>
      </c>
      <c r="C9" s="3">
        <v>0</v>
      </c>
      <c r="D9" s="4">
        <f>Data_Entry!V100</f>
        <v>1.82</v>
      </c>
      <c r="E9" s="5">
        <f t="shared" si="0"/>
        <v>0.0839900456242225</v>
      </c>
      <c r="F9" s="6">
        <v>0</v>
      </c>
      <c r="G9" s="6">
        <v>0</v>
      </c>
      <c r="H9" s="7">
        <f t="shared" si="1"/>
        <v>0</v>
      </c>
      <c r="I9" s="7">
        <f t="shared" si="2"/>
        <v>0</v>
      </c>
      <c r="J9" s="8">
        <v>2411</v>
      </c>
      <c r="K9" s="9"/>
      <c r="L9" s="8">
        <f t="shared" si="3"/>
        <v>28932</v>
      </c>
      <c r="M9" s="7">
        <f t="shared" si="4"/>
        <v>0</v>
      </c>
      <c r="N9" s="10">
        <f t="shared" si="5"/>
        <v>1</v>
      </c>
      <c r="O9" s="11">
        <f t="shared" si="6"/>
        <v>0.0839900456242225</v>
      </c>
      <c r="P9" s="11"/>
      <c r="Q9" s="8">
        <f t="shared" si="7"/>
        <v>4860.00000000001</v>
      </c>
      <c r="R9" s="12">
        <f t="shared" si="8"/>
        <v>0</v>
      </c>
    </row>
    <row r="10" ht="14.25" spans="1:18">
      <c r="A10" s="15">
        <v>45846</v>
      </c>
      <c r="B10" s="3">
        <f>Data_Entry!P101</f>
        <v>7589.99999999992</v>
      </c>
      <c r="C10" s="3">
        <v>0</v>
      </c>
      <c r="D10" s="4">
        <f>Data_Entry!V101</f>
        <v>3.16</v>
      </c>
      <c r="E10" s="5">
        <f t="shared" si="0"/>
        <v>0.131169639153877</v>
      </c>
      <c r="F10" s="6">
        <v>0</v>
      </c>
      <c r="G10" s="6">
        <v>0</v>
      </c>
      <c r="H10" s="7">
        <f t="shared" si="1"/>
        <v>0</v>
      </c>
      <c r="I10" s="7">
        <f t="shared" si="2"/>
        <v>0</v>
      </c>
      <c r="J10" s="8">
        <v>2411</v>
      </c>
      <c r="K10" s="9"/>
      <c r="L10" s="8">
        <f t="shared" si="3"/>
        <v>28932</v>
      </c>
      <c r="M10" s="7">
        <f t="shared" si="4"/>
        <v>0</v>
      </c>
      <c r="N10" s="10">
        <f t="shared" si="5"/>
        <v>1</v>
      </c>
      <c r="O10" s="11">
        <f t="shared" si="6"/>
        <v>0.131169639153877</v>
      </c>
      <c r="P10" s="11"/>
      <c r="Q10" s="8">
        <f t="shared" si="7"/>
        <v>7589.99999999994</v>
      </c>
      <c r="R10" s="12">
        <f t="shared" si="8"/>
        <v>1.81898940354586e-11</v>
      </c>
    </row>
    <row r="11" ht="14.25" spans="1:18">
      <c r="A11" s="15">
        <v>45847</v>
      </c>
      <c r="B11" s="3">
        <f>Data_Entry!P102</f>
        <v>11370.0000000001</v>
      </c>
      <c r="C11" s="3">
        <v>0</v>
      </c>
      <c r="D11" s="4">
        <f>Data_Entry!V102</f>
        <v>4.7</v>
      </c>
      <c r="E11" s="5">
        <f t="shared" si="0"/>
        <v>0.196495230194941</v>
      </c>
      <c r="F11" s="6">
        <v>0</v>
      </c>
      <c r="G11" s="6">
        <v>0</v>
      </c>
      <c r="H11" s="7">
        <f t="shared" si="1"/>
        <v>0</v>
      </c>
      <c r="I11" s="7">
        <f t="shared" si="2"/>
        <v>0</v>
      </c>
      <c r="J11" s="8">
        <v>2411</v>
      </c>
      <c r="K11" s="9"/>
      <c r="L11" s="8">
        <f t="shared" si="3"/>
        <v>28932</v>
      </c>
      <c r="M11" s="7">
        <f t="shared" si="4"/>
        <v>0</v>
      </c>
      <c r="N11" s="10">
        <f t="shared" si="5"/>
        <v>1</v>
      </c>
      <c r="O11" s="11">
        <f t="shared" si="6"/>
        <v>0.196495230194941</v>
      </c>
      <c r="P11" s="11"/>
      <c r="Q11" s="8">
        <f t="shared" si="7"/>
        <v>11370.0000000001</v>
      </c>
      <c r="R11" s="12">
        <f t="shared" si="8"/>
        <v>-3.45607986673713e-11</v>
      </c>
    </row>
    <row r="12" ht="14.25" spans="1:18">
      <c r="A12" s="15">
        <v>45848</v>
      </c>
      <c r="B12" s="3">
        <f>Data_Entry!P103</f>
        <v>5790.00000000002</v>
      </c>
      <c r="C12" s="3">
        <v>0</v>
      </c>
      <c r="D12" s="4">
        <f>Data_Entry!V103</f>
        <v>2.43</v>
      </c>
      <c r="E12" s="5">
        <f t="shared" si="0"/>
        <v>0.100062214848611</v>
      </c>
      <c r="F12" s="6">
        <v>0</v>
      </c>
      <c r="G12" s="6">
        <v>0</v>
      </c>
      <c r="H12" s="7">
        <f t="shared" si="1"/>
        <v>0</v>
      </c>
      <c r="I12" s="7">
        <f t="shared" si="2"/>
        <v>0</v>
      </c>
      <c r="J12" s="8">
        <v>2411</v>
      </c>
      <c r="K12" s="9"/>
      <c r="L12" s="8">
        <f t="shared" si="3"/>
        <v>28932</v>
      </c>
      <c r="M12" s="7">
        <f t="shared" si="4"/>
        <v>0</v>
      </c>
      <c r="N12" s="10">
        <f t="shared" si="5"/>
        <v>1</v>
      </c>
      <c r="O12" s="11">
        <f t="shared" si="6"/>
        <v>0.100062214848611</v>
      </c>
      <c r="P12" s="11"/>
      <c r="Q12" s="8">
        <f t="shared" si="7"/>
        <v>5790.00000000003</v>
      </c>
      <c r="R12" s="12">
        <f t="shared" si="8"/>
        <v>0</v>
      </c>
    </row>
    <row r="13" ht="14.25" spans="1:18">
      <c r="A13" s="15">
        <v>45849</v>
      </c>
      <c r="B13" s="3">
        <f>Data_Entry!P104</f>
        <v>4769.99999999993</v>
      </c>
      <c r="C13" s="3">
        <v>0</v>
      </c>
      <c r="D13" s="4">
        <f>Data_Entry!V104</f>
        <v>1.57</v>
      </c>
      <c r="E13" s="5">
        <f t="shared" si="0"/>
        <v>0.0824346744089576</v>
      </c>
      <c r="F13" s="6">
        <v>0</v>
      </c>
      <c r="G13" s="6">
        <v>0</v>
      </c>
      <c r="H13" s="7">
        <f t="shared" si="1"/>
        <v>0</v>
      </c>
      <c r="I13" s="7">
        <f t="shared" si="2"/>
        <v>0</v>
      </c>
      <c r="J13" s="8">
        <v>2411</v>
      </c>
      <c r="K13" s="9"/>
      <c r="L13" s="8">
        <f t="shared" si="3"/>
        <v>28932</v>
      </c>
      <c r="M13" s="7">
        <f t="shared" si="4"/>
        <v>0</v>
      </c>
      <c r="N13" s="10">
        <f t="shared" si="5"/>
        <v>1</v>
      </c>
      <c r="O13" s="11">
        <f t="shared" si="6"/>
        <v>0.0824346744089576</v>
      </c>
      <c r="P13" s="11"/>
      <c r="Q13" s="8">
        <f t="shared" si="7"/>
        <v>4769.99999999992</v>
      </c>
      <c r="R13" s="12">
        <f t="shared" si="8"/>
        <v>-7.27595761418343e-12</v>
      </c>
    </row>
    <row r="14" ht="14.25" spans="1:18">
      <c r="A14" s="15">
        <v>45850</v>
      </c>
      <c r="B14" s="3">
        <f>Data_Entry!P105</f>
        <v>6930.00000000001</v>
      </c>
      <c r="C14" s="3">
        <v>7</v>
      </c>
      <c r="D14" s="4">
        <f>Data_Entry!V105</f>
        <v>3.25</v>
      </c>
      <c r="E14" s="5">
        <f t="shared" si="0"/>
        <v>0.11976358357528</v>
      </c>
      <c r="F14" s="6">
        <v>0.493055555555556</v>
      </c>
      <c r="G14" s="6">
        <v>0.548611111111111</v>
      </c>
      <c r="H14" s="7">
        <f t="shared" si="1"/>
        <v>79.9999999999992</v>
      </c>
      <c r="I14" s="7">
        <f t="shared" si="2"/>
        <v>1.33333333333332</v>
      </c>
      <c r="J14" s="8">
        <v>2411</v>
      </c>
      <c r="K14" s="9">
        <v>2411</v>
      </c>
      <c r="L14" s="8">
        <f t="shared" si="3"/>
        <v>28932</v>
      </c>
      <c r="M14" s="7">
        <f t="shared" si="4"/>
        <v>3214.66666666664</v>
      </c>
      <c r="N14" s="10">
        <f t="shared" si="5"/>
        <v>0.88888888888889</v>
      </c>
      <c r="O14" s="11">
        <f t="shared" si="6"/>
        <v>0.13473403152219</v>
      </c>
      <c r="P14" s="17"/>
      <c r="Q14" s="8">
        <f t="shared" si="7"/>
        <v>7796.24999999999</v>
      </c>
      <c r="R14" s="12">
        <f t="shared" si="8"/>
        <v>866.249999999982</v>
      </c>
    </row>
    <row r="15" ht="14.25" spans="1:18">
      <c r="A15" s="15">
        <v>45851</v>
      </c>
      <c r="B15" s="3">
        <f>Data_Entry!P106</f>
        <v>7950.0000000001</v>
      </c>
      <c r="C15" s="3">
        <v>7</v>
      </c>
      <c r="D15" s="4">
        <f>Data_Entry!V106</f>
        <v>3.65</v>
      </c>
      <c r="E15" s="5">
        <f t="shared" si="0"/>
        <v>0.137391124014933</v>
      </c>
      <c r="F15" s="6">
        <v>0.465277777777778</v>
      </c>
      <c r="G15" s="6">
        <v>0.611111111111111</v>
      </c>
      <c r="H15" s="7">
        <f t="shared" si="1"/>
        <v>210</v>
      </c>
      <c r="I15" s="7">
        <f t="shared" si="2"/>
        <v>3.49999999999999</v>
      </c>
      <c r="J15" s="8">
        <v>2411</v>
      </c>
      <c r="K15" s="9">
        <v>2411</v>
      </c>
      <c r="L15" s="8">
        <f t="shared" si="3"/>
        <v>28932</v>
      </c>
      <c r="M15" s="7">
        <f t="shared" si="4"/>
        <v>8438.49999999998</v>
      </c>
      <c r="N15" s="10">
        <f t="shared" si="5"/>
        <v>0.708333333333334</v>
      </c>
      <c r="O15" s="11">
        <f t="shared" si="6"/>
        <v>0.193963939785788</v>
      </c>
      <c r="P15" s="18"/>
      <c r="Q15" s="8">
        <f t="shared" si="7"/>
        <v>11223.5294117648</v>
      </c>
      <c r="R15" s="12">
        <f t="shared" si="8"/>
        <v>3273.52941176472</v>
      </c>
    </row>
    <row r="16" ht="14.25" spans="1:18">
      <c r="A16" s="15">
        <v>45852</v>
      </c>
      <c r="B16" s="3">
        <f>Data_Entry!P107</f>
        <v>10019.9999999999</v>
      </c>
      <c r="C16" s="3">
        <v>0</v>
      </c>
      <c r="D16" s="4">
        <f>Data_Entry!V107</f>
        <v>4.46</v>
      </c>
      <c r="E16" s="5">
        <f t="shared" si="0"/>
        <v>0.173164661965988</v>
      </c>
      <c r="F16" s="6">
        <v>0</v>
      </c>
      <c r="G16" s="6">
        <v>0</v>
      </c>
      <c r="H16" s="7">
        <f t="shared" si="1"/>
        <v>0</v>
      </c>
      <c r="I16" s="7">
        <f t="shared" si="2"/>
        <v>0</v>
      </c>
      <c r="J16" s="8">
        <v>2411</v>
      </c>
      <c r="K16" s="9"/>
      <c r="L16" s="8">
        <f t="shared" si="3"/>
        <v>28932</v>
      </c>
      <c r="M16" s="7">
        <f t="shared" si="4"/>
        <v>0</v>
      </c>
      <c r="N16" s="10">
        <f t="shared" si="5"/>
        <v>1</v>
      </c>
      <c r="O16" s="11">
        <f t="shared" si="6"/>
        <v>0.173164661965988</v>
      </c>
      <c r="P16" s="11"/>
      <c r="Q16" s="8">
        <f t="shared" si="7"/>
        <v>10019.9999999999</v>
      </c>
      <c r="R16" s="12">
        <f t="shared" si="8"/>
        <v>3.09228198602796e-11</v>
      </c>
    </row>
    <row r="17" ht="14.25" spans="1:18">
      <c r="A17" s="15">
        <v>45853</v>
      </c>
      <c r="B17" s="3">
        <f>Data_Entry!P108</f>
        <v>10470</v>
      </c>
      <c r="C17" s="3">
        <v>0</v>
      </c>
      <c r="D17" s="4">
        <f>Data_Entry!V108</f>
        <v>4.22</v>
      </c>
      <c r="E17" s="5">
        <f t="shared" si="0"/>
        <v>0.180941518042307</v>
      </c>
      <c r="F17" s="6">
        <v>0</v>
      </c>
      <c r="G17" s="6">
        <v>0</v>
      </c>
      <c r="H17" s="7">
        <f t="shared" si="1"/>
        <v>0</v>
      </c>
      <c r="I17" s="7">
        <f t="shared" si="2"/>
        <v>0</v>
      </c>
      <c r="J17" s="8">
        <v>2411</v>
      </c>
      <c r="K17" s="9"/>
      <c r="L17" s="8">
        <f t="shared" si="3"/>
        <v>28932</v>
      </c>
      <c r="M17" s="7">
        <f t="shared" si="4"/>
        <v>0</v>
      </c>
      <c r="N17" s="10">
        <f t="shared" si="5"/>
        <v>1</v>
      </c>
      <c r="O17" s="11">
        <f t="shared" si="6"/>
        <v>0.180941518042307</v>
      </c>
      <c r="P17" s="11"/>
      <c r="Q17" s="8">
        <f t="shared" si="7"/>
        <v>10470.0000000001</v>
      </c>
      <c r="R17" s="12">
        <f t="shared" si="8"/>
        <v>5.0931703299284e-11</v>
      </c>
    </row>
    <row r="18" ht="14.25" spans="1:18">
      <c r="A18" s="15">
        <v>45854</v>
      </c>
      <c r="B18" s="3">
        <f>Data_Entry!P109</f>
        <v>10559.9999999999</v>
      </c>
      <c r="C18" s="3">
        <v>0</v>
      </c>
      <c r="D18" s="4">
        <f>Data_Entry!V109</f>
        <v>4.6</v>
      </c>
      <c r="E18" s="5">
        <f t="shared" si="0"/>
        <v>0.182496889257569</v>
      </c>
      <c r="F18" s="6">
        <v>0</v>
      </c>
      <c r="G18" s="6">
        <v>0</v>
      </c>
      <c r="H18" s="7">
        <f t="shared" si="1"/>
        <v>0</v>
      </c>
      <c r="I18" s="7">
        <f t="shared" si="2"/>
        <v>0</v>
      </c>
      <c r="J18" s="8">
        <v>2411</v>
      </c>
      <c r="K18" s="9"/>
      <c r="L18" s="8">
        <f t="shared" si="3"/>
        <v>28932</v>
      </c>
      <c r="M18" s="7">
        <f t="shared" si="4"/>
        <v>0</v>
      </c>
      <c r="N18" s="10">
        <f t="shared" si="5"/>
        <v>1</v>
      </c>
      <c r="O18" s="11">
        <f t="shared" si="6"/>
        <v>0.182496889257569</v>
      </c>
      <c r="P18" s="11"/>
      <c r="Q18" s="8">
        <f t="shared" si="7"/>
        <v>10560</v>
      </c>
      <c r="R18" s="12">
        <f t="shared" si="8"/>
        <v>7.09405867382884e-11</v>
      </c>
    </row>
    <row r="19" ht="14.25" spans="1:18">
      <c r="A19" s="15">
        <v>45855</v>
      </c>
      <c r="B19" s="3">
        <f>Data_Entry!P110</f>
        <v>10020.0000000001</v>
      </c>
      <c r="C19" s="3">
        <v>0</v>
      </c>
      <c r="D19" s="4">
        <f>Data_Entry!V110</f>
        <v>4.7</v>
      </c>
      <c r="E19" s="5">
        <f t="shared" si="0"/>
        <v>0.173164661965991</v>
      </c>
      <c r="F19" s="6">
        <v>0</v>
      </c>
      <c r="G19" s="6">
        <v>0</v>
      </c>
      <c r="H19" s="7">
        <f t="shared" si="1"/>
        <v>0</v>
      </c>
      <c r="I19" s="7">
        <f t="shared" si="2"/>
        <v>0</v>
      </c>
      <c r="J19" s="8">
        <v>2411</v>
      </c>
      <c r="K19" s="9"/>
      <c r="L19" s="8">
        <f t="shared" si="3"/>
        <v>28932</v>
      </c>
      <c r="M19" s="7">
        <f t="shared" si="4"/>
        <v>0</v>
      </c>
      <c r="N19" s="10">
        <f t="shared" si="5"/>
        <v>1</v>
      </c>
      <c r="O19" s="11">
        <f t="shared" si="6"/>
        <v>0.173164661965991</v>
      </c>
      <c r="P19" s="11"/>
      <c r="Q19" s="8">
        <f t="shared" si="7"/>
        <v>10020.0000000001</v>
      </c>
      <c r="R19" s="12">
        <f t="shared" si="8"/>
        <v>0</v>
      </c>
    </row>
    <row r="20" ht="14.25" spans="1:18">
      <c r="A20" s="15">
        <v>45856</v>
      </c>
      <c r="B20" s="3">
        <f>Data_Entry!P111</f>
        <v>12509.9999999999</v>
      </c>
      <c r="C20" s="3">
        <v>0</v>
      </c>
      <c r="D20" s="4">
        <f>Data_Entry!V111</f>
        <v>5.45</v>
      </c>
      <c r="E20" s="5">
        <f t="shared" si="0"/>
        <v>0.216196598921607</v>
      </c>
      <c r="F20" s="6">
        <v>0</v>
      </c>
      <c r="G20" s="6">
        <v>0</v>
      </c>
      <c r="H20" s="7">
        <f t="shared" si="1"/>
        <v>0</v>
      </c>
      <c r="I20" s="7">
        <f t="shared" si="2"/>
        <v>0</v>
      </c>
      <c r="J20" s="8">
        <v>2411</v>
      </c>
      <c r="K20" s="9"/>
      <c r="L20" s="8">
        <f t="shared" si="3"/>
        <v>28932</v>
      </c>
      <c r="M20" s="7">
        <f t="shared" si="4"/>
        <v>0</v>
      </c>
      <c r="N20" s="10">
        <f t="shared" si="5"/>
        <v>1</v>
      </c>
      <c r="O20" s="11">
        <f t="shared" si="6"/>
        <v>0.216196598921607</v>
      </c>
      <c r="P20" s="11"/>
      <c r="Q20" s="8">
        <f t="shared" si="7"/>
        <v>12509.9999999999</v>
      </c>
      <c r="R20" s="12">
        <f t="shared" si="8"/>
        <v>-3.45607986673713e-11</v>
      </c>
    </row>
    <row r="21" ht="14.25" spans="1:18">
      <c r="A21" s="15">
        <v>45857</v>
      </c>
      <c r="B21" s="3">
        <f>Data_Entry!P112</f>
        <v>8700.0000000001</v>
      </c>
      <c r="C21" s="3">
        <v>0</v>
      </c>
      <c r="D21" s="4">
        <f>Data_Entry!V112</f>
        <v>3.48</v>
      </c>
      <c r="E21" s="5">
        <f t="shared" si="0"/>
        <v>0.150352550808795</v>
      </c>
      <c r="F21" s="6">
        <v>0</v>
      </c>
      <c r="G21" s="6">
        <v>0</v>
      </c>
      <c r="H21" s="7">
        <f t="shared" si="1"/>
        <v>0</v>
      </c>
      <c r="I21" s="7">
        <f t="shared" si="2"/>
        <v>0</v>
      </c>
      <c r="J21" s="8">
        <v>2411</v>
      </c>
      <c r="K21" s="9"/>
      <c r="L21" s="8">
        <f t="shared" si="3"/>
        <v>28932</v>
      </c>
      <c r="M21" s="7">
        <f t="shared" si="4"/>
        <v>0</v>
      </c>
      <c r="N21" s="10">
        <f t="shared" si="5"/>
        <v>1</v>
      </c>
      <c r="O21" s="11">
        <f t="shared" si="6"/>
        <v>0.150352550808795</v>
      </c>
      <c r="P21" s="11"/>
      <c r="Q21" s="8">
        <f t="shared" si="7"/>
        <v>8700.00000000011</v>
      </c>
      <c r="R21" s="12">
        <f t="shared" si="8"/>
        <v>1.45519152283669e-11</v>
      </c>
    </row>
    <row r="22" ht="14.25" spans="1:18">
      <c r="A22" s="15">
        <v>45858</v>
      </c>
      <c r="B22" s="3">
        <f>Data_Entry!P113</f>
        <v>9809.99999999995</v>
      </c>
      <c r="C22" s="3">
        <v>0</v>
      </c>
      <c r="D22" s="4">
        <f>Data_Entry!V113</f>
        <v>3.3</v>
      </c>
      <c r="E22" s="5">
        <f t="shared" si="0"/>
        <v>0.169535462463707</v>
      </c>
      <c r="F22" s="6">
        <v>0</v>
      </c>
      <c r="G22" s="6">
        <v>0</v>
      </c>
      <c r="H22" s="7">
        <f t="shared" si="1"/>
        <v>0</v>
      </c>
      <c r="I22" s="7">
        <f t="shared" si="2"/>
        <v>0</v>
      </c>
      <c r="J22" s="8">
        <v>2411</v>
      </c>
      <c r="K22" s="9"/>
      <c r="L22" s="8">
        <f t="shared" si="3"/>
        <v>28932</v>
      </c>
      <c r="M22" s="7">
        <f t="shared" si="4"/>
        <v>0</v>
      </c>
      <c r="N22" s="10">
        <f t="shared" si="5"/>
        <v>1</v>
      </c>
      <c r="O22" s="11">
        <f t="shared" si="6"/>
        <v>0.169535462463707</v>
      </c>
      <c r="P22" s="11"/>
      <c r="Q22" s="8">
        <f t="shared" si="7"/>
        <v>9809.99999999994</v>
      </c>
      <c r="R22" s="12">
        <f t="shared" si="8"/>
        <v>0</v>
      </c>
    </row>
    <row r="23" ht="14.25" spans="1:18">
      <c r="A23" s="15">
        <v>45859</v>
      </c>
      <c r="B23" s="3">
        <f>Data_Entry!P114</f>
        <v>7620.00000000006</v>
      </c>
      <c r="C23" s="3">
        <v>0</v>
      </c>
      <c r="D23" s="4">
        <f>Data_Entry!V114</f>
        <v>3.27</v>
      </c>
      <c r="E23" s="5">
        <f t="shared" si="0"/>
        <v>0.131688096225634</v>
      </c>
      <c r="F23" s="6">
        <v>0</v>
      </c>
      <c r="G23" s="6">
        <v>0</v>
      </c>
      <c r="H23" s="7">
        <f t="shared" si="1"/>
        <v>0</v>
      </c>
      <c r="I23" s="7">
        <f t="shared" si="2"/>
        <v>0</v>
      </c>
      <c r="J23" s="8">
        <v>2411</v>
      </c>
      <c r="K23" s="9"/>
      <c r="L23" s="8">
        <f t="shared" si="3"/>
        <v>28932</v>
      </c>
      <c r="M23" s="7">
        <f t="shared" si="4"/>
        <v>0</v>
      </c>
      <c r="N23" s="10">
        <f t="shared" si="5"/>
        <v>1</v>
      </c>
      <c r="O23" s="11">
        <f t="shared" si="6"/>
        <v>0.131688096225634</v>
      </c>
      <c r="P23" s="11"/>
      <c r="Q23" s="8">
        <f t="shared" si="7"/>
        <v>7620.00000000008</v>
      </c>
      <c r="R23" s="12">
        <f t="shared" si="8"/>
        <v>2.45563569478691e-11</v>
      </c>
    </row>
    <row r="24" ht="14.25" spans="1:18">
      <c r="A24" s="15">
        <v>45860</v>
      </c>
      <c r="B24" s="3">
        <f>Data_Entry!P115</f>
        <v>9269.99999999993</v>
      </c>
      <c r="C24" s="3">
        <v>0</v>
      </c>
      <c r="D24" s="4">
        <f>Data_Entry!V115</f>
        <v>4.06</v>
      </c>
      <c r="E24" s="5">
        <f t="shared" si="0"/>
        <v>0.160203235172126</v>
      </c>
      <c r="F24" s="6">
        <v>0</v>
      </c>
      <c r="G24" s="6">
        <v>0</v>
      </c>
      <c r="H24" s="7">
        <f t="shared" si="1"/>
        <v>0</v>
      </c>
      <c r="I24" s="7">
        <f t="shared" si="2"/>
        <v>0</v>
      </c>
      <c r="J24" s="8">
        <v>2411</v>
      </c>
      <c r="K24" s="9"/>
      <c r="L24" s="8">
        <f t="shared" si="3"/>
        <v>28932</v>
      </c>
      <c r="M24" s="7">
        <f t="shared" si="4"/>
        <v>0</v>
      </c>
      <c r="N24" s="10">
        <f t="shared" si="5"/>
        <v>1</v>
      </c>
      <c r="O24" s="11">
        <f t="shared" si="6"/>
        <v>0.160203235172126</v>
      </c>
      <c r="P24" s="11"/>
      <c r="Q24" s="8">
        <f t="shared" si="7"/>
        <v>9269.9999999999</v>
      </c>
      <c r="R24" s="12">
        <f t="shared" si="8"/>
        <v>-3.27418092638254e-11</v>
      </c>
    </row>
    <row r="25" ht="14.25" spans="1:18">
      <c r="A25" s="15">
        <v>45861</v>
      </c>
      <c r="B25" s="3">
        <f>Data_Entry!P116</f>
        <v>6210.00000000015</v>
      </c>
      <c r="C25" s="3">
        <v>7</v>
      </c>
      <c r="D25" s="4">
        <f>Data_Entry!V116</f>
        <v>2.6</v>
      </c>
      <c r="E25" s="5">
        <f t="shared" si="0"/>
        <v>0.107320613853176</v>
      </c>
      <c r="F25" s="6">
        <v>0.375</v>
      </c>
      <c r="G25" s="6">
        <v>0.482638888888889</v>
      </c>
      <c r="H25" s="7">
        <f t="shared" si="1"/>
        <v>155</v>
      </c>
      <c r="I25" s="7">
        <f t="shared" si="2"/>
        <v>2.58333333333333</v>
      </c>
      <c r="J25" s="8">
        <v>2411</v>
      </c>
      <c r="K25" s="9">
        <v>2411</v>
      </c>
      <c r="L25" s="8">
        <f t="shared" si="3"/>
        <v>28932</v>
      </c>
      <c r="M25" s="7">
        <f t="shared" si="4"/>
        <v>6228.41666666667</v>
      </c>
      <c r="N25" s="10">
        <f t="shared" si="5"/>
        <v>0.784722222222222</v>
      </c>
      <c r="O25" s="11">
        <f t="shared" si="6"/>
        <v>0.136762552166879</v>
      </c>
      <c r="P25" s="18"/>
      <c r="Q25" s="8">
        <f t="shared" si="7"/>
        <v>7913.6283185843</v>
      </c>
      <c r="R25" s="12">
        <f t="shared" si="8"/>
        <v>1703.62831858415</v>
      </c>
    </row>
    <row r="26" ht="14.25" spans="1:18">
      <c r="A26" s="15">
        <v>45862</v>
      </c>
      <c r="B26" s="3">
        <f>Data_Entry!P117</f>
        <v>4799.99999999973</v>
      </c>
      <c r="C26" s="3">
        <v>0</v>
      </c>
      <c r="D26" s="4">
        <f>Data_Entry!V117</f>
        <v>1.81</v>
      </c>
      <c r="E26" s="5">
        <f t="shared" si="0"/>
        <v>0.0829531314807087</v>
      </c>
      <c r="F26" s="6">
        <v>0</v>
      </c>
      <c r="G26" s="6">
        <v>0</v>
      </c>
      <c r="H26" s="7">
        <f t="shared" si="1"/>
        <v>0</v>
      </c>
      <c r="I26" s="7">
        <f t="shared" si="2"/>
        <v>0</v>
      </c>
      <c r="J26" s="8">
        <v>2411</v>
      </c>
      <c r="K26" s="9"/>
      <c r="L26" s="8">
        <f t="shared" si="3"/>
        <v>28932</v>
      </c>
      <c r="M26" s="7">
        <f t="shared" si="4"/>
        <v>0</v>
      </c>
      <c r="N26" s="10">
        <f t="shared" si="5"/>
        <v>1</v>
      </c>
      <c r="O26" s="11">
        <f t="shared" si="6"/>
        <v>0.0829531314807087</v>
      </c>
      <c r="P26" s="11"/>
      <c r="Q26" s="8">
        <f t="shared" si="7"/>
        <v>4799.99999999973</v>
      </c>
      <c r="R26" s="12">
        <f t="shared" si="8"/>
        <v>0</v>
      </c>
    </row>
    <row r="27" ht="14.25" spans="1:18">
      <c r="A27" s="15">
        <v>45863</v>
      </c>
      <c r="B27" s="3">
        <f>Data_Entry!P118</f>
        <v>8040.00000000019</v>
      </c>
      <c r="C27" s="3">
        <v>0</v>
      </c>
      <c r="D27" s="4">
        <f>Data_Entry!V118</f>
        <v>2.8</v>
      </c>
      <c r="E27" s="5">
        <f t="shared" si="0"/>
        <v>0.138946495230198</v>
      </c>
      <c r="F27" s="6">
        <v>0</v>
      </c>
      <c r="G27" s="6">
        <v>0</v>
      </c>
      <c r="H27" s="7">
        <f t="shared" si="1"/>
        <v>0</v>
      </c>
      <c r="I27" s="7">
        <f t="shared" si="2"/>
        <v>0</v>
      </c>
      <c r="J27" s="8">
        <v>2411</v>
      </c>
      <c r="K27" s="9"/>
      <c r="L27" s="8">
        <f t="shared" si="3"/>
        <v>28932</v>
      </c>
      <c r="M27" s="7">
        <f t="shared" si="4"/>
        <v>0</v>
      </c>
      <c r="N27" s="10">
        <f t="shared" si="5"/>
        <v>1</v>
      </c>
      <c r="O27" s="11">
        <f t="shared" si="6"/>
        <v>0.138946495230198</v>
      </c>
      <c r="P27" s="11"/>
      <c r="Q27" s="8">
        <f t="shared" si="7"/>
        <v>8040.00000000018</v>
      </c>
      <c r="R27" s="12">
        <f t="shared" si="8"/>
        <v>-1.2732925824821e-11</v>
      </c>
    </row>
    <row r="28" ht="14.25" spans="1:18">
      <c r="A28" s="15">
        <v>45864</v>
      </c>
      <c r="B28" s="3">
        <f>Data_Entry!P119</f>
        <v>4559.99999999995</v>
      </c>
      <c r="C28" s="3">
        <v>0</v>
      </c>
      <c r="D28" s="4">
        <f>Data_Entry!V119</f>
        <v>1.61</v>
      </c>
      <c r="E28" s="5">
        <f t="shared" si="0"/>
        <v>0.0788054749066768</v>
      </c>
      <c r="F28" s="6">
        <v>0</v>
      </c>
      <c r="G28" s="6">
        <v>0</v>
      </c>
      <c r="H28" s="7">
        <f t="shared" si="1"/>
        <v>0</v>
      </c>
      <c r="I28" s="7">
        <f t="shared" si="2"/>
        <v>0</v>
      </c>
      <c r="J28" s="8">
        <v>2411</v>
      </c>
      <c r="K28" s="9"/>
      <c r="L28" s="8">
        <f t="shared" si="3"/>
        <v>28932</v>
      </c>
      <c r="M28" s="7">
        <f t="shared" si="4"/>
        <v>0</v>
      </c>
      <c r="N28" s="10">
        <f t="shared" si="5"/>
        <v>1</v>
      </c>
      <c r="O28" s="11">
        <f t="shared" si="6"/>
        <v>0.0788054749066768</v>
      </c>
      <c r="P28" s="11"/>
      <c r="Q28" s="8">
        <f t="shared" si="7"/>
        <v>4559.99999999995</v>
      </c>
      <c r="R28" s="12">
        <f t="shared" si="8"/>
        <v>0</v>
      </c>
    </row>
    <row r="29" ht="14.25" spans="1:18">
      <c r="A29" s="15">
        <v>45865</v>
      </c>
      <c r="B29" s="3">
        <f>Data_Entry!P120</f>
        <v>4020.0000000001</v>
      </c>
      <c r="C29" s="3">
        <v>0</v>
      </c>
      <c r="D29" s="4">
        <f>Data_Entry!V120</f>
        <v>1.55</v>
      </c>
      <c r="E29" s="5">
        <f t="shared" si="0"/>
        <v>0.0694732476150991</v>
      </c>
      <c r="F29" s="6">
        <v>0</v>
      </c>
      <c r="G29" s="6">
        <v>0</v>
      </c>
      <c r="H29" s="7">
        <f t="shared" si="1"/>
        <v>0</v>
      </c>
      <c r="I29" s="7">
        <f t="shared" si="2"/>
        <v>0</v>
      </c>
      <c r="J29" s="8">
        <v>2411</v>
      </c>
      <c r="K29" s="9"/>
      <c r="L29" s="8">
        <f t="shared" si="3"/>
        <v>28932</v>
      </c>
      <c r="M29" s="7">
        <f t="shared" si="4"/>
        <v>0</v>
      </c>
      <c r="N29" s="10">
        <f t="shared" si="5"/>
        <v>1</v>
      </c>
      <c r="O29" s="11">
        <f t="shared" si="6"/>
        <v>0.0694732476150991</v>
      </c>
      <c r="P29" s="11"/>
      <c r="Q29" s="8">
        <f t="shared" si="7"/>
        <v>4020.00000000009</v>
      </c>
      <c r="R29" s="12">
        <f t="shared" si="8"/>
        <v>-5.91171556152403e-12</v>
      </c>
    </row>
    <row r="30" ht="14.25" spans="1:18">
      <c r="A30" s="15">
        <v>45866</v>
      </c>
      <c r="B30" s="3">
        <f>Data_Entry!P121</f>
        <v>5849.9999999998</v>
      </c>
      <c r="C30" s="3">
        <v>0</v>
      </c>
      <c r="D30" s="4">
        <f>Data_Entry!V121</f>
        <v>2.32</v>
      </c>
      <c r="E30" s="5">
        <f t="shared" si="0"/>
        <v>0.101099128992116</v>
      </c>
      <c r="F30" s="6">
        <v>0</v>
      </c>
      <c r="G30" s="6">
        <v>0</v>
      </c>
      <c r="H30" s="7">
        <f t="shared" si="1"/>
        <v>0</v>
      </c>
      <c r="I30" s="7">
        <f t="shared" si="2"/>
        <v>0</v>
      </c>
      <c r="J30" s="8">
        <v>2411</v>
      </c>
      <c r="K30" s="9"/>
      <c r="L30" s="8">
        <f t="shared" si="3"/>
        <v>28932</v>
      </c>
      <c r="M30" s="7">
        <f t="shared" si="4"/>
        <v>0</v>
      </c>
      <c r="N30" s="10">
        <f t="shared" si="5"/>
        <v>1</v>
      </c>
      <c r="O30" s="11">
        <f t="shared" si="6"/>
        <v>0.101099128992116</v>
      </c>
      <c r="P30" s="11"/>
      <c r="Q30" s="8">
        <f t="shared" si="7"/>
        <v>5849.9999999998</v>
      </c>
      <c r="R30" s="12">
        <f t="shared" si="8"/>
        <v>0</v>
      </c>
    </row>
    <row r="31" ht="14.25" spans="1:18">
      <c r="A31" s="15">
        <v>45867</v>
      </c>
      <c r="B31" s="3">
        <f>Data_Entry!P122</f>
        <v>5370.00000000023</v>
      </c>
      <c r="C31" s="3">
        <v>0</v>
      </c>
      <c r="D31" s="4">
        <f>Data_Entry!V122</f>
        <v>2.13</v>
      </c>
      <c r="E31" s="5">
        <f t="shared" si="0"/>
        <v>0.0928038158440521</v>
      </c>
      <c r="F31" s="6">
        <v>0</v>
      </c>
      <c r="G31" s="6">
        <v>0</v>
      </c>
      <c r="H31" s="7">
        <f t="shared" si="1"/>
        <v>0</v>
      </c>
      <c r="I31" s="7">
        <f t="shared" si="2"/>
        <v>0</v>
      </c>
      <c r="J31" s="8">
        <v>2411</v>
      </c>
      <c r="K31" s="9"/>
      <c r="L31" s="8">
        <f t="shared" si="3"/>
        <v>28932</v>
      </c>
      <c r="M31" s="7">
        <f t="shared" si="4"/>
        <v>0</v>
      </c>
      <c r="N31" s="10">
        <f t="shared" si="5"/>
        <v>1</v>
      </c>
      <c r="O31" s="11">
        <f t="shared" si="6"/>
        <v>0.0928038158440521</v>
      </c>
      <c r="P31" s="11"/>
      <c r="Q31" s="8">
        <f t="shared" si="7"/>
        <v>5370.00000000023</v>
      </c>
      <c r="R31" s="12">
        <f t="shared" si="8"/>
        <v>0</v>
      </c>
    </row>
    <row r="32" ht="14.25" spans="1:18">
      <c r="A32" s="15">
        <v>45868</v>
      </c>
      <c r="B32" s="3">
        <f>Data_Entry!P123</f>
        <v>8489.99999999978</v>
      </c>
      <c r="C32" s="3">
        <v>0</v>
      </c>
      <c r="D32" s="4">
        <f>Data_Entry!V123</f>
        <v>3.62</v>
      </c>
      <c r="E32" s="5">
        <f t="shared" si="0"/>
        <v>0.146723351306508</v>
      </c>
      <c r="F32" s="6">
        <v>0</v>
      </c>
      <c r="G32" s="6">
        <v>0</v>
      </c>
      <c r="H32" s="7">
        <f t="shared" si="1"/>
        <v>0</v>
      </c>
      <c r="I32" s="7">
        <f t="shared" si="2"/>
        <v>0</v>
      </c>
      <c r="J32" s="8">
        <v>2411</v>
      </c>
      <c r="K32" s="9"/>
      <c r="L32" s="8">
        <f t="shared" si="3"/>
        <v>28932</v>
      </c>
      <c r="M32" s="7">
        <f t="shared" si="4"/>
        <v>0</v>
      </c>
      <c r="N32" s="10">
        <f t="shared" si="5"/>
        <v>1</v>
      </c>
      <c r="O32" s="11">
        <f t="shared" si="6"/>
        <v>0.146723351306508</v>
      </c>
      <c r="P32" s="11"/>
      <c r="Q32" s="8">
        <f t="shared" si="7"/>
        <v>8489.99999999978</v>
      </c>
      <c r="R32" s="12">
        <f t="shared" si="8"/>
        <v>0</v>
      </c>
    </row>
    <row r="33" ht="14.25" spans="1:18">
      <c r="A33" s="15">
        <v>45869</v>
      </c>
      <c r="B33" s="3">
        <f>Data_Entry!P124</f>
        <v>5880.00000000011</v>
      </c>
      <c r="C33" s="3">
        <v>0</v>
      </c>
      <c r="D33" s="4">
        <f>Data_Entry!V124</f>
        <v>2.47</v>
      </c>
      <c r="E33" s="5">
        <f t="shared" si="0"/>
        <v>0.101617586063876</v>
      </c>
      <c r="F33" s="6">
        <v>0</v>
      </c>
      <c r="G33" s="6">
        <v>0</v>
      </c>
      <c r="H33" s="7">
        <f t="shared" si="1"/>
        <v>0</v>
      </c>
      <c r="I33" s="7">
        <f t="shared" si="2"/>
        <v>0</v>
      </c>
      <c r="J33" s="8">
        <v>2411</v>
      </c>
      <c r="K33" s="9"/>
      <c r="L33" s="8">
        <f t="shared" si="3"/>
        <v>28932</v>
      </c>
      <c r="M33" s="7">
        <f t="shared" si="4"/>
        <v>0</v>
      </c>
      <c r="N33" s="10">
        <f t="shared" si="5"/>
        <v>1</v>
      </c>
      <c r="O33" s="11">
        <f t="shared" si="6"/>
        <v>0.101617586063876</v>
      </c>
      <c r="P33" s="11"/>
      <c r="Q33" s="8">
        <f t="shared" si="7"/>
        <v>5880.00000000012</v>
      </c>
      <c r="R33" s="12">
        <f t="shared" si="8"/>
        <v>1.09139364212751e-11</v>
      </c>
    </row>
    <row r="34" ht="14.25" spans="1:18">
      <c r="A34" s="15"/>
      <c r="B34" s="3"/>
      <c r="C34" s="3"/>
      <c r="D34" s="4"/>
      <c r="E34" s="5"/>
      <c r="F34" s="6"/>
      <c r="G34" s="6"/>
      <c r="H34" s="7"/>
      <c r="I34" s="7"/>
      <c r="J34" s="8"/>
      <c r="K34" s="9"/>
      <c r="L34" s="8"/>
      <c r="M34" s="7"/>
      <c r="N34" s="10"/>
      <c r="O34" s="11"/>
      <c r="P34" s="11"/>
      <c r="Q34" s="8"/>
      <c r="R34" s="12"/>
    </row>
    <row r="35" ht="14.25" spans="1:18">
      <c r="A35" s="15">
        <v>45870</v>
      </c>
      <c r="B35" s="3">
        <f>Data_Entry!P125</f>
        <v>7319.99999999982</v>
      </c>
      <c r="C35" s="3">
        <v>0</v>
      </c>
      <c r="D35" s="4">
        <f>Data_Entry!V125</f>
        <v>3.14</v>
      </c>
      <c r="E35" s="5">
        <f t="shared" si="0"/>
        <v>0.126503525508085</v>
      </c>
      <c r="F35" s="6">
        <v>0</v>
      </c>
      <c r="G35" s="6">
        <v>0</v>
      </c>
      <c r="H35" s="7">
        <f t="shared" si="1"/>
        <v>0</v>
      </c>
      <c r="I35" s="7">
        <f t="shared" si="2"/>
        <v>0</v>
      </c>
      <c r="J35" s="8">
        <v>2411</v>
      </c>
      <c r="K35" s="9"/>
      <c r="L35" s="8">
        <f t="shared" si="3"/>
        <v>28932</v>
      </c>
      <c r="M35" s="7">
        <f t="shared" si="4"/>
        <v>0</v>
      </c>
      <c r="N35" s="10">
        <f t="shared" si="5"/>
        <v>1</v>
      </c>
      <c r="O35" s="11">
        <f t="shared" si="6"/>
        <v>0.126503525508085</v>
      </c>
      <c r="P35" s="11"/>
      <c r="Q35" s="8">
        <f t="shared" si="7"/>
        <v>7319.99999999983</v>
      </c>
      <c r="R35" s="12">
        <f t="shared" si="8"/>
        <v>1.09139364212751e-11</v>
      </c>
    </row>
    <row r="36" ht="14.25" spans="1:18">
      <c r="A36" s="15">
        <v>45871</v>
      </c>
      <c r="B36" s="3">
        <f>Data_Entry!P126</f>
        <v>7290.00000000019</v>
      </c>
      <c r="C36" s="3">
        <v>0</v>
      </c>
      <c r="D36" s="4">
        <f>Data_Entry!V126</f>
        <v>2.91</v>
      </c>
      <c r="E36" s="5">
        <f t="shared" si="0"/>
        <v>0.125985068436337</v>
      </c>
      <c r="F36" s="6">
        <v>0</v>
      </c>
      <c r="G36" s="6">
        <v>0</v>
      </c>
      <c r="H36" s="7">
        <f t="shared" si="1"/>
        <v>0</v>
      </c>
      <c r="I36" s="7">
        <f t="shared" si="2"/>
        <v>0</v>
      </c>
      <c r="J36" s="8">
        <v>2411</v>
      </c>
      <c r="K36" s="9"/>
      <c r="L36" s="8">
        <f t="shared" si="3"/>
        <v>28932</v>
      </c>
      <c r="M36" s="7">
        <f t="shared" si="4"/>
        <v>0</v>
      </c>
      <c r="N36" s="10">
        <f t="shared" si="5"/>
        <v>1</v>
      </c>
      <c r="O36" s="11">
        <f t="shared" si="6"/>
        <v>0.125985068436337</v>
      </c>
      <c r="P36" s="11"/>
      <c r="Q36" s="8">
        <f t="shared" si="7"/>
        <v>7290.0000000002</v>
      </c>
      <c r="R36" s="12">
        <f t="shared" si="8"/>
        <v>1.45519152283669e-11</v>
      </c>
    </row>
    <row r="37" ht="14.25" spans="1:18">
      <c r="A37" s="15">
        <v>45872</v>
      </c>
      <c r="B37" s="3">
        <f>Data_Entry!P127</f>
        <v>6869.99999999989</v>
      </c>
      <c r="C37" s="3">
        <v>0</v>
      </c>
      <c r="D37" s="4">
        <f>Data_Entry!V127</f>
        <v>2.78</v>
      </c>
      <c r="E37" s="5">
        <f t="shared" si="0"/>
        <v>0.118726669431769</v>
      </c>
      <c r="F37" s="6">
        <v>0</v>
      </c>
      <c r="G37" s="6">
        <v>0</v>
      </c>
      <c r="H37" s="7">
        <f t="shared" si="1"/>
        <v>0</v>
      </c>
      <c r="I37" s="7">
        <f t="shared" si="2"/>
        <v>0</v>
      </c>
      <c r="J37" s="8">
        <v>2411</v>
      </c>
      <c r="K37" s="9"/>
      <c r="L37" s="8">
        <f t="shared" si="3"/>
        <v>28932</v>
      </c>
      <c r="M37" s="7">
        <f t="shared" si="4"/>
        <v>0</v>
      </c>
      <c r="N37" s="10">
        <f t="shared" si="5"/>
        <v>1</v>
      </c>
      <c r="O37" s="11">
        <f t="shared" si="6"/>
        <v>0.118726669431769</v>
      </c>
      <c r="P37" s="11"/>
      <c r="Q37" s="8">
        <f t="shared" si="7"/>
        <v>6869.99999999988</v>
      </c>
      <c r="R37" s="12">
        <f t="shared" si="8"/>
        <v>-8.18545231595635e-12</v>
      </c>
    </row>
    <row r="38" ht="14.25" spans="1:18">
      <c r="A38" s="15">
        <v>45873</v>
      </c>
      <c r="B38" s="3">
        <f>Data_Entry!P128</f>
        <v>6900.0000000002</v>
      </c>
      <c r="C38" s="3">
        <v>0</v>
      </c>
      <c r="D38" s="4">
        <f>Data_Entry!V128</f>
        <v>2.5</v>
      </c>
      <c r="E38" s="5">
        <f t="shared" si="0"/>
        <v>0.119245126503529</v>
      </c>
      <c r="F38" s="6">
        <v>0</v>
      </c>
      <c r="G38" s="6">
        <v>0</v>
      </c>
      <c r="H38" s="7">
        <f t="shared" si="1"/>
        <v>0</v>
      </c>
      <c r="I38" s="7">
        <f t="shared" si="2"/>
        <v>0</v>
      </c>
      <c r="J38" s="8">
        <v>2411</v>
      </c>
      <c r="K38" s="9"/>
      <c r="L38" s="8">
        <f t="shared" si="3"/>
        <v>28932</v>
      </c>
      <c r="M38" s="7">
        <f t="shared" si="4"/>
        <v>0</v>
      </c>
      <c r="N38" s="10">
        <f t="shared" si="5"/>
        <v>1</v>
      </c>
      <c r="O38" s="11">
        <f t="shared" si="6"/>
        <v>0.119245126503529</v>
      </c>
      <c r="P38" s="11"/>
      <c r="Q38" s="8">
        <f t="shared" si="7"/>
        <v>6900.0000000002</v>
      </c>
      <c r="R38" s="12">
        <f t="shared" si="8"/>
        <v>0</v>
      </c>
    </row>
    <row r="39" ht="14.25" spans="1:18">
      <c r="A39" s="15">
        <v>45874</v>
      </c>
      <c r="B39" s="3">
        <f>Data_Entry!P129</f>
        <v>6689.99999999971</v>
      </c>
      <c r="C39" s="3">
        <v>7</v>
      </c>
      <c r="D39" s="4">
        <f>Data_Entry!V129</f>
        <v>2.64</v>
      </c>
      <c r="E39" s="5">
        <f t="shared" si="0"/>
        <v>0.115615927001239</v>
      </c>
      <c r="F39" s="6">
        <v>0.4375</v>
      </c>
      <c r="G39" s="6">
        <v>0.520833333333333</v>
      </c>
      <c r="H39" s="7">
        <f t="shared" si="1"/>
        <v>120</v>
      </c>
      <c r="I39" s="7">
        <f t="shared" si="2"/>
        <v>1.99999999999999</v>
      </c>
      <c r="J39" s="8">
        <v>2411</v>
      </c>
      <c r="K39" s="9">
        <v>2411</v>
      </c>
      <c r="L39" s="8">
        <f t="shared" si="3"/>
        <v>28932</v>
      </c>
      <c r="M39" s="7">
        <f t="shared" si="4"/>
        <v>4821.99999999998</v>
      </c>
      <c r="N39" s="10">
        <f t="shared" si="5"/>
        <v>0.833333333333334</v>
      </c>
      <c r="O39" s="11">
        <f t="shared" si="6"/>
        <v>0.138739112401487</v>
      </c>
      <c r="P39" s="19"/>
      <c r="Q39" s="8">
        <f t="shared" si="7"/>
        <v>8027.99999999963</v>
      </c>
      <c r="R39" s="12">
        <f t="shared" si="8"/>
        <v>1337.99999999992</v>
      </c>
    </row>
    <row r="40" ht="14.25" spans="1:18">
      <c r="A40" s="15">
        <v>45875</v>
      </c>
      <c r="B40" s="3">
        <f>Data_Entry!P130</f>
        <v>10530.0000000003</v>
      </c>
      <c r="C40" s="3">
        <v>0</v>
      </c>
      <c r="D40" s="4">
        <f>Data_Entry!V130</f>
        <v>4.15</v>
      </c>
      <c r="E40" s="5">
        <f t="shared" si="0"/>
        <v>0.18197843218582</v>
      </c>
      <c r="F40" s="6">
        <v>0</v>
      </c>
      <c r="G40" s="6">
        <v>0</v>
      </c>
      <c r="H40" s="7">
        <f t="shared" si="1"/>
        <v>0</v>
      </c>
      <c r="I40" s="7">
        <f t="shared" si="2"/>
        <v>0</v>
      </c>
      <c r="J40" s="8">
        <v>2411</v>
      </c>
      <c r="K40" s="9"/>
      <c r="L40" s="8">
        <f t="shared" si="3"/>
        <v>28932</v>
      </c>
      <c r="M40" s="7">
        <f t="shared" si="4"/>
        <v>0</v>
      </c>
      <c r="N40" s="10">
        <f t="shared" si="5"/>
        <v>1</v>
      </c>
      <c r="O40" s="11">
        <f t="shared" si="6"/>
        <v>0.18197843218582</v>
      </c>
      <c r="P40" s="11"/>
      <c r="Q40" s="8">
        <f t="shared" si="7"/>
        <v>10530.0000000003</v>
      </c>
      <c r="R40" s="12">
        <f t="shared" si="8"/>
        <v>0</v>
      </c>
    </row>
    <row r="41" ht="14.25" spans="1:18">
      <c r="A41" s="15">
        <v>45876</v>
      </c>
      <c r="B41" s="3">
        <f>Data_Entry!P131</f>
        <v>11429.9999999998</v>
      </c>
      <c r="C41" s="3">
        <v>0</v>
      </c>
      <c r="D41" s="4">
        <f>Data_Entry!V131</f>
        <v>4.81</v>
      </c>
      <c r="E41" s="5">
        <f t="shared" si="0"/>
        <v>0.197532144338446</v>
      </c>
      <c r="F41" s="6">
        <v>0</v>
      </c>
      <c r="G41" s="6">
        <v>0</v>
      </c>
      <c r="H41" s="7">
        <f t="shared" si="1"/>
        <v>0</v>
      </c>
      <c r="I41" s="7">
        <f t="shared" si="2"/>
        <v>0</v>
      </c>
      <c r="J41" s="8">
        <v>2411</v>
      </c>
      <c r="K41" s="9"/>
      <c r="L41" s="8">
        <f t="shared" si="3"/>
        <v>28932</v>
      </c>
      <c r="M41" s="7">
        <f t="shared" si="4"/>
        <v>0</v>
      </c>
      <c r="N41" s="10">
        <f t="shared" si="5"/>
        <v>1</v>
      </c>
      <c r="O41" s="11">
        <f t="shared" si="6"/>
        <v>0.197532144338446</v>
      </c>
      <c r="P41" s="11"/>
      <c r="Q41" s="8">
        <f t="shared" si="7"/>
        <v>11429.9999999998</v>
      </c>
      <c r="R41" s="12">
        <f t="shared" si="8"/>
        <v>4.00177668780088e-11</v>
      </c>
    </row>
    <row r="42" ht="14.25" spans="1:18">
      <c r="A42" s="15">
        <v>45877</v>
      </c>
      <c r="B42" s="3">
        <f>Data_Entry!P132</f>
        <v>11850.0000000001</v>
      </c>
      <c r="C42" s="3">
        <v>0</v>
      </c>
      <c r="D42" s="4">
        <f>Data_Entry!V132</f>
        <v>4.76</v>
      </c>
      <c r="E42" s="5">
        <f t="shared" si="0"/>
        <v>0.204790543343014</v>
      </c>
      <c r="F42" s="6">
        <v>0</v>
      </c>
      <c r="G42" s="6">
        <v>0</v>
      </c>
      <c r="H42" s="7">
        <f t="shared" si="1"/>
        <v>0</v>
      </c>
      <c r="I42" s="7">
        <f t="shared" si="2"/>
        <v>0</v>
      </c>
      <c r="J42" s="8">
        <v>2411</v>
      </c>
      <c r="K42" s="9"/>
      <c r="L42" s="8">
        <f t="shared" si="3"/>
        <v>28932</v>
      </c>
      <c r="M42" s="7">
        <f t="shared" si="4"/>
        <v>0</v>
      </c>
      <c r="N42" s="10">
        <f t="shared" si="5"/>
        <v>1</v>
      </c>
      <c r="O42" s="11">
        <f t="shared" si="6"/>
        <v>0.204790543343014</v>
      </c>
      <c r="P42" s="11"/>
      <c r="Q42" s="8">
        <f t="shared" si="7"/>
        <v>11850.0000000002</v>
      </c>
      <c r="R42" s="12">
        <f t="shared" si="8"/>
        <v>6.18456397205591e-11</v>
      </c>
    </row>
    <row r="43" ht="14.25" spans="1:18">
      <c r="A43" s="15">
        <v>45878</v>
      </c>
      <c r="B43" s="3">
        <f>Data_Entry!P133</f>
        <v>7169.99999999996</v>
      </c>
      <c r="C43" s="3">
        <v>0</v>
      </c>
      <c r="D43" s="4">
        <f>Data_Entry!V133</f>
        <v>3.13</v>
      </c>
      <c r="E43" s="5">
        <f t="shared" si="0"/>
        <v>0.123911240149315</v>
      </c>
      <c r="F43" s="6">
        <v>0</v>
      </c>
      <c r="G43" s="6">
        <v>0</v>
      </c>
      <c r="H43" s="7">
        <f t="shared" si="1"/>
        <v>0</v>
      </c>
      <c r="I43" s="7">
        <f t="shared" si="2"/>
        <v>0</v>
      </c>
      <c r="J43" s="8">
        <v>2411</v>
      </c>
      <c r="K43" s="9"/>
      <c r="L43" s="8">
        <f t="shared" si="3"/>
        <v>28932</v>
      </c>
      <c r="M43" s="7">
        <f t="shared" si="4"/>
        <v>0</v>
      </c>
      <c r="N43" s="10">
        <f t="shared" si="5"/>
        <v>1</v>
      </c>
      <c r="O43" s="11">
        <f t="shared" si="6"/>
        <v>0.123911240149315</v>
      </c>
      <c r="P43" s="11"/>
      <c r="Q43" s="8">
        <f t="shared" si="7"/>
        <v>7169.99999999996</v>
      </c>
      <c r="R43" s="12">
        <f t="shared" si="8"/>
        <v>0</v>
      </c>
    </row>
    <row r="44" ht="14.25" spans="1:18">
      <c r="A44" s="15">
        <v>45879</v>
      </c>
      <c r="B44" s="3">
        <f>Data_Entry!P134</f>
        <v>9239.99999999978</v>
      </c>
      <c r="C44" s="3">
        <v>0</v>
      </c>
      <c r="D44" s="4">
        <f>Data_Entry!V134</f>
        <v>3.55</v>
      </c>
      <c r="E44" s="5">
        <f t="shared" si="0"/>
        <v>0.15968477810037</v>
      </c>
      <c r="F44" s="6">
        <v>0</v>
      </c>
      <c r="G44" s="6">
        <v>0</v>
      </c>
      <c r="H44" s="7">
        <f t="shared" si="1"/>
        <v>0</v>
      </c>
      <c r="I44" s="7">
        <f t="shared" si="2"/>
        <v>0</v>
      </c>
      <c r="J44" s="8">
        <v>2411</v>
      </c>
      <c r="K44" s="9"/>
      <c r="L44" s="8">
        <f t="shared" si="3"/>
        <v>28932</v>
      </c>
      <c r="M44" s="7">
        <f t="shared" si="4"/>
        <v>0</v>
      </c>
      <c r="N44" s="10">
        <f t="shared" si="5"/>
        <v>1</v>
      </c>
      <c r="O44" s="11">
        <f t="shared" si="6"/>
        <v>0.15968477810037</v>
      </c>
      <c r="P44" s="11"/>
      <c r="Q44" s="8">
        <f t="shared" si="7"/>
        <v>9239.99999999981</v>
      </c>
      <c r="R44" s="12">
        <f t="shared" si="8"/>
        <v>2.91038304567337e-11</v>
      </c>
    </row>
    <row r="45" ht="14.25" spans="1:18">
      <c r="A45" s="15">
        <v>45880</v>
      </c>
      <c r="B45" s="3">
        <f>Data_Entry!P135</f>
        <v>6060.00000000029</v>
      </c>
      <c r="C45" s="3">
        <v>0</v>
      </c>
      <c r="D45" s="4">
        <f>Data_Entry!V135</f>
        <v>3.28</v>
      </c>
      <c r="E45" s="5">
        <f t="shared" si="0"/>
        <v>0.104728328494406</v>
      </c>
      <c r="F45" s="6">
        <v>0</v>
      </c>
      <c r="G45" s="6">
        <v>0</v>
      </c>
      <c r="H45" s="7">
        <v>150</v>
      </c>
      <c r="I45" s="7">
        <f t="shared" si="2"/>
        <v>2.5</v>
      </c>
      <c r="J45" s="8">
        <v>2411</v>
      </c>
      <c r="K45" s="9">
        <v>2411</v>
      </c>
      <c r="L45" s="8">
        <f t="shared" si="3"/>
        <v>28932</v>
      </c>
      <c r="M45" s="7">
        <f t="shared" si="4"/>
        <v>6027.5</v>
      </c>
      <c r="N45" s="10">
        <f t="shared" si="5"/>
        <v>0.791666666666667</v>
      </c>
      <c r="O45" s="11">
        <f t="shared" si="6"/>
        <v>0.132288414940302</v>
      </c>
      <c r="P45" s="11" t="s">
        <v>276</v>
      </c>
      <c r="Q45" s="8">
        <f t="shared" si="7"/>
        <v>7654.73684210565</v>
      </c>
      <c r="R45" s="12">
        <f t="shared" si="8"/>
        <v>1594.73684210536</v>
      </c>
    </row>
    <row r="46" ht="14.25" spans="1:18">
      <c r="A46" s="15">
        <v>45881</v>
      </c>
      <c r="B46" s="3">
        <f>Data_Entry!P136</f>
        <v>8099.9999999998</v>
      </c>
      <c r="C46" s="3">
        <v>0</v>
      </c>
      <c r="D46" s="4">
        <f>Data_Entry!V136</f>
        <v>2.98</v>
      </c>
      <c r="E46" s="5">
        <f t="shared" si="0"/>
        <v>0.1399834093737</v>
      </c>
      <c r="F46" s="6">
        <v>0</v>
      </c>
      <c r="G46" s="6">
        <v>0</v>
      </c>
      <c r="H46" s="7">
        <f t="shared" si="1"/>
        <v>0</v>
      </c>
      <c r="I46" s="7">
        <f t="shared" si="2"/>
        <v>0</v>
      </c>
      <c r="J46" s="8">
        <v>2411</v>
      </c>
      <c r="K46" s="9"/>
      <c r="L46" s="8">
        <f t="shared" si="3"/>
        <v>28932</v>
      </c>
      <c r="M46" s="7">
        <f t="shared" si="4"/>
        <v>0</v>
      </c>
      <c r="N46" s="10">
        <f t="shared" si="5"/>
        <v>1</v>
      </c>
      <c r="O46" s="11">
        <f t="shared" si="6"/>
        <v>0.1399834093737</v>
      </c>
      <c r="P46" s="11"/>
      <c r="Q46" s="8">
        <f t="shared" si="7"/>
        <v>8099.99999999978</v>
      </c>
      <c r="R46" s="12">
        <f t="shared" si="8"/>
        <v>-2.36468622460961e-11</v>
      </c>
    </row>
    <row r="47" ht="14.25" spans="1:18">
      <c r="A47" s="15">
        <v>45882</v>
      </c>
      <c r="B47" s="3">
        <f>Data_Entry!P137</f>
        <v>7680.00000000018</v>
      </c>
      <c r="C47" s="3">
        <v>7</v>
      </c>
      <c r="D47" s="4">
        <f>Data_Entry!V137</f>
        <v>3.15</v>
      </c>
      <c r="E47" s="5">
        <f t="shared" si="0"/>
        <v>0.132725010369144</v>
      </c>
      <c r="F47" s="6">
        <v>0.3125</v>
      </c>
      <c r="G47" s="6">
        <v>0.333333333333333</v>
      </c>
      <c r="H47" s="7">
        <f t="shared" si="1"/>
        <v>29.9999999999995</v>
      </c>
      <c r="I47" s="7">
        <f t="shared" si="2"/>
        <v>0.499999999999992</v>
      </c>
      <c r="J47" s="8">
        <v>2411</v>
      </c>
      <c r="K47" s="9">
        <v>2411</v>
      </c>
      <c r="L47" s="8">
        <f t="shared" si="3"/>
        <v>28932</v>
      </c>
      <c r="M47" s="7">
        <f t="shared" si="4"/>
        <v>1205.49999999998</v>
      </c>
      <c r="N47" s="10">
        <f t="shared" si="5"/>
        <v>0.958333333333334</v>
      </c>
      <c r="O47" s="11">
        <f t="shared" si="6"/>
        <v>0.138495662993889</v>
      </c>
      <c r="P47" s="20"/>
      <c r="Q47" s="8">
        <f t="shared" si="7"/>
        <v>8013.91304347841</v>
      </c>
      <c r="R47" s="12">
        <f t="shared" si="8"/>
        <v>333.913043478229</v>
      </c>
    </row>
    <row r="48" ht="14.25" spans="1:18">
      <c r="A48" s="15">
        <v>45883</v>
      </c>
      <c r="B48" s="3">
        <f>Data_Entry!P138</f>
        <v>7319.99999999982</v>
      </c>
      <c r="C48" s="3">
        <v>0</v>
      </c>
      <c r="D48" s="4">
        <f>Data_Entry!V138</f>
        <v>3.1</v>
      </c>
      <c r="E48" s="5">
        <f t="shared" si="0"/>
        <v>0.126503525508085</v>
      </c>
      <c r="F48" s="6">
        <v>0</v>
      </c>
      <c r="G48" s="6">
        <v>0</v>
      </c>
      <c r="H48" s="7">
        <f t="shared" si="1"/>
        <v>0</v>
      </c>
      <c r="I48" s="7">
        <f t="shared" si="2"/>
        <v>0</v>
      </c>
      <c r="J48" s="8">
        <v>2411</v>
      </c>
      <c r="K48" s="9"/>
      <c r="L48" s="8">
        <f t="shared" si="3"/>
        <v>28932</v>
      </c>
      <c r="M48" s="7">
        <f t="shared" si="4"/>
        <v>0</v>
      </c>
      <c r="N48" s="10">
        <f t="shared" si="5"/>
        <v>1</v>
      </c>
      <c r="O48" s="11">
        <f t="shared" si="6"/>
        <v>0.126503525508085</v>
      </c>
      <c r="P48" s="11"/>
      <c r="Q48" s="8">
        <f t="shared" si="7"/>
        <v>7319.99999999983</v>
      </c>
      <c r="R48" s="12">
        <f t="shared" si="8"/>
        <v>1.09139364212751e-11</v>
      </c>
    </row>
    <row r="49" ht="14.25" spans="1:18">
      <c r="A49" s="15">
        <v>45884</v>
      </c>
      <c r="B49" s="3">
        <f>Data_Entry!P139</f>
        <v>7380.00000000011</v>
      </c>
      <c r="C49" s="3">
        <v>0</v>
      </c>
      <c r="D49" s="4">
        <f>Data_Entry!V139</f>
        <v>2.96</v>
      </c>
      <c r="E49" s="5">
        <f t="shared" si="0"/>
        <v>0.127540439651599</v>
      </c>
      <c r="F49" s="6">
        <v>0</v>
      </c>
      <c r="G49" s="6">
        <v>0</v>
      </c>
      <c r="H49" s="7">
        <f t="shared" si="1"/>
        <v>0</v>
      </c>
      <c r="I49" s="7">
        <f t="shared" si="2"/>
        <v>0</v>
      </c>
      <c r="J49" s="8">
        <v>2411</v>
      </c>
      <c r="K49" s="9"/>
      <c r="L49" s="8">
        <f t="shared" si="3"/>
        <v>28932</v>
      </c>
      <c r="M49" s="7">
        <f t="shared" si="4"/>
        <v>0</v>
      </c>
      <c r="N49" s="10">
        <f t="shared" si="5"/>
        <v>1</v>
      </c>
      <c r="O49" s="11">
        <f t="shared" si="6"/>
        <v>0.127540439651599</v>
      </c>
      <c r="P49" s="11"/>
      <c r="Q49" s="8">
        <f t="shared" si="7"/>
        <v>7380.00000000012</v>
      </c>
      <c r="R49" s="12">
        <f t="shared" si="8"/>
        <v>1.36424205265939e-11</v>
      </c>
    </row>
    <row r="50" ht="14.25" spans="1:18">
      <c r="A50" s="15">
        <v>45885</v>
      </c>
      <c r="B50" s="3">
        <f>Data_Entry!P140</f>
        <v>7440.00000000005</v>
      </c>
      <c r="C50" s="3">
        <v>0</v>
      </c>
      <c r="D50" s="4">
        <f>Data_Entry!V140</f>
        <v>3.06</v>
      </c>
      <c r="E50" s="5">
        <f t="shared" si="0"/>
        <v>0.128577353795107</v>
      </c>
      <c r="F50" s="6">
        <v>0</v>
      </c>
      <c r="G50" s="6">
        <v>0</v>
      </c>
      <c r="H50" s="7">
        <f t="shared" si="1"/>
        <v>0</v>
      </c>
      <c r="I50" s="7">
        <f t="shared" si="2"/>
        <v>0</v>
      </c>
      <c r="J50" s="8">
        <v>2411</v>
      </c>
      <c r="K50" s="9"/>
      <c r="L50" s="8">
        <f t="shared" si="3"/>
        <v>28932</v>
      </c>
      <c r="M50" s="7">
        <f t="shared" si="4"/>
        <v>0</v>
      </c>
      <c r="N50" s="10">
        <f t="shared" si="5"/>
        <v>1</v>
      </c>
      <c r="O50" s="11">
        <f t="shared" si="6"/>
        <v>0.128577353795107</v>
      </c>
      <c r="P50" s="11"/>
      <c r="Q50" s="8">
        <f t="shared" si="7"/>
        <v>7440.00000000007</v>
      </c>
      <c r="R50" s="12">
        <f t="shared" si="8"/>
        <v>2.27373675443232e-11</v>
      </c>
    </row>
    <row r="51" ht="14.25" spans="1:18">
      <c r="A51" s="15">
        <v>45886</v>
      </c>
      <c r="B51" s="3">
        <f>Data_Entry!P141</f>
        <v>8489.99999999978</v>
      </c>
      <c r="C51" s="3">
        <v>0</v>
      </c>
      <c r="D51" s="4">
        <f>Data_Entry!V141</f>
        <v>2.93</v>
      </c>
      <c r="E51" s="5">
        <f t="shared" si="0"/>
        <v>0.146723351306508</v>
      </c>
      <c r="F51" s="6">
        <v>0</v>
      </c>
      <c r="G51" s="6">
        <v>0</v>
      </c>
      <c r="H51" s="7">
        <f t="shared" si="1"/>
        <v>0</v>
      </c>
      <c r="I51" s="7">
        <f t="shared" si="2"/>
        <v>0</v>
      </c>
      <c r="J51" s="8">
        <v>2411</v>
      </c>
      <c r="K51" s="9"/>
      <c r="L51" s="8">
        <f t="shared" si="3"/>
        <v>28932</v>
      </c>
      <c r="M51" s="7">
        <f t="shared" si="4"/>
        <v>0</v>
      </c>
      <c r="N51" s="10">
        <f t="shared" si="5"/>
        <v>1</v>
      </c>
      <c r="O51" s="11">
        <f t="shared" si="6"/>
        <v>0.146723351306508</v>
      </c>
      <c r="P51" s="11"/>
      <c r="Q51" s="8">
        <f t="shared" si="7"/>
        <v>8489.99999999978</v>
      </c>
      <c r="R51" s="12">
        <f t="shared" si="8"/>
        <v>0</v>
      </c>
    </row>
    <row r="52" ht="14.25" spans="1:18">
      <c r="A52" s="15">
        <v>45887</v>
      </c>
      <c r="B52" s="3">
        <f>Data_Entry!P142</f>
        <v>8100.00000000014</v>
      </c>
      <c r="C52" s="3">
        <v>0</v>
      </c>
      <c r="D52" s="4">
        <f>Data_Entry!V142</f>
        <v>2.69</v>
      </c>
      <c r="E52" s="5">
        <f t="shared" si="0"/>
        <v>0.139983409373706</v>
      </c>
      <c r="F52" s="6">
        <v>0</v>
      </c>
      <c r="G52" s="6">
        <v>0</v>
      </c>
      <c r="H52" s="7">
        <f t="shared" si="1"/>
        <v>0</v>
      </c>
      <c r="I52" s="7">
        <f t="shared" si="2"/>
        <v>0</v>
      </c>
      <c r="J52" s="8">
        <v>2411</v>
      </c>
      <c r="K52" s="9"/>
      <c r="L52" s="8">
        <f t="shared" si="3"/>
        <v>28932</v>
      </c>
      <c r="M52" s="7">
        <f t="shared" si="4"/>
        <v>0</v>
      </c>
      <c r="N52" s="10">
        <f t="shared" si="5"/>
        <v>1</v>
      </c>
      <c r="O52" s="11">
        <f t="shared" si="6"/>
        <v>0.139983409373706</v>
      </c>
      <c r="P52" s="11"/>
      <c r="Q52" s="8">
        <f t="shared" si="7"/>
        <v>8100.00000000012</v>
      </c>
      <c r="R52" s="12">
        <f t="shared" si="8"/>
        <v>-1.63709046319127e-11</v>
      </c>
    </row>
    <row r="53" ht="14.25" spans="1:18">
      <c r="A53" s="15">
        <v>45888</v>
      </c>
      <c r="B53" s="3">
        <f>Data_Entry!P143</f>
        <v>9899.99999999986</v>
      </c>
      <c r="C53" s="3">
        <v>0</v>
      </c>
      <c r="D53" s="4">
        <f>Data_Entry!V143</f>
        <v>0</v>
      </c>
      <c r="E53" s="5">
        <f t="shared" si="0"/>
        <v>0.171090833678969</v>
      </c>
      <c r="F53" s="6">
        <v>0</v>
      </c>
      <c r="G53" s="6">
        <v>0</v>
      </c>
      <c r="H53" s="7">
        <f t="shared" si="1"/>
        <v>0</v>
      </c>
      <c r="I53" s="7">
        <f t="shared" si="2"/>
        <v>0</v>
      </c>
      <c r="J53" s="8">
        <v>2411</v>
      </c>
      <c r="K53" s="9"/>
      <c r="L53" s="8">
        <f t="shared" si="3"/>
        <v>28932</v>
      </c>
      <c r="M53" s="7">
        <f t="shared" si="4"/>
        <v>0</v>
      </c>
      <c r="N53" s="10">
        <f t="shared" si="5"/>
        <v>1</v>
      </c>
      <c r="O53" s="11">
        <f t="shared" si="6"/>
        <v>0.171090833678969</v>
      </c>
      <c r="P53" s="11"/>
      <c r="Q53" s="8">
        <f t="shared" si="7"/>
        <v>9899.99999999986</v>
      </c>
      <c r="R53" s="12">
        <f t="shared" si="8"/>
        <v>0</v>
      </c>
    </row>
    <row r="54" ht="14.25" spans="1:18">
      <c r="A54" s="15">
        <v>45889</v>
      </c>
      <c r="B54" s="3">
        <f>Data_Entry!P144</f>
        <v>2910.00000000008</v>
      </c>
      <c r="C54" s="3">
        <v>0</v>
      </c>
      <c r="D54" s="4">
        <f>Data_Entry!V144</f>
        <v>0</v>
      </c>
      <c r="E54" s="5">
        <f t="shared" si="0"/>
        <v>0.0502903359601839</v>
      </c>
      <c r="F54" s="6">
        <v>0</v>
      </c>
      <c r="G54" s="6">
        <v>0</v>
      </c>
      <c r="H54" s="7">
        <f t="shared" si="1"/>
        <v>0</v>
      </c>
      <c r="I54" s="7">
        <f t="shared" si="2"/>
        <v>0</v>
      </c>
      <c r="J54" s="8">
        <v>2411</v>
      </c>
      <c r="K54" s="9"/>
      <c r="L54" s="8">
        <f t="shared" si="3"/>
        <v>28932</v>
      </c>
      <c r="M54" s="7">
        <f t="shared" si="4"/>
        <v>0</v>
      </c>
      <c r="N54" s="10">
        <f t="shared" si="5"/>
        <v>1</v>
      </c>
      <c r="O54" s="11">
        <f t="shared" si="6"/>
        <v>0.0502903359601839</v>
      </c>
      <c r="P54" s="11"/>
      <c r="Q54" s="8">
        <f t="shared" si="7"/>
        <v>2910.00000000008</v>
      </c>
      <c r="R54" s="12">
        <f t="shared" si="8"/>
        <v>0</v>
      </c>
    </row>
    <row r="55" ht="14.25" spans="1:18">
      <c r="A55" s="15">
        <v>45890</v>
      </c>
      <c r="B55" s="3">
        <f>Data_Entry!P145</f>
        <v>8130.00000000011</v>
      </c>
      <c r="C55" s="3">
        <v>0</v>
      </c>
      <c r="D55" s="4">
        <f>Data_Entry!V145</f>
        <v>0</v>
      </c>
      <c r="E55" s="5">
        <f t="shared" si="0"/>
        <v>0.14050186644546</v>
      </c>
      <c r="F55" s="6">
        <v>0</v>
      </c>
      <c r="G55" s="6">
        <v>0</v>
      </c>
      <c r="H55" s="7">
        <f t="shared" si="1"/>
        <v>0</v>
      </c>
      <c r="I55" s="7">
        <f t="shared" si="2"/>
        <v>0</v>
      </c>
      <c r="J55" s="8">
        <v>2411</v>
      </c>
      <c r="K55" s="9"/>
      <c r="L55" s="8">
        <f t="shared" si="3"/>
        <v>28932</v>
      </c>
      <c r="M55" s="7">
        <f t="shared" si="4"/>
        <v>0</v>
      </c>
      <c r="N55" s="10">
        <f t="shared" si="5"/>
        <v>1</v>
      </c>
      <c r="O55" s="11">
        <f t="shared" si="6"/>
        <v>0.14050186644546</v>
      </c>
      <c r="P55" s="11"/>
      <c r="Q55" s="8">
        <f t="shared" si="7"/>
        <v>8130.0000000001</v>
      </c>
      <c r="R55" s="12">
        <f t="shared" si="8"/>
        <v>-1.18234311230481e-11</v>
      </c>
    </row>
    <row r="56" ht="14.25" spans="1:18">
      <c r="A56" s="15">
        <v>45891</v>
      </c>
      <c r="B56" s="3">
        <f>Data_Entry!P146</f>
        <v>9629.99999999977</v>
      </c>
      <c r="C56" s="3">
        <v>0</v>
      </c>
      <c r="D56" s="4">
        <f>Data_Entry!V146</f>
        <v>0</v>
      </c>
      <c r="E56" s="5">
        <f t="shared" si="0"/>
        <v>0.166424720033177</v>
      </c>
      <c r="F56" s="6">
        <v>0</v>
      </c>
      <c r="G56" s="6">
        <v>0</v>
      </c>
      <c r="H56" s="7">
        <f t="shared" si="1"/>
        <v>0</v>
      </c>
      <c r="I56" s="7">
        <f t="shared" si="2"/>
        <v>0</v>
      </c>
      <c r="J56" s="8">
        <v>2411</v>
      </c>
      <c r="K56" s="9"/>
      <c r="L56" s="8">
        <f t="shared" si="3"/>
        <v>28932</v>
      </c>
      <c r="M56" s="7">
        <f t="shared" si="4"/>
        <v>0</v>
      </c>
      <c r="N56" s="10">
        <f t="shared" si="5"/>
        <v>1</v>
      </c>
      <c r="O56" s="11">
        <f t="shared" si="6"/>
        <v>0.166424720033177</v>
      </c>
      <c r="P56" s="11"/>
      <c r="Q56" s="8">
        <f t="shared" si="7"/>
        <v>9629.99999999975</v>
      </c>
      <c r="R56" s="12">
        <f t="shared" si="8"/>
        <v>-1.81898940354586e-11</v>
      </c>
    </row>
    <row r="57" ht="14.25" spans="1:18">
      <c r="A57" s="15">
        <v>45892</v>
      </c>
      <c r="B57" s="3">
        <f>Data_Entry!P147</f>
        <v>5340.00000000026</v>
      </c>
      <c r="C57" s="3">
        <v>0</v>
      </c>
      <c r="D57" s="4">
        <f>Data_Entry!V147</f>
        <v>0</v>
      </c>
      <c r="E57" s="5">
        <f t="shared" si="0"/>
        <v>0.0922853587722981</v>
      </c>
      <c r="F57" s="6">
        <v>0</v>
      </c>
      <c r="G57" s="6">
        <v>0</v>
      </c>
      <c r="H57" s="7">
        <f t="shared" si="1"/>
        <v>0</v>
      </c>
      <c r="I57" s="7">
        <f t="shared" si="2"/>
        <v>0</v>
      </c>
      <c r="J57" s="8">
        <v>2411</v>
      </c>
      <c r="K57" s="9"/>
      <c r="L57" s="8">
        <f t="shared" si="3"/>
        <v>28932</v>
      </c>
      <c r="M57" s="7">
        <f t="shared" si="4"/>
        <v>0</v>
      </c>
      <c r="N57" s="10">
        <f t="shared" si="5"/>
        <v>1</v>
      </c>
      <c r="O57" s="11">
        <f t="shared" si="6"/>
        <v>0.0922853587722981</v>
      </c>
      <c r="P57" s="11"/>
      <c r="Q57" s="8">
        <f t="shared" si="7"/>
        <v>5340.00000000026</v>
      </c>
      <c r="R57" s="12">
        <f t="shared" si="8"/>
        <v>0</v>
      </c>
    </row>
    <row r="58" ht="14.25" spans="1:18">
      <c r="A58" s="15">
        <v>45893</v>
      </c>
      <c r="B58" s="3">
        <f>Data_Entry!P148</f>
        <v>3720.00000000003</v>
      </c>
      <c r="C58" s="3">
        <v>0</v>
      </c>
      <c r="D58" s="4">
        <f>Data_Entry!V148</f>
        <v>0</v>
      </c>
      <c r="E58" s="5">
        <f t="shared" si="0"/>
        <v>0.0642886768975534</v>
      </c>
      <c r="F58" s="6">
        <v>0</v>
      </c>
      <c r="G58" s="6">
        <v>0</v>
      </c>
      <c r="H58" s="7">
        <f t="shared" si="1"/>
        <v>0</v>
      </c>
      <c r="I58" s="7">
        <f t="shared" si="2"/>
        <v>0</v>
      </c>
      <c r="J58" s="8">
        <v>2411</v>
      </c>
      <c r="K58" s="9"/>
      <c r="L58" s="8">
        <f t="shared" si="3"/>
        <v>28932</v>
      </c>
      <c r="M58" s="7">
        <f t="shared" si="4"/>
        <v>0</v>
      </c>
      <c r="N58" s="10">
        <f t="shared" si="5"/>
        <v>1</v>
      </c>
      <c r="O58" s="11">
        <f t="shared" si="6"/>
        <v>0.0642886768975534</v>
      </c>
      <c r="P58" s="11"/>
      <c r="Q58" s="8">
        <f t="shared" si="7"/>
        <v>3720.00000000003</v>
      </c>
      <c r="R58" s="12">
        <f t="shared" si="8"/>
        <v>0</v>
      </c>
    </row>
    <row r="59" ht="14.25" spans="1:18">
      <c r="A59" s="15">
        <v>45894</v>
      </c>
      <c r="B59" s="3">
        <f>Data_Entry!P149</f>
        <v>6599.9999999998</v>
      </c>
      <c r="C59" s="3">
        <v>0</v>
      </c>
      <c r="D59" s="4">
        <f>Data_Entry!V149</f>
        <v>0</v>
      </c>
      <c r="E59" s="5">
        <f t="shared" si="0"/>
        <v>0.114060555785977</v>
      </c>
      <c r="F59" s="6">
        <v>0</v>
      </c>
      <c r="G59" s="6">
        <v>0</v>
      </c>
      <c r="H59" s="7">
        <f t="shared" si="1"/>
        <v>0</v>
      </c>
      <c r="I59" s="7">
        <f t="shared" si="2"/>
        <v>0</v>
      </c>
      <c r="J59" s="8">
        <v>2411</v>
      </c>
      <c r="K59" s="9"/>
      <c r="L59" s="8">
        <f t="shared" si="3"/>
        <v>28932</v>
      </c>
      <c r="M59" s="7">
        <f t="shared" si="4"/>
        <v>0</v>
      </c>
      <c r="N59" s="10">
        <f t="shared" si="5"/>
        <v>1</v>
      </c>
      <c r="O59" s="11">
        <f t="shared" si="6"/>
        <v>0.114060555785977</v>
      </c>
      <c r="P59" s="11"/>
      <c r="Q59" s="8">
        <f t="shared" si="7"/>
        <v>6599.99999999977</v>
      </c>
      <c r="R59" s="12">
        <f t="shared" si="8"/>
        <v>-2.63753463514149e-11</v>
      </c>
    </row>
    <row r="60" ht="14.25" spans="1:18">
      <c r="A60" s="15">
        <v>45895</v>
      </c>
      <c r="B60" s="3">
        <f>Data_Entry!P150</f>
        <v>7680.00000000018</v>
      </c>
      <c r="C60" s="3">
        <v>0</v>
      </c>
      <c r="D60" s="4">
        <f>Data_Entry!V150</f>
        <v>0</v>
      </c>
      <c r="E60" s="5">
        <f t="shared" si="0"/>
        <v>0.132725010369144</v>
      </c>
      <c r="F60" s="6">
        <v>0</v>
      </c>
      <c r="G60" s="6">
        <v>0</v>
      </c>
      <c r="H60" s="7">
        <f t="shared" si="1"/>
        <v>0</v>
      </c>
      <c r="I60" s="7">
        <f t="shared" si="2"/>
        <v>0</v>
      </c>
      <c r="J60" s="8">
        <v>2411</v>
      </c>
      <c r="K60" s="9"/>
      <c r="L60" s="8">
        <f t="shared" si="3"/>
        <v>28932</v>
      </c>
      <c r="M60" s="7">
        <f t="shared" si="4"/>
        <v>0</v>
      </c>
      <c r="N60" s="10">
        <f t="shared" si="5"/>
        <v>1</v>
      </c>
      <c r="O60" s="11">
        <f t="shared" si="6"/>
        <v>0.132725010369144</v>
      </c>
      <c r="P60" s="11"/>
      <c r="Q60" s="8">
        <f t="shared" si="7"/>
        <v>7680.00000000015</v>
      </c>
      <c r="R60" s="12">
        <f t="shared" si="8"/>
        <v>-3.09228198602796e-11</v>
      </c>
    </row>
    <row r="61" ht="14.25" spans="1:18">
      <c r="A61" s="15">
        <v>45896</v>
      </c>
      <c r="B61" s="3">
        <f>Data_Entry!P151</f>
        <v>8099.9999999998</v>
      </c>
      <c r="C61" s="3">
        <v>0</v>
      </c>
      <c r="D61" s="4">
        <f>Data_Entry!V151</f>
        <v>0</v>
      </c>
      <c r="E61" s="5">
        <f t="shared" si="0"/>
        <v>0.1399834093737</v>
      </c>
      <c r="F61" s="6">
        <v>0</v>
      </c>
      <c r="G61" s="6">
        <v>0</v>
      </c>
      <c r="H61" s="7">
        <f t="shared" si="1"/>
        <v>0</v>
      </c>
      <c r="I61" s="7">
        <f t="shared" si="2"/>
        <v>0</v>
      </c>
      <c r="J61" s="8">
        <v>2411</v>
      </c>
      <c r="K61" s="9"/>
      <c r="L61" s="8">
        <f t="shared" si="3"/>
        <v>28932</v>
      </c>
      <c r="M61" s="7">
        <f t="shared" si="4"/>
        <v>0</v>
      </c>
      <c r="N61" s="10">
        <f t="shared" si="5"/>
        <v>1</v>
      </c>
      <c r="O61" s="11">
        <f t="shared" si="6"/>
        <v>0.1399834093737</v>
      </c>
      <c r="P61" s="11"/>
      <c r="Q61" s="8">
        <f t="shared" si="7"/>
        <v>8099.99999999978</v>
      </c>
      <c r="R61" s="12">
        <f t="shared" si="8"/>
        <v>-2.36468622460961e-11</v>
      </c>
    </row>
    <row r="62" ht="14.25" spans="1:18">
      <c r="A62" s="15">
        <v>45897</v>
      </c>
      <c r="B62" s="3">
        <f>Data_Entry!P152</f>
        <v>9300.00000000007</v>
      </c>
      <c r="C62" s="3">
        <v>0</v>
      </c>
      <c r="D62" s="4">
        <f>Data_Entry!V152</f>
        <v>0</v>
      </c>
      <c r="E62" s="5">
        <f t="shared" si="0"/>
        <v>0.160721692243883</v>
      </c>
      <c r="F62" s="6">
        <v>0</v>
      </c>
      <c r="G62" s="6">
        <v>0</v>
      </c>
      <c r="H62" s="7">
        <f t="shared" si="1"/>
        <v>0</v>
      </c>
      <c r="I62" s="7">
        <f t="shared" si="2"/>
        <v>0</v>
      </c>
      <c r="J62" s="8">
        <v>2411</v>
      </c>
      <c r="K62" s="9"/>
      <c r="L62" s="8">
        <f t="shared" si="3"/>
        <v>28932</v>
      </c>
      <c r="M62" s="7">
        <f t="shared" si="4"/>
        <v>0</v>
      </c>
      <c r="N62" s="10">
        <f t="shared" si="5"/>
        <v>1</v>
      </c>
      <c r="O62" s="11">
        <f t="shared" si="6"/>
        <v>0.160721692243883</v>
      </c>
      <c r="P62" s="11"/>
      <c r="Q62" s="8">
        <f t="shared" si="7"/>
        <v>9300.00000000005</v>
      </c>
      <c r="R62" s="12">
        <f t="shared" si="8"/>
        <v>-2.18278728425503e-11</v>
      </c>
    </row>
    <row r="63" ht="14.25" spans="1:18">
      <c r="A63" s="15">
        <v>45898</v>
      </c>
      <c r="B63" s="3">
        <f>Data_Entry!P153</f>
        <v>7320.00000000016</v>
      </c>
      <c r="C63" s="3">
        <v>0</v>
      </c>
      <c r="D63" s="4">
        <f>Data_Entry!V153</f>
        <v>0</v>
      </c>
      <c r="E63" s="5">
        <f t="shared" si="0"/>
        <v>0.126503525508091</v>
      </c>
      <c r="F63" s="6">
        <v>0</v>
      </c>
      <c r="G63" s="6">
        <v>0</v>
      </c>
      <c r="H63" s="7">
        <f t="shared" si="1"/>
        <v>0</v>
      </c>
      <c r="I63" s="7">
        <f t="shared" si="2"/>
        <v>0</v>
      </c>
      <c r="J63" s="8">
        <v>2411</v>
      </c>
      <c r="K63" s="9"/>
      <c r="L63" s="8">
        <f t="shared" si="3"/>
        <v>28932</v>
      </c>
      <c r="M63" s="7">
        <f t="shared" si="4"/>
        <v>0</v>
      </c>
      <c r="N63" s="10">
        <f t="shared" si="5"/>
        <v>1</v>
      </c>
      <c r="O63" s="11">
        <f t="shared" si="6"/>
        <v>0.126503525508091</v>
      </c>
      <c r="P63" s="11"/>
      <c r="Q63" s="8">
        <f t="shared" si="7"/>
        <v>7320.00000000018</v>
      </c>
      <c r="R63" s="12">
        <f t="shared" si="8"/>
        <v>1.72803993336856e-11</v>
      </c>
    </row>
    <row r="64" ht="14.25" spans="1:18">
      <c r="A64" s="15">
        <v>45899</v>
      </c>
      <c r="B64" s="3">
        <f>Data_Entry!P154</f>
        <v>7589.99999999992</v>
      </c>
      <c r="C64" s="3">
        <v>0</v>
      </c>
      <c r="D64" s="4">
        <f>Data_Entry!V154</f>
        <v>0</v>
      </c>
      <c r="E64" s="5">
        <f t="shared" si="0"/>
        <v>0.131169639153877</v>
      </c>
      <c r="F64" s="6">
        <v>0</v>
      </c>
      <c r="G64" s="6">
        <v>0</v>
      </c>
      <c r="H64" s="7">
        <f t="shared" si="1"/>
        <v>0</v>
      </c>
      <c r="I64" s="7">
        <f t="shared" si="2"/>
        <v>0</v>
      </c>
      <c r="J64" s="8">
        <v>2411</v>
      </c>
      <c r="K64" s="9"/>
      <c r="L64" s="8">
        <f t="shared" si="3"/>
        <v>28932</v>
      </c>
      <c r="M64" s="7">
        <f t="shared" si="4"/>
        <v>0</v>
      </c>
      <c r="N64" s="10">
        <f t="shared" si="5"/>
        <v>1</v>
      </c>
      <c r="O64" s="11">
        <f t="shared" si="6"/>
        <v>0.131169639153877</v>
      </c>
      <c r="P64" s="11"/>
      <c r="Q64" s="8">
        <f t="shared" si="7"/>
        <v>7589.99999999994</v>
      </c>
      <c r="R64" s="12">
        <f t="shared" si="8"/>
        <v>1.81898940354586e-11</v>
      </c>
    </row>
    <row r="65" ht="14.25" spans="1:18">
      <c r="A65" s="15">
        <v>45900</v>
      </c>
      <c r="B65" s="3">
        <f>Data_Entry!P155</f>
        <v>8459.99999999981</v>
      </c>
      <c r="C65" s="3">
        <v>0</v>
      </c>
      <c r="D65" s="4">
        <f>Data_Entry!V155</f>
        <v>0</v>
      </c>
      <c r="E65" s="5">
        <f t="shared" si="0"/>
        <v>0.146204894234754</v>
      </c>
      <c r="F65" s="6">
        <v>0</v>
      </c>
      <c r="G65" s="6">
        <v>0</v>
      </c>
      <c r="H65" s="7">
        <f t="shared" si="1"/>
        <v>0</v>
      </c>
      <c r="I65" s="7">
        <f t="shared" si="2"/>
        <v>0</v>
      </c>
      <c r="J65" s="8">
        <v>2411</v>
      </c>
      <c r="K65" s="9"/>
      <c r="L65" s="8">
        <f t="shared" si="3"/>
        <v>28932</v>
      </c>
      <c r="M65" s="7">
        <f t="shared" si="4"/>
        <v>0</v>
      </c>
      <c r="N65" s="10">
        <f t="shared" si="5"/>
        <v>1</v>
      </c>
      <c r="O65" s="11">
        <f t="shared" si="6"/>
        <v>0.146204894234754</v>
      </c>
      <c r="P65" s="11"/>
      <c r="Q65" s="8">
        <f t="shared" si="7"/>
        <v>8459.99999999981</v>
      </c>
      <c r="R65" s="12">
        <f t="shared" si="8"/>
        <v>0</v>
      </c>
    </row>
    <row r="66" ht="14.25" spans="1:18">
      <c r="A66" s="15"/>
      <c r="B66" s="3"/>
      <c r="C66" s="3"/>
      <c r="D66" s="4"/>
      <c r="E66" s="5"/>
      <c r="F66" s="6"/>
      <c r="G66" s="6"/>
      <c r="H66" s="7"/>
      <c r="I66" s="7"/>
      <c r="J66" s="8"/>
      <c r="K66" s="9"/>
      <c r="L66" s="8"/>
      <c r="M66" s="7"/>
      <c r="N66" s="10">
        <f>AVERAGE(N35:N65)</f>
        <v>0.986559139784946</v>
      </c>
      <c r="O66" s="11"/>
      <c r="P66" s="11"/>
      <c r="Q66" s="8"/>
      <c r="R66" s="12"/>
    </row>
    <row r="67" ht="14.25" spans="1:18">
      <c r="A67" s="15">
        <v>45901</v>
      </c>
      <c r="B67" s="3">
        <f>Data_Entry!P156</f>
        <v>8310.00000000029</v>
      </c>
      <c r="C67" s="3">
        <v>0</v>
      </c>
      <c r="D67" s="4">
        <f>Data_Entry!V156</f>
        <v>0</v>
      </c>
      <c r="E67" s="5">
        <f t="shared" si="0"/>
        <v>0.14361260887599</v>
      </c>
      <c r="F67" s="6">
        <v>0</v>
      </c>
      <c r="G67" s="6">
        <v>0</v>
      </c>
      <c r="H67" s="7">
        <f t="shared" si="1"/>
        <v>0</v>
      </c>
      <c r="I67" s="7">
        <f t="shared" si="2"/>
        <v>0</v>
      </c>
      <c r="J67" s="8">
        <v>2411</v>
      </c>
      <c r="K67" s="9"/>
      <c r="L67" s="8">
        <f t="shared" si="3"/>
        <v>28932</v>
      </c>
      <c r="M67" s="7">
        <f t="shared" si="4"/>
        <v>0</v>
      </c>
      <c r="N67" s="10">
        <f t="shared" si="5"/>
        <v>1</v>
      </c>
      <c r="O67" s="11">
        <f t="shared" si="6"/>
        <v>0.14361260887599</v>
      </c>
      <c r="P67" s="11"/>
      <c r="Q67" s="8">
        <f t="shared" si="7"/>
        <v>8310.00000000029</v>
      </c>
      <c r="R67" s="12">
        <f t="shared" si="8"/>
        <v>0</v>
      </c>
    </row>
    <row r="68" ht="14.25" spans="1:18">
      <c r="A68" s="15">
        <v>45902</v>
      </c>
      <c r="B68" s="3">
        <f>Data_Entry!P157</f>
        <v>11250</v>
      </c>
      <c r="C68" s="3">
        <v>0</v>
      </c>
      <c r="D68" s="4">
        <f>Data_Entry!V157</f>
        <v>0</v>
      </c>
      <c r="E68" s="5">
        <f t="shared" si="0"/>
        <v>0.194421401907922</v>
      </c>
      <c r="F68" s="6">
        <v>0</v>
      </c>
      <c r="G68" s="6">
        <v>0</v>
      </c>
      <c r="H68" s="7">
        <f t="shared" si="1"/>
        <v>0</v>
      </c>
      <c r="I68" s="7">
        <f t="shared" si="2"/>
        <v>0</v>
      </c>
      <c r="J68" s="8">
        <v>2411</v>
      </c>
      <c r="K68" s="9"/>
      <c r="L68" s="8">
        <f t="shared" si="3"/>
        <v>28932</v>
      </c>
      <c r="M68" s="7">
        <f t="shared" si="4"/>
        <v>0</v>
      </c>
      <c r="N68" s="10">
        <f t="shared" si="5"/>
        <v>1</v>
      </c>
      <c r="O68" s="11">
        <f t="shared" si="6"/>
        <v>0.194421401907922</v>
      </c>
      <c r="P68" s="11"/>
      <c r="Q68" s="8">
        <f t="shared" si="7"/>
        <v>11250</v>
      </c>
      <c r="R68" s="12">
        <f t="shared" si="8"/>
        <v>0</v>
      </c>
    </row>
    <row r="69" ht="14.25" spans="1:18">
      <c r="A69" s="15">
        <v>45903</v>
      </c>
      <c r="B69" s="3">
        <f>Data_Entry!P158</f>
        <v>11670</v>
      </c>
      <c r="C69" s="3">
        <v>0</v>
      </c>
      <c r="D69" s="4">
        <f>Data_Entry!V158</f>
        <v>0</v>
      </c>
      <c r="E69" s="5">
        <f t="shared" ref="E69:E132" si="9">B69/(24*J69)</f>
        <v>0.201679800912484</v>
      </c>
      <c r="F69" s="6">
        <v>0</v>
      </c>
      <c r="G69" s="6">
        <v>0</v>
      </c>
      <c r="H69" s="7">
        <f t="shared" ref="H69:H132" si="10">(G69-F69)*24*60</f>
        <v>0</v>
      </c>
      <c r="I69" s="7">
        <f t="shared" ref="I69:I132" si="11">H69/60</f>
        <v>0</v>
      </c>
      <c r="J69" s="8">
        <v>2411</v>
      </c>
      <c r="K69" s="9"/>
      <c r="L69" s="8">
        <f t="shared" ref="L69:L132" si="12">J69*12</f>
        <v>28932</v>
      </c>
      <c r="M69" s="7">
        <f t="shared" ref="M69:M132" si="13">K69*I69</f>
        <v>0</v>
      </c>
      <c r="N69" s="10">
        <f t="shared" ref="N69:N132" si="14">(L69-M69)/L69</f>
        <v>1</v>
      </c>
      <c r="O69" s="11">
        <f t="shared" ref="O69:O132" si="15">E69/N69</f>
        <v>0.201679800912484</v>
      </c>
      <c r="P69" s="11"/>
      <c r="Q69" s="8">
        <f t="shared" ref="Q69:Q132" si="16">O69*J69*24</f>
        <v>11670</v>
      </c>
      <c r="R69" s="12">
        <f t="shared" ref="R69:R132" si="17">Q69-B69</f>
        <v>-2.5465851649642e-11</v>
      </c>
    </row>
    <row r="70" ht="14.25" spans="1:18">
      <c r="A70" s="15">
        <v>45904</v>
      </c>
      <c r="B70" s="3">
        <f>Data_Entry!P159</f>
        <v>5519.99999999975</v>
      </c>
      <c r="C70" s="3">
        <v>0</v>
      </c>
      <c r="D70" s="4">
        <f>Data_Entry!V159</f>
        <v>0</v>
      </c>
      <c r="E70" s="5">
        <f t="shared" si="9"/>
        <v>0.0953961012028162</v>
      </c>
      <c r="F70" s="6">
        <v>0</v>
      </c>
      <c r="G70" s="6">
        <v>0</v>
      </c>
      <c r="H70" s="7">
        <f t="shared" si="10"/>
        <v>0</v>
      </c>
      <c r="I70" s="7">
        <f t="shared" si="11"/>
        <v>0</v>
      </c>
      <c r="J70" s="8">
        <v>2411</v>
      </c>
      <c r="K70" s="9"/>
      <c r="L70" s="8">
        <f t="shared" si="12"/>
        <v>28932</v>
      </c>
      <c r="M70" s="7">
        <f t="shared" si="13"/>
        <v>0</v>
      </c>
      <c r="N70" s="10">
        <f t="shared" si="14"/>
        <v>1</v>
      </c>
      <c r="O70" s="11">
        <f t="shared" si="15"/>
        <v>0.0953961012028162</v>
      </c>
      <c r="P70" s="11"/>
      <c r="Q70" s="8">
        <f t="shared" si="16"/>
        <v>5519.99999999976</v>
      </c>
      <c r="R70" s="12">
        <f t="shared" si="17"/>
        <v>7.27595761418343e-12</v>
      </c>
    </row>
    <row r="71" ht="14.25" spans="1:18">
      <c r="A71" s="15">
        <v>45905</v>
      </c>
      <c r="B71" s="3">
        <f>Data_Entry!P160</f>
        <v>4889.99999999999</v>
      </c>
      <c r="C71" s="3">
        <v>0</v>
      </c>
      <c r="D71" s="4">
        <f>Data_Entry!V160</f>
        <v>0</v>
      </c>
      <c r="E71" s="5">
        <f t="shared" si="9"/>
        <v>0.0845085026959765</v>
      </c>
      <c r="F71" s="6">
        <v>0</v>
      </c>
      <c r="G71" s="6">
        <v>0</v>
      </c>
      <c r="H71" s="7">
        <f t="shared" si="10"/>
        <v>0</v>
      </c>
      <c r="I71" s="7">
        <f t="shared" si="11"/>
        <v>0</v>
      </c>
      <c r="J71" s="8">
        <v>2411</v>
      </c>
      <c r="K71" s="9"/>
      <c r="L71" s="8">
        <f t="shared" si="12"/>
        <v>28932</v>
      </c>
      <c r="M71" s="7">
        <f t="shared" si="13"/>
        <v>0</v>
      </c>
      <c r="N71" s="10">
        <f t="shared" si="14"/>
        <v>1</v>
      </c>
      <c r="O71" s="11">
        <f t="shared" si="15"/>
        <v>0.0845085026959765</v>
      </c>
      <c r="P71" s="11"/>
      <c r="Q71" s="8">
        <f t="shared" si="16"/>
        <v>4889.99999999998</v>
      </c>
      <c r="R71" s="12">
        <f t="shared" si="17"/>
        <v>0</v>
      </c>
    </row>
    <row r="72" ht="14.25" spans="1:18">
      <c r="A72" s="15">
        <v>45906</v>
      </c>
      <c r="B72" s="3">
        <f>Data_Entry!P161</f>
        <v>3660.00000000008</v>
      </c>
      <c r="C72" s="3">
        <v>0</v>
      </c>
      <c r="D72" s="4">
        <f>Data_Entry!V161</f>
        <v>0</v>
      </c>
      <c r="E72" s="5">
        <f t="shared" si="9"/>
        <v>0.0632517627540454</v>
      </c>
      <c r="F72" s="6">
        <v>0</v>
      </c>
      <c r="G72" s="6">
        <v>0</v>
      </c>
      <c r="H72" s="7">
        <f t="shared" si="10"/>
        <v>0</v>
      </c>
      <c r="I72" s="7">
        <f t="shared" si="11"/>
        <v>0</v>
      </c>
      <c r="J72" s="8">
        <v>2411</v>
      </c>
      <c r="K72" s="9"/>
      <c r="L72" s="8">
        <f t="shared" si="12"/>
        <v>28932</v>
      </c>
      <c r="M72" s="7">
        <f t="shared" si="13"/>
        <v>0</v>
      </c>
      <c r="N72" s="10">
        <f t="shared" si="14"/>
        <v>1</v>
      </c>
      <c r="O72" s="11">
        <f t="shared" si="15"/>
        <v>0.0632517627540454</v>
      </c>
      <c r="P72" s="11"/>
      <c r="Q72" s="8">
        <f t="shared" si="16"/>
        <v>3660.00000000008</v>
      </c>
      <c r="R72" s="12">
        <f t="shared" si="17"/>
        <v>0</v>
      </c>
    </row>
    <row r="73" ht="14.25" spans="1:18">
      <c r="A73" s="15">
        <v>45907</v>
      </c>
      <c r="B73" s="3">
        <f>Data_Entry!P162</f>
        <v>3449.99999999993</v>
      </c>
      <c r="C73" s="3">
        <v>0</v>
      </c>
      <c r="D73" s="4">
        <f>Data_Entry!V162</f>
        <v>0</v>
      </c>
      <c r="E73" s="5">
        <f t="shared" si="9"/>
        <v>0.0596225632517616</v>
      </c>
      <c r="F73" s="6">
        <v>0</v>
      </c>
      <c r="G73" s="6">
        <v>0</v>
      </c>
      <c r="H73" s="7">
        <f t="shared" si="10"/>
        <v>0</v>
      </c>
      <c r="I73" s="7">
        <f t="shared" si="11"/>
        <v>0</v>
      </c>
      <c r="J73" s="8">
        <v>2411</v>
      </c>
      <c r="K73" s="9"/>
      <c r="L73" s="8">
        <f t="shared" si="12"/>
        <v>28932</v>
      </c>
      <c r="M73" s="7">
        <f t="shared" si="13"/>
        <v>0</v>
      </c>
      <c r="N73" s="10">
        <f t="shared" si="14"/>
        <v>1</v>
      </c>
      <c r="O73" s="11">
        <f t="shared" si="15"/>
        <v>0.0596225632517616</v>
      </c>
      <c r="P73" s="11"/>
      <c r="Q73" s="8">
        <f t="shared" si="16"/>
        <v>3449.99999999993</v>
      </c>
      <c r="R73" s="12">
        <f t="shared" si="17"/>
        <v>0</v>
      </c>
    </row>
    <row r="74" ht="14.25" spans="1:18">
      <c r="A74" s="15">
        <v>45908</v>
      </c>
      <c r="B74" s="3">
        <f>Data_Entry!P163</f>
        <v>3960.00000000015</v>
      </c>
      <c r="C74" s="3">
        <v>0</v>
      </c>
      <c r="D74" s="4">
        <f>Data_Entry!V163</f>
        <v>0</v>
      </c>
      <c r="E74" s="5">
        <f t="shared" si="9"/>
        <v>0.0684363334715911</v>
      </c>
      <c r="F74" s="6">
        <v>0</v>
      </c>
      <c r="G74" s="6">
        <v>0</v>
      </c>
      <c r="H74" s="7">
        <f t="shared" si="10"/>
        <v>0</v>
      </c>
      <c r="I74" s="7">
        <f t="shared" si="11"/>
        <v>0</v>
      </c>
      <c r="J74" s="8">
        <v>2411</v>
      </c>
      <c r="K74" s="9"/>
      <c r="L74" s="8">
        <f t="shared" si="12"/>
        <v>28932</v>
      </c>
      <c r="M74" s="7">
        <f t="shared" si="13"/>
        <v>0</v>
      </c>
      <c r="N74" s="10">
        <f t="shared" si="14"/>
        <v>1</v>
      </c>
      <c r="O74" s="11">
        <f t="shared" si="15"/>
        <v>0.0684363334715911</v>
      </c>
      <c r="P74" s="11"/>
      <c r="Q74" s="8">
        <f t="shared" si="16"/>
        <v>3960.00000000015</v>
      </c>
      <c r="R74" s="12">
        <f t="shared" si="17"/>
        <v>0</v>
      </c>
    </row>
    <row r="75" ht="14.25" spans="1:18">
      <c r="A75" s="15">
        <v>45909</v>
      </c>
      <c r="B75" s="3">
        <f>Data_Entry!P164</f>
        <v>10140</v>
      </c>
      <c r="C75" s="3">
        <v>0</v>
      </c>
      <c r="D75" s="4">
        <f>Data_Entry!V164</f>
        <v>0</v>
      </c>
      <c r="E75" s="5">
        <f t="shared" si="9"/>
        <v>0.175238490253007</v>
      </c>
      <c r="F75" s="6">
        <v>0</v>
      </c>
      <c r="G75" s="6">
        <v>0</v>
      </c>
      <c r="H75" s="7">
        <f t="shared" si="10"/>
        <v>0</v>
      </c>
      <c r="I75" s="7">
        <f t="shared" si="11"/>
        <v>0</v>
      </c>
      <c r="J75" s="8">
        <v>2411</v>
      </c>
      <c r="K75" s="9"/>
      <c r="L75" s="8">
        <f t="shared" si="12"/>
        <v>28932</v>
      </c>
      <c r="M75" s="7">
        <f t="shared" si="13"/>
        <v>0</v>
      </c>
      <c r="N75" s="10">
        <f t="shared" si="14"/>
        <v>1</v>
      </c>
      <c r="O75" s="11">
        <f t="shared" si="15"/>
        <v>0.175238490253007</v>
      </c>
      <c r="P75" s="11"/>
      <c r="Q75" s="8">
        <f t="shared" si="16"/>
        <v>10140</v>
      </c>
      <c r="R75" s="12">
        <f t="shared" si="17"/>
        <v>0</v>
      </c>
    </row>
    <row r="76" ht="14.25" spans="1:18">
      <c r="A76" s="15">
        <v>45910</v>
      </c>
      <c r="B76" s="3">
        <f>Data_Entry!P165</f>
        <v>11759.9999999999</v>
      </c>
      <c r="C76" s="3">
        <v>0</v>
      </c>
      <c r="D76" s="4">
        <f>Data_Entry!V165</f>
        <v>0</v>
      </c>
      <c r="E76" s="5">
        <f t="shared" si="9"/>
        <v>0.203235172127746</v>
      </c>
      <c r="F76" s="6">
        <v>0</v>
      </c>
      <c r="G76" s="6">
        <v>0</v>
      </c>
      <c r="H76" s="7">
        <f t="shared" si="10"/>
        <v>0</v>
      </c>
      <c r="I76" s="7">
        <f t="shared" si="11"/>
        <v>0</v>
      </c>
      <c r="J76" s="8">
        <v>2411</v>
      </c>
      <c r="K76" s="9"/>
      <c r="L76" s="8">
        <f t="shared" si="12"/>
        <v>28932</v>
      </c>
      <c r="M76" s="7">
        <f t="shared" si="13"/>
        <v>0</v>
      </c>
      <c r="N76" s="10">
        <f t="shared" si="14"/>
        <v>1</v>
      </c>
      <c r="O76" s="11">
        <f t="shared" si="15"/>
        <v>0.203235172127746</v>
      </c>
      <c r="P76" s="11"/>
      <c r="Q76" s="8">
        <f t="shared" si="16"/>
        <v>11759.9999999999</v>
      </c>
      <c r="R76" s="12">
        <f t="shared" si="17"/>
        <v>0</v>
      </c>
    </row>
    <row r="77" ht="14.25" spans="1:18">
      <c r="A77" s="15">
        <v>45911</v>
      </c>
      <c r="B77" s="3">
        <f>Data_Entry!P166</f>
        <v>12690.0000000001</v>
      </c>
      <c r="C77" s="3">
        <v>0</v>
      </c>
      <c r="D77" s="4">
        <f>Data_Entry!V166</f>
        <v>0</v>
      </c>
      <c r="E77" s="5">
        <f t="shared" si="9"/>
        <v>0.219307341352137</v>
      </c>
      <c r="F77" s="6">
        <v>0</v>
      </c>
      <c r="G77" s="6">
        <v>0</v>
      </c>
      <c r="H77" s="7">
        <f t="shared" si="10"/>
        <v>0</v>
      </c>
      <c r="I77" s="7">
        <f t="shared" si="11"/>
        <v>0</v>
      </c>
      <c r="J77" s="8">
        <v>2411</v>
      </c>
      <c r="K77" s="9"/>
      <c r="L77" s="8">
        <f t="shared" si="12"/>
        <v>28932</v>
      </c>
      <c r="M77" s="7">
        <f t="shared" si="13"/>
        <v>0</v>
      </c>
      <c r="N77" s="10">
        <f t="shared" si="14"/>
        <v>1</v>
      </c>
      <c r="O77" s="11">
        <f t="shared" si="15"/>
        <v>0.219307341352137</v>
      </c>
      <c r="P77" s="11"/>
      <c r="Q77" s="8">
        <f t="shared" si="16"/>
        <v>12690.0000000001</v>
      </c>
      <c r="R77" s="12">
        <f t="shared" si="17"/>
        <v>-4.54747350886464e-11</v>
      </c>
    </row>
    <row r="78" ht="14.25" spans="1:18">
      <c r="A78" s="15">
        <v>45912</v>
      </c>
      <c r="B78" s="3">
        <f>Data_Entry!P167</f>
        <v>13410.0000000001</v>
      </c>
      <c r="C78" s="3">
        <v>0</v>
      </c>
      <c r="D78" s="4">
        <f>Data_Entry!V167</f>
        <v>0</v>
      </c>
      <c r="E78" s="5">
        <f t="shared" si="9"/>
        <v>0.231750311074244</v>
      </c>
      <c r="F78" s="6">
        <v>0</v>
      </c>
      <c r="G78" s="6">
        <v>0</v>
      </c>
      <c r="H78" s="7">
        <f t="shared" si="10"/>
        <v>0</v>
      </c>
      <c r="I78" s="7">
        <f t="shared" si="11"/>
        <v>0</v>
      </c>
      <c r="J78" s="8">
        <v>2411</v>
      </c>
      <c r="K78" s="9"/>
      <c r="L78" s="8">
        <f t="shared" si="12"/>
        <v>28932</v>
      </c>
      <c r="M78" s="7">
        <f t="shared" si="13"/>
        <v>0</v>
      </c>
      <c r="N78" s="10">
        <f t="shared" si="14"/>
        <v>1</v>
      </c>
      <c r="O78" s="11">
        <f t="shared" si="15"/>
        <v>0.231750311074244</v>
      </c>
      <c r="P78" s="11"/>
      <c r="Q78" s="8">
        <f t="shared" si="16"/>
        <v>13410.0000000001</v>
      </c>
      <c r="R78" s="12">
        <f t="shared" si="17"/>
        <v>-4.54747350886464e-11</v>
      </c>
    </row>
    <row r="79" ht="14.25" spans="1:18">
      <c r="A79" s="15">
        <v>45913</v>
      </c>
      <c r="B79" s="3">
        <f>Data_Entry!P168</f>
        <v>11429.9999999998</v>
      </c>
      <c r="C79" s="3">
        <v>0</v>
      </c>
      <c r="D79" s="4">
        <f>Data_Entry!V168</f>
        <v>0</v>
      </c>
      <c r="E79" s="5">
        <f t="shared" si="9"/>
        <v>0.197532144338446</v>
      </c>
      <c r="F79" s="6">
        <v>0</v>
      </c>
      <c r="G79" s="6">
        <v>0</v>
      </c>
      <c r="H79" s="7">
        <f t="shared" si="10"/>
        <v>0</v>
      </c>
      <c r="I79" s="7">
        <f t="shared" si="11"/>
        <v>0</v>
      </c>
      <c r="J79" s="8">
        <v>2411</v>
      </c>
      <c r="K79" s="9"/>
      <c r="L79" s="8">
        <f t="shared" si="12"/>
        <v>28932</v>
      </c>
      <c r="M79" s="7">
        <f t="shared" si="13"/>
        <v>0</v>
      </c>
      <c r="N79" s="10">
        <f t="shared" si="14"/>
        <v>1</v>
      </c>
      <c r="O79" s="11">
        <f t="shared" si="15"/>
        <v>0.197532144338446</v>
      </c>
      <c r="P79" s="11"/>
      <c r="Q79" s="8">
        <f t="shared" si="16"/>
        <v>11429.9999999998</v>
      </c>
      <c r="R79" s="12">
        <f t="shared" si="17"/>
        <v>4.00177668780088e-11</v>
      </c>
    </row>
    <row r="80" ht="14.25" spans="1:18">
      <c r="A80" s="15">
        <v>45914</v>
      </c>
      <c r="B80" s="3">
        <f>Data_Entry!P169</f>
        <v>8820.00000000016</v>
      </c>
      <c r="C80" s="3">
        <v>0</v>
      </c>
      <c r="D80" s="4">
        <f>Data_Entry!V169</f>
        <v>0</v>
      </c>
      <c r="E80" s="5">
        <f t="shared" si="9"/>
        <v>0.152426379095814</v>
      </c>
      <c r="F80" s="6">
        <v>0</v>
      </c>
      <c r="G80" s="6">
        <v>0</v>
      </c>
      <c r="H80" s="7">
        <f t="shared" si="10"/>
        <v>0</v>
      </c>
      <c r="I80" s="7">
        <f t="shared" si="11"/>
        <v>0</v>
      </c>
      <c r="J80" s="8">
        <v>2411</v>
      </c>
      <c r="K80" s="9"/>
      <c r="L80" s="8">
        <f t="shared" si="12"/>
        <v>28932</v>
      </c>
      <c r="M80" s="7">
        <f t="shared" si="13"/>
        <v>0</v>
      </c>
      <c r="N80" s="10">
        <f t="shared" si="14"/>
        <v>1</v>
      </c>
      <c r="O80" s="11">
        <f t="shared" si="15"/>
        <v>0.152426379095814</v>
      </c>
      <c r="P80" s="11"/>
      <c r="Q80" s="8">
        <f t="shared" si="16"/>
        <v>8820.00000000018</v>
      </c>
      <c r="R80" s="12">
        <f t="shared" si="17"/>
        <v>2.18278728425503e-11</v>
      </c>
    </row>
    <row r="81" ht="14.25" spans="1:18">
      <c r="A81" s="15">
        <v>45915</v>
      </c>
      <c r="B81" s="3">
        <f>Data_Entry!P170</f>
        <v>7110.00000000001</v>
      </c>
      <c r="C81" s="3">
        <v>0</v>
      </c>
      <c r="D81" s="4">
        <f>Data_Entry!V170</f>
        <v>0</v>
      </c>
      <c r="E81" s="5">
        <f t="shared" si="9"/>
        <v>0.122874326005807</v>
      </c>
      <c r="F81" s="6">
        <v>0</v>
      </c>
      <c r="G81" s="6">
        <v>0</v>
      </c>
      <c r="H81" s="7">
        <f t="shared" si="10"/>
        <v>0</v>
      </c>
      <c r="I81" s="7">
        <f t="shared" si="11"/>
        <v>0</v>
      </c>
      <c r="J81" s="8">
        <v>2411</v>
      </c>
      <c r="K81" s="9"/>
      <c r="L81" s="8">
        <f t="shared" si="12"/>
        <v>28932</v>
      </c>
      <c r="M81" s="7">
        <f t="shared" si="13"/>
        <v>0</v>
      </c>
      <c r="N81" s="10">
        <f t="shared" si="14"/>
        <v>1</v>
      </c>
      <c r="O81" s="11">
        <f t="shared" si="15"/>
        <v>0.122874326005807</v>
      </c>
      <c r="P81" s="11"/>
      <c r="Q81" s="8">
        <f t="shared" si="16"/>
        <v>7110.00000000002</v>
      </c>
      <c r="R81" s="12">
        <f t="shared" si="17"/>
        <v>0</v>
      </c>
    </row>
    <row r="82" ht="14.25" spans="1:18">
      <c r="A82" s="15">
        <v>45916</v>
      </c>
      <c r="B82" s="3">
        <f>Data_Entry!P171</f>
        <v>12360</v>
      </c>
      <c r="C82" s="3">
        <v>0</v>
      </c>
      <c r="D82" s="4">
        <f>Data_Entry!V171</f>
        <v>0</v>
      </c>
      <c r="E82" s="5">
        <f t="shared" si="9"/>
        <v>0.213604313562837</v>
      </c>
      <c r="F82" s="6">
        <v>0</v>
      </c>
      <c r="G82" s="6">
        <v>0</v>
      </c>
      <c r="H82" s="7">
        <f t="shared" si="10"/>
        <v>0</v>
      </c>
      <c r="I82" s="7">
        <f t="shared" si="11"/>
        <v>0</v>
      </c>
      <c r="J82" s="8">
        <v>2411</v>
      </c>
      <c r="K82" s="9"/>
      <c r="L82" s="8">
        <f t="shared" si="12"/>
        <v>28932</v>
      </c>
      <c r="M82" s="7">
        <f t="shared" si="13"/>
        <v>0</v>
      </c>
      <c r="N82" s="10">
        <f t="shared" si="14"/>
        <v>1</v>
      </c>
      <c r="O82" s="11">
        <f t="shared" si="15"/>
        <v>0.213604313562837</v>
      </c>
      <c r="P82" s="11"/>
      <c r="Q82" s="8">
        <f t="shared" si="16"/>
        <v>12360</v>
      </c>
      <c r="R82" s="12">
        <f t="shared" si="17"/>
        <v>0</v>
      </c>
    </row>
    <row r="83" ht="14.25" spans="1:18">
      <c r="A83" s="15">
        <v>45917</v>
      </c>
      <c r="B83" s="3">
        <f>Data_Entry!P172</f>
        <v>6330.00000000004</v>
      </c>
      <c r="C83" s="3">
        <v>7</v>
      </c>
      <c r="D83" s="4">
        <f>Data_Entry!V172</f>
        <v>0</v>
      </c>
      <c r="E83" s="5">
        <f t="shared" si="9"/>
        <v>0.109394442140192</v>
      </c>
      <c r="F83" s="6">
        <v>0.3125</v>
      </c>
      <c r="G83" s="6">
        <v>0.5</v>
      </c>
      <c r="H83" s="7">
        <f t="shared" si="10"/>
        <v>270</v>
      </c>
      <c r="I83" s="7">
        <f t="shared" si="11"/>
        <v>4.5</v>
      </c>
      <c r="J83" s="8">
        <v>2411</v>
      </c>
      <c r="K83" s="9">
        <v>2411</v>
      </c>
      <c r="L83" s="8">
        <f t="shared" si="12"/>
        <v>28932</v>
      </c>
      <c r="M83" s="7">
        <f t="shared" si="13"/>
        <v>10849.5</v>
      </c>
      <c r="N83" s="10">
        <f t="shared" si="14"/>
        <v>0.625</v>
      </c>
      <c r="O83" s="11">
        <f t="shared" si="15"/>
        <v>0.175031107424307</v>
      </c>
      <c r="P83" s="18"/>
      <c r="Q83" s="8">
        <f t="shared" si="16"/>
        <v>10128.0000000001</v>
      </c>
      <c r="R83" s="12">
        <f t="shared" si="17"/>
        <v>3798.00000000007</v>
      </c>
    </row>
    <row r="84" ht="14.25" spans="1:18">
      <c r="A84" s="15">
        <v>45918</v>
      </c>
      <c r="B84" s="3">
        <f>Data_Entry!P173</f>
        <v>13170</v>
      </c>
      <c r="C84" s="3">
        <v>0</v>
      </c>
      <c r="D84" s="4">
        <f>Data_Entry!V173</f>
        <v>0</v>
      </c>
      <c r="E84" s="5">
        <f t="shared" si="9"/>
        <v>0.227602654500207</v>
      </c>
      <c r="F84" s="6">
        <v>0</v>
      </c>
      <c r="G84" s="6">
        <v>0</v>
      </c>
      <c r="H84" s="7">
        <f t="shared" si="10"/>
        <v>0</v>
      </c>
      <c r="I84" s="7">
        <f t="shared" si="11"/>
        <v>0</v>
      </c>
      <c r="J84" s="8">
        <v>2411</v>
      </c>
      <c r="K84" s="9"/>
      <c r="L84" s="8">
        <f t="shared" si="12"/>
        <v>28932</v>
      </c>
      <c r="M84" s="7">
        <f t="shared" si="13"/>
        <v>0</v>
      </c>
      <c r="N84" s="10">
        <f t="shared" si="14"/>
        <v>1</v>
      </c>
      <c r="O84" s="11">
        <f t="shared" si="15"/>
        <v>0.227602654500207</v>
      </c>
      <c r="P84" s="11"/>
      <c r="Q84" s="8">
        <f t="shared" si="16"/>
        <v>13170</v>
      </c>
      <c r="R84" s="12">
        <f t="shared" si="17"/>
        <v>-2.18278728425503e-11</v>
      </c>
    </row>
    <row r="85" ht="14.25" spans="1:18">
      <c r="A85" s="15">
        <v>45919</v>
      </c>
      <c r="B85" s="3">
        <f>Data_Entry!P174</f>
        <v>12059.9999999999</v>
      </c>
      <c r="C85" s="3">
        <v>0</v>
      </c>
      <c r="D85" s="4">
        <f>Data_Entry!V174</f>
        <v>0</v>
      </c>
      <c r="E85" s="5">
        <f t="shared" si="9"/>
        <v>0.208419742845291</v>
      </c>
      <c r="F85" s="6">
        <v>0</v>
      </c>
      <c r="G85" s="6">
        <v>0</v>
      </c>
      <c r="H85" s="7">
        <f t="shared" si="10"/>
        <v>0</v>
      </c>
      <c r="I85" s="7">
        <f t="shared" si="11"/>
        <v>0</v>
      </c>
      <c r="J85" s="8">
        <v>2411</v>
      </c>
      <c r="K85" s="9"/>
      <c r="L85" s="8">
        <f t="shared" si="12"/>
        <v>28932</v>
      </c>
      <c r="M85" s="7">
        <f t="shared" si="13"/>
        <v>0</v>
      </c>
      <c r="N85" s="10">
        <f t="shared" si="14"/>
        <v>1</v>
      </c>
      <c r="O85" s="11">
        <f t="shared" si="15"/>
        <v>0.208419742845291</v>
      </c>
      <c r="P85" s="11"/>
      <c r="Q85" s="8">
        <f t="shared" si="16"/>
        <v>12059.9999999999</v>
      </c>
      <c r="R85" s="12">
        <f t="shared" si="17"/>
        <v>1.81898940354586e-11</v>
      </c>
    </row>
    <row r="86" ht="14.25" spans="1:18">
      <c r="A86" s="15">
        <v>45920</v>
      </c>
      <c r="B86" s="3">
        <f>Data_Entry!P175</f>
        <v>6389.99999999999</v>
      </c>
      <c r="C86" s="3">
        <v>0</v>
      </c>
      <c r="D86" s="4">
        <f>Data_Entry!V175</f>
        <v>0</v>
      </c>
      <c r="E86" s="5">
        <f t="shared" si="9"/>
        <v>0.110431356283699</v>
      </c>
      <c r="F86" s="6">
        <v>0</v>
      </c>
      <c r="G86" s="6">
        <v>0</v>
      </c>
      <c r="H86" s="7">
        <f t="shared" si="10"/>
        <v>0</v>
      </c>
      <c r="I86" s="7">
        <f t="shared" si="11"/>
        <v>0</v>
      </c>
      <c r="J86" s="8">
        <v>2411</v>
      </c>
      <c r="K86" s="9"/>
      <c r="L86" s="8">
        <f t="shared" si="12"/>
        <v>28932</v>
      </c>
      <c r="M86" s="7">
        <f t="shared" si="13"/>
        <v>0</v>
      </c>
      <c r="N86" s="10">
        <f t="shared" si="14"/>
        <v>1</v>
      </c>
      <c r="O86" s="11">
        <f t="shared" si="15"/>
        <v>0.110431356283699</v>
      </c>
      <c r="P86" s="11"/>
      <c r="Q86" s="8">
        <f t="shared" si="16"/>
        <v>6389.99999999996</v>
      </c>
      <c r="R86" s="12">
        <f t="shared" si="17"/>
        <v>-3.09228198602796e-11</v>
      </c>
    </row>
    <row r="87" ht="14.25" spans="1:18">
      <c r="A87" s="15">
        <v>45921</v>
      </c>
      <c r="B87" s="3">
        <f>Data_Entry!P176</f>
        <v>9930.00000000018</v>
      </c>
      <c r="C87" s="3">
        <v>0</v>
      </c>
      <c r="D87" s="4">
        <f>Data_Entry!V176</f>
        <v>2.9</v>
      </c>
      <c r="E87" s="5">
        <f t="shared" si="9"/>
        <v>0.171609290750729</v>
      </c>
      <c r="F87" s="6">
        <v>0</v>
      </c>
      <c r="G87" s="6">
        <v>0</v>
      </c>
      <c r="H87" s="7">
        <f t="shared" si="10"/>
        <v>0</v>
      </c>
      <c r="I87" s="7">
        <f t="shared" si="11"/>
        <v>0</v>
      </c>
      <c r="J87" s="8">
        <v>2411</v>
      </c>
      <c r="K87" s="9"/>
      <c r="L87" s="8">
        <f t="shared" si="12"/>
        <v>28932</v>
      </c>
      <c r="M87" s="7">
        <f t="shared" si="13"/>
        <v>0</v>
      </c>
      <c r="N87" s="10">
        <f t="shared" si="14"/>
        <v>1</v>
      </c>
      <c r="O87" s="11">
        <f t="shared" si="15"/>
        <v>0.171609290750729</v>
      </c>
      <c r="P87" s="11"/>
      <c r="Q87" s="8">
        <f t="shared" si="16"/>
        <v>9930.00000000018</v>
      </c>
      <c r="R87" s="12">
        <f t="shared" si="17"/>
        <v>0</v>
      </c>
    </row>
    <row r="88" ht="14.25" spans="1:18">
      <c r="A88" s="15">
        <v>45922</v>
      </c>
      <c r="B88" s="3">
        <f>Data_Entry!P177</f>
        <v>8819.99999999982</v>
      </c>
      <c r="C88" s="3">
        <v>0</v>
      </c>
      <c r="D88" s="4">
        <f>Data_Entry!V177</f>
        <v>3.72</v>
      </c>
      <c r="E88" s="5">
        <f t="shared" si="9"/>
        <v>0.152426379095808</v>
      </c>
      <c r="F88" s="6">
        <v>0</v>
      </c>
      <c r="G88" s="6">
        <v>0</v>
      </c>
      <c r="H88" s="7">
        <f t="shared" si="10"/>
        <v>0</v>
      </c>
      <c r="I88" s="7">
        <f t="shared" si="11"/>
        <v>0</v>
      </c>
      <c r="J88" s="8">
        <v>2411</v>
      </c>
      <c r="K88" s="9"/>
      <c r="L88" s="8">
        <f t="shared" si="12"/>
        <v>28932</v>
      </c>
      <c r="M88" s="7">
        <f t="shared" si="13"/>
        <v>0</v>
      </c>
      <c r="N88" s="10">
        <f t="shared" si="14"/>
        <v>1</v>
      </c>
      <c r="O88" s="11">
        <f t="shared" si="15"/>
        <v>0.152426379095808</v>
      </c>
      <c r="P88" s="11"/>
      <c r="Q88" s="8">
        <f t="shared" si="16"/>
        <v>8819.99999999983</v>
      </c>
      <c r="R88" s="12">
        <f t="shared" si="17"/>
        <v>0</v>
      </c>
    </row>
    <row r="89" ht="14.25" spans="1:18">
      <c r="A89" s="15">
        <v>45923</v>
      </c>
      <c r="B89" s="3">
        <f>Data_Entry!P178</f>
        <v>13920</v>
      </c>
      <c r="C89" s="3">
        <v>0</v>
      </c>
      <c r="D89" s="4">
        <f>Data_Entry!V178</f>
        <v>3.28</v>
      </c>
      <c r="E89" s="5">
        <f t="shared" si="9"/>
        <v>0.240564081294068</v>
      </c>
      <c r="F89" s="6">
        <v>0</v>
      </c>
      <c r="G89" s="6">
        <v>0</v>
      </c>
      <c r="H89" s="7">
        <f t="shared" si="10"/>
        <v>0</v>
      </c>
      <c r="I89" s="7">
        <f t="shared" si="11"/>
        <v>0</v>
      </c>
      <c r="J89" s="8">
        <v>2411</v>
      </c>
      <c r="K89" s="9"/>
      <c r="L89" s="8">
        <f t="shared" si="12"/>
        <v>28932</v>
      </c>
      <c r="M89" s="7">
        <f t="shared" si="13"/>
        <v>0</v>
      </c>
      <c r="N89" s="10">
        <f t="shared" si="14"/>
        <v>1</v>
      </c>
      <c r="O89" s="11">
        <f t="shared" si="15"/>
        <v>0.240564081294068</v>
      </c>
      <c r="P89" s="11"/>
      <c r="Q89" s="8">
        <f t="shared" si="16"/>
        <v>13920</v>
      </c>
      <c r="R89" s="12">
        <f t="shared" si="17"/>
        <v>-4.91127138957381e-11</v>
      </c>
    </row>
    <row r="90" ht="14.25" spans="1:18">
      <c r="A90" s="15">
        <v>45924</v>
      </c>
      <c r="B90" s="3">
        <f>Data_Entry!P179</f>
        <v>11670</v>
      </c>
      <c r="C90" s="3">
        <v>0</v>
      </c>
      <c r="D90" s="4">
        <f>Data_Entry!V179</f>
        <v>2.92</v>
      </c>
      <c r="E90" s="5">
        <f t="shared" si="9"/>
        <v>0.201679800912484</v>
      </c>
      <c r="F90" s="6">
        <v>0</v>
      </c>
      <c r="G90" s="6">
        <v>0</v>
      </c>
      <c r="H90" s="7">
        <f t="shared" si="10"/>
        <v>0</v>
      </c>
      <c r="I90" s="7">
        <f t="shared" si="11"/>
        <v>0</v>
      </c>
      <c r="J90" s="8">
        <v>2411</v>
      </c>
      <c r="K90" s="9"/>
      <c r="L90" s="8">
        <f t="shared" si="12"/>
        <v>28932</v>
      </c>
      <c r="M90" s="7">
        <f t="shared" si="13"/>
        <v>0</v>
      </c>
      <c r="N90" s="10">
        <f t="shared" si="14"/>
        <v>1</v>
      </c>
      <c r="O90" s="11">
        <f t="shared" si="15"/>
        <v>0.201679800912484</v>
      </c>
      <c r="P90" s="11"/>
      <c r="Q90" s="8">
        <f t="shared" si="16"/>
        <v>11670</v>
      </c>
      <c r="R90" s="12">
        <f t="shared" si="17"/>
        <v>-2.5465851649642e-11</v>
      </c>
    </row>
    <row r="91" ht="14.25" spans="1:18">
      <c r="A91" s="15">
        <v>45925</v>
      </c>
      <c r="B91" s="3">
        <f>Data_Entry!P180</f>
        <v>11280</v>
      </c>
      <c r="C91" s="3">
        <v>0</v>
      </c>
      <c r="D91" s="4">
        <f>Data_Entry!V180</f>
        <v>2.45</v>
      </c>
      <c r="E91" s="5">
        <f t="shared" si="9"/>
        <v>0.194939858979676</v>
      </c>
      <c r="F91" s="6">
        <v>0</v>
      </c>
      <c r="G91" s="6">
        <v>0</v>
      </c>
      <c r="H91" s="7">
        <f t="shared" si="10"/>
        <v>0</v>
      </c>
      <c r="I91" s="7">
        <f t="shared" si="11"/>
        <v>0</v>
      </c>
      <c r="J91" s="8">
        <v>2411</v>
      </c>
      <c r="K91" s="9"/>
      <c r="L91" s="8">
        <f t="shared" si="12"/>
        <v>28932</v>
      </c>
      <c r="M91" s="7">
        <f t="shared" si="13"/>
        <v>0</v>
      </c>
      <c r="N91" s="10">
        <f t="shared" si="14"/>
        <v>1</v>
      </c>
      <c r="O91" s="11">
        <f t="shared" si="15"/>
        <v>0.194939858979676</v>
      </c>
      <c r="P91" s="11"/>
      <c r="Q91" s="8">
        <f t="shared" si="16"/>
        <v>11280</v>
      </c>
      <c r="R91" s="12">
        <f t="shared" si="17"/>
        <v>-2.72848410531878e-11</v>
      </c>
    </row>
    <row r="92" ht="14.25" spans="1:18">
      <c r="A92" s="15">
        <v>45926</v>
      </c>
      <c r="B92" s="3">
        <f>Data_Entry!P181</f>
        <v>10530</v>
      </c>
      <c r="C92" s="3">
        <v>0</v>
      </c>
      <c r="D92" s="4">
        <f>Data_Entry!V181</f>
        <v>0</v>
      </c>
      <c r="E92" s="5">
        <f t="shared" si="9"/>
        <v>0.181978432185815</v>
      </c>
      <c r="F92" s="6">
        <v>0</v>
      </c>
      <c r="G92" s="6">
        <v>0</v>
      </c>
      <c r="H92" s="7">
        <f t="shared" si="10"/>
        <v>0</v>
      </c>
      <c r="I92" s="7">
        <f t="shared" si="11"/>
        <v>0</v>
      </c>
      <c r="J92" s="8">
        <v>2411</v>
      </c>
      <c r="K92" s="9"/>
      <c r="L92" s="8">
        <f t="shared" si="12"/>
        <v>28932</v>
      </c>
      <c r="M92" s="7">
        <f t="shared" si="13"/>
        <v>0</v>
      </c>
      <c r="N92" s="10">
        <f t="shared" si="14"/>
        <v>1</v>
      </c>
      <c r="O92" s="11">
        <f t="shared" si="15"/>
        <v>0.181978432185815</v>
      </c>
      <c r="P92" s="11"/>
      <c r="Q92" s="8">
        <f t="shared" si="16"/>
        <v>10530</v>
      </c>
      <c r="R92" s="12">
        <f t="shared" si="17"/>
        <v>0</v>
      </c>
    </row>
    <row r="93" ht="14.25" spans="1:18">
      <c r="A93" s="15">
        <v>45927</v>
      </c>
      <c r="B93" s="3">
        <f>Data_Entry!P182</f>
        <v>10650.0000000002</v>
      </c>
      <c r="C93" s="3">
        <v>0</v>
      </c>
      <c r="D93" s="4">
        <f>Data_Entry!V182</f>
        <v>0</v>
      </c>
      <c r="E93" s="5">
        <f t="shared" si="9"/>
        <v>0.184052260472836</v>
      </c>
      <c r="F93" s="6">
        <v>0</v>
      </c>
      <c r="G93" s="6">
        <v>0</v>
      </c>
      <c r="H93" s="7">
        <f t="shared" si="10"/>
        <v>0</v>
      </c>
      <c r="I93" s="7">
        <f t="shared" si="11"/>
        <v>0</v>
      </c>
      <c r="J93" s="8">
        <v>2411</v>
      </c>
      <c r="K93" s="9"/>
      <c r="L93" s="8">
        <f t="shared" si="12"/>
        <v>28932</v>
      </c>
      <c r="M93" s="7">
        <f t="shared" si="13"/>
        <v>0</v>
      </c>
      <c r="N93" s="10">
        <f t="shared" si="14"/>
        <v>1</v>
      </c>
      <c r="O93" s="11">
        <f t="shared" si="15"/>
        <v>0.184052260472836</v>
      </c>
      <c r="P93" s="11"/>
      <c r="Q93" s="8">
        <f t="shared" si="16"/>
        <v>10650.0000000002</v>
      </c>
      <c r="R93" s="12">
        <f t="shared" si="17"/>
        <v>-1.81898940354586e-11</v>
      </c>
    </row>
    <row r="94" ht="14.25" spans="1:18">
      <c r="A94" s="15">
        <v>45928</v>
      </c>
      <c r="B94" s="3">
        <f>Data_Entry!P183</f>
        <v>3509.99999999988</v>
      </c>
      <c r="C94" s="3">
        <v>0</v>
      </c>
      <c r="D94" s="4">
        <f>Data_Entry!V183</f>
        <v>0</v>
      </c>
      <c r="E94" s="5">
        <f t="shared" si="9"/>
        <v>0.0606594773952695</v>
      </c>
      <c r="F94" s="6">
        <v>0</v>
      </c>
      <c r="G94" s="6">
        <v>0</v>
      </c>
      <c r="H94" s="7">
        <f t="shared" si="10"/>
        <v>0</v>
      </c>
      <c r="I94" s="7">
        <f t="shared" si="11"/>
        <v>0</v>
      </c>
      <c r="J94" s="8">
        <v>2411</v>
      </c>
      <c r="K94" s="9"/>
      <c r="L94" s="8">
        <f t="shared" si="12"/>
        <v>28932</v>
      </c>
      <c r="M94" s="7">
        <f t="shared" si="13"/>
        <v>0</v>
      </c>
      <c r="N94" s="10">
        <f t="shared" si="14"/>
        <v>1</v>
      </c>
      <c r="O94" s="11">
        <f t="shared" si="15"/>
        <v>0.0606594773952695</v>
      </c>
      <c r="P94" s="11"/>
      <c r="Q94" s="8">
        <f t="shared" si="16"/>
        <v>3509.99999999987</v>
      </c>
      <c r="R94" s="12">
        <f t="shared" si="17"/>
        <v>-5.45696821063757e-12</v>
      </c>
    </row>
    <row r="95" ht="14.25" spans="1:18">
      <c r="A95" s="15">
        <v>45929</v>
      </c>
      <c r="B95" s="3">
        <f>Data_Entry!P184</f>
        <v>3720.00000000003</v>
      </c>
      <c r="C95" s="3">
        <v>0</v>
      </c>
      <c r="D95" s="4">
        <f>Data_Entry!V184</f>
        <v>0</v>
      </c>
      <c r="E95" s="5">
        <f t="shared" si="9"/>
        <v>0.0642886768975534</v>
      </c>
      <c r="F95" s="6">
        <v>0</v>
      </c>
      <c r="G95" s="6">
        <v>0</v>
      </c>
      <c r="H95" s="7">
        <f t="shared" si="10"/>
        <v>0</v>
      </c>
      <c r="I95" s="7">
        <f t="shared" si="11"/>
        <v>0</v>
      </c>
      <c r="J95" s="8">
        <v>2411</v>
      </c>
      <c r="K95" s="9"/>
      <c r="L95" s="8">
        <f t="shared" si="12"/>
        <v>28932</v>
      </c>
      <c r="M95" s="7">
        <f t="shared" si="13"/>
        <v>0</v>
      </c>
      <c r="N95" s="10">
        <f t="shared" si="14"/>
        <v>1</v>
      </c>
      <c r="O95" s="11">
        <f t="shared" si="15"/>
        <v>0.0642886768975534</v>
      </c>
      <c r="P95" s="11"/>
      <c r="Q95" s="8">
        <f t="shared" si="16"/>
        <v>3720.00000000003</v>
      </c>
      <c r="R95" s="12">
        <f t="shared" si="17"/>
        <v>0</v>
      </c>
    </row>
    <row r="96" ht="14.25" spans="1:18">
      <c r="A96" s="15">
        <v>45930</v>
      </c>
      <c r="B96" s="3">
        <f>Data_Entry!P185</f>
        <v>4800.00000000007</v>
      </c>
      <c r="C96" s="3">
        <v>0</v>
      </c>
      <c r="D96" s="4">
        <f>Data_Entry!V185</f>
        <v>0.91</v>
      </c>
      <c r="E96" s="5">
        <f t="shared" si="9"/>
        <v>0.0829531314807146</v>
      </c>
      <c r="F96" s="6">
        <v>0</v>
      </c>
      <c r="G96" s="6">
        <v>0</v>
      </c>
      <c r="H96" s="7">
        <f t="shared" si="10"/>
        <v>0</v>
      </c>
      <c r="I96" s="7">
        <f t="shared" si="11"/>
        <v>0</v>
      </c>
      <c r="J96" s="8">
        <v>2411</v>
      </c>
      <c r="K96" s="9"/>
      <c r="L96" s="8">
        <f t="shared" si="12"/>
        <v>28932</v>
      </c>
      <c r="M96" s="7">
        <f t="shared" si="13"/>
        <v>0</v>
      </c>
      <c r="N96" s="10">
        <f t="shared" si="14"/>
        <v>1</v>
      </c>
      <c r="O96" s="11">
        <f t="shared" si="15"/>
        <v>0.0829531314807146</v>
      </c>
      <c r="P96" s="11"/>
      <c r="Q96" s="8">
        <f t="shared" si="16"/>
        <v>4800.00000000007</v>
      </c>
      <c r="R96" s="12">
        <f t="shared" si="17"/>
        <v>0</v>
      </c>
    </row>
    <row r="97" ht="14.25" spans="1:18">
      <c r="A97" s="15">
        <v>45931</v>
      </c>
      <c r="B97" s="3">
        <f>Data_Entry!P186</f>
        <v>5880.00000000011</v>
      </c>
      <c r="C97" s="3">
        <v>0</v>
      </c>
      <c r="D97" s="4">
        <f>Data_Entry!V186</f>
        <v>1.15</v>
      </c>
      <c r="E97" s="5">
        <f t="shared" si="9"/>
        <v>0.101617586063876</v>
      </c>
      <c r="F97" s="6">
        <v>0</v>
      </c>
      <c r="G97" s="6">
        <v>0</v>
      </c>
      <c r="H97" s="7">
        <f t="shared" si="10"/>
        <v>0</v>
      </c>
      <c r="I97" s="7">
        <f t="shared" si="11"/>
        <v>0</v>
      </c>
      <c r="J97" s="8">
        <v>2411</v>
      </c>
      <c r="K97" s="9"/>
      <c r="L97" s="8">
        <f t="shared" si="12"/>
        <v>28932</v>
      </c>
      <c r="M97" s="7">
        <f t="shared" si="13"/>
        <v>0</v>
      </c>
      <c r="N97" s="10">
        <f t="shared" si="14"/>
        <v>1</v>
      </c>
      <c r="O97" s="11">
        <f t="shared" si="15"/>
        <v>0.101617586063876</v>
      </c>
      <c r="P97" s="11"/>
      <c r="Q97" s="8">
        <f t="shared" si="16"/>
        <v>5880.00000000012</v>
      </c>
      <c r="R97" s="12">
        <f t="shared" si="17"/>
        <v>1.09139364212751e-11</v>
      </c>
    </row>
    <row r="98" ht="14.25" spans="1:18">
      <c r="A98" s="15">
        <v>45932</v>
      </c>
      <c r="B98" s="3">
        <f>Data_Entry!P187</f>
        <v>7229.9999999999</v>
      </c>
      <c r="C98" s="3">
        <v>0</v>
      </c>
      <c r="D98" s="4">
        <f>Data_Entry!V187</f>
        <v>0.94</v>
      </c>
      <c r="E98" s="5">
        <f t="shared" si="9"/>
        <v>0.124948154292823</v>
      </c>
      <c r="F98" s="6">
        <v>0</v>
      </c>
      <c r="G98" s="6">
        <v>0</v>
      </c>
      <c r="H98" s="7">
        <f t="shared" si="10"/>
        <v>0</v>
      </c>
      <c r="I98" s="7">
        <f t="shared" si="11"/>
        <v>0</v>
      </c>
      <c r="J98" s="8">
        <v>2411</v>
      </c>
      <c r="K98" s="9"/>
      <c r="L98" s="8">
        <f t="shared" si="12"/>
        <v>28932</v>
      </c>
      <c r="M98" s="7">
        <f t="shared" si="13"/>
        <v>0</v>
      </c>
      <c r="N98" s="10">
        <f t="shared" si="14"/>
        <v>1</v>
      </c>
      <c r="O98" s="11">
        <f t="shared" si="15"/>
        <v>0.124948154292823</v>
      </c>
      <c r="P98" s="11"/>
      <c r="Q98" s="8">
        <f t="shared" si="16"/>
        <v>7229.99999999991</v>
      </c>
      <c r="R98" s="12">
        <f t="shared" si="17"/>
        <v>1.00044417195022e-11</v>
      </c>
    </row>
    <row r="99" ht="14.25" spans="1:18">
      <c r="A99" s="15">
        <v>45933</v>
      </c>
      <c r="B99" s="3">
        <f>Data_Entry!P188</f>
        <v>8789.99999999985</v>
      </c>
      <c r="C99" s="3">
        <v>0</v>
      </c>
      <c r="D99" s="4">
        <f>Data_Entry!V188</f>
        <v>4.89</v>
      </c>
      <c r="E99" s="5">
        <f t="shared" si="9"/>
        <v>0.151907922024054</v>
      </c>
      <c r="F99" s="6">
        <v>0</v>
      </c>
      <c r="G99" s="6">
        <v>0</v>
      </c>
      <c r="H99" s="7">
        <f t="shared" si="10"/>
        <v>0</v>
      </c>
      <c r="I99" s="7">
        <f t="shared" si="11"/>
        <v>0</v>
      </c>
      <c r="J99" s="8">
        <v>2411</v>
      </c>
      <c r="K99" s="9"/>
      <c r="L99" s="8">
        <f t="shared" si="12"/>
        <v>28932</v>
      </c>
      <c r="M99" s="7">
        <f t="shared" si="13"/>
        <v>0</v>
      </c>
      <c r="N99" s="10">
        <f t="shared" si="14"/>
        <v>1</v>
      </c>
      <c r="O99" s="11">
        <f t="shared" si="15"/>
        <v>0.151907922024054</v>
      </c>
      <c r="P99" s="11"/>
      <c r="Q99" s="8">
        <f t="shared" si="16"/>
        <v>8789.99999999986</v>
      </c>
      <c r="R99" s="12">
        <f t="shared" si="17"/>
        <v>0</v>
      </c>
    </row>
    <row r="100" ht="14.25" spans="1:18">
      <c r="A100" s="15">
        <v>45934</v>
      </c>
      <c r="B100" s="3">
        <f>Data_Entry!P189</f>
        <v>12330</v>
      </c>
      <c r="C100" s="3">
        <v>0</v>
      </c>
      <c r="D100" s="4">
        <f>Data_Entry!V189</f>
        <v>1.13</v>
      </c>
      <c r="E100" s="5">
        <f t="shared" si="9"/>
        <v>0.213085856491083</v>
      </c>
      <c r="F100" s="6">
        <v>0</v>
      </c>
      <c r="G100" s="6">
        <v>0</v>
      </c>
      <c r="H100" s="7">
        <f t="shared" si="10"/>
        <v>0</v>
      </c>
      <c r="I100" s="7">
        <f t="shared" si="11"/>
        <v>0</v>
      </c>
      <c r="J100" s="8">
        <v>2411</v>
      </c>
      <c r="K100" s="9"/>
      <c r="L100" s="8">
        <f t="shared" si="12"/>
        <v>28932</v>
      </c>
      <c r="M100" s="7">
        <f t="shared" si="13"/>
        <v>0</v>
      </c>
      <c r="N100" s="10">
        <f t="shared" si="14"/>
        <v>1</v>
      </c>
      <c r="O100" s="11">
        <f t="shared" si="15"/>
        <v>0.213085856491083</v>
      </c>
      <c r="P100" s="11"/>
      <c r="Q100" s="8">
        <f t="shared" si="16"/>
        <v>12330</v>
      </c>
      <c r="R100" s="12">
        <f t="shared" si="17"/>
        <v>2.72848410531878e-11</v>
      </c>
    </row>
    <row r="101" ht="14.25" spans="1:18">
      <c r="A101" s="15">
        <v>45935</v>
      </c>
      <c r="B101" s="3">
        <f>Data_Entry!P190</f>
        <v>11520.0000000001</v>
      </c>
      <c r="C101" s="3">
        <v>0</v>
      </c>
      <c r="D101" s="4">
        <f>Data_Entry!V190</f>
        <v>1.13</v>
      </c>
      <c r="E101" s="5">
        <f t="shared" si="9"/>
        <v>0.199087515553714</v>
      </c>
      <c r="F101" s="6">
        <v>0</v>
      </c>
      <c r="G101" s="6">
        <v>0</v>
      </c>
      <c r="H101" s="7">
        <f t="shared" si="10"/>
        <v>0</v>
      </c>
      <c r="I101" s="7">
        <f t="shared" si="11"/>
        <v>0</v>
      </c>
      <c r="J101" s="8">
        <v>2411</v>
      </c>
      <c r="K101" s="9"/>
      <c r="L101" s="8">
        <f t="shared" si="12"/>
        <v>28932</v>
      </c>
      <c r="M101" s="7">
        <f t="shared" si="13"/>
        <v>0</v>
      </c>
      <c r="N101" s="10">
        <f t="shared" si="14"/>
        <v>1</v>
      </c>
      <c r="O101" s="11">
        <f t="shared" si="15"/>
        <v>0.199087515553714</v>
      </c>
      <c r="P101" s="11"/>
      <c r="Q101" s="8">
        <f t="shared" si="16"/>
        <v>11520.0000000001</v>
      </c>
      <c r="R101" s="12">
        <f t="shared" si="17"/>
        <v>0</v>
      </c>
    </row>
    <row r="102" ht="14.25" spans="1:18">
      <c r="A102" s="15">
        <v>45936</v>
      </c>
      <c r="B102" s="3">
        <f>Data_Entry!P191</f>
        <v>9569.99999999982</v>
      </c>
      <c r="C102" s="3">
        <v>0</v>
      </c>
      <c r="D102" s="4">
        <f>Data_Entry!V191</f>
        <v>0.84</v>
      </c>
      <c r="E102" s="5">
        <f t="shared" si="9"/>
        <v>0.165387805889669</v>
      </c>
      <c r="F102" s="6">
        <v>0</v>
      </c>
      <c r="G102" s="6">
        <v>0</v>
      </c>
      <c r="H102" s="7">
        <f t="shared" si="10"/>
        <v>0</v>
      </c>
      <c r="I102" s="7">
        <f t="shared" si="11"/>
        <v>0</v>
      </c>
      <c r="J102" s="8">
        <v>2411</v>
      </c>
      <c r="K102" s="9"/>
      <c r="L102" s="8">
        <f t="shared" si="12"/>
        <v>28932</v>
      </c>
      <c r="M102" s="7">
        <f t="shared" si="13"/>
        <v>0</v>
      </c>
      <c r="N102" s="10">
        <f t="shared" si="14"/>
        <v>1</v>
      </c>
      <c r="O102" s="11">
        <f t="shared" si="15"/>
        <v>0.165387805889669</v>
      </c>
      <c r="P102" s="11"/>
      <c r="Q102" s="8">
        <f t="shared" si="16"/>
        <v>9569.99999999981</v>
      </c>
      <c r="R102" s="12">
        <f t="shared" si="17"/>
        <v>0</v>
      </c>
    </row>
    <row r="103" ht="14.25" spans="1:18">
      <c r="A103" s="15">
        <v>45937</v>
      </c>
      <c r="B103" s="3">
        <f>Data_Entry!P192</f>
        <v>12180.0000000002</v>
      </c>
      <c r="C103" s="3">
        <v>0</v>
      </c>
      <c r="D103" s="4">
        <f>Data_Entry!V192</f>
        <v>0</v>
      </c>
      <c r="E103" s="5">
        <f t="shared" si="9"/>
        <v>0.210493571132313</v>
      </c>
      <c r="F103" s="6">
        <v>0</v>
      </c>
      <c r="G103" s="6">
        <v>0</v>
      </c>
      <c r="H103" s="7">
        <f t="shared" si="10"/>
        <v>0</v>
      </c>
      <c r="I103" s="7">
        <f t="shared" si="11"/>
        <v>0</v>
      </c>
      <c r="J103" s="8">
        <v>2411</v>
      </c>
      <c r="K103" s="9"/>
      <c r="L103" s="8">
        <f t="shared" si="12"/>
        <v>28932</v>
      </c>
      <c r="M103" s="7">
        <f t="shared" si="13"/>
        <v>0</v>
      </c>
      <c r="N103" s="10">
        <f t="shared" si="14"/>
        <v>1</v>
      </c>
      <c r="O103" s="11">
        <f t="shared" si="15"/>
        <v>0.210493571132313</v>
      </c>
      <c r="P103" s="11"/>
      <c r="Q103" s="8">
        <f t="shared" si="16"/>
        <v>12180.0000000002</v>
      </c>
      <c r="R103" s="12">
        <f t="shared" si="17"/>
        <v>-4.00177668780088e-11</v>
      </c>
    </row>
    <row r="104" ht="14.25" spans="1:18">
      <c r="A104" s="15">
        <v>45938</v>
      </c>
      <c r="B104" s="3">
        <f>Data_Entry!P193</f>
        <v>11280</v>
      </c>
      <c r="C104" s="3">
        <v>0</v>
      </c>
      <c r="D104" s="4">
        <f>Data_Entry!V193</f>
        <v>0</v>
      </c>
      <c r="E104" s="5">
        <f t="shared" si="9"/>
        <v>0.194939858979676</v>
      </c>
      <c r="F104" s="6">
        <v>0</v>
      </c>
      <c r="G104" s="6">
        <v>0</v>
      </c>
      <c r="H104" s="7">
        <f t="shared" si="10"/>
        <v>0</v>
      </c>
      <c r="I104" s="7">
        <f t="shared" si="11"/>
        <v>0</v>
      </c>
      <c r="J104" s="8">
        <v>2411</v>
      </c>
      <c r="K104" s="9"/>
      <c r="L104" s="8">
        <f t="shared" si="12"/>
        <v>28932</v>
      </c>
      <c r="M104" s="7">
        <f t="shared" si="13"/>
        <v>0</v>
      </c>
      <c r="N104" s="10">
        <f t="shared" si="14"/>
        <v>1</v>
      </c>
      <c r="O104" s="11">
        <f t="shared" si="15"/>
        <v>0.194939858979676</v>
      </c>
      <c r="P104" s="11"/>
      <c r="Q104" s="8">
        <f t="shared" si="16"/>
        <v>11280</v>
      </c>
      <c r="R104" s="12">
        <f t="shared" si="17"/>
        <v>-2.72848410531878e-11</v>
      </c>
    </row>
    <row r="105" ht="14.25" spans="1:18">
      <c r="A105" s="15">
        <v>45939</v>
      </c>
      <c r="B105" s="3">
        <f>Data_Entry!P194</f>
        <v>10380.0000000001</v>
      </c>
      <c r="C105" s="3">
        <v>0</v>
      </c>
      <c r="D105" s="4">
        <f>Data_Entry!V194</f>
        <v>0</v>
      </c>
      <c r="E105" s="5">
        <f t="shared" si="9"/>
        <v>0.179386146827045</v>
      </c>
      <c r="F105" s="6">
        <v>0</v>
      </c>
      <c r="G105" s="6">
        <v>0</v>
      </c>
      <c r="H105" s="7">
        <f t="shared" si="10"/>
        <v>0</v>
      </c>
      <c r="I105" s="7">
        <f t="shared" si="11"/>
        <v>0</v>
      </c>
      <c r="J105" s="8">
        <v>2411</v>
      </c>
      <c r="K105" s="9"/>
      <c r="L105" s="8">
        <f t="shared" si="12"/>
        <v>28932</v>
      </c>
      <c r="M105" s="7">
        <f t="shared" si="13"/>
        <v>0</v>
      </c>
      <c r="N105" s="10">
        <f t="shared" si="14"/>
        <v>1</v>
      </c>
      <c r="O105" s="11">
        <f t="shared" si="15"/>
        <v>0.179386146827045</v>
      </c>
      <c r="P105" s="11"/>
      <c r="Q105" s="8">
        <f t="shared" si="16"/>
        <v>10380.0000000001</v>
      </c>
      <c r="R105" s="12">
        <f t="shared" si="17"/>
        <v>3.27418092638254e-11</v>
      </c>
    </row>
    <row r="106" ht="14.25" spans="1:18">
      <c r="A106" s="15">
        <v>45940</v>
      </c>
      <c r="B106" s="3">
        <f>Data_Entry!P195</f>
        <v>11940.0000000001</v>
      </c>
      <c r="C106" s="3">
        <v>0</v>
      </c>
      <c r="D106" s="4">
        <f>Data_Entry!V195</f>
        <v>0</v>
      </c>
      <c r="E106" s="5">
        <f t="shared" si="9"/>
        <v>0.206345914558276</v>
      </c>
      <c r="F106" s="6">
        <v>0</v>
      </c>
      <c r="G106" s="6">
        <v>0</v>
      </c>
      <c r="H106" s="7">
        <f t="shared" si="10"/>
        <v>0</v>
      </c>
      <c r="I106" s="7">
        <f t="shared" si="11"/>
        <v>0</v>
      </c>
      <c r="J106" s="8">
        <v>2411</v>
      </c>
      <c r="K106" s="9"/>
      <c r="L106" s="8">
        <f t="shared" si="12"/>
        <v>28932</v>
      </c>
      <c r="M106" s="7">
        <f t="shared" si="13"/>
        <v>0</v>
      </c>
      <c r="N106" s="10">
        <f t="shared" si="14"/>
        <v>1</v>
      </c>
      <c r="O106" s="11">
        <f t="shared" si="15"/>
        <v>0.206345914558276</v>
      </c>
      <c r="P106" s="11"/>
      <c r="Q106" s="8">
        <f t="shared" si="16"/>
        <v>11940.0000000001</v>
      </c>
      <c r="R106" s="12">
        <f t="shared" si="17"/>
        <v>-1.81898940354586e-11</v>
      </c>
    </row>
    <row r="107" ht="14.25" spans="1:18">
      <c r="A107" s="15">
        <v>45941</v>
      </c>
      <c r="B107" s="3">
        <f>Data_Entry!P196</f>
        <v>9569.99999999982</v>
      </c>
      <c r="C107" s="3">
        <v>7</v>
      </c>
      <c r="D107" s="4">
        <f>Data_Entry!V196</f>
        <v>0</v>
      </c>
      <c r="E107" s="5">
        <f t="shared" si="9"/>
        <v>0.165387805889669</v>
      </c>
      <c r="F107" s="6">
        <v>0.53125</v>
      </c>
      <c r="G107" s="6">
        <v>0.604166666666667</v>
      </c>
      <c r="H107" s="7">
        <f t="shared" si="10"/>
        <v>105</v>
      </c>
      <c r="I107" s="7">
        <f t="shared" si="11"/>
        <v>1.75000000000001</v>
      </c>
      <c r="J107" s="8">
        <v>2411</v>
      </c>
      <c r="K107" s="9">
        <v>2411</v>
      </c>
      <c r="L107" s="8">
        <f t="shared" si="12"/>
        <v>28932</v>
      </c>
      <c r="M107" s="7">
        <f t="shared" si="13"/>
        <v>4219.25000000002</v>
      </c>
      <c r="N107" s="10">
        <f t="shared" si="14"/>
        <v>0.854166666666666</v>
      </c>
      <c r="O107" s="11">
        <f t="shared" si="15"/>
        <v>0.193624748358637</v>
      </c>
      <c r="P107" s="18"/>
      <c r="Q107" s="8">
        <f t="shared" si="16"/>
        <v>11203.9024390242</v>
      </c>
      <c r="R107" s="12">
        <f t="shared" si="17"/>
        <v>1633.90243902435</v>
      </c>
    </row>
    <row r="108" ht="14.25" spans="1:18">
      <c r="A108" s="15">
        <v>45942</v>
      </c>
      <c r="B108" s="3">
        <f>Data_Entry!P197</f>
        <v>12839.9999999999</v>
      </c>
      <c r="C108" s="3">
        <v>0</v>
      </c>
      <c r="D108" s="4">
        <f>Data_Entry!V197</f>
        <v>0</v>
      </c>
      <c r="E108" s="5">
        <f t="shared" si="9"/>
        <v>0.221899626710907</v>
      </c>
      <c r="F108" s="6">
        <v>0</v>
      </c>
      <c r="G108" s="6">
        <v>0</v>
      </c>
      <c r="H108" s="7">
        <f t="shared" si="10"/>
        <v>0</v>
      </c>
      <c r="I108" s="7">
        <f t="shared" si="11"/>
        <v>0</v>
      </c>
      <c r="J108" s="8">
        <v>2411</v>
      </c>
      <c r="K108" s="9"/>
      <c r="L108" s="8">
        <f t="shared" si="12"/>
        <v>28932</v>
      </c>
      <c r="M108" s="7">
        <f t="shared" si="13"/>
        <v>0</v>
      </c>
      <c r="N108" s="10">
        <f t="shared" si="14"/>
        <v>1</v>
      </c>
      <c r="O108" s="11">
        <f t="shared" si="15"/>
        <v>0.221899626710907</v>
      </c>
      <c r="P108" s="11"/>
      <c r="Q108" s="8">
        <f t="shared" si="16"/>
        <v>12839.9999999999</v>
      </c>
      <c r="R108" s="12">
        <f t="shared" si="17"/>
        <v>2.00088834390044e-11</v>
      </c>
    </row>
    <row r="109" ht="14.25" spans="1:18">
      <c r="A109" s="15">
        <v>45943</v>
      </c>
      <c r="B109" s="3">
        <f>Data_Entry!P198</f>
        <v>12360</v>
      </c>
      <c r="C109" s="3">
        <v>0</v>
      </c>
      <c r="D109" s="4">
        <f>Data_Entry!V198</f>
        <v>0</v>
      </c>
      <c r="E109" s="5">
        <f t="shared" si="9"/>
        <v>0.213604313562837</v>
      </c>
      <c r="F109" s="6">
        <v>0</v>
      </c>
      <c r="G109" s="6">
        <v>0</v>
      </c>
      <c r="H109" s="7">
        <f t="shared" si="10"/>
        <v>0</v>
      </c>
      <c r="I109" s="7">
        <f t="shared" si="11"/>
        <v>0</v>
      </c>
      <c r="J109" s="8">
        <v>2411</v>
      </c>
      <c r="K109" s="9"/>
      <c r="L109" s="8">
        <f t="shared" si="12"/>
        <v>28932</v>
      </c>
      <c r="M109" s="7">
        <f t="shared" si="13"/>
        <v>0</v>
      </c>
      <c r="N109" s="10">
        <f t="shared" si="14"/>
        <v>1</v>
      </c>
      <c r="O109" s="11">
        <f t="shared" si="15"/>
        <v>0.213604313562837</v>
      </c>
      <c r="P109" s="11"/>
      <c r="Q109" s="8">
        <f t="shared" si="16"/>
        <v>12360</v>
      </c>
      <c r="R109" s="12">
        <f t="shared" si="17"/>
        <v>0</v>
      </c>
    </row>
    <row r="110" ht="14.25" spans="1:18">
      <c r="A110" s="15">
        <v>45944</v>
      </c>
      <c r="B110" s="3">
        <f>Data_Entry!P199</f>
        <v>12600.0000000001</v>
      </c>
      <c r="C110" s="3">
        <v>0</v>
      </c>
      <c r="D110" s="4">
        <f>Data_Entry!V199</f>
        <v>0</v>
      </c>
      <c r="E110" s="5">
        <f t="shared" si="9"/>
        <v>0.217751970136875</v>
      </c>
      <c r="F110" s="6">
        <v>0</v>
      </c>
      <c r="G110" s="6">
        <v>0</v>
      </c>
      <c r="H110" s="7">
        <f t="shared" si="10"/>
        <v>0</v>
      </c>
      <c r="I110" s="7">
        <f t="shared" si="11"/>
        <v>0</v>
      </c>
      <c r="J110" s="8">
        <v>2411</v>
      </c>
      <c r="K110" s="9"/>
      <c r="L110" s="8">
        <f t="shared" si="12"/>
        <v>28932</v>
      </c>
      <c r="M110" s="7">
        <f t="shared" si="13"/>
        <v>0</v>
      </c>
      <c r="N110" s="10">
        <f t="shared" si="14"/>
        <v>1</v>
      </c>
      <c r="O110" s="11">
        <f t="shared" si="15"/>
        <v>0.217751970136875</v>
      </c>
      <c r="P110" s="11"/>
      <c r="Q110" s="8">
        <f t="shared" si="16"/>
        <v>12600.0000000001</v>
      </c>
      <c r="R110" s="12">
        <f t="shared" si="17"/>
        <v>3.45607986673713e-11</v>
      </c>
    </row>
    <row r="111" ht="14.25" spans="1:18">
      <c r="A111" s="15">
        <v>45945</v>
      </c>
      <c r="B111" s="3">
        <f>Data_Entry!P200</f>
        <v>12750</v>
      </c>
      <c r="C111" s="3">
        <v>0</v>
      </c>
      <c r="D111" s="4">
        <f>Data_Entry!V200</f>
        <v>0</v>
      </c>
      <c r="E111" s="5">
        <f t="shared" si="9"/>
        <v>0.220344255495645</v>
      </c>
      <c r="F111" s="6">
        <v>0</v>
      </c>
      <c r="G111" s="6">
        <v>0</v>
      </c>
      <c r="H111" s="7">
        <f t="shared" si="10"/>
        <v>0</v>
      </c>
      <c r="I111" s="7">
        <f t="shared" si="11"/>
        <v>0</v>
      </c>
      <c r="J111" s="8">
        <v>2411</v>
      </c>
      <c r="K111" s="9"/>
      <c r="L111" s="8">
        <f t="shared" si="12"/>
        <v>28932</v>
      </c>
      <c r="M111" s="7">
        <f t="shared" si="13"/>
        <v>0</v>
      </c>
      <c r="N111" s="10">
        <f t="shared" si="14"/>
        <v>1</v>
      </c>
      <c r="O111" s="11">
        <f t="shared" si="15"/>
        <v>0.220344255495645</v>
      </c>
      <c r="P111" s="11"/>
      <c r="Q111" s="8">
        <f t="shared" si="16"/>
        <v>12750</v>
      </c>
      <c r="R111" s="12">
        <f t="shared" si="17"/>
        <v>0</v>
      </c>
    </row>
    <row r="112" ht="14.25" spans="1:18">
      <c r="A112" s="15">
        <v>45946</v>
      </c>
      <c r="B112" s="3">
        <f>Data_Entry!P201</f>
        <v>10470</v>
      </c>
      <c r="C112" s="3">
        <v>0</v>
      </c>
      <c r="D112" s="4">
        <f>Data_Entry!V201</f>
        <v>0</v>
      </c>
      <c r="E112" s="5">
        <f t="shared" si="9"/>
        <v>0.180941518042307</v>
      </c>
      <c r="F112" s="6">
        <v>0</v>
      </c>
      <c r="G112" s="6">
        <v>0</v>
      </c>
      <c r="H112" s="7">
        <f t="shared" si="10"/>
        <v>0</v>
      </c>
      <c r="I112" s="7">
        <f t="shared" si="11"/>
        <v>0</v>
      </c>
      <c r="J112" s="8">
        <v>2411</v>
      </c>
      <c r="K112" s="9"/>
      <c r="L112" s="8">
        <f t="shared" si="12"/>
        <v>28932</v>
      </c>
      <c r="M112" s="7">
        <f t="shared" si="13"/>
        <v>0</v>
      </c>
      <c r="N112" s="10">
        <f t="shared" si="14"/>
        <v>1</v>
      </c>
      <c r="O112" s="11">
        <f t="shared" si="15"/>
        <v>0.180941518042307</v>
      </c>
      <c r="P112" s="11"/>
      <c r="Q112" s="8">
        <f t="shared" si="16"/>
        <v>10470.0000000001</v>
      </c>
      <c r="R112" s="12">
        <f t="shared" si="17"/>
        <v>5.0931703299284e-11</v>
      </c>
    </row>
    <row r="113" ht="14.25" spans="1:18">
      <c r="A113" s="15">
        <v>45947</v>
      </c>
      <c r="B113" s="3">
        <f>Data_Entry!P202</f>
        <v>11550.0000000001</v>
      </c>
      <c r="C113" s="3">
        <v>0</v>
      </c>
      <c r="D113" s="4">
        <f>Data_Entry!V202</f>
        <v>0</v>
      </c>
      <c r="E113" s="5">
        <f t="shared" si="9"/>
        <v>0.199605972625468</v>
      </c>
      <c r="F113" s="6">
        <v>0</v>
      </c>
      <c r="G113" s="6">
        <v>0</v>
      </c>
      <c r="H113" s="7">
        <f t="shared" si="10"/>
        <v>0</v>
      </c>
      <c r="I113" s="7">
        <f t="shared" si="11"/>
        <v>0</v>
      </c>
      <c r="J113" s="8">
        <v>2411</v>
      </c>
      <c r="K113" s="9"/>
      <c r="L113" s="8">
        <f t="shared" si="12"/>
        <v>28932</v>
      </c>
      <c r="M113" s="7">
        <f t="shared" si="13"/>
        <v>0</v>
      </c>
      <c r="N113" s="10">
        <f t="shared" si="14"/>
        <v>1</v>
      </c>
      <c r="O113" s="11">
        <f t="shared" si="15"/>
        <v>0.199605972625468</v>
      </c>
      <c r="P113" s="11"/>
      <c r="Q113" s="8">
        <f t="shared" si="16"/>
        <v>11550.0000000001</v>
      </c>
      <c r="R113" s="12">
        <f t="shared" si="17"/>
        <v>-2.00088834390044e-11</v>
      </c>
    </row>
    <row r="114" ht="14.25" spans="1:18">
      <c r="A114" s="15">
        <v>45948</v>
      </c>
      <c r="B114" s="3">
        <f>Data_Entry!P203</f>
        <v>12629.9999999998</v>
      </c>
      <c r="C114" s="3">
        <v>0</v>
      </c>
      <c r="D114" s="4">
        <f>Data_Entry!V203</f>
        <v>0</v>
      </c>
      <c r="E114" s="5">
        <f t="shared" si="9"/>
        <v>0.218270427208623</v>
      </c>
      <c r="F114" s="6">
        <v>0</v>
      </c>
      <c r="G114" s="6">
        <v>0</v>
      </c>
      <c r="H114" s="7">
        <f t="shared" si="10"/>
        <v>0</v>
      </c>
      <c r="I114" s="7">
        <f t="shared" si="11"/>
        <v>0</v>
      </c>
      <c r="J114" s="8">
        <v>2411</v>
      </c>
      <c r="K114" s="9"/>
      <c r="L114" s="8">
        <f t="shared" si="12"/>
        <v>28932</v>
      </c>
      <c r="M114" s="7">
        <f t="shared" si="13"/>
        <v>0</v>
      </c>
      <c r="N114" s="10">
        <f t="shared" si="14"/>
        <v>1</v>
      </c>
      <c r="O114" s="11">
        <f t="shared" si="15"/>
        <v>0.218270427208623</v>
      </c>
      <c r="P114" s="11"/>
      <c r="Q114" s="8">
        <f t="shared" si="16"/>
        <v>12629.9999999998</v>
      </c>
      <c r="R114" s="12">
        <f t="shared" si="17"/>
        <v>-4.00177668780088e-11</v>
      </c>
    </row>
    <row r="115" ht="14.25" spans="1:18">
      <c r="A115" s="15">
        <v>45949</v>
      </c>
      <c r="B115" s="3">
        <f>Data_Entry!P204</f>
        <v>11790.0000000002</v>
      </c>
      <c r="C115" s="3">
        <v>0</v>
      </c>
      <c r="D115" s="4">
        <f>Data_Entry!V204</f>
        <v>0</v>
      </c>
      <c r="E115" s="5">
        <f t="shared" si="9"/>
        <v>0.203753629199506</v>
      </c>
      <c r="F115" s="6">
        <v>0</v>
      </c>
      <c r="G115" s="6">
        <v>0</v>
      </c>
      <c r="H115" s="7">
        <f t="shared" si="10"/>
        <v>0</v>
      </c>
      <c r="I115" s="7">
        <f t="shared" si="11"/>
        <v>0</v>
      </c>
      <c r="J115" s="8">
        <v>2411</v>
      </c>
      <c r="K115" s="9"/>
      <c r="L115" s="8">
        <f t="shared" si="12"/>
        <v>28932</v>
      </c>
      <c r="M115" s="7">
        <f t="shared" si="13"/>
        <v>0</v>
      </c>
      <c r="N115" s="10">
        <f t="shared" si="14"/>
        <v>1</v>
      </c>
      <c r="O115" s="11">
        <f t="shared" si="15"/>
        <v>0.203753629199506</v>
      </c>
      <c r="P115" s="11"/>
      <c r="Q115" s="8">
        <f t="shared" si="16"/>
        <v>11790.0000000002</v>
      </c>
      <c r="R115" s="12">
        <f t="shared" si="17"/>
        <v>1.45519152283669e-11</v>
      </c>
    </row>
    <row r="116" ht="14.25" spans="1:18">
      <c r="A116" s="15">
        <v>45950</v>
      </c>
      <c r="B116" s="3">
        <f>Data_Entry!P205</f>
        <v>11699.9999999999</v>
      </c>
      <c r="C116" s="3">
        <v>0</v>
      </c>
      <c r="D116" s="4">
        <f>Data_Entry!V205</f>
        <v>0</v>
      </c>
      <c r="E116" s="5">
        <f t="shared" si="9"/>
        <v>0.202198257984238</v>
      </c>
      <c r="F116" s="6">
        <v>0</v>
      </c>
      <c r="G116" s="6">
        <v>0</v>
      </c>
      <c r="H116" s="7">
        <f t="shared" si="10"/>
        <v>0</v>
      </c>
      <c r="I116" s="7">
        <f t="shared" si="11"/>
        <v>0</v>
      </c>
      <c r="J116" s="8">
        <v>2411</v>
      </c>
      <c r="K116" s="9"/>
      <c r="L116" s="8">
        <f t="shared" si="12"/>
        <v>28932</v>
      </c>
      <c r="M116" s="7">
        <f t="shared" si="13"/>
        <v>0</v>
      </c>
      <c r="N116" s="10">
        <f t="shared" si="14"/>
        <v>1</v>
      </c>
      <c r="O116" s="11">
        <f t="shared" si="15"/>
        <v>0.202198257984238</v>
      </c>
      <c r="P116" s="11"/>
      <c r="Q116" s="8">
        <f t="shared" si="16"/>
        <v>11699.9999999999</v>
      </c>
      <c r="R116" s="12">
        <f t="shared" si="17"/>
        <v>4.72937244921923e-11</v>
      </c>
    </row>
    <row r="117" ht="14.25" spans="1:18">
      <c r="A117" s="15">
        <v>45951</v>
      </c>
      <c r="B117" s="3">
        <f>Data_Entry!P206</f>
        <v>10020.0000000001</v>
      </c>
      <c r="C117" s="3">
        <v>0</v>
      </c>
      <c r="D117" s="4">
        <f>Data_Entry!V206</f>
        <v>0</v>
      </c>
      <c r="E117" s="5">
        <f t="shared" si="9"/>
        <v>0.173164661965991</v>
      </c>
      <c r="F117" s="6">
        <v>0</v>
      </c>
      <c r="G117" s="6">
        <v>0</v>
      </c>
      <c r="H117" s="7">
        <f t="shared" si="10"/>
        <v>0</v>
      </c>
      <c r="I117" s="7">
        <f t="shared" si="11"/>
        <v>0</v>
      </c>
      <c r="J117" s="8">
        <v>2411</v>
      </c>
      <c r="K117" s="9"/>
      <c r="L117" s="8">
        <f t="shared" si="12"/>
        <v>28932</v>
      </c>
      <c r="M117" s="7">
        <f t="shared" si="13"/>
        <v>0</v>
      </c>
      <c r="N117" s="10">
        <f t="shared" si="14"/>
        <v>1</v>
      </c>
      <c r="O117" s="11">
        <f t="shared" si="15"/>
        <v>0.173164661965991</v>
      </c>
      <c r="P117" s="11"/>
      <c r="Q117" s="8">
        <f t="shared" si="16"/>
        <v>10020.0000000001</v>
      </c>
      <c r="R117" s="12">
        <f t="shared" si="17"/>
        <v>0</v>
      </c>
    </row>
    <row r="118" ht="14.25" spans="1:18">
      <c r="A118" s="15">
        <v>45952</v>
      </c>
      <c r="B118" s="3">
        <f>Data_Entry!P207</f>
        <v>11099.9999999998</v>
      </c>
      <c r="C118" s="3">
        <v>0</v>
      </c>
      <c r="D118" s="4">
        <f>Data_Entry!V207</f>
        <v>0</v>
      </c>
      <c r="E118" s="5">
        <f t="shared" si="9"/>
        <v>0.191829116549146</v>
      </c>
      <c r="F118" s="6">
        <v>0</v>
      </c>
      <c r="G118" s="6">
        <v>0</v>
      </c>
      <c r="H118" s="7">
        <f t="shared" si="10"/>
        <v>0</v>
      </c>
      <c r="I118" s="7">
        <f t="shared" si="11"/>
        <v>0</v>
      </c>
      <c r="J118" s="8">
        <v>2411</v>
      </c>
      <c r="K118" s="9"/>
      <c r="L118" s="8">
        <f t="shared" si="12"/>
        <v>28932</v>
      </c>
      <c r="M118" s="7">
        <f t="shared" si="13"/>
        <v>0</v>
      </c>
      <c r="N118" s="10">
        <f t="shared" si="14"/>
        <v>1</v>
      </c>
      <c r="O118" s="11">
        <f t="shared" si="15"/>
        <v>0.191829116549146</v>
      </c>
      <c r="P118" s="11"/>
      <c r="Q118" s="8">
        <f t="shared" si="16"/>
        <v>11099.9999999998</v>
      </c>
      <c r="R118" s="12">
        <f t="shared" si="17"/>
        <v>-1.45519152283669e-11</v>
      </c>
    </row>
    <row r="119" ht="14.25" spans="1:18">
      <c r="A119" s="15">
        <v>45953</v>
      </c>
      <c r="B119" s="3">
        <f>Data_Entry!P208</f>
        <v>10830</v>
      </c>
      <c r="C119" s="3">
        <v>0</v>
      </c>
      <c r="D119" s="4">
        <f>Data_Entry!V208</f>
        <v>0</v>
      </c>
      <c r="E119" s="5">
        <f t="shared" si="9"/>
        <v>0.18716300290336</v>
      </c>
      <c r="F119" s="6">
        <v>0</v>
      </c>
      <c r="G119" s="6">
        <v>0</v>
      </c>
      <c r="H119" s="7">
        <f t="shared" si="10"/>
        <v>0</v>
      </c>
      <c r="I119" s="7">
        <f t="shared" si="11"/>
        <v>0</v>
      </c>
      <c r="J119" s="8">
        <v>2411</v>
      </c>
      <c r="K119" s="9"/>
      <c r="L119" s="8">
        <f t="shared" si="12"/>
        <v>28932</v>
      </c>
      <c r="M119" s="7">
        <f t="shared" si="13"/>
        <v>0</v>
      </c>
      <c r="N119" s="10">
        <f t="shared" si="14"/>
        <v>1</v>
      </c>
      <c r="O119" s="11">
        <f t="shared" si="15"/>
        <v>0.18716300290336</v>
      </c>
      <c r="P119" s="11"/>
      <c r="Q119" s="8">
        <f t="shared" si="16"/>
        <v>10830</v>
      </c>
      <c r="R119" s="12">
        <f t="shared" si="17"/>
        <v>2.36468622460961e-11</v>
      </c>
    </row>
    <row r="120" ht="14.25" spans="1:18">
      <c r="A120" s="15">
        <v>45954</v>
      </c>
      <c r="B120" s="3">
        <f>Data_Entry!P209</f>
        <v>10470</v>
      </c>
      <c r="C120" s="3">
        <v>0</v>
      </c>
      <c r="D120" s="4">
        <f>Data_Entry!V209</f>
        <v>0</v>
      </c>
      <c r="E120" s="5">
        <f t="shared" si="9"/>
        <v>0.180941518042307</v>
      </c>
      <c r="F120" s="6">
        <v>0</v>
      </c>
      <c r="G120" s="6">
        <v>0</v>
      </c>
      <c r="H120" s="7">
        <f t="shared" si="10"/>
        <v>0</v>
      </c>
      <c r="I120" s="7">
        <f t="shared" si="11"/>
        <v>0</v>
      </c>
      <c r="J120" s="8">
        <v>2411</v>
      </c>
      <c r="K120" s="9"/>
      <c r="L120" s="8">
        <f t="shared" si="12"/>
        <v>28932</v>
      </c>
      <c r="M120" s="7">
        <f t="shared" si="13"/>
        <v>0</v>
      </c>
      <c r="N120" s="10">
        <f t="shared" si="14"/>
        <v>1</v>
      </c>
      <c r="O120" s="11">
        <f t="shared" si="15"/>
        <v>0.180941518042307</v>
      </c>
      <c r="P120" s="11"/>
      <c r="Q120" s="8">
        <f t="shared" si="16"/>
        <v>10470.0000000001</v>
      </c>
      <c r="R120" s="12">
        <f t="shared" si="17"/>
        <v>5.0931703299284e-11</v>
      </c>
    </row>
    <row r="121" ht="14.25" spans="1:18">
      <c r="A121" s="15">
        <v>45955</v>
      </c>
      <c r="B121" s="3">
        <f>Data_Entry!P210</f>
        <v>10800.0000000001</v>
      </c>
      <c r="C121" s="3">
        <v>0</v>
      </c>
      <c r="D121" s="4">
        <f>Data_Entry!V210</f>
        <v>0</v>
      </c>
      <c r="E121" s="5">
        <f t="shared" si="9"/>
        <v>0.186644545831606</v>
      </c>
      <c r="F121" s="6">
        <v>0</v>
      </c>
      <c r="G121" s="6">
        <v>0</v>
      </c>
      <c r="H121" s="7">
        <f t="shared" si="10"/>
        <v>0</v>
      </c>
      <c r="I121" s="7">
        <f t="shared" si="11"/>
        <v>0</v>
      </c>
      <c r="J121" s="8">
        <v>2411</v>
      </c>
      <c r="K121" s="9"/>
      <c r="L121" s="8">
        <f t="shared" si="12"/>
        <v>28932</v>
      </c>
      <c r="M121" s="7">
        <f t="shared" si="13"/>
        <v>0</v>
      </c>
      <c r="N121" s="10">
        <f t="shared" si="14"/>
        <v>1</v>
      </c>
      <c r="O121" s="11">
        <f t="shared" si="15"/>
        <v>0.186644545831606</v>
      </c>
      <c r="P121" s="11"/>
      <c r="Q121" s="8">
        <f t="shared" si="16"/>
        <v>10800</v>
      </c>
      <c r="R121" s="12">
        <f t="shared" si="17"/>
        <v>-5.0931703299284e-11</v>
      </c>
    </row>
    <row r="122" ht="14.25" spans="1:18">
      <c r="A122" s="15">
        <v>45956</v>
      </c>
      <c r="B122" s="3">
        <f>Data_Entry!P211</f>
        <v>2580.00000000004</v>
      </c>
      <c r="C122" s="3">
        <v>0</v>
      </c>
      <c r="D122" s="4">
        <f>Data_Entry!V211</f>
        <v>0</v>
      </c>
      <c r="E122" s="5">
        <f t="shared" si="9"/>
        <v>0.0445873081708842</v>
      </c>
      <c r="F122" s="6">
        <v>0</v>
      </c>
      <c r="G122" s="6">
        <v>0</v>
      </c>
      <c r="H122" s="7">
        <f t="shared" si="10"/>
        <v>0</v>
      </c>
      <c r="I122" s="7">
        <f t="shared" si="11"/>
        <v>0</v>
      </c>
      <c r="J122" s="8">
        <v>2411</v>
      </c>
      <c r="K122" s="9"/>
      <c r="L122" s="8">
        <f t="shared" si="12"/>
        <v>28932</v>
      </c>
      <c r="M122" s="7">
        <f t="shared" si="13"/>
        <v>0</v>
      </c>
      <c r="N122" s="10">
        <f t="shared" si="14"/>
        <v>1</v>
      </c>
      <c r="O122" s="11">
        <f t="shared" si="15"/>
        <v>0.0445873081708842</v>
      </c>
      <c r="P122" s="11"/>
      <c r="Q122" s="8">
        <f t="shared" si="16"/>
        <v>2580.00000000004</v>
      </c>
      <c r="R122" s="12">
        <f t="shared" si="17"/>
        <v>0</v>
      </c>
    </row>
    <row r="123" ht="14.25" spans="1:18">
      <c r="A123" s="15">
        <v>45957</v>
      </c>
      <c r="B123" s="3">
        <f>Data_Entry!P212</f>
        <v>2279.99999999997</v>
      </c>
      <c r="C123" s="3">
        <v>0</v>
      </c>
      <c r="D123" s="4">
        <f>Data_Entry!V212</f>
        <v>0</v>
      </c>
      <c r="E123" s="5">
        <f t="shared" si="9"/>
        <v>0.0394027374533384</v>
      </c>
      <c r="F123" s="6">
        <v>0</v>
      </c>
      <c r="G123" s="6">
        <v>0</v>
      </c>
      <c r="H123" s="7">
        <f t="shared" si="10"/>
        <v>0</v>
      </c>
      <c r="I123" s="7">
        <f t="shared" si="11"/>
        <v>0</v>
      </c>
      <c r="J123" s="8">
        <v>2411</v>
      </c>
      <c r="K123" s="9"/>
      <c r="L123" s="8">
        <f t="shared" si="12"/>
        <v>28932</v>
      </c>
      <c r="M123" s="7">
        <f t="shared" si="13"/>
        <v>0</v>
      </c>
      <c r="N123" s="10">
        <f t="shared" si="14"/>
        <v>1</v>
      </c>
      <c r="O123" s="11">
        <f t="shared" si="15"/>
        <v>0.0394027374533384</v>
      </c>
      <c r="P123" s="11"/>
      <c r="Q123" s="8">
        <f t="shared" si="16"/>
        <v>2279.99999999997</v>
      </c>
      <c r="R123" s="12">
        <f t="shared" si="17"/>
        <v>3.63797880709171e-12</v>
      </c>
    </row>
    <row r="124" ht="14.25" spans="1:18">
      <c r="A124" s="15">
        <v>45958</v>
      </c>
      <c r="B124" s="3">
        <f>Data_Entry!P213</f>
        <v>1679.99999999984</v>
      </c>
      <c r="C124" s="3">
        <v>0</v>
      </c>
      <c r="D124" s="4">
        <f>Data_Entry!V213</f>
        <v>0</v>
      </c>
      <c r="E124" s="5">
        <f t="shared" si="9"/>
        <v>0.0290335960182469</v>
      </c>
      <c r="F124" s="6">
        <v>0</v>
      </c>
      <c r="G124" s="6">
        <v>0</v>
      </c>
      <c r="H124" s="7">
        <f t="shared" si="10"/>
        <v>0</v>
      </c>
      <c r="I124" s="7">
        <f t="shared" si="11"/>
        <v>0</v>
      </c>
      <c r="J124" s="8">
        <v>2411</v>
      </c>
      <c r="K124" s="9"/>
      <c r="L124" s="8">
        <f t="shared" si="12"/>
        <v>28932</v>
      </c>
      <c r="M124" s="7">
        <f t="shared" si="13"/>
        <v>0</v>
      </c>
      <c r="N124" s="10">
        <f t="shared" si="14"/>
        <v>1</v>
      </c>
      <c r="O124" s="11">
        <f t="shared" si="15"/>
        <v>0.0290335960182469</v>
      </c>
      <c r="P124" s="11"/>
      <c r="Q124" s="8">
        <f t="shared" si="16"/>
        <v>1679.99999999984</v>
      </c>
      <c r="R124" s="12">
        <f t="shared" si="17"/>
        <v>0</v>
      </c>
    </row>
    <row r="125" ht="14.25" spans="1:18">
      <c r="A125" s="15">
        <v>45959</v>
      </c>
      <c r="B125" s="3">
        <f>Data_Entry!P214</f>
        <v>3240.00000000012</v>
      </c>
      <c r="C125" s="3">
        <v>0</v>
      </c>
      <c r="D125" s="4">
        <f>Data_Entry!V214</f>
        <v>0</v>
      </c>
      <c r="E125" s="5">
        <f t="shared" si="9"/>
        <v>0.0559933637494837</v>
      </c>
      <c r="F125" s="6">
        <v>0</v>
      </c>
      <c r="G125" s="6">
        <v>0</v>
      </c>
      <c r="H125" s="7">
        <f t="shared" si="10"/>
        <v>0</v>
      </c>
      <c r="I125" s="7">
        <f t="shared" si="11"/>
        <v>0</v>
      </c>
      <c r="J125" s="8">
        <v>2411</v>
      </c>
      <c r="K125" s="9"/>
      <c r="L125" s="8">
        <f t="shared" si="12"/>
        <v>28932</v>
      </c>
      <c r="M125" s="7">
        <f t="shared" si="13"/>
        <v>0</v>
      </c>
      <c r="N125" s="10">
        <f t="shared" si="14"/>
        <v>1</v>
      </c>
      <c r="O125" s="11">
        <f t="shared" si="15"/>
        <v>0.0559933637494837</v>
      </c>
      <c r="P125" s="11"/>
      <c r="Q125" s="8">
        <f t="shared" si="16"/>
        <v>3240.00000000012</v>
      </c>
      <c r="R125" s="12">
        <f t="shared" si="17"/>
        <v>4.54747350886464e-12</v>
      </c>
    </row>
    <row r="126" ht="14.25" spans="1:18">
      <c r="A126" s="15">
        <v>45960</v>
      </c>
      <c r="B126" s="3">
        <f>Data_Entry!P215</f>
        <v>2369.99999999989</v>
      </c>
      <c r="C126" s="3">
        <v>0</v>
      </c>
      <c r="D126" s="4">
        <f>Data_Entry!V215</f>
        <v>0</v>
      </c>
      <c r="E126" s="5">
        <f t="shared" si="9"/>
        <v>0.0409581086686004</v>
      </c>
      <c r="F126" s="6">
        <v>0</v>
      </c>
      <c r="G126" s="6">
        <v>0</v>
      </c>
      <c r="H126" s="7">
        <f t="shared" si="10"/>
        <v>0</v>
      </c>
      <c r="I126" s="7">
        <f t="shared" si="11"/>
        <v>0</v>
      </c>
      <c r="J126" s="8">
        <v>2411</v>
      </c>
      <c r="K126" s="9"/>
      <c r="L126" s="8">
        <f t="shared" si="12"/>
        <v>28932</v>
      </c>
      <c r="M126" s="7">
        <f t="shared" si="13"/>
        <v>0</v>
      </c>
      <c r="N126" s="10">
        <f t="shared" si="14"/>
        <v>1</v>
      </c>
      <c r="O126" s="11">
        <f t="shared" si="15"/>
        <v>0.0409581086686004</v>
      </c>
      <c r="P126" s="11"/>
      <c r="Q126" s="8">
        <f t="shared" si="16"/>
        <v>2369.99999999989</v>
      </c>
      <c r="R126" s="12">
        <f t="shared" si="17"/>
        <v>0</v>
      </c>
    </row>
    <row r="127" ht="14.25" spans="1:18">
      <c r="A127" s="15">
        <v>45961</v>
      </c>
      <c r="B127" s="3">
        <f>Data_Entry!P216</f>
        <v>2669.99999999996</v>
      </c>
      <c r="C127" s="3">
        <v>0</v>
      </c>
      <c r="D127" s="4">
        <f>Data_Entry!V216</f>
        <v>0</v>
      </c>
      <c r="E127" s="5">
        <f t="shared" si="9"/>
        <v>0.0461426793861461</v>
      </c>
      <c r="F127" s="6">
        <v>0</v>
      </c>
      <c r="G127" s="6">
        <v>0</v>
      </c>
      <c r="H127" s="7">
        <f t="shared" si="10"/>
        <v>0</v>
      </c>
      <c r="I127" s="7">
        <f t="shared" si="11"/>
        <v>0</v>
      </c>
      <c r="J127" s="8">
        <v>2411</v>
      </c>
      <c r="K127" s="9"/>
      <c r="L127" s="8">
        <f t="shared" si="12"/>
        <v>28932</v>
      </c>
      <c r="M127" s="7">
        <f t="shared" si="13"/>
        <v>0</v>
      </c>
      <c r="N127" s="10">
        <f t="shared" si="14"/>
        <v>1</v>
      </c>
      <c r="O127" s="11">
        <f t="shared" si="15"/>
        <v>0.0461426793861461</v>
      </c>
      <c r="P127" s="11"/>
      <c r="Q127" s="8">
        <f t="shared" si="16"/>
        <v>2669.99999999996</v>
      </c>
      <c r="R127" s="12">
        <f t="shared" si="17"/>
        <v>0</v>
      </c>
    </row>
    <row r="128" ht="14.25" spans="1:18">
      <c r="A128" s="15">
        <v>45962</v>
      </c>
      <c r="B128" s="3">
        <f>Data_Entry!P217</f>
        <v>4950.00000000027</v>
      </c>
      <c r="C128" s="3">
        <v>0</v>
      </c>
      <c r="D128" s="4">
        <f>Data_Entry!V217</f>
        <v>1.21</v>
      </c>
      <c r="E128" s="5">
        <f t="shared" si="9"/>
        <v>0.0855454168394904</v>
      </c>
      <c r="F128" s="6">
        <v>0</v>
      </c>
      <c r="G128" s="6">
        <v>0</v>
      </c>
      <c r="H128" s="7">
        <f t="shared" si="10"/>
        <v>0</v>
      </c>
      <c r="I128" s="7">
        <f t="shared" si="11"/>
        <v>0</v>
      </c>
      <c r="J128" s="8">
        <v>2411</v>
      </c>
      <c r="K128" s="9"/>
      <c r="L128" s="8">
        <f t="shared" si="12"/>
        <v>28932</v>
      </c>
      <c r="M128" s="7">
        <f t="shared" si="13"/>
        <v>0</v>
      </c>
      <c r="N128" s="10">
        <f t="shared" si="14"/>
        <v>1</v>
      </c>
      <c r="O128" s="11">
        <f t="shared" si="15"/>
        <v>0.0855454168394904</v>
      </c>
      <c r="P128" s="11"/>
      <c r="Q128" s="8">
        <f t="shared" si="16"/>
        <v>4950.00000000027</v>
      </c>
      <c r="R128" s="12">
        <f t="shared" si="17"/>
        <v>0</v>
      </c>
    </row>
    <row r="129" ht="14.25" spans="1:18">
      <c r="A129" s="15">
        <v>45963</v>
      </c>
      <c r="B129" s="3">
        <f>Data_Entry!P218</f>
        <v>10409.9999999997</v>
      </c>
      <c r="C129" s="3">
        <v>0</v>
      </c>
      <c r="D129" s="4">
        <f>Data_Entry!V218</f>
        <v>0</v>
      </c>
      <c r="E129" s="5">
        <f t="shared" si="9"/>
        <v>0.179904603898793</v>
      </c>
      <c r="F129" s="6">
        <v>0</v>
      </c>
      <c r="G129" s="6">
        <v>0</v>
      </c>
      <c r="H129" s="7">
        <f t="shared" si="10"/>
        <v>0</v>
      </c>
      <c r="I129" s="7">
        <f t="shared" si="11"/>
        <v>0</v>
      </c>
      <c r="J129" s="8">
        <v>2411</v>
      </c>
      <c r="K129" s="9"/>
      <c r="L129" s="8">
        <f t="shared" si="12"/>
        <v>28932</v>
      </c>
      <c r="M129" s="7">
        <f t="shared" si="13"/>
        <v>0</v>
      </c>
      <c r="N129" s="10">
        <f t="shared" si="14"/>
        <v>1</v>
      </c>
      <c r="O129" s="11">
        <f t="shared" si="15"/>
        <v>0.179904603898793</v>
      </c>
      <c r="P129" s="11"/>
      <c r="Q129" s="8">
        <f t="shared" si="16"/>
        <v>10409.9999999998</v>
      </c>
      <c r="R129" s="12">
        <f t="shared" si="17"/>
        <v>5.82076609134674e-11</v>
      </c>
    </row>
    <row r="130" ht="14.25" spans="1:18">
      <c r="A130" s="15">
        <v>45964</v>
      </c>
      <c r="B130" s="3">
        <f>Data_Entry!P219</f>
        <v>9930.00000000018</v>
      </c>
      <c r="C130" s="3">
        <v>0</v>
      </c>
      <c r="D130" s="4">
        <f>Data_Entry!V219</f>
        <v>0</v>
      </c>
      <c r="E130" s="5">
        <f t="shared" si="9"/>
        <v>0.171609290750729</v>
      </c>
      <c r="F130" s="6">
        <v>0</v>
      </c>
      <c r="G130" s="6">
        <v>0</v>
      </c>
      <c r="H130" s="7">
        <f t="shared" si="10"/>
        <v>0</v>
      </c>
      <c r="I130" s="7">
        <f t="shared" si="11"/>
        <v>0</v>
      </c>
      <c r="J130" s="8">
        <v>2411</v>
      </c>
      <c r="K130" s="9"/>
      <c r="L130" s="8">
        <f t="shared" si="12"/>
        <v>28932</v>
      </c>
      <c r="M130" s="7">
        <f t="shared" si="13"/>
        <v>0</v>
      </c>
      <c r="N130" s="10">
        <f t="shared" si="14"/>
        <v>1</v>
      </c>
      <c r="O130" s="11">
        <f t="shared" si="15"/>
        <v>0.171609290750729</v>
      </c>
      <c r="P130" s="11"/>
      <c r="Q130" s="8">
        <f t="shared" si="16"/>
        <v>9930.00000000018</v>
      </c>
      <c r="R130" s="12">
        <f t="shared" si="17"/>
        <v>0</v>
      </c>
    </row>
    <row r="131" ht="14.25" spans="1:18">
      <c r="A131" s="15">
        <v>45965</v>
      </c>
      <c r="B131" s="3">
        <f>Data_Entry!P220</f>
        <v>12509.9999999999</v>
      </c>
      <c r="C131" s="3">
        <v>0</v>
      </c>
      <c r="D131" s="4">
        <f>Data_Entry!V220</f>
        <v>0</v>
      </c>
      <c r="E131" s="5">
        <f t="shared" si="9"/>
        <v>0.216196598921607</v>
      </c>
      <c r="F131" s="6">
        <v>0</v>
      </c>
      <c r="G131" s="6">
        <v>0</v>
      </c>
      <c r="H131" s="7">
        <f t="shared" si="10"/>
        <v>0</v>
      </c>
      <c r="I131" s="7">
        <f t="shared" si="11"/>
        <v>0</v>
      </c>
      <c r="J131" s="8">
        <v>2411</v>
      </c>
      <c r="K131" s="9"/>
      <c r="L131" s="8">
        <f t="shared" si="12"/>
        <v>28932</v>
      </c>
      <c r="M131" s="7">
        <f t="shared" si="13"/>
        <v>0</v>
      </c>
      <c r="N131" s="10">
        <f t="shared" si="14"/>
        <v>1</v>
      </c>
      <c r="O131" s="11">
        <f t="shared" si="15"/>
        <v>0.216196598921607</v>
      </c>
      <c r="P131" s="11"/>
      <c r="Q131" s="8">
        <f t="shared" si="16"/>
        <v>12509.9999999999</v>
      </c>
      <c r="R131" s="12">
        <f t="shared" si="17"/>
        <v>-3.45607986673713e-11</v>
      </c>
    </row>
    <row r="132" ht="14.25" spans="1:18">
      <c r="A132" s="15">
        <v>45966</v>
      </c>
      <c r="B132" s="3">
        <f>Data_Entry!P221</f>
        <v>12420</v>
      </c>
      <c r="C132" s="3">
        <v>0</v>
      </c>
      <c r="D132" s="4">
        <f>Data_Entry!V221</f>
        <v>0</v>
      </c>
      <c r="E132" s="5">
        <f t="shared" si="9"/>
        <v>0.214641227706345</v>
      </c>
      <c r="F132" s="6">
        <v>0</v>
      </c>
      <c r="G132" s="6">
        <v>0</v>
      </c>
      <c r="H132" s="7">
        <f t="shared" si="10"/>
        <v>0</v>
      </c>
      <c r="I132" s="7">
        <f t="shared" si="11"/>
        <v>0</v>
      </c>
      <c r="J132" s="8">
        <v>2411</v>
      </c>
      <c r="K132" s="9"/>
      <c r="L132" s="8">
        <f t="shared" si="12"/>
        <v>28932</v>
      </c>
      <c r="M132" s="7">
        <f t="shared" si="13"/>
        <v>0</v>
      </c>
      <c r="N132" s="10">
        <f t="shared" si="14"/>
        <v>1</v>
      </c>
      <c r="O132" s="11">
        <f t="shared" si="15"/>
        <v>0.214641227706345</v>
      </c>
      <c r="P132" s="11"/>
      <c r="Q132" s="8">
        <f t="shared" si="16"/>
        <v>12419.9999999999</v>
      </c>
      <c r="R132" s="12">
        <f t="shared" si="17"/>
        <v>-5.0931703299284e-11</v>
      </c>
    </row>
    <row r="133" ht="14.25" spans="1:18">
      <c r="A133" s="15">
        <v>45967</v>
      </c>
      <c r="B133" s="3">
        <f>Data_Entry!P222</f>
        <v>12420</v>
      </c>
      <c r="C133" s="3">
        <v>0</v>
      </c>
      <c r="D133" s="4">
        <f>Data_Entry!V222</f>
        <v>0</v>
      </c>
      <c r="E133" s="5">
        <f t="shared" ref="E133:E196" si="18">B133/(24*J133)</f>
        <v>0.214641227706345</v>
      </c>
      <c r="F133" s="6">
        <v>0</v>
      </c>
      <c r="G133" s="6">
        <v>0</v>
      </c>
      <c r="H133" s="7">
        <f t="shared" ref="H133:H196" si="19">(G133-F133)*24*60</f>
        <v>0</v>
      </c>
      <c r="I133" s="7">
        <f t="shared" ref="I133:I196" si="20">H133/60</f>
        <v>0</v>
      </c>
      <c r="J133" s="8">
        <v>2411</v>
      </c>
      <c r="K133" s="9"/>
      <c r="L133" s="8">
        <f t="shared" ref="L133:L196" si="21">J133*12</f>
        <v>28932</v>
      </c>
      <c r="M133" s="7">
        <f t="shared" ref="M133:M196" si="22">K133*I133</f>
        <v>0</v>
      </c>
      <c r="N133" s="10">
        <f t="shared" ref="N133:N196" si="23">(L133-M133)/L133</f>
        <v>1</v>
      </c>
      <c r="O133" s="11">
        <f t="shared" ref="O133:O196" si="24">E133/N133</f>
        <v>0.214641227706345</v>
      </c>
      <c r="P133" s="11"/>
      <c r="Q133" s="8">
        <f t="shared" ref="Q133:Q196" si="25">O133*J133*24</f>
        <v>12419.9999999999</v>
      </c>
      <c r="R133" s="12">
        <f t="shared" ref="R133:R196" si="26">Q133-B133</f>
        <v>-5.0931703299284e-11</v>
      </c>
    </row>
    <row r="134" ht="14.25" spans="1:18">
      <c r="A134" s="15">
        <v>45968</v>
      </c>
      <c r="B134" s="3">
        <f>Data_Entry!P223</f>
        <v>11940.0000000001</v>
      </c>
      <c r="C134" s="3">
        <v>0</v>
      </c>
      <c r="D134" s="4">
        <f>Data_Entry!V223</f>
        <v>3.68</v>
      </c>
      <c r="E134" s="5">
        <f t="shared" si="18"/>
        <v>0.206345914558276</v>
      </c>
      <c r="F134" s="6">
        <v>0</v>
      </c>
      <c r="G134" s="6">
        <v>0</v>
      </c>
      <c r="H134" s="7">
        <f t="shared" si="19"/>
        <v>0</v>
      </c>
      <c r="I134" s="7">
        <f t="shared" si="20"/>
        <v>0</v>
      </c>
      <c r="J134" s="8">
        <v>2411</v>
      </c>
      <c r="K134" s="9"/>
      <c r="L134" s="8">
        <f t="shared" si="21"/>
        <v>28932</v>
      </c>
      <c r="M134" s="7">
        <f t="shared" si="22"/>
        <v>0</v>
      </c>
      <c r="N134" s="10">
        <f t="shared" si="23"/>
        <v>1</v>
      </c>
      <c r="O134" s="11">
        <f t="shared" si="24"/>
        <v>0.206345914558276</v>
      </c>
      <c r="P134" s="11"/>
      <c r="Q134" s="8">
        <f t="shared" si="25"/>
        <v>11940.0000000001</v>
      </c>
      <c r="R134" s="12">
        <f t="shared" si="26"/>
        <v>-1.81898940354586e-11</v>
      </c>
    </row>
    <row r="135" ht="14.25" spans="1:18">
      <c r="A135" s="15">
        <v>45969</v>
      </c>
      <c r="B135" s="3">
        <f>Data_Entry!P224</f>
        <v>12210.0000000001</v>
      </c>
      <c r="C135" s="3">
        <v>0</v>
      </c>
      <c r="D135" s="4">
        <f>Data_Entry!V224</f>
        <v>3.93</v>
      </c>
      <c r="E135" s="5">
        <f t="shared" si="18"/>
        <v>0.211012028204067</v>
      </c>
      <c r="F135" s="6">
        <v>0</v>
      </c>
      <c r="G135" s="6">
        <v>0</v>
      </c>
      <c r="H135" s="7">
        <f t="shared" si="19"/>
        <v>0</v>
      </c>
      <c r="I135" s="7">
        <f t="shared" si="20"/>
        <v>0</v>
      </c>
      <c r="J135" s="8">
        <v>2411</v>
      </c>
      <c r="K135" s="9"/>
      <c r="L135" s="8">
        <f t="shared" si="21"/>
        <v>28932</v>
      </c>
      <c r="M135" s="7">
        <f t="shared" si="22"/>
        <v>0</v>
      </c>
      <c r="N135" s="10">
        <f t="shared" si="23"/>
        <v>1</v>
      </c>
      <c r="O135" s="11">
        <f t="shared" si="24"/>
        <v>0.211012028204067</v>
      </c>
      <c r="P135" s="11"/>
      <c r="Q135" s="8">
        <f t="shared" si="25"/>
        <v>12210.0000000001</v>
      </c>
      <c r="R135" s="12">
        <f t="shared" si="26"/>
        <v>3.45607986673713e-11</v>
      </c>
    </row>
    <row r="136" ht="14.25" spans="1:18">
      <c r="A136" s="15">
        <v>45970</v>
      </c>
      <c r="B136" s="3">
        <f>Data_Entry!P225</f>
        <v>12390</v>
      </c>
      <c r="C136" s="3">
        <v>0</v>
      </c>
      <c r="D136" s="4">
        <f>Data_Entry!V225</f>
        <v>3.24</v>
      </c>
      <c r="E136" s="5">
        <f t="shared" si="18"/>
        <v>0.214122770634591</v>
      </c>
      <c r="F136" s="6">
        <v>0</v>
      </c>
      <c r="G136" s="6">
        <v>0</v>
      </c>
      <c r="H136" s="7">
        <f t="shared" si="19"/>
        <v>0</v>
      </c>
      <c r="I136" s="7">
        <f t="shared" si="20"/>
        <v>0</v>
      </c>
      <c r="J136" s="8">
        <v>2411</v>
      </c>
      <c r="K136" s="9"/>
      <c r="L136" s="8">
        <f t="shared" si="21"/>
        <v>28932</v>
      </c>
      <c r="M136" s="7">
        <f t="shared" si="22"/>
        <v>0</v>
      </c>
      <c r="N136" s="10">
        <f t="shared" si="23"/>
        <v>1</v>
      </c>
      <c r="O136" s="11">
        <f t="shared" si="24"/>
        <v>0.214122770634591</v>
      </c>
      <c r="P136" s="11"/>
      <c r="Q136" s="8">
        <f t="shared" si="25"/>
        <v>12390</v>
      </c>
      <c r="R136" s="12">
        <f t="shared" si="26"/>
        <v>-2.5465851649642e-11</v>
      </c>
    </row>
    <row r="137" ht="14.25" spans="1:18">
      <c r="A137" s="15">
        <v>45971</v>
      </c>
      <c r="B137" s="3">
        <f>Data_Entry!P226</f>
        <v>12149.9999999999</v>
      </c>
      <c r="C137" s="3">
        <v>0</v>
      </c>
      <c r="D137" s="4">
        <f>Data_Entry!V226</f>
        <v>3.79</v>
      </c>
      <c r="E137" s="5">
        <f t="shared" si="18"/>
        <v>0.209975114060553</v>
      </c>
      <c r="F137" s="6">
        <v>0</v>
      </c>
      <c r="G137" s="6">
        <v>0</v>
      </c>
      <c r="H137" s="7">
        <f t="shared" si="19"/>
        <v>0</v>
      </c>
      <c r="I137" s="7">
        <f t="shared" si="20"/>
        <v>0</v>
      </c>
      <c r="J137" s="8">
        <v>2411</v>
      </c>
      <c r="K137" s="9"/>
      <c r="L137" s="8">
        <f t="shared" si="21"/>
        <v>28932</v>
      </c>
      <c r="M137" s="7">
        <f t="shared" si="22"/>
        <v>0</v>
      </c>
      <c r="N137" s="10">
        <f t="shared" si="23"/>
        <v>1</v>
      </c>
      <c r="O137" s="11">
        <f t="shared" si="24"/>
        <v>0.209975114060553</v>
      </c>
      <c r="P137" s="11"/>
      <c r="Q137" s="8">
        <f t="shared" si="25"/>
        <v>12149.9999999998</v>
      </c>
      <c r="R137" s="12">
        <f t="shared" si="26"/>
        <v>-6.00266503170133e-11</v>
      </c>
    </row>
    <row r="138" ht="14.25" spans="1:18">
      <c r="A138" s="15">
        <v>45972</v>
      </c>
      <c r="B138" s="3">
        <f>Data_Entry!P227</f>
        <v>9089.99999999992</v>
      </c>
      <c r="C138" s="3">
        <v>0</v>
      </c>
      <c r="D138" s="4">
        <f>Data_Entry!V227</f>
        <v>0</v>
      </c>
      <c r="E138" s="5">
        <f t="shared" si="18"/>
        <v>0.1570924927416</v>
      </c>
      <c r="F138" s="6">
        <v>0.5</v>
      </c>
      <c r="G138" s="6">
        <v>0.565972222222222</v>
      </c>
      <c r="H138" s="7">
        <f t="shared" si="19"/>
        <v>94.9999999999997</v>
      </c>
      <c r="I138" s="7">
        <f t="shared" si="20"/>
        <v>1.58333333333333</v>
      </c>
      <c r="J138" s="8">
        <v>2411</v>
      </c>
      <c r="K138" s="9">
        <v>2411</v>
      </c>
      <c r="L138" s="8">
        <f t="shared" si="21"/>
        <v>28932</v>
      </c>
      <c r="M138" s="7">
        <f t="shared" si="22"/>
        <v>3817.41666666665</v>
      </c>
      <c r="N138" s="10">
        <f t="shared" si="23"/>
        <v>0.868055555555556</v>
      </c>
      <c r="O138" s="11">
        <f t="shared" si="24"/>
        <v>0.180970551638323</v>
      </c>
      <c r="P138" s="18"/>
      <c r="Q138" s="8">
        <f t="shared" si="25"/>
        <v>10471.6799999999</v>
      </c>
      <c r="R138" s="12">
        <f t="shared" si="26"/>
        <v>1381.68000000001</v>
      </c>
    </row>
    <row r="139" ht="14.25" spans="1:18">
      <c r="A139" s="15">
        <v>45973</v>
      </c>
      <c r="B139" s="3">
        <f>Data_Entry!P228</f>
        <v>11880.0000000001</v>
      </c>
      <c r="C139" s="3">
        <v>0</v>
      </c>
      <c r="D139" s="4">
        <f>Data_Entry!V228</f>
        <v>3.47</v>
      </c>
      <c r="E139" s="5">
        <f t="shared" si="18"/>
        <v>0.205309000414768</v>
      </c>
      <c r="F139" s="6">
        <v>0</v>
      </c>
      <c r="G139" s="6">
        <v>0</v>
      </c>
      <c r="H139" s="7">
        <f t="shared" si="19"/>
        <v>0</v>
      </c>
      <c r="I139" s="7">
        <f t="shared" si="20"/>
        <v>0</v>
      </c>
      <c r="J139" s="8">
        <v>2411</v>
      </c>
      <c r="K139" s="9"/>
      <c r="L139" s="8">
        <f t="shared" si="21"/>
        <v>28932</v>
      </c>
      <c r="M139" s="7">
        <f t="shared" si="22"/>
        <v>0</v>
      </c>
      <c r="N139" s="10">
        <f t="shared" si="23"/>
        <v>1</v>
      </c>
      <c r="O139" s="11">
        <f t="shared" si="24"/>
        <v>0.205309000414768</v>
      </c>
      <c r="P139" s="11"/>
      <c r="Q139" s="8">
        <f t="shared" si="25"/>
        <v>11880.0000000001</v>
      </c>
      <c r="R139" s="12">
        <f t="shared" si="26"/>
        <v>3.45607986673713e-11</v>
      </c>
    </row>
    <row r="140" ht="14.25" spans="1:18">
      <c r="A140" s="15">
        <v>45974</v>
      </c>
      <c r="B140" s="3">
        <f>Data_Entry!P229</f>
        <v>11850.0000000001</v>
      </c>
      <c r="C140" s="3">
        <v>0</v>
      </c>
      <c r="D140" s="4">
        <f>Data_Entry!V229</f>
        <v>3.24</v>
      </c>
      <c r="E140" s="5">
        <f t="shared" si="18"/>
        <v>0.204790543343014</v>
      </c>
      <c r="F140" s="6">
        <v>0</v>
      </c>
      <c r="G140" s="6">
        <v>0</v>
      </c>
      <c r="H140" s="7">
        <f t="shared" si="19"/>
        <v>0</v>
      </c>
      <c r="I140" s="7">
        <f t="shared" si="20"/>
        <v>0</v>
      </c>
      <c r="J140" s="8">
        <v>2411</v>
      </c>
      <c r="K140" s="9"/>
      <c r="L140" s="8">
        <f t="shared" si="21"/>
        <v>28932</v>
      </c>
      <c r="M140" s="7">
        <f t="shared" si="22"/>
        <v>0</v>
      </c>
      <c r="N140" s="10">
        <f t="shared" si="23"/>
        <v>1</v>
      </c>
      <c r="O140" s="11">
        <f t="shared" si="24"/>
        <v>0.204790543343014</v>
      </c>
      <c r="P140" s="11"/>
      <c r="Q140" s="8">
        <f t="shared" si="25"/>
        <v>11850.0000000002</v>
      </c>
      <c r="R140" s="12">
        <f t="shared" si="26"/>
        <v>6.18456397205591e-11</v>
      </c>
    </row>
    <row r="141" ht="14.25" spans="1:18">
      <c r="A141" s="15">
        <v>45975</v>
      </c>
      <c r="B141" s="3">
        <f>Data_Entry!P230</f>
        <v>11580</v>
      </c>
      <c r="C141" s="3">
        <v>0</v>
      </c>
      <c r="D141" s="4">
        <f>Data_Entry!V230</f>
        <v>3.12</v>
      </c>
      <c r="E141" s="5">
        <f t="shared" si="18"/>
        <v>0.200124429697222</v>
      </c>
      <c r="F141" s="6">
        <v>0</v>
      </c>
      <c r="G141" s="6">
        <v>0</v>
      </c>
      <c r="H141" s="7">
        <f t="shared" si="19"/>
        <v>0</v>
      </c>
      <c r="I141" s="7">
        <f t="shared" si="20"/>
        <v>0</v>
      </c>
      <c r="J141" s="8">
        <v>2411</v>
      </c>
      <c r="K141" s="9"/>
      <c r="L141" s="8">
        <f t="shared" si="21"/>
        <v>28932</v>
      </c>
      <c r="M141" s="7">
        <f t="shared" si="22"/>
        <v>0</v>
      </c>
      <c r="N141" s="10">
        <f t="shared" si="23"/>
        <v>1</v>
      </c>
      <c r="O141" s="11">
        <f t="shared" si="24"/>
        <v>0.200124429697222</v>
      </c>
      <c r="P141" s="11"/>
      <c r="Q141" s="8">
        <f t="shared" si="25"/>
        <v>11580.0000000001</v>
      </c>
      <c r="R141" s="12">
        <f t="shared" si="26"/>
        <v>5.27506927028298e-11</v>
      </c>
    </row>
    <row r="142" ht="14.25" spans="1:18">
      <c r="A142" s="15">
        <v>45976</v>
      </c>
      <c r="B142" s="3">
        <f>Data_Entry!P231</f>
        <v>11549.9999999997</v>
      </c>
      <c r="C142" s="3">
        <v>0</v>
      </c>
      <c r="D142" s="4">
        <f>Data_Entry!V231</f>
        <v>2.98</v>
      </c>
      <c r="E142" s="5">
        <f t="shared" si="18"/>
        <v>0.199605972625462</v>
      </c>
      <c r="F142" s="6">
        <v>0</v>
      </c>
      <c r="G142" s="6">
        <v>0</v>
      </c>
      <c r="H142" s="7">
        <f t="shared" si="19"/>
        <v>0</v>
      </c>
      <c r="I142" s="7">
        <f t="shared" si="20"/>
        <v>0</v>
      </c>
      <c r="J142" s="8">
        <v>2411</v>
      </c>
      <c r="K142" s="9"/>
      <c r="L142" s="8">
        <f t="shared" si="21"/>
        <v>28932</v>
      </c>
      <c r="M142" s="7">
        <f t="shared" si="22"/>
        <v>0</v>
      </c>
      <c r="N142" s="10">
        <f t="shared" si="23"/>
        <v>1</v>
      </c>
      <c r="O142" s="11">
        <f t="shared" si="24"/>
        <v>0.199605972625462</v>
      </c>
      <c r="P142" s="11"/>
      <c r="Q142" s="8">
        <f t="shared" si="25"/>
        <v>11549.9999999997</v>
      </c>
      <c r="R142" s="12">
        <f t="shared" si="26"/>
        <v>3.45607986673713e-11</v>
      </c>
    </row>
    <row r="143" ht="14.25" spans="1:18">
      <c r="A143" s="15">
        <v>45977</v>
      </c>
      <c r="B143" s="3">
        <f>Data_Entry!P232</f>
        <v>10770.0000000001</v>
      </c>
      <c r="C143" s="3">
        <v>0</v>
      </c>
      <c r="D143" s="4">
        <f>Data_Entry!V232</f>
        <v>2.77</v>
      </c>
      <c r="E143" s="5">
        <f t="shared" si="18"/>
        <v>0.186126088759852</v>
      </c>
      <c r="F143" s="6">
        <v>0</v>
      </c>
      <c r="G143" s="6">
        <v>0</v>
      </c>
      <c r="H143" s="7">
        <f t="shared" si="19"/>
        <v>0</v>
      </c>
      <c r="I143" s="7">
        <f t="shared" si="20"/>
        <v>0</v>
      </c>
      <c r="J143" s="8">
        <v>2411</v>
      </c>
      <c r="K143" s="9"/>
      <c r="L143" s="8">
        <f t="shared" si="21"/>
        <v>28932</v>
      </c>
      <c r="M143" s="7">
        <f t="shared" si="22"/>
        <v>0</v>
      </c>
      <c r="N143" s="10">
        <f t="shared" si="23"/>
        <v>1</v>
      </c>
      <c r="O143" s="11">
        <f t="shared" si="24"/>
        <v>0.186126088759852</v>
      </c>
      <c r="P143" s="11"/>
      <c r="Q143" s="8">
        <f t="shared" si="25"/>
        <v>10770.0000000001</v>
      </c>
      <c r="R143" s="12">
        <f t="shared" si="26"/>
        <v>-2.36468622460961e-11</v>
      </c>
    </row>
    <row r="144" ht="14.25" spans="1:18">
      <c r="A144" s="15">
        <v>45978</v>
      </c>
      <c r="B144" s="3">
        <f>Data_Entry!P233</f>
        <v>11490.0000000001</v>
      </c>
      <c r="C144" s="3">
        <v>0</v>
      </c>
      <c r="D144" s="4">
        <f>Data_Entry!V233</f>
        <v>2.79</v>
      </c>
      <c r="E144" s="5">
        <f t="shared" si="18"/>
        <v>0.19856905848196</v>
      </c>
      <c r="F144" s="6">
        <v>0</v>
      </c>
      <c r="G144" s="6">
        <v>0</v>
      </c>
      <c r="H144" s="7">
        <f t="shared" si="19"/>
        <v>0</v>
      </c>
      <c r="I144" s="7">
        <f t="shared" si="20"/>
        <v>0</v>
      </c>
      <c r="J144" s="8">
        <v>2411</v>
      </c>
      <c r="K144" s="9"/>
      <c r="L144" s="8">
        <f t="shared" si="21"/>
        <v>28932</v>
      </c>
      <c r="M144" s="7">
        <f t="shared" si="22"/>
        <v>0</v>
      </c>
      <c r="N144" s="10">
        <f t="shared" si="23"/>
        <v>1</v>
      </c>
      <c r="O144" s="11">
        <f t="shared" si="24"/>
        <v>0.19856905848196</v>
      </c>
      <c r="P144" s="11"/>
      <c r="Q144" s="8">
        <f t="shared" si="25"/>
        <v>11490.0000000001</v>
      </c>
      <c r="R144" s="12">
        <f t="shared" si="26"/>
        <v>3.27418092638254e-11</v>
      </c>
    </row>
    <row r="145" ht="14.25" spans="1:18">
      <c r="A145" s="15">
        <v>45979</v>
      </c>
      <c r="B145" s="3">
        <f>Data_Entry!P234</f>
        <v>11550.0000000001</v>
      </c>
      <c r="C145" s="3">
        <v>0</v>
      </c>
      <c r="D145" s="4">
        <f>Data_Entry!V234</f>
        <v>2.74</v>
      </c>
      <c r="E145" s="5">
        <f t="shared" si="18"/>
        <v>0.199605972625468</v>
      </c>
      <c r="F145" s="6">
        <v>0</v>
      </c>
      <c r="G145" s="6">
        <v>0</v>
      </c>
      <c r="H145" s="7">
        <f t="shared" si="19"/>
        <v>0</v>
      </c>
      <c r="I145" s="7">
        <f t="shared" si="20"/>
        <v>0</v>
      </c>
      <c r="J145" s="8">
        <v>2411</v>
      </c>
      <c r="K145" s="9"/>
      <c r="L145" s="8">
        <f t="shared" si="21"/>
        <v>28932</v>
      </c>
      <c r="M145" s="7">
        <f t="shared" si="22"/>
        <v>0</v>
      </c>
      <c r="N145" s="10">
        <f t="shared" si="23"/>
        <v>1</v>
      </c>
      <c r="O145" s="11">
        <f t="shared" si="24"/>
        <v>0.199605972625468</v>
      </c>
      <c r="P145" s="11"/>
      <c r="Q145" s="8">
        <f t="shared" si="25"/>
        <v>11550.0000000001</v>
      </c>
      <c r="R145" s="12">
        <f t="shared" si="26"/>
        <v>-2.00088834390044e-11</v>
      </c>
    </row>
    <row r="146" ht="14.25" spans="1:18">
      <c r="A146" s="15">
        <v>45980</v>
      </c>
      <c r="B146" s="3">
        <f>Data_Entry!P235</f>
        <v>10709.9999999998</v>
      </c>
      <c r="C146" s="3">
        <v>0</v>
      </c>
      <c r="D146" s="4">
        <f>Data_Entry!V235</f>
        <v>2.78</v>
      </c>
      <c r="E146" s="5">
        <f t="shared" si="18"/>
        <v>0.185089174616338</v>
      </c>
      <c r="F146" s="6">
        <v>0</v>
      </c>
      <c r="G146" s="6">
        <v>0</v>
      </c>
      <c r="H146" s="7">
        <f t="shared" si="19"/>
        <v>0</v>
      </c>
      <c r="I146" s="7">
        <f t="shared" si="20"/>
        <v>0</v>
      </c>
      <c r="J146" s="8">
        <v>2411</v>
      </c>
      <c r="K146" s="9"/>
      <c r="L146" s="8">
        <f t="shared" si="21"/>
        <v>28932</v>
      </c>
      <c r="M146" s="7">
        <f t="shared" si="22"/>
        <v>0</v>
      </c>
      <c r="N146" s="10">
        <f t="shared" si="23"/>
        <v>1</v>
      </c>
      <c r="O146" s="11">
        <f t="shared" si="24"/>
        <v>0.185089174616338</v>
      </c>
      <c r="P146" s="11"/>
      <c r="Q146" s="8">
        <f t="shared" si="25"/>
        <v>10709.9999999998</v>
      </c>
      <c r="R146" s="12">
        <f t="shared" si="26"/>
        <v>-1.81898940354586e-11</v>
      </c>
    </row>
    <row r="147" ht="14.25" spans="1:18">
      <c r="A147" s="15">
        <v>45981</v>
      </c>
      <c r="B147" s="3">
        <f>Data_Entry!P236</f>
        <v>10740.0000000001</v>
      </c>
      <c r="C147" s="3">
        <v>0</v>
      </c>
      <c r="D147" s="4">
        <f>Data_Entry!V236</f>
        <v>2.78</v>
      </c>
      <c r="E147" s="5">
        <f t="shared" si="18"/>
        <v>0.185607631688098</v>
      </c>
      <c r="F147" s="6">
        <v>0</v>
      </c>
      <c r="G147" s="6">
        <v>0</v>
      </c>
      <c r="H147" s="7">
        <f t="shared" si="19"/>
        <v>0</v>
      </c>
      <c r="I147" s="7">
        <f t="shared" si="20"/>
        <v>0</v>
      </c>
      <c r="J147" s="8">
        <v>2411</v>
      </c>
      <c r="K147" s="9"/>
      <c r="L147" s="8">
        <f t="shared" si="21"/>
        <v>28932</v>
      </c>
      <c r="M147" s="7">
        <f t="shared" si="22"/>
        <v>0</v>
      </c>
      <c r="N147" s="10">
        <f t="shared" si="23"/>
        <v>1</v>
      </c>
      <c r="O147" s="11">
        <f t="shared" si="24"/>
        <v>0.185607631688098</v>
      </c>
      <c r="P147" s="11"/>
      <c r="Q147" s="8">
        <f t="shared" si="25"/>
        <v>10740.0000000001</v>
      </c>
      <c r="R147" s="12">
        <f t="shared" si="26"/>
        <v>0</v>
      </c>
    </row>
    <row r="148" ht="14.25" spans="1:18">
      <c r="A148" s="15">
        <v>45982</v>
      </c>
      <c r="B148" s="3">
        <f>Data_Entry!P237</f>
        <v>10229.9999999999</v>
      </c>
      <c r="C148" s="3">
        <v>0</v>
      </c>
      <c r="D148" s="4">
        <f>Data_Entry!V237</f>
        <v>2.85</v>
      </c>
      <c r="E148" s="5">
        <f t="shared" si="18"/>
        <v>0.176793861468269</v>
      </c>
      <c r="F148" s="6">
        <v>0</v>
      </c>
      <c r="G148" s="6">
        <v>0</v>
      </c>
      <c r="H148" s="7">
        <f t="shared" si="19"/>
        <v>0</v>
      </c>
      <c r="I148" s="7">
        <f t="shared" si="20"/>
        <v>0</v>
      </c>
      <c r="J148" s="8">
        <v>2411</v>
      </c>
      <c r="K148" s="9"/>
      <c r="L148" s="8">
        <f t="shared" si="21"/>
        <v>28932</v>
      </c>
      <c r="M148" s="7">
        <f t="shared" si="22"/>
        <v>0</v>
      </c>
      <c r="N148" s="10">
        <f t="shared" si="23"/>
        <v>1</v>
      </c>
      <c r="O148" s="11">
        <f t="shared" si="24"/>
        <v>0.176793861468269</v>
      </c>
      <c r="P148" s="11"/>
      <c r="Q148" s="8">
        <f t="shared" si="25"/>
        <v>10229.9999999999</v>
      </c>
      <c r="R148" s="12">
        <f t="shared" si="26"/>
        <v>1.81898940354586e-11</v>
      </c>
    </row>
    <row r="149" ht="14.25" spans="1:18">
      <c r="A149" s="15">
        <v>45983</v>
      </c>
      <c r="B149" s="3">
        <f>Data_Entry!P238</f>
        <v>10619.9999999999</v>
      </c>
      <c r="C149" s="3">
        <v>0</v>
      </c>
      <c r="D149" s="4">
        <f>Data_Entry!V238</f>
        <v>2.91</v>
      </c>
      <c r="E149" s="5">
        <f t="shared" si="18"/>
        <v>0.183533803401077</v>
      </c>
      <c r="F149" s="6">
        <v>0</v>
      </c>
      <c r="G149" s="6">
        <v>0</v>
      </c>
      <c r="H149" s="7">
        <f t="shared" si="19"/>
        <v>0</v>
      </c>
      <c r="I149" s="7">
        <f t="shared" si="20"/>
        <v>0</v>
      </c>
      <c r="J149" s="8">
        <v>2411</v>
      </c>
      <c r="K149" s="9"/>
      <c r="L149" s="8">
        <f t="shared" si="21"/>
        <v>28932</v>
      </c>
      <c r="M149" s="7">
        <f t="shared" si="22"/>
        <v>0</v>
      </c>
      <c r="N149" s="10">
        <f t="shared" si="23"/>
        <v>1</v>
      </c>
      <c r="O149" s="11">
        <f t="shared" si="24"/>
        <v>0.183533803401077</v>
      </c>
      <c r="P149" s="11"/>
      <c r="Q149" s="8">
        <f t="shared" si="25"/>
        <v>10619.9999999999</v>
      </c>
      <c r="R149" s="12">
        <f t="shared" si="26"/>
        <v>2.00088834390044e-11</v>
      </c>
    </row>
    <row r="150" ht="14.25" spans="1:18">
      <c r="A150" s="15">
        <v>45984</v>
      </c>
      <c r="B150" s="3">
        <f>Data_Entry!P239</f>
        <v>10890</v>
      </c>
      <c r="C150" s="3">
        <v>0</v>
      </c>
      <c r="D150" s="4">
        <f>Data_Entry!V239</f>
        <v>2.36</v>
      </c>
      <c r="E150" s="5">
        <f t="shared" si="18"/>
        <v>0.188199917046868</v>
      </c>
      <c r="F150" s="6">
        <v>0</v>
      </c>
      <c r="G150" s="6">
        <v>0</v>
      </c>
      <c r="H150" s="7">
        <f t="shared" si="19"/>
        <v>0</v>
      </c>
      <c r="I150" s="7">
        <f t="shared" si="20"/>
        <v>0</v>
      </c>
      <c r="J150" s="8">
        <v>2411</v>
      </c>
      <c r="K150" s="9"/>
      <c r="L150" s="8">
        <f t="shared" si="21"/>
        <v>28932</v>
      </c>
      <c r="M150" s="7">
        <f t="shared" si="22"/>
        <v>0</v>
      </c>
      <c r="N150" s="10">
        <f t="shared" si="23"/>
        <v>1</v>
      </c>
      <c r="O150" s="11">
        <f t="shared" si="24"/>
        <v>0.188199917046868</v>
      </c>
      <c r="P150" s="11"/>
      <c r="Q150" s="8">
        <f t="shared" si="25"/>
        <v>10890</v>
      </c>
      <c r="R150" s="12">
        <f t="shared" si="26"/>
        <v>-2.91038304567337e-11</v>
      </c>
    </row>
    <row r="151" ht="14.25" spans="1:18">
      <c r="A151" s="15">
        <v>45985</v>
      </c>
      <c r="B151" s="3">
        <f>Data_Entry!P240</f>
        <v>11580</v>
      </c>
      <c r="C151" s="3">
        <v>0</v>
      </c>
      <c r="D151" s="4">
        <f>Data_Entry!V240</f>
        <v>2.36</v>
      </c>
      <c r="E151" s="5">
        <f t="shared" si="18"/>
        <v>0.200124429697222</v>
      </c>
      <c r="F151" s="6">
        <v>0</v>
      </c>
      <c r="G151" s="6">
        <v>0</v>
      </c>
      <c r="H151" s="7">
        <f t="shared" si="19"/>
        <v>0</v>
      </c>
      <c r="I151" s="7">
        <f t="shared" si="20"/>
        <v>0</v>
      </c>
      <c r="J151" s="8">
        <v>2411</v>
      </c>
      <c r="K151" s="9"/>
      <c r="L151" s="8">
        <f t="shared" si="21"/>
        <v>28932</v>
      </c>
      <c r="M151" s="7">
        <f t="shared" si="22"/>
        <v>0</v>
      </c>
      <c r="N151" s="10">
        <f t="shared" si="23"/>
        <v>1</v>
      </c>
      <c r="O151" s="11">
        <f t="shared" si="24"/>
        <v>0.200124429697222</v>
      </c>
      <c r="P151" s="11"/>
      <c r="Q151" s="8">
        <f t="shared" si="25"/>
        <v>11580.0000000001</v>
      </c>
      <c r="R151" s="12">
        <f t="shared" si="26"/>
        <v>5.27506927028298e-11</v>
      </c>
    </row>
    <row r="152" ht="14.25" spans="1:18">
      <c r="A152" s="15">
        <v>45986</v>
      </c>
      <c r="B152" s="3">
        <f>Data_Entry!P241</f>
        <v>10530</v>
      </c>
      <c r="C152" s="3">
        <v>0</v>
      </c>
      <c r="D152" s="4">
        <f>Data_Entry!V241</f>
        <v>2.3</v>
      </c>
      <c r="E152" s="5">
        <f t="shared" si="18"/>
        <v>0.181978432185815</v>
      </c>
      <c r="F152" s="6">
        <v>0</v>
      </c>
      <c r="G152" s="6">
        <v>0</v>
      </c>
      <c r="H152" s="7">
        <f t="shared" si="19"/>
        <v>0</v>
      </c>
      <c r="I152" s="7">
        <f t="shared" si="20"/>
        <v>0</v>
      </c>
      <c r="J152" s="8">
        <v>2411</v>
      </c>
      <c r="K152" s="9"/>
      <c r="L152" s="8">
        <f t="shared" si="21"/>
        <v>28932</v>
      </c>
      <c r="M152" s="7">
        <f t="shared" si="22"/>
        <v>0</v>
      </c>
      <c r="N152" s="10">
        <f t="shared" si="23"/>
        <v>1</v>
      </c>
      <c r="O152" s="11">
        <f t="shared" si="24"/>
        <v>0.181978432185815</v>
      </c>
      <c r="P152" s="11"/>
      <c r="Q152" s="8">
        <f t="shared" si="25"/>
        <v>10530</v>
      </c>
      <c r="R152" s="12">
        <f t="shared" si="26"/>
        <v>0</v>
      </c>
    </row>
    <row r="153" ht="14.25" spans="1:18">
      <c r="A153" s="15">
        <v>45987</v>
      </c>
      <c r="B153" s="3">
        <f>Data_Entry!P242</f>
        <v>9600.00000000014</v>
      </c>
      <c r="C153" s="3">
        <v>0</v>
      </c>
      <c r="D153" s="4">
        <f>Data_Entry!V242</f>
        <v>2.31</v>
      </c>
      <c r="E153" s="5">
        <f t="shared" si="18"/>
        <v>0.165906262961429</v>
      </c>
      <c r="F153" s="6">
        <v>0</v>
      </c>
      <c r="G153" s="6">
        <v>0</v>
      </c>
      <c r="H153" s="7">
        <f t="shared" si="19"/>
        <v>0</v>
      </c>
      <c r="I153" s="7">
        <f t="shared" si="20"/>
        <v>0</v>
      </c>
      <c r="J153" s="8">
        <v>2411</v>
      </c>
      <c r="K153" s="9"/>
      <c r="L153" s="8">
        <f t="shared" si="21"/>
        <v>28932</v>
      </c>
      <c r="M153" s="7">
        <f t="shared" si="22"/>
        <v>0</v>
      </c>
      <c r="N153" s="10">
        <f t="shared" si="23"/>
        <v>1</v>
      </c>
      <c r="O153" s="11">
        <f t="shared" si="24"/>
        <v>0.165906262961429</v>
      </c>
      <c r="P153" s="11"/>
      <c r="Q153" s="8">
        <f t="shared" si="25"/>
        <v>9600.00000000013</v>
      </c>
      <c r="R153" s="12">
        <f t="shared" si="26"/>
        <v>0</v>
      </c>
    </row>
    <row r="154" ht="14.25" spans="1:18">
      <c r="A154" s="15">
        <v>45988</v>
      </c>
      <c r="B154" s="3">
        <f>Data_Entry!P243</f>
        <v>9000</v>
      </c>
      <c r="C154" s="3">
        <v>0</v>
      </c>
      <c r="D154" s="4">
        <f>Data_Entry!V243</f>
        <v>2.98</v>
      </c>
      <c r="E154" s="5">
        <f t="shared" si="18"/>
        <v>0.155537121526338</v>
      </c>
      <c r="F154" s="6">
        <v>0</v>
      </c>
      <c r="G154" s="6">
        <v>0</v>
      </c>
      <c r="H154" s="7">
        <f t="shared" si="19"/>
        <v>0</v>
      </c>
      <c r="I154" s="7">
        <f t="shared" si="20"/>
        <v>0</v>
      </c>
      <c r="J154" s="8">
        <v>2411</v>
      </c>
      <c r="K154" s="9"/>
      <c r="L154" s="8">
        <f t="shared" si="21"/>
        <v>28932</v>
      </c>
      <c r="M154" s="7">
        <f t="shared" si="22"/>
        <v>0</v>
      </c>
      <c r="N154" s="10">
        <f t="shared" si="23"/>
        <v>1</v>
      </c>
      <c r="O154" s="11">
        <f t="shared" si="24"/>
        <v>0.155537121526338</v>
      </c>
      <c r="P154" s="11"/>
      <c r="Q154" s="8">
        <f t="shared" si="25"/>
        <v>9000.00000000002</v>
      </c>
      <c r="R154" s="12">
        <f t="shared" si="26"/>
        <v>2.18278728425503e-11</v>
      </c>
    </row>
    <row r="155" ht="14.25" spans="1:18">
      <c r="A155" s="15">
        <v>45989</v>
      </c>
      <c r="B155" s="3">
        <f>Data_Entry!P244</f>
        <v>8250</v>
      </c>
      <c r="C155" s="3">
        <v>0</v>
      </c>
      <c r="D155" s="4">
        <f>Data_Entry!V244</f>
        <v>2.89</v>
      </c>
      <c r="E155" s="5">
        <f t="shared" si="18"/>
        <v>0.142575694732476</v>
      </c>
      <c r="F155" s="6">
        <v>0</v>
      </c>
      <c r="G155" s="6">
        <v>0</v>
      </c>
      <c r="H155" s="7">
        <f t="shared" si="19"/>
        <v>0</v>
      </c>
      <c r="I155" s="7">
        <f t="shared" si="20"/>
        <v>0</v>
      </c>
      <c r="J155" s="8">
        <v>2411</v>
      </c>
      <c r="K155" s="9"/>
      <c r="L155" s="8">
        <f t="shared" si="21"/>
        <v>28932</v>
      </c>
      <c r="M155" s="7">
        <f t="shared" si="22"/>
        <v>0</v>
      </c>
      <c r="N155" s="10">
        <f t="shared" si="23"/>
        <v>1</v>
      </c>
      <c r="O155" s="11">
        <f t="shared" si="24"/>
        <v>0.142575694732476</v>
      </c>
      <c r="P155" s="11"/>
      <c r="Q155" s="8">
        <f t="shared" si="25"/>
        <v>8249.99999999999</v>
      </c>
      <c r="R155" s="12">
        <f t="shared" si="26"/>
        <v>0</v>
      </c>
    </row>
    <row r="156" ht="14.25" spans="1:18">
      <c r="A156" s="15">
        <v>45990</v>
      </c>
      <c r="B156" s="3">
        <f>Data_Entry!P245</f>
        <v>9000</v>
      </c>
      <c r="C156" s="3">
        <v>0</v>
      </c>
      <c r="D156" s="4">
        <f>Data_Entry!V245</f>
        <v>2.58</v>
      </c>
      <c r="E156" s="5">
        <f t="shared" si="18"/>
        <v>0.155537121526338</v>
      </c>
      <c r="F156" s="6">
        <v>0</v>
      </c>
      <c r="G156" s="6">
        <v>0</v>
      </c>
      <c r="H156" s="7">
        <f t="shared" si="19"/>
        <v>0</v>
      </c>
      <c r="I156" s="7">
        <f t="shared" si="20"/>
        <v>0</v>
      </c>
      <c r="J156" s="8">
        <v>2411</v>
      </c>
      <c r="K156" s="9"/>
      <c r="L156" s="8">
        <f t="shared" si="21"/>
        <v>28932</v>
      </c>
      <c r="M156" s="7">
        <f t="shared" si="22"/>
        <v>0</v>
      </c>
      <c r="N156" s="10">
        <f t="shared" si="23"/>
        <v>1</v>
      </c>
      <c r="O156" s="11">
        <f t="shared" si="24"/>
        <v>0.155537121526338</v>
      </c>
      <c r="P156" s="11"/>
      <c r="Q156" s="8">
        <f t="shared" si="25"/>
        <v>9000.00000000002</v>
      </c>
      <c r="R156" s="12">
        <f t="shared" si="26"/>
        <v>2.18278728425503e-11</v>
      </c>
    </row>
    <row r="157" ht="14.25" spans="1:18">
      <c r="A157" s="15">
        <v>45991</v>
      </c>
      <c r="B157" s="3">
        <f>Data_Entry!P246</f>
        <v>10229.9999999999</v>
      </c>
      <c r="C157" s="3">
        <v>0</v>
      </c>
      <c r="D157" s="4">
        <f>Data_Entry!V246</f>
        <v>3.01</v>
      </c>
      <c r="E157" s="5">
        <f t="shared" si="18"/>
        <v>0.176793861468269</v>
      </c>
      <c r="F157" s="6">
        <v>0</v>
      </c>
      <c r="G157" s="6">
        <v>0</v>
      </c>
      <c r="H157" s="7">
        <f t="shared" si="19"/>
        <v>0</v>
      </c>
      <c r="I157" s="7">
        <f t="shared" si="20"/>
        <v>0</v>
      </c>
      <c r="J157" s="8">
        <v>2411</v>
      </c>
      <c r="K157" s="9"/>
      <c r="L157" s="8">
        <f t="shared" si="21"/>
        <v>28932</v>
      </c>
      <c r="M157" s="7">
        <f t="shared" si="22"/>
        <v>0</v>
      </c>
      <c r="N157" s="10">
        <f t="shared" si="23"/>
        <v>1</v>
      </c>
      <c r="O157" s="11">
        <f t="shared" si="24"/>
        <v>0.176793861468269</v>
      </c>
      <c r="P157" s="11"/>
      <c r="Q157" s="8">
        <f t="shared" si="25"/>
        <v>10229.9999999999</v>
      </c>
      <c r="R157" s="12">
        <f t="shared" si="26"/>
        <v>1.81898940354586e-11</v>
      </c>
    </row>
    <row r="158" ht="14.25" spans="1:18">
      <c r="A158" s="15">
        <v>45992</v>
      </c>
      <c r="B158" s="3">
        <f>Data_Entry!P247</f>
        <v>10470</v>
      </c>
      <c r="C158" s="3">
        <v>0</v>
      </c>
      <c r="D158" s="4">
        <f>Data_Entry!V247</f>
        <v>2.41</v>
      </c>
      <c r="E158" s="5">
        <f t="shared" si="18"/>
        <v>0.180941518042307</v>
      </c>
      <c r="F158" s="6">
        <v>0</v>
      </c>
      <c r="G158" s="6">
        <v>0</v>
      </c>
      <c r="H158" s="7">
        <f t="shared" si="19"/>
        <v>0</v>
      </c>
      <c r="I158" s="7">
        <f t="shared" si="20"/>
        <v>0</v>
      </c>
      <c r="J158" s="8">
        <v>2411</v>
      </c>
      <c r="K158" s="9"/>
      <c r="L158" s="8">
        <f t="shared" si="21"/>
        <v>28932</v>
      </c>
      <c r="M158" s="7">
        <f t="shared" si="22"/>
        <v>0</v>
      </c>
      <c r="N158" s="10">
        <f t="shared" si="23"/>
        <v>1</v>
      </c>
      <c r="O158" s="11">
        <f t="shared" si="24"/>
        <v>0.180941518042307</v>
      </c>
      <c r="P158" s="11"/>
      <c r="Q158" s="8">
        <f t="shared" si="25"/>
        <v>10470.0000000001</v>
      </c>
      <c r="R158" s="12">
        <f t="shared" si="26"/>
        <v>5.0931703299284e-11</v>
      </c>
    </row>
    <row r="159" ht="14.25" spans="1:18">
      <c r="A159" s="15">
        <v>45993</v>
      </c>
      <c r="B159" s="3">
        <f>Data_Entry!P248</f>
        <v>9990.00000000012</v>
      </c>
      <c r="C159" s="3">
        <v>0</v>
      </c>
      <c r="D159" s="4">
        <f>Data_Entry!V248</f>
        <v>3.5</v>
      </c>
      <c r="E159" s="5">
        <f t="shared" si="18"/>
        <v>0.172646204894237</v>
      </c>
      <c r="F159" s="6">
        <v>0</v>
      </c>
      <c r="G159" s="6">
        <v>0</v>
      </c>
      <c r="H159" s="7">
        <f t="shared" si="19"/>
        <v>0</v>
      </c>
      <c r="I159" s="7">
        <f t="shared" si="20"/>
        <v>0</v>
      </c>
      <c r="J159" s="8">
        <v>2411</v>
      </c>
      <c r="K159" s="9"/>
      <c r="L159" s="8">
        <f t="shared" si="21"/>
        <v>28932</v>
      </c>
      <c r="M159" s="7">
        <f t="shared" si="22"/>
        <v>0</v>
      </c>
      <c r="N159" s="10">
        <f t="shared" si="23"/>
        <v>1</v>
      </c>
      <c r="O159" s="11">
        <f t="shared" si="24"/>
        <v>0.172646204894237</v>
      </c>
      <c r="P159" s="11"/>
      <c r="Q159" s="8">
        <f t="shared" si="25"/>
        <v>9990.00000000013</v>
      </c>
      <c r="R159" s="12">
        <f t="shared" si="26"/>
        <v>0</v>
      </c>
    </row>
    <row r="160" ht="14.25" spans="1:18">
      <c r="A160" s="15">
        <v>45994</v>
      </c>
      <c r="B160" s="3">
        <f>Data_Entry!P249</f>
        <v>10860</v>
      </c>
      <c r="C160" s="3">
        <v>0</v>
      </c>
      <c r="D160" s="4">
        <f>Data_Entry!V249</f>
        <v>3.86</v>
      </c>
      <c r="E160" s="5">
        <f t="shared" si="18"/>
        <v>0.187681459975114</v>
      </c>
      <c r="F160" s="6">
        <v>0</v>
      </c>
      <c r="G160" s="6">
        <v>0</v>
      </c>
      <c r="H160" s="7">
        <f t="shared" si="19"/>
        <v>0</v>
      </c>
      <c r="I160" s="7">
        <f t="shared" si="20"/>
        <v>0</v>
      </c>
      <c r="J160" s="8">
        <v>2411</v>
      </c>
      <c r="K160" s="9"/>
      <c r="L160" s="8">
        <f t="shared" si="21"/>
        <v>28932</v>
      </c>
      <c r="M160" s="7">
        <f t="shared" si="22"/>
        <v>0</v>
      </c>
      <c r="N160" s="10">
        <f t="shared" si="23"/>
        <v>1</v>
      </c>
      <c r="O160" s="11">
        <f t="shared" si="24"/>
        <v>0.187681459975114</v>
      </c>
      <c r="P160" s="11"/>
      <c r="Q160" s="8">
        <f t="shared" si="25"/>
        <v>10860</v>
      </c>
      <c r="R160" s="12">
        <f t="shared" si="26"/>
        <v>0</v>
      </c>
    </row>
    <row r="161" ht="14.25" spans="1:18">
      <c r="A161" s="15">
        <v>45995</v>
      </c>
      <c r="B161" s="3">
        <f>Data_Entry!P250</f>
        <v>10649.9999999999</v>
      </c>
      <c r="C161" s="3">
        <v>0</v>
      </c>
      <c r="D161" s="4">
        <f>Data_Entry!V250</f>
        <v>3.86</v>
      </c>
      <c r="E161" s="5">
        <f t="shared" si="18"/>
        <v>0.18405226047283</v>
      </c>
      <c r="F161" s="6">
        <v>0</v>
      </c>
      <c r="G161" s="6">
        <v>0</v>
      </c>
      <c r="H161" s="7">
        <f t="shared" si="19"/>
        <v>0</v>
      </c>
      <c r="I161" s="7">
        <f t="shared" si="20"/>
        <v>0</v>
      </c>
      <c r="J161" s="8">
        <v>2411</v>
      </c>
      <c r="K161" s="9"/>
      <c r="L161" s="8">
        <f t="shared" si="21"/>
        <v>28932</v>
      </c>
      <c r="M161" s="7">
        <f t="shared" si="22"/>
        <v>0</v>
      </c>
      <c r="N161" s="10">
        <f t="shared" si="23"/>
        <v>1</v>
      </c>
      <c r="O161" s="11">
        <f t="shared" si="24"/>
        <v>0.18405226047283</v>
      </c>
      <c r="P161" s="11"/>
      <c r="Q161" s="8">
        <f t="shared" si="25"/>
        <v>10649.9999999998</v>
      </c>
      <c r="R161" s="12">
        <f t="shared" si="26"/>
        <v>-6.54836185276508e-11</v>
      </c>
    </row>
    <row r="162" ht="14.25" spans="1:18">
      <c r="A162" s="15">
        <v>45996</v>
      </c>
      <c r="B162" s="3">
        <f>Data_Entry!P251</f>
        <v>10710.0000000001</v>
      </c>
      <c r="C162" s="3">
        <v>0</v>
      </c>
      <c r="D162" s="4">
        <f>Data_Entry!V251</f>
        <v>3.9</v>
      </c>
      <c r="E162" s="5">
        <f t="shared" si="18"/>
        <v>0.185089174616344</v>
      </c>
      <c r="F162" s="6">
        <v>0</v>
      </c>
      <c r="G162" s="6">
        <v>0</v>
      </c>
      <c r="H162" s="7">
        <f t="shared" si="19"/>
        <v>0</v>
      </c>
      <c r="I162" s="7">
        <f t="shared" si="20"/>
        <v>0</v>
      </c>
      <c r="J162" s="8">
        <v>2411</v>
      </c>
      <c r="K162" s="9"/>
      <c r="L162" s="8">
        <f t="shared" si="21"/>
        <v>28932</v>
      </c>
      <c r="M162" s="7">
        <f t="shared" si="22"/>
        <v>0</v>
      </c>
      <c r="N162" s="10">
        <f t="shared" si="23"/>
        <v>1</v>
      </c>
      <c r="O162" s="11">
        <f t="shared" si="24"/>
        <v>0.185089174616344</v>
      </c>
      <c r="P162" s="11"/>
      <c r="Q162" s="8">
        <f t="shared" si="25"/>
        <v>10710.0000000001</v>
      </c>
      <c r="R162" s="12">
        <f t="shared" si="26"/>
        <v>2.91038304567337e-11</v>
      </c>
    </row>
    <row r="163" ht="14.25" spans="1:18">
      <c r="A163" s="15">
        <v>45997</v>
      </c>
      <c r="B163" s="3">
        <f>Data_Entry!P252</f>
        <v>10619.9999999999</v>
      </c>
      <c r="C163" s="3">
        <v>0</v>
      </c>
      <c r="D163" s="4">
        <f>Data_Entry!V252</f>
        <v>3.77</v>
      </c>
      <c r="E163" s="5">
        <f t="shared" si="18"/>
        <v>0.183533803401077</v>
      </c>
      <c r="F163" s="6">
        <v>0</v>
      </c>
      <c r="G163" s="6">
        <v>0</v>
      </c>
      <c r="H163" s="7">
        <f t="shared" si="19"/>
        <v>0</v>
      </c>
      <c r="I163" s="7">
        <f t="shared" si="20"/>
        <v>0</v>
      </c>
      <c r="J163" s="8">
        <v>2411</v>
      </c>
      <c r="K163" s="9"/>
      <c r="L163" s="8">
        <f t="shared" si="21"/>
        <v>28932</v>
      </c>
      <c r="M163" s="7">
        <f t="shared" si="22"/>
        <v>0</v>
      </c>
      <c r="N163" s="10">
        <f t="shared" si="23"/>
        <v>1</v>
      </c>
      <c r="O163" s="11">
        <f t="shared" si="24"/>
        <v>0.183533803401077</v>
      </c>
      <c r="P163" s="11"/>
      <c r="Q163" s="8">
        <f t="shared" si="25"/>
        <v>10619.9999999999</v>
      </c>
      <c r="R163" s="12">
        <f t="shared" si="26"/>
        <v>2.00088834390044e-11</v>
      </c>
    </row>
    <row r="164" ht="14.25" spans="1:18">
      <c r="A164" s="15">
        <v>45998</v>
      </c>
      <c r="B164" s="3">
        <f>Data_Entry!P253</f>
        <v>11280</v>
      </c>
      <c r="C164" s="3">
        <v>0</v>
      </c>
      <c r="D164" s="4">
        <f>Data_Entry!V253</f>
        <v>4.14</v>
      </c>
      <c r="E164" s="5">
        <f t="shared" si="18"/>
        <v>0.194939858979676</v>
      </c>
      <c r="F164" s="6">
        <v>0</v>
      </c>
      <c r="G164" s="6">
        <v>0</v>
      </c>
      <c r="H164" s="7">
        <f t="shared" si="19"/>
        <v>0</v>
      </c>
      <c r="I164" s="7">
        <f t="shared" si="20"/>
        <v>0</v>
      </c>
      <c r="J164" s="8">
        <v>2411</v>
      </c>
      <c r="K164" s="9"/>
      <c r="L164" s="8">
        <f t="shared" si="21"/>
        <v>28932</v>
      </c>
      <c r="M164" s="7">
        <f t="shared" si="22"/>
        <v>0</v>
      </c>
      <c r="N164" s="10">
        <f t="shared" si="23"/>
        <v>1</v>
      </c>
      <c r="O164" s="11">
        <f t="shared" si="24"/>
        <v>0.194939858979676</v>
      </c>
      <c r="P164" s="11"/>
      <c r="Q164" s="8">
        <f t="shared" si="25"/>
        <v>11280</v>
      </c>
      <c r="R164" s="12">
        <f t="shared" si="26"/>
        <v>-2.72848410531878e-11</v>
      </c>
    </row>
    <row r="165" ht="14.25" spans="1:18">
      <c r="A165" s="15">
        <v>45999</v>
      </c>
      <c r="B165" s="3">
        <f>Data_Entry!P254</f>
        <v>11040.0000000002</v>
      </c>
      <c r="C165" s="3">
        <v>0</v>
      </c>
      <c r="D165" s="4">
        <f>Data_Entry!V254</f>
        <v>4.06</v>
      </c>
      <c r="E165" s="5">
        <f t="shared" si="18"/>
        <v>0.190792202405644</v>
      </c>
      <c r="F165" s="6">
        <v>0</v>
      </c>
      <c r="G165" s="6">
        <v>0</v>
      </c>
      <c r="H165" s="7">
        <f t="shared" si="19"/>
        <v>0</v>
      </c>
      <c r="I165" s="7">
        <f t="shared" si="20"/>
        <v>0</v>
      </c>
      <c r="J165" s="8">
        <v>2411</v>
      </c>
      <c r="K165" s="9"/>
      <c r="L165" s="8">
        <f t="shared" si="21"/>
        <v>28932</v>
      </c>
      <c r="M165" s="7">
        <f t="shared" si="22"/>
        <v>0</v>
      </c>
      <c r="N165" s="10">
        <f t="shared" si="23"/>
        <v>1</v>
      </c>
      <c r="O165" s="11">
        <f t="shared" si="24"/>
        <v>0.190792202405644</v>
      </c>
      <c r="P165" s="11"/>
      <c r="Q165" s="8">
        <f t="shared" si="25"/>
        <v>11040.0000000002</v>
      </c>
      <c r="R165" s="12">
        <f t="shared" si="26"/>
        <v>-1.45519152283669e-11</v>
      </c>
    </row>
    <row r="166" ht="14.25" spans="1:18">
      <c r="A166" s="15">
        <v>46000</v>
      </c>
      <c r="B166" s="3">
        <f>Data_Entry!P255</f>
        <v>12030</v>
      </c>
      <c r="C166" s="3">
        <v>0</v>
      </c>
      <c r="D166" s="4">
        <f>Data_Entry!V255</f>
        <v>4.47</v>
      </c>
      <c r="E166" s="5">
        <f t="shared" si="18"/>
        <v>0.207901285773537</v>
      </c>
      <c r="F166" s="6">
        <v>0</v>
      </c>
      <c r="G166" s="6">
        <v>0</v>
      </c>
      <c r="H166" s="7">
        <f t="shared" si="19"/>
        <v>0</v>
      </c>
      <c r="I166" s="7">
        <f t="shared" si="20"/>
        <v>0</v>
      </c>
      <c r="J166" s="8">
        <v>2411</v>
      </c>
      <c r="K166" s="9"/>
      <c r="L166" s="8">
        <f t="shared" si="21"/>
        <v>28932</v>
      </c>
      <c r="M166" s="7">
        <f t="shared" si="22"/>
        <v>0</v>
      </c>
      <c r="N166" s="10">
        <f t="shared" si="23"/>
        <v>1</v>
      </c>
      <c r="O166" s="11">
        <f t="shared" si="24"/>
        <v>0.207901285773537</v>
      </c>
      <c r="P166" s="11"/>
      <c r="Q166" s="8">
        <f t="shared" si="25"/>
        <v>12029.9999999999</v>
      </c>
      <c r="R166" s="12">
        <f t="shared" si="26"/>
        <v>-5.45696821063757e-11</v>
      </c>
    </row>
    <row r="167" ht="14.25" spans="1:18">
      <c r="A167" s="15">
        <v>46001</v>
      </c>
      <c r="B167" s="3">
        <f>Data_Entry!P256</f>
        <v>11940.0000000001</v>
      </c>
      <c r="C167" s="3">
        <v>0</v>
      </c>
      <c r="D167" s="4">
        <f>Data_Entry!V256</f>
        <v>4.44</v>
      </c>
      <c r="E167" s="5">
        <f t="shared" si="18"/>
        <v>0.206345914558276</v>
      </c>
      <c r="F167" s="6">
        <v>0</v>
      </c>
      <c r="G167" s="6">
        <v>0</v>
      </c>
      <c r="H167" s="7">
        <f t="shared" si="19"/>
        <v>0</v>
      </c>
      <c r="I167" s="7">
        <f t="shared" si="20"/>
        <v>0</v>
      </c>
      <c r="J167" s="8">
        <v>2411</v>
      </c>
      <c r="K167" s="9"/>
      <c r="L167" s="8">
        <f t="shared" si="21"/>
        <v>28932</v>
      </c>
      <c r="M167" s="7">
        <f t="shared" si="22"/>
        <v>0</v>
      </c>
      <c r="N167" s="10">
        <f t="shared" si="23"/>
        <v>1</v>
      </c>
      <c r="O167" s="11">
        <f t="shared" si="24"/>
        <v>0.206345914558276</v>
      </c>
      <c r="P167" s="11"/>
      <c r="Q167" s="8">
        <f t="shared" si="25"/>
        <v>11940.0000000001</v>
      </c>
      <c r="R167" s="12">
        <f t="shared" si="26"/>
        <v>-1.81898940354586e-11</v>
      </c>
    </row>
    <row r="168" ht="14.25" spans="1:18">
      <c r="A168" s="15">
        <v>46002</v>
      </c>
      <c r="B168" s="3">
        <f>Data_Entry!P257</f>
        <v>12089.9999999999</v>
      </c>
      <c r="C168" s="3">
        <v>0</v>
      </c>
      <c r="D168" s="4">
        <f>Data_Entry!V257</f>
        <v>4.32</v>
      </c>
      <c r="E168" s="5">
        <f t="shared" si="18"/>
        <v>0.208938199917045</v>
      </c>
      <c r="F168" s="6">
        <v>0</v>
      </c>
      <c r="G168" s="6">
        <v>0</v>
      </c>
      <c r="H168" s="7">
        <f t="shared" si="19"/>
        <v>0</v>
      </c>
      <c r="I168" s="7">
        <f t="shared" si="20"/>
        <v>0</v>
      </c>
      <c r="J168" s="8">
        <v>2411</v>
      </c>
      <c r="K168" s="9"/>
      <c r="L168" s="8">
        <f t="shared" si="21"/>
        <v>28932</v>
      </c>
      <c r="M168" s="7">
        <f t="shared" si="22"/>
        <v>0</v>
      </c>
      <c r="N168" s="10">
        <f t="shared" si="23"/>
        <v>1</v>
      </c>
      <c r="O168" s="11">
        <f t="shared" si="24"/>
        <v>0.208938199917045</v>
      </c>
      <c r="P168" s="11"/>
      <c r="Q168" s="8">
        <f t="shared" si="25"/>
        <v>12089.9999999999</v>
      </c>
      <c r="R168" s="12">
        <f t="shared" si="26"/>
        <v>0</v>
      </c>
    </row>
    <row r="169" ht="14.25" spans="1:18">
      <c r="A169" s="15">
        <v>46003</v>
      </c>
      <c r="B169" s="3">
        <f>Data_Entry!P258</f>
        <v>11940.0000000001</v>
      </c>
      <c r="C169" s="3">
        <v>0</v>
      </c>
      <c r="D169" s="4">
        <f>Data_Entry!V258</f>
        <v>4.1</v>
      </c>
      <c r="E169" s="5">
        <f t="shared" si="18"/>
        <v>0.206345914558276</v>
      </c>
      <c r="F169" s="6">
        <v>0</v>
      </c>
      <c r="G169" s="6">
        <v>0</v>
      </c>
      <c r="H169" s="7">
        <f t="shared" si="19"/>
        <v>0</v>
      </c>
      <c r="I169" s="7">
        <f t="shared" si="20"/>
        <v>0</v>
      </c>
      <c r="J169" s="8">
        <v>2411</v>
      </c>
      <c r="K169" s="9"/>
      <c r="L169" s="8">
        <f t="shared" si="21"/>
        <v>28932</v>
      </c>
      <c r="M169" s="7">
        <f t="shared" si="22"/>
        <v>0</v>
      </c>
      <c r="N169" s="10">
        <f t="shared" si="23"/>
        <v>1</v>
      </c>
      <c r="O169" s="11">
        <f t="shared" si="24"/>
        <v>0.206345914558276</v>
      </c>
      <c r="P169" s="11"/>
      <c r="Q169" s="8">
        <f t="shared" si="25"/>
        <v>11940.0000000001</v>
      </c>
      <c r="R169" s="12">
        <f t="shared" si="26"/>
        <v>-1.81898940354586e-11</v>
      </c>
    </row>
    <row r="170" ht="14.25" spans="1:18">
      <c r="A170" s="15">
        <v>46004</v>
      </c>
      <c r="B170" s="3">
        <f>Data_Entry!P259</f>
        <v>11699.9999999999</v>
      </c>
      <c r="C170" s="3">
        <v>0</v>
      </c>
      <c r="D170" s="4">
        <f>Data_Entry!V259</f>
        <v>4.3</v>
      </c>
      <c r="E170" s="5">
        <f t="shared" si="18"/>
        <v>0.202198257984238</v>
      </c>
      <c r="F170" s="6">
        <v>0</v>
      </c>
      <c r="G170" s="6">
        <v>0</v>
      </c>
      <c r="H170" s="7">
        <f t="shared" si="19"/>
        <v>0</v>
      </c>
      <c r="I170" s="7">
        <f t="shared" si="20"/>
        <v>0</v>
      </c>
      <c r="J170" s="8">
        <v>2411</v>
      </c>
      <c r="K170" s="9"/>
      <c r="L170" s="8">
        <f t="shared" si="21"/>
        <v>28932</v>
      </c>
      <c r="M170" s="7">
        <f t="shared" si="22"/>
        <v>0</v>
      </c>
      <c r="N170" s="10">
        <f t="shared" si="23"/>
        <v>1</v>
      </c>
      <c r="O170" s="11">
        <f t="shared" si="24"/>
        <v>0.202198257984238</v>
      </c>
      <c r="P170" s="11"/>
      <c r="Q170" s="8">
        <f t="shared" si="25"/>
        <v>11699.9999999999</v>
      </c>
      <c r="R170" s="12">
        <f t="shared" si="26"/>
        <v>4.72937244921923e-11</v>
      </c>
    </row>
    <row r="171" ht="14.25" spans="1:18">
      <c r="A171" s="15">
        <v>46005</v>
      </c>
      <c r="B171" s="3">
        <f>Data_Entry!P260</f>
        <v>11489.9999999998</v>
      </c>
      <c r="C171" s="3">
        <v>0</v>
      </c>
      <c r="D171" s="4">
        <f>Data_Entry!V260</f>
        <v>4.2</v>
      </c>
      <c r="E171" s="5">
        <f t="shared" si="18"/>
        <v>0.198569058481954</v>
      </c>
      <c r="F171" s="6">
        <v>0</v>
      </c>
      <c r="G171" s="6">
        <v>0</v>
      </c>
      <c r="H171" s="7">
        <f t="shared" si="19"/>
        <v>0</v>
      </c>
      <c r="I171" s="7">
        <f t="shared" si="20"/>
        <v>0</v>
      </c>
      <c r="J171" s="8">
        <v>2411</v>
      </c>
      <c r="K171" s="9"/>
      <c r="L171" s="8">
        <f t="shared" si="21"/>
        <v>28932</v>
      </c>
      <c r="M171" s="7">
        <f t="shared" si="22"/>
        <v>0</v>
      </c>
      <c r="N171" s="10">
        <f t="shared" si="23"/>
        <v>1</v>
      </c>
      <c r="O171" s="11">
        <f t="shared" si="24"/>
        <v>0.198569058481954</v>
      </c>
      <c r="P171" s="11"/>
      <c r="Q171" s="8">
        <f t="shared" si="25"/>
        <v>11489.9999999998</v>
      </c>
      <c r="R171" s="12">
        <f t="shared" si="26"/>
        <v>-1.45519152283669e-11</v>
      </c>
    </row>
    <row r="172" ht="14.25" spans="1:18">
      <c r="A172" s="15">
        <v>46006</v>
      </c>
      <c r="B172" s="3">
        <f>Data_Entry!P261</f>
        <v>11610</v>
      </c>
      <c r="C172" s="3">
        <v>0</v>
      </c>
      <c r="D172" s="4">
        <f>Data_Entry!V261</f>
        <v>4.26</v>
      </c>
      <c r="E172" s="5">
        <f t="shared" si="18"/>
        <v>0.200642886768976</v>
      </c>
      <c r="F172" s="6">
        <v>0</v>
      </c>
      <c r="G172" s="6">
        <v>0</v>
      </c>
      <c r="H172" s="7">
        <f t="shared" si="19"/>
        <v>0</v>
      </c>
      <c r="I172" s="7">
        <f t="shared" si="20"/>
        <v>0</v>
      </c>
      <c r="J172" s="8">
        <v>2411</v>
      </c>
      <c r="K172" s="9"/>
      <c r="L172" s="8">
        <f t="shared" si="21"/>
        <v>28932</v>
      </c>
      <c r="M172" s="7">
        <f t="shared" si="22"/>
        <v>0</v>
      </c>
      <c r="N172" s="10">
        <f t="shared" si="23"/>
        <v>1</v>
      </c>
      <c r="O172" s="11">
        <f t="shared" si="24"/>
        <v>0.200642886768976</v>
      </c>
      <c r="P172" s="11"/>
      <c r="Q172" s="8">
        <f t="shared" si="25"/>
        <v>11610</v>
      </c>
      <c r="R172" s="12">
        <f t="shared" si="26"/>
        <v>2.5465851649642e-11</v>
      </c>
    </row>
    <row r="173" ht="14.25" spans="1:18">
      <c r="A173" s="15">
        <v>46007</v>
      </c>
      <c r="B173" s="3">
        <f>Data_Entry!P262</f>
        <v>11280</v>
      </c>
      <c r="C173" s="3">
        <v>0</v>
      </c>
      <c r="D173" s="4">
        <f>Data_Entry!V262</f>
        <v>4.1</v>
      </c>
      <c r="E173" s="5">
        <f t="shared" si="18"/>
        <v>0.194939858979676</v>
      </c>
      <c r="F173" s="6">
        <v>0</v>
      </c>
      <c r="G173" s="6">
        <v>0</v>
      </c>
      <c r="H173" s="7">
        <f t="shared" si="19"/>
        <v>0</v>
      </c>
      <c r="I173" s="7">
        <f t="shared" si="20"/>
        <v>0</v>
      </c>
      <c r="J173" s="8">
        <v>2411</v>
      </c>
      <c r="K173" s="9"/>
      <c r="L173" s="8">
        <f t="shared" si="21"/>
        <v>28932</v>
      </c>
      <c r="M173" s="7">
        <f t="shared" si="22"/>
        <v>0</v>
      </c>
      <c r="N173" s="10">
        <f t="shared" si="23"/>
        <v>1</v>
      </c>
      <c r="O173" s="11">
        <f t="shared" si="24"/>
        <v>0.194939858979676</v>
      </c>
      <c r="P173" s="11"/>
      <c r="Q173" s="8">
        <f t="shared" si="25"/>
        <v>11280</v>
      </c>
      <c r="R173" s="12">
        <f t="shared" si="26"/>
        <v>-2.72848410531878e-11</v>
      </c>
    </row>
    <row r="174" ht="14.25" spans="1:18">
      <c r="A174" s="15">
        <v>46008</v>
      </c>
      <c r="B174" s="3">
        <f>Data_Entry!P263</f>
        <v>10680.0000000002</v>
      </c>
      <c r="C174" s="3">
        <v>0</v>
      </c>
      <c r="D174" s="4">
        <f>Data_Entry!V263</f>
        <v>3.88</v>
      </c>
      <c r="E174" s="5">
        <f t="shared" si="18"/>
        <v>0.18457071754459</v>
      </c>
      <c r="F174" s="6">
        <v>0</v>
      </c>
      <c r="G174" s="6">
        <v>0</v>
      </c>
      <c r="H174" s="7">
        <f t="shared" si="19"/>
        <v>0</v>
      </c>
      <c r="I174" s="7">
        <f t="shared" si="20"/>
        <v>0</v>
      </c>
      <c r="J174" s="8">
        <v>2411</v>
      </c>
      <c r="K174" s="9"/>
      <c r="L174" s="8">
        <f t="shared" si="21"/>
        <v>28932</v>
      </c>
      <c r="M174" s="7">
        <f t="shared" si="22"/>
        <v>0</v>
      </c>
      <c r="N174" s="10">
        <f t="shared" si="23"/>
        <v>1</v>
      </c>
      <c r="O174" s="11">
        <f t="shared" si="24"/>
        <v>0.18457071754459</v>
      </c>
      <c r="P174" s="11"/>
      <c r="Q174" s="8">
        <f t="shared" si="25"/>
        <v>10680.0000000002</v>
      </c>
      <c r="R174" s="12">
        <f t="shared" si="26"/>
        <v>-4.36557456851006e-11</v>
      </c>
    </row>
    <row r="175" ht="14.25" spans="1:18">
      <c r="A175" s="15">
        <v>46009</v>
      </c>
      <c r="B175" s="3">
        <f>Data_Entry!P264</f>
        <v>11339.9999999999</v>
      </c>
      <c r="C175" s="3">
        <v>0</v>
      </c>
      <c r="D175" s="4">
        <f>Data_Entry!V264</f>
        <v>4.08</v>
      </c>
      <c r="E175" s="5">
        <f t="shared" si="18"/>
        <v>0.195976773123184</v>
      </c>
      <c r="F175" s="6">
        <v>0</v>
      </c>
      <c r="G175" s="6">
        <v>0</v>
      </c>
      <c r="H175" s="7">
        <f t="shared" si="19"/>
        <v>0</v>
      </c>
      <c r="I175" s="7">
        <f t="shared" si="20"/>
        <v>0</v>
      </c>
      <c r="J175" s="8">
        <v>2411</v>
      </c>
      <c r="K175" s="9"/>
      <c r="L175" s="8">
        <f t="shared" si="21"/>
        <v>28932</v>
      </c>
      <c r="M175" s="7">
        <f t="shared" si="22"/>
        <v>0</v>
      </c>
      <c r="N175" s="10">
        <f t="shared" si="23"/>
        <v>1</v>
      </c>
      <c r="O175" s="11">
        <f t="shared" si="24"/>
        <v>0.195976773123184</v>
      </c>
      <c r="P175" s="11"/>
      <c r="Q175" s="8">
        <f t="shared" si="25"/>
        <v>11339.9999999999</v>
      </c>
      <c r="R175" s="12">
        <f t="shared" si="26"/>
        <v>2.00088834390044e-11</v>
      </c>
    </row>
    <row r="176" ht="14.25" spans="1:18">
      <c r="A176" s="15">
        <v>46010</v>
      </c>
      <c r="B176" s="3">
        <f>Data_Entry!P265</f>
        <v>12180.0000000002</v>
      </c>
      <c r="C176" s="3">
        <v>0</v>
      </c>
      <c r="D176" s="4">
        <f>Data_Entry!V265</f>
        <v>4.38</v>
      </c>
      <c r="E176" s="5">
        <f t="shared" si="18"/>
        <v>0.210493571132313</v>
      </c>
      <c r="F176" s="6">
        <v>0</v>
      </c>
      <c r="G176" s="6">
        <v>0</v>
      </c>
      <c r="H176" s="7">
        <f t="shared" si="19"/>
        <v>0</v>
      </c>
      <c r="I176" s="7">
        <f t="shared" si="20"/>
        <v>0</v>
      </c>
      <c r="J176" s="8">
        <v>2411</v>
      </c>
      <c r="K176" s="9"/>
      <c r="L176" s="8">
        <f t="shared" si="21"/>
        <v>28932</v>
      </c>
      <c r="M176" s="7">
        <f t="shared" si="22"/>
        <v>0</v>
      </c>
      <c r="N176" s="10">
        <f t="shared" si="23"/>
        <v>1</v>
      </c>
      <c r="O176" s="11">
        <f t="shared" si="24"/>
        <v>0.210493571132313</v>
      </c>
      <c r="P176" s="11"/>
      <c r="Q176" s="8">
        <f t="shared" si="25"/>
        <v>12180.0000000002</v>
      </c>
      <c r="R176" s="12">
        <f t="shared" si="26"/>
        <v>-4.00177668780088e-11</v>
      </c>
    </row>
    <row r="177" ht="14.25" spans="1:18">
      <c r="A177" s="15">
        <v>46011</v>
      </c>
      <c r="B177" s="3">
        <f>Data_Entry!P266</f>
        <v>11940.0000000001</v>
      </c>
      <c r="C177" s="3">
        <v>0</v>
      </c>
      <c r="D177" s="4">
        <f>Data_Entry!V266</f>
        <v>4.35</v>
      </c>
      <c r="E177" s="5">
        <f t="shared" si="18"/>
        <v>0.206345914558276</v>
      </c>
      <c r="F177" s="6">
        <v>0</v>
      </c>
      <c r="G177" s="6">
        <v>0</v>
      </c>
      <c r="H177" s="7">
        <f t="shared" si="19"/>
        <v>0</v>
      </c>
      <c r="I177" s="7">
        <f t="shared" si="20"/>
        <v>0</v>
      </c>
      <c r="J177" s="8">
        <v>2411</v>
      </c>
      <c r="K177" s="9"/>
      <c r="L177" s="8">
        <f t="shared" si="21"/>
        <v>28932</v>
      </c>
      <c r="M177" s="7">
        <f t="shared" si="22"/>
        <v>0</v>
      </c>
      <c r="N177" s="10">
        <f t="shared" si="23"/>
        <v>1</v>
      </c>
      <c r="O177" s="11">
        <f t="shared" si="24"/>
        <v>0.206345914558276</v>
      </c>
      <c r="P177" s="11"/>
      <c r="Q177" s="8">
        <f t="shared" si="25"/>
        <v>11940.0000000001</v>
      </c>
      <c r="R177" s="12">
        <f t="shared" si="26"/>
        <v>-1.81898940354586e-11</v>
      </c>
    </row>
    <row r="178" ht="14.25" spans="1:18">
      <c r="A178" s="15">
        <v>46012</v>
      </c>
      <c r="B178" s="3">
        <f>Data_Entry!P267</f>
        <v>8099.9999999998</v>
      </c>
      <c r="C178" s="3">
        <v>7</v>
      </c>
      <c r="D178" s="4">
        <f>Data_Entry!V267</f>
        <v>3.07</v>
      </c>
      <c r="E178" s="5">
        <f t="shared" si="18"/>
        <v>0.1399834093737</v>
      </c>
      <c r="F178" s="6">
        <v>0.472222222222222</v>
      </c>
      <c r="G178" s="6">
        <v>0.53125</v>
      </c>
      <c r="H178" s="7">
        <f t="shared" si="19"/>
        <v>85</v>
      </c>
      <c r="I178" s="7">
        <f t="shared" si="20"/>
        <v>1.41666666666667</v>
      </c>
      <c r="J178" s="8">
        <v>2411</v>
      </c>
      <c r="K178" s="9">
        <v>2411</v>
      </c>
      <c r="L178" s="8">
        <f t="shared" si="21"/>
        <v>28932</v>
      </c>
      <c r="M178" s="7">
        <f t="shared" si="22"/>
        <v>3415.58333333333</v>
      </c>
      <c r="N178" s="10">
        <f t="shared" si="23"/>
        <v>0.881944444444444</v>
      </c>
      <c r="O178" s="11">
        <f t="shared" si="24"/>
        <v>0.158721346061518</v>
      </c>
      <c r="P178" s="18"/>
      <c r="Q178" s="8">
        <f t="shared" si="25"/>
        <v>9184.25196850369</v>
      </c>
      <c r="R178" s="12">
        <f t="shared" si="26"/>
        <v>1084.25196850389</v>
      </c>
    </row>
    <row r="179" ht="14.25" spans="1:18">
      <c r="A179" s="15">
        <v>46013</v>
      </c>
      <c r="B179" s="3">
        <f>Data_Entry!P268</f>
        <v>11309.9999999999</v>
      </c>
      <c r="C179" s="3">
        <v>0</v>
      </c>
      <c r="D179" s="4">
        <f>Data_Entry!V268</f>
        <v>4.03</v>
      </c>
      <c r="E179" s="5">
        <f t="shared" si="18"/>
        <v>0.19545831605143</v>
      </c>
      <c r="F179" s="6">
        <v>0</v>
      </c>
      <c r="G179" s="6">
        <v>0</v>
      </c>
      <c r="H179" s="7">
        <f t="shared" si="19"/>
        <v>0</v>
      </c>
      <c r="I179" s="7">
        <f t="shared" si="20"/>
        <v>0</v>
      </c>
      <c r="J179" s="8">
        <v>2411</v>
      </c>
      <c r="K179" s="9"/>
      <c r="L179" s="8">
        <f t="shared" si="21"/>
        <v>28932</v>
      </c>
      <c r="M179" s="7">
        <f t="shared" si="22"/>
        <v>0</v>
      </c>
      <c r="N179" s="10">
        <f t="shared" si="23"/>
        <v>1</v>
      </c>
      <c r="O179" s="11">
        <f t="shared" si="24"/>
        <v>0.19545831605143</v>
      </c>
      <c r="P179" s="11"/>
      <c r="Q179" s="8">
        <f t="shared" si="25"/>
        <v>11309.9999999999</v>
      </c>
      <c r="R179" s="12">
        <f t="shared" si="26"/>
        <v>4.54747350886464e-11</v>
      </c>
    </row>
    <row r="180" ht="14.25" spans="1:18">
      <c r="A180" s="15">
        <v>46014</v>
      </c>
      <c r="B180" s="3">
        <f>Data_Entry!P269</f>
        <v>11670</v>
      </c>
      <c r="C180" s="3">
        <v>0</v>
      </c>
      <c r="D180" s="4">
        <f>Data_Entry!V269</f>
        <v>4.14</v>
      </c>
      <c r="E180" s="5">
        <f t="shared" si="18"/>
        <v>0.201679800912484</v>
      </c>
      <c r="F180" s="6">
        <v>0</v>
      </c>
      <c r="G180" s="6">
        <v>0</v>
      </c>
      <c r="H180" s="7">
        <f t="shared" si="19"/>
        <v>0</v>
      </c>
      <c r="I180" s="7">
        <f t="shared" si="20"/>
        <v>0</v>
      </c>
      <c r="J180" s="8">
        <v>2411</v>
      </c>
      <c r="K180" s="9"/>
      <c r="L180" s="8">
        <f t="shared" si="21"/>
        <v>28932</v>
      </c>
      <c r="M180" s="7">
        <f t="shared" si="22"/>
        <v>0</v>
      </c>
      <c r="N180" s="10">
        <f t="shared" si="23"/>
        <v>1</v>
      </c>
      <c r="O180" s="11">
        <f t="shared" si="24"/>
        <v>0.201679800912484</v>
      </c>
      <c r="P180" s="11"/>
      <c r="Q180" s="8">
        <f t="shared" si="25"/>
        <v>11670</v>
      </c>
      <c r="R180" s="12">
        <f t="shared" si="26"/>
        <v>-2.5465851649642e-11</v>
      </c>
    </row>
    <row r="181" ht="14.25" spans="1:18">
      <c r="A181" s="15">
        <v>46015</v>
      </c>
      <c r="B181" s="3">
        <f>Data_Entry!P270</f>
        <v>11730.0000000002</v>
      </c>
      <c r="C181" s="3">
        <v>0</v>
      </c>
      <c r="D181" s="4">
        <f>Data_Entry!V270</f>
        <v>4.19</v>
      </c>
      <c r="E181" s="5">
        <f t="shared" si="18"/>
        <v>0.202716715055998</v>
      </c>
      <c r="F181" s="6">
        <v>0</v>
      </c>
      <c r="G181" s="6">
        <v>0</v>
      </c>
      <c r="H181" s="7">
        <f t="shared" si="19"/>
        <v>0</v>
      </c>
      <c r="I181" s="7">
        <f t="shared" si="20"/>
        <v>0</v>
      </c>
      <c r="J181" s="8">
        <v>2411</v>
      </c>
      <c r="K181" s="9"/>
      <c r="L181" s="8">
        <f t="shared" si="21"/>
        <v>28932</v>
      </c>
      <c r="M181" s="7">
        <f t="shared" si="22"/>
        <v>0</v>
      </c>
      <c r="N181" s="10">
        <f t="shared" si="23"/>
        <v>1</v>
      </c>
      <c r="O181" s="11">
        <f t="shared" si="24"/>
        <v>0.202716715055998</v>
      </c>
      <c r="P181" s="11"/>
      <c r="Q181" s="8">
        <f t="shared" si="25"/>
        <v>11730.0000000003</v>
      </c>
      <c r="R181" s="12">
        <f t="shared" si="26"/>
        <v>6.91215973347425e-11</v>
      </c>
    </row>
    <row r="182" ht="14.25" spans="1:18">
      <c r="A182" s="15">
        <v>46016</v>
      </c>
      <c r="B182" s="3">
        <f>Data_Entry!P271</f>
        <v>11009.9999999999</v>
      </c>
      <c r="C182" s="3">
        <v>0</v>
      </c>
      <c r="D182" s="4">
        <f>Data_Entry!V271</f>
        <v>4.12</v>
      </c>
      <c r="E182" s="5">
        <f t="shared" si="18"/>
        <v>0.190273745333884</v>
      </c>
      <c r="F182" s="6">
        <v>0</v>
      </c>
      <c r="G182" s="6">
        <v>0</v>
      </c>
      <c r="H182" s="7">
        <f t="shared" si="19"/>
        <v>0</v>
      </c>
      <c r="I182" s="7">
        <f t="shared" si="20"/>
        <v>0</v>
      </c>
      <c r="J182" s="8">
        <v>2411</v>
      </c>
      <c r="K182" s="9"/>
      <c r="L182" s="8">
        <f t="shared" si="21"/>
        <v>28932</v>
      </c>
      <c r="M182" s="7">
        <f t="shared" si="22"/>
        <v>0</v>
      </c>
      <c r="N182" s="10">
        <f t="shared" si="23"/>
        <v>1</v>
      </c>
      <c r="O182" s="11">
        <f t="shared" si="24"/>
        <v>0.190273745333884</v>
      </c>
      <c r="P182" s="11"/>
      <c r="Q182" s="8">
        <f t="shared" si="25"/>
        <v>11009.9999999999</v>
      </c>
      <c r="R182" s="12">
        <f t="shared" si="26"/>
        <v>-3.63797880709171e-11</v>
      </c>
    </row>
    <row r="183" ht="14.25" spans="1:18">
      <c r="A183" s="15">
        <v>46017</v>
      </c>
      <c r="B183" s="3">
        <f>Data_Entry!P272</f>
        <v>11039.9999999999</v>
      </c>
      <c r="C183" s="3">
        <v>0</v>
      </c>
      <c r="D183" s="4">
        <f>Data_Entry!V272</f>
        <v>3.95</v>
      </c>
      <c r="E183" s="5">
        <f t="shared" si="18"/>
        <v>0.190792202405638</v>
      </c>
      <c r="F183" s="6">
        <v>0</v>
      </c>
      <c r="G183" s="6">
        <v>0</v>
      </c>
      <c r="H183" s="7">
        <f t="shared" si="19"/>
        <v>0</v>
      </c>
      <c r="I183" s="7">
        <f t="shared" si="20"/>
        <v>0</v>
      </c>
      <c r="J183" s="8">
        <v>2411</v>
      </c>
      <c r="K183" s="9"/>
      <c r="L183" s="8">
        <f t="shared" si="21"/>
        <v>28932</v>
      </c>
      <c r="M183" s="7">
        <f t="shared" si="22"/>
        <v>0</v>
      </c>
      <c r="N183" s="10">
        <f t="shared" si="23"/>
        <v>1</v>
      </c>
      <c r="O183" s="11">
        <f t="shared" si="24"/>
        <v>0.190792202405638</v>
      </c>
      <c r="P183" s="11"/>
      <c r="Q183" s="8">
        <f t="shared" si="25"/>
        <v>11039.9999999998</v>
      </c>
      <c r="R183" s="12">
        <f t="shared" si="26"/>
        <v>-6.3664629124105e-11</v>
      </c>
    </row>
    <row r="184" ht="14.25" spans="1:18">
      <c r="A184" s="15">
        <v>46018</v>
      </c>
      <c r="B184" s="3">
        <f>Data_Entry!P273</f>
        <v>10560.0000000003</v>
      </c>
      <c r="C184" s="3">
        <v>0</v>
      </c>
      <c r="D184" s="4">
        <f>Data_Entry!V273</f>
        <v>3.75</v>
      </c>
      <c r="E184" s="5">
        <f t="shared" si="18"/>
        <v>0.182496889257574</v>
      </c>
      <c r="F184" s="6">
        <v>0</v>
      </c>
      <c r="G184" s="6">
        <v>0</v>
      </c>
      <c r="H184" s="7">
        <f t="shared" si="19"/>
        <v>0</v>
      </c>
      <c r="I184" s="7">
        <f t="shared" si="20"/>
        <v>0</v>
      </c>
      <c r="J184" s="8">
        <v>2411</v>
      </c>
      <c r="K184" s="9"/>
      <c r="L184" s="8">
        <f t="shared" si="21"/>
        <v>28932</v>
      </c>
      <c r="M184" s="7">
        <f t="shared" si="22"/>
        <v>0</v>
      </c>
      <c r="N184" s="10">
        <f t="shared" si="23"/>
        <v>1</v>
      </c>
      <c r="O184" s="11">
        <f t="shared" si="24"/>
        <v>0.182496889257574</v>
      </c>
      <c r="P184" s="11"/>
      <c r="Q184" s="8">
        <f t="shared" si="25"/>
        <v>10560.0000000003</v>
      </c>
      <c r="R184" s="12">
        <f t="shared" si="26"/>
        <v>-3.63797880709171e-11</v>
      </c>
    </row>
    <row r="185" ht="14.25" spans="1:18">
      <c r="A185" s="15">
        <v>46019</v>
      </c>
      <c r="B185" s="3">
        <f>Data_Entry!P274</f>
        <v>10619.9999999999</v>
      </c>
      <c r="C185" s="3">
        <v>0</v>
      </c>
      <c r="D185" s="4">
        <f>Data_Entry!V274</f>
        <v>0</v>
      </c>
      <c r="E185" s="5">
        <f t="shared" si="18"/>
        <v>0.183533803401077</v>
      </c>
      <c r="F185" s="6">
        <v>0</v>
      </c>
      <c r="G185" s="6">
        <v>0</v>
      </c>
      <c r="H185" s="7">
        <f t="shared" si="19"/>
        <v>0</v>
      </c>
      <c r="I185" s="7">
        <f t="shared" si="20"/>
        <v>0</v>
      </c>
      <c r="J185" s="8">
        <v>2411</v>
      </c>
      <c r="K185" s="9"/>
      <c r="L185" s="8">
        <f t="shared" si="21"/>
        <v>28932</v>
      </c>
      <c r="M185" s="7">
        <f t="shared" si="22"/>
        <v>0</v>
      </c>
      <c r="N185" s="10">
        <f t="shared" si="23"/>
        <v>1</v>
      </c>
      <c r="O185" s="11">
        <f t="shared" si="24"/>
        <v>0.183533803401077</v>
      </c>
      <c r="P185" s="11"/>
      <c r="Q185" s="8">
        <f t="shared" si="25"/>
        <v>10619.9999999999</v>
      </c>
      <c r="R185" s="12">
        <f t="shared" si="26"/>
        <v>2.00088834390044e-11</v>
      </c>
    </row>
    <row r="186" ht="14.25" spans="1:18">
      <c r="A186" s="15">
        <v>46020</v>
      </c>
      <c r="B186" s="3">
        <f>Data_Entry!P275</f>
        <v>9990.00000000012</v>
      </c>
      <c r="C186" s="3">
        <v>7</v>
      </c>
      <c r="D186" s="4">
        <f>Data_Entry!V275</f>
        <v>3.76</v>
      </c>
      <c r="E186" s="5">
        <f t="shared" si="18"/>
        <v>0.172646204894237</v>
      </c>
      <c r="F186" s="6">
        <v>0.534722222222222</v>
      </c>
      <c r="G186" s="6">
        <v>0.538194444444444</v>
      </c>
      <c r="H186" s="7">
        <f t="shared" si="19"/>
        <v>4.99999999999998</v>
      </c>
      <c r="I186" s="7">
        <f t="shared" si="20"/>
        <v>0.083333333333333</v>
      </c>
      <c r="J186" s="8">
        <v>2411</v>
      </c>
      <c r="K186" s="9">
        <v>2411</v>
      </c>
      <c r="L186" s="8">
        <f t="shared" si="21"/>
        <v>28932</v>
      </c>
      <c r="M186" s="7">
        <f t="shared" si="22"/>
        <v>200.916666666666</v>
      </c>
      <c r="N186" s="10">
        <f t="shared" si="23"/>
        <v>0.993055555555556</v>
      </c>
      <c r="O186" s="11">
        <f t="shared" si="24"/>
        <v>0.173853521012378</v>
      </c>
      <c r="P186" s="18"/>
      <c r="Q186" s="8">
        <f t="shared" si="25"/>
        <v>10059.8601398603</v>
      </c>
      <c r="R186" s="12">
        <f t="shared" si="26"/>
        <v>69.8601398601477</v>
      </c>
    </row>
    <row r="187" ht="14.25" spans="1:18">
      <c r="A187" s="15">
        <v>46021</v>
      </c>
      <c r="B187" s="3">
        <f>Data_Entry!P276</f>
        <v>10409.9999999997</v>
      </c>
      <c r="C187" s="3">
        <v>0</v>
      </c>
      <c r="D187" s="4">
        <f>Data_Entry!V276</f>
        <v>3.72</v>
      </c>
      <c r="E187" s="5">
        <f t="shared" si="18"/>
        <v>0.179904603898793</v>
      </c>
      <c r="F187" s="6">
        <v>0</v>
      </c>
      <c r="G187" s="6">
        <v>0</v>
      </c>
      <c r="H187" s="7">
        <f t="shared" si="19"/>
        <v>0</v>
      </c>
      <c r="I187" s="7">
        <f t="shared" si="20"/>
        <v>0</v>
      </c>
      <c r="J187" s="8">
        <v>2411</v>
      </c>
      <c r="K187" s="9"/>
      <c r="L187" s="8">
        <f t="shared" si="21"/>
        <v>28932</v>
      </c>
      <c r="M187" s="7">
        <f t="shared" si="22"/>
        <v>0</v>
      </c>
      <c r="N187" s="10">
        <f t="shared" si="23"/>
        <v>1</v>
      </c>
      <c r="O187" s="11">
        <f t="shared" si="24"/>
        <v>0.179904603898793</v>
      </c>
      <c r="P187" s="11"/>
      <c r="Q187" s="8">
        <f t="shared" si="25"/>
        <v>10409.9999999998</v>
      </c>
      <c r="R187" s="12">
        <f t="shared" si="26"/>
        <v>5.82076609134674e-11</v>
      </c>
    </row>
    <row r="188" ht="14.25" spans="1:18">
      <c r="A188" s="15">
        <v>46022</v>
      </c>
      <c r="B188" s="3">
        <f>Data_Entry!P277</f>
        <v>8610.00000000001</v>
      </c>
      <c r="C188" s="3">
        <v>0</v>
      </c>
      <c r="D188" s="4">
        <f>Data_Entry!V277</f>
        <v>3.22</v>
      </c>
      <c r="E188" s="5">
        <f t="shared" si="18"/>
        <v>0.14879717959353</v>
      </c>
      <c r="F188" s="6">
        <v>0</v>
      </c>
      <c r="G188" s="6">
        <v>0</v>
      </c>
      <c r="H188" s="7">
        <f t="shared" si="19"/>
        <v>0</v>
      </c>
      <c r="I188" s="7">
        <f t="shared" si="20"/>
        <v>0</v>
      </c>
      <c r="J188" s="8">
        <v>2411</v>
      </c>
      <c r="K188" s="9"/>
      <c r="L188" s="8">
        <f t="shared" si="21"/>
        <v>28932</v>
      </c>
      <c r="M188" s="7">
        <f t="shared" si="22"/>
        <v>0</v>
      </c>
      <c r="N188" s="10">
        <f t="shared" si="23"/>
        <v>1</v>
      </c>
      <c r="O188" s="11">
        <f t="shared" si="24"/>
        <v>0.14879717959353</v>
      </c>
      <c r="P188" s="11"/>
      <c r="Q188" s="8">
        <f t="shared" si="25"/>
        <v>8610.00000000002</v>
      </c>
      <c r="R188" s="12">
        <f t="shared" si="26"/>
        <v>0</v>
      </c>
    </row>
    <row r="189" ht="14.25" spans="1:18">
      <c r="A189" s="15">
        <v>46023</v>
      </c>
      <c r="B189" s="3">
        <f>Data_Entry!P278</f>
        <v>11400.0000000002</v>
      </c>
      <c r="C189" s="3">
        <v>0</v>
      </c>
      <c r="D189" s="4">
        <f>Data_Entry!V278</f>
        <v>4.03</v>
      </c>
      <c r="E189" s="5">
        <f t="shared" si="18"/>
        <v>0.197013687266698</v>
      </c>
      <c r="F189" s="6">
        <v>0</v>
      </c>
      <c r="G189" s="6">
        <v>0</v>
      </c>
      <c r="H189" s="7">
        <f t="shared" si="19"/>
        <v>0</v>
      </c>
      <c r="I189" s="7">
        <f t="shared" si="20"/>
        <v>0</v>
      </c>
      <c r="J189" s="8">
        <v>2411</v>
      </c>
      <c r="K189" s="9"/>
      <c r="L189" s="8">
        <f t="shared" si="21"/>
        <v>28932</v>
      </c>
      <c r="M189" s="7">
        <f t="shared" si="22"/>
        <v>0</v>
      </c>
      <c r="N189" s="10">
        <f t="shared" si="23"/>
        <v>1</v>
      </c>
      <c r="O189" s="11">
        <f t="shared" si="24"/>
        <v>0.197013687266698</v>
      </c>
      <c r="P189" s="11"/>
      <c r="Q189" s="8">
        <f t="shared" si="25"/>
        <v>11400.0000000002</v>
      </c>
      <c r="R189" s="12">
        <f t="shared" si="26"/>
        <v>0</v>
      </c>
    </row>
    <row r="190" ht="14.25" spans="1:18">
      <c r="A190" s="15">
        <v>46024</v>
      </c>
      <c r="B190" s="3">
        <f>Data_Entry!P279</f>
        <v>11550.0000000001</v>
      </c>
      <c r="C190" s="3">
        <v>0</v>
      </c>
      <c r="D190" s="4">
        <f>Data_Entry!V279</f>
        <v>4.05</v>
      </c>
      <c r="E190" s="5">
        <f t="shared" si="18"/>
        <v>0.199605972625468</v>
      </c>
      <c r="F190" s="6">
        <v>0</v>
      </c>
      <c r="G190" s="6">
        <v>0</v>
      </c>
      <c r="H190" s="7">
        <f t="shared" si="19"/>
        <v>0</v>
      </c>
      <c r="I190" s="7">
        <f t="shared" si="20"/>
        <v>0</v>
      </c>
      <c r="J190" s="8">
        <v>2411</v>
      </c>
      <c r="K190" s="9"/>
      <c r="L190" s="8">
        <f t="shared" si="21"/>
        <v>28932</v>
      </c>
      <c r="M190" s="7">
        <f t="shared" si="22"/>
        <v>0</v>
      </c>
      <c r="N190" s="10">
        <f t="shared" si="23"/>
        <v>1</v>
      </c>
      <c r="O190" s="11">
        <f t="shared" si="24"/>
        <v>0.199605972625468</v>
      </c>
      <c r="P190" s="11"/>
      <c r="Q190" s="8">
        <f t="shared" si="25"/>
        <v>11550.0000000001</v>
      </c>
      <c r="R190" s="12">
        <f t="shared" si="26"/>
        <v>-2.00088834390044e-11</v>
      </c>
    </row>
    <row r="191" ht="14.25" spans="1:18">
      <c r="A191" s="15">
        <v>46025</v>
      </c>
      <c r="B191" s="3">
        <f>Data_Entry!P280</f>
        <v>12149.9999999999</v>
      </c>
      <c r="C191" s="3">
        <v>0</v>
      </c>
      <c r="D191" s="4">
        <f>Data_Entry!V280</f>
        <v>4.34</v>
      </c>
      <c r="E191" s="5">
        <f t="shared" si="18"/>
        <v>0.209975114060553</v>
      </c>
      <c r="F191" s="6">
        <v>0</v>
      </c>
      <c r="G191" s="6">
        <v>0</v>
      </c>
      <c r="H191" s="7">
        <f t="shared" si="19"/>
        <v>0</v>
      </c>
      <c r="I191" s="7">
        <f t="shared" si="20"/>
        <v>0</v>
      </c>
      <c r="J191" s="8">
        <v>2411</v>
      </c>
      <c r="K191" s="9"/>
      <c r="L191" s="8">
        <f t="shared" si="21"/>
        <v>28932</v>
      </c>
      <c r="M191" s="7">
        <f t="shared" si="22"/>
        <v>0</v>
      </c>
      <c r="N191" s="10">
        <f t="shared" si="23"/>
        <v>1</v>
      </c>
      <c r="O191" s="11">
        <f t="shared" si="24"/>
        <v>0.209975114060553</v>
      </c>
      <c r="P191" s="11"/>
      <c r="Q191" s="8">
        <f t="shared" si="25"/>
        <v>12149.9999999998</v>
      </c>
      <c r="R191" s="12">
        <f t="shared" si="26"/>
        <v>-6.00266503170133e-11</v>
      </c>
    </row>
    <row r="192" ht="14.25" spans="1:18">
      <c r="A192" s="15">
        <v>46026</v>
      </c>
      <c r="B192" s="3">
        <f>Data_Entry!P281</f>
        <v>11579.9999999997</v>
      </c>
      <c r="C192" s="3">
        <v>7</v>
      </c>
      <c r="D192" s="4">
        <f>Data_Entry!V281</f>
        <v>4.1</v>
      </c>
      <c r="E192" s="5">
        <f t="shared" si="18"/>
        <v>0.200124429697216</v>
      </c>
      <c r="F192" s="6">
        <v>0.496527777777778</v>
      </c>
      <c r="G192" s="6">
        <v>0.509027777777778</v>
      </c>
      <c r="H192" s="7">
        <f t="shared" si="19"/>
        <v>17.9999999999999</v>
      </c>
      <c r="I192" s="7">
        <f t="shared" si="20"/>
        <v>0.299999999999999</v>
      </c>
      <c r="J192" s="8">
        <v>2411</v>
      </c>
      <c r="K192" s="9">
        <v>2411</v>
      </c>
      <c r="L192" s="8">
        <f t="shared" si="21"/>
        <v>28932</v>
      </c>
      <c r="M192" s="7">
        <f t="shared" si="22"/>
        <v>723.299999999997</v>
      </c>
      <c r="N192" s="10">
        <f t="shared" si="23"/>
        <v>0.975</v>
      </c>
      <c r="O192" s="11">
        <f t="shared" si="24"/>
        <v>0.205255825330478</v>
      </c>
      <c r="P192" s="18"/>
      <c r="Q192" s="8">
        <f t="shared" si="25"/>
        <v>11876.9230769228</v>
      </c>
      <c r="R192" s="12">
        <f t="shared" si="26"/>
        <v>296.923076923073</v>
      </c>
    </row>
    <row r="193" ht="14.25" spans="1:18">
      <c r="A193" s="15">
        <v>46027</v>
      </c>
      <c r="B193" s="3">
        <f>Data_Entry!P282</f>
        <v>11370.0000000006</v>
      </c>
      <c r="C193" s="3">
        <v>0</v>
      </c>
      <c r="D193" s="4">
        <f>Data_Entry!V282</f>
        <v>4.03</v>
      </c>
      <c r="E193" s="5">
        <f t="shared" si="18"/>
        <v>0.19649523019495</v>
      </c>
      <c r="F193" s="6">
        <v>0</v>
      </c>
      <c r="G193" s="6">
        <v>0</v>
      </c>
      <c r="H193" s="7">
        <f t="shared" si="19"/>
        <v>0</v>
      </c>
      <c r="I193" s="7">
        <f t="shared" si="20"/>
        <v>0</v>
      </c>
      <c r="J193" s="8">
        <v>2411</v>
      </c>
      <c r="K193" s="9"/>
      <c r="L193" s="8">
        <f t="shared" si="21"/>
        <v>28932</v>
      </c>
      <c r="M193" s="7">
        <f t="shared" si="22"/>
        <v>0</v>
      </c>
      <c r="N193" s="10">
        <f t="shared" si="23"/>
        <v>1</v>
      </c>
      <c r="O193" s="11">
        <f t="shared" si="24"/>
        <v>0.19649523019495</v>
      </c>
      <c r="P193" s="11"/>
      <c r="Q193" s="8">
        <f t="shared" si="25"/>
        <v>11370.0000000006</v>
      </c>
      <c r="R193" s="12">
        <f t="shared" si="26"/>
        <v>-1.45519152283669e-11</v>
      </c>
    </row>
    <row r="194" ht="14.25" spans="1:18">
      <c r="A194" s="15">
        <v>46028</v>
      </c>
      <c r="B194" s="3">
        <f>Data_Entry!P283</f>
        <v>10919.9999999996</v>
      </c>
      <c r="C194" s="3">
        <v>7</v>
      </c>
      <c r="D194" s="4">
        <f>Data_Entry!V283</f>
        <v>4.09</v>
      </c>
      <c r="E194" s="5">
        <f t="shared" si="18"/>
        <v>0.188718374118616</v>
      </c>
      <c r="F194" s="6">
        <v>0.616666666666667</v>
      </c>
      <c r="G194" s="6">
        <v>0.631944444444444</v>
      </c>
      <c r="H194" s="7">
        <f t="shared" si="19"/>
        <v>21.9999999999999</v>
      </c>
      <c r="I194" s="7">
        <f t="shared" si="20"/>
        <v>0.366666666666665</v>
      </c>
      <c r="J194" s="8">
        <v>2411</v>
      </c>
      <c r="K194" s="9">
        <v>2411</v>
      </c>
      <c r="L194" s="8">
        <f t="shared" si="21"/>
        <v>28932</v>
      </c>
      <c r="M194" s="7">
        <f t="shared" si="22"/>
        <v>884.03333333333</v>
      </c>
      <c r="N194" s="10">
        <f t="shared" si="23"/>
        <v>0.969444444444445</v>
      </c>
      <c r="O194" s="11">
        <f t="shared" si="24"/>
        <v>0.194666517715478</v>
      </c>
      <c r="P194" s="18"/>
      <c r="Q194" s="8">
        <f t="shared" si="25"/>
        <v>11264.1833810884</v>
      </c>
      <c r="R194" s="12">
        <f t="shared" si="26"/>
        <v>344.183381088807</v>
      </c>
    </row>
    <row r="195" ht="14.25" spans="1:18">
      <c r="A195" s="15">
        <v>46029</v>
      </c>
      <c r="B195" s="3">
        <f>Data_Entry!P284</f>
        <v>3360.00000000035</v>
      </c>
      <c r="C195" s="3">
        <v>0</v>
      </c>
      <c r="D195" s="4">
        <f>Data_Entry!V284</f>
        <v>1.3</v>
      </c>
      <c r="E195" s="5">
        <f t="shared" si="18"/>
        <v>0.0580671920365055</v>
      </c>
      <c r="F195" s="6">
        <v>0</v>
      </c>
      <c r="G195" s="6">
        <v>0</v>
      </c>
      <c r="H195" s="7">
        <f t="shared" si="19"/>
        <v>0</v>
      </c>
      <c r="I195" s="7">
        <f t="shared" si="20"/>
        <v>0</v>
      </c>
      <c r="J195" s="8">
        <v>2411</v>
      </c>
      <c r="K195" s="9"/>
      <c r="L195" s="8">
        <f t="shared" si="21"/>
        <v>28932</v>
      </c>
      <c r="M195" s="7">
        <f t="shared" si="22"/>
        <v>0</v>
      </c>
      <c r="N195" s="10">
        <f t="shared" si="23"/>
        <v>1</v>
      </c>
      <c r="O195" s="11">
        <f t="shared" si="24"/>
        <v>0.0580671920365055</v>
      </c>
      <c r="P195" s="11"/>
      <c r="Q195" s="8">
        <f t="shared" si="25"/>
        <v>3360.00000000035</v>
      </c>
      <c r="R195" s="12">
        <f t="shared" si="26"/>
        <v>3.63797880709171e-12</v>
      </c>
    </row>
    <row r="196" ht="14.25" spans="1:18">
      <c r="A196" s="15">
        <v>46030</v>
      </c>
      <c r="B196" s="3">
        <f>Data_Entry!P285</f>
        <v>10049.9999999997</v>
      </c>
      <c r="C196" s="3">
        <v>0</v>
      </c>
      <c r="D196" s="4">
        <f>Data_Entry!V285</f>
        <v>3.62</v>
      </c>
      <c r="E196" s="5">
        <f t="shared" si="18"/>
        <v>0.173683119037739</v>
      </c>
      <c r="F196" s="6">
        <v>0</v>
      </c>
      <c r="G196" s="6">
        <v>0</v>
      </c>
      <c r="H196" s="7">
        <f t="shared" si="19"/>
        <v>0</v>
      </c>
      <c r="I196" s="7">
        <f t="shared" si="20"/>
        <v>0</v>
      </c>
      <c r="J196" s="8">
        <v>2411</v>
      </c>
      <c r="K196" s="9"/>
      <c r="L196" s="8">
        <f t="shared" si="21"/>
        <v>28932</v>
      </c>
      <c r="M196" s="7">
        <f t="shared" si="22"/>
        <v>0</v>
      </c>
      <c r="N196" s="10">
        <f t="shared" si="23"/>
        <v>1</v>
      </c>
      <c r="O196" s="11">
        <f t="shared" si="24"/>
        <v>0.173683119037739</v>
      </c>
      <c r="P196" s="11"/>
      <c r="Q196" s="8">
        <f t="shared" si="25"/>
        <v>10049.9999999997</v>
      </c>
      <c r="R196" s="12">
        <f t="shared" si="26"/>
        <v>3.09228198602796e-11</v>
      </c>
    </row>
    <row r="197" ht="14.25" spans="1:18">
      <c r="A197" s="15">
        <v>46031</v>
      </c>
      <c r="B197" s="3">
        <f>Data_Entry!P286</f>
        <v>9929.99999999984</v>
      </c>
      <c r="C197" s="3">
        <v>7</v>
      </c>
      <c r="D197" s="4">
        <f>Data_Entry!V286</f>
        <v>3.76</v>
      </c>
      <c r="E197" s="5">
        <f t="shared" ref="E197:E251" si="27">B197/(24*J197)</f>
        <v>0.171609290750723</v>
      </c>
      <c r="F197" s="6">
        <v>0.489583333333333</v>
      </c>
      <c r="G197" s="6">
        <v>0.522916666666667</v>
      </c>
      <c r="H197" s="7">
        <f t="shared" ref="H197:H260" si="28">(G197-F197)*24*60</f>
        <v>48.000000000001</v>
      </c>
      <c r="I197" s="7">
        <f t="shared" ref="I197:I260" si="29">H197/60</f>
        <v>0.800000000000017</v>
      </c>
      <c r="J197" s="8">
        <v>2411</v>
      </c>
      <c r="K197" s="9">
        <v>2411</v>
      </c>
      <c r="L197" s="8">
        <f t="shared" ref="L197:L251" si="30">J197*12</f>
        <v>28932</v>
      </c>
      <c r="M197" s="7">
        <f t="shared" ref="M197:M260" si="31">K197*I197</f>
        <v>1928.80000000004</v>
      </c>
      <c r="N197" s="10">
        <f t="shared" ref="N197:N260" si="32">(L197-M197)/L197</f>
        <v>0.933333333333332</v>
      </c>
      <c r="O197" s="11">
        <f t="shared" ref="O197:O260" si="33">E197/N197</f>
        <v>0.183867097232918</v>
      </c>
      <c r="P197" s="18"/>
      <c r="Q197" s="8">
        <f t="shared" ref="Q197:Q260" si="34">O197*J197*24</f>
        <v>10639.2857142856</v>
      </c>
      <c r="R197" s="12">
        <f t="shared" ref="R197:R260" si="35">Q197-B197</f>
        <v>709.285714285721</v>
      </c>
    </row>
    <row r="198" ht="14.25" spans="1:18">
      <c r="A198" s="15">
        <v>46032</v>
      </c>
      <c r="B198" s="3">
        <f>Data_Entry!P287</f>
        <v>11580.0000000004</v>
      </c>
      <c r="C198" s="3">
        <v>0</v>
      </c>
      <c r="D198" s="4">
        <f>Data_Entry!V287</f>
        <v>4.15</v>
      </c>
      <c r="E198" s="5">
        <f t="shared" si="27"/>
        <v>0.200124429697228</v>
      </c>
      <c r="F198" s="6">
        <v>0</v>
      </c>
      <c r="G198" s="6">
        <v>0</v>
      </c>
      <c r="H198" s="7">
        <f t="shared" si="28"/>
        <v>0</v>
      </c>
      <c r="I198" s="7">
        <f t="shared" si="29"/>
        <v>0</v>
      </c>
      <c r="J198" s="8">
        <v>2411</v>
      </c>
      <c r="K198" s="9"/>
      <c r="L198" s="8">
        <f t="shared" si="30"/>
        <v>28932</v>
      </c>
      <c r="M198" s="7">
        <f t="shared" si="31"/>
        <v>0</v>
      </c>
      <c r="N198" s="10">
        <f t="shared" si="32"/>
        <v>1</v>
      </c>
      <c r="O198" s="11">
        <f t="shared" si="33"/>
        <v>0.200124429697228</v>
      </c>
      <c r="P198" s="11"/>
      <c r="Q198" s="8">
        <f t="shared" si="34"/>
        <v>11580.0000000004</v>
      </c>
      <c r="R198" s="12">
        <f t="shared" si="35"/>
        <v>0</v>
      </c>
    </row>
    <row r="199" ht="14.25" spans="1:18">
      <c r="A199" s="15">
        <v>46033</v>
      </c>
      <c r="B199" s="3">
        <f>Data_Entry!P288</f>
        <v>11369.9999999999</v>
      </c>
      <c r="C199" s="3">
        <v>0</v>
      </c>
      <c r="D199" s="4">
        <f>Data_Entry!V288</f>
        <v>4.2</v>
      </c>
      <c r="E199" s="5">
        <f t="shared" si="27"/>
        <v>0.196495230194938</v>
      </c>
      <c r="F199" s="6">
        <v>0</v>
      </c>
      <c r="G199" s="6">
        <v>0</v>
      </c>
      <c r="H199" s="7">
        <f t="shared" si="28"/>
        <v>0</v>
      </c>
      <c r="I199" s="7">
        <f t="shared" si="29"/>
        <v>0</v>
      </c>
      <c r="J199" s="8">
        <v>2411</v>
      </c>
      <c r="K199" s="9"/>
      <c r="L199" s="8">
        <f t="shared" si="30"/>
        <v>28932</v>
      </c>
      <c r="M199" s="7">
        <f t="shared" si="31"/>
        <v>0</v>
      </c>
      <c r="N199" s="10">
        <f t="shared" si="32"/>
        <v>1</v>
      </c>
      <c r="O199" s="11">
        <f t="shared" si="33"/>
        <v>0.196495230194938</v>
      </c>
      <c r="P199" s="11"/>
      <c r="Q199" s="8">
        <f t="shared" si="34"/>
        <v>11369.9999999999</v>
      </c>
      <c r="R199" s="12">
        <f t="shared" si="35"/>
        <v>0</v>
      </c>
    </row>
    <row r="200" ht="14.25" spans="1:18">
      <c r="A200" s="15">
        <v>46034</v>
      </c>
      <c r="B200" s="3">
        <f>Data_Entry!P289</f>
        <v>11070.0000000002</v>
      </c>
      <c r="C200" s="3">
        <v>0</v>
      </c>
      <c r="D200" s="4">
        <f>Data_Entry!V289</f>
        <v>3.39</v>
      </c>
      <c r="E200" s="5">
        <f t="shared" si="27"/>
        <v>0.191310659477398</v>
      </c>
      <c r="F200" s="6">
        <v>0</v>
      </c>
      <c r="G200" s="6">
        <v>0</v>
      </c>
      <c r="H200" s="7">
        <f t="shared" si="28"/>
        <v>0</v>
      </c>
      <c r="I200" s="7">
        <f t="shared" si="29"/>
        <v>0</v>
      </c>
      <c r="J200" s="8">
        <v>2411</v>
      </c>
      <c r="K200" s="9"/>
      <c r="L200" s="8">
        <f t="shared" si="30"/>
        <v>28932</v>
      </c>
      <c r="M200" s="7">
        <f t="shared" si="31"/>
        <v>0</v>
      </c>
      <c r="N200" s="10">
        <f t="shared" si="32"/>
        <v>1</v>
      </c>
      <c r="O200" s="11">
        <f t="shared" si="33"/>
        <v>0.191310659477398</v>
      </c>
      <c r="P200" s="11"/>
      <c r="Q200" s="8">
        <f t="shared" si="34"/>
        <v>11070.0000000002</v>
      </c>
      <c r="R200" s="12">
        <f t="shared" si="35"/>
        <v>0</v>
      </c>
    </row>
    <row r="201" ht="14.25" spans="1:18">
      <c r="A201" s="15">
        <v>46035</v>
      </c>
      <c r="B201" s="3">
        <f>Data_Entry!P290</f>
        <v>11190.0000000001</v>
      </c>
      <c r="C201" s="3">
        <v>0</v>
      </c>
      <c r="D201" s="4">
        <f>Data_Entry!V290</f>
        <v>3.96</v>
      </c>
      <c r="E201" s="5">
        <f t="shared" si="27"/>
        <v>0.193384487764414</v>
      </c>
      <c r="F201" s="6">
        <v>0</v>
      </c>
      <c r="G201" s="6">
        <v>0</v>
      </c>
      <c r="H201" s="7">
        <f t="shared" si="28"/>
        <v>0</v>
      </c>
      <c r="I201" s="7">
        <f t="shared" si="29"/>
        <v>0</v>
      </c>
      <c r="J201" s="8">
        <v>2411</v>
      </c>
      <c r="K201" s="9"/>
      <c r="L201" s="8">
        <f t="shared" si="30"/>
        <v>28932</v>
      </c>
      <c r="M201" s="7">
        <f t="shared" si="31"/>
        <v>0</v>
      </c>
      <c r="N201" s="10">
        <f t="shared" si="32"/>
        <v>1</v>
      </c>
      <c r="O201" s="11">
        <f t="shared" si="33"/>
        <v>0.193384487764414</v>
      </c>
      <c r="P201" s="11"/>
      <c r="Q201" s="8">
        <f t="shared" si="34"/>
        <v>11190.0000000001</v>
      </c>
      <c r="R201" s="12">
        <f t="shared" si="35"/>
        <v>0</v>
      </c>
    </row>
    <row r="202" ht="14.25" spans="1:18">
      <c r="A202" s="15">
        <v>46036</v>
      </c>
      <c r="B202" s="3">
        <f>Data_Entry!P291</f>
        <v>12750</v>
      </c>
      <c r="C202" s="3">
        <v>0</v>
      </c>
      <c r="D202" s="4">
        <f>Data_Entry!V291</f>
        <v>4.5</v>
      </c>
      <c r="E202" s="5">
        <f t="shared" si="27"/>
        <v>0.220344255495645</v>
      </c>
      <c r="F202" s="6">
        <v>0</v>
      </c>
      <c r="G202" s="6">
        <v>0</v>
      </c>
      <c r="H202" s="7">
        <f t="shared" si="28"/>
        <v>0</v>
      </c>
      <c r="I202" s="7">
        <f t="shared" si="29"/>
        <v>0</v>
      </c>
      <c r="J202" s="8">
        <v>2411</v>
      </c>
      <c r="K202" s="9"/>
      <c r="L202" s="8">
        <f t="shared" si="30"/>
        <v>28932</v>
      </c>
      <c r="M202" s="7">
        <f t="shared" si="31"/>
        <v>0</v>
      </c>
      <c r="N202" s="10">
        <f t="shared" si="32"/>
        <v>1</v>
      </c>
      <c r="O202" s="11">
        <f t="shared" si="33"/>
        <v>0.220344255495645</v>
      </c>
      <c r="P202" s="11"/>
      <c r="Q202" s="8">
        <f t="shared" si="34"/>
        <v>12750</v>
      </c>
      <c r="R202" s="12">
        <f t="shared" si="35"/>
        <v>0</v>
      </c>
    </row>
    <row r="203" ht="14.25" spans="1:18">
      <c r="A203" s="15">
        <v>46037</v>
      </c>
      <c r="B203" s="3">
        <f>Data_Entry!P292</f>
        <v>12959.9999999998</v>
      </c>
      <c r="C203" s="3">
        <v>0</v>
      </c>
      <c r="D203" s="4">
        <f>Data_Entry!V292</f>
        <v>4.62</v>
      </c>
      <c r="E203" s="5">
        <f t="shared" si="27"/>
        <v>0.223973454997923</v>
      </c>
      <c r="F203" s="6">
        <v>0</v>
      </c>
      <c r="G203" s="6">
        <v>0</v>
      </c>
      <c r="H203" s="7">
        <f t="shared" si="28"/>
        <v>0</v>
      </c>
      <c r="I203" s="7">
        <f t="shared" si="29"/>
        <v>0</v>
      </c>
      <c r="J203" s="8">
        <v>2411</v>
      </c>
      <c r="K203" s="9"/>
      <c r="L203" s="8">
        <f t="shared" si="30"/>
        <v>28932</v>
      </c>
      <c r="M203" s="7">
        <f t="shared" si="31"/>
        <v>0</v>
      </c>
      <c r="N203" s="10">
        <f t="shared" si="32"/>
        <v>1</v>
      </c>
      <c r="O203" s="11">
        <f t="shared" si="33"/>
        <v>0.223973454997923</v>
      </c>
      <c r="P203" s="11"/>
      <c r="Q203" s="8">
        <f t="shared" si="34"/>
        <v>12959.9999999998</v>
      </c>
      <c r="R203" s="12">
        <f t="shared" si="35"/>
        <v>0</v>
      </c>
    </row>
    <row r="204" ht="14.25" spans="1:18">
      <c r="A204" s="15">
        <v>46038</v>
      </c>
      <c r="B204" s="3">
        <f>Data_Entry!P293</f>
        <v>11940.0000000001</v>
      </c>
      <c r="C204" s="3">
        <v>0</v>
      </c>
      <c r="D204" s="4">
        <f>Data_Entry!V293</f>
        <v>4.29</v>
      </c>
      <c r="E204" s="5">
        <f t="shared" si="27"/>
        <v>0.206345914558276</v>
      </c>
      <c r="F204" s="6">
        <v>0</v>
      </c>
      <c r="G204" s="6">
        <v>0</v>
      </c>
      <c r="H204" s="7">
        <f t="shared" si="28"/>
        <v>0</v>
      </c>
      <c r="I204" s="7">
        <f t="shared" si="29"/>
        <v>0</v>
      </c>
      <c r="J204" s="8">
        <v>2411</v>
      </c>
      <c r="K204" s="9"/>
      <c r="L204" s="8">
        <f t="shared" si="30"/>
        <v>28932</v>
      </c>
      <c r="M204" s="7">
        <f t="shared" si="31"/>
        <v>0</v>
      </c>
      <c r="N204" s="10">
        <f t="shared" si="32"/>
        <v>1</v>
      </c>
      <c r="O204" s="11">
        <f t="shared" si="33"/>
        <v>0.206345914558276</v>
      </c>
      <c r="P204" s="11"/>
      <c r="Q204" s="8">
        <f t="shared" si="34"/>
        <v>11940.0000000001</v>
      </c>
      <c r="R204" s="12">
        <f t="shared" si="35"/>
        <v>0</v>
      </c>
    </row>
    <row r="205" ht="14.25" spans="1:18">
      <c r="A205" s="15">
        <v>46039</v>
      </c>
      <c r="B205" s="3">
        <f>Data_Entry!P294</f>
        <v>11940.0000000001</v>
      </c>
      <c r="C205" s="3">
        <v>0</v>
      </c>
      <c r="D205" s="4">
        <f>Data_Entry!V294</f>
        <v>4.14</v>
      </c>
      <c r="E205" s="5">
        <f t="shared" si="27"/>
        <v>0.206345914558276</v>
      </c>
      <c r="F205" s="6">
        <v>0</v>
      </c>
      <c r="G205" s="6">
        <v>0</v>
      </c>
      <c r="H205" s="7">
        <f t="shared" si="28"/>
        <v>0</v>
      </c>
      <c r="I205" s="7">
        <f t="shared" si="29"/>
        <v>0</v>
      </c>
      <c r="J205" s="8">
        <v>2411</v>
      </c>
      <c r="K205" s="9"/>
      <c r="L205" s="8">
        <f t="shared" si="30"/>
        <v>28932</v>
      </c>
      <c r="M205" s="7">
        <f t="shared" si="31"/>
        <v>0</v>
      </c>
      <c r="N205" s="10">
        <f t="shared" si="32"/>
        <v>1</v>
      </c>
      <c r="O205" s="11">
        <f t="shared" si="33"/>
        <v>0.206345914558276</v>
      </c>
      <c r="P205" s="11"/>
      <c r="Q205" s="8">
        <f t="shared" si="34"/>
        <v>11940.0000000001</v>
      </c>
      <c r="R205" s="12">
        <f t="shared" si="35"/>
        <v>0</v>
      </c>
    </row>
    <row r="206" ht="14.25" spans="1:18">
      <c r="A206" s="15">
        <v>46040</v>
      </c>
      <c r="B206" s="3">
        <f>Data_Entry!P295</f>
        <v>11220</v>
      </c>
      <c r="C206" s="3">
        <v>0</v>
      </c>
      <c r="D206" s="4">
        <f>Data_Entry!V295</f>
        <v>3.66</v>
      </c>
      <c r="E206" s="5">
        <f t="shared" si="27"/>
        <v>0.193902944836168</v>
      </c>
      <c r="F206" s="6">
        <v>0</v>
      </c>
      <c r="G206" s="6">
        <v>0</v>
      </c>
      <c r="H206" s="7">
        <f t="shared" si="28"/>
        <v>0</v>
      </c>
      <c r="I206" s="7">
        <f t="shared" si="29"/>
        <v>0</v>
      </c>
      <c r="J206" s="8">
        <v>2411</v>
      </c>
      <c r="K206" s="9"/>
      <c r="L206" s="8">
        <f t="shared" si="30"/>
        <v>28932</v>
      </c>
      <c r="M206" s="7">
        <f t="shared" si="31"/>
        <v>0</v>
      </c>
      <c r="N206" s="10">
        <f t="shared" si="32"/>
        <v>1</v>
      </c>
      <c r="O206" s="11">
        <f t="shared" si="33"/>
        <v>0.193902944836168</v>
      </c>
      <c r="P206" s="11"/>
      <c r="Q206" s="8">
        <f t="shared" si="34"/>
        <v>11220</v>
      </c>
      <c r="R206" s="12">
        <f t="shared" si="35"/>
        <v>0</v>
      </c>
    </row>
    <row r="207" ht="14.25" spans="1:18">
      <c r="A207" s="15">
        <v>46041</v>
      </c>
      <c r="B207" s="3">
        <f>Data_Entry!P296</f>
        <v>12720</v>
      </c>
      <c r="C207" s="3">
        <v>0</v>
      </c>
      <c r="D207" s="4">
        <f>Data_Entry!V296</f>
        <v>4.51</v>
      </c>
      <c r="E207" s="5">
        <f t="shared" si="27"/>
        <v>0.219825798423891</v>
      </c>
      <c r="F207" s="6">
        <v>0</v>
      </c>
      <c r="G207" s="6">
        <v>0</v>
      </c>
      <c r="H207" s="7">
        <f t="shared" si="28"/>
        <v>0</v>
      </c>
      <c r="I207" s="7">
        <f t="shared" si="29"/>
        <v>0</v>
      </c>
      <c r="J207" s="8">
        <v>2411</v>
      </c>
      <c r="K207" s="9"/>
      <c r="L207" s="8">
        <f t="shared" si="30"/>
        <v>28932</v>
      </c>
      <c r="M207" s="7">
        <f t="shared" si="31"/>
        <v>0</v>
      </c>
      <c r="N207" s="10">
        <f t="shared" si="32"/>
        <v>1</v>
      </c>
      <c r="O207" s="11">
        <f t="shared" si="33"/>
        <v>0.219825798423891</v>
      </c>
      <c r="P207" s="11"/>
      <c r="Q207" s="8">
        <f t="shared" si="34"/>
        <v>12720</v>
      </c>
      <c r="R207" s="12">
        <f t="shared" si="35"/>
        <v>0</v>
      </c>
    </row>
    <row r="208" ht="14.25" spans="1:18">
      <c r="A208" s="15">
        <v>46042</v>
      </c>
      <c r="B208" s="3">
        <f>Data_Entry!P297</f>
        <v>12030</v>
      </c>
      <c r="C208" s="3">
        <v>0</v>
      </c>
      <c r="D208" s="4">
        <f>Data_Entry!V297</f>
        <v>4.26</v>
      </c>
      <c r="E208" s="5">
        <f t="shared" si="27"/>
        <v>0.207901285773537</v>
      </c>
      <c r="F208" s="6">
        <v>0</v>
      </c>
      <c r="G208" s="6">
        <v>0</v>
      </c>
      <c r="H208" s="7">
        <f t="shared" si="28"/>
        <v>0</v>
      </c>
      <c r="I208" s="7">
        <f t="shared" si="29"/>
        <v>0</v>
      </c>
      <c r="J208" s="8">
        <v>2411</v>
      </c>
      <c r="K208" s="9"/>
      <c r="L208" s="8">
        <f t="shared" si="30"/>
        <v>28932</v>
      </c>
      <c r="M208" s="7">
        <f t="shared" si="31"/>
        <v>0</v>
      </c>
      <c r="N208" s="10">
        <f t="shared" si="32"/>
        <v>1</v>
      </c>
      <c r="O208" s="11">
        <f t="shared" si="33"/>
        <v>0.207901285773537</v>
      </c>
      <c r="P208" s="11"/>
      <c r="Q208" s="8">
        <f t="shared" si="34"/>
        <v>12030</v>
      </c>
      <c r="R208" s="12">
        <f t="shared" si="35"/>
        <v>0</v>
      </c>
    </row>
    <row r="209" ht="14.25" spans="1:18">
      <c r="A209" s="15">
        <v>46043</v>
      </c>
      <c r="B209" s="3">
        <f>Data_Entry!P298</f>
        <v>10319.9999999995</v>
      </c>
      <c r="C209" s="3">
        <v>7</v>
      </c>
      <c r="D209" s="4">
        <f>Data_Entry!V298</f>
        <v>3.77</v>
      </c>
      <c r="E209" s="5">
        <f t="shared" si="27"/>
        <v>0.178349232683525</v>
      </c>
      <c r="F209" s="6">
        <v>0.677083333333333</v>
      </c>
      <c r="G209" s="6">
        <v>0.791666666666667</v>
      </c>
      <c r="H209" s="7">
        <f t="shared" si="28"/>
        <v>165.000000000001</v>
      </c>
      <c r="I209" s="7">
        <f t="shared" si="29"/>
        <v>2.75000000000001</v>
      </c>
      <c r="J209" s="8">
        <v>2411</v>
      </c>
      <c r="K209" s="9">
        <v>2411</v>
      </c>
      <c r="L209" s="8">
        <f t="shared" si="30"/>
        <v>28932</v>
      </c>
      <c r="M209" s="7">
        <f t="shared" si="31"/>
        <v>6630.25000000003</v>
      </c>
      <c r="N209" s="10">
        <f t="shared" si="32"/>
        <v>0.770833333333332</v>
      </c>
      <c r="O209" s="11">
        <f t="shared" si="33"/>
        <v>0.231371977535384</v>
      </c>
      <c r="P209" s="18"/>
      <c r="Q209" s="8">
        <f t="shared" si="34"/>
        <v>13388.1081081075</v>
      </c>
      <c r="R209" s="12">
        <f t="shared" si="35"/>
        <v>3068.10810810798</v>
      </c>
    </row>
    <row r="210" ht="14.25" spans="1:18">
      <c r="A210" s="15">
        <v>46044</v>
      </c>
      <c r="B210" s="3">
        <f>Data_Entry!P299</f>
        <v>10559.9999999999</v>
      </c>
      <c r="C210" s="3">
        <v>0</v>
      </c>
      <c r="D210" s="4">
        <f>Data_Entry!V299</f>
        <v>3.81</v>
      </c>
      <c r="E210" s="5">
        <f t="shared" si="27"/>
        <v>0.182496889257569</v>
      </c>
      <c r="F210" s="6">
        <v>0</v>
      </c>
      <c r="G210" s="6">
        <v>0</v>
      </c>
      <c r="H210" s="7">
        <f t="shared" si="28"/>
        <v>0</v>
      </c>
      <c r="I210" s="7">
        <f t="shared" si="29"/>
        <v>0</v>
      </c>
      <c r="J210" s="8">
        <v>2411</v>
      </c>
      <c r="K210" s="9"/>
      <c r="L210" s="8">
        <f t="shared" si="30"/>
        <v>28932</v>
      </c>
      <c r="M210" s="7">
        <f t="shared" si="31"/>
        <v>0</v>
      </c>
      <c r="N210" s="10">
        <f t="shared" si="32"/>
        <v>1</v>
      </c>
      <c r="O210" s="11">
        <f t="shared" si="33"/>
        <v>0.182496889257569</v>
      </c>
      <c r="P210" s="11"/>
      <c r="Q210" s="8">
        <f t="shared" si="34"/>
        <v>10559.9999999999</v>
      </c>
      <c r="R210" s="12">
        <f t="shared" si="35"/>
        <v>0</v>
      </c>
    </row>
    <row r="211" ht="14.25" spans="1:18">
      <c r="A211" s="15">
        <v>46045</v>
      </c>
      <c r="B211" s="3">
        <f>Data_Entry!P300</f>
        <v>9510.00000000022</v>
      </c>
      <c r="C211" s="3">
        <v>0</v>
      </c>
      <c r="D211" s="4">
        <f>Data_Entry!V300</f>
        <v>3.29</v>
      </c>
      <c r="E211" s="5">
        <f t="shared" si="27"/>
        <v>0.164350891746167</v>
      </c>
      <c r="F211" s="6">
        <v>0</v>
      </c>
      <c r="G211" s="6">
        <v>0</v>
      </c>
      <c r="H211" s="7">
        <f t="shared" si="28"/>
        <v>0</v>
      </c>
      <c r="I211" s="7">
        <f t="shared" si="29"/>
        <v>0</v>
      </c>
      <c r="J211" s="8">
        <v>2411</v>
      </c>
      <c r="K211" s="9"/>
      <c r="L211" s="8">
        <f t="shared" si="30"/>
        <v>28932</v>
      </c>
      <c r="M211" s="7">
        <f t="shared" si="31"/>
        <v>0</v>
      </c>
      <c r="N211" s="10">
        <f t="shared" si="32"/>
        <v>1</v>
      </c>
      <c r="O211" s="11">
        <f t="shared" si="33"/>
        <v>0.164350891746167</v>
      </c>
      <c r="P211" s="11"/>
      <c r="Q211" s="8">
        <f t="shared" si="34"/>
        <v>9510.00000000022</v>
      </c>
      <c r="R211" s="12">
        <f t="shared" si="35"/>
        <v>0</v>
      </c>
    </row>
    <row r="212" ht="14.25" spans="1:18">
      <c r="A212" s="15">
        <v>46046</v>
      </c>
      <c r="B212" s="3">
        <f>Data_Entry!P301</f>
        <v>11519.9999999998</v>
      </c>
      <c r="C212" s="3">
        <v>0</v>
      </c>
      <c r="D212" s="4">
        <f>Data_Entry!V301</f>
        <v>3.82</v>
      </c>
      <c r="E212" s="5">
        <f t="shared" si="27"/>
        <v>0.199087515553708</v>
      </c>
      <c r="F212" s="6">
        <v>0</v>
      </c>
      <c r="G212" s="6">
        <v>0</v>
      </c>
      <c r="H212" s="7">
        <f t="shared" si="28"/>
        <v>0</v>
      </c>
      <c r="I212" s="7">
        <f t="shared" si="29"/>
        <v>0</v>
      </c>
      <c r="J212" s="8">
        <v>2411</v>
      </c>
      <c r="K212" s="9"/>
      <c r="L212" s="8">
        <f t="shared" si="30"/>
        <v>28932</v>
      </c>
      <c r="M212" s="7">
        <f t="shared" si="31"/>
        <v>0</v>
      </c>
      <c r="N212" s="10">
        <f t="shared" si="32"/>
        <v>1</v>
      </c>
      <c r="O212" s="11">
        <f t="shared" si="33"/>
        <v>0.199087515553708</v>
      </c>
      <c r="P212" s="11"/>
      <c r="Q212" s="8">
        <f t="shared" si="34"/>
        <v>11519.9999999998</v>
      </c>
      <c r="R212" s="12">
        <f t="shared" si="35"/>
        <v>0</v>
      </c>
    </row>
    <row r="213" ht="14.25" spans="1:18">
      <c r="A213" s="15">
        <v>46047</v>
      </c>
      <c r="B213" s="3">
        <f>Data_Entry!P302</f>
        <v>11520.0000000004</v>
      </c>
      <c r="C213" s="3">
        <v>0</v>
      </c>
      <c r="D213" s="4">
        <f>Data_Entry!V302</f>
        <v>3.64</v>
      </c>
      <c r="E213" s="5">
        <f t="shared" si="27"/>
        <v>0.19908751555372</v>
      </c>
      <c r="F213" s="6">
        <v>0</v>
      </c>
      <c r="G213" s="6">
        <v>0</v>
      </c>
      <c r="H213" s="7">
        <f t="shared" si="28"/>
        <v>0</v>
      </c>
      <c r="I213" s="7">
        <f t="shared" si="29"/>
        <v>0</v>
      </c>
      <c r="J213" s="8">
        <v>2411</v>
      </c>
      <c r="K213" s="9"/>
      <c r="L213" s="8">
        <f t="shared" si="30"/>
        <v>28932</v>
      </c>
      <c r="M213" s="7">
        <f t="shared" si="31"/>
        <v>0</v>
      </c>
      <c r="N213" s="10">
        <f t="shared" si="32"/>
        <v>1</v>
      </c>
      <c r="O213" s="11">
        <f t="shared" si="33"/>
        <v>0.19908751555372</v>
      </c>
      <c r="P213" s="11"/>
      <c r="Q213" s="8">
        <f t="shared" si="34"/>
        <v>11520.0000000004</v>
      </c>
      <c r="R213" s="12">
        <f t="shared" si="35"/>
        <v>0</v>
      </c>
    </row>
    <row r="214" ht="14.25" spans="1:18">
      <c r="A214" s="15">
        <v>46048</v>
      </c>
      <c r="B214" s="3">
        <f>Data_Entry!P303</f>
        <v>11220</v>
      </c>
      <c r="C214" s="3">
        <v>0</v>
      </c>
      <c r="D214" s="4">
        <f>Data_Entry!V303</f>
        <v>4.03</v>
      </c>
      <c r="E214" s="5">
        <f t="shared" si="27"/>
        <v>0.193902944836168</v>
      </c>
      <c r="F214" s="6">
        <v>0</v>
      </c>
      <c r="G214" s="6">
        <v>0</v>
      </c>
      <c r="H214" s="7">
        <f t="shared" si="28"/>
        <v>0</v>
      </c>
      <c r="I214" s="7">
        <f t="shared" si="29"/>
        <v>0</v>
      </c>
      <c r="J214" s="8">
        <v>2411</v>
      </c>
      <c r="K214" s="9"/>
      <c r="L214" s="8">
        <f t="shared" si="30"/>
        <v>28932</v>
      </c>
      <c r="M214" s="7">
        <f t="shared" si="31"/>
        <v>0</v>
      </c>
      <c r="N214" s="10">
        <f t="shared" si="32"/>
        <v>1</v>
      </c>
      <c r="O214" s="11">
        <f t="shared" si="33"/>
        <v>0.193902944836168</v>
      </c>
      <c r="P214" s="11"/>
      <c r="Q214" s="8">
        <f t="shared" si="34"/>
        <v>11220</v>
      </c>
      <c r="R214" s="12">
        <f t="shared" si="35"/>
        <v>0</v>
      </c>
    </row>
    <row r="215" ht="14.25" spans="1:18">
      <c r="A215" s="15">
        <v>46049</v>
      </c>
      <c r="B215" s="3">
        <f>Data_Entry!P304</f>
        <v>12389.9999999996</v>
      </c>
      <c r="C215" s="3">
        <v>0</v>
      </c>
      <c r="D215" s="4">
        <f>Data_Entry!V304</f>
        <v>4.37</v>
      </c>
      <c r="E215" s="5">
        <f t="shared" si="27"/>
        <v>0.214122770634585</v>
      </c>
      <c r="F215" s="6">
        <v>0</v>
      </c>
      <c r="G215" s="6">
        <v>0</v>
      </c>
      <c r="H215" s="7">
        <f t="shared" si="28"/>
        <v>0</v>
      </c>
      <c r="I215" s="7">
        <f t="shared" si="29"/>
        <v>0</v>
      </c>
      <c r="J215" s="8">
        <v>2411</v>
      </c>
      <c r="K215" s="9"/>
      <c r="L215" s="8">
        <f t="shared" si="30"/>
        <v>28932</v>
      </c>
      <c r="M215" s="7">
        <f t="shared" si="31"/>
        <v>0</v>
      </c>
      <c r="N215" s="10">
        <f t="shared" si="32"/>
        <v>1</v>
      </c>
      <c r="O215" s="11">
        <f t="shared" si="33"/>
        <v>0.214122770634585</v>
      </c>
      <c r="P215" s="11"/>
      <c r="Q215" s="8">
        <f t="shared" si="34"/>
        <v>12389.9999999996</v>
      </c>
      <c r="R215" s="12">
        <f t="shared" si="35"/>
        <v>0</v>
      </c>
    </row>
    <row r="216" ht="14.25" spans="1:18">
      <c r="A216" s="15">
        <v>46050</v>
      </c>
      <c r="B216" s="3">
        <f>Data_Entry!P305</f>
        <v>13230.0000000002</v>
      </c>
      <c r="C216" s="3">
        <v>0</v>
      </c>
      <c r="D216" s="4">
        <f>Data_Entry!V305</f>
        <v>4.7</v>
      </c>
      <c r="E216" s="5">
        <f t="shared" si="27"/>
        <v>0.228639568643721</v>
      </c>
      <c r="F216" s="6">
        <v>0.534722222222222</v>
      </c>
      <c r="G216" s="6">
        <v>0.611111111111111</v>
      </c>
      <c r="H216" s="7">
        <f t="shared" si="28"/>
        <v>110</v>
      </c>
      <c r="I216" s="7">
        <f t="shared" si="29"/>
        <v>1.83333333333334</v>
      </c>
      <c r="J216" s="8">
        <v>2411</v>
      </c>
      <c r="K216" s="9">
        <v>152.3</v>
      </c>
      <c r="L216" s="8">
        <f t="shared" si="30"/>
        <v>28932</v>
      </c>
      <c r="M216" s="7">
        <f t="shared" si="31"/>
        <v>279.216666666667</v>
      </c>
      <c r="N216" s="10">
        <f t="shared" si="32"/>
        <v>0.990349209640997</v>
      </c>
      <c r="O216" s="11">
        <f t="shared" si="33"/>
        <v>0.230867623680543</v>
      </c>
      <c r="P216" s="11" t="s">
        <v>277</v>
      </c>
      <c r="Q216" s="8">
        <f t="shared" si="34"/>
        <v>13358.9241766509</v>
      </c>
      <c r="R216" s="12">
        <f t="shared" si="35"/>
        <v>128.924176650669</v>
      </c>
    </row>
    <row r="217" ht="14.25" spans="1:18">
      <c r="A217" s="15">
        <v>46051</v>
      </c>
      <c r="B217" s="3">
        <f>Data_Entry!P306</f>
        <v>12480.0000000002</v>
      </c>
      <c r="C217" s="3">
        <v>0</v>
      </c>
      <c r="D217" s="4">
        <f>Data_Entry!V306</f>
        <v>4.32</v>
      </c>
      <c r="E217" s="5">
        <f t="shared" si="27"/>
        <v>0.215678141849859</v>
      </c>
      <c r="F217" s="6">
        <v>0</v>
      </c>
      <c r="G217" s="6">
        <v>0</v>
      </c>
      <c r="H217" s="7">
        <f t="shared" si="28"/>
        <v>0</v>
      </c>
      <c r="I217" s="7">
        <f t="shared" si="29"/>
        <v>0</v>
      </c>
      <c r="J217" s="8">
        <v>2411</v>
      </c>
      <c r="K217" s="9"/>
      <c r="L217" s="8">
        <f t="shared" si="30"/>
        <v>28932</v>
      </c>
      <c r="M217" s="7">
        <f t="shared" si="31"/>
        <v>0</v>
      </c>
      <c r="N217" s="10">
        <f t="shared" si="32"/>
        <v>1</v>
      </c>
      <c r="O217" s="11">
        <f t="shared" si="33"/>
        <v>0.215678141849859</v>
      </c>
      <c r="P217" s="11"/>
      <c r="Q217" s="8">
        <f t="shared" si="34"/>
        <v>12480.0000000002</v>
      </c>
      <c r="R217" s="12">
        <f t="shared" si="35"/>
        <v>0</v>
      </c>
    </row>
    <row r="218" ht="14.25" spans="1:18">
      <c r="A218" s="15">
        <v>46052</v>
      </c>
      <c r="B218" s="3">
        <f>Data_Entry!P307</f>
        <v>9149.99999999986</v>
      </c>
      <c r="C218" s="3">
        <v>0</v>
      </c>
      <c r="D218" s="4">
        <f>Data_Entry!V307</f>
        <v>3.11</v>
      </c>
      <c r="E218" s="5">
        <f t="shared" si="27"/>
        <v>0.158129406885108</v>
      </c>
      <c r="F218" s="6">
        <v>0</v>
      </c>
      <c r="G218" s="6">
        <v>0</v>
      </c>
      <c r="H218" s="7">
        <f t="shared" si="28"/>
        <v>0</v>
      </c>
      <c r="I218" s="7">
        <f t="shared" si="29"/>
        <v>0</v>
      </c>
      <c r="J218" s="8">
        <v>2411</v>
      </c>
      <c r="K218" s="9"/>
      <c r="L218" s="8">
        <f t="shared" si="30"/>
        <v>28932</v>
      </c>
      <c r="M218" s="7">
        <f t="shared" si="31"/>
        <v>0</v>
      </c>
      <c r="N218" s="10">
        <f t="shared" si="32"/>
        <v>1</v>
      </c>
      <c r="O218" s="11">
        <f t="shared" si="33"/>
        <v>0.158129406885108</v>
      </c>
      <c r="P218" s="11"/>
      <c r="Q218" s="8">
        <f t="shared" si="34"/>
        <v>9149.99999999986</v>
      </c>
      <c r="R218" s="12">
        <f t="shared" si="35"/>
        <v>0</v>
      </c>
    </row>
    <row r="219" ht="14.25" spans="1:18">
      <c r="A219" s="15">
        <v>46053</v>
      </c>
      <c r="B219" s="3">
        <f>Data_Entry!P308</f>
        <v>8880.00000000011</v>
      </c>
      <c r="C219" s="3">
        <v>0</v>
      </c>
      <c r="D219" s="4">
        <f>Data_Entry!V308</f>
        <v>3.36</v>
      </c>
      <c r="E219" s="5">
        <f t="shared" si="27"/>
        <v>0.153463293239322</v>
      </c>
      <c r="F219" s="6">
        <v>0</v>
      </c>
      <c r="G219" s="6">
        <v>0</v>
      </c>
      <c r="H219" s="7">
        <f t="shared" si="28"/>
        <v>0</v>
      </c>
      <c r="I219" s="7">
        <f t="shared" si="29"/>
        <v>0</v>
      </c>
      <c r="J219" s="8">
        <v>2411</v>
      </c>
      <c r="K219" s="9"/>
      <c r="L219" s="8">
        <f t="shared" si="30"/>
        <v>28932</v>
      </c>
      <c r="M219" s="7">
        <f t="shared" si="31"/>
        <v>0</v>
      </c>
      <c r="N219" s="10">
        <f t="shared" si="32"/>
        <v>1</v>
      </c>
      <c r="O219" s="11">
        <f t="shared" si="33"/>
        <v>0.153463293239322</v>
      </c>
      <c r="P219" s="11"/>
      <c r="Q219" s="8">
        <f t="shared" si="34"/>
        <v>8880.00000000011</v>
      </c>
      <c r="R219" s="12">
        <f t="shared" si="35"/>
        <v>0</v>
      </c>
    </row>
    <row r="220" ht="14.25" spans="1:18">
      <c r="A220" s="15">
        <v>46054</v>
      </c>
      <c r="B220" s="3">
        <f>Data_Entry!P309</f>
        <v>9449.99999999959</v>
      </c>
      <c r="C220" s="3">
        <v>0</v>
      </c>
      <c r="D220" s="4">
        <f>Data_Entry!V309</f>
        <v>3.43</v>
      </c>
      <c r="E220" s="5">
        <f t="shared" si="27"/>
        <v>0.163313977602647</v>
      </c>
      <c r="F220" s="6">
        <v>0</v>
      </c>
      <c r="G220" s="6">
        <v>0</v>
      </c>
      <c r="H220" s="7">
        <f t="shared" si="28"/>
        <v>0</v>
      </c>
      <c r="I220" s="7">
        <f t="shared" si="29"/>
        <v>0</v>
      </c>
      <c r="J220" s="8">
        <v>2411</v>
      </c>
      <c r="K220" s="9"/>
      <c r="L220" s="8">
        <f t="shared" si="30"/>
        <v>28932</v>
      </c>
      <c r="M220" s="7">
        <f t="shared" si="31"/>
        <v>0</v>
      </c>
      <c r="N220" s="10">
        <f t="shared" si="32"/>
        <v>1</v>
      </c>
      <c r="O220" s="11">
        <f t="shared" si="33"/>
        <v>0.163313977602647</v>
      </c>
      <c r="P220" s="11"/>
      <c r="Q220" s="8">
        <f t="shared" si="34"/>
        <v>9449.99999999959</v>
      </c>
      <c r="R220" s="12">
        <f t="shared" si="35"/>
        <v>0</v>
      </c>
    </row>
    <row r="221" ht="14.25" spans="1:18">
      <c r="A221" s="15">
        <v>46055</v>
      </c>
      <c r="B221" s="3">
        <f>Data_Entry!P310</f>
        <v>9420.0000000003</v>
      </c>
      <c r="C221" s="3">
        <v>0</v>
      </c>
      <c r="D221" s="4">
        <f>Data_Entry!V310</f>
        <v>3.46</v>
      </c>
      <c r="E221" s="5">
        <f t="shared" si="27"/>
        <v>0.162795520530905</v>
      </c>
      <c r="F221" s="6">
        <v>0</v>
      </c>
      <c r="G221" s="6">
        <v>0</v>
      </c>
      <c r="H221" s="7">
        <f t="shared" si="28"/>
        <v>0</v>
      </c>
      <c r="I221" s="7">
        <f t="shared" si="29"/>
        <v>0</v>
      </c>
      <c r="J221" s="8">
        <v>2411</v>
      </c>
      <c r="K221" s="9"/>
      <c r="L221" s="8">
        <f t="shared" si="30"/>
        <v>28932</v>
      </c>
      <c r="M221" s="7">
        <f t="shared" si="31"/>
        <v>0</v>
      </c>
      <c r="N221" s="10">
        <f t="shared" si="32"/>
        <v>1</v>
      </c>
      <c r="O221" s="11">
        <f t="shared" si="33"/>
        <v>0.162795520530905</v>
      </c>
      <c r="P221" s="11"/>
      <c r="Q221" s="8">
        <f t="shared" si="34"/>
        <v>9420.0000000003</v>
      </c>
      <c r="R221" s="12">
        <f t="shared" si="35"/>
        <v>0</v>
      </c>
    </row>
    <row r="222" ht="14.25" spans="1:18">
      <c r="A222" s="15">
        <v>46056</v>
      </c>
      <c r="B222" s="3">
        <f>Data_Entry!P311</f>
        <v>10229.9999999996</v>
      </c>
      <c r="C222" s="3">
        <v>0</v>
      </c>
      <c r="D222" s="4">
        <f>Data_Entry!V311</f>
        <v>3.7</v>
      </c>
      <c r="E222" s="5">
        <f t="shared" si="27"/>
        <v>0.176793861468263</v>
      </c>
      <c r="F222" s="6">
        <v>0</v>
      </c>
      <c r="G222" s="6">
        <v>0</v>
      </c>
      <c r="H222" s="7">
        <f t="shared" si="28"/>
        <v>0</v>
      </c>
      <c r="I222" s="7">
        <f t="shared" si="29"/>
        <v>0</v>
      </c>
      <c r="J222" s="8">
        <v>2411</v>
      </c>
      <c r="K222" s="9"/>
      <c r="L222" s="8">
        <f t="shared" si="30"/>
        <v>28932</v>
      </c>
      <c r="M222" s="7">
        <f t="shared" si="31"/>
        <v>0</v>
      </c>
      <c r="N222" s="10">
        <f t="shared" si="32"/>
        <v>1</v>
      </c>
      <c r="O222" s="11">
        <f t="shared" si="33"/>
        <v>0.176793861468263</v>
      </c>
      <c r="P222" s="11"/>
      <c r="Q222" s="8">
        <f t="shared" si="34"/>
        <v>10229.9999999996</v>
      </c>
      <c r="R222" s="12">
        <f t="shared" si="35"/>
        <v>0</v>
      </c>
    </row>
    <row r="223" ht="14.25" spans="1:18">
      <c r="A223" s="15">
        <v>46057</v>
      </c>
      <c r="B223" s="3">
        <f>Data_Entry!P312</f>
        <v>9990.00000000046</v>
      </c>
      <c r="C223" s="3">
        <v>0</v>
      </c>
      <c r="D223" s="4">
        <f>Data_Entry!V312</f>
        <v>3.76</v>
      </c>
      <c r="E223" s="5">
        <f t="shared" si="27"/>
        <v>0.172646204894243</v>
      </c>
      <c r="F223" s="6">
        <v>0</v>
      </c>
      <c r="G223" s="6">
        <v>0</v>
      </c>
      <c r="H223" s="7">
        <f t="shared" si="28"/>
        <v>0</v>
      </c>
      <c r="I223" s="7">
        <f t="shared" si="29"/>
        <v>0</v>
      </c>
      <c r="J223" s="8">
        <v>2411</v>
      </c>
      <c r="K223" s="9"/>
      <c r="L223" s="8">
        <f t="shared" si="30"/>
        <v>28932</v>
      </c>
      <c r="M223" s="7">
        <f t="shared" si="31"/>
        <v>0</v>
      </c>
      <c r="N223" s="10">
        <f t="shared" si="32"/>
        <v>1</v>
      </c>
      <c r="O223" s="11">
        <f t="shared" si="33"/>
        <v>0.172646204894243</v>
      </c>
      <c r="P223" s="11"/>
      <c r="Q223" s="8">
        <f t="shared" si="34"/>
        <v>9990.00000000046</v>
      </c>
      <c r="R223" s="12">
        <f t="shared" si="35"/>
        <v>0</v>
      </c>
    </row>
    <row r="224" ht="14.25" spans="1:18">
      <c r="A224" s="15">
        <v>46058</v>
      </c>
      <c r="B224" s="3">
        <f>Data_Entry!P313</f>
        <v>11250</v>
      </c>
      <c r="C224" s="3">
        <v>0</v>
      </c>
      <c r="D224" s="4">
        <f>Data_Entry!V313</f>
        <v>3.98</v>
      </c>
      <c r="E224" s="5">
        <f t="shared" si="27"/>
        <v>0.194421401907922</v>
      </c>
      <c r="F224" s="6">
        <v>0</v>
      </c>
      <c r="G224" s="6">
        <v>0</v>
      </c>
      <c r="H224" s="7">
        <f t="shared" si="28"/>
        <v>0</v>
      </c>
      <c r="I224" s="7">
        <f t="shared" si="29"/>
        <v>0</v>
      </c>
      <c r="J224" s="8">
        <v>2411</v>
      </c>
      <c r="K224" s="9"/>
      <c r="L224" s="8">
        <f t="shared" si="30"/>
        <v>28932</v>
      </c>
      <c r="M224" s="7">
        <f t="shared" si="31"/>
        <v>0</v>
      </c>
      <c r="N224" s="10">
        <f t="shared" si="32"/>
        <v>1</v>
      </c>
      <c r="O224" s="11">
        <f t="shared" si="33"/>
        <v>0.194421401907922</v>
      </c>
      <c r="P224" s="11"/>
      <c r="Q224" s="8">
        <f t="shared" si="34"/>
        <v>11250</v>
      </c>
      <c r="R224" s="12">
        <f t="shared" si="35"/>
        <v>0</v>
      </c>
    </row>
    <row r="225" ht="14.25" spans="1:18">
      <c r="A225" s="15">
        <v>46059</v>
      </c>
      <c r="B225" s="3">
        <f>Data_Entry!P314</f>
        <v>11459.9999999998</v>
      </c>
      <c r="C225" s="3">
        <v>0</v>
      </c>
      <c r="D225" s="4">
        <f>Data_Entry!V314</f>
        <v>4.18</v>
      </c>
      <c r="E225" s="5">
        <f t="shared" si="27"/>
        <v>0.1980506014102</v>
      </c>
      <c r="F225" s="6">
        <v>0</v>
      </c>
      <c r="G225" s="6">
        <v>0</v>
      </c>
      <c r="H225" s="7">
        <f t="shared" si="28"/>
        <v>0</v>
      </c>
      <c r="I225" s="7">
        <f t="shared" si="29"/>
        <v>0</v>
      </c>
      <c r="J225" s="8">
        <v>2411</v>
      </c>
      <c r="K225" s="9"/>
      <c r="L225" s="8">
        <f t="shared" si="30"/>
        <v>28932</v>
      </c>
      <c r="M225" s="7">
        <f t="shared" si="31"/>
        <v>0</v>
      </c>
      <c r="N225" s="10">
        <f t="shared" si="32"/>
        <v>1</v>
      </c>
      <c r="O225" s="11">
        <f t="shared" si="33"/>
        <v>0.1980506014102</v>
      </c>
      <c r="P225" s="11"/>
      <c r="Q225" s="8">
        <f t="shared" si="34"/>
        <v>11459.9999999998</v>
      </c>
      <c r="R225" s="12">
        <f t="shared" si="35"/>
        <v>0</v>
      </c>
    </row>
    <row r="226" ht="14.25" spans="1:18">
      <c r="A226" s="15">
        <v>46060</v>
      </c>
      <c r="B226" s="3">
        <f>Data_Entry!P315</f>
        <v>11010.0000000002</v>
      </c>
      <c r="C226" s="3">
        <v>0</v>
      </c>
      <c r="D226" s="4">
        <f>Data_Entry!V315</f>
        <v>4.05</v>
      </c>
      <c r="E226" s="5">
        <f t="shared" si="27"/>
        <v>0.19027374533389</v>
      </c>
      <c r="F226" s="6">
        <v>0</v>
      </c>
      <c r="G226" s="6">
        <v>0</v>
      </c>
      <c r="H226" s="7">
        <f t="shared" si="28"/>
        <v>0</v>
      </c>
      <c r="I226" s="7">
        <f t="shared" si="29"/>
        <v>0</v>
      </c>
      <c r="J226" s="8">
        <v>2411</v>
      </c>
      <c r="K226" s="9"/>
      <c r="L226" s="8">
        <f t="shared" si="30"/>
        <v>28932</v>
      </c>
      <c r="M226" s="7">
        <f t="shared" si="31"/>
        <v>0</v>
      </c>
      <c r="N226" s="10">
        <f t="shared" si="32"/>
        <v>1</v>
      </c>
      <c r="O226" s="11">
        <f t="shared" si="33"/>
        <v>0.19027374533389</v>
      </c>
      <c r="P226" s="11"/>
      <c r="Q226" s="8">
        <f t="shared" si="34"/>
        <v>11010.0000000002</v>
      </c>
      <c r="R226" s="12">
        <f t="shared" si="35"/>
        <v>0</v>
      </c>
    </row>
    <row r="227" ht="14.25" spans="1:18">
      <c r="A227" s="15">
        <v>46061</v>
      </c>
      <c r="B227" s="3">
        <f>Data_Entry!P316</f>
        <v>11280</v>
      </c>
      <c r="C227" s="3">
        <v>0</v>
      </c>
      <c r="D227" s="4">
        <f>Data_Entry!V316</f>
        <v>4.18</v>
      </c>
      <c r="E227" s="5">
        <f t="shared" si="27"/>
        <v>0.194939858979676</v>
      </c>
      <c r="F227" s="6">
        <v>0</v>
      </c>
      <c r="G227" s="6">
        <v>0</v>
      </c>
      <c r="H227" s="7">
        <f t="shared" si="28"/>
        <v>0</v>
      </c>
      <c r="I227" s="7">
        <f t="shared" si="29"/>
        <v>0</v>
      </c>
      <c r="J227" s="8">
        <v>2411</v>
      </c>
      <c r="K227" s="9"/>
      <c r="L227" s="8">
        <f t="shared" si="30"/>
        <v>28932</v>
      </c>
      <c r="M227" s="7">
        <f t="shared" si="31"/>
        <v>0</v>
      </c>
      <c r="N227" s="10">
        <f t="shared" si="32"/>
        <v>1</v>
      </c>
      <c r="O227" s="11">
        <f t="shared" si="33"/>
        <v>0.194939858979676</v>
      </c>
      <c r="P227" s="11"/>
      <c r="Q227" s="8">
        <f t="shared" si="34"/>
        <v>11280</v>
      </c>
      <c r="R227" s="12">
        <f t="shared" si="35"/>
        <v>0</v>
      </c>
    </row>
    <row r="228" ht="14.25" spans="1:18">
      <c r="A228" s="15">
        <v>46062</v>
      </c>
      <c r="B228" s="3">
        <f>Data_Entry!P317</f>
        <v>11940.0000000001</v>
      </c>
      <c r="C228" s="3">
        <v>0</v>
      </c>
      <c r="D228" s="4">
        <f>Data_Entry!V317</f>
        <v>4.31</v>
      </c>
      <c r="E228" s="5">
        <f t="shared" si="27"/>
        <v>0.206345914558276</v>
      </c>
      <c r="F228" s="6">
        <v>0</v>
      </c>
      <c r="G228" s="6">
        <v>0</v>
      </c>
      <c r="H228" s="7">
        <f t="shared" si="28"/>
        <v>0</v>
      </c>
      <c r="I228" s="7">
        <f t="shared" si="29"/>
        <v>0</v>
      </c>
      <c r="J228" s="8">
        <v>2411</v>
      </c>
      <c r="K228" s="9"/>
      <c r="L228" s="8">
        <f t="shared" si="30"/>
        <v>28932</v>
      </c>
      <c r="M228" s="7">
        <f t="shared" si="31"/>
        <v>0</v>
      </c>
      <c r="N228" s="10">
        <f t="shared" si="32"/>
        <v>1</v>
      </c>
      <c r="O228" s="11">
        <f t="shared" si="33"/>
        <v>0.206345914558276</v>
      </c>
      <c r="P228" s="11"/>
      <c r="Q228" s="8">
        <f t="shared" si="34"/>
        <v>11940.0000000001</v>
      </c>
      <c r="R228" s="12">
        <f t="shared" si="35"/>
        <v>0</v>
      </c>
    </row>
    <row r="229" ht="14.25" spans="1:18">
      <c r="A229" s="15">
        <v>46063</v>
      </c>
      <c r="B229" s="3">
        <f>Data_Entry!P318</f>
        <v>12780</v>
      </c>
      <c r="C229" s="3">
        <v>0</v>
      </c>
      <c r="D229" s="4">
        <f>Data_Entry!V318</f>
        <v>4.51</v>
      </c>
      <c r="E229" s="5">
        <f t="shared" si="27"/>
        <v>0.220862712567399</v>
      </c>
      <c r="F229" s="6">
        <v>0</v>
      </c>
      <c r="G229" s="6">
        <v>0</v>
      </c>
      <c r="H229" s="7">
        <f t="shared" si="28"/>
        <v>0</v>
      </c>
      <c r="I229" s="7">
        <f t="shared" si="29"/>
        <v>0</v>
      </c>
      <c r="J229" s="8">
        <v>2411</v>
      </c>
      <c r="K229" s="9"/>
      <c r="L229" s="8">
        <f t="shared" si="30"/>
        <v>28932</v>
      </c>
      <c r="M229" s="7">
        <f t="shared" si="31"/>
        <v>0</v>
      </c>
      <c r="N229" s="10">
        <f t="shared" si="32"/>
        <v>1</v>
      </c>
      <c r="O229" s="11">
        <f t="shared" si="33"/>
        <v>0.220862712567399</v>
      </c>
      <c r="P229" s="11"/>
      <c r="Q229" s="8">
        <f t="shared" si="34"/>
        <v>12780</v>
      </c>
      <c r="R229" s="12">
        <f t="shared" si="35"/>
        <v>0</v>
      </c>
    </row>
    <row r="230" ht="14.25" spans="1:18">
      <c r="A230" s="15">
        <v>46064</v>
      </c>
      <c r="B230" s="3">
        <f>Data_Entry!P319</f>
        <v>12839.9999999999</v>
      </c>
      <c r="C230" s="3">
        <v>0</v>
      </c>
      <c r="D230" s="4">
        <f>Data_Entry!V319</f>
        <v>4.64</v>
      </c>
      <c r="E230" s="5">
        <f t="shared" si="27"/>
        <v>0.221899626710907</v>
      </c>
      <c r="F230" s="6">
        <v>0.520833333333333</v>
      </c>
      <c r="G230" s="6">
        <v>0.597222222222222</v>
      </c>
      <c r="H230" s="7">
        <f t="shared" si="28"/>
        <v>110</v>
      </c>
      <c r="I230" s="7">
        <f t="shared" si="29"/>
        <v>1.83333333333333</v>
      </c>
      <c r="J230" s="8">
        <v>2411</v>
      </c>
      <c r="K230" s="9">
        <v>152.6</v>
      </c>
      <c r="L230" s="8">
        <f t="shared" si="30"/>
        <v>28932</v>
      </c>
      <c r="M230" s="7">
        <f t="shared" si="31"/>
        <v>279.766666666667</v>
      </c>
      <c r="N230" s="10">
        <f t="shared" si="32"/>
        <v>0.990330199548366</v>
      </c>
      <c r="O230" s="11">
        <f t="shared" si="33"/>
        <v>0.224066303150306</v>
      </c>
      <c r="P230" s="11" t="s">
        <v>277</v>
      </c>
      <c r="Q230" s="8">
        <f t="shared" si="34"/>
        <v>12965.3725654893</v>
      </c>
      <c r="R230" s="12">
        <f t="shared" si="35"/>
        <v>125.372565489368</v>
      </c>
    </row>
    <row r="231" ht="14.25" spans="1:18">
      <c r="A231" s="15">
        <v>46065</v>
      </c>
      <c r="B231" s="3">
        <f>Data_Entry!P320</f>
        <v>12899.9999999999</v>
      </c>
      <c r="C231" s="3">
        <v>0</v>
      </c>
      <c r="D231" s="4">
        <f>Data_Entry!V320</f>
        <v>4.72</v>
      </c>
      <c r="E231" s="5">
        <f t="shared" si="27"/>
        <v>0.222936540854415</v>
      </c>
      <c r="F231" s="6">
        <v>0</v>
      </c>
      <c r="G231" s="6">
        <v>0</v>
      </c>
      <c r="H231" s="7">
        <f t="shared" si="28"/>
        <v>0</v>
      </c>
      <c r="I231" s="7">
        <f t="shared" si="29"/>
        <v>0</v>
      </c>
      <c r="J231" s="8">
        <v>2411</v>
      </c>
      <c r="K231" s="9"/>
      <c r="L231" s="8">
        <f t="shared" si="30"/>
        <v>28932</v>
      </c>
      <c r="M231" s="7">
        <f t="shared" si="31"/>
        <v>0</v>
      </c>
      <c r="N231" s="10">
        <f t="shared" si="32"/>
        <v>1</v>
      </c>
      <c r="O231" s="11">
        <f t="shared" si="33"/>
        <v>0.222936540854415</v>
      </c>
      <c r="P231" s="11"/>
      <c r="Q231" s="8">
        <f t="shared" si="34"/>
        <v>12899.9999999999</v>
      </c>
      <c r="R231" s="12">
        <f t="shared" si="35"/>
        <v>0</v>
      </c>
    </row>
    <row r="232" ht="14.25" spans="1:18">
      <c r="A232" s="15">
        <v>46066</v>
      </c>
      <c r="B232" s="3">
        <f>Data_Entry!P321</f>
        <v>11459.9999999998</v>
      </c>
      <c r="C232" s="3">
        <v>0</v>
      </c>
      <c r="D232" s="4">
        <f>Data_Entry!V321</f>
        <v>4.22</v>
      </c>
      <c r="E232" s="5">
        <f t="shared" si="27"/>
        <v>0.1980506014102</v>
      </c>
      <c r="F232" s="6">
        <v>0</v>
      </c>
      <c r="G232" s="6">
        <v>0</v>
      </c>
      <c r="H232" s="7">
        <f t="shared" si="28"/>
        <v>0</v>
      </c>
      <c r="I232" s="7">
        <f t="shared" si="29"/>
        <v>0</v>
      </c>
      <c r="J232" s="8">
        <v>2411</v>
      </c>
      <c r="K232" s="9"/>
      <c r="L232" s="8">
        <f t="shared" si="30"/>
        <v>28932</v>
      </c>
      <c r="M232" s="7">
        <f t="shared" si="31"/>
        <v>0</v>
      </c>
      <c r="N232" s="10">
        <f t="shared" si="32"/>
        <v>1</v>
      </c>
      <c r="O232" s="11">
        <f t="shared" si="33"/>
        <v>0.1980506014102</v>
      </c>
      <c r="P232" s="11"/>
      <c r="Q232" s="8">
        <f t="shared" si="34"/>
        <v>11459.9999999998</v>
      </c>
      <c r="R232" s="12">
        <f t="shared" si="35"/>
        <v>0</v>
      </c>
    </row>
    <row r="233" ht="14.25" spans="1:18">
      <c r="A233" s="15">
        <v>46067</v>
      </c>
      <c r="B233" s="3">
        <f>Data_Entry!P322</f>
        <v>11850.0000000001</v>
      </c>
      <c r="C233" s="3">
        <v>0</v>
      </c>
      <c r="D233" s="4">
        <f>Data_Entry!V322</f>
        <v>4.24</v>
      </c>
      <c r="E233" s="5">
        <f t="shared" si="27"/>
        <v>0.204790543343014</v>
      </c>
      <c r="F233" s="6">
        <v>0</v>
      </c>
      <c r="G233" s="6">
        <v>0</v>
      </c>
      <c r="H233" s="7">
        <f t="shared" si="28"/>
        <v>0</v>
      </c>
      <c r="I233" s="7">
        <f t="shared" si="29"/>
        <v>0</v>
      </c>
      <c r="J233" s="8">
        <v>2411</v>
      </c>
      <c r="K233" s="9"/>
      <c r="L233" s="8">
        <f t="shared" si="30"/>
        <v>28932</v>
      </c>
      <c r="M233" s="7">
        <f t="shared" si="31"/>
        <v>0</v>
      </c>
      <c r="N233" s="10">
        <f t="shared" si="32"/>
        <v>1</v>
      </c>
      <c r="O233" s="11">
        <f t="shared" si="33"/>
        <v>0.204790543343014</v>
      </c>
      <c r="P233" s="11"/>
      <c r="Q233" s="8">
        <f t="shared" si="34"/>
        <v>11850.0000000001</v>
      </c>
      <c r="R233" s="12">
        <f t="shared" si="35"/>
        <v>0</v>
      </c>
    </row>
    <row r="234" ht="14.25" spans="1:18">
      <c r="A234" s="15">
        <v>46068</v>
      </c>
      <c r="B234" s="3">
        <f>Data_Entry!P323</f>
        <v>13350.0000000001</v>
      </c>
      <c r="C234" s="3">
        <v>0</v>
      </c>
      <c r="D234" s="4">
        <f>Data_Entry!V323</f>
        <v>4.63</v>
      </c>
      <c r="E234" s="5">
        <f t="shared" si="27"/>
        <v>0.230713396930737</v>
      </c>
      <c r="F234" s="6">
        <v>0</v>
      </c>
      <c r="G234" s="6">
        <v>0</v>
      </c>
      <c r="H234" s="7">
        <f t="shared" si="28"/>
        <v>0</v>
      </c>
      <c r="I234" s="7">
        <f t="shared" si="29"/>
        <v>0</v>
      </c>
      <c r="J234" s="8">
        <v>2411</v>
      </c>
      <c r="K234" s="9"/>
      <c r="L234" s="8">
        <f t="shared" si="30"/>
        <v>28932</v>
      </c>
      <c r="M234" s="7">
        <f t="shared" si="31"/>
        <v>0</v>
      </c>
      <c r="N234" s="10">
        <f t="shared" si="32"/>
        <v>1</v>
      </c>
      <c r="O234" s="11">
        <f t="shared" si="33"/>
        <v>0.230713396930737</v>
      </c>
      <c r="P234" s="11"/>
      <c r="Q234" s="8">
        <f t="shared" si="34"/>
        <v>13350.0000000001</v>
      </c>
      <c r="R234" s="12">
        <f t="shared" si="35"/>
        <v>0</v>
      </c>
    </row>
    <row r="235" ht="14.25" spans="1:18">
      <c r="A235" s="15">
        <v>46069</v>
      </c>
      <c r="B235" s="3">
        <f>Data_Entry!P324</f>
        <v>13260.0000000002</v>
      </c>
      <c r="C235" s="3">
        <v>0</v>
      </c>
      <c r="D235" s="4">
        <f>Data_Entry!V324</f>
        <v>4.67</v>
      </c>
      <c r="E235" s="5">
        <f t="shared" si="27"/>
        <v>0.229158025715475</v>
      </c>
      <c r="F235" s="6">
        <v>0</v>
      </c>
      <c r="G235" s="6">
        <v>0</v>
      </c>
      <c r="H235" s="7">
        <f t="shared" si="28"/>
        <v>0</v>
      </c>
      <c r="I235" s="7">
        <f t="shared" si="29"/>
        <v>0</v>
      </c>
      <c r="J235" s="8">
        <v>2411</v>
      </c>
      <c r="K235" s="9"/>
      <c r="L235" s="8">
        <f t="shared" si="30"/>
        <v>28932</v>
      </c>
      <c r="M235" s="7">
        <f t="shared" si="31"/>
        <v>0</v>
      </c>
      <c r="N235" s="10">
        <f t="shared" si="32"/>
        <v>1</v>
      </c>
      <c r="O235" s="11">
        <f t="shared" si="33"/>
        <v>0.229158025715475</v>
      </c>
      <c r="P235" s="11"/>
      <c r="Q235" s="8">
        <f t="shared" si="34"/>
        <v>13260.0000000002</v>
      </c>
      <c r="R235" s="12">
        <f t="shared" si="35"/>
        <v>0</v>
      </c>
    </row>
    <row r="236" ht="14.25" spans="1:18">
      <c r="A236" s="15">
        <v>46070</v>
      </c>
      <c r="B236" s="3">
        <f>Data_Entry!P325</f>
        <v>13259.9999999995</v>
      </c>
      <c r="C236" s="3">
        <v>0</v>
      </c>
      <c r="D236" s="4">
        <f>Data_Entry!V325</f>
        <v>4.6</v>
      </c>
      <c r="E236" s="5">
        <f t="shared" si="27"/>
        <v>0.229158025715463</v>
      </c>
      <c r="F236" s="6">
        <v>0</v>
      </c>
      <c r="G236" s="6">
        <v>0</v>
      </c>
      <c r="H236" s="7">
        <f t="shared" si="28"/>
        <v>0</v>
      </c>
      <c r="I236" s="7">
        <f t="shared" si="29"/>
        <v>0</v>
      </c>
      <c r="J236" s="8">
        <v>2411</v>
      </c>
      <c r="K236" s="9"/>
      <c r="L236" s="8">
        <f t="shared" si="30"/>
        <v>28932</v>
      </c>
      <c r="M236" s="7">
        <f t="shared" si="31"/>
        <v>0</v>
      </c>
      <c r="N236" s="10">
        <f t="shared" si="32"/>
        <v>1</v>
      </c>
      <c r="O236" s="11">
        <f t="shared" si="33"/>
        <v>0.229158025715463</v>
      </c>
      <c r="P236" s="11"/>
      <c r="Q236" s="8">
        <f t="shared" si="34"/>
        <v>13259.9999999995</v>
      </c>
      <c r="R236" s="12">
        <f t="shared" si="35"/>
        <v>0</v>
      </c>
    </row>
    <row r="237" ht="14.25" spans="1:18">
      <c r="A237" s="15">
        <v>46071</v>
      </c>
      <c r="B237" s="3">
        <f>Data_Entry!P326</f>
        <v>13710</v>
      </c>
      <c r="C237" s="3">
        <v>0</v>
      </c>
      <c r="D237" s="4">
        <f>Data_Entry!V326</f>
        <v>4.76</v>
      </c>
      <c r="E237" s="5">
        <f t="shared" si="27"/>
        <v>0.236934881791788</v>
      </c>
      <c r="F237" s="6">
        <v>0</v>
      </c>
      <c r="G237" s="6">
        <v>0</v>
      </c>
      <c r="H237" s="7">
        <f t="shared" si="28"/>
        <v>0</v>
      </c>
      <c r="I237" s="7">
        <f t="shared" si="29"/>
        <v>0</v>
      </c>
      <c r="J237" s="8">
        <v>2411</v>
      </c>
      <c r="K237" s="9"/>
      <c r="L237" s="8">
        <f t="shared" si="30"/>
        <v>28932</v>
      </c>
      <c r="M237" s="7">
        <f t="shared" si="31"/>
        <v>0</v>
      </c>
      <c r="N237" s="10">
        <f t="shared" si="32"/>
        <v>1</v>
      </c>
      <c r="O237" s="11">
        <f t="shared" si="33"/>
        <v>0.236934881791788</v>
      </c>
      <c r="P237" s="11"/>
      <c r="Q237" s="8">
        <f t="shared" si="34"/>
        <v>13710</v>
      </c>
      <c r="R237" s="12">
        <f t="shared" si="35"/>
        <v>0</v>
      </c>
    </row>
    <row r="238" ht="14.25" spans="1:18">
      <c r="A238" s="15">
        <v>46072</v>
      </c>
      <c r="B238" s="3">
        <f>Data_Entry!P327</f>
        <v>12989.9999999998</v>
      </c>
      <c r="C238" s="3">
        <v>0</v>
      </c>
      <c r="D238" s="4">
        <f>Data_Entry!V327</f>
        <v>4.64</v>
      </c>
      <c r="E238" s="5">
        <f t="shared" si="27"/>
        <v>0.224491912069677</v>
      </c>
      <c r="F238" s="6">
        <v>0</v>
      </c>
      <c r="G238" s="6">
        <v>0</v>
      </c>
      <c r="H238" s="7">
        <f t="shared" si="28"/>
        <v>0</v>
      </c>
      <c r="I238" s="7">
        <f t="shared" si="29"/>
        <v>0</v>
      </c>
      <c r="J238" s="8">
        <v>2411</v>
      </c>
      <c r="K238" s="9"/>
      <c r="L238" s="8">
        <f t="shared" si="30"/>
        <v>28932</v>
      </c>
      <c r="M238" s="7">
        <f t="shared" si="31"/>
        <v>0</v>
      </c>
      <c r="N238" s="10">
        <f t="shared" si="32"/>
        <v>1</v>
      </c>
      <c r="O238" s="11">
        <f t="shared" si="33"/>
        <v>0.224491912069677</v>
      </c>
      <c r="P238" s="11"/>
      <c r="Q238" s="8">
        <f t="shared" si="34"/>
        <v>12989.9999999998</v>
      </c>
      <c r="R238" s="12">
        <f t="shared" si="35"/>
        <v>0</v>
      </c>
    </row>
    <row r="239" ht="14.25" spans="1:18">
      <c r="A239" s="15">
        <v>46073</v>
      </c>
      <c r="B239" s="3">
        <f>Data_Entry!P328</f>
        <v>11910.0000000001</v>
      </c>
      <c r="C239" s="3">
        <v>0</v>
      </c>
      <c r="D239" s="4">
        <f>Data_Entry!V328</f>
        <v>4.29</v>
      </c>
      <c r="E239" s="5">
        <f t="shared" si="27"/>
        <v>0.205827457486522</v>
      </c>
      <c r="F239" s="6">
        <v>0</v>
      </c>
      <c r="G239" s="6">
        <v>0</v>
      </c>
      <c r="H239" s="7">
        <f t="shared" si="28"/>
        <v>0</v>
      </c>
      <c r="I239" s="7">
        <f t="shared" si="29"/>
        <v>0</v>
      </c>
      <c r="J239" s="8">
        <v>2411</v>
      </c>
      <c r="K239" s="9"/>
      <c r="L239" s="8">
        <f t="shared" si="30"/>
        <v>28932</v>
      </c>
      <c r="M239" s="7">
        <f t="shared" si="31"/>
        <v>0</v>
      </c>
      <c r="N239" s="10">
        <f t="shared" si="32"/>
        <v>1</v>
      </c>
      <c r="O239" s="11">
        <f t="shared" si="33"/>
        <v>0.205827457486522</v>
      </c>
      <c r="P239" s="11"/>
      <c r="Q239" s="8">
        <f t="shared" si="34"/>
        <v>11910.0000000001</v>
      </c>
      <c r="R239" s="12">
        <f t="shared" si="35"/>
        <v>0</v>
      </c>
    </row>
    <row r="240" ht="14.25" spans="1:18">
      <c r="A240" s="15">
        <v>46074</v>
      </c>
      <c r="B240" s="3">
        <f>Data_Entry!P329</f>
        <v>12539.9999999995</v>
      </c>
      <c r="C240" s="3">
        <v>0</v>
      </c>
      <c r="D240" s="4">
        <f>Data_Entry!V329</f>
        <v>4.46</v>
      </c>
      <c r="E240" s="5">
        <f t="shared" si="27"/>
        <v>0.216715055993355</v>
      </c>
      <c r="F240" s="6">
        <v>0</v>
      </c>
      <c r="G240" s="6">
        <v>0</v>
      </c>
      <c r="H240" s="7">
        <f t="shared" si="28"/>
        <v>0</v>
      </c>
      <c r="I240" s="7">
        <f t="shared" si="29"/>
        <v>0</v>
      </c>
      <c r="J240" s="8">
        <v>2411</v>
      </c>
      <c r="K240" s="9"/>
      <c r="L240" s="8">
        <f t="shared" si="30"/>
        <v>28932</v>
      </c>
      <c r="M240" s="7">
        <f t="shared" si="31"/>
        <v>0</v>
      </c>
      <c r="N240" s="10">
        <f t="shared" si="32"/>
        <v>1</v>
      </c>
      <c r="O240" s="11">
        <f t="shared" si="33"/>
        <v>0.216715055993355</v>
      </c>
      <c r="P240" s="11"/>
      <c r="Q240" s="8">
        <f t="shared" si="34"/>
        <v>12539.9999999995</v>
      </c>
      <c r="R240" s="12">
        <f t="shared" si="35"/>
        <v>0</v>
      </c>
    </row>
    <row r="241" ht="14.25" spans="1:18">
      <c r="A241" s="15">
        <v>46075</v>
      </c>
      <c r="B241" s="3">
        <f>Data_Entry!P330</f>
        <v>11010.0000000002</v>
      </c>
      <c r="C241" s="3">
        <v>0</v>
      </c>
      <c r="D241" s="4">
        <f>Data_Entry!V330</f>
        <v>4.2</v>
      </c>
      <c r="E241" s="5">
        <f t="shared" si="27"/>
        <v>0.19027374533389</v>
      </c>
      <c r="F241" s="6">
        <v>0</v>
      </c>
      <c r="G241" s="6">
        <v>0</v>
      </c>
      <c r="H241" s="7">
        <f t="shared" si="28"/>
        <v>0</v>
      </c>
      <c r="I241" s="7">
        <f t="shared" si="29"/>
        <v>0</v>
      </c>
      <c r="J241" s="8">
        <v>2411</v>
      </c>
      <c r="K241" s="9"/>
      <c r="L241" s="8">
        <f t="shared" si="30"/>
        <v>28932</v>
      </c>
      <c r="M241" s="7">
        <f t="shared" si="31"/>
        <v>0</v>
      </c>
      <c r="N241" s="10">
        <f t="shared" si="32"/>
        <v>1</v>
      </c>
      <c r="O241" s="11">
        <f t="shared" si="33"/>
        <v>0.19027374533389</v>
      </c>
      <c r="P241" s="11"/>
      <c r="Q241" s="8">
        <f t="shared" si="34"/>
        <v>11010.0000000002</v>
      </c>
      <c r="R241" s="12">
        <f t="shared" si="35"/>
        <v>0</v>
      </c>
    </row>
    <row r="242" ht="14.25" spans="1:18">
      <c r="A242" s="15">
        <v>46076</v>
      </c>
      <c r="B242" s="3">
        <f>Data_Entry!P331</f>
        <v>10050</v>
      </c>
      <c r="C242" s="3">
        <v>0</v>
      </c>
      <c r="D242" s="4">
        <f>Data_Entry!V331</f>
        <v>4.13</v>
      </c>
      <c r="E242" s="5">
        <f t="shared" si="27"/>
        <v>0.173683119037744</v>
      </c>
      <c r="F242" s="6">
        <v>0</v>
      </c>
      <c r="G242" s="6">
        <v>0</v>
      </c>
      <c r="H242" s="7">
        <f t="shared" si="28"/>
        <v>0</v>
      </c>
      <c r="I242" s="7">
        <f t="shared" si="29"/>
        <v>0</v>
      </c>
      <c r="J242" s="8">
        <v>2411</v>
      </c>
      <c r="K242" s="9"/>
      <c r="L242" s="8">
        <f t="shared" si="30"/>
        <v>28932</v>
      </c>
      <c r="M242" s="7">
        <f t="shared" si="31"/>
        <v>0</v>
      </c>
      <c r="N242" s="10">
        <f t="shared" si="32"/>
        <v>1</v>
      </c>
      <c r="O242" s="11">
        <f t="shared" si="33"/>
        <v>0.173683119037744</v>
      </c>
      <c r="P242" s="11"/>
      <c r="Q242" s="8">
        <f t="shared" si="34"/>
        <v>10050</v>
      </c>
      <c r="R242" s="12">
        <f t="shared" si="35"/>
        <v>0</v>
      </c>
    </row>
    <row r="243" ht="14.25" spans="1:18">
      <c r="A243" s="15">
        <v>46077</v>
      </c>
      <c r="B243" s="3">
        <f>Data_Entry!P332</f>
        <v>11099.9999999995</v>
      </c>
      <c r="C243" s="3">
        <v>0</v>
      </c>
      <c r="D243" s="4">
        <f>Data_Entry!V332</f>
        <v>4.13</v>
      </c>
      <c r="E243" s="5">
        <f t="shared" si="27"/>
        <v>0.19182911654914</v>
      </c>
      <c r="F243" s="6">
        <v>0</v>
      </c>
      <c r="G243" s="6">
        <v>0</v>
      </c>
      <c r="H243" s="7">
        <f t="shared" si="28"/>
        <v>0</v>
      </c>
      <c r="I243" s="7">
        <f t="shared" si="29"/>
        <v>0</v>
      </c>
      <c r="J243" s="8">
        <v>2411</v>
      </c>
      <c r="K243" s="9"/>
      <c r="L243" s="8">
        <f t="shared" si="30"/>
        <v>28932</v>
      </c>
      <c r="M243" s="7">
        <f t="shared" si="31"/>
        <v>0</v>
      </c>
      <c r="N243" s="10">
        <f t="shared" si="32"/>
        <v>1</v>
      </c>
      <c r="O243" s="11">
        <f t="shared" si="33"/>
        <v>0.19182911654914</v>
      </c>
      <c r="P243" s="11"/>
      <c r="Q243" s="8">
        <f t="shared" si="34"/>
        <v>11099.9999999995</v>
      </c>
      <c r="R243" s="12">
        <f t="shared" si="35"/>
        <v>0</v>
      </c>
    </row>
    <row r="244" ht="14.25" spans="1:18">
      <c r="A244" s="15">
        <v>46078</v>
      </c>
      <c r="B244" s="3">
        <f>Data_Entry!P333</f>
        <v>13200.0000000003</v>
      </c>
      <c r="C244" s="3">
        <v>0</v>
      </c>
      <c r="D244" s="4">
        <f>Data_Entry!V333</f>
        <v>4.96</v>
      </c>
      <c r="E244" s="5">
        <f t="shared" si="27"/>
        <v>0.228121111571967</v>
      </c>
      <c r="F244" s="6">
        <v>0</v>
      </c>
      <c r="G244" s="6">
        <v>0</v>
      </c>
      <c r="H244" s="7">
        <f t="shared" si="28"/>
        <v>0</v>
      </c>
      <c r="I244" s="7">
        <f t="shared" si="29"/>
        <v>0</v>
      </c>
      <c r="J244" s="8">
        <v>2411</v>
      </c>
      <c r="K244" s="9"/>
      <c r="L244" s="8">
        <f t="shared" si="30"/>
        <v>28932</v>
      </c>
      <c r="M244" s="7">
        <f t="shared" si="31"/>
        <v>0</v>
      </c>
      <c r="N244" s="10">
        <f t="shared" si="32"/>
        <v>1</v>
      </c>
      <c r="O244" s="11">
        <f t="shared" si="33"/>
        <v>0.228121111571967</v>
      </c>
      <c r="P244" s="11"/>
      <c r="Q244" s="8">
        <f t="shared" si="34"/>
        <v>13200.0000000003</v>
      </c>
      <c r="R244" s="12">
        <f t="shared" si="35"/>
        <v>0</v>
      </c>
    </row>
    <row r="245" ht="14.25" spans="1:18">
      <c r="A245" s="15">
        <v>46079</v>
      </c>
      <c r="B245" s="3">
        <f>Data_Entry!P334</f>
        <v>13679.9999999998</v>
      </c>
      <c r="C245" s="3">
        <v>0</v>
      </c>
      <c r="D245" s="4">
        <f>Data_Entry!V334</f>
        <v>4.76</v>
      </c>
      <c r="E245" s="5">
        <f t="shared" si="27"/>
        <v>0.23641642472003</v>
      </c>
      <c r="F245" s="6">
        <v>0</v>
      </c>
      <c r="G245" s="6">
        <v>0</v>
      </c>
      <c r="H245" s="7">
        <f t="shared" si="28"/>
        <v>0</v>
      </c>
      <c r="I245" s="7">
        <f t="shared" si="29"/>
        <v>0</v>
      </c>
      <c r="J245" s="8">
        <v>2411</v>
      </c>
      <c r="K245" s="9"/>
      <c r="L245" s="8">
        <f t="shared" si="30"/>
        <v>28932</v>
      </c>
      <c r="M245" s="7">
        <f t="shared" si="31"/>
        <v>0</v>
      </c>
      <c r="N245" s="10">
        <f t="shared" si="32"/>
        <v>1</v>
      </c>
      <c r="O245" s="11">
        <f t="shared" si="33"/>
        <v>0.23641642472003</v>
      </c>
      <c r="P245" s="11"/>
      <c r="Q245" s="8">
        <f t="shared" si="34"/>
        <v>13679.9999999998</v>
      </c>
      <c r="R245" s="12">
        <f t="shared" si="35"/>
        <v>0</v>
      </c>
    </row>
    <row r="246" ht="14.25" spans="1:18">
      <c r="A246" s="15">
        <v>46080</v>
      </c>
      <c r="B246" s="3">
        <f>Data_Entry!P335</f>
        <v>12330.0000000004</v>
      </c>
      <c r="C246" s="3">
        <v>0</v>
      </c>
      <c r="D246" s="4">
        <f>Data_Entry!V335</f>
        <v>4.3</v>
      </c>
      <c r="E246" s="5">
        <f t="shared" si="27"/>
        <v>0.213085856491089</v>
      </c>
      <c r="F246" s="6">
        <v>0</v>
      </c>
      <c r="G246" s="6">
        <v>0</v>
      </c>
      <c r="H246" s="7">
        <f t="shared" si="28"/>
        <v>0</v>
      </c>
      <c r="I246" s="7">
        <f t="shared" si="29"/>
        <v>0</v>
      </c>
      <c r="J246" s="8">
        <v>2411</v>
      </c>
      <c r="K246" s="9"/>
      <c r="L246" s="8">
        <f t="shared" si="30"/>
        <v>28932</v>
      </c>
      <c r="M246" s="7">
        <f t="shared" si="31"/>
        <v>0</v>
      </c>
      <c r="N246" s="10">
        <f t="shared" si="32"/>
        <v>1</v>
      </c>
      <c r="O246" s="11">
        <f t="shared" si="33"/>
        <v>0.213085856491089</v>
      </c>
      <c r="P246" s="11"/>
      <c r="Q246" s="8">
        <f t="shared" si="34"/>
        <v>12330.0000000004</v>
      </c>
      <c r="R246" s="12">
        <f t="shared" si="35"/>
        <v>0</v>
      </c>
    </row>
    <row r="247" ht="14.25" spans="1:18">
      <c r="A247" s="15">
        <v>46081</v>
      </c>
      <c r="B247" s="3">
        <f>Data_Entry!P336</f>
        <v>14039.9999999995</v>
      </c>
      <c r="C247" s="3">
        <v>0</v>
      </c>
      <c r="D247" s="4">
        <f>Data_Entry!V336</f>
        <v>4.83</v>
      </c>
      <c r="E247" s="5">
        <f t="shared" si="27"/>
        <v>0.242637909581078</v>
      </c>
      <c r="F247" s="6">
        <v>0</v>
      </c>
      <c r="G247" s="6">
        <v>0</v>
      </c>
      <c r="H247" s="7">
        <f t="shared" si="28"/>
        <v>0</v>
      </c>
      <c r="I247" s="7">
        <f t="shared" si="29"/>
        <v>0</v>
      </c>
      <c r="J247" s="8">
        <v>2411</v>
      </c>
      <c r="K247" s="9"/>
      <c r="L247" s="8">
        <f t="shared" si="30"/>
        <v>28932</v>
      </c>
      <c r="M247" s="7">
        <f t="shared" si="31"/>
        <v>0</v>
      </c>
      <c r="N247" s="10">
        <f t="shared" si="32"/>
        <v>1</v>
      </c>
      <c r="O247" s="11">
        <f t="shared" si="33"/>
        <v>0.242637909581078</v>
      </c>
      <c r="P247" s="11"/>
      <c r="Q247" s="8">
        <f t="shared" si="34"/>
        <v>14039.9999999995</v>
      </c>
      <c r="R247" s="12">
        <f t="shared" si="35"/>
        <v>0</v>
      </c>
    </row>
    <row r="248" ht="14.25" spans="1:18">
      <c r="A248" s="15">
        <v>46082</v>
      </c>
      <c r="B248" s="3">
        <f>Data_Entry!P337</f>
        <v>13710.0000000005</v>
      </c>
      <c r="C248" s="3">
        <v>0</v>
      </c>
      <c r="D248" s="4">
        <f>Data_Entry!V337</f>
        <v>4.71</v>
      </c>
      <c r="E248" s="5">
        <f t="shared" si="27"/>
        <v>0.236934881791796</v>
      </c>
      <c r="F248" s="6">
        <v>0</v>
      </c>
      <c r="G248" s="6">
        <v>0</v>
      </c>
      <c r="H248" s="7">
        <f t="shared" si="28"/>
        <v>0</v>
      </c>
      <c r="I248" s="7">
        <f t="shared" si="29"/>
        <v>0</v>
      </c>
      <c r="J248" s="8">
        <v>2411</v>
      </c>
      <c r="K248" s="9"/>
      <c r="L248" s="8">
        <f t="shared" si="30"/>
        <v>28932</v>
      </c>
      <c r="M248" s="7">
        <f t="shared" si="31"/>
        <v>0</v>
      </c>
      <c r="N248" s="10">
        <f t="shared" si="32"/>
        <v>1</v>
      </c>
      <c r="O248" s="11">
        <f t="shared" si="33"/>
        <v>0.236934881791796</v>
      </c>
      <c r="P248" s="11"/>
      <c r="Q248" s="8">
        <f t="shared" si="34"/>
        <v>13710.0000000005</v>
      </c>
      <c r="R248" s="12">
        <f t="shared" si="35"/>
        <v>0</v>
      </c>
    </row>
    <row r="249" ht="14.25" spans="1:18">
      <c r="A249" s="15">
        <v>46083</v>
      </c>
      <c r="B249" s="3">
        <f>Data_Entry!P338</f>
        <v>13619.9999999999</v>
      </c>
      <c r="C249" s="3">
        <v>0</v>
      </c>
      <c r="D249" s="4">
        <f>Data_Entry!V338</f>
        <v>4.77</v>
      </c>
      <c r="E249" s="5">
        <f t="shared" si="27"/>
        <v>0.235379510576522</v>
      </c>
      <c r="F249" s="6">
        <v>0</v>
      </c>
      <c r="G249" s="6">
        <v>0</v>
      </c>
      <c r="H249" s="7">
        <f t="shared" si="28"/>
        <v>0</v>
      </c>
      <c r="I249" s="7">
        <f t="shared" si="29"/>
        <v>0</v>
      </c>
      <c r="J249" s="8">
        <v>2411</v>
      </c>
      <c r="K249" s="9"/>
      <c r="L249" s="8">
        <f t="shared" si="30"/>
        <v>28932</v>
      </c>
      <c r="M249" s="7">
        <f t="shared" si="31"/>
        <v>0</v>
      </c>
      <c r="N249" s="10">
        <f t="shared" si="32"/>
        <v>1</v>
      </c>
      <c r="O249" s="11">
        <f t="shared" si="33"/>
        <v>0.235379510576522</v>
      </c>
      <c r="P249" s="11"/>
      <c r="Q249" s="8">
        <f t="shared" si="34"/>
        <v>13619.9999999999</v>
      </c>
      <c r="R249" s="12">
        <f t="shared" si="35"/>
        <v>0</v>
      </c>
    </row>
    <row r="250" ht="14.25" spans="1:18">
      <c r="A250" s="15">
        <v>46084</v>
      </c>
      <c r="B250" s="3">
        <f>Data_Entry!P339</f>
        <v>13139.9999999996</v>
      </c>
      <c r="C250" s="3">
        <v>0</v>
      </c>
      <c r="D250" s="4">
        <f>Data_Entry!V339</f>
        <v>4.6</v>
      </c>
      <c r="E250" s="5">
        <f t="shared" si="27"/>
        <v>0.227084197428447</v>
      </c>
      <c r="F250" s="6">
        <v>0</v>
      </c>
      <c r="G250" s="6">
        <v>0</v>
      </c>
      <c r="H250" s="7">
        <f t="shared" si="28"/>
        <v>0</v>
      </c>
      <c r="I250" s="7">
        <f t="shared" si="29"/>
        <v>0</v>
      </c>
      <c r="J250" s="8">
        <v>2411</v>
      </c>
      <c r="K250" s="9"/>
      <c r="L250" s="8">
        <f t="shared" si="30"/>
        <v>28932</v>
      </c>
      <c r="M250" s="7">
        <f t="shared" si="31"/>
        <v>0</v>
      </c>
      <c r="N250" s="10">
        <f t="shared" si="32"/>
        <v>1</v>
      </c>
      <c r="O250" s="11">
        <f t="shared" si="33"/>
        <v>0.227084197428447</v>
      </c>
      <c r="P250" s="11"/>
      <c r="Q250" s="8">
        <f t="shared" si="34"/>
        <v>13139.9999999996</v>
      </c>
      <c r="R250" s="12">
        <f t="shared" si="35"/>
        <v>0</v>
      </c>
    </row>
    <row r="251" ht="14.25" spans="1:18">
      <c r="A251" s="15">
        <v>46085</v>
      </c>
      <c r="B251" s="3">
        <f>Data_Entry!P340</f>
        <v>12059.9999999999</v>
      </c>
      <c r="C251" s="3">
        <v>0</v>
      </c>
      <c r="D251" s="4">
        <f>Data_Entry!V340</f>
        <v>4.78</v>
      </c>
      <c r="E251" s="5">
        <f t="shared" si="27"/>
        <v>0.208419742845291</v>
      </c>
      <c r="F251" s="6">
        <v>0.4375</v>
      </c>
      <c r="G251" s="6">
        <v>0.503472222222222</v>
      </c>
      <c r="H251" s="7">
        <f t="shared" si="28"/>
        <v>94.9999999999997</v>
      </c>
      <c r="I251" s="7">
        <f t="shared" si="29"/>
        <v>1.58333333333333</v>
      </c>
      <c r="J251" s="8">
        <v>2411</v>
      </c>
      <c r="K251" s="9">
        <v>152.6</v>
      </c>
      <c r="L251" s="8">
        <f t="shared" si="30"/>
        <v>28932</v>
      </c>
      <c r="M251" s="7">
        <f t="shared" si="31"/>
        <v>241.616666666666</v>
      </c>
      <c r="N251" s="10">
        <f t="shared" si="32"/>
        <v>0.991648808700862</v>
      </c>
      <c r="O251" s="11">
        <f t="shared" si="33"/>
        <v>0.210174954093211</v>
      </c>
      <c r="P251" s="11" t="s">
        <v>277</v>
      </c>
      <c r="Q251" s="8">
        <f t="shared" si="34"/>
        <v>12161.5635436496</v>
      </c>
      <c r="R251" s="12">
        <f t="shared" si="35"/>
        <v>101.56354364964</v>
      </c>
    </row>
    <row r="252" ht="14.25" spans="1:18">
      <c r="A252" s="15">
        <v>46085</v>
      </c>
      <c r="B252" s="3">
        <v>12060</v>
      </c>
      <c r="C252" s="3">
        <v>1</v>
      </c>
      <c r="D252" s="4">
        <v>4.78</v>
      </c>
      <c r="E252" s="5">
        <v>0.2084</v>
      </c>
      <c r="F252" s="6">
        <v>0.503472222222222</v>
      </c>
      <c r="G252" s="6">
        <v>0.645833333333333</v>
      </c>
      <c r="H252" s="7">
        <f t="shared" si="28"/>
        <v>205</v>
      </c>
      <c r="I252" s="7">
        <f t="shared" si="29"/>
        <v>3.41666666666666</v>
      </c>
      <c r="J252" s="8">
        <v>2411</v>
      </c>
      <c r="K252" s="9">
        <v>350.98</v>
      </c>
      <c r="L252" s="8">
        <v>28932</v>
      </c>
      <c r="M252" s="7">
        <f t="shared" si="31"/>
        <v>1199.18166666667</v>
      </c>
      <c r="N252" s="10">
        <f t="shared" si="32"/>
        <v>0.958551718973225</v>
      </c>
      <c r="O252" s="11">
        <f t="shared" si="33"/>
        <v>0.217411325727142</v>
      </c>
      <c r="P252" s="11" t="s">
        <v>277</v>
      </c>
      <c r="Q252" s="8">
        <f t="shared" si="34"/>
        <v>12580.2889518754</v>
      </c>
      <c r="R252" s="12">
        <f t="shared" si="35"/>
        <v>520.288951875369</v>
      </c>
    </row>
    <row r="253" ht="14.25" spans="1:18">
      <c r="A253" s="15">
        <v>46085</v>
      </c>
      <c r="B253" s="3">
        <v>12060</v>
      </c>
      <c r="C253" s="3">
        <v>0</v>
      </c>
      <c r="D253" s="4">
        <v>4.78</v>
      </c>
      <c r="E253" s="5">
        <v>0.2084</v>
      </c>
      <c r="F253" s="6">
        <v>0.659722222222222</v>
      </c>
      <c r="G253" s="6">
        <v>0.729166666666667</v>
      </c>
      <c r="H253" s="7">
        <f t="shared" si="28"/>
        <v>100.000000000001</v>
      </c>
      <c r="I253" s="7">
        <f t="shared" si="29"/>
        <v>1.66666666666668</v>
      </c>
      <c r="J253" s="8">
        <v>2411</v>
      </c>
      <c r="K253" s="9">
        <v>152.6</v>
      </c>
      <c r="L253" s="8">
        <v>28932</v>
      </c>
      <c r="M253" s="7">
        <f t="shared" si="31"/>
        <v>254.333333333335</v>
      </c>
      <c r="N253" s="10">
        <f t="shared" si="32"/>
        <v>0.991209272316697</v>
      </c>
      <c r="O253" s="11">
        <f t="shared" si="33"/>
        <v>0.210248234979601</v>
      </c>
      <c r="P253" s="11" t="s">
        <v>277</v>
      </c>
      <c r="Q253" s="8">
        <f t="shared" si="34"/>
        <v>12165.8038688596</v>
      </c>
      <c r="R253" s="12">
        <f t="shared" si="35"/>
        <v>105.803868859626</v>
      </c>
    </row>
    <row r="254" ht="14.25" spans="1:18">
      <c r="A254" s="15">
        <v>46086</v>
      </c>
      <c r="B254" s="3">
        <f>Data_Entry!P341</f>
        <v>12360.0000000004</v>
      </c>
      <c r="C254" s="3">
        <v>0</v>
      </c>
      <c r="D254" s="4">
        <f>Data_Entry!V341</f>
        <v>4.88</v>
      </c>
      <c r="E254" s="5">
        <f>B254/(24*J254)</f>
        <v>0.213604313562843</v>
      </c>
      <c r="F254" s="6">
        <v>0.427083333333333</v>
      </c>
      <c r="G254" s="6">
        <v>0.475694444444444</v>
      </c>
      <c r="H254" s="7">
        <f t="shared" si="28"/>
        <v>69.9999999999998</v>
      </c>
      <c r="I254" s="7">
        <f t="shared" si="29"/>
        <v>1.16666666666666</v>
      </c>
      <c r="J254" s="8">
        <v>2411</v>
      </c>
      <c r="K254" s="9">
        <v>152.6</v>
      </c>
      <c r="L254" s="8">
        <f>J254*12</f>
        <v>28932</v>
      </c>
      <c r="M254" s="7">
        <f t="shared" si="31"/>
        <v>178.033333333333</v>
      </c>
      <c r="N254" s="10">
        <f t="shared" si="32"/>
        <v>0.993846490621688</v>
      </c>
      <c r="O254" s="11">
        <f t="shared" si="33"/>
        <v>0.214926868061108</v>
      </c>
      <c r="P254" s="11" t="s">
        <v>277</v>
      </c>
      <c r="Q254" s="8">
        <f t="shared" si="34"/>
        <v>12436.528293488</v>
      </c>
      <c r="R254" s="12">
        <f t="shared" si="35"/>
        <v>76.5282934876213</v>
      </c>
    </row>
    <row r="255" ht="14.25" spans="1:18">
      <c r="A255" s="15">
        <v>46086</v>
      </c>
      <c r="B255" s="3">
        <v>12360</v>
      </c>
      <c r="C255" s="3">
        <v>1</v>
      </c>
      <c r="D255" s="4">
        <v>4.88</v>
      </c>
      <c r="E255" s="5">
        <v>0.2136</v>
      </c>
      <c r="F255" s="6">
        <v>0.475694444444444</v>
      </c>
      <c r="G255" s="6">
        <v>0.486111111111111</v>
      </c>
      <c r="H255" s="7">
        <f t="shared" si="28"/>
        <v>15.0000000000005</v>
      </c>
      <c r="I255" s="7">
        <f t="shared" si="29"/>
        <v>0.250000000000008</v>
      </c>
      <c r="J255" s="8">
        <v>2411</v>
      </c>
      <c r="K255" s="9">
        <v>350.98</v>
      </c>
      <c r="L255" s="8">
        <f>J255*12</f>
        <v>28932</v>
      </c>
      <c r="M255" s="7">
        <f t="shared" si="31"/>
        <v>87.745000000003</v>
      </c>
      <c r="N255" s="10">
        <f t="shared" si="32"/>
        <v>0.99696719894926</v>
      </c>
      <c r="O255" s="11">
        <f t="shared" si="33"/>
        <v>0.214249776948651</v>
      </c>
      <c r="P255" s="11" t="s">
        <v>277</v>
      </c>
      <c r="Q255" s="8">
        <f t="shared" si="34"/>
        <v>12397.3490933567</v>
      </c>
      <c r="R255" s="12">
        <f t="shared" si="35"/>
        <v>37.3490933567191</v>
      </c>
    </row>
    <row r="256" ht="14.25" spans="1:18">
      <c r="A256" s="15">
        <v>46086</v>
      </c>
      <c r="B256" s="3">
        <v>12360</v>
      </c>
      <c r="C256" s="3">
        <v>0</v>
      </c>
      <c r="D256" s="4">
        <v>4.88</v>
      </c>
      <c r="E256" s="5">
        <v>0.2136</v>
      </c>
      <c r="F256" s="6">
        <v>0.5</v>
      </c>
      <c r="G256" s="6">
        <v>0.631944444444444</v>
      </c>
      <c r="H256" s="7">
        <f t="shared" si="28"/>
        <v>189.999999999999</v>
      </c>
      <c r="I256" s="7">
        <f t="shared" si="29"/>
        <v>3.16666666666666</v>
      </c>
      <c r="J256" s="8">
        <v>2411</v>
      </c>
      <c r="K256" s="9">
        <v>152.6</v>
      </c>
      <c r="L256" s="8">
        <f>J256*12</f>
        <v>28932</v>
      </c>
      <c r="M256" s="7">
        <f t="shared" si="31"/>
        <v>483.233333333332</v>
      </c>
      <c r="N256" s="10">
        <f t="shared" si="32"/>
        <v>0.983297617401724</v>
      </c>
      <c r="O256" s="11">
        <f t="shared" si="33"/>
        <v>0.217228228991766</v>
      </c>
      <c r="P256" s="11" t="s">
        <v>277</v>
      </c>
      <c r="Q256" s="8">
        <f t="shared" si="34"/>
        <v>12569.6942423796</v>
      </c>
      <c r="R256" s="12">
        <f t="shared" si="35"/>
        <v>209.694242379577</v>
      </c>
    </row>
    <row r="257" ht="14.25" spans="1:18">
      <c r="A257" s="15">
        <v>46086</v>
      </c>
      <c r="B257" s="3">
        <v>12360</v>
      </c>
      <c r="C257" s="3">
        <v>0</v>
      </c>
      <c r="D257" s="4">
        <v>4.88</v>
      </c>
      <c r="E257" s="5">
        <v>0.2136</v>
      </c>
      <c r="F257" s="6">
        <v>0.631944444444444</v>
      </c>
      <c r="G257" s="6">
        <v>0.6875</v>
      </c>
      <c r="H257" s="7">
        <f t="shared" si="28"/>
        <v>80.0000000000007</v>
      </c>
      <c r="I257" s="7">
        <f t="shared" si="29"/>
        <v>1.33333333333334</v>
      </c>
      <c r="J257" s="8">
        <v>2411</v>
      </c>
      <c r="K257" s="9">
        <v>152.6</v>
      </c>
      <c r="L257" s="8">
        <f>J257*12</f>
        <v>28932</v>
      </c>
      <c r="M257" s="7">
        <f t="shared" si="31"/>
        <v>203.466666666668</v>
      </c>
      <c r="N257" s="10">
        <f t="shared" si="32"/>
        <v>0.992967417853357</v>
      </c>
      <c r="O257" s="11">
        <f t="shared" si="33"/>
        <v>0.215112798425723</v>
      </c>
      <c r="P257" s="11" t="s">
        <v>277</v>
      </c>
      <c r="Q257" s="8">
        <f t="shared" si="34"/>
        <v>12447.286968106</v>
      </c>
      <c r="R257" s="12">
        <f t="shared" si="35"/>
        <v>87.2869681060438</v>
      </c>
    </row>
    <row r="258" ht="14.25" spans="1:18">
      <c r="A258" s="15">
        <v>46087</v>
      </c>
      <c r="B258" s="3">
        <f>Data_Entry!P342</f>
        <v>14220</v>
      </c>
      <c r="C258" s="3">
        <v>0</v>
      </c>
      <c r="D258" s="4">
        <f>Data_Entry!V342</f>
        <v>5.11</v>
      </c>
      <c r="E258" s="5">
        <f t="shared" ref="E258:E265" si="36">B258/(24*J258)</f>
        <v>0.245748652011614</v>
      </c>
      <c r="F258" s="6">
        <v>0</v>
      </c>
      <c r="G258" s="6">
        <v>0</v>
      </c>
      <c r="H258" s="7">
        <f t="shared" si="28"/>
        <v>0</v>
      </c>
      <c r="I258" s="7">
        <f t="shared" si="29"/>
        <v>0</v>
      </c>
      <c r="J258" s="8">
        <v>2411</v>
      </c>
      <c r="K258" s="9"/>
      <c r="L258" s="8">
        <f t="shared" ref="L258:L265" si="37">J258*12</f>
        <v>28932</v>
      </c>
      <c r="M258" s="7">
        <f t="shared" si="31"/>
        <v>0</v>
      </c>
      <c r="N258" s="10">
        <f t="shared" si="32"/>
        <v>1</v>
      </c>
      <c r="O258" s="11">
        <f t="shared" si="33"/>
        <v>0.245748652011614</v>
      </c>
      <c r="P258" s="11"/>
      <c r="Q258" s="8">
        <f t="shared" si="34"/>
        <v>14220</v>
      </c>
      <c r="R258" s="12">
        <f t="shared" si="35"/>
        <v>0</v>
      </c>
    </row>
    <row r="259" ht="14.25" spans="1:18">
      <c r="A259" s="15">
        <v>46088</v>
      </c>
      <c r="B259" s="3">
        <f>Data_Entry!P343</f>
        <v>12929.9999999998</v>
      </c>
      <c r="C259" s="3">
        <v>0</v>
      </c>
      <c r="D259" s="4">
        <f>Data_Entry!V343</f>
        <v>4.7</v>
      </c>
      <c r="E259" s="5">
        <f t="shared" si="36"/>
        <v>0.223454997926169</v>
      </c>
      <c r="F259" s="6">
        <v>0</v>
      </c>
      <c r="G259" s="6">
        <v>0</v>
      </c>
      <c r="H259" s="7">
        <f t="shared" si="28"/>
        <v>0</v>
      </c>
      <c r="I259" s="7">
        <f t="shared" si="29"/>
        <v>0</v>
      </c>
      <c r="J259" s="8">
        <v>2411</v>
      </c>
      <c r="K259" s="9"/>
      <c r="L259" s="8">
        <f t="shared" si="37"/>
        <v>28932</v>
      </c>
      <c r="M259" s="7">
        <f t="shared" si="31"/>
        <v>0</v>
      </c>
      <c r="N259" s="10">
        <f t="shared" si="32"/>
        <v>1</v>
      </c>
      <c r="O259" s="11">
        <f t="shared" si="33"/>
        <v>0.223454997926169</v>
      </c>
      <c r="P259" s="11"/>
      <c r="Q259" s="8">
        <f t="shared" si="34"/>
        <v>12929.9999999998</v>
      </c>
      <c r="R259" s="12">
        <f t="shared" si="35"/>
        <v>0</v>
      </c>
    </row>
    <row r="260" ht="14.25" spans="1:18">
      <c r="A260" s="15">
        <v>46089</v>
      </c>
      <c r="B260" s="3">
        <f>Data_Entry!P344</f>
        <v>13380.0000000001</v>
      </c>
      <c r="C260" s="3">
        <v>0</v>
      </c>
      <c r="D260" s="4">
        <f>Data_Entry!V344</f>
        <v>4.9</v>
      </c>
      <c r="E260" s="5">
        <f t="shared" si="36"/>
        <v>0.23123185400249</v>
      </c>
      <c r="F260" s="6">
        <v>0</v>
      </c>
      <c r="G260" s="6">
        <v>0</v>
      </c>
      <c r="H260" s="7">
        <f t="shared" si="28"/>
        <v>0</v>
      </c>
      <c r="I260" s="7">
        <f t="shared" si="29"/>
        <v>0</v>
      </c>
      <c r="J260" s="8">
        <v>2411</v>
      </c>
      <c r="K260" s="9"/>
      <c r="L260" s="8">
        <f t="shared" si="37"/>
        <v>28932</v>
      </c>
      <c r="M260" s="7">
        <f t="shared" si="31"/>
        <v>0</v>
      </c>
      <c r="N260" s="10">
        <f t="shared" si="32"/>
        <v>1</v>
      </c>
      <c r="O260" s="11">
        <f t="shared" si="33"/>
        <v>0.23123185400249</v>
      </c>
      <c r="P260" s="11"/>
      <c r="Q260" s="8">
        <f t="shared" si="34"/>
        <v>13380.0000000001</v>
      </c>
      <c r="R260" s="12">
        <f t="shared" si="35"/>
        <v>0</v>
      </c>
    </row>
    <row r="261" ht="14.25" spans="1:18">
      <c r="A261" s="15">
        <v>46090</v>
      </c>
      <c r="B261" s="3">
        <f>Data_Entry!P345</f>
        <v>13440.0000000001</v>
      </c>
      <c r="C261" s="3">
        <v>0</v>
      </c>
      <c r="D261" s="4">
        <f>Data_Entry!V345</f>
        <v>5.06</v>
      </c>
      <c r="E261" s="5">
        <f t="shared" si="36"/>
        <v>0.232268768145998</v>
      </c>
      <c r="F261" s="6">
        <v>0</v>
      </c>
      <c r="G261" s="6">
        <v>0</v>
      </c>
      <c r="H261" s="7">
        <f>(G261-F261)*24*60</f>
        <v>0</v>
      </c>
      <c r="I261" s="7">
        <f>H261/60</f>
        <v>0</v>
      </c>
      <c r="J261" s="8">
        <v>2411</v>
      </c>
      <c r="K261" s="9"/>
      <c r="L261" s="8">
        <f t="shared" si="37"/>
        <v>28932</v>
      </c>
      <c r="M261" s="7">
        <f>K261*I261</f>
        <v>0</v>
      </c>
      <c r="N261" s="10">
        <f>(L261-M261)/L261</f>
        <v>1</v>
      </c>
      <c r="O261" s="11">
        <f>E261/N261</f>
        <v>0.232268768145998</v>
      </c>
      <c r="P261" s="11"/>
      <c r="Q261" s="8">
        <f>O261*J261*24</f>
        <v>13440.0000000001</v>
      </c>
      <c r="R261" s="12">
        <f>Q261-B261</f>
        <v>0</v>
      </c>
    </row>
    <row r="262" ht="14.25" spans="1:18">
      <c r="A262" s="15">
        <v>46091</v>
      </c>
      <c r="B262" s="3">
        <f>Data_Entry!P346</f>
        <v>13229.9999999996</v>
      </c>
      <c r="C262" s="3">
        <v>0</v>
      </c>
      <c r="D262" s="4">
        <f>Data_Entry!V346</f>
        <v>5.02</v>
      </c>
      <c r="E262" s="5">
        <f t="shared" si="36"/>
        <v>0.228639568643709</v>
      </c>
      <c r="F262" s="6">
        <v>0</v>
      </c>
      <c r="G262" s="6">
        <v>0</v>
      </c>
      <c r="H262" s="7">
        <f>(G262-F262)*24*60</f>
        <v>0</v>
      </c>
      <c r="I262" s="7">
        <f>H262/60</f>
        <v>0</v>
      </c>
      <c r="J262" s="8">
        <v>2411</v>
      </c>
      <c r="K262" s="9"/>
      <c r="L262" s="8">
        <f t="shared" si="37"/>
        <v>28932</v>
      </c>
      <c r="M262" s="7">
        <f>K262*I262</f>
        <v>0</v>
      </c>
      <c r="N262" s="10">
        <f>(L262-M262)/L262</f>
        <v>1</v>
      </c>
      <c r="O262" s="11">
        <f>E262/N262</f>
        <v>0.228639568643709</v>
      </c>
      <c r="P262" s="11"/>
      <c r="Q262" s="8">
        <f>O262*J262*24</f>
        <v>13229.9999999996</v>
      </c>
      <c r="R262" s="12">
        <f>Q262-B262</f>
        <v>0</v>
      </c>
    </row>
    <row r="263" ht="14.25" spans="1:18">
      <c r="A263" s="15">
        <v>46092</v>
      </c>
      <c r="B263" s="3">
        <f>Data_Entry!P347</f>
        <v>12960.0000000005</v>
      </c>
      <c r="C263" s="3">
        <v>0</v>
      </c>
      <c r="D263" s="4">
        <f>Data_Entry!V347</f>
        <v>4.98</v>
      </c>
      <c r="E263" s="5">
        <f t="shared" si="36"/>
        <v>0.223973454997935</v>
      </c>
      <c r="F263" s="6">
        <v>0</v>
      </c>
      <c r="G263" s="6">
        <v>0</v>
      </c>
      <c r="H263" s="7">
        <f>(G263-F263)*24*60</f>
        <v>0</v>
      </c>
      <c r="I263" s="7">
        <f>H263/60</f>
        <v>0</v>
      </c>
      <c r="J263" s="8">
        <v>2411</v>
      </c>
      <c r="K263" s="9"/>
      <c r="L263" s="8">
        <f t="shared" si="37"/>
        <v>28932</v>
      </c>
      <c r="M263" s="7">
        <f>K263*I263</f>
        <v>0</v>
      </c>
      <c r="N263" s="10">
        <f>(L263-M263)/L263</f>
        <v>1</v>
      </c>
      <c r="O263" s="11">
        <f>E263/N263</f>
        <v>0.223973454997935</v>
      </c>
      <c r="P263" s="11"/>
      <c r="Q263" s="8">
        <f>O263*J263*24</f>
        <v>12960.0000000005</v>
      </c>
      <c r="R263" s="12">
        <f>Q263-B263</f>
        <v>0</v>
      </c>
    </row>
    <row r="264" ht="14.25" spans="1:18">
      <c r="A264" s="15">
        <v>46093</v>
      </c>
      <c r="B264" s="3">
        <f>Data_Entry!P348</f>
        <v>13079.9999999997</v>
      </c>
      <c r="C264" s="3">
        <v>0</v>
      </c>
      <c r="D264" s="4">
        <f>Data_Entry!V348</f>
        <v>4.97</v>
      </c>
      <c r="E264" s="5">
        <f t="shared" si="36"/>
        <v>0.226047283284939</v>
      </c>
      <c r="F264" s="6">
        <v>0</v>
      </c>
      <c r="G264" s="6">
        <v>0</v>
      </c>
      <c r="H264" s="7">
        <f>(G264-F264)*24*60</f>
        <v>0</v>
      </c>
      <c r="I264" s="7">
        <f>H264/60</f>
        <v>0</v>
      </c>
      <c r="J264" s="8">
        <v>2411</v>
      </c>
      <c r="K264" s="9"/>
      <c r="L264" s="8">
        <f t="shared" si="37"/>
        <v>28932</v>
      </c>
      <c r="M264" s="7">
        <f>K264*I264</f>
        <v>0</v>
      </c>
      <c r="N264" s="10">
        <f>(L264-M264)/L264</f>
        <v>1</v>
      </c>
      <c r="O264" s="11">
        <f>E264/N264</f>
        <v>0.226047283284939</v>
      </c>
      <c r="P264" s="11"/>
      <c r="Q264" s="8">
        <f>O264*J264*24</f>
        <v>13079.9999999997</v>
      </c>
      <c r="R264" s="12">
        <f>Q264-B264</f>
        <v>0</v>
      </c>
    </row>
    <row r="265" ht="14.25" spans="1:18">
      <c r="A265" s="15">
        <v>46094</v>
      </c>
      <c r="B265" s="3">
        <f>Data_Entry!P349</f>
        <v>12869.9999999999</v>
      </c>
      <c r="C265" s="3">
        <v>0</v>
      </c>
      <c r="D265" s="4">
        <f>Data_Entry!V349</f>
        <v>4.91</v>
      </c>
      <c r="E265" s="5">
        <f t="shared" si="36"/>
        <v>0.222418083782661</v>
      </c>
      <c r="F265" s="6">
        <v>0</v>
      </c>
      <c r="G265" s="6">
        <v>0</v>
      </c>
      <c r="H265" s="7">
        <f>(G265-F265)*24*60</f>
        <v>0</v>
      </c>
      <c r="I265" s="7">
        <f>H265/60</f>
        <v>0</v>
      </c>
      <c r="J265" s="8">
        <v>2411</v>
      </c>
      <c r="K265" s="9"/>
      <c r="L265" s="8">
        <f t="shared" si="37"/>
        <v>28932</v>
      </c>
      <c r="M265" s="7">
        <f>K265*I265</f>
        <v>0</v>
      </c>
      <c r="N265" s="10">
        <f>(L265-M265)/L265</f>
        <v>1</v>
      </c>
      <c r="O265" s="11">
        <f>E265/N265</f>
        <v>0.222418083782661</v>
      </c>
      <c r="P265" s="11"/>
      <c r="Q265" s="8">
        <f>O265*J265*24</f>
        <v>12869.9999999999</v>
      </c>
      <c r="R265" s="12">
        <f>Q265-B265</f>
        <v>0</v>
      </c>
    </row>
    <row r="266" ht="14.25" spans="1:18">
      <c r="A266" s="15">
        <v>46095</v>
      </c>
      <c r="B266" s="3">
        <f>Data_Entry!P350</f>
        <v>13530</v>
      </c>
      <c r="C266" s="3">
        <v>0</v>
      </c>
      <c r="D266" s="4">
        <f>Data_Entry!V350</f>
        <v>5.26</v>
      </c>
      <c r="E266" s="5">
        <f t="shared" ref="E266:E280" si="38">B266/(24*J266)</f>
        <v>0.23382413936126</v>
      </c>
      <c r="F266" s="6">
        <v>0.569444444444444</v>
      </c>
      <c r="G266" s="6">
        <v>0.604166666666667</v>
      </c>
      <c r="H266" s="7">
        <f t="shared" ref="H266:H314" si="39">(G266-F266)*24*60</f>
        <v>50.0000000000011</v>
      </c>
      <c r="I266" s="7">
        <f t="shared" ref="I266:I314" si="40">H266/60</f>
        <v>0.833333333333352</v>
      </c>
      <c r="J266" s="8">
        <v>2411</v>
      </c>
      <c r="K266" s="9">
        <v>152.6</v>
      </c>
      <c r="L266" s="8">
        <f t="shared" ref="L266:L316" si="41">J266*12</f>
        <v>28932</v>
      </c>
      <c r="M266" s="7">
        <f t="shared" ref="M266:M316" si="42">K266*I266</f>
        <v>127.16666666667</v>
      </c>
      <c r="N266" s="10">
        <f t="shared" ref="N266:N316" si="43">(L266-M266)/L266</f>
        <v>0.995604636158348</v>
      </c>
      <c r="O266" s="11">
        <f t="shared" ref="O266:O316" si="44">E266/N266</f>
        <v>0.234856418772312</v>
      </c>
      <c r="P266" s="11" t="s">
        <v>277</v>
      </c>
      <c r="Q266" s="8">
        <f t="shared" ref="Q266:Q316" si="45">O266*J266*24</f>
        <v>13589.731815841</v>
      </c>
      <c r="R266" s="12">
        <f t="shared" ref="R266:R316" si="46">Q266-B266</f>
        <v>59.7318158410417</v>
      </c>
    </row>
    <row r="267" ht="14.25" spans="1:18">
      <c r="A267" s="15">
        <v>46096</v>
      </c>
      <c r="B267" s="3">
        <f>Data_Entry!P351</f>
        <v>12960.0000000005</v>
      </c>
      <c r="C267" s="3">
        <v>0</v>
      </c>
      <c r="D267" s="4">
        <f>Data_Entry!V351</f>
        <v>5.08</v>
      </c>
      <c r="E267" s="5">
        <f t="shared" si="38"/>
        <v>0.223973454997935</v>
      </c>
      <c r="F267" s="6">
        <v>0.465277777777778</v>
      </c>
      <c r="G267" s="6">
        <v>0.590277777777778</v>
      </c>
      <c r="H267" s="7">
        <f t="shared" si="39"/>
        <v>180</v>
      </c>
      <c r="I267" s="7">
        <f t="shared" si="40"/>
        <v>3</v>
      </c>
      <c r="J267" s="8">
        <v>2411</v>
      </c>
      <c r="K267" s="9">
        <v>152.6</v>
      </c>
      <c r="L267" s="8">
        <f t="shared" si="41"/>
        <v>28932</v>
      </c>
      <c r="M267" s="7">
        <f t="shared" si="42"/>
        <v>457.8</v>
      </c>
      <c r="N267" s="10">
        <f t="shared" si="43"/>
        <v>0.984176690170054</v>
      </c>
      <c r="O267" s="11">
        <f t="shared" si="44"/>
        <v>0.227574435805054</v>
      </c>
      <c r="P267" s="11" t="s">
        <v>277</v>
      </c>
      <c r="Q267" s="8">
        <f t="shared" si="45"/>
        <v>13168.3671534236</v>
      </c>
      <c r="R267" s="12">
        <f t="shared" si="46"/>
        <v>208.36715342312</v>
      </c>
    </row>
    <row r="268" ht="14.25" spans="1:18">
      <c r="A268" s="15">
        <v>46097</v>
      </c>
      <c r="B268" s="3">
        <f>Data_Entry!P352</f>
        <v>13229.9999999996</v>
      </c>
      <c r="C268" s="3">
        <v>0</v>
      </c>
      <c r="D268" s="4">
        <f>Data_Entry!V352</f>
        <v>5.17</v>
      </c>
      <c r="E268" s="5">
        <f t="shared" si="38"/>
        <v>0.228639568643709</v>
      </c>
      <c r="F268" s="6">
        <v>0.555555555555556</v>
      </c>
      <c r="G268" s="6">
        <v>0.625</v>
      </c>
      <c r="H268" s="7">
        <f t="shared" si="39"/>
        <v>99.9999999999993</v>
      </c>
      <c r="I268" s="7">
        <f t="shared" si="40"/>
        <v>1.66666666666666</v>
      </c>
      <c r="J268" s="8">
        <v>2411</v>
      </c>
      <c r="K268" s="9">
        <v>152.6</v>
      </c>
      <c r="L268" s="8">
        <f t="shared" si="41"/>
        <v>28932</v>
      </c>
      <c r="M268" s="7">
        <f t="shared" si="42"/>
        <v>254.333333333332</v>
      </c>
      <c r="N268" s="10">
        <f t="shared" si="43"/>
        <v>0.991209272316697</v>
      </c>
      <c r="O268" s="11">
        <f t="shared" si="44"/>
        <v>0.230667302081752</v>
      </c>
      <c r="P268" s="11" t="s">
        <v>277</v>
      </c>
      <c r="Q268" s="8">
        <f t="shared" si="45"/>
        <v>13347.3327676585</v>
      </c>
      <c r="R268" s="12">
        <f t="shared" si="46"/>
        <v>117.332767658896</v>
      </c>
    </row>
    <row r="269" ht="14.25" spans="1:18">
      <c r="A269" s="15">
        <v>46098</v>
      </c>
      <c r="B269" s="3">
        <f>Data_Entry!P353</f>
        <v>13200.0000000003</v>
      </c>
      <c r="C269" s="3">
        <v>0</v>
      </c>
      <c r="D269" s="4">
        <f>Data_Entry!V353</f>
        <v>5.02</v>
      </c>
      <c r="E269" s="5">
        <f t="shared" si="38"/>
        <v>0.228121111571967</v>
      </c>
      <c r="F269" s="6">
        <v>0.517361111111111</v>
      </c>
      <c r="G269" s="6">
        <v>0.552083333333333</v>
      </c>
      <c r="H269" s="7">
        <f t="shared" si="39"/>
        <v>49.9999999999997</v>
      </c>
      <c r="I269" s="7">
        <f t="shared" si="40"/>
        <v>0.833333333333328</v>
      </c>
      <c r="J269" s="8">
        <v>2411</v>
      </c>
      <c r="K269" s="9">
        <v>152.6</v>
      </c>
      <c r="L269" s="8">
        <f t="shared" si="41"/>
        <v>28932</v>
      </c>
      <c r="M269" s="7">
        <f t="shared" si="42"/>
        <v>127.166666666666</v>
      </c>
      <c r="N269" s="10">
        <f t="shared" si="43"/>
        <v>0.995604636158348</v>
      </c>
      <c r="O269" s="11">
        <f t="shared" si="44"/>
        <v>0.229128213436408</v>
      </c>
      <c r="P269" s="11" t="s">
        <v>277</v>
      </c>
      <c r="Q269" s="8">
        <f t="shared" si="45"/>
        <v>13258.2749422843</v>
      </c>
      <c r="R269" s="12">
        <f t="shared" si="46"/>
        <v>58.2749422839897</v>
      </c>
    </row>
    <row r="270" ht="14.25" spans="1:18">
      <c r="A270" s="15">
        <v>46099</v>
      </c>
      <c r="B270" s="3">
        <f>Data_Entry!P354</f>
        <v>13380.0000000001</v>
      </c>
      <c r="C270" s="3">
        <v>0</v>
      </c>
      <c r="D270" s="4">
        <f>Data_Entry!V354</f>
        <v>5.03</v>
      </c>
      <c r="E270" s="5">
        <f t="shared" si="38"/>
        <v>0.23123185400249</v>
      </c>
      <c r="F270" s="6">
        <v>0</v>
      </c>
      <c r="G270" s="6">
        <v>0</v>
      </c>
      <c r="H270" s="7">
        <f t="shared" si="39"/>
        <v>0</v>
      </c>
      <c r="I270" s="7">
        <f t="shared" si="40"/>
        <v>0</v>
      </c>
      <c r="J270" s="8">
        <v>2411</v>
      </c>
      <c r="K270" s="9"/>
      <c r="L270" s="8">
        <f t="shared" si="41"/>
        <v>28932</v>
      </c>
      <c r="M270" s="7">
        <f t="shared" si="42"/>
        <v>0</v>
      </c>
      <c r="N270" s="10">
        <f t="shared" si="43"/>
        <v>1</v>
      </c>
      <c r="O270" s="11">
        <f t="shared" si="44"/>
        <v>0.23123185400249</v>
      </c>
      <c r="P270" s="11"/>
      <c r="Q270" s="8">
        <f t="shared" si="45"/>
        <v>13380.0000000001</v>
      </c>
      <c r="R270" s="12">
        <f t="shared" si="46"/>
        <v>-1.81898940354586e-11</v>
      </c>
    </row>
    <row r="271" ht="14.25" spans="1:18">
      <c r="A271" s="15">
        <v>46100</v>
      </c>
      <c r="B271" s="3">
        <f>Data_Entry!P355</f>
        <v>9899.99999999986</v>
      </c>
      <c r="C271" s="3">
        <v>1</v>
      </c>
      <c r="D271" s="4">
        <f>Data_Entry!V355</f>
        <v>3.97</v>
      </c>
      <c r="E271" s="5">
        <f t="shared" si="38"/>
        <v>0.171090833678969</v>
      </c>
      <c r="F271" s="6">
        <v>0.381944444444444</v>
      </c>
      <c r="G271" s="6">
        <v>0.59375</v>
      </c>
      <c r="H271" s="7">
        <f t="shared" si="39"/>
        <v>305.000000000001</v>
      </c>
      <c r="I271" s="7">
        <f t="shared" si="40"/>
        <v>5.08333333333334</v>
      </c>
      <c r="J271" s="8">
        <v>2411</v>
      </c>
      <c r="K271" s="9">
        <v>350.98</v>
      </c>
      <c r="L271" s="8">
        <f t="shared" si="41"/>
        <v>28932</v>
      </c>
      <c r="M271" s="7">
        <f t="shared" si="42"/>
        <v>1784.14833333334</v>
      </c>
      <c r="N271" s="10">
        <f t="shared" si="43"/>
        <v>0.938333045301627</v>
      </c>
      <c r="O271" s="11">
        <f t="shared" si="44"/>
        <v>0.18233486983715</v>
      </c>
      <c r="P271" s="11" t="s">
        <v>277</v>
      </c>
      <c r="Q271" s="8">
        <f t="shared" si="45"/>
        <v>10550.6249082569</v>
      </c>
      <c r="R271" s="12">
        <f t="shared" si="46"/>
        <v>650.624908257007</v>
      </c>
    </row>
    <row r="272" ht="14.25" spans="1:18">
      <c r="A272" s="15">
        <v>46101</v>
      </c>
      <c r="B272" s="3">
        <f>Data_Entry!P356</f>
        <v>12540.0000000002</v>
      </c>
      <c r="C272" s="3">
        <v>0</v>
      </c>
      <c r="D272" s="4">
        <f>Data_Entry!V356</f>
        <v>4.49</v>
      </c>
      <c r="E272" s="5">
        <f t="shared" si="38"/>
        <v>0.216715055993367</v>
      </c>
      <c r="F272" s="6">
        <v>0</v>
      </c>
      <c r="G272" s="6">
        <v>0</v>
      </c>
      <c r="H272" s="7">
        <f t="shared" si="39"/>
        <v>0</v>
      </c>
      <c r="I272" s="7">
        <f t="shared" si="40"/>
        <v>0</v>
      </c>
      <c r="J272" s="8">
        <v>2411</v>
      </c>
      <c r="K272" s="9"/>
      <c r="L272" s="8">
        <f t="shared" si="41"/>
        <v>28932</v>
      </c>
      <c r="M272" s="7">
        <f t="shared" si="42"/>
        <v>0</v>
      </c>
      <c r="N272" s="10">
        <f t="shared" si="43"/>
        <v>1</v>
      </c>
      <c r="O272" s="11">
        <f t="shared" si="44"/>
        <v>0.216715055993367</v>
      </c>
      <c r="P272" s="11"/>
      <c r="Q272" s="8">
        <f t="shared" si="45"/>
        <v>12540.0000000002</v>
      </c>
      <c r="R272" s="12">
        <f t="shared" si="46"/>
        <v>0</v>
      </c>
    </row>
    <row r="273" ht="14.25" spans="1:18">
      <c r="A273" s="15">
        <v>46102</v>
      </c>
      <c r="B273" s="3">
        <f>Data_Entry!P357</f>
        <v>13679.9999999998</v>
      </c>
      <c r="C273" s="3">
        <v>0</v>
      </c>
      <c r="D273" s="4">
        <f>Data_Entry!V357</f>
        <v>5.04</v>
      </c>
      <c r="E273" s="5">
        <f t="shared" si="38"/>
        <v>0.23641642472003</v>
      </c>
      <c r="F273" s="6">
        <v>0</v>
      </c>
      <c r="G273" s="6">
        <v>0</v>
      </c>
      <c r="H273" s="7">
        <f t="shared" si="39"/>
        <v>0</v>
      </c>
      <c r="I273" s="7">
        <f t="shared" si="40"/>
        <v>0</v>
      </c>
      <c r="J273" s="8">
        <v>2411</v>
      </c>
      <c r="K273" s="9"/>
      <c r="L273" s="8">
        <f t="shared" si="41"/>
        <v>28932</v>
      </c>
      <c r="M273" s="7">
        <f t="shared" si="42"/>
        <v>0</v>
      </c>
      <c r="N273" s="10">
        <f t="shared" si="43"/>
        <v>1</v>
      </c>
      <c r="O273" s="11">
        <f t="shared" si="44"/>
        <v>0.23641642472003</v>
      </c>
      <c r="P273" s="11"/>
      <c r="Q273" s="8">
        <f t="shared" si="45"/>
        <v>13679.9999999998</v>
      </c>
      <c r="R273" s="12">
        <f t="shared" si="46"/>
        <v>1.45519152283669e-11</v>
      </c>
    </row>
    <row r="274" ht="14.25" spans="1:18">
      <c r="A274" s="15">
        <v>46103</v>
      </c>
      <c r="B274" s="3">
        <f>Data_Entry!P358</f>
        <v>13320.0000000002</v>
      </c>
      <c r="C274" s="3">
        <v>0</v>
      </c>
      <c r="D274" s="4">
        <f>Data_Entry!V358</f>
        <v>5.33</v>
      </c>
      <c r="E274" s="5">
        <f t="shared" si="38"/>
        <v>0.230194939858983</v>
      </c>
      <c r="F274" s="6">
        <v>0.517361111111111</v>
      </c>
      <c r="G274" s="6">
        <v>0.59375</v>
      </c>
      <c r="H274" s="7">
        <f t="shared" si="39"/>
        <v>110</v>
      </c>
      <c r="I274" s="7">
        <f t="shared" si="40"/>
        <v>1.83333333333333</v>
      </c>
      <c r="J274" s="8">
        <v>2411</v>
      </c>
      <c r="K274" s="9">
        <v>152.6</v>
      </c>
      <c r="L274" s="8">
        <f t="shared" si="41"/>
        <v>28932</v>
      </c>
      <c r="M274" s="7">
        <f t="shared" si="42"/>
        <v>279.766666666666</v>
      </c>
      <c r="N274" s="10">
        <f t="shared" si="43"/>
        <v>0.990330199548366</v>
      </c>
      <c r="O274" s="11">
        <f t="shared" si="44"/>
        <v>0.232442613548453</v>
      </c>
      <c r="P274" s="11" t="s">
        <v>277</v>
      </c>
      <c r="Q274" s="8">
        <f t="shared" si="45"/>
        <v>13450.0593903677</v>
      </c>
      <c r="R274" s="12">
        <f t="shared" si="46"/>
        <v>130.059390367471</v>
      </c>
    </row>
    <row r="275" ht="14.25" spans="1:18">
      <c r="A275" s="15">
        <v>46104</v>
      </c>
      <c r="B275" s="3">
        <f>Data_Entry!P359</f>
        <v>14250</v>
      </c>
      <c r="C275" s="3">
        <v>0</v>
      </c>
      <c r="D275" s="4">
        <f>Data_Entry!V359</f>
        <v>5.48</v>
      </c>
      <c r="E275" s="5">
        <f t="shared" si="38"/>
        <v>0.246267109083368</v>
      </c>
      <c r="F275" s="6">
        <v>0.520833333333333</v>
      </c>
      <c r="G275" s="6">
        <v>0.604166666666667</v>
      </c>
      <c r="H275" s="7">
        <f t="shared" si="39"/>
        <v>120.000000000001</v>
      </c>
      <c r="I275" s="7">
        <f t="shared" si="40"/>
        <v>2.00000000000001</v>
      </c>
      <c r="J275" s="8">
        <v>2411</v>
      </c>
      <c r="K275" s="9">
        <v>152.6</v>
      </c>
      <c r="L275" s="8">
        <f t="shared" si="41"/>
        <v>28932</v>
      </c>
      <c r="M275" s="7">
        <f t="shared" si="42"/>
        <v>305.200000000002</v>
      </c>
      <c r="N275" s="10">
        <f t="shared" si="43"/>
        <v>0.989451126780036</v>
      </c>
      <c r="O275" s="11">
        <f t="shared" si="44"/>
        <v>0.248892646051951</v>
      </c>
      <c r="P275" s="11" t="s">
        <v>277</v>
      </c>
      <c r="Q275" s="8">
        <f t="shared" si="45"/>
        <v>14401.9240711501</v>
      </c>
      <c r="R275" s="12">
        <f t="shared" si="46"/>
        <v>151.924071150117</v>
      </c>
    </row>
    <row r="276" ht="14.25" spans="1:18">
      <c r="A276" s="15">
        <v>46105</v>
      </c>
      <c r="B276" s="3">
        <f>Data_Entry!P360</f>
        <v>11910.0000000001</v>
      </c>
      <c r="C276" s="3">
        <v>0</v>
      </c>
      <c r="D276" s="4">
        <f>Data_Entry!V360</f>
        <v>5.17</v>
      </c>
      <c r="E276" s="5">
        <f t="shared" si="38"/>
        <v>0.205827457486522</v>
      </c>
      <c r="F276" s="6">
        <v>0</v>
      </c>
      <c r="G276" s="6">
        <v>0</v>
      </c>
      <c r="H276" s="7">
        <f t="shared" si="39"/>
        <v>0</v>
      </c>
      <c r="I276" s="7">
        <f t="shared" si="40"/>
        <v>0</v>
      </c>
      <c r="J276" s="8">
        <v>2411</v>
      </c>
      <c r="K276" s="9"/>
      <c r="L276" s="8">
        <f t="shared" si="41"/>
        <v>28932</v>
      </c>
      <c r="M276" s="7">
        <f t="shared" si="42"/>
        <v>0</v>
      </c>
      <c r="N276" s="10">
        <f t="shared" si="43"/>
        <v>1</v>
      </c>
      <c r="O276" s="11">
        <f t="shared" si="44"/>
        <v>0.205827457486522</v>
      </c>
      <c r="P276" s="11"/>
      <c r="Q276" s="8">
        <f t="shared" si="45"/>
        <v>11910.0000000001</v>
      </c>
      <c r="R276" s="12">
        <f t="shared" si="46"/>
        <v>0</v>
      </c>
    </row>
    <row r="277" ht="14.25" spans="1:18">
      <c r="A277" s="15">
        <v>46106</v>
      </c>
      <c r="B277" s="3">
        <f>Data_Entry!P361</f>
        <v>12869.9999999999</v>
      </c>
      <c r="C277" s="3">
        <v>0</v>
      </c>
      <c r="D277" s="4">
        <f>Data_Entry!V361</f>
        <v>5.27</v>
      </c>
      <c r="E277" s="5">
        <f t="shared" si="38"/>
        <v>0.222418083782661</v>
      </c>
      <c r="F277" s="6">
        <v>0</v>
      </c>
      <c r="G277" s="6">
        <v>0</v>
      </c>
      <c r="H277" s="7">
        <f t="shared" si="39"/>
        <v>0</v>
      </c>
      <c r="I277" s="7">
        <f t="shared" si="40"/>
        <v>0</v>
      </c>
      <c r="J277" s="8">
        <v>2411</v>
      </c>
      <c r="K277" s="9"/>
      <c r="L277" s="8">
        <f t="shared" si="41"/>
        <v>28932</v>
      </c>
      <c r="M277" s="7">
        <f t="shared" si="42"/>
        <v>0</v>
      </c>
      <c r="N277" s="10">
        <f t="shared" si="43"/>
        <v>1</v>
      </c>
      <c r="O277" s="11">
        <f t="shared" si="44"/>
        <v>0.222418083782661</v>
      </c>
      <c r="P277" s="11"/>
      <c r="Q277" s="8">
        <f t="shared" si="45"/>
        <v>12869.9999999999</v>
      </c>
      <c r="R277" s="12">
        <f t="shared" si="46"/>
        <v>0</v>
      </c>
    </row>
    <row r="278" ht="14.25" spans="1:18">
      <c r="A278" s="15">
        <v>46107</v>
      </c>
      <c r="B278" s="3">
        <f>Data_Entry!P362</f>
        <v>13109.9999999997</v>
      </c>
      <c r="C278" s="3">
        <v>7</v>
      </c>
      <c r="D278" s="4">
        <f>Data_Entry!V362</f>
        <v>5.69</v>
      </c>
      <c r="E278" s="5">
        <f t="shared" si="38"/>
        <v>0.226565740356693</v>
      </c>
      <c r="F278" s="6">
        <v>0.534722222222222</v>
      </c>
      <c r="G278" s="6">
        <v>0.545138888888889</v>
      </c>
      <c r="H278" s="7">
        <f t="shared" si="39"/>
        <v>14.9999999999999</v>
      </c>
      <c r="I278" s="7">
        <f t="shared" si="40"/>
        <v>0.249999999999999</v>
      </c>
      <c r="J278" s="8">
        <v>2411</v>
      </c>
      <c r="K278" s="9">
        <v>2411</v>
      </c>
      <c r="L278" s="8">
        <f t="shared" si="41"/>
        <v>28932</v>
      </c>
      <c r="M278" s="7">
        <f t="shared" si="42"/>
        <v>602.749999999998</v>
      </c>
      <c r="N278" s="10">
        <f t="shared" si="43"/>
        <v>0.979166666666667</v>
      </c>
      <c r="O278" s="11">
        <f t="shared" si="44"/>
        <v>0.231386288023857</v>
      </c>
      <c r="P278" s="18"/>
      <c r="Q278" s="8">
        <f t="shared" si="45"/>
        <v>13388.9361702124</v>
      </c>
      <c r="R278" s="12">
        <f t="shared" si="46"/>
        <v>278.936170212741</v>
      </c>
    </row>
    <row r="279" ht="14.25" spans="1:18">
      <c r="A279" s="15">
        <v>46108</v>
      </c>
      <c r="B279" s="3">
        <f>Data_Entry!P363</f>
        <v>14040.0000000002</v>
      </c>
      <c r="C279" s="3">
        <v>0</v>
      </c>
      <c r="D279" s="4">
        <f>Data_Entry!V363</f>
        <v>5.71</v>
      </c>
      <c r="E279" s="5">
        <f t="shared" si="38"/>
        <v>0.24263790958109</v>
      </c>
      <c r="F279" s="6">
        <v>0.597222222222222</v>
      </c>
      <c r="G279" s="6">
        <v>0.614583333333333</v>
      </c>
      <c r="H279" s="7">
        <f t="shared" si="39"/>
        <v>24.9999999999999</v>
      </c>
      <c r="I279" s="7">
        <f t="shared" si="40"/>
        <v>0.416666666666665</v>
      </c>
      <c r="J279" s="8">
        <v>2411</v>
      </c>
      <c r="K279" s="9">
        <v>152.6</v>
      </c>
      <c r="L279" s="8">
        <f t="shared" si="41"/>
        <v>28932</v>
      </c>
      <c r="M279" s="7">
        <f t="shared" si="42"/>
        <v>63.5833333333331</v>
      </c>
      <c r="N279" s="10">
        <f t="shared" si="43"/>
        <v>0.997802318079174</v>
      </c>
      <c r="O279" s="11">
        <f t="shared" si="44"/>
        <v>0.243172325003395</v>
      </c>
      <c r="P279" s="11" t="s">
        <v>277</v>
      </c>
      <c r="Q279" s="8">
        <f t="shared" si="45"/>
        <v>14070.9234139965</v>
      </c>
      <c r="R279" s="12">
        <f t="shared" si="46"/>
        <v>30.9234139962573</v>
      </c>
    </row>
    <row r="280" ht="14.25" spans="1:18">
      <c r="A280" s="15">
        <v>46109</v>
      </c>
      <c r="B280" s="3">
        <f>Data_Entry!P364</f>
        <v>13079.9999999997</v>
      </c>
      <c r="C280" s="3">
        <v>0</v>
      </c>
      <c r="D280" s="4">
        <f>Data_Entry!V364</f>
        <v>5.59</v>
      </c>
      <c r="E280" s="5">
        <f t="shared" si="38"/>
        <v>0.226047283284939</v>
      </c>
      <c r="F280" s="6">
        <v>0.388888888888889</v>
      </c>
      <c r="G280" s="6">
        <v>0.420138888888889</v>
      </c>
      <c r="H280" s="7">
        <f t="shared" si="39"/>
        <v>45</v>
      </c>
      <c r="I280" s="7">
        <f t="shared" si="40"/>
        <v>0.75</v>
      </c>
      <c r="J280" s="8">
        <v>2411</v>
      </c>
      <c r="K280" s="9">
        <v>152.6</v>
      </c>
      <c r="L280" s="8">
        <f t="shared" si="41"/>
        <v>28932</v>
      </c>
      <c r="M280" s="7">
        <f t="shared" si="42"/>
        <v>114.45</v>
      </c>
      <c r="N280" s="10">
        <f t="shared" si="43"/>
        <v>0.996044172542513</v>
      </c>
      <c r="O280" s="11">
        <f t="shared" si="44"/>
        <v>0.22694503870037</v>
      </c>
      <c r="P280" s="11" t="s">
        <v>277</v>
      </c>
      <c r="Q280" s="8">
        <f t="shared" si="45"/>
        <v>13131.9477193582</v>
      </c>
      <c r="R280" s="12">
        <f t="shared" si="46"/>
        <v>51.9477193585244</v>
      </c>
    </row>
    <row r="281" ht="14.25" spans="1:18">
      <c r="A281" s="15">
        <v>46109</v>
      </c>
      <c r="B281" s="3">
        <v>13080</v>
      </c>
      <c r="C281" s="3">
        <v>0</v>
      </c>
      <c r="D281" s="4">
        <v>5.59</v>
      </c>
      <c r="E281" s="5">
        <v>0.226</v>
      </c>
      <c r="F281" s="6">
        <v>0.520833333333333</v>
      </c>
      <c r="G281" s="6">
        <v>0.680555555555556</v>
      </c>
      <c r="H281" s="7">
        <f t="shared" si="39"/>
        <v>230.000000000001</v>
      </c>
      <c r="I281" s="7">
        <f t="shared" si="40"/>
        <v>3.83333333333335</v>
      </c>
      <c r="J281" s="8">
        <v>2411</v>
      </c>
      <c r="K281" s="9">
        <v>152.6</v>
      </c>
      <c r="L281" s="8">
        <f t="shared" si="41"/>
        <v>28932</v>
      </c>
      <c r="M281" s="7">
        <f t="shared" si="42"/>
        <v>584.966666666669</v>
      </c>
      <c r="N281" s="10">
        <f t="shared" si="43"/>
        <v>0.979781326328402</v>
      </c>
      <c r="O281" s="11">
        <f t="shared" si="44"/>
        <v>0.230663714368699</v>
      </c>
      <c r="P281" s="11" t="s">
        <v>277</v>
      </c>
      <c r="Q281" s="8">
        <f t="shared" si="45"/>
        <v>13347.1251682304</v>
      </c>
      <c r="R281" s="12">
        <f t="shared" si="46"/>
        <v>267.125168230421</v>
      </c>
    </row>
    <row r="282" ht="14.25" spans="1:18">
      <c r="A282" s="15">
        <v>46110</v>
      </c>
      <c r="B282" s="3">
        <f>Data_Entry!P365</f>
        <v>12270.0000000004</v>
      </c>
      <c r="C282" s="3">
        <v>0</v>
      </c>
      <c r="D282" s="4">
        <f>Data_Entry!V365</f>
        <v>4.52</v>
      </c>
      <c r="E282" s="5">
        <f t="shared" ref="E282:E291" si="47">B282/(24*J282)</f>
        <v>0.212048942347581</v>
      </c>
      <c r="F282" s="6">
        <v>0</v>
      </c>
      <c r="G282" s="6">
        <v>0</v>
      </c>
      <c r="H282" s="7">
        <f t="shared" si="39"/>
        <v>0</v>
      </c>
      <c r="I282" s="7">
        <f t="shared" si="40"/>
        <v>0</v>
      </c>
      <c r="J282" s="8">
        <v>2411</v>
      </c>
      <c r="K282" s="9"/>
      <c r="L282" s="8">
        <f t="shared" si="41"/>
        <v>28932</v>
      </c>
      <c r="M282" s="7">
        <f t="shared" si="42"/>
        <v>0</v>
      </c>
      <c r="N282" s="10">
        <f t="shared" si="43"/>
        <v>1</v>
      </c>
      <c r="O282" s="11">
        <f t="shared" si="44"/>
        <v>0.212048942347581</v>
      </c>
      <c r="P282" s="11"/>
      <c r="Q282" s="8">
        <f t="shared" si="45"/>
        <v>12270.0000000004</v>
      </c>
      <c r="R282" s="12">
        <f t="shared" si="46"/>
        <v>2.72848410531878e-11</v>
      </c>
    </row>
    <row r="283" ht="14.25" spans="1:18">
      <c r="A283" s="15">
        <v>46111</v>
      </c>
      <c r="B283" s="3">
        <f>Data_Entry!P366</f>
        <v>13169.9999999996</v>
      </c>
      <c r="C283" s="3">
        <v>7</v>
      </c>
      <c r="D283" s="4">
        <f>Data_Entry!V366</f>
        <v>5.49</v>
      </c>
      <c r="E283" s="5">
        <f t="shared" si="47"/>
        <v>0.227602654500201</v>
      </c>
      <c r="F283" s="6">
        <v>0.597222222222222</v>
      </c>
      <c r="G283" s="6">
        <v>0.604166666666667</v>
      </c>
      <c r="H283" s="7">
        <f t="shared" si="39"/>
        <v>9.99999999999996</v>
      </c>
      <c r="I283" s="7">
        <f t="shared" si="40"/>
        <v>0.166666666666666</v>
      </c>
      <c r="J283" s="8">
        <v>2411</v>
      </c>
      <c r="K283" s="9">
        <v>2411</v>
      </c>
      <c r="L283" s="8">
        <f t="shared" si="41"/>
        <v>28932</v>
      </c>
      <c r="M283" s="7">
        <f t="shared" si="42"/>
        <v>401.833333333332</v>
      </c>
      <c r="N283" s="10">
        <f t="shared" si="43"/>
        <v>0.986111111111111</v>
      </c>
      <c r="O283" s="11">
        <f t="shared" si="44"/>
        <v>0.230808325690345</v>
      </c>
      <c r="P283" s="18"/>
      <c r="Q283" s="8">
        <f t="shared" si="45"/>
        <v>13355.4929577461</v>
      </c>
      <c r="R283" s="12">
        <f t="shared" si="46"/>
        <v>185.492957746505</v>
      </c>
    </row>
    <row r="284" ht="14.25" spans="1:18">
      <c r="A284" s="15">
        <v>46112</v>
      </c>
      <c r="B284" s="3">
        <f>Data_Entry!P367</f>
        <v>11820.0000000002</v>
      </c>
      <c r="C284" s="3">
        <v>0</v>
      </c>
      <c r="D284" s="4">
        <f>Data_Entry!V367</f>
        <v>4.89</v>
      </c>
      <c r="E284" s="5">
        <f t="shared" si="47"/>
        <v>0.20427208627126</v>
      </c>
      <c r="F284" s="6">
        <v>0</v>
      </c>
      <c r="G284" s="6">
        <v>0</v>
      </c>
      <c r="H284" s="7">
        <f t="shared" si="39"/>
        <v>0</v>
      </c>
      <c r="I284" s="7">
        <f t="shared" si="40"/>
        <v>0</v>
      </c>
      <c r="J284" s="8">
        <v>2411</v>
      </c>
      <c r="K284" s="9"/>
      <c r="L284" s="8">
        <f t="shared" si="41"/>
        <v>28932</v>
      </c>
      <c r="M284" s="7">
        <f t="shared" si="42"/>
        <v>0</v>
      </c>
      <c r="N284" s="10">
        <f t="shared" si="43"/>
        <v>1</v>
      </c>
      <c r="O284" s="11">
        <f t="shared" si="44"/>
        <v>0.20427208627126</v>
      </c>
      <c r="P284" s="11"/>
      <c r="Q284" s="8">
        <f t="shared" si="45"/>
        <v>11820.0000000002</v>
      </c>
      <c r="R284" s="12">
        <f t="shared" si="46"/>
        <v>0</v>
      </c>
    </row>
    <row r="285" ht="14.25" spans="1:18">
      <c r="A285" s="15">
        <v>46113</v>
      </c>
      <c r="B285" s="3">
        <f>Data_Entry!P368</f>
        <v>12780</v>
      </c>
      <c r="C285" s="3">
        <v>0</v>
      </c>
      <c r="D285" s="4">
        <f>Data_Entry!V368</f>
        <v>5.88</v>
      </c>
      <c r="E285" s="5">
        <f t="shared" si="47"/>
        <v>0.220862712567399</v>
      </c>
      <c r="F285" s="6">
        <v>0.486111111111111</v>
      </c>
      <c r="G285" s="6">
        <v>0.611111111111111</v>
      </c>
      <c r="H285" s="7">
        <f t="shared" si="39"/>
        <v>180</v>
      </c>
      <c r="I285" s="7">
        <f t="shared" si="40"/>
        <v>3</v>
      </c>
      <c r="J285" s="8">
        <v>2411</v>
      </c>
      <c r="K285" s="9">
        <v>152.6</v>
      </c>
      <c r="L285" s="8">
        <f t="shared" si="41"/>
        <v>28932</v>
      </c>
      <c r="M285" s="7">
        <f t="shared" si="42"/>
        <v>457.8</v>
      </c>
      <c r="N285" s="10">
        <f t="shared" si="43"/>
        <v>0.984176690170054</v>
      </c>
      <c r="O285" s="11">
        <f t="shared" si="44"/>
        <v>0.224413679752196</v>
      </c>
      <c r="P285" s="11" t="s">
        <v>277</v>
      </c>
      <c r="Q285" s="8">
        <f t="shared" si="45"/>
        <v>12985.4731651811</v>
      </c>
      <c r="R285" s="12">
        <f t="shared" si="46"/>
        <v>205.473165181087</v>
      </c>
    </row>
    <row r="286" ht="14.25" spans="1:18">
      <c r="A286" s="15">
        <v>46114</v>
      </c>
      <c r="B286" s="3">
        <f>Data_Entry!P369</f>
        <v>12299.9999999997</v>
      </c>
      <c r="C286" s="3">
        <v>0</v>
      </c>
      <c r="D286" s="4">
        <f>Data_Entry!V369</f>
        <v>5.36</v>
      </c>
      <c r="E286" s="5">
        <f t="shared" si="47"/>
        <v>0.212567399419323</v>
      </c>
      <c r="F286" s="6">
        <v>0.545138888888889</v>
      </c>
      <c r="G286" s="6">
        <v>0.600694444444444</v>
      </c>
      <c r="H286" s="7">
        <f t="shared" si="39"/>
        <v>79.9999999999992</v>
      </c>
      <c r="I286" s="7">
        <f t="shared" si="40"/>
        <v>1.33333333333332</v>
      </c>
      <c r="J286" s="8">
        <v>2411</v>
      </c>
      <c r="K286" s="9">
        <v>152.6</v>
      </c>
      <c r="L286" s="8">
        <f t="shared" si="41"/>
        <v>28932</v>
      </c>
      <c r="M286" s="7">
        <f t="shared" si="42"/>
        <v>203.466666666665</v>
      </c>
      <c r="N286" s="10">
        <f t="shared" si="43"/>
        <v>0.992967417853357</v>
      </c>
      <c r="O286" s="11">
        <f t="shared" si="44"/>
        <v>0.214072884565398</v>
      </c>
      <c r="P286" s="11" t="s">
        <v>277</v>
      </c>
      <c r="Q286" s="8">
        <f t="shared" si="45"/>
        <v>12387.1133924922</v>
      </c>
      <c r="R286" s="12">
        <f t="shared" si="46"/>
        <v>87.1133924924852</v>
      </c>
    </row>
    <row r="287" ht="14.25" spans="1:18">
      <c r="A287" s="15">
        <v>46115</v>
      </c>
      <c r="B287" s="3">
        <f>Data_Entry!P370</f>
        <v>9480.00000000025</v>
      </c>
      <c r="C287" s="3">
        <v>0</v>
      </c>
      <c r="D287" s="4">
        <f>Data_Entry!V370</f>
        <v>3.54</v>
      </c>
      <c r="E287" s="5">
        <f t="shared" si="47"/>
        <v>0.163832434674413</v>
      </c>
      <c r="F287" s="6">
        <v>0</v>
      </c>
      <c r="G287" s="6">
        <v>0</v>
      </c>
      <c r="H287" s="7">
        <f t="shared" si="39"/>
        <v>0</v>
      </c>
      <c r="I287" s="7">
        <f t="shared" si="40"/>
        <v>0</v>
      </c>
      <c r="J287" s="8">
        <v>2411</v>
      </c>
      <c r="K287" s="9"/>
      <c r="L287" s="8">
        <f t="shared" si="41"/>
        <v>28932</v>
      </c>
      <c r="M287" s="7">
        <f t="shared" si="42"/>
        <v>0</v>
      </c>
      <c r="N287" s="10">
        <f t="shared" si="43"/>
        <v>1</v>
      </c>
      <c r="O287" s="11">
        <f t="shared" si="44"/>
        <v>0.163832434674413</v>
      </c>
      <c r="P287" s="11"/>
      <c r="Q287" s="8">
        <f t="shared" si="45"/>
        <v>9480.00000000023</v>
      </c>
      <c r="R287" s="12">
        <f t="shared" si="46"/>
        <v>-1.63709046319127e-11</v>
      </c>
    </row>
    <row r="288" ht="14.25" spans="1:18">
      <c r="A288" s="15">
        <v>46116</v>
      </c>
      <c r="B288" s="3">
        <f>Data_Entry!P371</f>
        <v>13920.0000000003</v>
      </c>
      <c r="C288" s="3">
        <v>0</v>
      </c>
      <c r="D288" s="4">
        <f>Data_Entry!V371</f>
        <v>5.98</v>
      </c>
      <c r="E288" s="5">
        <f t="shared" si="47"/>
        <v>0.240564081294074</v>
      </c>
      <c r="F288" s="6">
        <v>0</v>
      </c>
      <c r="G288" s="6">
        <v>0</v>
      </c>
      <c r="H288" s="7">
        <f t="shared" si="39"/>
        <v>0</v>
      </c>
      <c r="I288" s="7">
        <f t="shared" si="40"/>
        <v>0</v>
      </c>
      <c r="J288" s="8">
        <v>2411</v>
      </c>
      <c r="K288" s="9"/>
      <c r="L288" s="8">
        <f t="shared" si="41"/>
        <v>28932</v>
      </c>
      <c r="M288" s="7">
        <f t="shared" si="42"/>
        <v>0</v>
      </c>
      <c r="N288" s="10">
        <f t="shared" si="43"/>
        <v>1</v>
      </c>
      <c r="O288" s="11">
        <f t="shared" si="44"/>
        <v>0.240564081294074</v>
      </c>
      <c r="P288" s="11"/>
      <c r="Q288" s="8">
        <f t="shared" si="45"/>
        <v>13920.0000000003</v>
      </c>
      <c r="R288" s="12">
        <f t="shared" si="46"/>
        <v>0</v>
      </c>
    </row>
    <row r="289" ht="14.25" spans="1:18">
      <c r="A289" s="15">
        <v>46117</v>
      </c>
      <c r="B289" s="3">
        <f>Data_Entry!P372</f>
        <v>13229.9999999996</v>
      </c>
      <c r="C289" s="3">
        <v>0</v>
      </c>
      <c r="D289" s="4">
        <f>Data_Entry!V372</f>
        <v>5.7</v>
      </c>
      <c r="E289" s="5">
        <f t="shared" si="47"/>
        <v>0.228639568643709</v>
      </c>
      <c r="F289" s="6">
        <v>0.510416666666667</v>
      </c>
      <c r="G289" s="6">
        <v>0.618055555555556</v>
      </c>
      <c r="H289" s="7">
        <f t="shared" si="39"/>
        <v>155</v>
      </c>
      <c r="I289" s="7">
        <f t="shared" si="40"/>
        <v>2.58333333333334</v>
      </c>
      <c r="J289" s="8">
        <v>2411</v>
      </c>
      <c r="K289" s="9">
        <v>152.6</v>
      </c>
      <c r="L289" s="8">
        <f t="shared" si="41"/>
        <v>28932</v>
      </c>
      <c r="M289" s="7">
        <f t="shared" si="42"/>
        <v>394.216666666668</v>
      </c>
      <c r="N289" s="10">
        <f t="shared" si="43"/>
        <v>0.98637437209088</v>
      </c>
      <c r="O289" s="11">
        <f t="shared" si="44"/>
        <v>0.231797961416057</v>
      </c>
      <c r="P289" s="11" t="s">
        <v>277</v>
      </c>
      <c r="Q289" s="8">
        <f t="shared" si="45"/>
        <v>13412.7572393787</v>
      </c>
      <c r="R289" s="12">
        <f t="shared" si="46"/>
        <v>182.757239379109</v>
      </c>
    </row>
    <row r="290" ht="14.25" spans="1:18">
      <c r="A290" s="15">
        <v>46118</v>
      </c>
      <c r="B290" s="3">
        <f>Data_Entry!P373</f>
        <v>13770.0000000004</v>
      </c>
      <c r="C290" s="3">
        <v>0</v>
      </c>
      <c r="D290" s="4">
        <f>Data_Entry!V373</f>
        <v>5.61</v>
      </c>
      <c r="E290" s="5">
        <f t="shared" si="47"/>
        <v>0.237971795935304</v>
      </c>
      <c r="F290" s="6">
        <v>0.510416666666667</v>
      </c>
      <c r="G290" s="6">
        <v>0.625</v>
      </c>
      <c r="H290" s="7">
        <f t="shared" si="39"/>
        <v>165</v>
      </c>
      <c r="I290" s="7">
        <f t="shared" si="40"/>
        <v>2.74999999999999</v>
      </c>
      <c r="J290" s="8">
        <v>2411</v>
      </c>
      <c r="K290" s="9">
        <v>152.6</v>
      </c>
      <c r="L290" s="8">
        <f t="shared" si="41"/>
        <v>28932</v>
      </c>
      <c r="M290" s="7">
        <f t="shared" si="42"/>
        <v>419.649999999998</v>
      </c>
      <c r="N290" s="10">
        <f t="shared" si="43"/>
        <v>0.98549529932255</v>
      </c>
      <c r="O290" s="11">
        <f t="shared" si="44"/>
        <v>0.241474308501411</v>
      </c>
      <c r="P290" s="11" t="s">
        <v>277</v>
      </c>
      <c r="Q290" s="8">
        <f t="shared" si="45"/>
        <v>13972.6693871257</v>
      </c>
      <c r="R290" s="12">
        <f t="shared" si="46"/>
        <v>202.669387125265</v>
      </c>
    </row>
    <row r="291" ht="14.25" spans="1:18">
      <c r="A291" s="15">
        <v>46119</v>
      </c>
      <c r="B291" s="3">
        <f>Data_Entry!P374</f>
        <v>9419.99999999962</v>
      </c>
      <c r="C291" s="3">
        <v>0</v>
      </c>
      <c r="D291" s="4">
        <f>Data_Entry!V374</f>
        <v>4.14</v>
      </c>
      <c r="E291" s="5">
        <f t="shared" si="47"/>
        <v>0.162795520530893</v>
      </c>
      <c r="F291" s="6">
        <v>0.434027777777778</v>
      </c>
      <c r="G291" s="6">
        <v>0.625</v>
      </c>
      <c r="H291" s="7">
        <f t="shared" si="39"/>
        <v>275</v>
      </c>
      <c r="I291" s="7">
        <f t="shared" si="40"/>
        <v>4.58333333333333</v>
      </c>
      <c r="J291" s="8">
        <v>2411</v>
      </c>
      <c r="K291" s="9">
        <v>152.6</v>
      </c>
      <c r="L291" s="8">
        <f t="shared" si="41"/>
        <v>28932</v>
      </c>
      <c r="M291" s="7">
        <f t="shared" si="42"/>
        <v>699.416666666666</v>
      </c>
      <c r="N291" s="10">
        <f t="shared" si="43"/>
        <v>0.975825498870916</v>
      </c>
      <c r="O291" s="11">
        <f t="shared" si="44"/>
        <v>0.166828516696127</v>
      </c>
      <c r="P291" s="11" t="s">
        <v>277</v>
      </c>
      <c r="Q291" s="8">
        <f t="shared" si="45"/>
        <v>9653.36529010469</v>
      </c>
      <c r="R291" s="12">
        <f t="shared" si="46"/>
        <v>233.365290105072</v>
      </c>
    </row>
    <row r="292" ht="14.25" spans="1:18">
      <c r="A292" s="15">
        <v>46119</v>
      </c>
      <c r="B292" s="3">
        <f>Data_Entry!P375</f>
        <v>13200.0000000003</v>
      </c>
      <c r="C292" s="3">
        <v>7</v>
      </c>
      <c r="D292" s="4">
        <f>Data_Entry!V375</f>
        <v>5.52</v>
      </c>
      <c r="E292" s="5">
        <v>0.1628</v>
      </c>
      <c r="F292" s="6">
        <v>0.479166666666667</v>
      </c>
      <c r="G292" s="6">
        <v>0.555555555555556</v>
      </c>
      <c r="H292" s="7">
        <v>110</v>
      </c>
      <c r="I292" s="7">
        <v>1.5</v>
      </c>
      <c r="J292" s="8">
        <v>2411</v>
      </c>
      <c r="K292" s="9">
        <v>2411</v>
      </c>
      <c r="L292" s="8">
        <f t="shared" si="41"/>
        <v>28932</v>
      </c>
      <c r="M292" s="7">
        <f t="shared" si="42"/>
        <v>3616.5</v>
      </c>
      <c r="N292" s="10">
        <f t="shared" si="43"/>
        <v>0.875</v>
      </c>
      <c r="O292" s="11">
        <f t="shared" si="44"/>
        <v>0.186057142857143</v>
      </c>
      <c r="P292" s="18"/>
      <c r="Q292" s="8">
        <f t="shared" si="45"/>
        <v>10766.0105142857</v>
      </c>
      <c r="R292" s="12">
        <f t="shared" si="46"/>
        <v>-2433.98948571459</v>
      </c>
    </row>
    <row r="293" ht="14.25" spans="1:18">
      <c r="A293" s="15">
        <v>46119</v>
      </c>
      <c r="B293" s="3">
        <f>Data_Entry!P376</f>
        <v>13709.9999999998</v>
      </c>
      <c r="C293" s="3">
        <v>7</v>
      </c>
      <c r="D293" s="4">
        <f>Data_Entry!V376</f>
        <v>5.55</v>
      </c>
      <c r="E293" s="5">
        <v>0.1628</v>
      </c>
      <c r="F293" s="6">
        <v>0.636805555555556</v>
      </c>
      <c r="G293" s="6">
        <v>0.64375</v>
      </c>
      <c r="H293" s="7">
        <v>10</v>
      </c>
      <c r="I293" s="7">
        <v>0.1</v>
      </c>
      <c r="J293" s="8">
        <v>2411</v>
      </c>
      <c r="K293" s="9">
        <v>2411</v>
      </c>
      <c r="L293" s="8">
        <f t="shared" si="41"/>
        <v>28932</v>
      </c>
      <c r="M293" s="7">
        <f t="shared" si="42"/>
        <v>241.1</v>
      </c>
      <c r="N293" s="10">
        <f t="shared" si="43"/>
        <v>0.991666666666667</v>
      </c>
      <c r="O293" s="11">
        <f t="shared" si="44"/>
        <v>0.164168067226891</v>
      </c>
      <c r="P293" s="18"/>
      <c r="Q293" s="8">
        <f t="shared" si="45"/>
        <v>9499.42104201681</v>
      </c>
      <c r="R293" s="12">
        <f t="shared" si="46"/>
        <v>-4210.57895798299</v>
      </c>
    </row>
    <row r="294" ht="14.25" spans="1:18">
      <c r="A294" s="15">
        <v>46120</v>
      </c>
      <c r="B294" s="3">
        <f>Data_Entry!P375</f>
        <v>13200.0000000003</v>
      </c>
      <c r="C294" s="3">
        <v>0</v>
      </c>
      <c r="D294" s="4">
        <f>Data_Entry!V375</f>
        <v>5.52</v>
      </c>
      <c r="E294" s="5">
        <f t="shared" ref="E294:E316" si="48">B294/(24*J294)</f>
        <v>0.228121111571967</v>
      </c>
      <c r="F294" s="6">
        <v>0.409722222222222</v>
      </c>
      <c r="G294" s="6">
        <v>0.600694444444444</v>
      </c>
      <c r="H294" s="7">
        <f t="shared" ref="H294:H316" si="49">(G294-F294)*24*60</f>
        <v>275</v>
      </c>
      <c r="I294" s="7">
        <f t="shared" ref="I294:I316" si="50">H294/60</f>
        <v>4.58333333333333</v>
      </c>
      <c r="J294" s="8">
        <v>2411</v>
      </c>
      <c r="K294" s="9">
        <v>152.6</v>
      </c>
      <c r="L294" s="8">
        <f t="shared" si="41"/>
        <v>28932</v>
      </c>
      <c r="M294" s="7">
        <f t="shared" si="42"/>
        <v>699.416666666666</v>
      </c>
      <c r="N294" s="10">
        <f t="shared" si="43"/>
        <v>0.975825498870916</v>
      </c>
      <c r="O294" s="11">
        <f t="shared" si="44"/>
        <v>0.233772443778028</v>
      </c>
      <c r="P294" s="11" t="s">
        <v>277</v>
      </c>
      <c r="Q294" s="8">
        <f t="shared" si="45"/>
        <v>13527.0086867718</v>
      </c>
      <c r="R294" s="12">
        <f t="shared" si="46"/>
        <v>327.008686771498</v>
      </c>
    </row>
    <row r="295" ht="14.25" spans="1:18">
      <c r="A295" s="15">
        <v>46121</v>
      </c>
      <c r="B295" s="3">
        <f>Data_Entry!P376</f>
        <v>13709.9999999998</v>
      </c>
      <c r="C295" s="3">
        <v>0</v>
      </c>
      <c r="D295" s="4">
        <f>Data_Entry!V376</f>
        <v>5.55</v>
      </c>
      <c r="E295" s="5">
        <f t="shared" si="48"/>
        <v>0.236934881791784</v>
      </c>
      <c r="F295" s="6">
        <v>0.513888888888889</v>
      </c>
      <c r="G295" s="6">
        <v>0.576388888888889</v>
      </c>
      <c r="H295" s="7">
        <f t="shared" si="49"/>
        <v>90</v>
      </c>
      <c r="I295" s="7">
        <f t="shared" si="50"/>
        <v>1.5</v>
      </c>
      <c r="J295" s="8">
        <v>2411</v>
      </c>
      <c r="K295" s="9">
        <v>152.6</v>
      </c>
      <c r="L295" s="8">
        <f t="shared" si="41"/>
        <v>28932</v>
      </c>
      <c r="M295" s="7">
        <f t="shared" si="42"/>
        <v>228.9</v>
      </c>
      <c r="N295" s="10">
        <f t="shared" si="43"/>
        <v>0.992088345085027</v>
      </c>
      <c r="O295" s="11">
        <f t="shared" si="44"/>
        <v>0.238824377854653</v>
      </c>
      <c r="P295" s="11" t="s">
        <v>277</v>
      </c>
      <c r="Q295" s="8">
        <f t="shared" si="45"/>
        <v>13819.3338001817</v>
      </c>
      <c r="R295" s="12">
        <f t="shared" si="46"/>
        <v>109.333800181863</v>
      </c>
    </row>
    <row r="296" ht="14.25" spans="1:18">
      <c r="A296" s="15">
        <v>46122</v>
      </c>
      <c r="B296" s="3">
        <f>Data_Entry!P377</f>
        <v>13589.9999999999</v>
      </c>
      <c r="C296" s="3">
        <v>0</v>
      </c>
      <c r="D296" s="4">
        <f>Data_Entry!V377</f>
        <v>5.43</v>
      </c>
      <c r="E296" s="5">
        <f t="shared" si="48"/>
        <v>0.234861053504768</v>
      </c>
      <c r="F296" s="6">
        <v>0</v>
      </c>
      <c r="G296" s="6">
        <v>0</v>
      </c>
      <c r="H296" s="7">
        <f t="shared" si="49"/>
        <v>0</v>
      </c>
      <c r="I296" s="7">
        <f t="shared" si="50"/>
        <v>0</v>
      </c>
      <c r="J296" s="8">
        <v>2411</v>
      </c>
      <c r="K296" s="9"/>
      <c r="L296" s="8">
        <f t="shared" si="41"/>
        <v>28932</v>
      </c>
      <c r="M296" s="7">
        <f t="shared" si="42"/>
        <v>0</v>
      </c>
      <c r="N296" s="10">
        <f t="shared" si="43"/>
        <v>1</v>
      </c>
      <c r="O296" s="11">
        <f t="shared" si="44"/>
        <v>0.234861053504768</v>
      </c>
      <c r="P296" s="11"/>
      <c r="Q296" s="8">
        <f t="shared" si="45"/>
        <v>13589.9999999999</v>
      </c>
      <c r="R296" s="12">
        <f t="shared" si="46"/>
        <v>0</v>
      </c>
    </row>
    <row r="297" ht="14.25" spans="1:18">
      <c r="A297" s="15">
        <v>46123</v>
      </c>
      <c r="B297" s="3">
        <f>Data_Entry!P378</f>
        <v>13260.0000000002</v>
      </c>
      <c r="C297" s="3">
        <v>0</v>
      </c>
      <c r="D297" s="4">
        <f>Data_Entry!V378</f>
        <v>5.41</v>
      </c>
      <c r="E297" s="5">
        <f t="shared" si="48"/>
        <v>0.229158025715474</v>
      </c>
      <c r="F297" s="6">
        <v>0</v>
      </c>
      <c r="G297" s="6">
        <v>0</v>
      </c>
      <c r="H297" s="7">
        <f t="shared" si="49"/>
        <v>0</v>
      </c>
      <c r="I297" s="7">
        <f t="shared" si="50"/>
        <v>0</v>
      </c>
      <c r="J297" s="8">
        <v>2411</v>
      </c>
      <c r="K297" s="9"/>
      <c r="L297" s="8">
        <f t="shared" si="41"/>
        <v>28932</v>
      </c>
      <c r="M297" s="7">
        <f t="shared" si="42"/>
        <v>0</v>
      </c>
      <c r="N297" s="10">
        <f t="shared" si="43"/>
        <v>1</v>
      </c>
      <c r="O297" s="11">
        <f t="shared" si="44"/>
        <v>0.229158025715474</v>
      </c>
      <c r="P297" s="11"/>
      <c r="Q297" s="8">
        <f t="shared" si="45"/>
        <v>13260.0000000002</v>
      </c>
      <c r="R297" s="12">
        <f t="shared" si="46"/>
        <v>0</v>
      </c>
    </row>
    <row r="298" ht="14.25" spans="1:18">
      <c r="A298" s="15">
        <v>46124</v>
      </c>
      <c r="B298" s="3">
        <f>Data_Entry!P379</f>
        <v>13440.0000000001</v>
      </c>
      <c r="C298" s="3">
        <v>0</v>
      </c>
      <c r="D298" s="4">
        <f>Data_Entry!V379</f>
        <v>5.5</v>
      </c>
      <c r="E298" s="5">
        <f t="shared" si="48"/>
        <v>0.232268768145999</v>
      </c>
      <c r="F298" s="6">
        <v>0</v>
      </c>
      <c r="G298" s="6">
        <v>0</v>
      </c>
      <c r="H298" s="7">
        <f t="shared" si="49"/>
        <v>0</v>
      </c>
      <c r="I298" s="7">
        <f t="shared" si="50"/>
        <v>0</v>
      </c>
      <c r="J298" s="8">
        <v>2411</v>
      </c>
      <c r="K298" s="9"/>
      <c r="L298" s="8">
        <f t="shared" si="41"/>
        <v>28932</v>
      </c>
      <c r="M298" s="7">
        <f t="shared" si="42"/>
        <v>0</v>
      </c>
      <c r="N298" s="10">
        <f t="shared" si="43"/>
        <v>1</v>
      </c>
      <c r="O298" s="11">
        <f t="shared" si="44"/>
        <v>0.232268768145999</v>
      </c>
      <c r="P298" s="11"/>
      <c r="Q298" s="8">
        <f t="shared" si="45"/>
        <v>13440.0000000001</v>
      </c>
      <c r="R298" s="12">
        <f t="shared" si="46"/>
        <v>0</v>
      </c>
    </row>
    <row r="299" ht="14.25" spans="1:18">
      <c r="A299" s="15">
        <v>46125</v>
      </c>
      <c r="B299" s="3">
        <f>Data_Entry!P380</f>
        <v>13380.0000000001</v>
      </c>
      <c r="C299" s="3">
        <v>0</v>
      </c>
      <c r="D299" s="4">
        <f>Data_Entry!V380</f>
        <v>5.55</v>
      </c>
      <c r="E299" s="5">
        <f t="shared" si="48"/>
        <v>0.23123185400249</v>
      </c>
      <c r="F299" s="6">
        <v>0</v>
      </c>
      <c r="G299" s="6">
        <v>0</v>
      </c>
      <c r="H299" s="7">
        <f t="shared" si="49"/>
        <v>0</v>
      </c>
      <c r="I299" s="7">
        <f t="shared" si="50"/>
        <v>0</v>
      </c>
      <c r="J299" s="8">
        <v>2411</v>
      </c>
      <c r="K299" s="9"/>
      <c r="L299" s="8">
        <f t="shared" si="41"/>
        <v>28932</v>
      </c>
      <c r="M299" s="7">
        <f t="shared" si="42"/>
        <v>0</v>
      </c>
      <c r="N299" s="10">
        <f t="shared" si="43"/>
        <v>1</v>
      </c>
      <c r="O299" s="11">
        <f t="shared" si="44"/>
        <v>0.23123185400249</v>
      </c>
      <c r="P299" s="11"/>
      <c r="Q299" s="8">
        <f t="shared" si="45"/>
        <v>13380.0000000001</v>
      </c>
      <c r="R299" s="12">
        <f t="shared" si="46"/>
        <v>0</v>
      </c>
    </row>
    <row r="300" ht="14.25" spans="1:18">
      <c r="A300" s="15">
        <v>46126</v>
      </c>
      <c r="B300" s="3">
        <f>Data_Entry!P381</f>
        <v>14280</v>
      </c>
      <c r="C300" s="3">
        <v>0</v>
      </c>
      <c r="D300" s="4">
        <f>Data_Entry!V381</f>
        <v>5.76</v>
      </c>
      <c r="E300" s="5">
        <f t="shared" si="48"/>
        <v>0.246785566155122</v>
      </c>
      <c r="F300" s="6">
        <v>0</v>
      </c>
      <c r="G300" s="6">
        <v>0</v>
      </c>
      <c r="H300" s="7">
        <f t="shared" si="49"/>
        <v>0</v>
      </c>
      <c r="I300" s="7">
        <f t="shared" si="50"/>
        <v>0</v>
      </c>
      <c r="J300" s="8">
        <v>2411</v>
      </c>
      <c r="K300" s="9"/>
      <c r="L300" s="8">
        <f t="shared" si="41"/>
        <v>28932</v>
      </c>
      <c r="M300" s="7">
        <f t="shared" si="42"/>
        <v>0</v>
      </c>
      <c r="N300" s="10">
        <f t="shared" si="43"/>
        <v>1</v>
      </c>
      <c r="O300" s="11">
        <f t="shared" si="44"/>
        <v>0.246785566155122</v>
      </c>
      <c r="P300" s="11"/>
      <c r="Q300" s="8">
        <f t="shared" si="45"/>
        <v>14280</v>
      </c>
      <c r="R300" s="12">
        <f t="shared" si="46"/>
        <v>0</v>
      </c>
    </row>
    <row r="301" ht="14.25" spans="1:18">
      <c r="A301" s="15">
        <v>46127</v>
      </c>
      <c r="B301" s="3">
        <f>Data_Entry!P382</f>
        <v>14280</v>
      </c>
      <c r="C301" s="3">
        <v>0</v>
      </c>
      <c r="D301" s="4">
        <f>Data_Entry!V382</f>
        <v>5.87</v>
      </c>
      <c r="E301" s="5">
        <f t="shared" si="48"/>
        <v>0.246785566155122</v>
      </c>
      <c r="F301" s="6">
        <v>0</v>
      </c>
      <c r="G301" s="6">
        <v>0</v>
      </c>
      <c r="H301" s="7">
        <f t="shared" si="49"/>
        <v>0</v>
      </c>
      <c r="I301" s="7">
        <f t="shared" si="50"/>
        <v>0</v>
      </c>
      <c r="J301" s="8">
        <v>2411</v>
      </c>
      <c r="K301" s="9"/>
      <c r="L301" s="8">
        <f t="shared" si="41"/>
        <v>28932</v>
      </c>
      <c r="M301" s="7">
        <f t="shared" si="42"/>
        <v>0</v>
      </c>
      <c r="N301" s="10">
        <f t="shared" si="43"/>
        <v>1</v>
      </c>
      <c r="O301" s="11">
        <f t="shared" si="44"/>
        <v>0.246785566155122</v>
      </c>
      <c r="P301" s="11"/>
      <c r="Q301" s="8">
        <f t="shared" si="45"/>
        <v>14280</v>
      </c>
      <c r="R301" s="12">
        <f t="shared" si="46"/>
        <v>0</v>
      </c>
    </row>
    <row r="302" ht="14.25" spans="1:18">
      <c r="A302" s="15">
        <v>46128</v>
      </c>
      <c r="B302" s="3">
        <f>Data_Entry!P383</f>
        <v>14669.9999999996</v>
      </c>
      <c r="C302" s="3">
        <v>0</v>
      </c>
      <c r="D302" s="4">
        <f>Data_Entry!V383</f>
        <v>5.74</v>
      </c>
      <c r="E302" s="5">
        <f t="shared" si="48"/>
        <v>0.253525508087923</v>
      </c>
      <c r="F302" s="6">
        <v>0</v>
      </c>
      <c r="G302" s="6">
        <v>0</v>
      </c>
      <c r="H302" s="7">
        <f t="shared" si="49"/>
        <v>0</v>
      </c>
      <c r="I302" s="7">
        <f t="shared" si="50"/>
        <v>0</v>
      </c>
      <c r="J302" s="8">
        <v>2411</v>
      </c>
      <c r="K302" s="9"/>
      <c r="L302" s="8">
        <f t="shared" si="41"/>
        <v>28932</v>
      </c>
      <c r="M302" s="7">
        <f t="shared" si="42"/>
        <v>0</v>
      </c>
      <c r="N302" s="10">
        <f t="shared" si="43"/>
        <v>1</v>
      </c>
      <c r="O302" s="11">
        <f t="shared" si="44"/>
        <v>0.253525508087923</v>
      </c>
      <c r="P302" s="11"/>
      <c r="Q302" s="8">
        <f t="shared" si="45"/>
        <v>14669.9999999996</v>
      </c>
      <c r="R302" s="12">
        <f t="shared" si="46"/>
        <v>0</v>
      </c>
    </row>
    <row r="303" ht="14.25" spans="1:18">
      <c r="A303" s="15">
        <v>46129</v>
      </c>
      <c r="B303" s="3">
        <f>Data_Entry!P384</f>
        <v>13290.0000000002</v>
      </c>
      <c r="C303" s="3">
        <v>0</v>
      </c>
      <c r="D303" s="4">
        <f>Data_Entry!V384</f>
        <v>4.73</v>
      </c>
      <c r="E303" s="5">
        <f t="shared" si="48"/>
        <v>0.229676482787229</v>
      </c>
      <c r="F303" s="6">
        <v>0</v>
      </c>
      <c r="G303" s="6">
        <v>0</v>
      </c>
      <c r="H303" s="7">
        <f t="shared" si="49"/>
        <v>0</v>
      </c>
      <c r="I303" s="7">
        <f t="shared" si="50"/>
        <v>0</v>
      </c>
      <c r="J303" s="8">
        <v>2411</v>
      </c>
      <c r="K303" s="9"/>
      <c r="L303" s="8">
        <f t="shared" si="41"/>
        <v>28932</v>
      </c>
      <c r="M303" s="7">
        <f t="shared" si="42"/>
        <v>0</v>
      </c>
      <c r="N303" s="10">
        <f t="shared" si="43"/>
        <v>1</v>
      </c>
      <c r="O303" s="11">
        <f t="shared" si="44"/>
        <v>0.229676482787229</v>
      </c>
      <c r="P303" s="11"/>
      <c r="Q303" s="8">
        <f t="shared" si="45"/>
        <v>13290.0000000002</v>
      </c>
      <c r="R303" s="12">
        <f t="shared" si="46"/>
        <v>0</v>
      </c>
    </row>
    <row r="304" ht="14.25" spans="1:18">
      <c r="A304" s="15">
        <v>46130</v>
      </c>
      <c r="B304" s="3">
        <f>Data_Entry!P385</f>
        <v>13920.0000000003</v>
      </c>
      <c r="C304" s="3">
        <v>0</v>
      </c>
      <c r="D304" s="4">
        <f>Data_Entry!V385</f>
        <v>5.69</v>
      </c>
      <c r="E304" s="5">
        <f t="shared" si="48"/>
        <v>0.240564081294074</v>
      </c>
      <c r="F304" s="6">
        <v>0</v>
      </c>
      <c r="G304" s="6">
        <v>0</v>
      </c>
      <c r="H304" s="7">
        <f t="shared" si="49"/>
        <v>0</v>
      </c>
      <c r="I304" s="7">
        <f t="shared" si="50"/>
        <v>0</v>
      </c>
      <c r="J304" s="8">
        <v>2411</v>
      </c>
      <c r="K304" s="9"/>
      <c r="L304" s="8">
        <f t="shared" si="41"/>
        <v>28932</v>
      </c>
      <c r="M304" s="7">
        <f t="shared" si="42"/>
        <v>0</v>
      </c>
      <c r="N304" s="10">
        <f t="shared" si="43"/>
        <v>1</v>
      </c>
      <c r="O304" s="11">
        <f t="shared" si="44"/>
        <v>0.240564081294074</v>
      </c>
      <c r="P304" s="11"/>
      <c r="Q304" s="8">
        <f t="shared" si="45"/>
        <v>13920.0000000003</v>
      </c>
      <c r="R304" s="12">
        <f t="shared" si="46"/>
        <v>0</v>
      </c>
    </row>
    <row r="305" ht="14.25" spans="1:18">
      <c r="A305" s="15">
        <v>46131</v>
      </c>
      <c r="B305" s="3">
        <f>Data_Entry!P386</f>
        <v>13859.9999999997</v>
      </c>
      <c r="C305" s="3">
        <v>0</v>
      </c>
      <c r="D305" s="4">
        <f>Data_Entry!V386</f>
        <v>5.61</v>
      </c>
      <c r="E305" s="5">
        <f t="shared" si="48"/>
        <v>0.239527167150555</v>
      </c>
      <c r="F305" s="6">
        <v>0</v>
      </c>
      <c r="G305" s="6">
        <v>0</v>
      </c>
      <c r="H305" s="7">
        <f t="shared" si="49"/>
        <v>0</v>
      </c>
      <c r="I305" s="7">
        <f t="shared" si="50"/>
        <v>0</v>
      </c>
      <c r="J305" s="8">
        <v>2411</v>
      </c>
      <c r="K305" s="9"/>
      <c r="L305" s="8">
        <f t="shared" si="41"/>
        <v>28932</v>
      </c>
      <c r="M305" s="7">
        <f t="shared" si="42"/>
        <v>0</v>
      </c>
      <c r="N305" s="10">
        <f t="shared" si="43"/>
        <v>1</v>
      </c>
      <c r="O305" s="11">
        <f t="shared" si="44"/>
        <v>0.239527167150555</v>
      </c>
      <c r="P305" s="11"/>
      <c r="Q305" s="8">
        <f t="shared" si="45"/>
        <v>13859.9999999997</v>
      </c>
      <c r="R305" s="12">
        <f t="shared" si="46"/>
        <v>0</v>
      </c>
    </row>
    <row r="306" ht="14.25" spans="1:18">
      <c r="A306" s="15">
        <v>46132</v>
      </c>
      <c r="B306" s="3">
        <f>Data_Entry!P387</f>
        <v>14220</v>
      </c>
      <c r="C306" s="3">
        <v>0</v>
      </c>
      <c r="D306" s="4">
        <f>Data_Entry!V387</f>
        <v>5.66</v>
      </c>
      <c r="E306" s="5">
        <f t="shared" si="48"/>
        <v>0.245748652011613</v>
      </c>
      <c r="F306" s="6">
        <v>0</v>
      </c>
      <c r="G306" s="6">
        <v>0</v>
      </c>
      <c r="H306" s="7">
        <f t="shared" si="49"/>
        <v>0</v>
      </c>
      <c r="I306" s="7">
        <f t="shared" si="50"/>
        <v>0</v>
      </c>
      <c r="J306" s="8">
        <v>2411</v>
      </c>
      <c r="K306" s="9"/>
      <c r="L306" s="8">
        <f t="shared" si="41"/>
        <v>28932</v>
      </c>
      <c r="M306" s="7">
        <f t="shared" si="42"/>
        <v>0</v>
      </c>
      <c r="N306" s="10">
        <f t="shared" si="43"/>
        <v>1</v>
      </c>
      <c r="O306" s="11">
        <f t="shared" si="44"/>
        <v>0.245748652011613</v>
      </c>
      <c r="P306" s="11"/>
      <c r="Q306" s="8">
        <f t="shared" si="45"/>
        <v>14220</v>
      </c>
      <c r="R306" s="12">
        <f t="shared" si="46"/>
        <v>0</v>
      </c>
    </row>
    <row r="307" ht="14.25" spans="1:18">
      <c r="A307" s="15">
        <v>46133</v>
      </c>
      <c r="B307" s="3">
        <f>Data_Entry!P388</f>
        <v>14070.0000000002</v>
      </c>
      <c r="C307" s="3">
        <v>0</v>
      </c>
      <c r="D307" s="4">
        <f>Data_Entry!V388</f>
        <v>5.7</v>
      </c>
      <c r="E307" s="5">
        <f t="shared" si="48"/>
        <v>0.243156366652845</v>
      </c>
      <c r="F307" s="6">
        <v>0</v>
      </c>
      <c r="G307" s="6">
        <v>0</v>
      </c>
      <c r="H307" s="7">
        <f t="shared" si="49"/>
        <v>0</v>
      </c>
      <c r="I307" s="7">
        <f t="shared" si="50"/>
        <v>0</v>
      </c>
      <c r="J307" s="8">
        <v>2411</v>
      </c>
      <c r="K307" s="9"/>
      <c r="L307" s="8">
        <f t="shared" si="41"/>
        <v>28932</v>
      </c>
      <c r="M307" s="7">
        <f t="shared" si="42"/>
        <v>0</v>
      </c>
      <c r="N307" s="10">
        <f t="shared" si="43"/>
        <v>1</v>
      </c>
      <c r="O307" s="11">
        <f t="shared" si="44"/>
        <v>0.243156366652845</v>
      </c>
      <c r="P307" s="11"/>
      <c r="Q307" s="8">
        <f t="shared" si="45"/>
        <v>14070.0000000002</v>
      </c>
      <c r="R307" s="12">
        <f t="shared" si="46"/>
        <v>0</v>
      </c>
    </row>
    <row r="308" ht="14.25" spans="1:18">
      <c r="A308" s="15">
        <v>46134</v>
      </c>
      <c r="B308" s="3">
        <f>Data_Entry!P389</f>
        <v>14220</v>
      </c>
      <c r="C308" s="3">
        <v>0</v>
      </c>
      <c r="D308" s="4">
        <f>Data_Entry!V389</f>
        <v>5.68</v>
      </c>
      <c r="E308" s="5">
        <f t="shared" si="48"/>
        <v>0.245748652011613</v>
      </c>
      <c r="F308" s="6">
        <v>0</v>
      </c>
      <c r="G308" s="6">
        <v>0</v>
      </c>
      <c r="H308" s="7">
        <f t="shared" si="49"/>
        <v>0</v>
      </c>
      <c r="I308" s="7">
        <f t="shared" si="50"/>
        <v>0</v>
      </c>
      <c r="J308" s="8">
        <v>2411</v>
      </c>
      <c r="K308" s="9"/>
      <c r="L308" s="8">
        <f t="shared" si="41"/>
        <v>28932</v>
      </c>
      <c r="M308" s="7">
        <f t="shared" si="42"/>
        <v>0</v>
      </c>
      <c r="N308" s="10">
        <f t="shared" si="43"/>
        <v>1</v>
      </c>
      <c r="O308" s="11">
        <f t="shared" si="44"/>
        <v>0.245748652011613</v>
      </c>
      <c r="P308" s="11"/>
      <c r="Q308" s="8">
        <f t="shared" si="45"/>
        <v>14220</v>
      </c>
      <c r="R308" s="12">
        <f t="shared" si="46"/>
        <v>0</v>
      </c>
    </row>
    <row r="309" ht="14.25" spans="1:18">
      <c r="A309" s="15">
        <v>46135</v>
      </c>
      <c r="B309" s="3">
        <f>Data_Entry!P390</f>
        <v>13769.9999999998</v>
      </c>
      <c r="C309" s="3">
        <v>0</v>
      </c>
      <c r="D309" s="4">
        <f>Data_Entry!V390</f>
        <v>5.61</v>
      </c>
      <c r="E309" s="5">
        <f t="shared" si="48"/>
        <v>0.237971795935293</v>
      </c>
      <c r="F309" s="6">
        <v>0</v>
      </c>
      <c r="G309" s="6">
        <v>0</v>
      </c>
      <c r="H309" s="7">
        <f t="shared" si="49"/>
        <v>0</v>
      </c>
      <c r="I309" s="7">
        <f t="shared" si="50"/>
        <v>0</v>
      </c>
      <c r="J309" s="8">
        <v>2411</v>
      </c>
      <c r="K309" s="9"/>
      <c r="L309" s="8">
        <f t="shared" si="41"/>
        <v>28932</v>
      </c>
      <c r="M309" s="7">
        <f t="shared" si="42"/>
        <v>0</v>
      </c>
      <c r="N309" s="10">
        <f t="shared" si="43"/>
        <v>1</v>
      </c>
      <c r="O309" s="11">
        <f t="shared" si="44"/>
        <v>0.237971795935293</v>
      </c>
      <c r="P309" s="11"/>
      <c r="Q309" s="8">
        <f t="shared" si="45"/>
        <v>13769.9999999998</v>
      </c>
      <c r="R309" s="12">
        <f t="shared" si="46"/>
        <v>0</v>
      </c>
    </row>
    <row r="310" ht="14.25" spans="1:18">
      <c r="A310" s="15">
        <v>46136</v>
      </c>
      <c r="B310" s="3">
        <f>Data_Entry!P391</f>
        <v>14519.9999999998</v>
      </c>
      <c r="C310" s="3">
        <v>0</v>
      </c>
      <c r="D310" s="4">
        <f>Data_Entry!V391</f>
        <v>5.86</v>
      </c>
      <c r="E310" s="5">
        <f t="shared" si="48"/>
        <v>0.250933222729155</v>
      </c>
      <c r="F310" s="6">
        <v>0</v>
      </c>
      <c r="G310" s="6">
        <v>0</v>
      </c>
      <c r="H310" s="7">
        <f t="shared" si="49"/>
        <v>0</v>
      </c>
      <c r="I310" s="7">
        <f t="shared" si="50"/>
        <v>0</v>
      </c>
      <c r="J310" s="8">
        <v>2411</v>
      </c>
      <c r="K310" s="9"/>
      <c r="L310" s="8">
        <f t="shared" si="41"/>
        <v>28932</v>
      </c>
      <c r="M310" s="7">
        <f t="shared" si="42"/>
        <v>0</v>
      </c>
      <c r="N310" s="10">
        <f t="shared" si="43"/>
        <v>1</v>
      </c>
      <c r="O310" s="11">
        <f t="shared" si="44"/>
        <v>0.250933222729155</v>
      </c>
      <c r="P310" s="11"/>
      <c r="Q310" s="8">
        <f t="shared" si="45"/>
        <v>14519.9999999998</v>
      </c>
      <c r="R310" s="12">
        <f t="shared" si="46"/>
        <v>0</v>
      </c>
    </row>
    <row r="311" ht="14.25" spans="1:18">
      <c r="A311" s="15">
        <v>46137</v>
      </c>
      <c r="B311" s="3">
        <f>Data_Entry!P392</f>
        <v>13830.0000000004</v>
      </c>
      <c r="C311" s="3">
        <v>0</v>
      </c>
      <c r="D311" s="4">
        <f>Data_Entry!V392</f>
        <v>5.73</v>
      </c>
      <c r="E311" s="5">
        <f t="shared" si="48"/>
        <v>0.239008710078812</v>
      </c>
      <c r="F311" s="6">
        <v>0</v>
      </c>
      <c r="G311" s="6">
        <v>0</v>
      </c>
      <c r="H311" s="7">
        <f t="shared" si="49"/>
        <v>0</v>
      </c>
      <c r="I311" s="7">
        <f t="shared" si="50"/>
        <v>0</v>
      </c>
      <c r="J311" s="8">
        <v>2411</v>
      </c>
      <c r="K311" s="9"/>
      <c r="L311" s="8">
        <f t="shared" si="41"/>
        <v>28932</v>
      </c>
      <c r="M311" s="7">
        <f t="shared" si="42"/>
        <v>0</v>
      </c>
      <c r="N311" s="10">
        <f t="shared" si="43"/>
        <v>1</v>
      </c>
      <c r="O311" s="11">
        <f t="shared" si="44"/>
        <v>0.239008710078812</v>
      </c>
      <c r="P311" s="11"/>
      <c r="Q311" s="8">
        <f t="shared" si="45"/>
        <v>13830.0000000004</v>
      </c>
      <c r="R311" s="12">
        <f t="shared" si="46"/>
        <v>0</v>
      </c>
    </row>
    <row r="312" ht="14.25" spans="1:18">
      <c r="A312" s="15">
        <v>46138</v>
      </c>
      <c r="B312" s="3">
        <f>Data_Entry!P393</f>
        <v>13230.0000000002</v>
      </c>
      <c r="C312" s="3">
        <v>0</v>
      </c>
      <c r="D312" s="4">
        <f>Data_Entry!V393</f>
        <v>5.58</v>
      </c>
      <c r="E312" s="5">
        <f t="shared" si="48"/>
        <v>0.22863956864372</v>
      </c>
      <c r="F312" s="6">
        <v>0</v>
      </c>
      <c r="G312" s="6">
        <v>0</v>
      </c>
      <c r="H312" s="7">
        <f t="shared" si="49"/>
        <v>0</v>
      </c>
      <c r="I312" s="7">
        <f t="shared" si="50"/>
        <v>0</v>
      </c>
      <c r="J312" s="8">
        <v>2411</v>
      </c>
      <c r="K312" s="9"/>
      <c r="L312" s="8">
        <f t="shared" si="41"/>
        <v>28932</v>
      </c>
      <c r="M312" s="7">
        <f t="shared" si="42"/>
        <v>0</v>
      </c>
      <c r="N312" s="10">
        <f t="shared" si="43"/>
        <v>1</v>
      </c>
      <c r="O312" s="11">
        <f t="shared" si="44"/>
        <v>0.22863956864372</v>
      </c>
      <c r="P312" s="11"/>
      <c r="Q312" s="8">
        <f t="shared" si="45"/>
        <v>13230.0000000002</v>
      </c>
      <c r="R312" s="12">
        <f t="shared" si="46"/>
        <v>0</v>
      </c>
    </row>
    <row r="313" ht="14.25" spans="1:18">
      <c r="A313" s="15">
        <v>46139</v>
      </c>
      <c r="B313" s="3">
        <f>Data_Entry!P394</f>
        <v>13199.9999999996</v>
      </c>
      <c r="C313" s="3">
        <v>0</v>
      </c>
      <c r="D313" s="4">
        <f>Data_Entry!V394</f>
        <v>5.58</v>
      </c>
      <c r="E313" s="5">
        <f t="shared" si="48"/>
        <v>0.228121111571955</v>
      </c>
      <c r="F313" s="6">
        <v>0</v>
      </c>
      <c r="G313" s="6">
        <v>0</v>
      </c>
      <c r="H313" s="7">
        <f t="shared" si="49"/>
        <v>0</v>
      </c>
      <c r="I313" s="7">
        <f t="shared" si="50"/>
        <v>0</v>
      </c>
      <c r="J313" s="8">
        <v>2411</v>
      </c>
      <c r="K313" s="9"/>
      <c r="L313" s="8">
        <f t="shared" si="41"/>
        <v>28932</v>
      </c>
      <c r="M313" s="7">
        <f t="shared" si="42"/>
        <v>0</v>
      </c>
      <c r="N313" s="10">
        <f t="shared" si="43"/>
        <v>1</v>
      </c>
      <c r="O313" s="11">
        <f t="shared" si="44"/>
        <v>0.228121111571955</v>
      </c>
      <c r="P313" s="11"/>
      <c r="Q313" s="8">
        <f t="shared" si="45"/>
        <v>13199.9999999996</v>
      </c>
      <c r="R313" s="12">
        <f t="shared" si="46"/>
        <v>0</v>
      </c>
    </row>
    <row r="314" ht="14.25" spans="1:18">
      <c r="A314" s="15">
        <v>46140</v>
      </c>
      <c r="B314" s="3">
        <f>Data_Entry!P395</f>
        <v>14220</v>
      </c>
      <c r="C314" s="3">
        <v>0</v>
      </c>
      <c r="D314" s="4">
        <f>Data_Entry!V395</f>
        <v>5.74</v>
      </c>
      <c r="E314" s="5">
        <f t="shared" si="48"/>
        <v>0.245748652011613</v>
      </c>
      <c r="F314" s="6">
        <v>0</v>
      </c>
      <c r="G314" s="6">
        <v>0</v>
      </c>
      <c r="H314" s="7">
        <f t="shared" si="49"/>
        <v>0</v>
      </c>
      <c r="I314" s="7">
        <f t="shared" si="50"/>
        <v>0</v>
      </c>
      <c r="J314" s="8">
        <v>2411</v>
      </c>
      <c r="K314" s="9"/>
      <c r="L314" s="8">
        <f t="shared" si="41"/>
        <v>28932</v>
      </c>
      <c r="M314" s="7">
        <f t="shared" si="42"/>
        <v>0</v>
      </c>
      <c r="N314" s="10">
        <f t="shared" si="43"/>
        <v>1</v>
      </c>
      <c r="O314" s="11">
        <f t="shared" si="44"/>
        <v>0.245748652011613</v>
      </c>
      <c r="P314" s="11"/>
      <c r="Q314" s="8">
        <f t="shared" si="45"/>
        <v>14220</v>
      </c>
      <c r="R314" s="12">
        <f t="shared" si="46"/>
        <v>0</v>
      </c>
    </row>
    <row r="315" ht="14.25" spans="1:18">
      <c r="A315" s="15">
        <v>46141</v>
      </c>
      <c r="B315" s="3">
        <f>Data_Entry!P396</f>
        <v>14309.9999999999</v>
      </c>
      <c r="C315" s="3">
        <v>0</v>
      </c>
      <c r="D315" s="4">
        <f>Data_Entry!V396</f>
        <v>5.8</v>
      </c>
      <c r="E315" s="5">
        <f t="shared" si="48"/>
        <v>0.247304023226875</v>
      </c>
      <c r="F315" s="6">
        <v>0</v>
      </c>
      <c r="G315" s="6">
        <v>0</v>
      </c>
      <c r="H315" s="7">
        <f t="shared" si="49"/>
        <v>0</v>
      </c>
      <c r="I315" s="7">
        <f t="shared" si="50"/>
        <v>0</v>
      </c>
      <c r="J315" s="8">
        <v>2411</v>
      </c>
      <c r="K315" s="9"/>
      <c r="L315" s="8">
        <f t="shared" si="41"/>
        <v>28932</v>
      </c>
      <c r="M315" s="7">
        <f t="shared" si="42"/>
        <v>0</v>
      </c>
      <c r="N315" s="10">
        <f t="shared" si="43"/>
        <v>1</v>
      </c>
      <c r="O315" s="11">
        <f t="shared" si="44"/>
        <v>0.247304023226875</v>
      </c>
      <c r="P315" s="11"/>
      <c r="Q315" s="8">
        <f t="shared" si="45"/>
        <v>14309.9999999999</v>
      </c>
      <c r="R315" s="12">
        <f t="shared" si="46"/>
        <v>0</v>
      </c>
    </row>
    <row r="316" ht="14.25" spans="1:18">
      <c r="A316" s="15">
        <v>46142</v>
      </c>
      <c r="B316" s="3">
        <f>Data_Entry!P397</f>
        <v>13980.0000000002</v>
      </c>
      <c r="C316" s="3">
        <v>0</v>
      </c>
      <c r="D316" s="4">
        <f>Data_Entry!V397</f>
        <v>5.65</v>
      </c>
      <c r="E316" s="5">
        <f t="shared" si="48"/>
        <v>0.241600995437582</v>
      </c>
      <c r="F316" s="6">
        <v>0</v>
      </c>
      <c r="G316" s="6">
        <v>0</v>
      </c>
      <c r="H316" s="7">
        <f t="shared" si="49"/>
        <v>0</v>
      </c>
      <c r="I316" s="7">
        <f t="shared" si="50"/>
        <v>0</v>
      </c>
      <c r="J316" s="8">
        <v>2411</v>
      </c>
      <c r="K316" s="9"/>
      <c r="L316" s="8">
        <f t="shared" si="41"/>
        <v>28932</v>
      </c>
      <c r="M316" s="7">
        <f t="shared" si="42"/>
        <v>0</v>
      </c>
      <c r="N316" s="10">
        <f t="shared" si="43"/>
        <v>1</v>
      </c>
      <c r="O316" s="11">
        <f t="shared" si="44"/>
        <v>0.241600995437582</v>
      </c>
      <c r="P316" s="11"/>
      <c r="Q316" s="8">
        <f t="shared" si="45"/>
        <v>13980.0000000002</v>
      </c>
      <c r="R316" s="12">
        <f t="shared" si="46"/>
        <v>0</v>
      </c>
    </row>
    <row r="317" ht="14.25" spans="1:18">
      <c r="A317" s="15">
        <v>46143</v>
      </c>
      <c r="B317" s="3">
        <f>Data_Entry!P398</f>
        <v>13949.9999999996</v>
      </c>
      <c r="C317" s="3">
        <v>0</v>
      </c>
      <c r="D317" s="4">
        <f>Data_Entry!V398</f>
        <v>5.68</v>
      </c>
      <c r="E317" s="5">
        <f t="shared" ref="E317:E347" si="51">B317/(24*J317)</f>
        <v>0.241082538365816</v>
      </c>
      <c r="F317" s="6">
        <v>0</v>
      </c>
      <c r="G317" s="6">
        <v>0</v>
      </c>
      <c r="H317" s="7">
        <f t="shared" ref="H317:H347" si="52">(G317-F317)*24*60</f>
        <v>0</v>
      </c>
      <c r="I317" s="7">
        <f t="shared" ref="I317:I347" si="53">H317/60</f>
        <v>0</v>
      </c>
      <c r="J317" s="8">
        <v>2411</v>
      </c>
      <c r="K317" s="21"/>
      <c r="L317" s="8">
        <f t="shared" ref="L317:L347" si="54">J317*12</f>
        <v>28932</v>
      </c>
      <c r="M317" s="7">
        <f t="shared" ref="M317:M347" si="55">K317*I317</f>
        <v>0</v>
      </c>
      <c r="N317" s="10">
        <f t="shared" ref="N317:N347" si="56">(L317-M317)/L317</f>
        <v>1</v>
      </c>
      <c r="O317" s="11">
        <f t="shared" ref="O317:O347" si="57">E317/N317</f>
        <v>0.241082538365816</v>
      </c>
      <c r="P317" s="21"/>
      <c r="Q317" s="8">
        <f t="shared" ref="Q317:Q336" si="58">O317*J317*24</f>
        <v>13949.9999999996</v>
      </c>
      <c r="R317" s="12">
        <f t="shared" ref="R317:R347" si="59">Q317-B317</f>
        <v>0</v>
      </c>
    </row>
    <row r="318" ht="14.25" spans="1:18">
      <c r="A318" s="15">
        <v>46144</v>
      </c>
      <c r="B318" s="3">
        <f>Data_Entry!P399</f>
        <v>14250</v>
      </c>
      <c r="C318" s="3">
        <v>0</v>
      </c>
      <c r="D318" s="4">
        <f>Data_Entry!V399</f>
        <v>5.85</v>
      </c>
      <c r="E318" s="5">
        <f t="shared" si="51"/>
        <v>0.246267109083368</v>
      </c>
      <c r="F318" s="6">
        <v>0</v>
      </c>
      <c r="G318" s="6">
        <v>0</v>
      </c>
      <c r="H318" s="7">
        <f t="shared" si="52"/>
        <v>0</v>
      </c>
      <c r="I318" s="7">
        <f t="shared" si="53"/>
        <v>0</v>
      </c>
      <c r="J318" s="8">
        <v>2411</v>
      </c>
      <c r="K318" s="21"/>
      <c r="L318" s="8">
        <f t="shared" si="54"/>
        <v>28932</v>
      </c>
      <c r="M318" s="7">
        <f t="shared" si="55"/>
        <v>0</v>
      </c>
      <c r="N318" s="10">
        <f t="shared" si="56"/>
        <v>1</v>
      </c>
      <c r="O318" s="11">
        <f t="shared" si="57"/>
        <v>0.246267109083368</v>
      </c>
      <c r="P318" s="21"/>
      <c r="Q318" s="8">
        <f t="shared" si="58"/>
        <v>14250</v>
      </c>
      <c r="R318" s="12">
        <f t="shared" si="59"/>
        <v>0</v>
      </c>
    </row>
    <row r="319" ht="14.25" spans="1:18">
      <c r="A319" s="15">
        <v>46145</v>
      </c>
      <c r="B319" s="3">
        <f>Data_Entry!P400</f>
        <v>14400.0000000005</v>
      </c>
      <c r="C319" s="3">
        <v>0</v>
      </c>
      <c r="D319" s="4">
        <f>Data_Entry!V400</f>
        <v>5.92</v>
      </c>
      <c r="E319" s="5">
        <f t="shared" si="51"/>
        <v>0.24885939444215</v>
      </c>
      <c r="F319" s="6">
        <v>0</v>
      </c>
      <c r="G319" s="6">
        <v>0</v>
      </c>
      <c r="H319" s="7">
        <f t="shared" si="52"/>
        <v>0</v>
      </c>
      <c r="I319" s="7">
        <f t="shared" si="53"/>
        <v>0</v>
      </c>
      <c r="J319" s="8">
        <v>2411</v>
      </c>
      <c r="K319" s="21"/>
      <c r="L319" s="8">
        <f t="shared" si="54"/>
        <v>28932</v>
      </c>
      <c r="M319" s="7">
        <f t="shared" si="55"/>
        <v>0</v>
      </c>
      <c r="N319" s="10">
        <f t="shared" si="56"/>
        <v>1</v>
      </c>
      <c r="O319" s="11">
        <f t="shared" si="57"/>
        <v>0.24885939444215</v>
      </c>
      <c r="P319" s="21"/>
      <c r="Q319" s="8">
        <f t="shared" si="58"/>
        <v>14400.0000000005</v>
      </c>
      <c r="R319" s="12">
        <f t="shared" si="59"/>
        <v>0</v>
      </c>
    </row>
    <row r="320" ht="14.25" spans="1:18">
      <c r="A320" s="15">
        <v>46146</v>
      </c>
      <c r="B320" s="3">
        <f>Data_Entry!P401</f>
        <v>13920</v>
      </c>
      <c r="C320" s="3">
        <v>0</v>
      </c>
      <c r="D320" s="4">
        <f>Data_Entry!V401</f>
        <v>5.77</v>
      </c>
      <c r="E320" s="5">
        <f t="shared" si="51"/>
        <v>0.240564081294069</v>
      </c>
      <c r="F320" s="6">
        <v>0</v>
      </c>
      <c r="G320" s="6">
        <v>0</v>
      </c>
      <c r="H320" s="7">
        <f t="shared" si="52"/>
        <v>0</v>
      </c>
      <c r="I320" s="7">
        <f t="shared" si="53"/>
        <v>0</v>
      </c>
      <c r="J320" s="8">
        <v>2411</v>
      </c>
      <c r="K320" s="21"/>
      <c r="L320" s="8">
        <f t="shared" si="54"/>
        <v>28932</v>
      </c>
      <c r="M320" s="7">
        <f t="shared" si="55"/>
        <v>0</v>
      </c>
      <c r="N320" s="10">
        <f t="shared" si="56"/>
        <v>1</v>
      </c>
      <c r="O320" s="11">
        <f t="shared" si="57"/>
        <v>0.240564081294069</v>
      </c>
      <c r="P320" s="21"/>
      <c r="Q320" s="8">
        <f t="shared" si="58"/>
        <v>13920</v>
      </c>
      <c r="R320" s="12">
        <f t="shared" si="59"/>
        <v>0</v>
      </c>
    </row>
    <row r="321" ht="14.25" spans="1:18">
      <c r="A321" s="15">
        <v>46147</v>
      </c>
      <c r="B321" s="3">
        <f>Data_Entry!P402</f>
        <v>13230.0000000002</v>
      </c>
      <c r="C321" s="3">
        <v>0</v>
      </c>
      <c r="D321" s="4">
        <f>Data_Entry!V402</f>
        <v>5.76</v>
      </c>
      <c r="E321" s="5">
        <f t="shared" si="51"/>
        <v>0.228639568643721</v>
      </c>
      <c r="F321" s="6">
        <v>0</v>
      </c>
      <c r="G321" s="6">
        <v>0</v>
      </c>
      <c r="H321" s="7">
        <f t="shared" si="52"/>
        <v>0</v>
      </c>
      <c r="I321" s="7">
        <f t="shared" si="53"/>
        <v>0</v>
      </c>
      <c r="J321" s="8">
        <v>2411</v>
      </c>
      <c r="K321" s="21"/>
      <c r="L321" s="8">
        <f t="shared" si="54"/>
        <v>28932</v>
      </c>
      <c r="M321" s="7">
        <f t="shared" si="55"/>
        <v>0</v>
      </c>
      <c r="N321" s="10">
        <f t="shared" si="56"/>
        <v>1</v>
      </c>
      <c r="O321" s="11">
        <f t="shared" si="57"/>
        <v>0.228639568643721</v>
      </c>
      <c r="P321" s="21"/>
      <c r="Q321" s="8">
        <f t="shared" si="58"/>
        <v>13230.0000000002</v>
      </c>
      <c r="R321" s="12">
        <f t="shared" si="59"/>
        <v>0</v>
      </c>
    </row>
    <row r="322" ht="14.25" spans="1:18">
      <c r="A322" s="15">
        <v>46148</v>
      </c>
      <c r="B322" s="3">
        <f>Data_Entry!P403</f>
        <v>13019.9999999998</v>
      </c>
      <c r="C322" s="3">
        <v>0</v>
      </c>
      <c r="D322" s="4">
        <f>Data_Entry!V403</f>
        <v>5.72</v>
      </c>
      <c r="E322" s="5">
        <f t="shared" si="51"/>
        <v>0.225010369141431</v>
      </c>
      <c r="F322" s="6">
        <v>0</v>
      </c>
      <c r="G322" s="6">
        <v>0</v>
      </c>
      <c r="H322" s="7">
        <f t="shared" si="52"/>
        <v>0</v>
      </c>
      <c r="I322" s="7">
        <f t="shared" si="53"/>
        <v>0</v>
      </c>
      <c r="J322" s="8">
        <v>2411</v>
      </c>
      <c r="K322" s="21"/>
      <c r="L322" s="8">
        <f t="shared" si="54"/>
        <v>28932</v>
      </c>
      <c r="M322" s="7">
        <f t="shared" si="55"/>
        <v>0</v>
      </c>
      <c r="N322" s="10">
        <f t="shared" si="56"/>
        <v>1</v>
      </c>
      <c r="O322" s="11">
        <f t="shared" si="57"/>
        <v>0.225010369141431</v>
      </c>
      <c r="P322" s="21"/>
      <c r="Q322" s="8">
        <f t="shared" si="58"/>
        <v>13019.9999999998</v>
      </c>
      <c r="R322" s="12">
        <f t="shared" si="59"/>
        <v>0</v>
      </c>
    </row>
    <row r="323" ht="14.25" spans="1:18">
      <c r="A323" s="15">
        <v>46149</v>
      </c>
      <c r="B323" s="3">
        <f>Data_Entry!P404</f>
        <v>13170.0000000003</v>
      </c>
      <c r="C323" s="3">
        <v>0</v>
      </c>
      <c r="D323" s="4">
        <f>Data_Entry!V404</f>
        <v>5.81</v>
      </c>
      <c r="E323" s="5">
        <f t="shared" si="51"/>
        <v>0.227602654500213</v>
      </c>
      <c r="F323" s="6">
        <v>0</v>
      </c>
      <c r="G323" s="6">
        <v>0</v>
      </c>
      <c r="H323" s="7">
        <f t="shared" si="52"/>
        <v>0</v>
      </c>
      <c r="I323" s="7">
        <f t="shared" si="53"/>
        <v>0</v>
      </c>
      <c r="J323" s="8">
        <v>2411</v>
      </c>
      <c r="K323" s="21"/>
      <c r="L323" s="8">
        <f t="shared" si="54"/>
        <v>28932</v>
      </c>
      <c r="M323" s="7">
        <f t="shared" si="55"/>
        <v>0</v>
      </c>
      <c r="N323" s="10">
        <f t="shared" si="56"/>
        <v>1</v>
      </c>
      <c r="O323" s="11">
        <f t="shared" si="57"/>
        <v>0.227602654500213</v>
      </c>
      <c r="P323" s="21"/>
      <c r="Q323" s="8">
        <f t="shared" si="58"/>
        <v>13170.0000000003</v>
      </c>
      <c r="R323" s="12">
        <f t="shared" si="59"/>
        <v>0</v>
      </c>
    </row>
    <row r="324" ht="14.25" spans="1:18">
      <c r="A324" s="15">
        <v>46150</v>
      </c>
      <c r="B324" s="3">
        <f>Data_Entry!P405</f>
        <v>13410.0000000001</v>
      </c>
      <c r="C324" s="3">
        <v>0</v>
      </c>
      <c r="D324" s="4">
        <f>Data_Entry!V405</f>
        <v>5.79</v>
      </c>
      <c r="E324" s="5">
        <f t="shared" si="51"/>
        <v>0.231750311074244</v>
      </c>
      <c r="F324" s="6">
        <v>0</v>
      </c>
      <c r="G324" s="6">
        <v>0</v>
      </c>
      <c r="H324" s="7">
        <f t="shared" si="52"/>
        <v>0</v>
      </c>
      <c r="I324" s="7">
        <f t="shared" si="53"/>
        <v>0</v>
      </c>
      <c r="J324" s="8">
        <v>2411</v>
      </c>
      <c r="K324" s="21"/>
      <c r="L324" s="8">
        <f t="shared" si="54"/>
        <v>28932</v>
      </c>
      <c r="M324" s="7">
        <f t="shared" si="55"/>
        <v>0</v>
      </c>
      <c r="N324" s="10">
        <f t="shared" si="56"/>
        <v>1</v>
      </c>
      <c r="O324" s="11">
        <f t="shared" si="57"/>
        <v>0.231750311074244</v>
      </c>
      <c r="P324" s="21"/>
      <c r="Q324" s="8">
        <f t="shared" si="58"/>
        <v>13410.0000000001</v>
      </c>
      <c r="R324" s="12">
        <f t="shared" si="59"/>
        <v>0</v>
      </c>
    </row>
    <row r="325" ht="14.25" spans="1:18">
      <c r="A325" s="15">
        <v>46151</v>
      </c>
      <c r="B325" s="3">
        <f>Data_Entry!P406</f>
        <v>13679.9999999998</v>
      </c>
      <c r="C325" s="3">
        <v>0</v>
      </c>
      <c r="D325" s="4">
        <f>Data_Entry!V406</f>
        <v>5.88</v>
      </c>
      <c r="E325" s="5">
        <f t="shared" si="51"/>
        <v>0.23641642472003</v>
      </c>
      <c r="F325" s="6">
        <v>0</v>
      </c>
      <c r="G325" s="6">
        <v>0</v>
      </c>
      <c r="H325" s="7">
        <f t="shared" si="52"/>
        <v>0</v>
      </c>
      <c r="I325" s="7">
        <f t="shared" si="53"/>
        <v>0</v>
      </c>
      <c r="J325" s="8">
        <v>2411</v>
      </c>
      <c r="K325" s="21"/>
      <c r="L325" s="8">
        <f t="shared" si="54"/>
        <v>28932</v>
      </c>
      <c r="M325" s="7">
        <f t="shared" si="55"/>
        <v>0</v>
      </c>
      <c r="N325" s="10">
        <f t="shared" si="56"/>
        <v>1</v>
      </c>
      <c r="O325" s="11">
        <f t="shared" si="57"/>
        <v>0.23641642472003</v>
      </c>
      <c r="P325" s="21"/>
      <c r="Q325" s="8">
        <f t="shared" si="58"/>
        <v>13679.9999999998</v>
      </c>
      <c r="R325" s="12">
        <f t="shared" si="59"/>
        <v>0</v>
      </c>
    </row>
    <row r="326" ht="14.25" spans="1:18">
      <c r="A326" s="15">
        <v>46152</v>
      </c>
      <c r="B326" s="3">
        <f>Data_Entry!P407</f>
        <v>13949.9999999996</v>
      </c>
      <c r="C326" s="3">
        <v>0</v>
      </c>
      <c r="D326" s="4">
        <f>Data_Entry!V407</f>
        <v>5.98</v>
      </c>
      <c r="E326" s="5">
        <f t="shared" si="51"/>
        <v>0.241082538365816</v>
      </c>
      <c r="F326" s="6">
        <v>0</v>
      </c>
      <c r="G326" s="6">
        <v>0</v>
      </c>
      <c r="H326" s="7">
        <f t="shared" si="52"/>
        <v>0</v>
      </c>
      <c r="I326" s="7">
        <f t="shared" si="53"/>
        <v>0</v>
      </c>
      <c r="J326" s="8">
        <v>2411</v>
      </c>
      <c r="K326" s="21"/>
      <c r="L326" s="8">
        <f t="shared" si="54"/>
        <v>28932</v>
      </c>
      <c r="M326" s="7">
        <f t="shared" si="55"/>
        <v>0</v>
      </c>
      <c r="N326" s="10">
        <f t="shared" si="56"/>
        <v>1</v>
      </c>
      <c r="O326" s="11">
        <f t="shared" si="57"/>
        <v>0.241082538365816</v>
      </c>
      <c r="P326" s="21"/>
      <c r="Q326" s="8">
        <f t="shared" si="58"/>
        <v>13949.9999999996</v>
      </c>
      <c r="R326" s="12">
        <f t="shared" si="59"/>
        <v>0</v>
      </c>
    </row>
    <row r="327" ht="14.25" spans="1:18">
      <c r="A327" s="15">
        <v>46153</v>
      </c>
      <c r="B327" s="3">
        <f>Data_Entry!P408</f>
        <v>13890.0000000003</v>
      </c>
      <c r="C327" s="3">
        <v>0</v>
      </c>
      <c r="D327" s="4">
        <f>Data_Entry!V408</f>
        <v>5.95</v>
      </c>
      <c r="E327" s="5">
        <f t="shared" si="51"/>
        <v>0.24004562422232</v>
      </c>
      <c r="F327" s="6">
        <v>0</v>
      </c>
      <c r="G327" s="6">
        <v>0</v>
      </c>
      <c r="H327" s="7">
        <f t="shared" si="52"/>
        <v>0</v>
      </c>
      <c r="I327" s="7">
        <f t="shared" si="53"/>
        <v>0</v>
      </c>
      <c r="J327" s="8">
        <v>2411</v>
      </c>
      <c r="K327" s="21"/>
      <c r="L327" s="8">
        <f t="shared" si="54"/>
        <v>28932</v>
      </c>
      <c r="M327" s="7">
        <f t="shared" si="55"/>
        <v>0</v>
      </c>
      <c r="N327" s="10">
        <f t="shared" si="56"/>
        <v>1</v>
      </c>
      <c r="O327" s="11">
        <f t="shared" si="57"/>
        <v>0.24004562422232</v>
      </c>
      <c r="P327" s="21"/>
      <c r="Q327" s="8">
        <f t="shared" si="58"/>
        <v>13890.0000000003</v>
      </c>
      <c r="R327" s="12">
        <f t="shared" si="59"/>
        <v>0</v>
      </c>
    </row>
    <row r="328" ht="14.25" spans="1:18">
      <c r="A328" s="15">
        <v>46154</v>
      </c>
      <c r="B328" s="3">
        <f>Data_Entry!P409</f>
        <v>13619.9999999999</v>
      </c>
      <c r="C328" s="3">
        <v>0</v>
      </c>
      <c r="D328" s="4">
        <f>Data_Entry!V409</f>
        <v>5.77</v>
      </c>
      <c r="E328" s="5">
        <f t="shared" si="51"/>
        <v>0.235379510576522</v>
      </c>
      <c r="F328" s="6">
        <v>0</v>
      </c>
      <c r="G328" s="6">
        <v>0</v>
      </c>
      <c r="H328" s="7">
        <f t="shared" si="52"/>
        <v>0</v>
      </c>
      <c r="I328" s="7">
        <f t="shared" si="53"/>
        <v>0</v>
      </c>
      <c r="J328" s="8">
        <v>2411</v>
      </c>
      <c r="K328" s="21"/>
      <c r="L328" s="8">
        <f t="shared" si="54"/>
        <v>28932</v>
      </c>
      <c r="M328" s="7">
        <f t="shared" si="55"/>
        <v>0</v>
      </c>
      <c r="N328" s="10">
        <f t="shared" si="56"/>
        <v>1</v>
      </c>
      <c r="O328" s="11">
        <f t="shared" si="57"/>
        <v>0.235379510576522</v>
      </c>
      <c r="P328" s="21"/>
      <c r="Q328" s="8">
        <f t="shared" si="58"/>
        <v>13619.9999999999</v>
      </c>
      <c r="R328" s="12">
        <f t="shared" si="59"/>
        <v>0</v>
      </c>
    </row>
    <row r="329" ht="14.25" spans="1:18">
      <c r="A329" s="15">
        <v>46155</v>
      </c>
      <c r="B329" s="3">
        <f>Data_Entry!P410</f>
        <v>360.000000000355</v>
      </c>
      <c r="C329" s="3">
        <v>0</v>
      </c>
      <c r="D329" s="4">
        <f>Data_Entry!V410</f>
        <v>0.11</v>
      </c>
      <c r="E329" s="5">
        <f t="shared" si="51"/>
        <v>0.00622148486105963</v>
      </c>
      <c r="F329" s="6">
        <v>0.291666666666667</v>
      </c>
      <c r="G329" s="6">
        <v>0.725694444444444</v>
      </c>
      <c r="H329" s="7">
        <f t="shared" si="52"/>
        <v>625</v>
      </c>
      <c r="I329" s="7">
        <f t="shared" si="53"/>
        <v>10.4166666666667</v>
      </c>
      <c r="J329" s="8">
        <v>2411</v>
      </c>
      <c r="K329" s="21">
        <v>2411</v>
      </c>
      <c r="L329" s="8">
        <f t="shared" si="54"/>
        <v>28932</v>
      </c>
      <c r="M329" s="7">
        <f t="shared" si="55"/>
        <v>25114.5833333333</v>
      </c>
      <c r="N329" s="10">
        <f t="shared" si="56"/>
        <v>0.131944444444444</v>
      </c>
      <c r="O329" s="11">
        <f t="shared" si="57"/>
        <v>0.0471523063153995</v>
      </c>
      <c r="P329" s="21"/>
      <c r="Q329" s="8">
        <f t="shared" si="58"/>
        <v>2728.42105263428</v>
      </c>
      <c r="R329" s="12">
        <f t="shared" si="59"/>
        <v>2368.42105263392</v>
      </c>
    </row>
    <row r="330" ht="14.25" spans="1:18">
      <c r="A330" s="15">
        <v>46156</v>
      </c>
      <c r="B330" s="3">
        <f>Data_Entry!P411</f>
        <v>13649.9999999999</v>
      </c>
      <c r="C330" s="3">
        <v>0</v>
      </c>
      <c r="D330" s="4">
        <f>Data_Entry!V411</f>
        <v>5.88</v>
      </c>
      <c r="E330" s="5">
        <f t="shared" si="51"/>
        <v>0.235897967648276</v>
      </c>
      <c r="F330" s="6">
        <v>0</v>
      </c>
      <c r="G330" s="6">
        <v>0</v>
      </c>
      <c r="H330" s="7">
        <f t="shared" si="52"/>
        <v>0</v>
      </c>
      <c r="I330" s="7">
        <f t="shared" si="53"/>
        <v>0</v>
      </c>
      <c r="J330" s="8">
        <v>2411</v>
      </c>
      <c r="K330" s="21"/>
      <c r="L330" s="8">
        <f t="shared" si="54"/>
        <v>28932</v>
      </c>
      <c r="M330" s="7">
        <f t="shared" si="55"/>
        <v>0</v>
      </c>
      <c r="N330" s="10">
        <f t="shared" si="56"/>
        <v>1</v>
      </c>
      <c r="O330" s="11">
        <f t="shared" si="57"/>
        <v>0.235897967648276</v>
      </c>
      <c r="P330" s="21"/>
      <c r="Q330" s="8">
        <f t="shared" si="58"/>
        <v>13649.9999999999</v>
      </c>
      <c r="R330" s="12">
        <f t="shared" si="59"/>
        <v>0</v>
      </c>
    </row>
    <row r="331" ht="14.25" spans="1:18">
      <c r="A331" s="15">
        <v>46157</v>
      </c>
      <c r="B331" s="3">
        <f>Data_Entry!P412</f>
        <v>13619.9999999999</v>
      </c>
      <c r="C331" s="3">
        <v>0</v>
      </c>
      <c r="D331" s="4">
        <f>Data_Entry!V412</f>
        <v>5.69</v>
      </c>
      <c r="E331" s="5">
        <f t="shared" si="51"/>
        <v>0.235379510576522</v>
      </c>
      <c r="F331" s="6">
        <v>0</v>
      </c>
      <c r="G331" s="6">
        <v>0</v>
      </c>
      <c r="H331" s="7">
        <f t="shared" si="52"/>
        <v>0</v>
      </c>
      <c r="I331" s="7">
        <f t="shared" si="53"/>
        <v>0</v>
      </c>
      <c r="J331" s="8">
        <v>2411</v>
      </c>
      <c r="K331" s="21"/>
      <c r="L331" s="8">
        <f t="shared" si="54"/>
        <v>28932</v>
      </c>
      <c r="M331" s="7">
        <f t="shared" si="55"/>
        <v>0</v>
      </c>
      <c r="N331" s="10">
        <f t="shared" si="56"/>
        <v>1</v>
      </c>
      <c r="O331" s="11">
        <f t="shared" si="57"/>
        <v>0.235379510576522</v>
      </c>
      <c r="P331" s="21"/>
      <c r="Q331" s="8">
        <f t="shared" si="58"/>
        <v>13619.9999999999</v>
      </c>
      <c r="R331" s="12">
        <f t="shared" si="59"/>
        <v>0</v>
      </c>
    </row>
    <row r="332" ht="14.25" spans="1:18">
      <c r="A332" s="15">
        <v>46158</v>
      </c>
      <c r="B332" s="3">
        <f>Data_Entry!P413</f>
        <v>14040.0000000002</v>
      </c>
      <c r="C332" s="3">
        <v>0</v>
      </c>
      <c r="D332" s="4">
        <f>Data_Entry!V413</f>
        <v>6.02</v>
      </c>
      <c r="E332" s="5">
        <f t="shared" si="51"/>
        <v>0.24263790958109</v>
      </c>
      <c r="F332" s="6">
        <v>0</v>
      </c>
      <c r="G332" s="6">
        <v>0</v>
      </c>
      <c r="H332" s="7">
        <f t="shared" si="52"/>
        <v>0</v>
      </c>
      <c r="I332" s="7">
        <f t="shared" si="53"/>
        <v>0</v>
      </c>
      <c r="J332" s="8">
        <v>2411</v>
      </c>
      <c r="K332" s="21"/>
      <c r="L332" s="8">
        <f t="shared" si="54"/>
        <v>28932</v>
      </c>
      <c r="M332" s="7">
        <f t="shared" si="55"/>
        <v>0</v>
      </c>
      <c r="N332" s="10">
        <f t="shared" si="56"/>
        <v>1</v>
      </c>
      <c r="O332" s="11">
        <f t="shared" si="57"/>
        <v>0.24263790958109</v>
      </c>
      <c r="P332" s="21"/>
      <c r="Q332" s="8">
        <f t="shared" si="58"/>
        <v>14040.0000000002</v>
      </c>
      <c r="R332" s="12">
        <f t="shared" si="59"/>
        <v>0</v>
      </c>
    </row>
    <row r="333" ht="14.25" spans="1:18">
      <c r="A333" s="15">
        <v>46159</v>
      </c>
      <c r="B333" s="3">
        <f>Data_Entry!P414</f>
        <v>13889.9999999996</v>
      </c>
      <c r="C333" s="3">
        <v>0</v>
      </c>
      <c r="D333" s="4">
        <f>Data_Entry!V414</f>
        <v>6.06</v>
      </c>
      <c r="E333" s="5">
        <f t="shared" si="51"/>
        <v>0.240045624222308</v>
      </c>
      <c r="F333" s="6">
        <v>0</v>
      </c>
      <c r="G333" s="6">
        <v>0</v>
      </c>
      <c r="H333" s="7">
        <f t="shared" si="52"/>
        <v>0</v>
      </c>
      <c r="I333" s="7">
        <f t="shared" si="53"/>
        <v>0</v>
      </c>
      <c r="J333" s="8">
        <v>2411</v>
      </c>
      <c r="K333" s="21"/>
      <c r="L333" s="8">
        <f t="shared" si="54"/>
        <v>28932</v>
      </c>
      <c r="M333" s="7">
        <f t="shared" si="55"/>
        <v>0</v>
      </c>
      <c r="N333" s="10">
        <f t="shared" si="56"/>
        <v>1</v>
      </c>
      <c r="O333" s="11">
        <f t="shared" si="57"/>
        <v>0.240045624222308</v>
      </c>
      <c r="P333" s="21"/>
      <c r="Q333" s="8">
        <f t="shared" si="58"/>
        <v>13889.9999999996</v>
      </c>
      <c r="R333" s="12">
        <f t="shared" si="59"/>
        <v>0</v>
      </c>
    </row>
    <row r="334" ht="14.25" spans="1:18">
      <c r="A334" s="15">
        <v>46160</v>
      </c>
      <c r="B334" s="3">
        <f>Data_Entry!P415</f>
        <v>13500</v>
      </c>
      <c r="C334" s="3">
        <v>0</v>
      </c>
      <c r="D334" s="4">
        <f>Data_Entry!V415</f>
        <v>5.85</v>
      </c>
      <c r="E334" s="5">
        <f t="shared" si="51"/>
        <v>0.233305682289506</v>
      </c>
      <c r="F334" s="6">
        <v>0</v>
      </c>
      <c r="G334" s="6">
        <v>0</v>
      </c>
      <c r="H334" s="7">
        <f t="shared" si="52"/>
        <v>0</v>
      </c>
      <c r="I334" s="7">
        <f t="shared" si="53"/>
        <v>0</v>
      </c>
      <c r="J334" s="8">
        <v>2411</v>
      </c>
      <c r="K334" s="21"/>
      <c r="L334" s="8">
        <f t="shared" si="54"/>
        <v>28932</v>
      </c>
      <c r="M334" s="7">
        <f t="shared" si="55"/>
        <v>0</v>
      </c>
      <c r="N334" s="10">
        <f t="shared" si="56"/>
        <v>1</v>
      </c>
      <c r="O334" s="11">
        <f t="shared" si="57"/>
        <v>0.233305682289506</v>
      </c>
      <c r="P334" s="21"/>
      <c r="Q334" s="8">
        <f t="shared" si="58"/>
        <v>13500</v>
      </c>
      <c r="R334" s="12">
        <f t="shared" si="59"/>
        <v>0</v>
      </c>
    </row>
    <row r="335" ht="14.25" spans="1:18">
      <c r="A335" s="15">
        <v>46161</v>
      </c>
      <c r="B335" s="3">
        <f>Data_Entry!P416</f>
        <v>13740.0000000005</v>
      </c>
      <c r="C335" s="3">
        <v>0</v>
      </c>
      <c r="D335" s="4">
        <f>Data_Entry!V416</f>
        <v>6.11</v>
      </c>
      <c r="E335" s="5">
        <f t="shared" si="51"/>
        <v>0.23745333886355</v>
      </c>
      <c r="F335" s="6">
        <v>0</v>
      </c>
      <c r="G335" s="6">
        <v>0</v>
      </c>
      <c r="H335" s="7">
        <f t="shared" si="52"/>
        <v>0</v>
      </c>
      <c r="I335" s="7">
        <f t="shared" si="53"/>
        <v>0</v>
      </c>
      <c r="J335" s="8">
        <v>2411</v>
      </c>
      <c r="K335" s="21"/>
      <c r="L335" s="8">
        <f t="shared" si="54"/>
        <v>28932</v>
      </c>
      <c r="M335" s="7">
        <f t="shared" si="55"/>
        <v>0</v>
      </c>
      <c r="N335" s="10">
        <f t="shared" si="56"/>
        <v>1</v>
      </c>
      <c r="O335" s="11">
        <f t="shared" si="57"/>
        <v>0.23745333886355</v>
      </c>
      <c r="P335" s="21"/>
      <c r="Q335" s="8">
        <f t="shared" si="58"/>
        <v>13740.0000000005</v>
      </c>
      <c r="R335" s="12">
        <f t="shared" si="59"/>
        <v>0</v>
      </c>
    </row>
    <row r="336" ht="14.25" spans="1:18">
      <c r="A336" s="15">
        <v>46162</v>
      </c>
      <c r="B336" s="3">
        <f>Data_Entry!P417</f>
        <v>13500</v>
      </c>
      <c r="C336" s="3">
        <v>0</v>
      </c>
      <c r="D336" s="4">
        <f>Data_Entry!V417</f>
        <v>5.89</v>
      </c>
      <c r="E336" s="5">
        <f t="shared" si="51"/>
        <v>0.233305682289506</v>
      </c>
      <c r="F336" s="6">
        <v>0</v>
      </c>
      <c r="G336" s="6">
        <v>0</v>
      </c>
      <c r="H336" s="7">
        <f t="shared" si="52"/>
        <v>0</v>
      </c>
      <c r="I336" s="7">
        <f t="shared" si="53"/>
        <v>0</v>
      </c>
      <c r="J336" s="8">
        <v>2411</v>
      </c>
      <c r="K336" s="21"/>
      <c r="L336" s="8">
        <f t="shared" si="54"/>
        <v>28932</v>
      </c>
      <c r="M336" s="7">
        <f t="shared" si="55"/>
        <v>0</v>
      </c>
      <c r="N336" s="10">
        <f t="shared" si="56"/>
        <v>1</v>
      </c>
      <c r="O336" s="11">
        <f t="shared" si="57"/>
        <v>0.233305682289506</v>
      </c>
      <c r="P336" s="21"/>
      <c r="Q336" s="8">
        <f t="shared" si="58"/>
        <v>13500</v>
      </c>
      <c r="R336" s="12">
        <f t="shared" si="59"/>
        <v>0</v>
      </c>
    </row>
    <row r="337" ht="14.25" spans="1:18">
      <c r="A337" s="15">
        <v>46163</v>
      </c>
      <c r="B337" s="3">
        <f>Data_Entry!P418</f>
        <v>12720</v>
      </c>
      <c r="C337" s="3">
        <v>0</v>
      </c>
      <c r="D337" s="4">
        <f>Data_Entry!V418</f>
        <v>5.55</v>
      </c>
      <c r="E337" s="5">
        <f t="shared" si="51"/>
        <v>0.219825798423891</v>
      </c>
      <c r="F337" s="6">
        <v>0</v>
      </c>
      <c r="G337" s="6">
        <v>0</v>
      </c>
      <c r="H337" s="7">
        <f t="shared" si="52"/>
        <v>0</v>
      </c>
      <c r="I337" s="7">
        <f t="shared" si="53"/>
        <v>0</v>
      </c>
      <c r="J337" s="8">
        <v>2411</v>
      </c>
      <c r="K337" s="21"/>
      <c r="L337" s="8">
        <f t="shared" si="54"/>
        <v>28932</v>
      </c>
      <c r="M337" s="7">
        <f t="shared" si="55"/>
        <v>0</v>
      </c>
      <c r="N337" s="10">
        <f t="shared" si="56"/>
        <v>1</v>
      </c>
      <c r="O337" s="11">
        <f t="shared" si="57"/>
        <v>0.219825798423891</v>
      </c>
      <c r="P337" s="21"/>
      <c r="Q337" s="8">
        <f t="shared" ref="Q337:Q347" si="60">O337*J337*24</f>
        <v>12720</v>
      </c>
      <c r="R337" s="12">
        <f t="shared" si="59"/>
        <v>0</v>
      </c>
    </row>
    <row r="338" ht="14.25" spans="1:18">
      <c r="A338" s="15">
        <v>46164</v>
      </c>
      <c r="B338" s="3">
        <f>Data_Entry!P419</f>
        <v>13289.9999999995</v>
      </c>
      <c r="C338" s="3">
        <v>0</v>
      </c>
      <c r="D338" s="4">
        <f>Data_Entry!V419</f>
        <v>5.82</v>
      </c>
      <c r="E338" s="5">
        <f t="shared" si="51"/>
        <v>0.229676482787217</v>
      </c>
      <c r="F338" s="6">
        <v>0</v>
      </c>
      <c r="G338" s="6">
        <v>0</v>
      </c>
      <c r="H338" s="7">
        <f t="shared" si="52"/>
        <v>0</v>
      </c>
      <c r="I338" s="7">
        <f t="shared" si="53"/>
        <v>0</v>
      </c>
      <c r="J338" s="8">
        <v>2411</v>
      </c>
      <c r="K338" s="21"/>
      <c r="L338" s="8">
        <f t="shared" si="54"/>
        <v>28932</v>
      </c>
      <c r="M338" s="7">
        <f t="shared" si="55"/>
        <v>0</v>
      </c>
      <c r="N338" s="10">
        <f t="shared" si="56"/>
        <v>1</v>
      </c>
      <c r="O338" s="11">
        <f t="shared" si="57"/>
        <v>0.229676482787217</v>
      </c>
      <c r="P338" s="21"/>
      <c r="Q338" s="8">
        <f t="shared" si="60"/>
        <v>13289.9999999995</v>
      </c>
      <c r="R338" s="12">
        <f t="shared" si="59"/>
        <v>0</v>
      </c>
    </row>
    <row r="339" ht="14.25" spans="1:18">
      <c r="A339" s="15">
        <v>46165</v>
      </c>
      <c r="B339" s="3">
        <f>Data_Entry!P420</f>
        <v>12600.0000000001</v>
      </c>
      <c r="C339" s="3">
        <v>0</v>
      </c>
      <c r="D339" s="4">
        <f>Data_Entry!V420</f>
        <v>5.36</v>
      </c>
      <c r="E339" s="5">
        <f t="shared" si="51"/>
        <v>0.217751970136875</v>
      </c>
      <c r="F339" s="6">
        <v>0</v>
      </c>
      <c r="G339" s="6">
        <v>0</v>
      </c>
      <c r="H339" s="7">
        <f t="shared" si="52"/>
        <v>0</v>
      </c>
      <c r="I339" s="7">
        <f t="shared" si="53"/>
        <v>0</v>
      </c>
      <c r="J339" s="8">
        <v>2411</v>
      </c>
      <c r="K339" s="21"/>
      <c r="L339" s="8">
        <f t="shared" si="54"/>
        <v>28932</v>
      </c>
      <c r="M339" s="7">
        <f t="shared" si="55"/>
        <v>0</v>
      </c>
      <c r="N339" s="10">
        <f t="shared" si="56"/>
        <v>1</v>
      </c>
      <c r="O339" s="11">
        <f t="shared" si="57"/>
        <v>0.217751970136875</v>
      </c>
      <c r="P339" s="21"/>
      <c r="Q339" s="8">
        <f t="shared" si="60"/>
        <v>12600.0000000001</v>
      </c>
      <c r="R339" s="12">
        <f t="shared" si="59"/>
        <v>0</v>
      </c>
    </row>
    <row r="340" ht="14.25" spans="1:18">
      <c r="A340" s="15">
        <v>46166</v>
      </c>
      <c r="B340" s="3">
        <f>Data_Entry!P421</f>
        <v>12119.9999999999</v>
      </c>
      <c r="C340" s="3">
        <v>0</v>
      </c>
      <c r="D340" s="4">
        <f>Data_Entry!V421</f>
        <v>5.26</v>
      </c>
      <c r="E340" s="5">
        <f t="shared" si="51"/>
        <v>0.209456656988799</v>
      </c>
      <c r="F340" s="6">
        <v>0</v>
      </c>
      <c r="G340" s="6">
        <v>0</v>
      </c>
      <c r="H340" s="7">
        <f t="shared" si="52"/>
        <v>0</v>
      </c>
      <c r="I340" s="7">
        <f t="shared" si="53"/>
        <v>0</v>
      </c>
      <c r="J340" s="8">
        <v>2411</v>
      </c>
      <c r="K340" s="21"/>
      <c r="L340" s="8">
        <f t="shared" si="54"/>
        <v>28932</v>
      </c>
      <c r="M340" s="7">
        <f t="shared" si="55"/>
        <v>0</v>
      </c>
      <c r="N340" s="10">
        <f t="shared" si="56"/>
        <v>1</v>
      </c>
      <c r="O340" s="11">
        <f t="shared" si="57"/>
        <v>0.209456656988799</v>
      </c>
      <c r="P340" s="21"/>
      <c r="Q340" s="8">
        <f t="shared" si="60"/>
        <v>12119.9999999999</v>
      </c>
      <c r="R340" s="12">
        <f t="shared" si="59"/>
        <v>0</v>
      </c>
    </row>
    <row r="341" ht="14.25" spans="1:18">
      <c r="A341" s="15">
        <v>46167</v>
      </c>
      <c r="B341" s="3">
        <f>Data_Entry!P422</f>
        <v>13230.0000000002</v>
      </c>
      <c r="C341" s="3">
        <v>0</v>
      </c>
      <c r="D341" s="4">
        <f>Data_Entry!V422</f>
        <v>5.83</v>
      </c>
      <c r="E341" s="5">
        <f t="shared" si="51"/>
        <v>0.228639568643721</v>
      </c>
      <c r="F341" s="6">
        <v>0</v>
      </c>
      <c r="G341" s="6">
        <v>0</v>
      </c>
      <c r="H341" s="7">
        <f t="shared" si="52"/>
        <v>0</v>
      </c>
      <c r="I341" s="7">
        <f t="shared" si="53"/>
        <v>0</v>
      </c>
      <c r="J341" s="8">
        <v>2411</v>
      </c>
      <c r="K341" s="21"/>
      <c r="L341" s="8">
        <f t="shared" si="54"/>
        <v>28932</v>
      </c>
      <c r="M341" s="7">
        <f t="shared" si="55"/>
        <v>0</v>
      </c>
      <c r="N341" s="10">
        <f t="shared" si="56"/>
        <v>1</v>
      </c>
      <c r="O341" s="11">
        <f t="shared" si="57"/>
        <v>0.228639568643721</v>
      </c>
      <c r="P341" s="21"/>
      <c r="Q341" s="8">
        <f t="shared" si="60"/>
        <v>13230.0000000002</v>
      </c>
      <c r="R341" s="12">
        <f t="shared" si="59"/>
        <v>0</v>
      </c>
    </row>
    <row r="342" ht="14.25" spans="1:18">
      <c r="A342" s="15">
        <v>46168</v>
      </c>
      <c r="B342" s="3">
        <f>Data_Entry!P423</f>
        <v>13350.0000000001</v>
      </c>
      <c r="C342" s="3">
        <v>0</v>
      </c>
      <c r="D342" s="4">
        <f>Data_Entry!V423</f>
        <v>5.9</v>
      </c>
      <c r="E342" s="5">
        <f t="shared" si="51"/>
        <v>0.230713396930737</v>
      </c>
      <c r="F342" s="6">
        <v>0</v>
      </c>
      <c r="G342" s="6">
        <v>0</v>
      </c>
      <c r="H342" s="7">
        <f t="shared" si="52"/>
        <v>0</v>
      </c>
      <c r="I342" s="7">
        <f t="shared" si="53"/>
        <v>0</v>
      </c>
      <c r="J342" s="8">
        <v>2411</v>
      </c>
      <c r="K342" s="21"/>
      <c r="L342" s="8">
        <f t="shared" si="54"/>
        <v>28932</v>
      </c>
      <c r="M342" s="7">
        <f t="shared" si="55"/>
        <v>0</v>
      </c>
      <c r="N342" s="10">
        <f t="shared" si="56"/>
        <v>1</v>
      </c>
      <c r="O342" s="11">
        <f t="shared" si="57"/>
        <v>0.230713396930737</v>
      </c>
      <c r="P342" s="21"/>
      <c r="Q342" s="8">
        <f t="shared" si="60"/>
        <v>13350.0000000001</v>
      </c>
      <c r="R342" s="12">
        <f t="shared" si="59"/>
        <v>0</v>
      </c>
    </row>
    <row r="343" ht="14.25" spans="1:18">
      <c r="A343" s="15">
        <v>46169</v>
      </c>
      <c r="B343" s="3">
        <f>Data_Entry!P424</f>
        <v>13169.9999999996</v>
      </c>
      <c r="C343" s="3">
        <v>0</v>
      </c>
      <c r="D343" s="4">
        <f>Data_Entry!V424</f>
        <v>5.91</v>
      </c>
      <c r="E343" s="5">
        <f t="shared" si="51"/>
        <v>0.227602654500201</v>
      </c>
      <c r="F343" s="6">
        <v>0</v>
      </c>
      <c r="G343" s="6">
        <v>0</v>
      </c>
      <c r="H343" s="7">
        <f t="shared" si="52"/>
        <v>0</v>
      </c>
      <c r="I343" s="7">
        <f t="shared" si="53"/>
        <v>0</v>
      </c>
      <c r="J343" s="8">
        <v>2411</v>
      </c>
      <c r="K343" s="21"/>
      <c r="L343" s="8">
        <f t="shared" si="54"/>
        <v>28932</v>
      </c>
      <c r="M343" s="7">
        <f t="shared" si="55"/>
        <v>0</v>
      </c>
      <c r="N343" s="10">
        <f t="shared" si="56"/>
        <v>1</v>
      </c>
      <c r="O343" s="11">
        <f t="shared" si="57"/>
        <v>0.227602654500201</v>
      </c>
      <c r="P343" s="21"/>
      <c r="Q343" s="8">
        <f t="shared" si="60"/>
        <v>13169.9999999996</v>
      </c>
      <c r="R343" s="12">
        <f t="shared" si="59"/>
        <v>0</v>
      </c>
    </row>
    <row r="344" ht="14.25" spans="1:18">
      <c r="A344" s="15">
        <v>46170</v>
      </c>
      <c r="B344" s="3">
        <f>Data_Entry!P425</f>
        <v>13170.0000000003</v>
      </c>
      <c r="C344" s="3">
        <v>0</v>
      </c>
      <c r="D344" s="4">
        <f>Data_Entry!V425</f>
        <v>5.84</v>
      </c>
      <c r="E344" s="5">
        <f t="shared" si="51"/>
        <v>0.227602654500213</v>
      </c>
      <c r="F344" s="6">
        <v>0</v>
      </c>
      <c r="G344" s="6">
        <v>0</v>
      </c>
      <c r="H344" s="7">
        <f t="shared" si="52"/>
        <v>0</v>
      </c>
      <c r="I344" s="7">
        <f t="shared" si="53"/>
        <v>0</v>
      </c>
      <c r="J344" s="8">
        <v>2411</v>
      </c>
      <c r="K344" s="21"/>
      <c r="L344" s="8">
        <f t="shared" si="54"/>
        <v>28932</v>
      </c>
      <c r="M344" s="7">
        <f t="shared" si="55"/>
        <v>0</v>
      </c>
      <c r="N344" s="10">
        <f t="shared" si="56"/>
        <v>1</v>
      </c>
      <c r="O344" s="11">
        <f t="shared" si="57"/>
        <v>0.227602654500213</v>
      </c>
      <c r="P344" s="21"/>
      <c r="Q344" s="8">
        <f t="shared" si="60"/>
        <v>13170.0000000003</v>
      </c>
      <c r="R344" s="12">
        <f t="shared" si="59"/>
        <v>0</v>
      </c>
    </row>
    <row r="345" ht="14.25" spans="1:18">
      <c r="A345" s="15">
        <v>46171</v>
      </c>
      <c r="B345" s="3">
        <f>Data_Entry!P426</f>
        <v>12869.9999999999</v>
      </c>
      <c r="C345" s="3">
        <v>0</v>
      </c>
      <c r="D345" s="4">
        <f>Data_Entry!V426</f>
        <v>5.74</v>
      </c>
      <c r="E345" s="5">
        <f t="shared" si="51"/>
        <v>0.222418083782661</v>
      </c>
      <c r="F345" s="6">
        <v>0</v>
      </c>
      <c r="G345" s="6">
        <v>0</v>
      </c>
      <c r="H345" s="7">
        <f t="shared" si="52"/>
        <v>0</v>
      </c>
      <c r="I345" s="7">
        <f t="shared" si="53"/>
        <v>0</v>
      </c>
      <c r="J345" s="8">
        <v>2411</v>
      </c>
      <c r="K345" s="21"/>
      <c r="L345" s="8">
        <f t="shared" si="54"/>
        <v>28932</v>
      </c>
      <c r="M345" s="7">
        <f t="shared" si="55"/>
        <v>0</v>
      </c>
      <c r="N345" s="10">
        <f t="shared" si="56"/>
        <v>1</v>
      </c>
      <c r="O345" s="11">
        <f t="shared" si="57"/>
        <v>0.222418083782661</v>
      </c>
      <c r="P345" s="21"/>
      <c r="Q345" s="8">
        <f t="shared" si="60"/>
        <v>12869.9999999999</v>
      </c>
      <c r="R345" s="12">
        <f t="shared" si="59"/>
        <v>0</v>
      </c>
    </row>
    <row r="346" ht="14.25" spans="1:18">
      <c r="A346" s="15">
        <v>46172</v>
      </c>
      <c r="B346" s="3">
        <f>Data_Entry!P427</f>
        <v>11339.9999999999</v>
      </c>
      <c r="C346" s="3">
        <v>0</v>
      </c>
      <c r="D346" s="4">
        <f>Data_Entry!V427</f>
        <v>5.35</v>
      </c>
      <c r="E346" s="5">
        <f t="shared" si="51"/>
        <v>0.195976773123184</v>
      </c>
      <c r="F346" s="6">
        <v>0</v>
      </c>
      <c r="G346" s="6">
        <v>0</v>
      </c>
      <c r="H346" s="7">
        <f t="shared" si="52"/>
        <v>0</v>
      </c>
      <c r="I346" s="7">
        <f t="shared" si="53"/>
        <v>0</v>
      </c>
      <c r="J346" s="8">
        <v>2411</v>
      </c>
      <c r="K346" s="21"/>
      <c r="L346" s="8">
        <f t="shared" si="54"/>
        <v>28932</v>
      </c>
      <c r="M346" s="7">
        <f t="shared" si="55"/>
        <v>0</v>
      </c>
      <c r="N346" s="10">
        <f t="shared" si="56"/>
        <v>1</v>
      </c>
      <c r="O346" s="11">
        <f t="shared" si="57"/>
        <v>0.195976773123184</v>
      </c>
      <c r="P346" s="21"/>
      <c r="Q346" s="8">
        <f t="shared" si="60"/>
        <v>11339.9999999999</v>
      </c>
      <c r="R346" s="12">
        <f t="shared" si="59"/>
        <v>0</v>
      </c>
    </row>
    <row r="347" ht="14.25" spans="1:18">
      <c r="A347" s="15">
        <v>46173</v>
      </c>
      <c r="B347" s="3">
        <f>Data_Entry!P428</f>
        <v>11040.0000000002</v>
      </c>
      <c r="C347" s="3">
        <v>0</v>
      </c>
      <c r="D347" s="4">
        <f>Data_Entry!V428</f>
        <v>4.289</v>
      </c>
      <c r="E347" s="5">
        <f t="shared" si="51"/>
        <v>0.190792202405644</v>
      </c>
      <c r="F347" s="6">
        <v>0</v>
      </c>
      <c r="G347" s="6">
        <v>0</v>
      </c>
      <c r="H347" s="7">
        <f t="shared" si="52"/>
        <v>0</v>
      </c>
      <c r="I347" s="7">
        <f t="shared" si="53"/>
        <v>0</v>
      </c>
      <c r="J347" s="8">
        <v>2411</v>
      </c>
      <c r="K347" s="21"/>
      <c r="L347" s="8">
        <f t="shared" si="54"/>
        <v>28932</v>
      </c>
      <c r="M347" s="7">
        <f t="shared" si="55"/>
        <v>0</v>
      </c>
      <c r="N347" s="10">
        <f t="shared" si="56"/>
        <v>1</v>
      </c>
      <c r="O347" s="11">
        <f t="shared" si="57"/>
        <v>0.190792202405644</v>
      </c>
      <c r="P347" s="21"/>
      <c r="Q347" s="8">
        <f t="shared" si="60"/>
        <v>11040.0000000002</v>
      </c>
      <c r="R347" s="12">
        <f t="shared" si="59"/>
        <v>0</v>
      </c>
    </row>
  </sheetData>
  <autoFilter xmlns:etc="http://www.wps.cn/officeDocument/2017/etCustomData" ref="A2:R33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P470"/>
  <sheetViews>
    <sheetView zoomScale="130" zoomScaleNormal="130" workbookViewId="0">
      <pane ySplit="1" topLeftCell="A313" activePane="bottomLeft" state="frozen"/>
      <selection/>
      <selection pane="bottomLeft" activeCell="L320" sqref="L320"/>
    </sheetView>
  </sheetViews>
  <sheetFormatPr defaultColWidth="9" defaultRowHeight="14.25"/>
  <cols>
    <col min="1" max="1" width="9.5" customWidth="1"/>
  </cols>
  <sheetData>
    <row r="1" ht="38.25" spans="1:16">
      <c r="A1" s="1" t="s">
        <v>1</v>
      </c>
      <c r="B1" s="1" t="s">
        <v>258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278</v>
      </c>
      <c r="N1" s="1" t="s">
        <v>279</v>
      </c>
      <c r="O1" s="1" t="s">
        <v>280</v>
      </c>
      <c r="P1" s="1" t="s">
        <v>281</v>
      </c>
    </row>
    <row r="2" spans="1:16">
      <c r="A2" s="2">
        <v>45839</v>
      </c>
      <c r="B2" s="3">
        <f>Data_Entry!P94</f>
        <v>8369.99999999989</v>
      </c>
      <c r="C2" s="4">
        <f>Data_Entry!V94</f>
        <v>3.18</v>
      </c>
      <c r="D2" s="5">
        <f t="shared" ref="D2:D67" si="0">B2/(24*I2)</f>
        <v>0.144649523019492</v>
      </c>
      <c r="E2" s="6">
        <v>0</v>
      </c>
      <c r="F2" s="6">
        <v>0</v>
      </c>
      <c r="G2" s="7">
        <f t="shared" ref="G2:G67" si="1">(F2-E2)*24*60</f>
        <v>0</v>
      </c>
      <c r="H2" s="7">
        <f t="shared" ref="H2:H67" si="2">G2/60</f>
        <v>0</v>
      </c>
      <c r="I2" s="8">
        <v>2411</v>
      </c>
      <c r="J2" s="9"/>
      <c r="K2" s="8">
        <f t="shared" ref="K2:K67" si="3">I2*12</f>
        <v>28932</v>
      </c>
      <c r="L2" s="7">
        <f t="shared" ref="L2:L67" si="4">J2*H2</f>
        <v>0</v>
      </c>
      <c r="M2" s="10">
        <f>(K2-L2)/K2</f>
        <v>1</v>
      </c>
      <c r="N2" s="11">
        <f t="shared" ref="N2:N67" si="5">D2/M2</f>
        <v>0.144649523019492</v>
      </c>
      <c r="O2" s="8">
        <f>N2*I2*24</f>
        <v>8369.99999999989</v>
      </c>
      <c r="P2" s="12">
        <f t="shared" ref="P2:P67" si="6">O2-B2</f>
        <v>0</v>
      </c>
    </row>
    <row r="3" spans="1:16">
      <c r="A3" s="2">
        <v>45840</v>
      </c>
      <c r="B3" s="3">
        <f>Data_Entry!P95</f>
        <v>4380.00000000011</v>
      </c>
      <c r="C3" s="4">
        <f>Data_Entry!V95</f>
        <v>1.61</v>
      </c>
      <c r="D3" s="5">
        <f t="shared" si="0"/>
        <v>0.0756947324761529</v>
      </c>
      <c r="E3" s="6">
        <v>0</v>
      </c>
      <c r="F3" s="6">
        <v>0</v>
      </c>
      <c r="G3" s="7">
        <f t="shared" si="1"/>
        <v>0</v>
      </c>
      <c r="H3" s="7">
        <f t="shared" si="2"/>
        <v>0</v>
      </c>
      <c r="I3" s="8">
        <v>2411</v>
      </c>
      <c r="J3" s="9"/>
      <c r="K3" s="8">
        <f t="shared" si="3"/>
        <v>28932</v>
      </c>
      <c r="L3" s="7">
        <f t="shared" si="4"/>
        <v>0</v>
      </c>
      <c r="M3" s="10">
        <f t="shared" ref="M3:M68" si="7">(K3-L3)/K3</f>
        <v>1</v>
      </c>
      <c r="N3" s="11">
        <f t="shared" si="5"/>
        <v>0.0756947324761529</v>
      </c>
      <c r="O3" s="8">
        <f t="shared" ref="O3:O68" si="8">N3*I3*24</f>
        <v>4380.00000000011</v>
      </c>
      <c r="P3" s="12">
        <f t="shared" si="6"/>
        <v>0</v>
      </c>
    </row>
    <row r="4" spans="1:16">
      <c r="A4" s="2">
        <v>45841</v>
      </c>
      <c r="B4" s="3">
        <f>Data_Entry!P96</f>
        <v>3869.99999999989</v>
      </c>
      <c r="C4" s="4">
        <f>Data_Entry!V96</f>
        <v>1.11</v>
      </c>
      <c r="D4" s="5">
        <f t="shared" si="0"/>
        <v>0.0668809622563233</v>
      </c>
      <c r="E4" s="6">
        <v>0</v>
      </c>
      <c r="F4" s="6">
        <v>0</v>
      </c>
      <c r="G4" s="7">
        <f t="shared" si="1"/>
        <v>0</v>
      </c>
      <c r="H4" s="7">
        <f t="shared" si="2"/>
        <v>0</v>
      </c>
      <c r="I4" s="8">
        <v>2411</v>
      </c>
      <c r="J4" s="9"/>
      <c r="K4" s="8">
        <f t="shared" si="3"/>
        <v>28932</v>
      </c>
      <c r="L4" s="7">
        <f t="shared" si="4"/>
        <v>0</v>
      </c>
      <c r="M4" s="10">
        <f t="shared" si="7"/>
        <v>1</v>
      </c>
      <c r="N4" s="11">
        <f t="shared" si="5"/>
        <v>0.0668809622563233</v>
      </c>
      <c r="O4" s="8">
        <f t="shared" si="8"/>
        <v>3869.99999999989</v>
      </c>
      <c r="P4" s="12">
        <f t="shared" si="6"/>
        <v>0</v>
      </c>
    </row>
    <row r="5" spans="1:16">
      <c r="A5" s="2">
        <v>45842</v>
      </c>
      <c r="B5" s="3">
        <f>Data_Entry!P97</f>
        <v>6540.00000000002</v>
      </c>
      <c r="C5" s="4">
        <f>Data_Entry!V97</f>
        <v>2.7</v>
      </c>
      <c r="D5" s="5">
        <f t="shared" si="0"/>
        <v>0.113023641642472</v>
      </c>
      <c r="E5" s="6">
        <v>0</v>
      </c>
      <c r="F5" s="6">
        <v>0</v>
      </c>
      <c r="G5" s="7">
        <f t="shared" si="1"/>
        <v>0</v>
      </c>
      <c r="H5" s="7">
        <f t="shared" si="2"/>
        <v>0</v>
      </c>
      <c r="I5" s="8">
        <v>2411</v>
      </c>
      <c r="J5" s="9"/>
      <c r="K5" s="8">
        <f t="shared" si="3"/>
        <v>28932</v>
      </c>
      <c r="L5" s="7">
        <f t="shared" si="4"/>
        <v>0</v>
      </c>
      <c r="M5" s="10">
        <f t="shared" si="7"/>
        <v>1</v>
      </c>
      <c r="N5" s="11">
        <f t="shared" si="5"/>
        <v>0.113023641642472</v>
      </c>
      <c r="O5" s="8">
        <f t="shared" si="8"/>
        <v>6540.00000000002</v>
      </c>
      <c r="P5" s="12">
        <f t="shared" si="6"/>
        <v>0</v>
      </c>
    </row>
    <row r="6" spans="1:16">
      <c r="A6" s="2">
        <v>45843</v>
      </c>
      <c r="B6" s="3">
        <f>Data_Entry!P98</f>
        <v>3990.00000000012</v>
      </c>
      <c r="C6" s="4">
        <f>Data_Entry!V98</f>
        <v>1.3</v>
      </c>
      <c r="D6" s="5">
        <f t="shared" si="0"/>
        <v>0.0689547905433451</v>
      </c>
      <c r="E6" s="6">
        <v>0</v>
      </c>
      <c r="F6" s="6">
        <v>0</v>
      </c>
      <c r="G6" s="7">
        <f t="shared" si="1"/>
        <v>0</v>
      </c>
      <c r="H6" s="7">
        <f t="shared" si="2"/>
        <v>0</v>
      </c>
      <c r="I6" s="8">
        <v>2411</v>
      </c>
      <c r="J6" s="9"/>
      <c r="K6" s="8">
        <f t="shared" si="3"/>
        <v>28932</v>
      </c>
      <c r="L6" s="7">
        <f t="shared" si="4"/>
        <v>0</v>
      </c>
      <c r="M6" s="10">
        <f t="shared" si="7"/>
        <v>1</v>
      </c>
      <c r="N6" s="11">
        <f t="shared" si="5"/>
        <v>0.0689547905433451</v>
      </c>
      <c r="O6" s="8">
        <f t="shared" si="8"/>
        <v>3990.00000000012</v>
      </c>
      <c r="P6" s="12">
        <f t="shared" si="6"/>
        <v>0</v>
      </c>
    </row>
    <row r="7" spans="1:16">
      <c r="A7" s="2">
        <v>45844</v>
      </c>
      <c r="B7" s="3">
        <f>Data_Entry!P99</f>
        <v>6239.99999999995</v>
      </c>
      <c r="C7" s="4">
        <f>Data_Entry!V99</f>
        <v>2.44</v>
      </c>
      <c r="D7" s="5">
        <f t="shared" si="0"/>
        <v>0.107839070924927</v>
      </c>
      <c r="E7" s="6">
        <v>0</v>
      </c>
      <c r="F7" s="6">
        <v>0</v>
      </c>
      <c r="G7" s="7">
        <f t="shared" si="1"/>
        <v>0</v>
      </c>
      <c r="H7" s="7">
        <f t="shared" si="2"/>
        <v>0</v>
      </c>
      <c r="I7" s="8">
        <v>2411</v>
      </c>
      <c r="J7" s="9"/>
      <c r="K7" s="8">
        <f t="shared" si="3"/>
        <v>28932</v>
      </c>
      <c r="L7" s="7">
        <f t="shared" si="4"/>
        <v>0</v>
      </c>
      <c r="M7" s="10">
        <f t="shared" si="7"/>
        <v>1</v>
      </c>
      <c r="N7" s="11">
        <f t="shared" si="5"/>
        <v>0.107839070924927</v>
      </c>
      <c r="O7" s="8">
        <f t="shared" si="8"/>
        <v>6239.99999999995</v>
      </c>
      <c r="P7" s="12">
        <f t="shared" si="6"/>
        <v>0</v>
      </c>
    </row>
    <row r="8" spans="1:16">
      <c r="A8" s="2">
        <v>45845</v>
      </c>
      <c r="B8" s="3">
        <f>Data_Entry!P100</f>
        <v>4860.00000000001</v>
      </c>
      <c r="C8" s="4">
        <f>Data_Entry!V100</f>
        <v>1.82</v>
      </c>
      <c r="D8" s="5">
        <f t="shared" si="0"/>
        <v>0.0839900456242225</v>
      </c>
      <c r="E8" s="6">
        <v>0</v>
      </c>
      <c r="F8" s="6">
        <v>0</v>
      </c>
      <c r="G8" s="7">
        <f t="shared" si="1"/>
        <v>0</v>
      </c>
      <c r="H8" s="7">
        <f t="shared" si="2"/>
        <v>0</v>
      </c>
      <c r="I8" s="8">
        <v>2411</v>
      </c>
      <c r="J8" s="9"/>
      <c r="K8" s="8">
        <f t="shared" si="3"/>
        <v>28932</v>
      </c>
      <c r="L8" s="7">
        <f t="shared" si="4"/>
        <v>0</v>
      </c>
      <c r="M8" s="10">
        <f t="shared" si="7"/>
        <v>1</v>
      </c>
      <c r="N8" s="11">
        <f t="shared" si="5"/>
        <v>0.0839900456242225</v>
      </c>
      <c r="O8" s="8">
        <f t="shared" si="8"/>
        <v>4860.00000000001</v>
      </c>
      <c r="P8" s="12">
        <f t="shared" si="6"/>
        <v>0</v>
      </c>
    </row>
    <row r="9" spans="1:16">
      <c r="A9" s="2">
        <v>45846</v>
      </c>
      <c r="B9" s="3">
        <f>Data_Entry!P101</f>
        <v>7589.99999999992</v>
      </c>
      <c r="C9" s="4">
        <f>Data_Entry!V101</f>
        <v>3.16</v>
      </c>
      <c r="D9" s="5">
        <f t="shared" si="0"/>
        <v>0.131169639153877</v>
      </c>
      <c r="E9" s="6">
        <v>0</v>
      </c>
      <c r="F9" s="6">
        <v>0</v>
      </c>
      <c r="G9" s="7">
        <f t="shared" si="1"/>
        <v>0</v>
      </c>
      <c r="H9" s="7">
        <f t="shared" si="2"/>
        <v>0</v>
      </c>
      <c r="I9" s="8">
        <v>2411</v>
      </c>
      <c r="J9" s="9"/>
      <c r="K9" s="8">
        <f t="shared" si="3"/>
        <v>28932</v>
      </c>
      <c r="L9" s="7">
        <f t="shared" si="4"/>
        <v>0</v>
      </c>
      <c r="M9" s="10">
        <f t="shared" si="7"/>
        <v>1</v>
      </c>
      <c r="N9" s="11">
        <f t="shared" si="5"/>
        <v>0.131169639153877</v>
      </c>
      <c r="O9" s="8">
        <f t="shared" si="8"/>
        <v>7589.99999999992</v>
      </c>
      <c r="P9" s="12">
        <f t="shared" si="6"/>
        <v>0</v>
      </c>
    </row>
    <row r="10" spans="1:16">
      <c r="A10" s="2">
        <v>45847</v>
      </c>
      <c r="B10" s="3">
        <f>Data_Entry!P102</f>
        <v>11370.0000000001</v>
      </c>
      <c r="C10" s="4">
        <f>Data_Entry!V102</f>
        <v>4.7</v>
      </c>
      <c r="D10" s="5">
        <f t="shared" si="0"/>
        <v>0.196495230194941</v>
      </c>
      <c r="E10" s="6">
        <v>0</v>
      </c>
      <c r="F10" s="6">
        <v>0</v>
      </c>
      <c r="G10" s="7">
        <f t="shared" si="1"/>
        <v>0</v>
      </c>
      <c r="H10" s="7">
        <f t="shared" si="2"/>
        <v>0</v>
      </c>
      <c r="I10" s="8">
        <v>2411</v>
      </c>
      <c r="J10" s="9"/>
      <c r="K10" s="8">
        <f t="shared" si="3"/>
        <v>28932</v>
      </c>
      <c r="L10" s="7">
        <f t="shared" si="4"/>
        <v>0</v>
      </c>
      <c r="M10" s="10">
        <f t="shared" si="7"/>
        <v>1</v>
      </c>
      <c r="N10" s="11">
        <f t="shared" si="5"/>
        <v>0.196495230194941</v>
      </c>
      <c r="O10" s="8">
        <f t="shared" si="8"/>
        <v>11370.0000000001</v>
      </c>
      <c r="P10" s="12">
        <f t="shared" si="6"/>
        <v>0</v>
      </c>
    </row>
    <row r="11" spans="1:16">
      <c r="A11" s="2">
        <v>45848</v>
      </c>
      <c r="B11" s="3">
        <f>Data_Entry!P103</f>
        <v>5790.00000000002</v>
      </c>
      <c r="C11" s="4">
        <f>Data_Entry!V103</f>
        <v>2.43</v>
      </c>
      <c r="D11" s="5">
        <f t="shared" si="0"/>
        <v>0.100062214848611</v>
      </c>
      <c r="E11" s="6">
        <v>0</v>
      </c>
      <c r="F11" s="6">
        <v>0</v>
      </c>
      <c r="G11" s="7">
        <f t="shared" si="1"/>
        <v>0</v>
      </c>
      <c r="H11" s="7">
        <f t="shared" si="2"/>
        <v>0</v>
      </c>
      <c r="I11" s="8">
        <v>2411</v>
      </c>
      <c r="J11" s="9"/>
      <c r="K11" s="8">
        <f t="shared" si="3"/>
        <v>28932</v>
      </c>
      <c r="L11" s="7">
        <f t="shared" si="4"/>
        <v>0</v>
      </c>
      <c r="M11" s="10">
        <f t="shared" si="7"/>
        <v>1</v>
      </c>
      <c r="N11" s="11">
        <f t="shared" si="5"/>
        <v>0.100062214848611</v>
      </c>
      <c r="O11" s="8">
        <f t="shared" si="8"/>
        <v>5790.00000000002</v>
      </c>
      <c r="P11" s="12">
        <f t="shared" si="6"/>
        <v>0</v>
      </c>
    </row>
    <row r="12" spans="1:16">
      <c r="A12" s="2">
        <v>45849</v>
      </c>
      <c r="B12" s="3">
        <f>Data_Entry!P104</f>
        <v>4769.99999999993</v>
      </c>
      <c r="C12" s="4">
        <f>Data_Entry!V104</f>
        <v>1.57</v>
      </c>
      <c r="D12" s="5">
        <f t="shared" si="0"/>
        <v>0.0824346744089576</v>
      </c>
      <c r="E12" s="6">
        <v>0</v>
      </c>
      <c r="F12" s="6">
        <v>0</v>
      </c>
      <c r="G12" s="7">
        <f t="shared" si="1"/>
        <v>0</v>
      </c>
      <c r="H12" s="7">
        <f t="shared" si="2"/>
        <v>0</v>
      </c>
      <c r="I12" s="8">
        <v>2411</v>
      </c>
      <c r="J12" s="9"/>
      <c r="K12" s="8">
        <f t="shared" si="3"/>
        <v>28932</v>
      </c>
      <c r="L12" s="7">
        <f t="shared" si="4"/>
        <v>0</v>
      </c>
      <c r="M12" s="10">
        <f t="shared" si="7"/>
        <v>1</v>
      </c>
      <c r="N12" s="11">
        <f t="shared" si="5"/>
        <v>0.0824346744089576</v>
      </c>
      <c r="O12" s="8">
        <f t="shared" si="8"/>
        <v>4769.99999999993</v>
      </c>
      <c r="P12" s="12">
        <f t="shared" si="6"/>
        <v>0</v>
      </c>
    </row>
    <row r="13" spans="1:16">
      <c r="A13" s="2">
        <v>45850</v>
      </c>
      <c r="B13" s="3">
        <f>Data_Entry!P105</f>
        <v>6930.00000000001</v>
      </c>
      <c r="C13" s="4">
        <f>Data_Entry!V105</f>
        <v>3.25</v>
      </c>
      <c r="D13" s="5">
        <f t="shared" si="0"/>
        <v>0.11976358357528</v>
      </c>
      <c r="E13" s="6">
        <v>0.444444444444444</v>
      </c>
      <c r="F13" s="6">
        <v>0.493055555555556</v>
      </c>
      <c r="G13" s="7">
        <f t="shared" si="1"/>
        <v>70.0000000000013</v>
      </c>
      <c r="H13" s="7">
        <f t="shared" si="2"/>
        <v>1.16666666666669</v>
      </c>
      <c r="I13" s="8">
        <v>2411</v>
      </c>
      <c r="J13" s="9">
        <v>2411</v>
      </c>
      <c r="K13" s="8">
        <f t="shared" si="3"/>
        <v>28932</v>
      </c>
      <c r="L13" s="7">
        <f t="shared" si="4"/>
        <v>2812.83333333339</v>
      </c>
      <c r="M13" s="10">
        <f t="shared" si="7"/>
        <v>0.902777777777776</v>
      </c>
      <c r="N13" s="11">
        <f t="shared" si="5"/>
        <v>0.132661200268003</v>
      </c>
      <c r="O13" s="8">
        <f t="shared" si="8"/>
        <v>7676.30769230772</v>
      </c>
      <c r="P13" s="12">
        <f t="shared" si="6"/>
        <v>746.30769230771</v>
      </c>
    </row>
    <row r="14" spans="1:16">
      <c r="A14" s="2">
        <v>45851</v>
      </c>
      <c r="B14" s="3">
        <f>Data_Entry!P106</f>
        <v>7950.0000000001</v>
      </c>
      <c r="C14" s="4">
        <f>Data_Entry!V106</f>
        <v>3.65</v>
      </c>
      <c r="D14" s="5">
        <f t="shared" si="0"/>
        <v>0.137391124014933</v>
      </c>
      <c r="E14" s="6">
        <v>0.465277777777778</v>
      </c>
      <c r="F14" s="6">
        <v>0.576388888888889</v>
      </c>
      <c r="G14" s="7">
        <f t="shared" si="1"/>
        <v>160</v>
      </c>
      <c r="H14" s="7">
        <f t="shared" si="2"/>
        <v>2.66666666666666</v>
      </c>
      <c r="I14" s="8">
        <v>2411</v>
      </c>
      <c r="J14" s="9">
        <v>2411</v>
      </c>
      <c r="K14" s="8">
        <f t="shared" si="3"/>
        <v>28932</v>
      </c>
      <c r="L14" s="7">
        <f t="shared" si="4"/>
        <v>6429.33333333332</v>
      </c>
      <c r="M14" s="10">
        <f t="shared" si="7"/>
        <v>0.777777777777778</v>
      </c>
      <c r="N14" s="11">
        <f t="shared" si="5"/>
        <v>0.176645730876343</v>
      </c>
      <c r="O14" s="8">
        <f t="shared" si="8"/>
        <v>10221.4285714287</v>
      </c>
      <c r="P14" s="12">
        <f t="shared" si="6"/>
        <v>2271.42857142859</v>
      </c>
    </row>
    <row r="15" spans="1:16">
      <c r="A15" s="2">
        <v>45852</v>
      </c>
      <c r="B15" s="3">
        <f>Data_Entry!P107</f>
        <v>10019.9999999999</v>
      </c>
      <c r="C15" s="4">
        <f>Data_Entry!V107</f>
        <v>4.46</v>
      </c>
      <c r="D15" s="5">
        <f t="shared" si="0"/>
        <v>0.173164661965988</v>
      </c>
      <c r="E15" s="6">
        <v>0</v>
      </c>
      <c r="F15" s="6">
        <v>0</v>
      </c>
      <c r="G15" s="7">
        <f t="shared" si="1"/>
        <v>0</v>
      </c>
      <c r="H15" s="7">
        <f t="shared" si="2"/>
        <v>0</v>
      </c>
      <c r="I15" s="8">
        <v>2411</v>
      </c>
      <c r="J15" s="9"/>
      <c r="K15" s="8">
        <f t="shared" si="3"/>
        <v>28932</v>
      </c>
      <c r="L15" s="7">
        <f t="shared" si="4"/>
        <v>0</v>
      </c>
      <c r="M15" s="10">
        <f t="shared" si="7"/>
        <v>1</v>
      </c>
      <c r="N15" s="11">
        <f t="shared" si="5"/>
        <v>0.173164661965988</v>
      </c>
      <c r="O15" s="8">
        <f t="shared" si="8"/>
        <v>10019.9999999999</v>
      </c>
      <c r="P15" s="12">
        <f t="shared" si="6"/>
        <v>0</v>
      </c>
    </row>
    <row r="16" spans="1:16">
      <c r="A16" s="2">
        <v>45853</v>
      </c>
      <c r="B16" s="3">
        <f>Data_Entry!P108</f>
        <v>10470</v>
      </c>
      <c r="C16" s="4">
        <f>Data_Entry!V108</f>
        <v>4.22</v>
      </c>
      <c r="D16" s="5">
        <f t="shared" si="0"/>
        <v>0.180941518042307</v>
      </c>
      <c r="E16" s="6">
        <v>0</v>
      </c>
      <c r="F16" s="6">
        <v>0</v>
      </c>
      <c r="G16" s="7">
        <f t="shared" si="1"/>
        <v>0</v>
      </c>
      <c r="H16" s="7">
        <f t="shared" si="2"/>
        <v>0</v>
      </c>
      <c r="I16" s="8">
        <v>2411</v>
      </c>
      <c r="J16" s="9"/>
      <c r="K16" s="8">
        <f t="shared" si="3"/>
        <v>28932</v>
      </c>
      <c r="L16" s="7">
        <f t="shared" si="4"/>
        <v>0</v>
      </c>
      <c r="M16" s="10">
        <f t="shared" si="7"/>
        <v>1</v>
      </c>
      <c r="N16" s="11">
        <f t="shared" si="5"/>
        <v>0.180941518042307</v>
      </c>
      <c r="O16" s="8">
        <f t="shared" si="8"/>
        <v>10470</v>
      </c>
      <c r="P16" s="12">
        <f t="shared" si="6"/>
        <v>0</v>
      </c>
    </row>
    <row r="17" spans="1:16">
      <c r="A17" s="2">
        <v>45854</v>
      </c>
      <c r="B17" s="3">
        <f>Data_Entry!P109</f>
        <v>10559.9999999999</v>
      </c>
      <c r="C17" s="4">
        <f>Data_Entry!V109</f>
        <v>4.6</v>
      </c>
      <c r="D17" s="5">
        <f t="shared" si="0"/>
        <v>0.182496889257569</v>
      </c>
      <c r="E17" s="6">
        <v>0</v>
      </c>
      <c r="F17" s="6">
        <v>0</v>
      </c>
      <c r="G17" s="7">
        <f t="shared" si="1"/>
        <v>0</v>
      </c>
      <c r="H17" s="7">
        <f t="shared" si="2"/>
        <v>0</v>
      </c>
      <c r="I17" s="8">
        <v>2411</v>
      </c>
      <c r="J17" s="9"/>
      <c r="K17" s="8">
        <f t="shared" si="3"/>
        <v>28932</v>
      </c>
      <c r="L17" s="7">
        <f t="shared" si="4"/>
        <v>0</v>
      </c>
      <c r="M17" s="10">
        <f t="shared" si="7"/>
        <v>1</v>
      </c>
      <c r="N17" s="11">
        <f t="shared" si="5"/>
        <v>0.182496889257569</v>
      </c>
      <c r="O17" s="8">
        <f t="shared" si="8"/>
        <v>10559.9999999999</v>
      </c>
      <c r="P17" s="12">
        <f t="shared" si="6"/>
        <v>0</v>
      </c>
    </row>
    <row r="18" spans="1:16">
      <c r="A18" s="2">
        <v>45855</v>
      </c>
      <c r="B18" s="3">
        <f>Data_Entry!P110</f>
        <v>10020.0000000001</v>
      </c>
      <c r="C18" s="4">
        <f>Data_Entry!V110</f>
        <v>4.7</v>
      </c>
      <c r="D18" s="5">
        <f t="shared" si="0"/>
        <v>0.173164661965991</v>
      </c>
      <c r="E18" s="6">
        <v>0</v>
      </c>
      <c r="F18" s="6">
        <v>0</v>
      </c>
      <c r="G18" s="7">
        <f t="shared" si="1"/>
        <v>0</v>
      </c>
      <c r="H18" s="7">
        <f t="shared" si="2"/>
        <v>0</v>
      </c>
      <c r="I18" s="8">
        <v>2411</v>
      </c>
      <c r="J18" s="9"/>
      <c r="K18" s="8">
        <f t="shared" si="3"/>
        <v>28932</v>
      </c>
      <c r="L18" s="7">
        <f t="shared" si="4"/>
        <v>0</v>
      </c>
      <c r="M18" s="10">
        <f t="shared" si="7"/>
        <v>1</v>
      </c>
      <c r="N18" s="11">
        <f t="shared" si="5"/>
        <v>0.173164661965991</v>
      </c>
      <c r="O18" s="8">
        <f t="shared" si="8"/>
        <v>10020.0000000001</v>
      </c>
      <c r="P18" s="12">
        <f t="shared" si="6"/>
        <v>0</v>
      </c>
    </row>
    <row r="19" spans="1:16">
      <c r="A19" s="2">
        <v>45856</v>
      </c>
      <c r="B19" s="3">
        <f>Data_Entry!P111</f>
        <v>12509.9999999999</v>
      </c>
      <c r="C19" s="4">
        <f>Data_Entry!V111</f>
        <v>5.45</v>
      </c>
      <c r="D19" s="5">
        <f t="shared" si="0"/>
        <v>0.216196598921607</v>
      </c>
      <c r="E19" s="6">
        <v>0</v>
      </c>
      <c r="F19" s="6">
        <v>0</v>
      </c>
      <c r="G19" s="7">
        <f t="shared" si="1"/>
        <v>0</v>
      </c>
      <c r="H19" s="7">
        <f t="shared" si="2"/>
        <v>0</v>
      </c>
      <c r="I19" s="8">
        <v>2411</v>
      </c>
      <c r="J19" s="9"/>
      <c r="K19" s="8">
        <f t="shared" si="3"/>
        <v>28932</v>
      </c>
      <c r="L19" s="7">
        <f t="shared" si="4"/>
        <v>0</v>
      </c>
      <c r="M19" s="10">
        <f t="shared" si="7"/>
        <v>1</v>
      </c>
      <c r="N19" s="11">
        <f t="shared" si="5"/>
        <v>0.216196598921607</v>
      </c>
      <c r="O19" s="8">
        <f t="shared" si="8"/>
        <v>12509.9999999999</v>
      </c>
      <c r="P19" s="12">
        <f t="shared" si="6"/>
        <v>0</v>
      </c>
    </row>
    <row r="20" spans="1:16">
      <c r="A20" s="2">
        <v>45857</v>
      </c>
      <c r="B20" s="3">
        <f>Data_Entry!P112</f>
        <v>8700.0000000001</v>
      </c>
      <c r="C20" s="4">
        <f>Data_Entry!V112</f>
        <v>3.48</v>
      </c>
      <c r="D20" s="5">
        <f t="shared" si="0"/>
        <v>0.150352550808795</v>
      </c>
      <c r="E20" s="6">
        <v>0</v>
      </c>
      <c r="F20" s="6">
        <v>0</v>
      </c>
      <c r="G20" s="7">
        <f t="shared" si="1"/>
        <v>0</v>
      </c>
      <c r="H20" s="7">
        <f t="shared" si="2"/>
        <v>0</v>
      </c>
      <c r="I20" s="8">
        <v>2411</v>
      </c>
      <c r="J20" s="9"/>
      <c r="K20" s="8">
        <f t="shared" si="3"/>
        <v>28932</v>
      </c>
      <c r="L20" s="7">
        <f t="shared" si="4"/>
        <v>0</v>
      </c>
      <c r="M20" s="10">
        <f t="shared" si="7"/>
        <v>1</v>
      </c>
      <c r="N20" s="11">
        <f t="shared" si="5"/>
        <v>0.150352550808795</v>
      </c>
      <c r="O20" s="8">
        <f t="shared" si="8"/>
        <v>8700.0000000001</v>
      </c>
      <c r="P20" s="12">
        <f t="shared" si="6"/>
        <v>0</v>
      </c>
    </row>
    <row r="21" spans="1:16">
      <c r="A21" s="2">
        <v>45858</v>
      </c>
      <c r="B21" s="3">
        <f>Data_Entry!P113</f>
        <v>9809.99999999995</v>
      </c>
      <c r="C21" s="4">
        <f>Data_Entry!V113</f>
        <v>3.3</v>
      </c>
      <c r="D21" s="5">
        <f t="shared" si="0"/>
        <v>0.169535462463707</v>
      </c>
      <c r="E21" s="6">
        <v>0</v>
      </c>
      <c r="F21" s="6">
        <v>0</v>
      </c>
      <c r="G21" s="7">
        <f t="shared" si="1"/>
        <v>0</v>
      </c>
      <c r="H21" s="7">
        <f t="shared" si="2"/>
        <v>0</v>
      </c>
      <c r="I21" s="8">
        <v>2411</v>
      </c>
      <c r="J21" s="9"/>
      <c r="K21" s="8">
        <f t="shared" si="3"/>
        <v>28932</v>
      </c>
      <c r="L21" s="7">
        <f t="shared" si="4"/>
        <v>0</v>
      </c>
      <c r="M21" s="10">
        <f t="shared" si="7"/>
        <v>1</v>
      </c>
      <c r="N21" s="11">
        <f t="shared" si="5"/>
        <v>0.169535462463707</v>
      </c>
      <c r="O21" s="8">
        <f t="shared" si="8"/>
        <v>9809.99999999995</v>
      </c>
      <c r="P21" s="12">
        <f t="shared" si="6"/>
        <v>0</v>
      </c>
    </row>
    <row r="22" spans="1:16">
      <c r="A22" s="2">
        <v>45859</v>
      </c>
      <c r="B22" s="3">
        <f>Data_Entry!P114</f>
        <v>7620.00000000006</v>
      </c>
      <c r="C22" s="4">
        <f>Data_Entry!V114</f>
        <v>3.27</v>
      </c>
      <c r="D22" s="5">
        <f t="shared" si="0"/>
        <v>0.131688096225634</v>
      </c>
      <c r="E22" s="6">
        <v>0</v>
      </c>
      <c r="F22" s="6">
        <v>0</v>
      </c>
      <c r="G22" s="7">
        <f t="shared" si="1"/>
        <v>0</v>
      </c>
      <c r="H22" s="7">
        <f t="shared" si="2"/>
        <v>0</v>
      </c>
      <c r="I22" s="8">
        <v>2411</v>
      </c>
      <c r="J22" s="9"/>
      <c r="K22" s="8">
        <f t="shared" si="3"/>
        <v>28932</v>
      </c>
      <c r="L22" s="7">
        <f t="shared" si="4"/>
        <v>0</v>
      </c>
      <c r="M22" s="10">
        <f t="shared" si="7"/>
        <v>1</v>
      </c>
      <c r="N22" s="11">
        <f t="shared" si="5"/>
        <v>0.131688096225634</v>
      </c>
      <c r="O22" s="8">
        <f t="shared" si="8"/>
        <v>7620.00000000006</v>
      </c>
      <c r="P22" s="12">
        <f t="shared" si="6"/>
        <v>0</v>
      </c>
    </row>
    <row r="23" spans="1:16">
      <c r="A23" s="2">
        <v>45860</v>
      </c>
      <c r="B23" s="3">
        <f>Data_Entry!P115</f>
        <v>9269.99999999993</v>
      </c>
      <c r="C23" s="4">
        <f>Data_Entry!V115</f>
        <v>4.06</v>
      </c>
      <c r="D23" s="5">
        <f t="shared" si="0"/>
        <v>0.160203235172126</v>
      </c>
      <c r="E23" s="6">
        <v>0</v>
      </c>
      <c r="F23" s="6">
        <v>0</v>
      </c>
      <c r="G23" s="7">
        <f t="shared" si="1"/>
        <v>0</v>
      </c>
      <c r="H23" s="7">
        <f t="shared" si="2"/>
        <v>0</v>
      </c>
      <c r="I23" s="8">
        <v>2411</v>
      </c>
      <c r="J23" s="9"/>
      <c r="K23" s="8">
        <f t="shared" si="3"/>
        <v>28932</v>
      </c>
      <c r="L23" s="7">
        <f t="shared" si="4"/>
        <v>0</v>
      </c>
      <c r="M23" s="10">
        <f t="shared" si="7"/>
        <v>1</v>
      </c>
      <c r="N23" s="11">
        <f t="shared" si="5"/>
        <v>0.160203235172126</v>
      </c>
      <c r="O23" s="8">
        <f t="shared" si="8"/>
        <v>9269.99999999993</v>
      </c>
      <c r="P23" s="12">
        <f t="shared" si="6"/>
        <v>0</v>
      </c>
    </row>
    <row r="24" spans="1:16">
      <c r="A24" s="2">
        <v>45861</v>
      </c>
      <c r="B24" s="3">
        <f>Data_Entry!P116</f>
        <v>6210.00000000015</v>
      </c>
      <c r="C24" s="4">
        <f>Data_Entry!V116</f>
        <v>2.6</v>
      </c>
      <c r="D24" s="5">
        <f t="shared" si="0"/>
        <v>0.107320613853176</v>
      </c>
      <c r="E24" s="6">
        <v>0.364583333333333</v>
      </c>
      <c r="F24" s="6">
        <v>0.479166666666667</v>
      </c>
      <c r="G24" s="7">
        <f t="shared" si="1"/>
        <v>165.000000000001</v>
      </c>
      <c r="H24" s="7">
        <f t="shared" si="2"/>
        <v>2.75000000000002</v>
      </c>
      <c r="I24" s="8">
        <v>2411</v>
      </c>
      <c r="J24" s="9">
        <v>2411</v>
      </c>
      <c r="K24" s="8">
        <f t="shared" si="3"/>
        <v>28932</v>
      </c>
      <c r="L24" s="7">
        <f t="shared" si="4"/>
        <v>6630.25000000004</v>
      </c>
      <c r="M24" s="10">
        <f t="shared" si="7"/>
        <v>0.770833333333332</v>
      </c>
      <c r="N24" s="11">
        <f t="shared" si="5"/>
        <v>0.139226742296012</v>
      </c>
      <c r="O24" s="8">
        <f t="shared" si="8"/>
        <v>8056.21621621643</v>
      </c>
      <c r="P24" s="12">
        <f t="shared" si="6"/>
        <v>1846.21621621628</v>
      </c>
    </row>
    <row r="25" spans="1:16">
      <c r="A25" s="2">
        <v>45862</v>
      </c>
      <c r="B25" s="3">
        <f>Data_Entry!P117</f>
        <v>4799.99999999973</v>
      </c>
      <c r="C25" s="4">
        <f>Data_Entry!V117</f>
        <v>1.81</v>
      </c>
      <c r="D25" s="5">
        <f t="shared" si="0"/>
        <v>0.0829531314807087</v>
      </c>
      <c r="E25" s="6">
        <v>0</v>
      </c>
      <c r="F25" s="6">
        <v>0</v>
      </c>
      <c r="G25" s="7">
        <f t="shared" si="1"/>
        <v>0</v>
      </c>
      <c r="H25" s="7">
        <f t="shared" si="2"/>
        <v>0</v>
      </c>
      <c r="I25" s="8">
        <v>2411</v>
      </c>
      <c r="J25" s="9"/>
      <c r="K25" s="8">
        <f t="shared" si="3"/>
        <v>28932</v>
      </c>
      <c r="L25" s="7">
        <f t="shared" si="4"/>
        <v>0</v>
      </c>
      <c r="M25" s="10">
        <f t="shared" si="7"/>
        <v>1</v>
      </c>
      <c r="N25" s="11">
        <f t="shared" si="5"/>
        <v>0.0829531314807087</v>
      </c>
      <c r="O25" s="8">
        <f t="shared" si="8"/>
        <v>4799.99999999973</v>
      </c>
      <c r="P25" s="12">
        <f t="shared" si="6"/>
        <v>0</v>
      </c>
    </row>
    <row r="26" spans="1:16">
      <c r="A26" s="2">
        <v>45863</v>
      </c>
      <c r="B26" s="3">
        <f>Data_Entry!P118</f>
        <v>8040.00000000019</v>
      </c>
      <c r="C26" s="4">
        <f>Data_Entry!V118</f>
        <v>2.8</v>
      </c>
      <c r="D26" s="5">
        <f t="shared" si="0"/>
        <v>0.138946495230198</v>
      </c>
      <c r="E26" s="6">
        <v>0</v>
      </c>
      <c r="F26" s="6">
        <v>0</v>
      </c>
      <c r="G26" s="7">
        <f t="shared" si="1"/>
        <v>0</v>
      </c>
      <c r="H26" s="7">
        <f t="shared" si="2"/>
        <v>0</v>
      </c>
      <c r="I26" s="8">
        <v>2411</v>
      </c>
      <c r="J26" s="9"/>
      <c r="K26" s="8">
        <f t="shared" si="3"/>
        <v>28932</v>
      </c>
      <c r="L26" s="7">
        <f t="shared" si="4"/>
        <v>0</v>
      </c>
      <c r="M26" s="10">
        <f t="shared" si="7"/>
        <v>1</v>
      </c>
      <c r="N26" s="11">
        <f t="shared" si="5"/>
        <v>0.138946495230198</v>
      </c>
      <c r="O26" s="8">
        <f t="shared" si="8"/>
        <v>8040.00000000019</v>
      </c>
      <c r="P26" s="12">
        <f t="shared" si="6"/>
        <v>0</v>
      </c>
    </row>
    <row r="27" spans="1:16">
      <c r="A27" s="2">
        <v>45864</v>
      </c>
      <c r="B27" s="3">
        <f>Data_Entry!P119</f>
        <v>4559.99999999995</v>
      </c>
      <c r="C27" s="4">
        <f>Data_Entry!V119</f>
        <v>1.61</v>
      </c>
      <c r="D27" s="5">
        <f t="shared" si="0"/>
        <v>0.0788054749066768</v>
      </c>
      <c r="E27" s="6">
        <v>0</v>
      </c>
      <c r="F27" s="6">
        <v>0</v>
      </c>
      <c r="G27" s="7">
        <f t="shared" si="1"/>
        <v>0</v>
      </c>
      <c r="H27" s="7">
        <f t="shared" si="2"/>
        <v>0</v>
      </c>
      <c r="I27" s="8">
        <v>2411</v>
      </c>
      <c r="J27" s="9"/>
      <c r="K27" s="8">
        <f t="shared" si="3"/>
        <v>28932</v>
      </c>
      <c r="L27" s="7">
        <f t="shared" si="4"/>
        <v>0</v>
      </c>
      <c r="M27" s="10">
        <f t="shared" si="7"/>
        <v>1</v>
      </c>
      <c r="N27" s="11">
        <f t="shared" si="5"/>
        <v>0.0788054749066768</v>
      </c>
      <c r="O27" s="8">
        <f t="shared" si="8"/>
        <v>4559.99999999995</v>
      </c>
      <c r="P27" s="12">
        <f t="shared" si="6"/>
        <v>0</v>
      </c>
    </row>
    <row r="28" spans="1:16">
      <c r="A28" s="2">
        <v>45865</v>
      </c>
      <c r="B28" s="3">
        <f>Data_Entry!P120</f>
        <v>4020.0000000001</v>
      </c>
      <c r="C28" s="4">
        <f>Data_Entry!V120</f>
        <v>1.55</v>
      </c>
      <c r="D28" s="5">
        <f t="shared" si="0"/>
        <v>0.0694732476150991</v>
      </c>
      <c r="E28" s="6">
        <v>0</v>
      </c>
      <c r="F28" s="6">
        <v>0</v>
      </c>
      <c r="G28" s="7">
        <f t="shared" si="1"/>
        <v>0</v>
      </c>
      <c r="H28" s="7">
        <f t="shared" si="2"/>
        <v>0</v>
      </c>
      <c r="I28" s="8">
        <v>2411</v>
      </c>
      <c r="J28" s="9"/>
      <c r="K28" s="8">
        <f t="shared" si="3"/>
        <v>28932</v>
      </c>
      <c r="L28" s="7">
        <f t="shared" si="4"/>
        <v>0</v>
      </c>
      <c r="M28" s="10">
        <f t="shared" si="7"/>
        <v>1</v>
      </c>
      <c r="N28" s="11">
        <f t="shared" si="5"/>
        <v>0.0694732476150991</v>
      </c>
      <c r="O28" s="8">
        <f t="shared" si="8"/>
        <v>4020.0000000001</v>
      </c>
      <c r="P28" s="12">
        <f t="shared" si="6"/>
        <v>0</v>
      </c>
    </row>
    <row r="29" spans="1:16">
      <c r="A29" s="2">
        <v>45866</v>
      </c>
      <c r="B29" s="3">
        <f>Data_Entry!P121</f>
        <v>5849.9999999998</v>
      </c>
      <c r="C29" s="4">
        <f>Data_Entry!V121</f>
        <v>2.32</v>
      </c>
      <c r="D29" s="5">
        <f t="shared" si="0"/>
        <v>0.101099128992116</v>
      </c>
      <c r="E29" s="6">
        <v>0</v>
      </c>
      <c r="F29" s="6">
        <v>0</v>
      </c>
      <c r="G29" s="7">
        <f t="shared" si="1"/>
        <v>0</v>
      </c>
      <c r="H29" s="7">
        <f t="shared" si="2"/>
        <v>0</v>
      </c>
      <c r="I29" s="8">
        <v>2411</v>
      </c>
      <c r="J29" s="9"/>
      <c r="K29" s="8">
        <f t="shared" si="3"/>
        <v>28932</v>
      </c>
      <c r="L29" s="7">
        <f t="shared" si="4"/>
        <v>0</v>
      </c>
      <c r="M29" s="10">
        <f t="shared" si="7"/>
        <v>1</v>
      </c>
      <c r="N29" s="11">
        <f t="shared" si="5"/>
        <v>0.101099128992116</v>
      </c>
      <c r="O29" s="8">
        <f t="shared" si="8"/>
        <v>5849.9999999998</v>
      </c>
      <c r="P29" s="12">
        <f t="shared" si="6"/>
        <v>0</v>
      </c>
    </row>
    <row r="30" spans="1:16">
      <c r="A30" s="2">
        <v>45867</v>
      </c>
      <c r="B30" s="3">
        <f>Data_Entry!P122</f>
        <v>5370.00000000023</v>
      </c>
      <c r="C30" s="4">
        <f>Data_Entry!V122</f>
        <v>2.13</v>
      </c>
      <c r="D30" s="5">
        <f t="shared" si="0"/>
        <v>0.0928038158440521</v>
      </c>
      <c r="E30" s="6">
        <v>0</v>
      </c>
      <c r="F30" s="6">
        <v>0</v>
      </c>
      <c r="G30" s="7">
        <f t="shared" si="1"/>
        <v>0</v>
      </c>
      <c r="H30" s="7">
        <f t="shared" si="2"/>
        <v>0</v>
      </c>
      <c r="I30" s="8">
        <v>2411</v>
      </c>
      <c r="J30" s="9"/>
      <c r="K30" s="8">
        <f t="shared" si="3"/>
        <v>28932</v>
      </c>
      <c r="L30" s="7">
        <f t="shared" si="4"/>
        <v>0</v>
      </c>
      <c r="M30" s="10">
        <f t="shared" si="7"/>
        <v>1</v>
      </c>
      <c r="N30" s="11">
        <f t="shared" si="5"/>
        <v>0.0928038158440521</v>
      </c>
      <c r="O30" s="8">
        <f t="shared" si="8"/>
        <v>5370.00000000023</v>
      </c>
      <c r="P30" s="12">
        <f t="shared" si="6"/>
        <v>0</v>
      </c>
    </row>
    <row r="31" spans="1:16">
      <c r="A31" s="2">
        <v>45868</v>
      </c>
      <c r="B31" s="3">
        <f>Data_Entry!P123</f>
        <v>8489.99999999978</v>
      </c>
      <c r="C31" s="4">
        <f>Data_Entry!V123</f>
        <v>3.62</v>
      </c>
      <c r="D31" s="5">
        <f t="shared" si="0"/>
        <v>0.146723351306508</v>
      </c>
      <c r="E31" s="6">
        <v>0</v>
      </c>
      <c r="F31" s="6">
        <v>0</v>
      </c>
      <c r="G31" s="7">
        <f t="shared" si="1"/>
        <v>0</v>
      </c>
      <c r="H31" s="7">
        <f t="shared" si="2"/>
        <v>0</v>
      </c>
      <c r="I31" s="8">
        <v>2411</v>
      </c>
      <c r="J31" s="9"/>
      <c r="K31" s="8">
        <f t="shared" si="3"/>
        <v>28932</v>
      </c>
      <c r="L31" s="7">
        <f t="shared" si="4"/>
        <v>0</v>
      </c>
      <c r="M31" s="10">
        <f t="shared" si="7"/>
        <v>1</v>
      </c>
      <c r="N31" s="11">
        <f t="shared" si="5"/>
        <v>0.146723351306508</v>
      </c>
      <c r="O31" s="8">
        <f t="shared" si="8"/>
        <v>8489.99999999978</v>
      </c>
      <c r="P31" s="12">
        <f t="shared" si="6"/>
        <v>0</v>
      </c>
    </row>
    <row r="32" spans="1:16">
      <c r="A32" s="2">
        <v>45869</v>
      </c>
      <c r="B32" s="3">
        <f>Data_Entry!P124</f>
        <v>5880.00000000011</v>
      </c>
      <c r="C32" s="4">
        <f>Data_Entry!V124</f>
        <v>2.47</v>
      </c>
      <c r="D32" s="5">
        <f t="shared" si="0"/>
        <v>0.101617586063876</v>
      </c>
      <c r="E32" s="6">
        <v>0</v>
      </c>
      <c r="F32" s="6">
        <v>0</v>
      </c>
      <c r="G32" s="7">
        <f t="shared" si="1"/>
        <v>0</v>
      </c>
      <c r="H32" s="7">
        <f t="shared" si="2"/>
        <v>0</v>
      </c>
      <c r="I32" s="8">
        <v>2411</v>
      </c>
      <c r="J32" s="9"/>
      <c r="K32" s="8">
        <f t="shared" si="3"/>
        <v>28932</v>
      </c>
      <c r="L32" s="7">
        <f t="shared" si="4"/>
        <v>0</v>
      </c>
      <c r="M32" s="10">
        <f t="shared" si="7"/>
        <v>1</v>
      </c>
      <c r="N32" s="11">
        <f t="shared" si="5"/>
        <v>0.101617586063876</v>
      </c>
      <c r="O32" s="8">
        <f t="shared" si="8"/>
        <v>5880.00000000011</v>
      </c>
      <c r="P32" s="12">
        <f t="shared" si="6"/>
        <v>0</v>
      </c>
    </row>
    <row r="33" spans="1:16">
      <c r="A33" s="2"/>
      <c r="B33" s="3"/>
      <c r="C33" s="4"/>
      <c r="D33" s="5"/>
      <c r="E33" s="6"/>
      <c r="F33" s="6"/>
      <c r="G33" s="7"/>
      <c r="H33" s="7"/>
      <c r="I33" s="8"/>
      <c r="J33" s="9"/>
      <c r="K33" s="8"/>
      <c r="L33" s="7"/>
      <c r="M33" s="10"/>
      <c r="N33" s="11"/>
      <c r="O33" s="8"/>
      <c r="P33" s="12"/>
    </row>
    <row r="34" spans="1:16">
      <c r="A34" s="2">
        <v>45870</v>
      </c>
      <c r="B34" s="3">
        <f>Data_Entry!P125</f>
        <v>7319.99999999982</v>
      </c>
      <c r="C34" s="4">
        <f>Data_Entry!V125</f>
        <v>3.14</v>
      </c>
      <c r="D34" s="5">
        <f t="shared" si="0"/>
        <v>0.126503525508085</v>
      </c>
      <c r="E34" s="6">
        <v>0</v>
      </c>
      <c r="F34" s="6">
        <v>0</v>
      </c>
      <c r="G34" s="7">
        <f t="shared" si="1"/>
        <v>0</v>
      </c>
      <c r="H34" s="7">
        <f t="shared" si="2"/>
        <v>0</v>
      </c>
      <c r="I34" s="8">
        <v>2411</v>
      </c>
      <c r="J34" s="9"/>
      <c r="K34" s="8">
        <f t="shared" si="3"/>
        <v>28932</v>
      </c>
      <c r="L34" s="7">
        <f t="shared" si="4"/>
        <v>0</v>
      </c>
      <c r="M34" s="10">
        <f t="shared" si="7"/>
        <v>1</v>
      </c>
      <c r="N34" s="11">
        <f t="shared" si="5"/>
        <v>0.126503525508085</v>
      </c>
      <c r="O34" s="8">
        <f t="shared" si="8"/>
        <v>7319.99999999982</v>
      </c>
      <c r="P34" s="12">
        <f t="shared" si="6"/>
        <v>0</v>
      </c>
    </row>
    <row r="35" spans="1:16">
      <c r="A35" s="2">
        <v>45871</v>
      </c>
      <c r="B35" s="3">
        <f>Data_Entry!P126</f>
        <v>7290.00000000019</v>
      </c>
      <c r="C35" s="4">
        <f>Data_Entry!V126</f>
        <v>2.91</v>
      </c>
      <c r="D35" s="5">
        <f t="shared" si="0"/>
        <v>0.125985068436337</v>
      </c>
      <c r="E35" s="6">
        <v>0</v>
      </c>
      <c r="F35" s="6">
        <v>0</v>
      </c>
      <c r="G35" s="7">
        <f t="shared" si="1"/>
        <v>0</v>
      </c>
      <c r="H35" s="7">
        <f t="shared" si="2"/>
        <v>0</v>
      </c>
      <c r="I35" s="8">
        <v>2411</v>
      </c>
      <c r="J35" s="9"/>
      <c r="K35" s="8">
        <f t="shared" si="3"/>
        <v>28932</v>
      </c>
      <c r="L35" s="7">
        <f t="shared" si="4"/>
        <v>0</v>
      </c>
      <c r="M35" s="10">
        <f t="shared" si="7"/>
        <v>1</v>
      </c>
      <c r="N35" s="11">
        <f t="shared" si="5"/>
        <v>0.125985068436337</v>
      </c>
      <c r="O35" s="8">
        <f t="shared" si="8"/>
        <v>7290.00000000019</v>
      </c>
      <c r="P35" s="12">
        <f t="shared" si="6"/>
        <v>0</v>
      </c>
    </row>
    <row r="36" spans="1:16">
      <c r="A36" s="2">
        <v>45872</v>
      </c>
      <c r="B36" s="3">
        <f>Data_Entry!P127</f>
        <v>6869.99999999989</v>
      </c>
      <c r="C36" s="4">
        <f>Data_Entry!V127</f>
        <v>2.78</v>
      </c>
      <c r="D36" s="5">
        <f t="shared" si="0"/>
        <v>0.118726669431769</v>
      </c>
      <c r="E36" s="6">
        <v>0</v>
      </c>
      <c r="F36" s="6">
        <v>0</v>
      </c>
      <c r="G36" s="7">
        <f t="shared" si="1"/>
        <v>0</v>
      </c>
      <c r="H36" s="7">
        <f t="shared" si="2"/>
        <v>0</v>
      </c>
      <c r="I36" s="8">
        <v>2411</v>
      </c>
      <c r="J36" s="9"/>
      <c r="K36" s="8">
        <f t="shared" si="3"/>
        <v>28932</v>
      </c>
      <c r="L36" s="7">
        <f t="shared" si="4"/>
        <v>0</v>
      </c>
      <c r="M36" s="10">
        <f t="shared" si="7"/>
        <v>1</v>
      </c>
      <c r="N36" s="11">
        <f t="shared" si="5"/>
        <v>0.118726669431769</v>
      </c>
      <c r="O36" s="8">
        <f t="shared" si="8"/>
        <v>6869.99999999989</v>
      </c>
      <c r="P36" s="12">
        <f t="shared" si="6"/>
        <v>0</v>
      </c>
    </row>
    <row r="37" spans="1:16">
      <c r="A37" s="2">
        <v>45873</v>
      </c>
      <c r="B37" s="3">
        <f>Data_Entry!P128</f>
        <v>6900.0000000002</v>
      </c>
      <c r="C37" s="4">
        <f>Data_Entry!V128</f>
        <v>2.5</v>
      </c>
      <c r="D37" s="5">
        <f t="shared" si="0"/>
        <v>0.119245126503529</v>
      </c>
      <c r="E37" s="6">
        <v>0</v>
      </c>
      <c r="F37" s="6">
        <v>0</v>
      </c>
      <c r="G37" s="7">
        <f t="shared" si="1"/>
        <v>0</v>
      </c>
      <c r="H37" s="7">
        <f t="shared" si="2"/>
        <v>0</v>
      </c>
      <c r="I37" s="8">
        <v>2411</v>
      </c>
      <c r="J37" s="9"/>
      <c r="K37" s="8">
        <f t="shared" si="3"/>
        <v>28932</v>
      </c>
      <c r="L37" s="7">
        <f t="shared" si="4"/>
        <v>0</v>
      </c>
      <c r="M37" s="10">
        <f t="shared" si="7"/>
        <v>1</v>
      </c>
      <c r="N37" s="11">
        <f t="shared" si="5"/>
        <v>0.119245126503529</v>
      </c>
      <c r="O37" s="8">
        <f t="shared" si="8"/>
        <v>6900.0000000002</v>
      </c>
      <c r="P37" s="12">
        <f t="shared" si="6"/>
        <v>0</v>
      </c>
    </row>
    <row r="38" spans="1:16">
      <c r="A38" s="2">
        <v>45874</v>
      </c>
      <c r="B38" s="3">
        <f>Data_Entry!P129</f>
        <v>6689.99999999971</v>
      </c>
      <c r="C38" s="4">
        <f>Data_Entry!V129</f>
        <v>2.64</v>
      </c>
      <c r="D38" s="5">
        <f t="shared" si="0"/>
        <v>0.115615927001239</v>
      </c>
      <c r="E38" s="6">
        <v>0</v>
      </c>
      <c r="F38" s="6">
        <v>0</v>
      </c>
      <c r="G38" s="7">
        <f t="shared" si="1"/>
        <v>0</v>
      </c>
      <c r="H38" s="7">
        <f t="shared" si="2"/>
        <v>0</v>
      </c>
      <c r="I38" s="8">
        <v>2411</v>
      </c>
      <c r="J38" s="9"/>
      <c r="K38" s="8">
        <f t="shared" si="3"/>
        <v>28932</v>
      </c>
      <c r="L38" s="7">
        <f t="shared" si="4"/>
        <v>0</v>
      </c>
      <c r="M38" s="10">
        <f t="shared" si="7"/>
        <v>1</v>
      </c>
      <c r="N38" s="11">
        <f t="shared" si="5"/>
        <v>0.115615927001239</v>
      </c>
      <c r="O38" s="8">
        <f t="shared" si="8"/>
        <v>6689.99999999971</v>
      </c>
      <c r="P38" s="12">
        <f t="shared" si="6"/>
        <v>0</v>
      </c>
    </row>
    <row r="39" spans="1:16">
      <c r="A39" s="2">
        <v>45875</v>
      </c>
      <c r="B39" s="3">
        <f>Data_Entry!P130</f>
        <v>10530.0000000003</v>
      </c>
      <c r="C39" s="4">
        <f>Data_Entry!V130</f>
        <v>4.15</v>
      </c>
      <c r="D39" s="5">
        <f t="shared" si="0"/>
        <v>0.18197843218582</v>
      </c>
      <c r="E39" s="6">
        <v>0</v>
      </c>
      <c r="F39" s="6">
        <v>0</v>
      </c>
      <c r="G39" s="7">
        <f t="shared" si="1"/>
        <v>0</v>
      </c>
      <c r="H39" s="7">
        <f t="shared" si="2"/>
        <v>0</v>
      </c>
      <c r="I39" s="8">
        <v>2411</v>
      </c>
      <c r="J39" s="9"/>
      <c r="K39" s="8">
        <f t="shared" si="3"/>
        <v>28932</v>
      </c>
      <c r="L39" s="7">
        <f t="shared" si="4"/>
        <v>0</v>
      </c>
      <c r="M39" s="10">
        <f t="shared" si="7"/>
        <v>1</v>
      </c>
      <c r="N39" s="11">
        <f t="shared" si="5"/>
        <v>0.18197843218582</v>
      </c>
      <c r="O39" s="8">
        <f t="shared" si="8"/>
        <v>10530.0000000003</v>
      </c>
      <c r="P39" s="12">
        <f t="shared" si="6"/>
        <v>0</v>
      </c>
    </row>
    <row r="40" spans="1:16">
      <c r="A40" s="2">
        <v>45876</v>
      </c>
      <c r="B40" s="3">
        <f>Data_Entry!P131</f>
        <v>11429.9999999998</v>
      </c>
      <c r="C40" s="4">
        <f>Data_Entry!V131</f>
        <v>4.81</v>
      </c>
      <c r="D40" s="5">
        <f t="shared" si="0"/>
        <v>0.197532144338446</v>
      </c>
      <c r="E40" s="6">
        <v>0</v>
      </c>
      <c r="F40" s="6">
        <v>0</v>
      </c>
      <c r="G40" s="7">
        <f t="shared" si="1"/>
        <v>0</v>
      </c>
      <c r="H40" s="7">
        <f t="shared" si="2"/>
        <v>0</v>
      </c>
      <c r="I40" s="8">
        <v>2411</v>
      </c>
      <c r="J40" s="9"/>
      <c r="K40" s="8">
        <f t="shared" si="3"/>
        <v>28932</v>
      </c>
      <c r="L40" s="7">
        <f t="shared" si="4"/>
        <v>0</v>
      </c>
      <c r="M40" s="10">
        <f t="shared" si="7"/>
        <v>1</v>
      </c>
      <c r="N40" s="11">
        <f t="shared" si="5"/>
        <v>0.197532144338446</v>
      </c>
      <c r="O40" s="8">
        <f t="shared" si="8"/>
        <v>11429.9999999998</v>
      </c>
      <c r="P40" s="12">
        <f t="shared" si="6"/>
        <v>0</v>
      </c>
    </row>
    <row r="41" spans="1:16">
      <c r="A41" s="2">
        <v>45877</v>
      </c>
      <c r="B41" s="3">
        <f>Data_Entry!P132</f>
        <v>11850.0000000001</v>
      </c>
      <c r="C41" s="4">
        <f>Data_Entry!V132</f>
        <v>4.76</v>
      </c>
      <c r="D41" s="5">
        <f t="shared" si="0"/>
        <v>0.204790543343014</v>
      </c>
      <c r="E41" s="6">
        <v>0</v>
      </c>
      <c r="F41" s="6">
        <v>0</v>
      </c>
      <c r="G41" s="7">
        <f t="shared" si="1"/>
        <v>0</v>
      </c>
      <c r="H41" s="7">
        <f t="shared" si="2"/>
        <v>0</v>
      </c>
      <c r="I41" s="8">
        <v>2411</v>
      </c>
      <c r="J41" s="9"/>
      <c r="K41" s="8">
        <f t="shared" si="3"/>
        <v>28932</v>
      </c>
      <c r="L41" s="7">
        <f t="shared" si="4"/>
        <v>0</v>
      </c>
      <c r="M41" s="10">
        <f t="shared" si="7"/>
        <v>1</v>
      </c>
      <c r="N41" s="11">
        <f t="shared" si="5"/>
        <v>0.204790543343014</v>
      </c>
      <c r="O41" s="8">
        <f t="shared" si="8"/>
        <v>11850.0000000001</v>
      </c>
      <c r="P41" s="12">
        <f t="shared" si="6"/>
        <v>0</v>
      </c>
    </row>
    <row r="42" spans="1:16">
      <c r="A42" s="2">
        <v>45878</v>
      </c>
      <c r="B42" s="3">
        <f>Data_Entry!P133</f>
        <v>7169.99999999996</v>
      </c>
      <c r="C42" s="4">
        <f>Data_Entry!V133</f>
        <v>3.13</v>
      </c>
      <c r="D42" s="5">
        <f t="shared" si="0"/>
        <v>0.123911240149315</v>
      </c>
      <c r="E42" s="6">
        <v>0</v>
      </c>
      <c r="F42" s="6">
        <v>0</v>
      </c>
      <c r="G42" s="7">
        <f t="shared" si="1"/>
        <v>0</v>
      </c>
      <c r="H42" s="7">
        <f t="shared" si="2"/>
        <v>0</v>
      </c>
      <c r="I42" s="8">
        <v>2411</v>
      </c>
      <c r="J42" s="9"/>
      <c r="K42" s="8">
        <f t="shared" si="3"/>
        <v>28932</v>
      </c>
      <c r="L42" s="7">
        <f t="shared" si="4"/>
        <v>0</v>
      </c>
      <c r="M42" s="10">
        <f t="shared" si="7"/>
        <v>1</v>
      </c>
      <c r="N42" s="11">
        <f t="shared" si="5"/>
        <v>0.123911240149315</v>
      </c>
      <c r="O42" s="8">
        <f t="shared" si="8"/>
        <v>7169.99999999996</v>
      </c>
      <c r="P42" s="12">
        <f t="shared" si="6"/>
        <v>0</v>
      </c>
    </row>
    <row r="43" spans="1:16">
      <c r="A43" s="2">
        <v>45879</v>
      </c>
      <c r="B43" s="3">
        <f>Data_Entry!P134</f>
        <v>9239.99999999978</v>
      </c>
      <c r="C43" s="4">
        <f>Data_Entry!V134</f>
        <v>3.55</v>
      </c>
      <c r="D43" s="5">
        <f t="shared" si="0"/>
        <v>0.15968477810037</v>
      </c>
      <c r="E43" s="6">
        <v>0</v>
      </c>
      <c r="F43" s="6">
        <v>0</v>
      </c>
      <c r="G43" s="7">
        <f t="shared" si="1"/>
        <v>0</v>
      </c>
      <c r="H43" s="7">
        <f t="shared" si="2"/>
        <v>0</v>
      </c>
      <c r="I43" s="8">
        <v>2411</v>
      </c>
      <c r="J43" s="9"/>
      <c r="K43" s="8">
        <f t="shared" si="3"/>
        <v>28932</v>
      </c>
      <c r="L43" s="7">
        <f t="shared" si="4"/>
        <v>0</v>
      </c>
      <c r="M43" s="10">
        <f t="shared" si="7"/>
        <v>1</v>
      </c>
      <c r="N43" s="11">
        <f t="shared" si="5"/>
        <v>0.15968477810037</v>
      </c>
      <c r="O43" s="8">
        <f t="shared" si="8"/>
        <v>9239.99999999978</v>
      </c>
      <c r="P43" s="12">
        <f t="shared" si="6"/>
        <v>0</v>
      </c>
    </row>
    <row r="44" spans="1:16">
      <c r="A44" s="2">
        <v>45880</v>
      </c>
      <c r="B44" s="3">
        <f>Data_Entry!P135</f>
        <v>6060.00000000029</v>
      </c>
      <c r="C44" s="4">
        <f>Data_Entry!V135</f>
        <v>3.28</v>
      </c>
      <c r="D44" s="5">
        <f t="shared" si="0"/>
        <v>0.104728328494406</v>
      </c>
      <c r="E44" s="6">
        <v>0</v>
      </c>
      <c r="F44" s="6">
        <v>0</v>
      </c>
      <c r="G44" s="7">
        <f t="shared" si="1"/>
        <v>0</v>
      </c>
      <c r="H44" s="7">
        <f t="shared" si="2"/>
        <v>0</v>
      </c>
      <c r="I44" s="8">
        <v>2411</v>
      </c>
      <c r="J44" s="9"/>
      <c r="K44" s="8">
        <f t="shared" si="3"/>
        <v>28932</v>
      </c>
      <c r="L44" s="7">
        <f t="shared" si="4"/>
        <v>0</v>
      </c>
      <c r="M44" s="10">
        <f t="shared" si="7"/>
        <v>1</v>
      </c>
      <c r="N44" s="11">
        <f t="shared" si="5"/>
        <v>0.104728328494406</v>
      </c>
      <c r="O44" s="8">
        <f t="shared" si="8"/>
        <v>6060.00000000029</v>
      </c>
      <c r="P44" s="12">
        <f t="shared" si="6"/>
        <v>0</v>
      </c>
    </row>
    <row r="45" spans="1:16">
      <c r="A45" s="2">
        <v>45881</v>
      </c>
      <c r="B45" s="3">
        <f>Data_Entry!P136</f>
        <v>8099.9999999998</v>
      </c>
      <c r="C45" s="4">
        <f>Data_Entry!V136</f>
        <v>2.98</v>
      </c>
      <c r="D45" s="5">
        <f t="shared" si="0"/>
        <v>0.1399834093737</v>
      </c>
      <c r="E45" s="6">
        <v>0</v>
      </c>
      <c r="F45" s="6">
        <v>0</v>
      </c>
      <c r="G45" s="7">
        <f t="shared" si="1"/>
        <v>0</v>
      </c>
      <c r="H45" s="7">
        <f t="shared" si="2"/>
        <v>0</v>
      </c>
      <c r="I45" s="8">
        <v>2411</v>
      </c>
      <c r="J45" s="9"/>
      <c r="K45" s="8">
        <f t="shared" si="3"/>
        <v>28932</v>
      </c>
      <c r="L45" s="7">
        <f t="shared" si="4"/>
        <v>0</v>
      </c>
      <c r="M45" s="10">
        <f t="shared" si="7"/>
        <v>1</v>
      </c>
      <c r="N45" s="11">
        <f t="shared" si="5"/>
        <v>0.1399834093737</v>
      </c>
      <c r="O45" s="8">
        <f t="shared" si="8"/>
        <v>8099.9999999998</v>
      </c>
      <c r="P45" s="12">
        <f t="shared" si="6"/>
        <v>0</v>
      </c>
    </row>
    <row r="46" spans="1:16">
      <c r="A46" s="2">
        <v>45882</v>
      </c>
      <c r="B46" s="3">
        <f>Data_Entry!P137</f>
        <v>7680.00000000018</v>
      </c>
      <c r="C46" s="4">
        <f>Data_Entry!V137</f>
        <v>3.15</v>
      </c>
      <c r="D46" s="5">
        <f t="shared" si="0"/>
        <v>0.132725010369144</v>
      </c>
      <c r="E46" s="6">
        <v>0</v>
      </c>
      <c r="F46" s="6">
        <v>0</v>
      </c>
      <c r="G46" s="7">
        <f t="shared" si="1"/>
        <v>0</v>
      </c>
      <c r="H46" s="7">
        <f t="shared" si="2"/>
        <v>0</v>
      </c>
      <c r="I46" s="8">
        <v>2411</v>
      </c>
      <c r="J46" s="9"/>
      <c r="K46" s="8">
        <f t="shared" si="3"/>
        <v>28932</v>
      </c>
      <c r="L46" s="7">
        <f t="shared" si="4"/>
        <v>0</v>
      </c>
      <c r="M46" s="10">
        <f t="shared" si="7"/>
        <v>1</v>
      </c>
      <c r="N46" s="11">
        <f t="shared" si="5"/>
        <v>0.132725010369144</v>
      </c>
      <c r="O46" s="8">
        <f t="shared" si="8"/>
        <v>7680.00000000018</v>
      </c>
      <c r="P46" s="12">
        <f t="shared" si="6"/>
        <v>0</v>
      </c>
    </row>
    <row r="47" spans="1:16">
      <c r="A47" s="2">
        <v>45883</v>
      </c>
      <c r="B47" s="3">
        <f>Data_Entry!P138</f>
        <v>7319.99999999982</v>
      </c>
      <c r="C47" s="4">
        <f>Data_Entry!V138</f>
        <v>3.1</v>
      </c>
      <c r="D47" s="5">
        <f t="shared" si="0"/>
        <v>0.126503525508085</v>
      </c>
      <c r="E47" s="6">
        <v>0</v>
      </c>
      <c r="F47" s="6">
        <v>0</v>
      </c>
      <c r="G47" s="7">
        <f t="shared" si="1"/>
        <v>0</v>
      </c>
      <c r="H47" s="7">
        <f t="shared" si="2"/>
        <v>0</v>
      </c>
      <c r="I47" s="8">
        <v>2411</v>
      </c>
      <c r="J47" s="9"/>
      <c r="K47" s="8">
        <f t="shared" si="3"/>
        <v>28932</v>
      </c>
      <c r="L47" s="7">
        <f t="shared" si="4"/>
        <v>0</v>
      </c>
      <c r="M47" s="10">
        <f t="shared" si="7"/>
        <v>1</v>
      </c>
      <c r="N47" s="11">
        <f t="shared" si="5"/>
        <v>0.126503525508085</v>
      </c>
      <c r="O47" s="8">
        <f t="shared" si="8"/>
        <v>7319.99999999982</v>
      </c>
      <c r="P47" s="12">
        <f t="shared" si="6"/>
        <v>0</v>
      </c>
    </row>
    <row r="48" spans="1:16">
      <c r="A48" s="2">
        <v>45884</v>
      </c>
      <c r="B48" s="3">
        <f>Data_Entry!P139</f>
        <v>7380.00000000011</v>
      </c>
      <c r="C48" s="4">
        <f>Data_Entry!V139</f>
        <v>2.96</v>
      </c>
      <c r="D48" s="5">
        <f t="shared" si="0"/>
        <v>0.127540439651599</v>
      </c>
      <c r="E48" s="6">
        <v>0</v>
      </c>
      <c r="F48" s="6">
        <v>0</v>
      </c>
      <c r="G48" s="7">
        <f t="shared" si="1"/>
        <v>0</v>
      </c>
      <c r="H48" s="7">
        <f t="shared" si="2"/>
        <v>0</v>
      </c>
      <c r="I48" s="8">
        <v>2411</v>
      </c>
      <c r="J48" s="9"/>
      <c r="K48" s="8">
        <f t="shared" si="3"/>
        <v>28932</v>
      </c>
      <c r="L48" s="7">
        <f t="shared" si="4"/>
        <v>0</v>
      </c>
      <c r="M48" s="10">
        <f t="shared" si="7"/>
        <v>1</v>
      </c>
      <c r="N48" s="11">
        <f t="shared" si="5"/>
        <v>0.127540439651599</v>
      </c>
      <c r="O48" s="8">
        <f t="shared" si="8"/>
        <v>7380.00000000011</v>
      </c>
      <c r="P48" s="12">
        <f t="shared" si="6"/>
        <v>0</v>
      </c>
    </row>
    <row r="49" spans="1:16">
      <c r="A49" s="2">
        <v>45885</v>
      </c>
      <c r="B49" s="3">
        <f>Data_Entry!P140</f>
        <v>7440.00000000005</v>
      </c>
      <c r="C49" s="4">
        <f>Data_Entry!V140</f>
        <v>3.06</v>
      </c>
      <c r="D49" s="5">
        <f t="shared" si="0"/>
        <v>0.128577353795107</v>
      </c>
      <c r="E49" s="6">
        <v>0</v>
      </c>
      <c r="F49" s="6">
        <v>0</v>
      </c>
      <c r="G49" s="7">
        <f t="shared" si="1"/>
        <v>0</v>
      </c>
      <c r="H49" s="7">
        <f t="shared" si="2"/>
        <v>0</v>
      </c>
      <c r="I49" s="8">
        <v>2411</v>
      </c>
      <c r="J49" s="9"/>
      <c r="K49" s="8">
        <f t="shared" si="3"/>
        <v>28932</v>
      </c>
      <c r="L49" s="7">
        <f t="shared" si="4"/>
        <v>0</v>
      </c>
      <c r="M49" s="10">
        <f t="shared" si="7"/>
        <v>1</v>
      </c>
      <c r="N49" s="11">
        <f t="shared" si="5"/>
        <v>0.128577353795107</v>
      </c>
      <c r="O49" s="8">
        <f t="shared" si="8"/>
        <v>7440.00000000005</v>
      </c>
      <c r="P49" s="12">
        <f t="shared" si="6"/>
        <v>0</v>
      </c>
    </row>
    <row r="50" spans="1:16">
      <c r="A50" s="2">
        <v>45886</v>
      </c>
      <c r="B50" s="3">
        <f>Data_Entry!P141</f>
        <v>8489.99999999978</v>
      </c>
      <c r="C50" s="4">
        <f>Data_Entry!V141</f>
        <v>2.93</v>
      </c>
      <c r="D50" s="5">
        <f t="shared" si="0"/>
        <v>0.146723351306508</v>
      </c>
      <c r="E50" s="6">
        <v>0</v>
      </c>
      <c r="F50" s="6">
        <v>0</v>
      </c>
      <c r="G50" s="7">
        <f t="shared" si="1"/>
        <v>0</v>
      </c>
      <c r="H50" s="7">
        <f t="shared" si="2"/>
        <v>0</v>
      </c>
      <c r="I50" s="8">
        <v>2411</v>
      </c>
      <c r="J50" s="9"/>
      <c r="K50" s="8">
        <f t="shared" si="3"/>
        <v>28932</v>
      </c>
      <c r="L50" s="7">
        <f t="shared" si="4"/>
        <v>0</v>
      </c>
      <c r="M50" s="10">
        <f t="shared" si="7"/>
        <v>1</v>
      </c>
      <c r="N50" s="11">
        <f t="shared" si="5"/>
        <v>0.146723351306508</v>
      </c>
      <c r="O50" s="8">
        <f t="shared" si="8"/>
        <v>8489.99999999978</v>
      </c>
      <c r="P50" s="12">
        <f t="shared" si="6"/>
        <v>0</v>
      </c>
    </row>
    <row r="51" spans="1:16">
      <c r="A51" s="2">
        <v>45887</v>
      </c>
      <c r="B51" s="3">
        <f>Data_Entry!P142</f>
        <v>8100.00000000014</v>
      </c>
      <c r="C51" s="4">
        <f>Data_Entry!V142</f>
        <v>2.69</v>
      </c>
      <c r="D51" s="5">
        <f t="shared" si="0"/>
        <v>0.139983409373706</v>
      </c>
      <c r="E51" s="6">
        <v>0</v>
      </c>
      <c r="F51" s="6">
        <v>0</v>
      </c>
      <c r="G51" s="7">
        <f t="shared" si="1"/>
        <v>0</v>
      </c>
      <c r="H51" s="7">
        <f t="shared" si="2"/>
        <v>0</v>
      </c>
      <c r="I51" s="8">
        <v>2411</v>
      </c>
      <c r="J51" s="9"/>
      <c r="K51" s="8">
        <f t="shared" si="3"/>
        <v>28932</v>
      </c>
      <c r="L51" s="7">
        <f t="shared" si="4"/>
        <v>0</v>
      </c>
      <c r="M51" s="10">
        <f t="shared" si="7"/>
        <v>1</v>
      </c>
      <c r="N51" s="11">
        <f t="shared" si="5"/>
        <v>0.139983409373706</v>
      </c>
      <c r="O51" s="8">
        <f t="shared" si="8"/>
        <v>8100.00000000014</v>
      </c>
      <c r="P51" s="12">
        <f t="shared" si="6"/>
        <v>0</v>
      </c>
    </row>
    <row r="52" spans="1:16">
      <c r="A52" s="2">
        <v>45888</v>
      </c>
      <c r="B52" s="3">
        <f>Data_Entry!P143</f>
        <v>9899.99999999986</v>
      </c>
      <c r="C52" s="4">
        <f>Data_Entry!V143</f>
        <v>0</v>
      </c>
      <c r="D52" s="5">
        <f t="shared" si="0"/>
        <v>0.171090833678969</v>
      </c>
      <c r="E52" s="6">
        <v>0</v>
      </c>
      <c r="F52" s="6">
        <v>0</v>
      </c>
      <c r="G52" s="7">
        <f t="shared" si="1"/>
        <v>0</v>
      </c>
      <c r="H52" s="7">
        <f t="shared" si="2"/>
        <v>0</v>
      </c>
      <c r="I52" s="8">
        <v>2411</v>
      </c>
      <c r="J52" s="9"/>
      <c r="K52" s="8">
        <f t="shared" si="3"/>
        <v>28932</v>
      </c>
      <c r="L52" s="7">
        <f t="shared" si="4"/>
        <v>0</v>
      </c>
      <c r="M52" s="10">
        <f t="shared" si="7"/>
        <v>1</v>
      </c>
      <c r="N52" s="11">
        <f t="shared" si="5"/>
        <v>0.171090833678969</v>
      </c>
      <c r="O52" s="8">
        <f t="shared" si="8"/>
        <v>9899.99999999986</v>
      </c>
      <c r="P52" s="12">
        <f t="shared" si="6"/>
        <v>0</v>
      </c>
    </row>
    <row r="53" spans="1:16">
      <c r="A53" s="2">
        <v>45889</v>
      </c>
      <c r="B53" s="3">
        <f>Data_Entry!P144</f>
        <v>2910.00000000008</v>
      </c>
      <c r="C53" s="4">
        <f>Data_Entry!V144</f>
        <v>0</v>
      </c>
      <c r="D53" s="5">
        <f t="shared" si="0"/>
        <v>0.0502903359601839</v>
      </c>
      <c r="E53" s="6">
        <v>0</v>
      </c>
      <c r="F53" s="6">
        <v>0</v>
      </c>
      <c r="G53" s="7">
        <f t="shared" si="1"/>
        <v>0</v>
      </c>
      <c r="H53" s="7">
        <f t="shared" si="2"/>
        <v>0</v>
      </c>
      <c r="I53" s="8">
        <v>2411</v>
      </c>
      <c r="J53" s="9"/>
      <c r="K53" s="8">
        <f t="shared" si="3"/>
        <v>28932</v>
      </c>
      <c r="L53" s="7">
        <f t="shared" si="4"/>
        <v>0</v>
      </c>
      <c r="M53" s="10">
        <f t="shared" si="7"/>
        <v>1</v>
      </c>
      <c r="N53" s="11">
        <f t="shared" si="5"/>
        <v>0.0502903359601839</v>
      </c>
      <c r="O53" s="8">
        <f t="shared" si="8"/>
        <v>2910.00000000008</v>
      </c>
      <c r="P53" s="12">
        <f t="shared" si="6"/>
        <v>0</v>
      </c>
    </row>
    <row r="54" spans="1:16">
      <c r="A54" s="2">
        <v>45890</v>
      </c>
      <c r="B54" s="3">
        <f>Data_Entry!P145</f>
        <v>8130.00000000011</v>
      </c>
      <c r="C54" s="4">
        <f>Data_Entry!V145</f>
        <v>0</v>
      </c>
      <c r="D54" s="5">
        <f t="shared" si="0"/>
        <v>0.14050186644546</v>
      </c>
      <c r="E54" s="6">
        <v>0</v>
      </c>
      <c r="F54" s="6">
        <v>0</v>
      </c>
      <c r="G54" s="7">
        <f t="shared" si="1"/>
        <v>0</v>
      </c>
      <c r="H54" s="7">
        <f t="shared" si="2"/>
        <v>0</v>
      </c>
      <c r="I54" s="8">
        <v>2411</v>
      </c>
      <c r="J54" s="9"/>
      <c r="K54" s="8">
        <f t="shared" si="3"/>
        <v>28932</v>
      </c>
      <c r="L54" s="7">
        <f t="shared" si="4"/>
        <v>0</v>
      </c>
      <c r="M54" s="10">
        <f t="shared" si="7"/>
        <v>1</v>
      </c>
      <c r="N54" s="11">
        <f t="shared" si="5"/>
        <v>0.14050186644546</v>
      </c>
      <c r="O54" s="8">
        <f t="shared" si="8"/>
        <v>8130.00000000011</v>
      </c>
      <c r="P54" s="12">
        <f t="shared" si="6"/>
        <v>0</v>
      </c>
    </row>
    <row r="55" spans="1:16">
      <c r="A55" s="2">
        <v>45891</v>
      </c>
      <c r="B55" s="3">
        <f>Data_Entry!P146</f>
        <v>9629.99999999977</v>
      </c>
      <c r="C55" s="4">
        <f>Data_Entry!V146</f>
        <v>0</v>
      </c>
      <c r="D55" s="5">
        <f t="shared" si="0"/>
        <v>0.166424720033177</v>
      </c>
      <c r="E55" s="6">
        <v>0</v>
      </c>
      <c r="F55" s="6">
        <v>0</v>
      </c>
      <c r="G55" s="7">
        <f t="shared" si="1"/>
        <v>0</v>
      </c>
      <c r="H55" s="7">
        <f t="shared" si="2"/>
        <v>0</v>
      </c>
      <c r="I55" s="8">
        <v>2411</v>
      </c>
      <c r="J55" s="9"/>
      <c r="K55" s="8">
        <f t="shared" si="3"/>
        <v>28932</v>
      </c>
      <c r="L55" s="7">
        <f t="shared" si="4"/>
        <v>0</v>
      </c>
      <c r="M55" s="10">
        <f t="shared" si="7"/>
        <v>1</v>
      </c>
      <c r="N55" s="11">
        <f t="shared" si="5"/>
        <v>0.166424720033177</v>
      </c>
      <c r="O55" s="8">
        <f t="shared" si="8"/>
        <v>9629.99999999977</v>
      </c>
      <c r="P55" s="12">
        <f t="shared" si="6"/>
        <v>0</v>
      </c>
    </row>
    <row r="56" spans="1:16">
      <c r="A56" s="2">
        <v>45892</v>
      </c>
      <c r="B56" s="3">
        <f>Data_Entry!P147</f>
        <v>5340.00000000026</v>
      </c>
      <c r="C56" s="4">
        <f>Data_Entry!V147</f>
        <v>0</v>
      </c>
      <c r="D56" s="5">
        <f t="shared" si="0"/>
        <v>0.0922853587722981</v>
      </c>
      <c r="E56" s="6">
        <v>0</v>
      </c>
      <c r="F56" s="6">
        <v>0</v>
      </c>
      <c r="G56" s="7">
        <f t="shared" si="1"/>
        <v>0</v>
      </c>
      <c r="H56" s="7">
        <f t="shared" si="2"/>
        <v>0</v>
      </c>
      <c r="I56" s="8">
        <v>2411</v>
      </c>
      <c r="J56" s="9"/>
      <c r="K56" s="8">
        <f t="shared" si="3"/>
        <v>28932</v>
      </c>
      <c r="L56" s="7">
        <f t="shared" si="4"/>
        <v>0</v>
      </c>
      <c r="M56" s="10">
        <f t="shared" si="7"/>
        <v>1</v>
      </c>
      <c r="N56" s="11">
        <f t="shared" si="5"/>
        <v>0.0922853587722981</v>
      </c>
      <c r="O56" s="8">
        <f t="shared" si="8"/>
        <v>5340.00000000026</v>
      </c>
      <c r="P56" s="12">
        <f t="shared" si="6"/>
        <v>0</v>
      </c>
    </row>
    <row r="57" spans="1:16">
      <c r="A57" s="2">
        <v>45893</v>
      </c>
      <c r="B57" s="3">
        <f>Data_Entry!P148</f>
        <v>3720.00000000003</v>
      </c>
      <c r="C57" s="4">
        <f>Data_Entry!V148</f>
        <v>0</v>
      </c>
      <c r="D57" s="5">
        <f t="shared" si="0"/>
        <v>0.0642886768975534</v>
      </c>
      <c r="E57" s="6">
        <v>0</v>
      </c>
      <c r="F57" s="6">
        <v>0</v>
      </c>
      <c r="G57" s="7">
        <f t="shared" si="1"/>
        <v>0</v>
      </c>
      <c r="H57" s="7">
        <f t="shared" si="2"/>
        <v>0</v>
      </c>
      <c r="I57" s="8">
        <v>2411</v>
      </c>
      <c r="J57" s="9"/>
      <c r="K57" s="8">
        <f t="shared" si="3"/>
        <v>28932</v>
      </c>
      <c r="L57" s="7">
        <f t="shared" si="4"/>
        <v>0</v>
      </c>
      <c r="M57" s="10">
        <f t="shared" si="7"/>
        <v>1</v>
      </c>
      <c r="N57" s="11">
        <f t="shared" si="5"/>
        <v>0.0642886768975534</v>
      </c>
      <c r="O57" s="8">
        <f t="shared" si="8"/>
        <v>3720.00000000003</v>
      </c>
      <c r="P57" s="12">
        <f t="shared" si="6"/>
        <v>0</v>
      </c>
    </row>
    <row r="58" spans="1:16">
      <c r="A58" s="2">
        <v>45894</v>
      </c>
      <c r="B58" s="3">
        <f>Data_Entry!P149</f>
        <v>6599.9999999998</v>
      </c>
      <c r="C58" s="4">
        <f>Data_Entry!V149</f>
        <v>0</v>
      </c>
      <c r="D58" s="5">
        <f t="shared" si="0"/>
        <v>0.114060555785977</v>
      </c>
      <c r="E58" s="6">
        <v>0</v>
      </c>
      <c r="F58" s="6">
        <v>0</v>
      </c>
      <c r="G58" s="7">
        <f t="shared" si="1"/>
        <v>0</v>
      </c>
      <c r="H58" s="7">
        <f t="shared" si="2"/>
        <v>0</v>
      </c>
      <c r="I58" s="8">
        <v>2411</v>
      </c>
      <c r="J58" s="9"/>
      <c r="K58" s="8">
        <f t="shared" si="3"/>
        <v>28932</v>
      </c>
      <c r="L58" s="7">
        <f t="shared" si="4"/>
        <v>0</v>
      </c>
      <c r="M58" s="10">
        <f t="shared" si="7"/>
        <v>1</v>
      </c>
      <c r="N58" s="11">
        <f t="shared" si="5"/>
        <v>0.114060555785977</v>
      </c>
      <c r="O58" s="8">
        <f t="shared" si="8"/>
        <v>6599.9999999998</v>
      </c>
      <c r="P58" s="12">
        <f t="shared" si="6"/>
        <v>0</v>
      </c>
    </row>
    <row r="59" spans="1:16">
      <c r="A59" s="2">
        <v>45895</v>
      </c>
      <c r="B59" s="3">
        <f>Data_Entry!P150</f>
        <v>7680.00000000018</v>
      </c>
      <c r="C59" s="4">
        <f>Data_Entry!V150</f>
        <v>0</v>
      </c>
      <c r="D59" s="5">
        <f t="shared" si="0"/>
        <v>0.132725010369144</v>
      </c>
      <c r="E59" s="6">
        <v>0</v>
      </c>
      <c r="F59" s="6">
        <v>0</v>
      </c>
      <c r="G59" s="7">
        <f t="shared" si="1"/>
        <v>0</v>
      </c>
      <c r="H59" s="7">
        <f t="shared" si="2"/>
        <v>0</v>
      </c>
      <c r="I59" s="8">
        <v>2411</v>
      </c>
      <c r="J59" s="9"/>
      <c r="K59" s="8">
        <f t="shared" si="3"/>
        <v>28932</v>
      </c>
      <c r="L59" s="7">
        <f t="shared" si="4"/>
        <v>0</v>
      </c>
      <c r="M59" s="10">
        <f t="shared" si="7"/>
        <v>1</v>
      </c>
      <c r="N59" s="11">
        <f t="shared" si="5"/>
        <v>0.132725010369144</v>
      </c>
      <c r="O59" s="8">
        <f t="shared" si="8"/>
        <v>7680.00000000018</v>
      </c>
      <c r="P59" s="12">
        <f t="shared" si="6"/>
        <v>0</v>
      </c>
    </row>
    <row r="60" spans="1:16">
      <c r="A60" s="2">
        <v>45896</v>
      </c>
      <c r="B60" s="3">
        <f>Data_Entry!P151</f>
        <v>8099.9999999998</v>
      </c>
      <c r="C60" s="4">
        <f>Data_Entry!V151</f>
        <v>0</v>
      </c>
      <c r="D60" s="5">
        <f t="shared" si="0"/>
        <v>0.1399834093737</v>
      </c>
      <c r="E60" s="6">
        <v>0</v>
      </c>
      <c r="F60" s="6">
        <v>0</v>
      </c>
      <c r="G60" s="7">
        <f t="shared" si="1"/>
        <v>0</v>
      </c>
      <c r="H60" s="7">
        <f t="shared" si="2"/>
        <v>0</v>
      </c>
      <c r="I60" s="8">
        <v>2411</v>
      </c>
      <c r="J60" s="9"/>
      <c r="K60" s="8">
        <f t="shared" si="3"/>
        <v>28932</v>
      </c>
      <c r="L60" s="7">
        <f t="shared" si="4"/>
        <v>0</v>
      </c>
      <c r="M60" s="10">
        <f t="shared" si="7"/>
        <v>1</v>
      </c>
      <c r="N60" s="11">
        <f t="shared" si="5"/>
        <v>0.1399834093737</v>
      </c>
      <c r="O60" s="8">
        <f t="shared" si="8"/>
        <v>8099.9999999998</v>
      </c>
      <c r="P60" s="12">
        <f t="shared" si="6"/>
        <v>0</v>
      </c>
    </row>
    <row r="61" spans="1:16">
      <c r="A61" s="2">
        <v>45897</v>
      </c>
      <c r="B61" s="3">
        <f>Data_Entry!P152</f>
        <v>9300.00000000007</v>
      </c>
      <c r="C61" s="4">
        <f>Data_Entry!V152</f>
        <v>0</v>
      </c>
      <c r="D61" s="5">
        <f t="shared" si="0"/>
        <v>0.160721692243883</v>
      </c>
      <c r="E61" s="6">
        <v>0</v>
      </c>
      <c r="F61" s="6">
        <v>0</v>
      </c>
      <c r="G61" s="7">
        <f t="shared" si="1"/>
        <v>0</v>
      </c>
      <c r="H61" s="7">
        <f t="shared" si="2"/>
        <v>0</v>
      </c>
      <c r="I61" s="8">
        <v>2411</v>
      </c>
      <c r="J61" s="9"/>
      <c r="K61" s="8">
        <f t="shared" si="3"/>
        <v>28932</v>
      </c>
      <c r="L61" s="7">
        <f t="shared" si="4"/>
        <v>0</v>
      </c>
      <c r="M61" s="10">
        <f t="shared" si="7"/>
        <v>1</v>
      </c>
      <c r="N61" s="11">
        <f t="shared" si="5"/>
        <v>0.160721692243883</v>
      </c>
      <c r="O61" s="8">
        <f t="shared" si="8"/>
        <v>9300.00000000007</v>
      </c>
      <c r="P61" s="12">
        <f t="shared" si="6"/>
        <v>0</v>
      </c>
    </row>
    <row r="62" spans="1:16">
      <c r="A62" s="2">
        <v>45898</v>
      </c>
      <c r="B62" s="3">
        <f>Data_Entry!P153</f>
        <v>7320.00000000016</v>
      </c>
      <c r="C62" s="4">
        <f>Data_Entry!V153</f>
        <v>0</v>
      </c>
      <c r="D62" s="5">
        <f t="shared" si="0"/>
        <v>0.126503525508091</v>
      </c>
      <c r="E62" s="6">
        <v>0</v>
      </c>
      <c r="F62" s="6">
        <v>0</v>
      </c>
      <c r="G62" s="7">
        <f t="shared" si="1"/>
        <v>0</v>
      </c>
      <c r="H62" s="7">
        <f t="shared" si="2"/>
        <v>0</v>
      </c>
      <c r="I62" s="8">
        <v>2411</v>
      </c>
      <c r="J62" s="9"/>
      <c r="K62" s="8">
        <f t="shared" si="3"/>
        <v>28932</v>
      </c>
      <c r="L62" s="7">
        <f t="shared" si="4"/>
        <v>0</v>
      </c>
      <c r="M62" s="10">
        <f t="shared" si="7"/>
        <v>1</v>
      </c>
      <c r="N62" s="11">
        <f t="shared" si="5"/>
        <v>0.126503525508091</v>
      </c>
      <c r="O62" s="8">
        <f t="shared" si="8"/>
        <v>7320.00000000016</v>
      </c>
      <c r="P62" s="12">
        <f t="shared" si="6"/>
        <v>0</v>
      </c>
    </row>
    <row r="63" spans="1:16">
      <c r="A63" s="2">
        <v>45899</v>
      </c>
      <c r="B63" s="3">
        <f>Data_Entry!P154</f>
        <v>7589.99999999992</v>
      </c>
      <c r="C63" s="4">
        <f>Data_Entry!V154</f>
        <v>0</v>
      </c>
      <c r="D63" s="5">
        <f t="shared" si="0"/>
        <v>0.131169639153877</v>
      </c>
      <c r="E63" s="6">
        <v>0</v>
      </c>
      <c r="F63" s="6">
        <v>0</v>
      </c>
      <c r="G63" s="7">
        <f t="shared" si="1"/>
        <v>0</v>
      </c>
      <c r="H63" s="7">
        <f t="shared" si="2"/>
        <v>0</v>
      </c>
      <c r="I63" s="8">
        <v>2411</v>
      </c>
      <c r="J63" s="9"/>
      <c r="K63" s="8">
        <f t="shared" si="3"/>
        <v>28932</v>
      </c>
      <c r="L63" s="7">
        <f t="shared" si="4"/>
        <v>0</v>
      </c>
      <c r="M63" s="10">
        <f t="shared" si="7"/>
        <v>1</v>
      </c>
      <c r="N63" s="11">
        <f t="shared" si="5"/>
        <v>0.131169639153877</v>
      </c>
      <c r="O63" s="8">
        <f t="shared" si="8"/>
        <v>7589.99999999992</v>
      </c>
      <c r="P63" s="12">
        <f t="shared" si="6"/>
        <v>0</v>
      </c>
    </row>
    <row r="64" spans="1:16">
      <c r="A64" s="2">
        <v>45900</v>
      </c>
      <c r="B64" s="3">
        <f>Data_Entry!P155</f>
        <v>8459.99999999981</v>
      </c>
      <c r="C64" s="4">
        <f>Data_Entry!V155</f>
        <v>0</v>
      </c>
      <c r="D64" s="5">
        <f t="shared" si="0"/>
        <v>0.146204894234754</v>
      </c>
      <c r="E64" s="6">
        <v>0</v>
      </c>
      <c r="F64" s="6">
        <v>0</v>
      </c>
      <c r="G64" s="7">
        <f t="shared" si="1"/>
        <v>0</v>
      </c>
      <c r="H64" s="7">
        <f t="shared" si="2"/>
        <v>0</v>
      </c>
      <c r="I64" s="8">
        <v>2411</v>
      </c>
      <c r="J64" s="9"/>
      <c r="K64" s="8">
        <f t="shared" si="3"/>
        <v>28932</v>
      </c>
      <c r="L64" s="7">
        <f t="shared" si="4"/>
        <v>0</v>
      </c>
      <c r="M64" s="10">
        <f t="shared" si="7"/>
        <v>1</v>
      </c>
      <c r="N64" s="11">
        <f t="shared" si="5"/>
        <v>0.146204894234754</v>
      </c>
      <c r="O64" s="8">
        <f t="shared" si="8"/>
        <v>8459.99999999981</v>
      </c>
      <c r="P64" s="12">
        <f t="shared" si="6"/>
        <v>0</v>
      </c>
    </row>
    <row r="65" spans="1:16">
      <c r="A65" s="2"/>
      <c r="B65" s="3"/>
      <c r="C65" s="4"/>
      <c r="D65" s="5"/>
      <c r="E65" s="6"/>
      <c r="F65" s="6"/>
      <c r="G65" s="7"/>
      <c r="H65" s="7"/>
      <c r="I65" s="8"/>
      <c r="J65" s="9"/>
      <c r="K65" s="8"/>
      <c r="L65" s="7"/>
      <c r="M65" s="10">
        <f>AVERAGE(M34:M64)</f>
        <v>1</v>
      </c>
      <c r="N65" s="11"/>
      <c r="O65" s="8"/>
      <c r="P65" s="12"/>
    </row>
    <row r="66" spans="1:16">
      <c r="A66" s="2">
        <v>45901</v>
      </c>
      <c r="B66" s="3">
        <f>Data_Entry!P156</f>
        <v>8310.00000000029</v>
      </c>
      <c r="C66" s="4">
        <f>Data_Entry!V156</f>
        <v>0</v>
      </c>
      <c r="D66" s="5">
        <f t="shared" si="0"/>
        <v>0.14361260887599</v>
      </c>
      <c r="E66" s="6">
        <v>0</v>
      </c>
      <c r="F66" s="6">
        <v>0</v>
      </c>
      <c r="G66" s="7">
        <f t="shared" si="1"/>
        <v>0</v>
      </c>
      <c r="H66" s="7">
        <f t="shared" si="2"/>
        <v>0</v>
      </c>
      <c r="I66" s="8">
        <v>2411</v>
      </c>
      <c r="J66" s="9"/>
      <c r="K66" s="8">
        <f t="shared" si="3"/>
        <v>28932</v>
      </c>
      <c r="L66" s="7">
        <f t="shared" si="4"/>
        <v>0</v>
      </c>
      <c r="M66" s="10">
        <f t="shared" si="7"/>
        <v>1</v>
      </c>
      <c r="N66" s="11">
        <f t="shared" si="5"/>
        <v>0.14361260887599</v>
      </c>
      <c r="O66" s="8">
        <f t="shared" si="8"/>
        <v>8310.00000000029</v>
      </c>
      <c r="P66" s="12">
        <f t="shared" si="6"/>
        <v>0</v>
      </c>
    </row>
    <row r="67" spans="1:16">
      <c r="A67" s="2">
        <v>45902</v>
      </c>
      <c r="B67" s="3">
        <f>Data_Entry!P157</f>
        <v>11250</v>
      </c>
      <c r="C67" s="4">
        <f>Data_Entry!V157</f>
        <v>0</v>
      </c>
      <c r="D67" s="5">
        <f t="shared" si="0"/>
        <v>0.194421401907922</v>
      </c>
      <c r="E67" s="6">
        <v>0</v>
      </c>
      <c r="F67" s="6">
        <v>0</v>
      </c>
      <c r="G67" s="7">
        <f t="shared" si="1"/>
        <v>0</v>
      </c>
      <c r="H67" s="7">
        <f t="shared" si="2"/>
        <v>0</v>
      </c>
      <c r="I67" s="8">
        <v>2411</v>
      </c>
      <c r="J67" s="9"/>
      <c r="K67" s="8">
        <f t="shared" si="3"/>
        <v>28932</v>
      </c>
      <c r="L67" s="7">
        <f t="shared" si="4"/>
        <v>0</v>
      </c>
      <c r="M67" s="10">
        <f t="shared" si="7"/>
        <v>1</v>
      </c>
      <c r="N67" s="11">
        <f t="shared" si="5"/>
        <v>0.194421401907922</v>
      </c>
      <c r="O67" s="8">
        <f t="shared" si="8"/>
        <v>11250</v>
      </c>
      <c r="P67" s="12">
        <f t="shared" si="6"/>
        <v>0</v>
      </c>
    </row>
    <row r="68" spans="1:16">
      <c r="A68" s="2">
        <v>45903</v>
      </c>
      <c r="B68" s="3">
        <f>Data_Entry!P158</f>
        <v>11670</v>
      </c>
      <c r="C68" s="4">
        <f>Data_Entry!V158</f>
        <v>0</v>
      </c>
      <c r="D68" s="5">
        <f t="shared" ref="D68:D131" si="9">B68/(24*I68)</f>
        <v>0.201679800912484</v>
      </c>
      <c r="E68" s="6">
        <v>0</v>
      </c>
      <c r="F68" s="6">
        <v>0</v>
      </c>
      <c r="G68" s="7">
        <f t="shared" ref="G68:G131" si="10">(F68-E68)*24*60</f>
        <v>0</v>
      </c>
      <c r="H68" s="7">
        <f t="shared" ref="H68:H131" si="11">G68/60</f>
        <v>0</v>
      </c>
      <c r="I68" s="8">
        <v>2411</v>
      </c>
      <c r="J68" s="9"/>
      <c r="K68" s="8">
        <f t="shared" ref="K68:K131" si="12">I68*12</f>
        <v>28932</v>
      </c>
      <c r="L68" s="7">
        <f t="shared" ref="L68:L131" si="13">J68*H68</f>
        <v>0</v>
      </c>
      <c r="M68" s="10">
        <f t="shared" si="7"/>
        <v>1</v>
      </c>
      <c r="N68" s="11">
        <f t="shared" ref="N68:N131" si="14">D68/M68</f>
        <v>0.201679800912484</v>
      </c>
      <c r="O68" s="8">
        <f t="shared" si="8"/>
        <v>11670</v>
      </c>
      <c r="P68" s="12">
        <f t="shared" ref="P68:P131" si="15">O68-B68</f>
        <v>0</v>
      </c>
    </row>
    <row r="69" spans="1:16">
      <c r="A69" s="2">
        <v>45904</v>
      </c>
      <c r="B69" s="3">
        <f>Data_Entry!P159</f>
        <v>5519.99999999975</v>
      </c>
      <c r="C69" s="4">
        <f>Data_Entry!V159</f>
        <v>0</v>
      </c>
      <c r="D69" s="5">
        <f t="shared" si="9"/>
        <v>0.0953961012028162</v>
      </c>
      <c r="E69" s="6">
        <v>0</v>
      </c>
      <c r="F69" s="6">
        <v>0</v>
      </c>
      <c r="G69" s="7">
        <f t="shared" si="10"/>
        <v>0</v>
      </c>
      <c r="H69" s="7">
        <f t="shared" si="11"/>
        <v>0</v>
      </c>
      <c r="I69" s="8">
        <v>2411</v>
      </c>
      <c r="J69" s="9"/>
      <c r="K69" s="8">
        <f t="shared" si="12"/>
        <v>28932</v>
      </c>
      <c r="L69" s="7">
        <f t="shared" si="13"/>
        <v>0</v>
      </c>
      <c r="M69" s="10">
        <f t="shared" ref="M69:M132" si="16">(K69-L69)/K69</f>
        <v>1</v>
      </c>
      <c r="N69" s="11">
        <f t="shared" si="14"/>
        <v>0.0953961012028162</v>
      </c>
      <c r="O69" s="8">
        <f t="shared" ref="O69:O132" si="17">N69*I69*24</f>
        <v>5519.99999999975</v>
      </c>
      <c r="P69" s="12">
        <f t="shared" si="15"/>
        <v>0</v>
      </c>
    </row>
    <row r="70" spans="1:16">
      <c r="A70" s="2">
        <v>45905</v>
      </c>
      <c r="B70" s="3">
        <f>Data_Entry!P160</f>
        <v>4889.99999999999</v>
      </c>
      <c r="C70" s="4">
        <f>Data_Entry!V160</f>
        <v>0</v>
      </c>
      <c r="D70" s="5">
        <f t="shared" si="9"/>
        <v>0.0845085026959765</v>
      </c>
      <c r="E70" s="6">
        <v>0</v>
      </c>
      <c r="F70" s="6">
        <v>0</v>
      </c>
      <c r="G70" s="7">
        <f t="shared" si="10"/>
        <v>0</v>
      </c>
      <c r="H70" s="7">
        <f t="shared" si="11"/>
        <v>0</v>
      </c>
      <c r="I70" s="8">
        <v>2411</v>
      </c>
      <c r="J70" s="9"/>
      <c r="K70" s="8">
        <f t="shared" si="12"/>
        <v>28932</v>
      </c>
      <c r="L70" s="7">
        <f t="shared" si="13"/>
        <v>0</v>
      </c>
      <c r="M70" s="10">
        <f t="shared" si="16"/>
        <v>1</v>
      </c>
      <c r="N70" s="11">
        <f t="shared" si="14"/>
        <v>0.0845085026959765</v>
      </c>
      <c r="O70" s="8">
        <f t="shared" si="17"/>
        <v>4889.99999999999</v>
      </c>
      <c r="P70" s="12">
        <f t="shared" si="15"/>
        <v>0</v>
      </c>
    </row>
    <row r="71" spans="1:16">
      <c r="A71" s="2">
        <v>45906</v>
      </c>
      <c r="B71" s="3">
        <f>Data_Entry!P161</f>
        <v>3660.00000000008</v>
      </c>
      <c r="C71" s="4">
        <f>Data_Entry!V161</f>
        <v>0</v>
      </c>
      <c r="D71" s="5">
        <f t="shared" si="9"/>
        <v>0.0632517627540454</v>
      </c>
      <c r="E71" s="6">
        <v>0</v>
      </c>
      <c r="F71" s="6">
        <v>0</v>
      </c>
      <c r="G71" s="7">
        <f t="shared" si="10"/>
        <v>0</v>
      </c>
      <c r="H71" s="7">
        <f t="shared" si="11"/>
        <v>0</v>
      </c>
      <c r="I71" s="8">
        <v>2411</v>
      </c>
      <c r="J71" s="9"/>
      <c r="K71" s="8">
        <f t="shared" si="12"/>
        <v>28932</v>
      </c>
      <c r="L71" s="7">
        <f t="shared" si="13"/>
        <v>0</v>
      </c>
      <c r="M71" s="10">
        <f t="shared" si="16"/>
        <v>1</v>
      </c>
      <c r="N71" s="11">
        <f t="shared" si="14"/>
        <v>0.0632517627540454</v>
      </c>
      <c r="O71" s="8">
        <f t="shared" si="17"/>
        <v>3660.00000000008</v>
      </c>
      <c r="P71" s="12">
        <f t="shared" si="15"/>
        <v>0</v>
      </c>
    </row>
    <row r="72" spans="1:16">
      <c r="A72" s="2">
        <v>45907</v>
      </c>
      <c r="B72" s="3">
        <f>Data_Entry!P162</f>
        <v>3449.99999999993</v>
      </c>
      <c r="C72" s="4">
        <f>Data_Entry!V162</f>
        <v>0</v>
      </c>
      <c r="D72" s="5">
        <f t="shared" si="9"/>
        <v>0.0596225632517616</v>
      </c>
      <c r="E72" s="6">
        <v>0</v>
      </c>
      <c r="F72" s="6">
        <v>0</v>
      </c>
      <c r="G72" s="7">
        <f t="shared" si="10"/>
        <v>0</v>
      </c>
      <c r="H72" s="7">
        <f t="shared" si="11"/>
        <v>0</v>
      </c>
      <c r="I72" s="8">
        <v>2411</v>
      </c>
      <c r="J72" s="9"/>
      <c r="K72" s="8">
        <f t="shared" si="12"/>
        <v>28932</v>
      </c>
      <c r="L72" s="7">
        <f t="shared" si="13"/>
        <v>0</v>
      </c>
      <c r="M72" s="10">
        <f t="shared" si="16"/>
        <v>1</v>
      </c>
      <c r="N72" s="11">
        <f t="shared" si="14"/>
        <v>0.0596225632517616</v>
      </c>
      <c r="O72" s="8">
        <f t="shared" si="17"/>
        <v>3449.99999999993</v>
      </c>
      <c r="P72" s="12">
        <f t="shared" si="15"/>
        <v>0</v>
      </c>
    </row>
    <row r="73" spans="1:16">
      <c r="A73" s="2">
        <v>45908</v>
      </c>
      <c r="B73" s="3">
        <f>Data_Entry!P163</f>
        <v>3960.00000000015</v>
      </c>
      <c r="C73" s="4">
        <f>Data_Entry!V163</f>
        <v>0</v>
      </c>
      <c r="D73" s="5">
        <f t="shared" si="9"/>
        <v>0.0684363334715911</v>
      </c>
      <c r="E73" s="6">
        <v>0</v>
      </c>
      <c r="F73" s="6">
        <v>0</v>
      </c>
      <c r="G73" s="7">
        <f t="shared" si="10"/>
        <v>0</v>
      </c>
      <c r="H73" s="7">
        <f t="shared" si="11"/>
        <v>0</v>
      </c>
      <c r="I73" s="8">
        <v>2411</v>
      </c>
      <c r="J73" s="9"/>
      <c r="K73" s="8">
        <f t="shared" si="12"/>
        <v>28932</v>
      </c>
      <c r="L73" s="7">
        <f t="shared" si="13"/>
        <v>0</v>
      </c>
      <c r="M73" s="10">
        <f t="shared" si="16"/>
        <v>1</v>
      </c>
      <c r="N73" s="11">
        <f t="shared" si="14"/>
        <v>0.0684363334715911</v>
      </c>
      <c r="O73" s="8">
        <f t="shared" si="17"/>
        <v>3960.00000000015</v>
      </c>
      <c r="P73" s="12">
        <f t="shared" si="15"/>
        <v>0</v>
      </c>
    </row>
    <row r="74" spans="1:16">
      <c r="A74" s="2">
        <v>45909</v>
      </c>
      <c r="B74" s="3">
        <f>Data_Entry!P164</f>
        <v>10140</v>
      </c>
      <c r="C74" s="4">
        <f>Data_Entry!V164</f>
        <v>0</v>
      </c>
      <c r="D74" s="5">
        <f t="shared" si="9"/>
        <v>0.175238490253007</v>
      </c>
      <c r="E74" s="6">
        <v>0</v>
      </c>
      <c r="F74" s="6">
        <v>0</v>
      </c>
      <c r="G74" s="7">
        <f t="shared" si="10"/>
        <v>0</v>
      </c>
      <c r="H74" s="7">
        <f t="shared" si="11"/>
        <v>0</v>
      </c>
      <c r="I74" s="8">
        <v>2411</v>
      </c>
      <c r="J74" s="9"/>
      <c r="K74" s="8">
        <f t="shared" si="12"/>
        <v>28932</v>
      </c>
      <c r="L74" s="7">
        <f t="shared" si="13"/>
        <v>0</v>
      </c>
      <c r="M74" s="10">
        <f t="shared" si="16"/>
        <v>1</v>
      </c>
      <c r="N74" s="11">
        <f t="shared" si="14"/>
        <v>0.175238490253007</v>
      </c>
      <c r="O74" s="8">
        <f t="shared" si="17"/>
        <v>10140</v>
      </c>
      <c r="P74" s="12">
        <f t="shared" si="15"/>
        <v>0</v>
      </c>
    </row>
    <row r="75" spans="1:16">
      <c r="A75" s="2">
        <v>45910</v>
      </c>
      <c r="B75" s="3">
        <f>Data_Entry!P165</f>
        <v>11759.9999999999</v>
      </c>
      <c r="C75" s="4">
        <f>Data_Entry!V165</f>
        <v>0</v>
      </c>
      <c r="D75" s="5">
        <f t="shared" si="9"/>
        <v>0.203235172127746</v>
      </c>
      <c r="E75" s="6">
        <v>0</v>
      </c>
      <c r="F75" s="6">
        <v>0</v>
      </c>
      <c r="G75" s="7">
        <f t="shared" si="10"/>
        <v>0</v>
      </c>
      <c r="H75" s="7">
        <f t="shared" si="11"/>
        <v>0</v>
      </c>
      <c r="I75" s="8">
        <v>2411</v>
      </c>
      <c r="J75" s="9"/>
      <c r="K75" s="8">
        <f t="shared" si="12"/>
        <v>28932</v>
      </c>
      <c r="L75" s="7">
        <f t="shared" si="13"/>
        <v>0</v>
      </c>
      <c r="M75" s="10">
        <f t="shared" si="16"/>
        <v>1</v>
      </c>
      <c r="N75" s="11">
        <f t="shared" si="14"/>
        <v>0.203235172127746</v>
      </c>
      <c r="O75" s="8">
        <f t="shared" si="17"/>
        <v>11759.9999999999</v>
      </c>
      <c r="P75" s="12">
        <f t="shared" si="15"/>
        <v>0</v>
      </c>
    </row>
    <row r="76" spans="1:16">
      <c r="A76" s="2">
        <v>45911</v>
      </c>
      <c r="B76" s="3">
        <f>Data_Entry!P166</f>
        <v>12690.0000000001</v>
      </c>
      <c r="C76" s="4">
        <f>Data_Entry!V166</f>
        <v>0</v>
      </c>
      <c r="D76" s="5">
        <f t="shared" si="9"/>
        <v>0.219307341352137</v>
      </c>
      <c r="E76" s="6">
        <v>0</v>
      </c>
      <c r="F76" s="6">
        <v>0</v>
      </c>
      <c r="G76" s="7">
        <f t="shared" si="10"/>
        <v>0</v>
      </c>
      <c r="H76" s="7">
        <f t="shared" si="11"/>
        <v>0</v>
      </c>
      <c r="I76" s="8">
        <v>2411</v>
      </c>
      <c r="J76" s="9"/>
      <c r="K76" s="8">
        <f t="shared" si="12"/>
        <v>28932</v>
      </c>
      <c r="L76" s="7">
        <f t="shared" si="13"/>
        <v>0</v>
      </c>
      <c r="M76" s="10">
        <f t="shared" si="16"/>
        <v>1</v>
      </c>
      <c r="N76" s="11">
        <f t="shared" si="14"/>
        <v>0.219307341352137</v>
      </c>
      <c r="O76" s="8">
        <f t="shared" si="17"/>
        <v>12690.0000000001</v>
      </c>
      <c r="P76" s="12">
        <f t="shared" si="15"/>
        <v>0</v>
      </c>
    </row>
    <row r="77" spans="1:16">
      <c r="A77" s="2">
        <v>45912</v>
      </c>
      <c r="B77" s="3">
        <f>Data_Entry!P167</f>
        <v>13410.0000000001</v>
      </c>
      <c r="C77" s="4">
        <f>Data_Entry!V167</f>
        <v>0</v>
      </c>
      <c r="D77" s="5">
        <f t="shared" si="9"/>
        <v>0.231750311074244</v>
      </c>
      <c r="E77" s="6">
        <v>0</v>
      </c>
      <c r="F77" s="6">
        <v>0</v>
      </c>
      <c r="G77" s="7">
        <f t="shared" si="10"/>
        <v>0</v>
      </c>
      <c r="H77" s="7">
        <f t="shared" si="11"/>
        <v>0</v>
      </c>
      <c r="I77" s="8">
        <v>2411</v>
      </c>
      <c r="J77" s="9"/>
      <c r="K77" s="8">
        <f t="shared" si="12"/>
        <v>28932</v>
      </c>
      <c r="L77" s="7">
        <f t="shared" si="13"/>
        <v>0</v>
      </c>
      <c r="M77" s="10">
        <f t="shared" si="16"/>
        <v>1</v>
      </c>
      <c r="N77" s="11">
        <f t="shared" si="14"/>
        <v>0.231750311074244</v>
      </c>
      <c r="O77" s="8">
        <f t="shared" si="17"/>
        <v>13410.0000000001</v>
      </c>
      <c r="P77" s="12">
        <f t="shared" si="15"/>
        <v>0</v>
      </c>
    </row>
    <row r="78" spans="1:16">
      <c r="A78" s="2">
        <v>45913</v>
      </c>
      <c r="B78" s="3">
        <f>Data_Entry!P168</f>
        <v>11429.9999999998</v>
      </c>
      <c r="C78" s="4">
        <f>Data_Entry!V168</f>
        <v>0</v>
      </c>
      <c r="D78" s="5">
        <f t="shared" si="9"/>
        <v>0.197532144338446</v>
      </c>
      <c r="E78" s="6">
        <v>0</v>
      </c>
      <c r="F78" s="6">
        <v>0</v>
      </c>
      <c r="G78" s="7">
        <f t="shared" si="10"/>
        <v>0</v>
      </c>
      <c r="H78" s="7">
        <f t="shared" si="11"/>
        <v>0</v>
      </c>
      <c r="I78" s="8">
        <v>2411</v>
      </c>
      <c r="J78" s="9"/>
      <c r="K78" s="8">
        <f t="shared" si="12"/>
        <v>28932</v>
      </c>
      <c r="L78" s="7">
        <f t="shared" si="13"/>
        <v>0</v>
      </c>
      <c r="M78" s="10">
        <f t="shared" si="16"/>
        <v>1</v>
      </c>
      <c r="N78" s="11">
        <f t="shared" si="14"/>
        <v>0.197532144338446</v>
      </c>
      <c r="O78" s="8">
        <f t="shared" si="17"/>
        <v>11429.9999999998</v>
      </c>
      <c r="P78" s="12">
        <f t="shared" si="15"/>
        <v>0</v>
      </c>
    </row>
    <row r="79" spans="1:16">
      <c r="A79" s="2">
        <v>45914</v>
      </c>
      <c r="B79" s="3">
        <f>Data_Entry!P169</f>
        <v>8820.00000000016</v>
      </c>
      <c r="C79" s="4">
        <f>Data_Entry!V169</f>
        <v>0</v>
      </c>
      <c r="D79" s="5">
        <f t="shared" si="9"/>
        <v>0.152426379095814</v>
      </c>
      <c r="E79" s="6">
        <v>0</v>
      </c>
      <c r="F79" s="6">
        <v>0</v>
      </c>
      <c r="G79" s="7">
        <f t="shared" si="10"/>
        <v>0</v>
      </c>
      <c r="H79" s="7">
        <f t="shared" si="11"/>
        <v>0</v>
      </c>
      <c r="I79" s="8">
        <v>2411</v>
      </c>
      <c r="J79" s="9"/>
      <c r="K79" s="8">
        <f t="shared" si="12"/>
        <v>28932</v>
      </c>
      <c r="L79" s="7">
        <f t="shared" si="13"/>
        <v>0</v>
      </c>
      <c r="M79" s="10">
        <f t="shared" si="16"/>
        <v>1</v>
      </c>
      <c r="N79" s="11">
        <f t="shared" si="14"/>
        <v>0.152426379095814</v>
      </c>
      <c r="O79" s="8">
        <f t="shared" si="17"/>
        <v>8820.00000000016</v>
      </c>
      <c r="P79" s="12">
        <f t="shared" si="15"/>
        <v>0</v>
      </c>
    </row>
    <row r="80" spans="1:16">
      <c r="A80" s="2">
        <v>45915</v>
      </c>
      <c r="B80" s="3">
        <f>Data_Entry!P170</f>
        <v>7110.00000000001</v>
      </c>
      <c r="C80" s="4">
        <f>Data_Entry!V170</f>
        <v>0</v>
      </c>
      <c r="D80" s="5">
        <f t="shared" si="9"/>
        <v>0.122874326005807</v>
      </c>
      <c r="E80" s="6">
        <v>0</v>
      </c>
      <c r="F80" s="6">
        <v>0</v>
      </c>
      <c r="G80" s="7">
        <f t="shared" si="10"/>
        <v>0</v>
      </c>
      <c r="H80" s="7">
        <f t="shared" si="11"/>
        <v>0</v>
      </c>
      <c r="I80" s="8">
        <v>2411</v>
      </c>
      <c r="J80" s="9"/>
      <c r="K80" s="8">
        <f t="shared" si="12"/>
        <v>28932</v>
      </c>
      <c r="L80" s="7">
        <f t="shared" si="13"/>
        <v>0</v>
      </c>
      <c r="M80" s="10">
        <f t="shared" si="16"/>
        <v>1</v>
      </c>
      <c r="N80" s="11">
        <f t="shared" si="14"/>
        <v>0.122874326005807</v>
      </c>
      <c r="O80" s="8">
        <f t="shared" si="17"/>
        <v>7110.00000000001</v>
      </c>
      <c r="P80" s="12">
        <f t="shared" si="15"/>
        <v>0</v>
      </c>
    </row>
    <row r="81" spans="1:16">
      <c r="A81" s="2">
        <v>45916</v>
      </c>
      <c r="B81" s="3">
        <f>Data_Entry!P171</f>
        <v>12360</v>
      </c>
      <c r="C81" s="4">
        <f>Data_Entry!V171</f>
        <v>0</v>
      </c>
      <c r="D81" s="5">
        <f t="shared" si="9"/>
        <v>0.213604313562837</v>
      </c>
      <c r="E81" s="6">
        <v>0</v>
      </c>
      <c r="F81" s="6">
        <v>0</v>
      </c>
      <c r="G81" s="7">
        <f t="shared" si="10"/>
        <v>0</v>
      </c>
      <c r="H81" s="7">
        <f t="shared" si="11"/>
        <v>0</v>
      </c>
      <c r="I81" s="8">
        <v>2411</v>
      </c>
      <c r="J81" s="9"/>
      <c r="K81" s="8">
        <f t="shared" si="12"/>
        <v>28932</v>
      </c>
      <c r="L81" s="7">
        <f t="shared" si="13"/>
        <v>0</v>
      </c>
      <c r="M81" s="10">
        <f t="shared" si="16"/>
        <v>1</v>
      </c>
      <c r="N81" s="11">
        <f t="shared" si="14"/>
        <v>0.213604313562837</v>
      </c>
      <c r="O81" s="8">
        <f t="shared" si="17"/>
        <v>12360</v>
      </c>
      <c r="P81" s="12">
        <f t="shared" si="15"/>
        <v>0</v>
      </c>
    </row>
    <row r="82" spans="1:16">
      <c r="A82" s="2">
        <v>45917</v>
      </c>
      <c r="B82" s="3">
        <f>Data_Entry!P172</f>
        <v>6330.00000000004</v>
      </c>
      <c r="C82" s="4">
        <f>Data_Entry!V172</f>
        <v>0</v>
      </c>
      <c r="D82" s="5">
        <f t="shared" si="9"/>
        <v>0.109394442140192</v>
      </c>
      <c r="E82" s="6">
        <v>0.3125</v>
      </c>
      <c r="F82" s="6">
        <v>0.5</v>
      </c>
      <c r="G82" s="7">
        <f t="shared" si="10"/>
        <v>270</v>
      </c>
      <c r="H82" s="7">
        <f t="shared" si="11"/>
        <v>4.5</v>
      </c>
      <c r="I82" s="8">
        <v>2411</v>
      </c>
      <c r="J82" s="9">
        <v>2411</v>
      </c>
      <c r="K82" s="8">
        <f t="shared" si="12"/>
        <v>28932</v>
      </c>
      <c r="L82" s="7">
        <f t="shared" si="13"/>
        <v>10849.5</v>
      </c>
      <c r="M82" s="10">
        <f t="shared" si="16"/>
        <v>0.625</v>
      </c>
      <c r="N82" s="11">
        <f t="shared" si="14"/>
        <v>0.175031107424306</v>
      </c>
      <c r="O82" s="8">
        <f t="shared" si="17"/>
        <v>10128.0000000001</v>
      </c>
      <c r="P82" s="12">
        <f t="shared" si="15"/>
        <v>3798.00000000003</v>
      </c>
    </row>
    <row r="83" spans="1:16">
      <c r="A83" s="2">
        <v>45918</v>
      </c>
      <c r="B83" s="3">
        <f>Data_Entry!P173</f>
        <v>13170</v>
      </c>
      <c r="C83" s="4">
        <f>Data_Entry!V173</f>
        <v>0</v>
      </c>
      <c r="D83" s="5">
        <f t="shared" si="9"/>
        <v>0.227602654500207</v>
      </c>
      <c r="E83" s="6">
        <v>0</v>
      </c>
      <c r="F83" s="6">
        <v>0</v>
      </c>
      <c r="G83" s="7">
        <f t="shared" si="10"/>
        <v>0</v>
      </c>
      <c r="H83" s="7">
        <f t="shared" si="11"/>
        <v>0</v>
      </c>
      <c r="I83" s="8">
        <v>2411</v>
      </c>
      <c r="J83" s="9"/>
      <c r="K83" s="8">
        <f t="shared" si="12"/>
        <v>28932</v>
      </c>
      <c r="L83" s="7">
        <f t="shared" si="13"/>
        <v>0</v>
      </c>
      <c r="M83" s="10">
        <f t="shared" si="16"/>
        <v>1</v>
      </c>
      <c r="N83" s="11">
        <f t="shared" si="14"/>
        <v>0.227602654500207</v>
      </c>
      <c r="O83" s="8">
        <f t="shared" si="17"/>
        <v>13170</v>
      </c>
      <c r="P83" s="12">
        <f t="shared" si="15"/>
        <v>0</v>
      </c>
    </row>
    <row r="84" spans="1:16">
      <c r="A84" s="2">
        <v>45919</v>
      </c>
      <c r="B84" s="3">
        <f>Data_Entry!P174</f>
        <v>12059.9999999999</v>
      </c>
      <c r="C84" s="4">
        <f>Data_Entry!V174</f>
        <v>0</v>
      </c>
      <c r="D84" s="5">
        <f t="shared" si="9"/>
        <v>0.208419742845291</v>
      </c>
      <c r="E84" s="6">
        <v>0</v>
      </c>
      <c r="F84" s="6">
        <v>0</v>
      </c>
      <c r="G84" s="7">
        <f t="shared" si="10"/>
        <v>0</v>
      </c>
      <c r="H84" s="7">
        <f t="shared" si="11"/>
        <v>0</v>
      </c>
      <c r="I84" s="8">
        <v>2411</v>
      </c>
      <c r="J84" s="9"/>
      <c r="K84" s="8">
        <f t="shared" si="12"/>
        <v>28932</v>
      </c>
      <c r="L84" s="7">
        <f t="shared" si="13"/>
        <v>0</v>
      </c>
      <c r="M84" s="10">
        <f t="shared" si="16"/>
        <v>1</v>
      </c>
      <c r="N84" s="11">
        <f t="shared" si="14"/>
        <v>0.208419742845291</v>
      </c>
      <c r="O84" s="8">
        <f t="shared" si="17"/>
        <v>12059.9999999999</v>
      </c>
      <c r="P84" s="12">
        <f t="shared" si="15"/>
        <v>0</v>
      </c>
    </row>
    <row r="85" spans="1:16">
      <c r="A85" s="2">
        <v>45920</v>
      </c>
      <c r="B85" s="3">
        <f>Data_Entry!P175</f>
        <v>6389.99999999999</v>
      </c>
      <c r="C85" s="4">
        <f>Data_Entry!V175</f>
        <v>0</v>
      </c>
      <c r="D85" s="5">
        <f t="shared" si="9"/>
        <v>0.110431356283699</v>
      </c>
      <c r="E85" s="6">
        <v>0</v>
      </c>
      <c r="F85" s="6">
        <v>0</v>
      </c>
      <c r="G85" s="7">
        <f t="shared" si="10"/>
        <v>0</v>
      </c>
      <c r="H85" s="7">
        <f t="shared" si="11"/>
        <v>0</v>
      </c>
      <c r="I85" s="8">
        <v>2411</v>
      </c>
      <c r="J85" s="9"/>
      <c r="K85" s="8">
        <f t="shared" si="12"/>
        <v>28932</v>
      </c>
      <c r="L85" s="7">
        <f t="shared" si="13"/>
        <v>0</v>
      </c>
      <c r="M85" s="10">
        <f t="shared" si="16"/>
        <v>1</v>
      </c>
      <c r="N85" s="11">
        <f t="shared" si="14"/>
        <v>0.110431356283699</v>
      </c>
      <c r="O85" s="8">
        <f t="shared" si="17"/>
        <v>6389.99999999999</v>
      </c>
      <c r="P85" s="12">
        <f t="shared" si="15"/>
        <v>0</v>
      </c>
    </row>
    <row r="86" spans="1:16">
      <c r="A86" s="2">
        <v>45921</v>
      </c>
      <c r="B86" s="3">
        <f>Data_Entry!P176</f>
        <v>9930.00000000018</v>
      </c>
      <c r="C86" s="4">
        <f>Data_Entry!V176</f>
        <v>2.9</v>
      </c>
      <c r="D86" s="5">
        <f t="shared" si="9"/>
        <v>0.171609290750729</v>
      </c>
      <c r="E86" s="6">
        <v>0</v>
      </c>
      <c r="F86" s="6">
        <v>0</v>
      </c>
      <c r="G86" s="7">
        <f t="shared" si="10"/>
        <v>0</v>
      </c>
      <c r="H86" s="7">
        <f t="shared" si="11"/>
        <v>0</v>
      </c>
      <c r="I86" s="8">
        <v>2411</v>
      </c>
      <c r="J86" s="9"/>
      <c r="K86" s="8">
        <f t="shared" si="12"/>
        <v>28932</v>
      </c>
      <c r="L86" s="7">
        <f t="shared" si="13"/>
        <v>0</v>
      </c>
      <c r="M86" s="10">
        <f t="shared" si="16"/>
        <v>1</v>
      </c>
      <c r="N86" s="11">
        <f t="shared" si="14"/>
        <v>0.171609290750729</v>
      </c>
      <c r="O86" s="8">
        <f t="shared" si="17"/>
        <v>9930.00000000018</v>
      </c>
      <c r="P86" s="12">
        <f t="shared" si="15"/>
        <v>0</v>
      </c>
    </row>
    <row r="87" spans="1:16">
      <c r="A87" s="2">
        <v>45922</v>
      </c>
      <c r="B87" s="3">
        <f>Data_Entry!P177</f>
        <v>8819.99999999982</v>
      </c>
      <c r="C87" s="4">
        <f>Data_Entry!V177</f>
        <v>3.72</v>
      </c>
      <c r="D87" s="5">
        <f t="shared" si="9"/>
        <v>0.152426379095808</v>
      </c>
      <c r="E87" s="6">
        <v>0</v>
      </c>
      <c r="F87" s="6">
        <v>0</v>
      </c>
      <c r="G87" s="7">
        <f t="shared" si="10"/>
        <v>0</v>
      </c>
      <c r="H87" s="7">
        <f t="shared" si="11"/>
        <v>0</v>
      </c>
      <c r="I87" s="8">
        <v>2411</v>
      </c>
      <c r="J87" s="9"/>
      <c r="K87" s="8">
        <f t="shared" si="12"/>
        <v>28932</v>
      </c>
      <c r="L87" s="7">
        <f t="shared" si="13"/>
        <v>0</v>
      </c>
      <c r="M87" s="10">
        <f t="shared" si="16"/>
        <v>1</v>
      </c>
      <c r="N87" s="11">
        <f t="shared" si="14"/>
        <v>0.152426379095808</v>
      </c>
      <c r="O87" s="8">
        <f t="shared" si="17"/>
        <v>8819.99999999982</v>
      </c>
      <c r="P87" s="12">
        <f t="shared" si="15"/>
        <v>0</v>
      </c>
    </row>
    <row r="88" spans="1:16">
      <c r="A88" s="2">
        <v>45923</v>
      </c>
      <c r="B88" s="3">
        <f>Data_Entry!P178</f>
        <v>13920</v>
      </c>
      <c r="C88" s="4">
        <f>Data_Entry!V178</f>
        <v>3.28</v>
      </c>
      <c r="D88" s="5">
        <f t="shared" si="9"/>
        <v>0.240564081294068</v>
      </c>
      <c r="E88" s="6">
        <v>0</v>
      </c>
      <c r="F88" s="6">
        <v>0</v>
      </c>
      <c r="G88" s="7">
        <f t="shared" si="10"/>
        <v>0</v>
      </c>
      <c r="H88" s="7">
        <f t="shared" si="11"/>
        <v>0</v>
      </c>
      <c r="I88" s="8">
        <v>2411</v>
      </c>
      <c r="J88" s="9"/>
      <c r="K88" s="8">
        <f t="shared" si="12"/>
        <v>28932</v>
      </c>
      <c r="L88" s="7">
        <f t="shared" si="13"/>
        <v>0</v>
      </c>
      <c r="M88" s="10">
        <f t="shared" si="16"/>
        <v>1</v>
      </c>
      <c r="N88" s="11">
        <f t="shared" si="14"/>
        <v>0.240564081294068</v>
      </c>
      <c r="O88" s="8">
        <f t="shared" si="17"/>
        <v>13920</v>
      </c>
      <c r="P88" s="12">
        <f t="shared" si="15"/>
        <v>0</v>
      </c>
    </row>
    <row r="89" spans="1:16">
      <c r="A89" s="2">
        <v>45924</v>
      </c>
      <c r="B89" s="3">
        <f>Data_Entry!P179</f>
        <v>11670</v>
      </c>
      <c r="C89" s="4">
        <f>Data_Entry!V179</f>
        <v>2.92</v>
      </c>
      <c r="D89" s="5">
        <f t="shared" si="9"/>
        <v>0.201679800912484</v>
      </c>
      <c r="E89" s="6">
        <v>0</v>
      </c>
      <c r="F89" s="6">
        <v>0</v>
      </c>
      <c r="G89" s="7">
        <f t="shared" si="10"/>
        <v>0</v>
      </c>
      <c r="H89" s="7">
        <f t="shared" si="11"/>
        <v>0</v>
      </c>
      <c r="I89" s="8">
        <v>2411</v>
      </c>
      <c r="J89" s="9"/>
      <c r="K89" s="8">
        <f t="shared" si="12"/>
        <v>28932</v>
      </c>
      <c r="L89" s="7">
        <f t="shared" si="13"/>
        <v>0</v>
      </c>
      <c r="M89" s="10">
        <f t="shared" si="16"/>
        <v>1</v>
      </c>
      <c r="N89" s="11">
        <f t="shared" si="14"/>
        <v>0.201679800912484</v>
      </c>
      <c r="O89" s="8">
        <f t="shared" si="17"/>
        <v>11670</v>
      </c>
      <c r="P89" s="12">
        <f t="shared" si="15"/>
        <v>0</v>
      </c>
    </row>
    <row r="90" spans="1:16">
      <c r="A90" s="2">
        <v>45925</v>
      </c>
      <c r="B90" s="3">
        <f>Data_Entry!P180</f>
        <v>11280</v>
      </c>
      <c r="C90" s="4">
        <f>Data_Entry!V180</f>
        <v>2.45</v>
      </c>
      <c r="D90" s="5">
        <f t="shared" si="9"/>
        <v>0.194939858979676</v>
      </c>
      <c r="E90" s="6">
        <v>0</v>
      </c>
      <c r="F90" s="6">
        <v>0</v>
      </c>
      <c r="G90" s="7">
        <f t="shared" si="10"/>
        <v>0</v>
      </c>
      <c r="H90" s="7">
        <f t="shared" si="11"/>
        <v>0</v>
      </c>
      <c r="I90" s="8">
        <v>2411</v>
      </c>
      <c r="J90" s="9"/>
      <c r="K90" s="8">
        <f t="shared" si="12"/>
        <v>28932</v>
      </c>
      <c r="L90" s="7">
        <f t="shared" si="13"/>
        <v>0</v>
      </c>
      <c r="M90" s="10">
        <f t="shared" si="16"/>
        <v>1</v>
      </c>
      <c r="N90" s="11">
        <f t="shared" si="14"/>
        <v>0.194939858979676</v>
      </c>
      <c r="O90" s="8">
        <f t="shared" si="17"/>
        <v>11280</v>
      </c>
      <c r="P90" s="12">
        <f t="shared" si="15"/>
        <v>0</v>
      </c>
    </row>
    <row r="91" spans="1:16">
      <c r="A91" s="2">
        <v>45926</v>
      </c>
      <c r="B91" s="3">
        <f>Data_Entry!P181</f>
        <v>10530</v>
      </c>
      <c r="C91" s="4">
        <f>Data_Entry!V181</f>
        <v>0</v>
      </c>
      <c r="D91" s="5">
        <f t="shared" si="9"/>
        <v>0.181978432185815</v>
      </c>
      <c r="E91" s="6">
        <v>0</v>
      </c>
      <c r="F91" s="6">
        <v>0</v>
      </c>
      <c r="G91" s="7">
        <f t="shared" si="10"/>
        <v>0</v>
      </c>
      <c r="H91" s="7">
        <f t="shared" si="11"/>
        <v>0</v>
      </c>
      <c r="I91" s="8">
        <v>2411</v>
      </c>
      <c r="J91" s="9"/>
      <c r="K91" s="8">
        <f t="shared" si="12"/>
        <v>28932</v>
      </c>
      <c r="L91" s="7">
        <f t="shared" si="13"/>
        <v>0</v>
      </c>
      <c r="M91" s="10">
        <f t="shared" si="16"/>
        <v>1</v>
      </c>
      <c r="N91" s="11">
        <f t="shared" si="14"/>
        <v>0.181978432185815</v>
      </c>
      <c r="O91" s="8">
        <f t="shared" si="17"/>
        <v>10530</v>
      </c>
      <c r="P91" s="12">
        <f t="shared" si="15"/>
        <v>0</v>
      </c>
    </row>
    <row r="92" spans="1:16">
      <c r="A92" s="2">
        <v>45927</v>
      </c>
      <c r="B92" s="3">
        <f>Data_Entry!P182</f>
        <v>10650.0000000002</v>
      </c>
      <c r="C92" s="4">
        <f>Data_Entry!V182</f>
        <v>0</v>
      </c>
      <c r="D92" s="5">
        <f t="shared" si="9"/>
        <v>0.184052260472836</v>
      </c>
      <c r="E92" s="6">
        <v>0</v>
      </c>
      <c r="F92" s="6">
        <v>0</v>
      </c>
      <c r="G92" s="7">
        <f t="shared" si="10"/>
        <v>0</v>
      </c>
      <c r="H92" s="7">
        <f t="shared" si="11"/>
        <v>0</v>
      </c>
      <c r="I92" s="8">
        <v>2411</v>
      </c>
      <c r="J92" s="9"/>
      <c r="K92" s="8">
        <f t="shared" si="12"/>
        <v>28932</v>
      </c>
      <c r="L92" s="7">
        <f t="shared" si="13"/>
        <v>0</v>
      </c>
      <c r="M92" s="10">
        <f t="shared" si="16"/>
        <v>1</v>
      </c>
      <c r="N92" s="11">
        <f t="shared" si="14"/>
        <v>0.184052260472836</v>
      </c>
      <c r="O92" s="8">
        <f t="shared" si="17"/>
        <v>10650.0000000002</v>
      </c>
      <c r="P92" s="12">
        <f t="shared" si="15"/>
        <v>0</v>
      </c>
    </row>
    <row r="93" spans="1:16">
      <c r="A93" s="2">
        <v>45928</v>
      </c>
      <c r="B93" s="3">
        <f>Data_Entry!P183</f>
        <v>3509.99999999988</v>
      </c>
      <c r="C93" s="4">
        <f>Data_Entry!V183</f>
        <v>0</v>
      </c>
      <c r="D93" s="5">
        <f t="shared" si="9"/>
        <v>0.0606594773952695</v>
      </c>
      <c r="E93" s="6">
        <v>0</v>
      </c>
      <c r="F93" s="6">
        <v>0</v>
      </c>
      <c r="G93" s="7">
        <f t="shared" si="10"/>
        <v>0</v>
      </c>
      <c r="H93" s="7">
        <f t="shared" si="11"/>
        <v>0</v>
      </c>
      <c r="I93" s="8">
        <v>2411</v>
      </c>
      <c r="J93" s="9"/>
      <c r="K93" s="8">
        <f t="shared" si="12"/>
        <v>28932</v>
      </c>
      <c r="L93" s="7">
        <f t="shared" si="13"/>
        <v>0</v>
      </c>
      <c r="M93" s="10">
        <f t="shared" si="16"/>
        <v>1</v>
      </c>
      <c r="N93" s="11">
        <f t="shared" si="14"/>
        <v>0.0606594773952695</v>
      </c>
      <c r="O93" s="8">
        <f t="shared" si="17"/>
        <v>3509.99999999988</v>
      </c>
      <c r="P93" s="12">
        <f t="shared" si="15"/>
        <v>0</v>
      </c>
    </row>
    <row r="94" spans="1:16">
      <c r="A94" s="2">
        <v>45929</v>
      </c>
      <c r="B94" s="3">
        <f>Data_Entry!P184</f>
        <v>3720.00000000003</v>
      </c>
      <c r="C94" s="4">
        <f>Data_Entry!V184</f>
        <v>0</v>
      </c>
      <c r="D94" s="5">
        <f t="shared" si="9"/>
        <v>0.0642886768975534</v>
      </c>
      <c r="E94" s="6">
        <v>0</v>
      </c>
      <c r="F94" s="6">
        <v>0</v>
      </c>
      <c r="G94" s="7">
        <f t="shared" si="10"/>
        <v>0</v>
      </c>
      <c r="H94" s="7">
        <f t="shared" si="11"/>
        <v>0</v>
      </c>
      <c r="I94" s="8">
        <v>2411</v>
      </c>
      <c r="J94" s="9"/>
      <c r="K94" s="8">
        <f t="shared" si="12"/>
        <v>28932</v>
      </c>
      <c r="L94" s="7">
        <f t="shared" si="13"/>
        <v>0</v>
      </c>
      <c r="M94" s="10">
        <f t="shared" si="16"/>
        <v>1</v>
      </c>
      <c r="N94" s="11">
        <f t="shared" si="14"/>
        <v>0.0642886768975534</v>
      </c>
      <c r="O94" s="8">
        <f t="shared" si="17"/>
        <v>3720.00000000003</v>
      </c>
      <c r="P94" s="12">
        <f t="shared" si="15"/>
        <v>0</v>
      </c>
    </row>
    <row r="95" spans="1:16">
      <c r="A95" s="2">
        <v>45930</v>
      </c>
      <c r="B95" s="3">
        <f>Data_Entry!P185</f>
        <v>4800.00000000007</v>
      </c>
      <c r="C95" s="4">
        <f>Data_Entry!V185</f>
        <v>0.91</v>
      </c>
      <c r="D95" s="5">
        <f t="shared" si="9"/>
        <v>0.0829531314807146</v>
      </c>
      <c r="E95" s="6">
        <v>0</v>
      </c>
      <c r="F95" s="6">
        <v>0</v>
      </c>
      <c r="G95" s="7">
        <f t="shared" si="10"/>
        <v>0</v>
      </c>
      <c r="H95" s="7">
        <f t="shared" si="11"/>
        <v>0</v>
      </c>
      <c r="I95" s="8">
        <v>2411</v>
      </c>
      <c r="J95" s="9"/>
      <c r="K95" s="8">
        <f t="shared" si="12"/>
        <v>28932</v>
      </c>
      <c r="L95" s="7">
        <f t="shared" si="13"/>
        <v>0</v>
      </c>
      <c r="M95" s="10">
        <f t="shared" si="16"/>
        <v>1</v>
      </c>
      <c r="N95" s="11">
        <f t="shared" si="14"/>
        <v>0.0829531314807146</v>
      </c>
      <c r="O95" s="8">
        <f t="shared" si="17"/>
        <v>4800.00000000007</v>
      </c>
      <c r="P95" s="12">
        <f t="shared" si="15"/>
        <v>0</v>
      </c>
    </row>
    <row r="96" spans="1:16">
      <c r="A96" s="2">
        <v>45931</v>
      </c>
      <c r="B96" s="3">
        <f>Data_Entry!P186</f>
        <v>5880.00000000011</v>
      </c>
      <c r="C96" s="4">
        <f>Data_Entry!V186</f>
        <v>1.15</v>
      </c>
      <c r="D96" s="5">
        <f t="shared" si="9"/>
        <v>0.101617586063876</v>
      </c>
      <c r="E96" s="6">
        <v>0</v>
      </c>
      <c r="F96" s="6">
        <v>0</v>
      </c>
      <c r="G96" s="7">
        <f t="shared" si="10"/>
        <v>0</v>
      </c>
      <c r="H96" s="7">
        <f t="shared" si="11"/>
        <v>0</v>
      </c>
      <c r="I96" s="8">
        <v>2411</v>
      </c>
      <c r="J96" s="9"/>
      <c r="K96" s="8">
        <f t="shared" si="12"/>
        <v>28932</v>
      </c>
      <c r="L96" s="7">
        <f t="shared" si="13"/>
        <v>0</v>
      </c>
      <c r="M96" s="10">
        <f t="shared" si="16"/>
        <v>1</v>
      </c>
      <c r="N96" s="11">
        <f t="shared" si="14"/>
        <v>0.101617586063876</v>
      </c>
      <c r="O96" s="8">
        <f t="shared" si="17"/>
        <v>5880.00000000011</v>
      </c>
      <c r="P96" s="12">
        <f t="shared" si="15"/>
        <v>0</v>
      </c>
    </row>
    <row r="97" spans="1:16">
      <c r="A97" s="2">
        <v>45932</v>
      </c>
      <c r="B97" s="3">
        <f>Data_Entry!P187</f>
        <v>7229.9999999999</v>
      </c>
      <c r="C97" s="4">
        <f>Data_Entry!V187</f>
        <v>0.94</v>
      </c>
      <c r="D97" s="5">
        <f t="shared" si="9"/>
        <v>0.124948154292823</v>
      </c>
      <c r="E97" s="6">
        <v>0</v>
      </c>
      <c r="F97" s="6">
        <v>0</v>
      </c>
      <c r="G97" s="7">
        <f t="shared" si="10"/>
        <v>0</v>
      </c>
      <c r="H97" s="7">
        <f t="shared" si="11"/>
        <v>0</v>
      </c>
      <c r="I97" s="8">
        <v>2411</v>
      </c>
      <c r="J97" s="9"/>
      <c r="K97" s="8">
        <f t="shared" si="12"/>
        <v>28932</v>
      </c>
      <c r="L97" s="7">
        <f t="shared" si="13"/>
        <v>0</v>
      </c>
      <c r="M97" s="10">
        <f t="shared" si="16"/>
        <v>1</v>
      </c>
      <c r="N97" s="11">
        <f t="shared" si="14"/>
        <v>0.124948154292823</v>
      </c>
      <c r="O97" s="8">
        <f t="shared" si="17"/>
        <v>7229.9999999999</v>
      </c>
      <c r="P97" s="12">
        <f t="shared" si="15"/>
        <v>0</v>
      </c>
    </row>
    <row r="98" spans="1:16">
      <c r="A98" s="2">
        <v>45933</v>
      </c>
      <c r="B98" s="3">
        <f>Data_Entry!P188</f>
        <v>8789.99999999985</v>
      </c>
      <c r="C98" s="4">
        <f>Data_Entry!V188</f>
        <v>4.89</v>
      </c>
      <c r="D98" s="5">
        <f t="shared" si="9"/>
        <v>0.151907922024054</v>
      </c>
      <c r="E98" s="6">
        <v>0</v>
      </c>
      <c r="F98" s="6">
        <v>0</v>
      </c>
      <c r="G98" s="7">
        <f t="shared" si="10"/>
        <v>0</v>
      </c>
      <c r="H98" s="7">
        <f t="shared" si="11"/>
        <v>0</v>
      </c>
      <c r="I98" s="8">
        <v>2411</v>
      </c>
      <c r="J98" s="9"/>
      <c r="K98" s="8">
        <f t="shared" si="12"/>
        <v>28932</v>
      </c>
      <c r="L98" s="7">
        <f t="shared" si="13"/>
        <v>0</v>
      </c>
      <c r="M98" s="10">
        <f t="shared" si="16"/>
        <v>1</v>
      </c>
      <c r="N98" s="11">
        <f t="shared" si="14"/>
        <v>0.151907922024054</v>
      </c>
      <c r="O98" s="8">
        <f t="shared" si="17"/>
        <v>8789.99999999985</v>
      </c>
      <c r="P98" s="12">
        <f t="shared" si="15"/>
        <v>0</v>
      </c>
    </row>
    <row r="99" spans="1:16">
      <c r="A99" s="2">
        <v>45934</v>
      </c>
      <c r="B99" s="3">
        <f>Data_Entry!P189</f>
        <v>12330</v>
      </c>
      <c r="C99" s="4">
        <f>Data_Entry!V189</f>
        <v>1.13</v>
      </c>
      <c r="D99" s="5">
        <f t="shared" si="9"/>
        <v>0.213085856491083</v>
      </c>
      <c r="E99" s="6">
        <v>0</v>
      </c>
      <c r="F99" s="6">
        <v>0</v>
      </c>
      <c r="G99" s="7">
        <f t="shared" si="10"/>
        <v>0</v>
      </c>
      <c r="H99" s="7">
        <f t="shared" si="11"/>
        <v>0</v>
      </c>
      <c r="I99" s="8">
        <v>2411</v>
      </c>
      <c r="J99" s="9"/>
      <c r="K99" s="8">
        <f t="shared" si="12"/>
        <v>28932</v>
      </c>
      <c r="L99" s="7">
        <f t="shared" si="13"/>
        <v>0</v>
      </c>
      <c r="M99" s="10">
        <f t="shared" si="16"/>
        <v>1</v>
      </c>
      <c r="N99" s="11">
        <f t="shared" si="14"/>
        <v>0.213085856491083</v>
      </c>
      <c r="O99" s="8">
        <f t="shared" si="17"/>
        <v>12330</v>
      </c>
      <c r="P99" s="12">
        <f t="shared" si="15"/>
        <v>0</v>
      </c>
    </row>
    <row r="100" spans="1:16">
      <c r="A100" s="2">
        <v>45935</v>
      </c>
      <c r="B100" s="3">
        <f>Data_Entry!P190</f>
        <v>11520.0000000001</v>
      </c>
      <c r="C100" s="4">
        <f>Data_Entry!V190</f>
        <v>1.13</v>
      </c>
      <c r="D100" s="5">
        <f t="shared" si="9"/>
        <v>0.199087515553714</v>
      </c>
      <c r="E100" s="6">
        <v>0</v>
      </c>
      <c r="F100" s="6">
        <v>0</v>
      </c>
      <c r="G100" s="7">
        <f t="shared" si="10"/>
        <v>0</v>
      </c>
      <c r="H100" s="7">
        <f t="shared" si="11"/>
        <v>0</v>
      </c>
      <c r="I100" s="8">
        <v>2411</v>
      </c>
      <c r="J100" s="9"/>
      <c r="K100" s="8">
        <f t="shared" si="12"/>
        <v>28932</v>
      </c>
      <c r="L100" s="7">
        <f t="shared" si="13"/>
        <v>0</v>
      </c>
      <c r="M100" s="10">
        <f t="shared" si="16"/>
        <v>1</v>
      </c>
      <c r="N100" s="11">
        <f t="shared" si="14"/>
        <v>0.199087515553714</v>
      </c>
      <c r="O100" s="8">
        <f t="shared" si="17"/>
        <v>11520.0000000001</v>
      </c>
      <c r="P100" s="12">
        <f t="shared" si="15"/>
        <v>0</v>
      </c>
    </row>
    <row r="101" spans="1:16">
      <c r="A101" s="2">
        <v>45936</v>
      </c>
      <c r="B101" s="3">
        <f>Data_Entry!P191</f>
        <v>9569.99999999982</v>
      </c>
      <c r="C101" s="4">
        <f>Data_Entry!V191</f>
        <v>0.84</v>
      </c>
      <c r="D101" s="5">
        <f t="shared" si="9"/>
        <v>0.165387805889669</v>
      </c>
      <c r="E101" s="6">
        <v>0</v>
      </c>
      <c r="F101" s="6">
        <v>0</v>
      </c>
      <c r="G101" s="7">
        <f t="shared" si="10"/>
        <v>0</v>
      </c>
      <c r="H101" s="7">
        <f t="shared" si="11"/>
        <v>0</v>
      </c>
      <c r="I101" s="8">
        <v>2411</v>
      </c>
      <c r="J101" s="9"/>
      <c r="K101" s="8">
        <f t="shared" si="12"/>
        <v>28932</v>
      </c>
      <c r="L101" s="7">
        <f t="shared" si="13"/>
        <v>0</v>
      </c>
      <c r="M101" s="10">
        <f t="shared" si="16"/>
        <v>1</v>
      </c>
      <c r="N101" s="11">
        <f t="shared" si="14"/>
        <v>0.165387805889669</v>
      </c>
      <c r="O101" s="8">
        <f t="shared" si="17"/>
        <v>9569.99999999982</v>
      </c>
      <c r="P101" s="12">
        <f t="shared" si="15"/>
        <v>0</v>
      </c>
    </row>
    <row r="102" spans="1:16">
      <c r="A102" s="2">
        <v>45937</v>
      </c>
      <c r="B102" s="3">
        <f>Data_Entry!P192</f>
        <v>12180.0000000002</v>
      </c>
      <c r="C102" s="4">
        <f>Data_Entry!V192</f>
        <v>0</v>
      </c>
      <c r="D102" s="5">
        <f t="shared" si="9"/>
        <v>0.210493571132313</v>
      </c>
      <c r="E102" s="6">
        <v>0</v>
      </c>
      <c r="F102" s="6">
        <v>0</v>
      </c>
      <c r="G102" s="7">
        <f t="shared" si="10"/>
        <v>0</v>
      </c>
      <c r="H102" s="7">
        <f t="shared" si="11"/>
        <v>0</v>
      </c>
      <c r="I102" s="8">
        <v>2411</v>
      </c>
      <c r="J102" s="9"/>
      <c r="K102" s="8">
        <f t="shared" si="12"/>
        <v>28932</v>
      </c>
      <c r="L102" s="7">
        <f t="shared" si="13"/>
        <v>0</v>
      </c>
      <c r="M102" s="10">
        <f t="shared" si="16"/>
        <v>1</v>
      </c>
      <c r="N102" s="11">
        <f t="shared" si="14"/>
        <v>0.210493571132313</v>
      </c>
      <c r="O102" s="8">
        <f t="shared" si="17"/>
        <v>12180.0000000002</v>
      </c>
      <c r="P102" s="12">
        <f t="shared" si="15"/>
        <v>0</v>
      </c>
    </row>
    <row r="103" spans="1:16">
      <c r="A103" s="2">
        <v>45938</v>
      </c>
      <c r="B103" s="3">
        <f>Data_Entry!P193</f>
        <v>11280</v>
      </c>
      <c r="C103" s="4">
        <f>Data_Entry!V193</f>
        <v>0</v>
      </c>
      <c r="D103" s="5">
        <f t="shared" si="9"/>
        <v>0.194939858979676</v>
      </c>
      <c r="E103" s="6">
        <v>0</v>
      </c>
      <c r="F103" s="6">
        <v>0</v>
      </c>
      <c r="G103" s="7">
        <f t="shared" si="10"/>
        <v>0</v>
      </c>
      <c r="H103" s="7">
        <f t="shared" si="11"/>
        <v>0</v>
      </c>
      <c r="I103" s="8">
        <v>2411</v>
      </c>
      <c r="J103" s="9"/>
      <c r="K103" s="8">
        <f t="shared" si="12"/>
        <v>28932</v>
      </c>
      <c r="L103" s="7">
        <f t="shared" si="13"/>
        <v>0</v>
      </c>
      <c r="M103" s="10">
        <f t="shared" si="16"/>
        <v>1</v>
      </c>
      <c r="N103" s="11">
        <f t="shared" si="14"/>
        <v>0.194939858979676</v>
      </c>
      <c r="O103" s="8">
        <f t="shared" si="17"/>
        <v>11280</v>
      </c>
      <c r="P103" s="12">
        <f t="shared" si="15"/>
        <v>0</v>
      </c>
    </row>
    <row r="104" spans="1:16">
      <c r="A104" s="2">
        <v>45939</v>
      </c>
      <c r="B104" s="3">
        <f>Data_Entry!P194</f>
        <v>10380.0000000001</v>
      </c>
      <c r="C104" s="4">
        <f>Data_Entry!V194</f>
        <v>0</v>
      </c>
      <c r="D104" s="5">
        <f t="shared" si="9"/>
        <v>0.179386146827045</v>
      </c>
      <c r="E104" s="6">
        <v>0</v>
      </c>
      <c r="F104" s="6">
        <v>0</v>
      </c>
      <c r="G104" s="7">
        <f t="shared" si="10"/>
        <v>0</v>
      </c>
      <c r="H104" s="7">
        <f t="shared" si="11"/>
        <v>0</v>
      </c>
      <c r="I104" s="8">
        <v>2411</v>
      </c>
      <c r="J104" s="9"/>
      <c r="K104" s="8">
        <f t="shared" si="12"/>
        <v>28932</v>
      </c>
      <c r="L104" s="7">
        <f t="shared" si="13"/>
        <v>0</v>
      </c>
      <c r="M104" s="10">
        <f t="shared" si="16"/>
        <v>1</v>
      </c>
      <c r="N104" s="11">
        <f t="shared" si="14"/>
        <v>0.179386146827045</v>
      </c>
      <c r="O104" s="8">
        <f t="shared" si="17"/>
        <v>10380.0000000001</v>
      </c>
      <c r="P104" s="12">
        <f t="shared" si="15"/>
        <v>0</v>
      </c>
    </row>
    <row r="105" spans="1:16">
      <c r="A105" s="2">
        <v>45940</v>
      </c>
      <c r="B105" s="3">
        <f>Data_Entry!P195</f>
        <v>11940.0000000001</v>
      </c>
      <c r="C105" s="4">
        <f>Data_Entry!V195</f>
        <v>0</v>
      </c>
      <c r="D105" s="5">
        <f t="shared" si="9"/>
        <v>0.206345914558276</v>
      </c>
      <c r="E105" s="6">
        <v>0</v>
      </c>
      <c r="F105" s="6">
        <v>0</v>
      </c>
      <c r="G105" s="7">
        <f t="shared" si="10"/>
        <v>0</v>
      </c>
      <c r="H105" s="7">
        <f t="shared" si="11"/>
        <v>0</v>
      </c>
      <c r="I105" s="8">
        <v>2411</v>
      </c>
      <c r="J105" s="9"/>
      <c r="K105" s="8">
        <f t="shared" si="12"/>
        <v>28932</v>
      </c>
      <c r="L105" s="7">
        <f t="shared" si="13"/>
        <v>0</v>
      </c>
      <c r="M105" s="10">
        <f t="shared" si="16"/>
        <v>1</v>
      </c>
      <c r="N105" s="11">
        <f t="shared" si="14"/>
        <v>0.206345914558276</v>
      </c>
      <c r="O105" s="8">
        <f t="shared" si="17"/>
        <v>11940.0000000001</v>
      </c>
      <c r="P105" s="12">
        <f t="shared" si="15"/>
        <v>0</v>
      </c>
    </row>
    <row r="106" spans="1:16">
      <c r="A106" s="2">
        <v>45941</v>
      </c>
      <c r="B106" s="3">
        <f>Data_Entry!P196</f>
        <v>9569.99999999982</v>
      </c>
      <c r="C106" s="4">
        <f>Data_Entry!V196</f>
        <v>0</v>
      </c>
      <c r="D106" s="5">
        <f t="shared" si="9"/>
        <v>0.165387805889669</v>
      </c>
      <c r="E106" s="6">
        <v>0.53125</v>
      </c>
      <c r="F106" s="6">
        <v>0.604166666666667</v>
      </c>
      <c r="G106" s="7">
        <f t="shared" si="10"/>
        <v>105</v>
      </c>
      <c r="H106" s="7">
        <f t="shared" si="11"/>
        <v>1.75000000000001</v>
      </c>
      <c r="I106" s="8">
        <v>2411</v>
      </c>
      <c r="J106" s="9">
        <v>2411</v>
      </c>
      <c r="K106" s="8">
        <f t="shared" si="12"/>
        <v>28932</v>
      </c>
      <c r="L106" s="7">
        <f t="shared" si="13"/>
        <v>4219.25000000002</v>
      </c>
      <c r="M106" s="10">
        <f t="shared" si="16"/>
        <v>0.854166666666666</v>
      </c>
      <c r="N106" s="11">
        <f t="shared" si="14"/>
        <v>0.193624748358637</v>
      </c>
      <c r="O106" s="8">
        <f t="shared" si="17"/>
        <v>11203.9024390242</v>
      </c>
      <c r="P106" s="12">
        <f t="shared" si="15"/>
        <v>1633.90243902437</v>
      </c>
    </row>
    <row r="107" spans="1:16">
      <c r="A107" s="2">
        <v>45942</v>
      </c>
      <c r="B107" s="3">
        <f>Data_Entry!P197</f>
        <v>12839.9999999999</v>
      </c>
      <c r="C107" s="4">
        <f>Data_Entry!V197</f>
        <v>0</v>
      </c>
      <c r="D107" s="5">
        <f t="shared" si="9"/>
        <v>0.221899626710907</v>
      </c>
      <c r="E107" s="6">
        <v>0</v>
      </c>
      <c r="F107" s="6">
        <v>0</v>
      </c>
      <c r="G107" s="7">
        <f t="shared" si="10"/>
        <v>0</v>
      </c>
      <c r="H107" s="7">
        <f t="shared" si="11"/>
        <v>0</v>
      </c>
      <c r="I107" s="8">
        <v>2411</v>
      </c>
      <c r="J107" s="9"/>
      <c r="K107" s="8">
        <f t="shared" si="12"/>
        <v>28932</v>
      </c>
      <c r="L107" s="7">
        <f t="shared" si="13"/>
        <v>0</v>
      </c>
      <c r="M107" s="10">
        <f t="shared" si="16"/>
        <v>1</v>
      </c>
      <c r="N107" s="11">
        <f t="shared" si="14"/>
        <v>0.221899626710907</v>
      </c>
      <c r="O107" s="8">
        <f t="shared" si="17"/>
        <v>12839.9999999999</v>
      </c>
      <c r="P107" s="12">
        <f t="shared" si="15"/>
        <v>0</v>
      </c>
    </row>
    <row r="108" spans="1:16">
      <c r="A108" s="2">
        <v>45943</v>
      </c>
      <c r="B108" s="3">
        <f>Data_Entry!P198</f>
        <v>12360</v>
      </c>
      <c r="C108" s="4">
        <f>Data_Entry!V198</f>
        <v>0</v>
      </c>
      <c r="D108" s="5">
        <f t="shared" si="9"/>
        <v>0.213604313562837</v>
      </c>
      <c r="E108" s="6">
        <v>0</v>
      </c>
      <c r="F108" s="6">
        <v>0</v>
      </c>
      <c r="G108" s="7">
        <f t="shared" si="10"/>
        <v>0</v>
      </c>
      <c r="H108" s="7">
        <f t="shared" si="11"/>
        <v>0</v>
      </c>
      <c r="I108" s="8">
        <v>2411</v>
      </c>
      <c r="J108" s="9"/>
      <c r="K108" s="8">
        <f t="shared" si="12"/>
        <v>28932</v>
      </c>
      <c r="L108" s="7">
        <f t="shared" si="13"/>
        <v>0</v>
      </c>
      <c r="M108" s="10">
        <f t="shared" si="16"/>
        <v>1</v>
      </c>
      <c r="N108" s="11">
        <f t="shared" si="14"/>
        <v>0.213604313562837</v>
      </c>
      <c r="O108" s="8">
        <f t="shared" si="17"/>
        <v>12360</v>
      </c>
      <c r="P108" s="12">
        <f t="shared" si="15"/>
        <v>0</v>
      </c>
    </row>
    <row r="109" spans="1:16">
      <c r="A109" s="2">
        <v>45944</v>
      </c>
      <c r="B109" s="3">
        <f>Data_Entry!P199</f>
        <v>12600.0000000001</v>
      </c>
      <c r="C109" s="4">
        <f>Data_Entry!V199</f>
        <v>0</v>
      </c>
      <c r="D109" s="5">
        <f t="shared" si="9"/>
        <v>0.217751970136875</v>
      </c>
      <c r="E109" s="6">
        <v>0</v>
      </c>
      <c r="F109" s="6">
        <v>0</v>
      </c>
      <c r="G109" s="7">
        <f t="shared" si="10"/>
        <v>0</v>
      </c>
      <c r="H109" s="7">
        <f t="shared" si="11"/>
        <v>0</v>
      </c>
      <c r="I109" s="8">
        <v>2411</v>
      </c>
      <c r="J109" s="9"/>
      <c r="K109" s="8">
        <f t="shared" si="12"/>
        <v>28932</v>
      </c>
      <c r="L109" s="7">
        <f t="shared" si="13"/>
        <v>0</v>
      </c>
      <c r="M109" s="10">
        <f t="shared" si="16"/>
        <v>1</v>
      </c>
      <c r="N109" s="11">
        <f t="shared" si="14"/>
        <v>0.217751970136875</v>
      </c>
      <c r="O109" s="8">
        <f t="shared" si="17"/>
        <v>12600.0000000001</v>
      </c>
      <c r="P109" s="12">
        <f t="shared" si="15"/>
        <v>0</v>
      </c>
    </row>
    <row r="110" spans="1:16">
      <c r="A110" s="2">
        <v>45945</v>
      </c>
      <c r="B110" s="3">
        <f>Data_Entry!P200</f>
        <v>12750</v>
      </c>
      <c r="C110" s="4">
        <f>Data_Entry!V200</f>
        <v>0</v>
      </c>
      <c r="D110" s="5">
        <f t="shared" si="9"/>
        <v>0.220344255495645</v>
      </c>
      <c r="E110" s="6">
        <v>0</v>
      </c>
      <c r="F110" s="6">
        <v>0</v>
      </c>
      <c r="G110" s="7">
        <f t="shared" si="10"/>
        <v>0</v>
      </c>
      <c r="H110" s="7">
        <f t="shared" si="11"/>
        <v>0</v>
      </c>
      <c r="I110" s="8">
        <v>2411</v>
      </c>
      <c r="J110" s="9"/>
      <c r="K110" s="8">
        <f t="shared" si="12"/>
        <v>28932</v>
      </c>
      <c r="L110" s="7">
        <f t="shared" si="13"/>
        <v>0</v>
      </c>
      <c r="M110" s="10">
        <f t="shared" si="16"/>
        <v>1</v>
      </c>
      <c r="N110" s="11">
        <f t="shared" si="14"/>
        <v>0.220344255495645</v>
      </c>
      <c r="O110" s="8">
        <f t="shared" si="17"/>
        <v>12750</v>
      </c>
      <c r="P110" s="12">
        <f t="shared" si="15"/>
        <v>0</v>
      </c>
    </row>
    <row r="111" spans="1:16">
      <c r="A111" s="2">
        <v>45946</v>
      </c>
      <c r="B111" s="3">
        <f>Data_Entry!P201</f>
        <v>10470</v>
      </c>
      <c r="C111" s="4">
        <f>Data_Entry!V201</f>
        <v>0</v>
      </c>
      <c r="D111" s="5">
        <f t="shared" si="9"/>
        <v>0.180941518042307</v>
      </c>
      <c r="E111" s="6">
        <v>0</v>
      </c>
      <c r="F111" s="6">
        <v>0</v>
      </c>
      <c r="G111" s="7">
        <f t="shared" si="10"/>
        <v>0</v>
      </c>
      <c r="H111" s="7">
        <f t="shared" si="11"/>
        <v>0</v>
      </c>
      <c r="I111" s="8">
        <v>2411</v>
      </c>
      <c r="J111" s="9"/>
      <c r="K111" s="8">
        <f t="shared" si="12"/>
        <v>28932</v>
      </c>
      <c r="L111" s="7">
        <f t="shared" si="13"/>
        <v>0</v>
      </c>
      <c r="M111" s="10">
        <f t="shared" si="16"/>
        <v>1</v>
      </c>
      <c r="N111" s="11">
        <f t="shared" si="14"/>
        <v>0.180941518042307</v>
      </c>
      <c r="O111" s="8">
        <f t="shared" si="17"/>
        <v>10470</v>
      </c>
      <c r="P111" s="12">
        <f t="shared" si="15"/>
        <v>0</v>
      </c>
    </row>
    <row r="112" spans="1:16">
      <c r="A112" s="2">
        <v>45947</v>
      </c>
      <c r="B112" s="3">
        <f>Data_Entry!P202</f>
        <v>11550.0000000001</v>
      </c>
      <c r="C112" s="4">
        <f>Data_Entry!V202</f>
        <v>0</v>
      </c>
      <c r="D112" s="5">
        <f t="shared" si="9"/>
        <v>0.199605972625468</v>
      </c>
      <c r="E112" s="6">
        <v>0</v>
      </c>
      <c r="F112" s="6">
        <v>0</v>
      </c>
      <c r="G112" s="7">
        <f t="shared" si="10"/>
        <v>0</v>
      </c>
      <c r="H112" s="7">
        <f t="shared" si="11"/>
        <v>0</v>
      </c>
      <c r="I112" s="8">
        <v>2411</v>
      </c>
      <c r="J112" s="9"/>
      <c r="K112" s="8">
        <f t="shared" si="12"/>
        <v>28932</v>
      </c>
      <c r="L112" s="7">
        <f t="shared" si="13"/>
        <v>0</v>
      </c>
      <c r="M112" s="10">
        <f t="shared" si="16"/>
        <v>1</v>
      </c>
      <c r="N112" s="11">
        <f t="shared" si="14"/>
        <v>0.199605972625468</v>
      </c>
      <c r="O112" s="8">
        <f t="shared" si="17"/>
        <v>11550.0000000001</v>
      </c>
      <c r="P112" s="12">
        <f t="shared" si="15"/>
        <v>0</v>
      </c>
    </row>
    <row r="113" spans="1:16">
      <c r="A113" s="2">
        <v>45948</v>
      </c>
      <c r="B113" s="3">
        <f>Data_Entry!P203</f>
        <v>12629.9999999998</v>
      </c>
      <c r="C113" s="4">
        <f>Data_Entry!V203</f>
        <v>0</v>
      </c>
      <c r="D113" s="5">
        <f t="shared" si="9"/>
        <v>0.218270427208623</v>
      </c>
      <c r="E113" s="6">
        <v>0</v>
      </c>
      <c r="F113" s="6">
        <v>0</v>
      </c>
      <c r="G113" s="7">
        <f t="shared" si="10"/>
        <v>0</v>
      </c>
      <c r="H113" s="7">
        <f t="shared" si="11"/>
        <v>0</v>
      </c>
      <c r="I113" s="8">
        <v>2411</v>
      </c>
      <c r="J113" s="9"/>
      <c r="K113" s="8">
        <f t="shared" si="12"/>
        <v>28932</v>
      </c>
      <c r="L113" s="7">
        <f t="shared" si="13"/>
        <v>0</v>
      </c>
      <c r="M113" s="10">
        <f t="shared" si="16"/>
        <v>1</v>
      </c>
      <c r="N113" s="11">
        <f t="shared" si="14"/>
        <v>0.218270427208623</v>
      </c>
      <c r="O113" s="8">
        <f t="shared" si="17"/>
        <v>12629.9999999998</v>
      </c>
      <c r="P113" s="12">
        <f t="shared" si="15"/>
        <v>0</v>
      </c>
    </row>
    <row r="114" spans="1:16">
      <c r="A114" s="2">
        <v>45949</v>
      </c>
      <c r="B114" s="3">
        <f>Data_Entry!P204</f>
        <v>11790.0000000002</v>
      </c>
      <c r="C114" s="4">
        <f>Data_Entry!V204</f>
        <v>0</v>
      </c>
      <c r="D114" s="5">
        <f t="shared" si="9"/>
        <v>0.203753629199506</v>
      </c>
      <c r="E114" s="6">
        <v>0</v>
      </c>
      <c r="F114" s="6">
        <v>0</v>
      </c>
      <c r="G114" s="7">
        <f t="shared" si="10"/>
        <v>0</v>
      </c>
      <c r="H114" s="7">
        <f t="shared" si="11"/>
        <v>0</v>
      </c>
      <c r="I114" s="8">
        <v>2411</v>
      </c>
      <c r="J114" s="9"/>
      <c r="K114" s="8">
        <f t="shared" si="12"/>
        <v>28932</v>
      </c>
      <c r="L114" s="7">
        <f t="shared" si="13"/>
        <v>0</v>
      </c>
      <c r="M114" s="10">
        <f t="shared" si="16"/>
        <v>1</v>
      </c>
      <c r="N114" s="11">
        <f t="shared" si="14"/>
        <v>0.203753629199506</v>
      </c>
      <c r="O114" s="8">
        <f t="shared" si="17"/>
        <v>11790.0000000002</v>
      </c>
      <c r="P114" s="12">
        <f t="shared" si="15"/>
        <v>0</v>
      </c>
    </row>
    <row r="115" spans="1:16">
      <c r="A115" s="2">
        <v>45950</v>
      </c>
      <c r="B115" s="3">
        <f>Data_Entry!P205</f>
        <v>11699.9999999999</v>
      </c>
      <c r="C115" s="4">
        <f>Data_Entry!V205</f>
        <v>0</v>
      </c>
      <c r="D115" s="5">
        <f t="shared" si="9"/>
        <v>0.202198257984238</v>
      </c>
      <c r="E115" s="6">
        <v>0</v>
      </c>
      <c r="F115" s="6">
        <v>0</v>
      </c>
      <c r="G115" s="7">
        <f t="shared" si="10"/>
        <v>0</v>
      </c>
      <c r="H115" s="7">
        <f t="shared" si="11"/>
        <v>0</v>
      </c>
      <c r="I115" s="8">
        <v>2411</v>
      </c>
      <c r="J115" s="9"/>
      <c r="K115" s="8">
        <f t="shared" si="12"/>
        <v>28932</v>
      </c>
      <c r="L115" s="7">
        <f t="shared" si="13"/>
        <v>0</v>
      </c>
      <c r="M115" s="10">
        <f t="shared" si="16"/>
        <v>1</v>
      </c>
      <c r="N115" s="11">
        <f t="shared" si="14"/>
        <v>0.202198257984238</v>
      </c>
      <c r="O115" s="8">
        <f t="shared" si="17"/>
        <v>11699.9999999999</v>
      </c>
      <c r="P115" s="12">
        <f t="shared" si="15"/>
        <v>0</v>
      </c>
    </row>
    <row r="116" spans="1:16">
      <c r="A116" s="2">
        <v>45951</v>
      </c>
      <c r="B116" s="3">
        <f>Data_Entry!P206</f>
        <v>10020.0000000001</v>
      </c>
      <c r="C116" s="4">
        <f>Data_Entry!V206</f>
        <v>0</v>
      </c>
      <c r="D116" s="5">
        <f t="shared" si="9"/>
        <v>0.173164661965991</v>
      </c>
      <c r="E116" s="6">
        <v>0</v>
      </c>
      <c r="F116" s="6">
        <v>0</v>
      </c>
      <c r="G116" s="7">
        <f t="shared" si="10"/>
        <v>0</v>
      </c>
      <c r="H116" s="7">
        <f t="shared" si="11"/>
        <v>0</v>
      </c>
      <c r="I116" s="8">
        <v>2411</v>
      </c>
      <c r="J116" s="9"/>
      <c r="K116" s="8">
        <f t="shared" si="12"/>
        <v>28932</v>
      </c>
      <c r="L116" s="7">
        <f t="shared" si="13"/>
        <v>0</v>
      </c>
      <c r="M116" s="10">
        <f t="shared" si="16"/>
        <v>1</v>
      </c>
      <c r="N116" s="11">
        <f t="shared" si="14"/>
        <v>0.173164661965991</v>
      </c>
      <c r="O116" s="8">
        <f t="shared" si="17"/>
        <v>10020.0000000001</v>
      </c>
      <c r="P116" s="12">
        <f t="shared" si="15"/>
        <v>0</v>
      </c>
    </row>
    <row r="117" spans="1:16">
      <c r="A117" s="2">
        <v>45952</v>
      </c>
      <c r="B117" s="3">
        <f>Data_Entry!P207</f>
        <v>11099.9999999998</v>
      </c>
      <c r="C117" s="4">
        <f>Data_Entry!V207</f>
        <v>0</v>
      </c>
      <c r="D117" s="5">
        <f t="shared" si="9"/>
        <v>0.191829116549146</v>
      </c>
      <c r="E117" s="6">
        <v>0</v>
      </c>
      <c r="F117" s="6">
        <v>0</v>
      </c>
      <c r="G117" s="7">
        <f t="shared" si="10"/>
        <v>0</v>
      </c>
      <c r="H117" s="7">
        <f t="shared" si="11"/>
        <v>0</v>
      </c>
      <c r="I117" s="8">
        <v>2411</v>
      </c>
      <c r="J117" s="9"/>
      <c r="K117" s="8">
        <f t="shared" si="12"/>
        <v>28932</v>
      </c>
      <c r="L117" s="7">
        <f t="shared" si="13"/>
        <v>0</v>
      </c>
      <c r="M117" s="10">
        <f t="shared" si="16"/>
        <v>1</v>
      </c>
      <c r="N117" s="11">
        <f t="shared" si="14"/>
        <v>0.191829116549146</v>
      </c>
      <c r="O117" s="8">
        <f t="shared" si="17"/>
        <v>11099.9999999998</v>
      </c>
      <c r="P117" s="12">
        <f t="shared" si="15"/>
        <v>0</v>
      </c>
    </row>
    <row r="118" spans="1:16">
      <c r="A118" s="2">
        <v>45953</v>
      </c>
      <c r="B118" s="3">
        <f>Data_Entry!P208</f>
        <v>10830</v>
      </c>
      <c r="C118" s="4">
        <f>Data_Entry!V208</f>
        <v>0</v>
      </c>
      <c r="D118" s="5">
        <f t="shared" si="9"/>
        <v>0.18716300290336</v>
      </c>
      <c r="E118" s="6">
        <v>0</v>
      </c>
      <c r="F118" s="6">
        <v>0</v>
      </c>
      <c r="G118" s="7">
        <f t="shared" si="10"/>
        <v>0</v>
      </c>
      <c r="H118" s="7">
        <f t="shared" si="11"/>
        <v>0</v>
      </c>
      <c r="I118" s="8">
        <v>2411</v>
      </c>
      <c r="J118" s="9"/>
      <c r="K118" s="8">
        <f t="shared" si="12"/>
        <v>28932</v>
      </c>
      <c r="L118" s="7">
        <f t="shared" si="13"/>
        <v>0</v>
      </c>
      <c r="M118" s="10">
        <f t="shared" si="16"/>
        <v>1</v>
      </c>
      <c r="N118" s="11">
        <f t="shared" si="14"/>
        <v>0.18716300290336</v>
      </c>
      <c r="O118" s="8">
        <f t="shared" si="17"/>
        <v>10830</v>
      </c>
      <c r="P118" s="12">
        <f t="shared" si="15"/>
        <v>0</v>
      </c>
    </row>
    <row r="119" spans="1:16">
      <c r="A119" s="2">
        <v>45954</v>
      </c>
      <c r="B119" s="3">
        <f>Data_Entry!P209</f>
        <v>10470</v>
      </c>
      <c r="C119" s="4">
        <f>Data_Entry!V209</f>
        <v>0</v>
      </c>
      <c r="D119" s="5">
        <f t="shared" si="9"/>
        <v>0.180941518042307</v>
      </c>
      <c r="E119" s="6">
        <v>0</v>
      </c>
      <c r="F119" s="6">
        <v>0</v>
      </c>
      <c r="G119" s="7">
        <f t="shared" si="10"/>
        <v>0</v>
      </c>
      <c r="H119" s="7">
        <f t="shared" si="11"/>
        <v>0</v>
      </c>
      <c r="I119" s="8">
        <v>2411</v>
      </c>
      <c r="J119" s="9"/>
      <c r="K119" s="8">
        <f t="shared" si="12"/>
        <v>28932</v>
      </c>
      <c r="L119" s="7">
        <f t="shared" si="13"/>
        <v>0</v>
      </c>
      <c r="M119" s="10">
        <f t="shared" si="16"/>
        <v>1</v>
      </c>
      <c r="N119" s="11">
        <f t="shared" si="14"/>
        <v>0.180941518042307</v>
      </c>
      <c r="O119" s="8">
        <f t="shared" si="17"/>
        <v>10470</v>
      </c>
      <c r="P119" s="12">
        <f t="shared" si="15"/>
        <v>0</v>
      </c>
    </row>
    <row r="120" spans="1:16">
      <c r="A120" s="2">
        <v>45955</v>
      </c>
      <c r="B120" s="3">
        <f>Data_Entry!P210</f>
        <v>10800.0000000001</v>
      </c>
      <c r="C120" s="4">
        <f>Data_Entry!V210</f>
        <v>0</v>
      </c>
      <c r="D120" s="5">
        <f t="shared" si="9"/>
        <v>0.186644545831606</v>
      </c>
      <c r="E120" s="6">
        <v>0</v>
      </c>
      <c r="F120" s="6">
        <v>0</v>
      </c>
      <c r="G120" s="7">
        <f t="shared" si="10"/>
        <v>0</v>
      </c>
      <c r="H120" s="7">
        <f t="shared" si="11"/>
        <v>0</v>
      </c>
      <c r="I120" s="8">
        <v>2411</v>
      </c>
      <c r="J120" s="9"/>
      <c r="K120" s="8">
        <f t="shared" si="12"/>
        <v>28932</v>
      </c>
      <c r="L120" s="7">
        <f t="shared" si="13"/>
        <v>0</v>
      </c>
      <c r="M120" s="10">
        <f t="shared" si="16"/>
        <v>1</v>
      </c>
      <c r="N120" s="11">
        <f t="shared" si="14"/>
        <v>0.186644545831606</v>
      </c>
      <c r="O120" s="8">
        <f t="shared" si="17"/>
        <v>10800.0000000001</v>
      </c>
      <c r="P120" s="12">
        <f t="shared" si="15"/>
        <v>0</v>
      </c>
    </row>
    <row r="121" spans="1:16">
      <c r="A121" s="2">
        <v>45956</v>
      </c>
      <c r="B121" s="3">
        <f>Data_Entry!P211</f>
        <v>2580.00000000004</v>
      </c>
      <c r="C121" s="4">
        <f>Data_Entry!V211</f>
        <v>0</v>
      </c>
      <c r="D121" s="5">
        <f t="shared" si="9"/>
        <v>0.0445873081708842</v>
      </c>
      <c r="E121" s="6">
        <v>0</v>
      </c>
      <c r="F121" s="6">
        <v>0</v>
      </c>
      <c r="G121" s="7">
        <f t="shared" si="10"/>
        <v>0</v>
      </c>
      <c r="H121" s="7">
        <f t="shared" si="11"/>
        <v>0</v>
      </c>
      <c r="I121" s="8">
        <v>2411</v>
      </c>
      <c r="J121" s="9"/>
      <c r="K121" s="8">
        <f t="shared" si="12"/>
        <v>28932</v>
      </c>
      <c r="L121" s="7">
        <f t="shared" si="13"/>
        <v>0</v>
      </c>
      <c r="M121" s="10">
        <f t="shared" si="16"/>
        <v>1</v>
      </c>
      <c r="N121" s="11">
        <f t="shared" si="14"/>
        <v>0.0445873081708842</v>
      </c>
      <c r="O121" s="8">
        <f t="shared" si="17"/>
        <v>2580.00000000004</v>
      </c>
      <c r="P121" s="12">
        <f t="shared" si="15"/>
        <v>0</v>
      </c>
    </row>
    <row r="122" spans="1:16">
      <c r="A122" s="2">
        <v>45957</v>
      </c>
      <c r="B122" s="3">
        <f>Data_Entry!P212</f>
        <v>2279.99999999997</v>
      </c>
      <c r="C122" s="4">
        <f>Data_Entry!V212</f>
        <v>0</v>
      </c>
      <c r="D122" s="5">
        <f t="shared" si="9"/>
        <v>0.0394027374533384</v>
      </c>
      <c r="E122" s="6">
        <v>0</v>
      </c>
      <c r="F122" s="6">
        <v>0</v>
      </c>
      <c r="G122" s="7">
        <f t="shared" si="10"/>
        <v>0</v>
      </c>
      <c r="H122" s="7">
        <f t="shared" si="11"/>
        <v>0</v>
      </c>
      <c r="I122" s="8">
        <v>2411</v>
      </c>
      <c r="J122" s="9"/>
      <c r="K122" s="8">
        <f t="shared" si="12"/>
        <v>28932</v>
      </c>
      <c r="L122" s="7">
        <f t="shared" si="13"/>
        <v>0</v>
      </c>
      <c r="M122" s="10">
        <f t="shared" si="16"/>
        <v>1</v>
      </c>
      <c r="N122" s="11">
        <f t="shared" si="14"/>
        <v>0.0394027374533384</v>
      </c>
      <c r="O122" s="8">
        <f t="shared" si="17"/>
        <v>2279.99999999997</v>
      </c>
      <c r="P122" s="12">
        <f t="shared" si="15"/>
        <v>0</v>
      </c>
    </row>
    <row r="123" spans="1:16">
      <c r="A123" s="2">
        <v>45958</v>
      </c>
      <c r="B123" s="3">
        <f>Data_Entry!P213</f>
        <v>1679.99999999984</v>
      </c>
      <c r="C123" s="4">
        <f>Data_Entry!V213</f>
        <v>0</v>
      </c>
      <c r="D123" s="5">
        <f t="shared" si="9"/>
        <v>0.0290335960182469</v>
      </c>
      <c r="E123" s="6">
        <v>0</v>
      </c>
      <c r="F123" s="6">
        <v>0</v>
      </c>
      <c r="G123" s="7">
        <f t="shared" si="10"/>
        <v>0</v>
      </c>
      <c r="H123" s="7">
        <f t="shared" si="11"/>
        <v>0</v>
      </c>
      <c r="I123" s="8">
        <v>2411</v>
      </c>
      <c r="J123" s="9"/>
      <c r="K123" s="8">
        <f t="shared" si="12"/>
        <v>28932</v>
      </c>
      <c r="L123" s="7">
        <f t="shared" si="13"/>
        <v>0</v>
      </c>
      <c r="M123" s="10">
        <f t="shared" si="16"/>
        <v>1</v>
      </c>
      <c r="N123" s="11">
        <f t="shared" si="14"/>
        <v>0.0290335960182469</v>
      </c>
      <c r="O123" s="8">
        <f t="shared" si="17"/>
        <v>1679.99999999984</v>
      </c>
      <c r="P123" s="12">
        <f t="shared" si="15"/>
        <v>0</v>
      </c>
    </row>
    <row r="124" spans="1:16">
      <c r="A124" s="2">
        <v>45959</v>
      </c>
      <c r="B124" s="3">
        <f>Data_Entry!P214</f>
        <v>3240.00000000012</v>
      </c>
      <c r="C124" s="4">
        <f>Data_Entry!V214</f>
        <v>0</v>
      </c>
      <c r="D124" s="5">
        <f t="shared" si="9"/>
        <v>0.0559933637494837</v>
      </c>
      <c r="E124" s="6">
        <v>0</v>
      </c>
      <c r="F124" s="6">
        <v>0</v>
      </c>
      <c r="G124" s="7">
        <f t="shared" si="10"/>
        <v>0</v>
      </c>
      <c r="H124" s="7">
        <f t="shared" si="11"/>
        <v>0</v>
      </c>
      <c r="I124" s="8">
        <v>2411</v>
      </c>
      <c r="J124" s="9"/>
      <c r="K124" s="8">
        <f t="shared" si="12"/>
        <v>28932</v>
      </c>
      <c r="L124" s="7">
        <f t="shared" si="13"/>
        <v>0</v>
      </c>
      <c r="M124" s="10">
        <f t="shared" si="16"/>
        <v>1</v>
      </c>
      <c r="N124" s="11">
        <f t="shared" si="14"/>
        <v>0.0559933637494837</v>
      </c>
      <c r="O124" s="8">
        <f t="shared" si="17"/>
        <v>3240.00000000012</v>
      </c>
      <c r="P124" s="12">
        <f t="shared" si="15"/>
        <v>0</v>
      </c>
    </row>
    <row r="125" spans="1:16">
      <c r="A125" s="2">
        <v>45960</v>
      </c>
      <c r="B125" s="3">
        <f>Data_Entry!P215</f>
        <v>2369.99999999989</v>
      </c>
      <c r="C125" s="4">
        <f>Data_Entry!V215</f>
        <v>0</v>
      </c>
      <c r="D125" s="5">
        <f t="shared" si="9"/>
        <v>0.0409581086686004</v>
      </c>
      <c r="E125" s="6">
        <v>0</v>
      </c>
      <c r="F125" s="6">
        <v>0</v>
      </c>
      <c r="G125" s="7">
        <f t="shared" si="10"/>
        <v>0</v>
      </c>
      <c r="H125" s="7">
        <f t="shared" si="11"/>
        <v>0</v>
      </c>
      <c r="I125" s="8">
        <v>2411</v>
      </c>
      <c r="J125" s="9"/>
      <c r="K125" s="8">
        <f t="shared" si="12"/>
        <v>28932</v>
      </c>
      <c r="L125" s="7">
        <f t="shared" si="13"/>
        <v>0</v>
      </c>
      <c r="M125" s="10">
        <f t="shared" si="16"/>
        <v>1</v>
      </c>
      <c r="N125" s="11">
        <f t="shared" si="14"/>
        <v>0.0409581086686004</v>
      </c>
      <c r="O125" s="8">
        <f t="shared" si="17"/>
        <v>2369.99999999989</v>
      </c>
      <c r="P125" s="12">
        <f t="shared" si="15"/>
        <v>0</v>
      </c>
    </row>
    <row r="126" spans="1:16">
      <c r="A126" s="2">
        <v>45961</v>
      </c>
      <c r="B126" s="3">
        <f>Data_Entry!P216</f>
        <v>2669.99999999996</v>
      </c>
      <c r="C126" s="4">
        <f>Data_Entry!V216</f>
        <v>0</v>
      </c>
      <c r="D126" s="5">
        <f t="shared" si="9"/>
        <v>0.0461426793861461</v>
      </c>
      <c r="E126" s="6">
        <v>0</v>
      </c>
      <c r="F126" s="6">
        <v>0</v>
      </c>
      <c r="G126" s="7">
        <f t="shared" si="10"/>
        <v>0</v>
      </c>
      <c r="H126" s="7">
        <f t="shared" si="11"/>
        <v>0</v>
      </c>
      <c r="I126" s="8">
        <v>2411</v>
      </c>
      <c r="J126" s="9"/>
      <c r="K126" s="8">
        <f t="shared" si="12"/>
        <v>28932</v>
      </c>
      <c r="L126" s="7">
        <f t="shared" si="13"/>
        <v>0</v>
      </c>
      <c r="M126" s="10">
        <f t="shared" si="16"/>
        <v>1</v>
      </c>
      <c r="N126" s="11">
        <f t="shared" si="14"/>
        <v>0.0461426793861461</v>
      </c>
      <c r="O126" s="8">
        <f t="shared" si="17"/>
        <v>2669.99999999996</v>
      </c>
      <c r="P126" s="12">
        <f t="shared" si="15"/>
        <v>0</v>
      </c>
    </row>
    <row r="127" spans="1:16">
      <c r="A127" s="2">
        <v>45962</v>
      </c>
      <c r="B127" s="3">
        <f>Data_Entry!P217</f>
        <v>4950.00000000027</v>
      </c>
      <c r="C127" s="4">
        <f>Data_Entry!V217</f>
        <v>1.21</v>
      </c>
      <c r="D127" s="5">
        <f t="shared" si="9"/>
        <v>0.0855454168394904</v>
      </c>
      <c r="E127" s="6">
        <v>0</v>
      </c>
      <c r="F127" s="6">
        <v>0</v>
      </c>
      <c r="G127" s="7">
        <f t="shared" si="10"/>
        <v>0</v>
      </c>
      <c r="H127" s="7">
        <f t="shared" si="11"/>
        <v>0</v>
      </c>
      <c r="I127" s="8">
        <v>2411</v>
      </c>
      <c r="J127" s="9"/>
      <c r="K127" s="8">
        <f t="shared" si="12"/>
        <v>28932</v>
      </c>
      <c r="L127" s="7">
        <f t="shared" si="13"/>
        <v>0</v>
      </c>
      <c r="M127" s="10">
        <f t="shared" si="16"/>
        <v>1</v>
      </c>
      <c r="N127" s="11">
        <f t="shared" si="14"/>
        <v>0.0855454168394904</v>
      </c>
      <c r="O127" s="8">
        <f t="shared" si="17"/>
        <v>4950.00000000027</v>
      </c>
      <c r="P127" s="12">
        <f t="shared" si="15"/>
        <v>0</v>
      </c>
    </row>
    <row r="128" spans="1:16">
      <c r="A128" s="2">
        <v>45963</v>
      </c>
      <c r="B128" s="3">
        <f>Data_Entry!P218</f>
        <v>10409.9999999997</v>
      </c>
      <c r="C128" s="4">
        <f>Data_Entry!V218</f>
        <v>0</v>
      </c>
      <c r="D128" s="5">
        <f t="shared" si="9"/>
        <v>0.179904603898793</v>
      </c>
      <c r="E128" s="6">
        <v>0</v>
      </c>
      <c r="F128" s="6">
        <v>0</v>
      </c>
      <c r="G128" s="7">
        <f t="shared" si="10"/>
        <v>0</v>
      </c>
      <c r="H128" s="7">
        <f t="shared" si="11"/>
        <v>0</v>
      </c>
      <c r="I128" s="8">
        <v>2411</v>
      </c>
      <c r="J128" s="9"/>
      <c r="K128" s="8">
        <f t="shared" si="12"/>
        <v>28932</v>
      </c>
      <c r="L128" s="7">
        <f t="shared" si="13"/>
        <v>0</v>
      </c>
      <c r="M128" s="10">
        <f t="shared" si="16"/>
        <v>1</v>
      </c>
      <c r="N128" s="11">
        <f t="shared" si="14"/>
        <v>0.179904603898793</v>
      </c>
      <c r="O128" s="8">
        <f t="shared" si="17"/>
        <v>10409.9999999997</v>
      </c>
      <c r="P128" s="12">
        <f t="shared" si="15"/>
        <v>0</v>
      </c>
    </row>
    <row r="129" spans="1:16">
      <c r="A129" s="2">
        <v>45964</v>
      </c>
      <c r="B129" s="3">
        <f>Data_Entry!P219</f>
        <v>9930.00000000018</v>
      </c>
      <c r="C129" s="4">
        <f>Data_Entry!V219</f>
        <v>0</v>
      </c>
      <c r="D129" s="5">
        <f t="shared" si="9"/>
        <v>0.171609290750729</v>
      </c>
      <c r="E129" s="6">
        <v>0</v>
      </c>
      <c r="F129" s="6">
        <v>0</v>
      </c>
      <c r="G129" s="7">
        <f t="shared" si="10"/>
        <v>0</v>
      </c>
      <c r="H129" s="7">
        <f t="shared" si="11"/>
        <v>0</v>
      </c>
      <c r="I129" s="8">
        <v>2411</v>
      </c>
      <c r="J129" s="9"/>
      <c r="K129" s="8">
        <f t="shared" si="12"/>
        <v>28932</v>
      </c>
      <c r="L129" s="7">
        <f t="shared" si="13"/>
        <v>0</v>
      </c>
      <c r="M129" s="10">
        <f t="shared" si="16"/>
        <v>1</v>
      </c>
      <c r="N129" s="11">
        <f t="shared" si="14"/>
        <v>0.171609290750729</v>
      </c>
      <c r="O129" s="8">
        <f t="shared" si="17"/>
        <v>9930.00000000018</v>
      </c>
      <c r="P129" s="12">
        <f t="shared" si="15"/>
        <v>0</v>
      </c>
    </row>
    <row r="130" spans="1:16">
      <c r="A130" s="2">
        <v>45965</v>
      </c>
      <c r="B130" s="3">
        <f>Data_Entry!P220</f>
        <v>12509.9999999999</v>
      </c>
      <c r="C130" s="4">
        <f>Data_Entry!V220</f>
        <v>0</v>
      </c>
      <c r="D130" s="5">
        <f t="shared" si="9"/>
        <v>0.216196598921607</v>
      </c>
      <c r="E130" s="6">
        <v>0</v>
      </c>
      <c r="F130" s="6">
        <v>0</v>
      </c>
      <c r="G130" s="7">
        <f t="shared" si="10"/>
        <v>0</v>
      </c>
      <c r="H130" s="7">
        <f t="shared" si="11"/>
        <v>0</v>
      </c>
      <c r="I130" s="8">
        <v>2411</v>
      </c>
      <c r="J130" s="9"/>
      <c r="K130" s="8">
        <f t="shared" si="12"/>
        <v>28932</v>
      </c>
      <c r="L130" s="7">
        <f t="shared" si="13"/>
        <v>0</v>
      </c>
      <c r="M130" s="10">
        <f t="shared" si="16"/>
        <v>1</v>
      </c>
      <c r="N130" s="11">
        <f t="shared" si="14"/>
        <v>0.216196598921607</v>
      </c>
      <c r="O130" s="8">
        <f t="shared" si="17"/>
        <v>12509.9999999999</v>
      </c>
      <c r="P130" s="12">
        <f t="shared" si="15"/>
        <v>0</v>
      </c>
    </row>
    <row r="131" spans="1:16">
      <c r="A131" s="2">
        <v>45966</v>
      </c>
      <c r="B131" s="3">
        <f>Data_Entry!P221</f>
        <v>12420</v>
      </c>
      <c r="C131" s="4">
        <f>Data_Entry!V221</f>
        <v>0</v>
      </c>
      <c r="D131" s="5">
        <f t="shared" si="9"/>
        <v>0.214641227706345</v>
      </c>
      <c r="E131" s="6">
        <v>0</v>
      </c>
      <c r="F131" s="6">
        <v>0</v>
      </c>
      <c r="G131" s="7">
        <f t="shared" si="10"/>
        <v>0</v>
      </c>
      <c r="H131" s="7">
        <f t="shared" si="11"/>
        <v>0</v>
      </c>
      <c r="I131" s="8">
        <v>2411</v>
      </c>
      <c r="J131" s="9"/>
      <c r="K131" s="8">
        <f t="shared" si="12"/>
        <v>28932</v>
      </c>
      <c r="L131" s="7">
        <f t="shared" si="13"/>
        <v>0</v>
      </c>
      <c r="M131" s="10">
        <f t="shared" si="16"/>
        <v>1</v>
      </c>
      <c r="N131" s="11">
        <f t="shared" si="14"/>
        <v>0.214641227706345</v>
      </c>
      <c r="O131" s="8">
        <f t="shared" si="17"/>
        <v>12420</v>
      </c>
      <c r="P131" s="12">
        <f t="shared" si="15"/>
        <v>0</v>
      </c>
    </row>
    <row r="132" spans="1:16">
      <c r="A132" s="2">
        <v>45967</v>
      </c>
      <c r="B132" s="3">
        <f>Data_Entry!P222</f>
        <v>12420</v>
      </c>
      <c r="C132" s="4">
        <f>Data_Entry!V222</f>
        <v>0</v>
      </c>
      <c r="D132" s="5">
        <f t="shared" ref="D132:D195" si="18">B132/(24*I132)</f>
        <v>0.214641227706345</v>
      </c>
      <c r="E132" s="6">
        <v>0</v>
      </c>
      <c r="F132" s="6">
        <v>0</v>
      </c>
      <c r="G132" s="7">
        <f t="shared" ref="G132:G195" si="19">(F132-E132)*24*60</f>
        <v>0</v>
      </c>
      <c r="H132" s="7">
        <f t="shared" ref="H132:H195" si="20">G132/60</f>
        <v>0</v>
      </c>
      <c r="I132" s="8">
        <v>2411</v>
      </c>
      <c r="J132" s="9"/>
      <c r="K132" s="8">
        <f t="shared" ref="K132:K195" si="21">I132*12</f>
        <v>28932</v>
      </c>
      <c r="L132" s="7">
        <f t="shared" ref="L132:L195" si="22">J132*H132</f>
        <v>0</v>
      </c>
      <c r="M132" s="10">
        <f t="shared" si="16"/>
        <v>1</v>
      </c>
      <c r="N132" s="11">
        <f t="shared" ref="N132:N195" si="23">D132/M132</f>
        <v>0.214641227706345</v>
      </c>
      <c r="O132" s="8">
        <f t="shared" si="17"/>
        <v>12420</v>
      </c>
      <c r="P132" s="12">
        <f t="shared" ref="P132:P195" si="24">O132-B132</f>
        <v>0</v>
      </c>
    </row>
    <row r="133" spans="1:16">
      <c r="A133" s="2">
        <v>45968</v>
      </c>
      <c r="B133" s="3">
        <f>Data_Entry!P223</f>
        <v>11940.0000000001</v>
      </c>
      <c r="C133" s="4">
        <f>Data_Entry!V223</f>
        <v>3.68</v>
      </c>
      <c r="D133" s="5">
        <f t="shared" si="18"/>
        <v>0.206345914558276</v>
      </c>
      <c r="E133" s="6">
        <v>0</v>
      </c>
      <c r="F133" s="6">
        <v>0</v>
      </c>
      <c r="G133" s="7">
        <f t="shared" si="19"/>
        <v>0</v>
      </c>
      <c r="H133" s="7">
        <f t="shared" si="20"/>
        <v>0</v>
      </c>
      <c r="I133" s="8">
        <v>2411</v>
      </c>
      <c r="J133" s="9"/>
      <c r="K133" s="8">
        <f t="shared" si="21"/>
        <v>28932</v>
      </c>
      <c r="L133" s="7">
        <f t="shared" si="22"/>
        <v>0</v>
      </c>
      <c r="M133" s="10">
        <f t="shared" ref="M133:M196" si="25">(K133-L133)/K133</f>
        <v>1</v>
      </c>
      <c r="N133" s="11">
        <f t="shared" si="23"/>
        <v>0.206345914558276</v>
      </c>
      <c r="O133" s="8">
        <f t="shared" ref="O133:O196" si="26">N133*I133*24</f>
        <v>11940.0000000001</v>
      </c>
      <c r="P133" s="12">
        <f t="shared" si="24"/>
        <v>0</v>
      </c>
    </row>
    <row r="134" spans="1:16">
      <c r="A134" s="2">
        <v>45969</v>
      </c>
      <c r="B134" s="3">
        <f>Data_Entry!P224</f>
        <v>12210.0000000001</v>
      </c>
      <c r="C134" s="4">
        <f>Data_Entry!V224</f>
        <v>3.93</v>
      </c>
      <c r="D134" s="5">
        <f t="shared" si="18"/>
        <v>0.211012028204067</v>
      </c>
      <c r="E134" s="6">
        <v>0</v>
      </c>
      <c r="F134" s="6">
        <v>0</v>
      </c>
      <c r="G134" s="7">
        <f t="shared" si="19"/>
        <v>0</v>
      </c>
      <c r="H134" s="7">
        <f t="shared" si="20"/>
        <v>0</v>
      </c>
      <c r="I134" s="8">
        <v>2411</v>
      </c>
      <c r="J134" s="9"/>
      <c r="K134" s="8">
        <f t="shared" si="21"/>
        <v>28932</v>
      </c>
      <c r="L134" s="7">
        <f t="shared" si="22"/>
        <v>0</v>
      </c>
      <c r="M134" s="10">
        <f t="shared" si="25"/>
        <v>1</v>
      </c>
      <c r="N134" s="11">
        <f t="shared" si="23"/>
        <v>0.211012028204067</v>
      </c>
      <c r="O134" s="8">
        <f t="shared" si="26"/>
        <v>12210.0000000001</v>
      </c>
      <c r="P134" s="12">
        <f t="shared" si="24"/>
        <v>0</v>
      </c>
    </row>
    <row r="135" spans="1:16">
      <c r="A135" s="2">
        <v>45970</v>
      </c>
      <c r="B135" s="3">
        <f>Data_Entry!P225</f>
        <v>12390</v>
      </c>
      <c r="C135" s="4">
        <f>Data_Entry!V225</f>
        <v>3.24</v>
      </c>
      <c r="D135" s="5">
        <f t="shared" si="18"/>
        <v>0.214122770634591</v>
      </c>
      <c r="E135" s="6">
        <v>0</v>
      </c>
      <c r="F135" s="6">
        <v>0</v>
      </c>
      <c r="G135" s="7">
        <f t="shared" si="19"/>
        <v>0</v>
      </c>
      <c r="H135" s="7">
        <f t="shared" si="20"/>
        <v>0</v>
      </c>
      <c r="I135" s="8">
        <v>2411</v>
      </c>
      <c r="J135" s="9"/>
      <c r="K135" s="8">
        <f t="shared" si="21"/>
        <v>28932</v>
      </c>
      <c r="L135" s="7">
        <f t="shared" si="22"/>
        <v>0</v>
      </c>
      <c r="M135" s="10">
        <f t="shared" si="25"/>
        <v>1</v>
      </c>
      <c r="N135" s="11">
        <f t="shared" si="23"/>
        <v>0.214122770634591</v>
      </c>
      <c r="O135" s="8">
        <f t="shared" si="26"/>
        <v>12390</v>
      </c>
      <c r="P135" s="12">
        <f t="shared" si="24"/>
        <v>0</v>
      </c>
    </row>
    <row r="136" spans="1:16">
      <c r="A136" s="2">
        <v>45971</v>
      </c>
      <c r="B136" s="3">
        <f>Data_Entry!P226</f>
        <v>12149.9999999999</v>
      </c>
      <c r="C136" s="4">
        <f>Data_Entry!V226</f>
        <v>3.79</v>
      </c>
      <c r="D136" s="5">
        <f t="shared" si="18"/>
        <v>0.209975114060553</v>
      </c>
      <c r="E136" s="6">
        <v>0</v>
      </c>
      <c r="F136" s="6">
        <v>0</v>
      </c>
      <c r="G136" s="7">
        <f t="shared" si="19"/>
        <v>0</v>
      </c>
      <c r="H136" s="7">
        <f t="shared" si="20"/>
        <v>0</v>
      </c>
      <c r="I136" s="8">
        <v>2411</v>
      </c>
      <c r="J136" s="9"/>
      <c r="K136" s="8">
        <f t="shared" si="21"/>
        <v>28932</v>
      </c>
      <c r="L136" s="7">
        <f t="shared" si="22"/>
        <v>0</v>
      </c>
      <c r="M136" s="10">
        <f t="shared" si="25"/>
        <v>1</v>
      </c>
      <c r="N136" s="11">
        <f t="shared" si="23"/>
        <v>0.209975114060553</v>
      </c>
      <c r="O136" s="8">
        <f t="shared" si="26"/>
        <v>12149.9999999999</v>
      </c>
      <c r="P136" s="12">
        <f t="shared" si="24"/>
        <v>0</v>
      </c>
    </row>
    <row r="137" spans="1:16">
      <c r="A137" s="2">
        <v>45972</v>
      </c>
      <c r="B137" s="3">
        <f>Data_Entry!P227</f>
        <v>9089.99999999992</v>
      </c>
      <c r="C137" s="4">
        <f>Data_Entry!V227</f>
        <v>0</v>
      </c>
      <c r="D137" s="5">
        <f t="shared" si="18"/>
        <v>0.1570924927416</v>
      </c>
      <c r="E137" s="6">
        <v>0.5</v>
      </c>
      <c r="F137" s="6">
        <v>0.565972222222222</v>
      </c>
      <c r="G137" s="7">
        <f t="shared" si="19"/>
        <v>94.9999999999997</v>
      </c>
      <c r="H137" s="7">
        <f t="shared" si="20"/>
        <v>1.58333333333333</v>
      </c>
      <c r="I137" s="8">
        <v>2411</v>
      </c>
      <c r="J137" s="9">
        <v>2411</v>
      </c>
      <c r="K137" s="8">
        <f t="shared" si="21"/>
        <v>28932</v>
      </c>
      <c r="L137" s="7">
        <f t="shared" si="22"/>
        <v>3817.41666666665</v>
      </c>
      <c r="M137" s="10">
        <f t="shared" si="25"/>
        <v>0.868055555555556</v>
      </c>
      <c r="N137" s="11">
        <f t="shared" si="23"/>
        <v>0.180970551638323</v>
      </c>
      <c r="O137" s="8">
        <f t="shared" si="26"/>
        <v>10471.6799999999</v>
      </c>
      <c r="P137" s="12">
        <f t="shared" si="24"/>
        <v>1381.67999999998</v>
      </c>
    </row>
    <row r="138" spans="1:16">
      <c r="A138" s="2">
        <v>45973</v>
      </c>
      <c r="B138" s="3">
        <f>Data_Entry!P228</f>
        <v>11880.0000000001</v>
      </c>
      <c r="C138" s="4">
        <f>Data_Entry!V228</f>
        <v>3.47</v>
      </c>
      <c r="D138" s="5">
        <f t="shared" si="18"/>
        <v>0.205309000414768</v>
      </c>
      <c r="E138" s="6">
        <v>0</v>
      </c>
      <c r="F138" s="6">
        <v>0</v>
      </c>
      <c r="G138" s="7">
        <f t="shared" si="19"/>
        <v>0</v>
      </c>
      <c r="H138" s="7">
        <f t="shared" si="20"/>
        <v>0</v>
      </c>
      <c r="I138" s="8">
        <v>2411</v>
      </c>
      <c r="J138" s="9"/>
      <c r="K138" s="8">
        <f t="shared" si="21"/>
        <v>28932</v>
      </c>
      <c r="L138" s="7">
        <f t="shared" si="22"/>
        <v>0</v>
      </c>
      <c r="M138" s="10">
        <f t="shared" si="25"/>
        <v>1</v>
      </c>
      <c r="N138" s="11">
        <f t="shared" si="23"/>
        <v>0.205309000414768</v>
      </c>
      <c r="O138" s="8">
        <f t="shared" si="26"/>
        <v>11880.0000000001</v>
      </c>
      <c r="P138" s="12">
        <f t="shared" si="24"/>
        <v>0</v>
      </c>
    </row>
    <row r="139" spans="1:16">
      <c r="A139" s="2">
        <v>45974</v>
      </c>
      <c r="B139" s="3">
        <f>Data_Entry!P229</f>
        <v>11850.0000000001</v>
      </c>
      <c r="C139" s="4">
        <f>Data_Entry!V229</f>
        <v>3.24</v>
      </c>
      <c r="D139" s="5">
        <f t="shared" si="18"/>
        <v>0.204790543343014</v>
      </c>
      <c r="E139" s="6">
        <v>0</v>
      </c>
      <c r="F139" s="6">
        <v>0</v>
      </c>
      <c r="G139" s="7">
        <f t="shared" si="19"/>
        <v>0</v>
      </c>
      <c r="H139" s="7">
        <f t="shared" si="20"/>
        <v>0</v>
      </c>
      <c r="I139" s="8">
        <v>2411</v>
      </c>
      <c r="J139" s="9"/>
      <c r="K139" s="8">
        <f t="shared" si="21"/>
        <v>28932</v>
      </c>
      <c r="L139" s="7">
        <f t="shared" si="22"/>
        <v>0</v>
      </c>
      <c r="M139" s="10">
        <f t="shared" si="25"/>
        <v>1</v>
      </c>
      <c r="N139" s="11">
        <f t="shared" si="23"/>
        <v>0.204790543343014</v>
      </c>
      <c r="O139" s="8">
        <f t="shared" si="26"/>
        <v>11850.0000000001</v>
      </c>
      <c r="P139" s="12">
        <f t="shared" si="24"/>
        <v>0</v>
      </c>
    </row>
    <row r="140" spans="1:16">
      <c r="A140" s="2">
        <v>45975</v>
      </c>
      <c r="B140" s="3">
        <f>Data_Entry!P230</f>
        <v>11580</v>
      </c>
      <c r="C140" s="4">
        <f>Data_Entry!V230</f>
        <v>3.12</v>
      </c>
      <c r="D140" s="5">
        <f t="shared" si="18"/>
        <v>0.200124429697222</v>
      </c>
      <c r="E140" s="6">
        <v>0</v>
      </c>
      <c r="F140" s="6">
        <v>0</v>
      </c>
      <c r="G140" s="7">
        <f t="shared" si="19"/>
        <v>0</v>
      </c>
      <c r="H140" s="7">
        <f t="shared" si="20"/>
        <v>0</v>
      </c>
      <c r="I140" s="8">
        <v>2411</v>
      </c>
      <c r="J140" s="9"/>
      <c r="K140" s="8">
        <f t="shared" si="21"/>
        <v>28932</v>
      </c>
      <c r="L140" s="7">
        <f t="shared" si="22"/>
        <v>0</v>
      </c>
      <c r="M140" s="10">
        <f t="shared" si="25"/>
        <v>1</v>
      </c>
      <c r="N140" s="11">
        <f t="shared" si="23"/>
        <v>0.200124429697222</v>
      </c>
      <c r="O140" s="8">
        <f t="shared" si="26"/>
        <v>11580</v>
      </c>
      <c r="P140" s="12">
        <f t="shared" si="24"/>
        <v>0</v>
      </c>
    </row>
    <row r="141" spans="1:16">
      <c r="A141" s="2">
        <v>45976</v>
      </c>
      <c r="B141" s="3">
        <f>Data_Entry!P231</f>
        <v>11549.9999999997</v>
      </c>
      <c r="C141" s="4">
        <f>Data_Entry!V231</f>
        <v>2.98</v>
      </c>
      <c r="D141" s="5">
        <f t="shared" si="18"/>
        <v>0.199605972625462</v>
      </c>
      <c r="E141" s="6">
        <v>0</v>
      </c>
      <c r="F141" s="6">
        <v>0</v>
      </c>
      <c r="G141" s="7">
        <f t="shared" si="19"/>
        <v>0</v>
      </c>
      <c r="H141" s="7">
        <f t="shared" si="20"/>
        <v>0</v>
      </c>
      <c r="I141" s="8">
        <v>2411</v>
      </c>
      <c r="J141" s="9"/>
      <c r="K141" s="8">
        <f t="shared" si="21"/>
        <v>28932</v>
      </c>
      <c r="L141" s="7">
        <f t="shared" si="22"/>
        <v>0</v>
      </c>
      <c r="M141" s="10">
        <f t="shared" si="25"/>
        <v>1</v>
      </c>
      <c r="N141" s="11">
        <f t="shared" si="23"/>
        <v>0.199605972625462</v>
      </c>
      <c r="O141" s="8">
        <f t="shared" si="26"/>
        <v>11549.9999999997</v>
      </c>
      <c r="P141" s="12">
        <f t="shared" si="24"/>
        <v>0</v>
      </c>
    </row>
    <row r="142" spans="1:16">
      <c r="A142" s="2">
        <v>45977</v>
      </c>
      <c r="B142" s="3">
        <f>Data_Entry!P232</f>
        <v>10770.0000000001</v>
      </c>
      <c r="C142" s="4">
        <f>Data_Entry!V232</f>
        <v>2.77</v>
      </c>
      <c r="D142" s="5">
        <f t="shared" si="18"/>
        <v>0.186126088759852</v>
      </c>
      <c r="E142" s="6">
        <v>0</v>
      </c>
      <c r="F142" s="6">
        <v>0</v>
      </c>
      <c r="G142" s="7">
        <f t="shared" si="19"/>
        <v>0</v>
      </c>
      <c r="H142" s="7">
        <f t="shared" si="20"/>
        <v>0</v>
      </c>
      <c r="I142" s="8">
        <v>2411</v>
      </c>
      <c r="J142" s="9"/>
      <c r="K142" s="8">
        <f t="shared" si="21"/>
        <v>28932</v>
      </c>
      <c r="L142" s="7">
        <f t="shared" si="22"/>
        <v>0</v>
      </c>
      <c r="M142" s="10">
        <f t="shared" si="25"/>
        <v>1</v>
      </c>
      <c r="N142" s="11">
        <f t="shared" si="23"/>
        <v>0.186126088759852</v>
      </c>
      <c r="O142" s="8">
        <f t="shared" si="26"/>
        <v>10770.0000000001</v>
      </c>
      <c r="P142" s="12">
        <f t="shared" si="24"/>
        <v>0</v>
      </c>
    </row>
    <row r="143" spans="1:16">
      <c r="A143" s="2">
        <v>45978</v>
      </c>
      <c r="B143" s="3">
        <f>Data_Entry!P233</f>
        <v>11490.0000000001</v>
      </c>
      <c r="C143" s="4">
        <f>Data_Entry!V233</f>
        <v>2.79</v>
      </c>
      <c r="D143" s="5">
        <f t="shared" si="18"/>
        <v>0.19856905848196</v>
      </c>
      <c r="E143" s="6">
        <v>0</v>
      </c>
      <c r="F143" s="6">
        <v>0</v>
      </c>
      <c r="G143" s="7">
        <f t="shared" si="19"/>
        <v>0</v>
      </c>
      <c r="H143" s="7">
        <f t="shared" si="20"/>
        <v>0</v>
      </c>
      <c r="I143" s="8">
        <v>2411</v>
      </c>
      <c r="J143" s="9"/>
      <c r="K143" s="8">
        <f t="shared" si="21"/>
        <v>28932</v>
      </c>
      <c r="L143" s="7">
        <f t="shared" si="22"/>
        <v>0</v>
      </c>
      <c r="M143" s="10">
        <f t="shared" si="25"/>
        <v>1</v>
      </c>
      <c r="N143" s="11">
        <f t="shared" si="23"/>
        <v>0.19856905848196</v>
      </c>
      <c r="O143" s="8">
        <f t="shared" si="26"/>
        <v>11490.0000000001</v>
      </c>
      <c r="P143" s="12">
        <f t="shared" si="24"/>
        <v>0</v>
      </c>
    </row>
    <row r="144" spans="1:16">
      <c r="A144" s="2">
        <v>45979</v>
      </c>
      <c r="B144" s="3">
        <f>Data_Entry!P234</f>
        <v>11550.0000000001</v>
      </c>
      <c r="C144" s="4">
        <f>Data_Entry!V234</f>
        <v>2.74</v>
      </c>
      <c r="D144" s="5">
        <f t="shared" si="18"/>
        <v>0.199605972625468</v>
      </c>
      <c r="E144" s="6">
        <v>0</v>
      </c>
      <c r="F144" s="6">
        <v>0</v>
      </c>
      <c r="G144" s="7">
        <f t="shared" si="19"/>
        <v>0</v>
      </c>
      <c r="H144" s="7">
        <f t="shared" si="20"/>
        <v>0</v>
      </c>
      <c r="I144" s="8">
        <v>2411</v>
      </c>
      <c r="J144" s="9"/>
      <c r="K144" s="8">
        <f t="shared" si="21"/>
        <v>28932</v>
      </c>
      <c r="L144" s="7">
        <f t="shared" si="22"/>
        <v>0</v>
      </c>
      <c r="M144" s="10">
        <f t="shared" si="25"/>
        <v>1</v>
      </c>
      <c r="N144" s="11">
        <f t="shared" si="23"/>
        <v>0.199605972625468</v>
      </c>
      <c r="O144" s="8">
        <f t="shared" si="26"/>
        <v>11550.0000000001</v>
      </c>
      <c r="P144" s="12">
        <f t="shared" si="24"/>
        <v>0</v>
      </c>
    </row>
    <row r="145" spans="1:16">
      <c r="A145" s="2">
        <v>45980</v>
      </c>
      <c r="B145" s="3">
        <f>Data_Entry!P235</f>
        <v>10709.9999999998</v>
      </c>
      <c r="C145" s="4">
        <f>Data_Entry!V235</f>
        <v>2.78</v>
      </c>
      <c r="D145" s="5">
        <f t="shared" si="18"/>
        <v>0.185089174616338</v>
      </c>
      <c r="E145" s="6">
        <v>0</v>
      </c>
      <c r="F145" s="6">
        <v>0</v>
      </c>
      <c r="G145" s="7">
        <f t="shared" si="19"/>
        <v>0</v>
      </c>
      <c r="H145" s="7">
        <f t="shared" si="20"/>
        <v>0</v>
      </c>
      <c r="I145" s="8">
        <v>2411</v>
      </c>
      <c r="J145" s="9"/>
      <c r="K145" s="8">
        <f t="shared" si="21"/>
        <v>28932</v>
      </c>
      <c r="L145" s="7">
        <f t="shared" si="22"/>
        <v>0</v>
      </c>
      <c r="M145" s="10">
        <f t="shared" si="25"/>
        <v>1</v>
      </c>
      <c r="N145" s="11">
        <f t="shared" si="23"/>
        <v>0.185089174616338</v>
      </c>
      <c r="O145" s="8">
        <f t="shared" si="26"/>
        <v>10709.9999999998</v>
      </c>
      <c r="P145" s="12">
        <f t="shared" si="24"/>
        <v>0</v>
      </c>
    </row>
    <row r="146" spans="1:16">
      <c r="A146" s="2">
        <v>45981</v>
      </c>
      <c r="B146" s="3">
        <f>Data_Entry!P236</f>
        <v>10740.0000000001</v>
      </c>
      <c r="C146" s="4">
        <f>Data_Entry!V236</f>
        <v>2.78</v>
      </c>
      <c r="D146" s="5">
        <f t="shared" si="18"/>
        <v>0.185607631688098</v>
      </c>
      <c r="E146" s="6">
        <v>0</v>
      </c>
      <c r="F146" s="6">
        <v>0</v>
      </c>
      <c r="G146" s="7">
        <f t="shared" si="19"/>
        <v>0</v>
      </c>
      <c r="H146" s="7">
        <f t="shared" si="20"/>
        <v>0</v>
      </c>
      <c r="I146" s="8">
        <v>2411</v>
      </c>
      <c r="J146" s="9"/>
      <c r="K146" s="8">
        <f t="shared" si="21"/>
        <v>28932</v>
      </c>
      <c r="L146" s="7">
        <f t="shared" si="22"/>
        <v>0</v>
      </c>
      <c r="M146" s="10">
        <f t="shared" si="25"/>
        <v>1</v>
      </c>
      <c r="N146" s="11">
        <f t="shared" si="23"/>
        <v>0.185607631688098</v>
      </c>
      <c r="O146" s="8">
        <f t="shared" si="26"/>
        <v>10740.0000000001</v>
      </c>
      <c r="P146" s="12">
        <f t="shared" si="24"/>
        <v>0</v>
      </c>
    </row>
    <row r="147" spans="1:16">
      <c r="A147" s="2">
        <v>45982</v>
      </c>
      <c r="B147" s="3">
        <f>Data_Entry!P237</f>
        <v>10229.9999999999</v>
      </c>
      <c r="C147" s="4">
        <f>Data_Entry!V237</f>
        <v>2.85</v>
      </c>
      <c r="D147" s="5">
        <f t="shared" si="18"/>
        <v>0.176793861468269</v>
      </c>
      <c r="E147" s="6">
        <v>0</v>
      </c>
      <c r="F147" s="6">
        <v>0</v>
      </c>
      <c r="G147" s="7">
        <f t="shared" si="19"/>
        <v>0</v>
      </c>
      <c r="H147" s="7">
        <f t="shared" si="20"/>
        <v>0</v>
      </c>
      <c r="I147" s="8">
        <v>2411</v>
      </c>
      <c r="J147" s="9"/>
      <c r="K147" s="8">
        <f t="shared" si="21"/>
        <v>28932</v>
      </c>
      <c r="L147" s="7">
        <f t="shared" si="22"/>
        <v>0</v>
      </c>
      <c r="M147" s="10">
        <f t="shared" si="25"/>
        <v>1</v>
      </c>
      <c r="N147" s="11">
        <f t="shared" si="23"/>
        <v>0.176793861468269</v>
      </c>
      <c r="O147" s="8">
        <f t="shared" si="26"/>
        <v>10229.9999999999</v>
      </c>
      <c r="P147" s="12">
        <f t="shared" si="24"/>
        <v>0</v>
      </c>
    </row>
    <row r="148" spans="1:16">
      <c r="A148" s="2">
        <v>45983</v>
      </c>
      <c r="B148" s="3">
        <f>Data_Entry!P238</f>
        <v>10619.9999999999</v>
      </c>
      <c r="C148" s="4">
        <f>Data_Entry!V238</f>
        <v>2.91</v>
      </c>
      <c r="D148" s="5">
        <f t="shared" si="18"/>
        <v>0.183533803401077</v>
      </c>
      <c r="E148" s="6">
        <v>0</v>
      </c>
      <c r="F148" s="6">
        <v>0</v>
      </c>
      <c r="G148" s="7">
        <f t="shared" si="19"/>
        <v>0</v>
      </c>
      <c r="H148" s="7">
        <f t="shared" si="20"/>
        <v>0</v>
      </c>
      <c r="I148" s="8">
        <v>2411</v>
      </c>
      <c r="J148" s="9"/>
      <c r="K148" s="8">
        <f t="shared" si="21"/>
        <v>28932</v>
      </c>
      <c r="L148" s="7">
        <f t="shared" si="22"/>
        <v>0</v>
      </c>
      <c r="M148" s="10">
        <f t="shared" si="25"/>
        <v>1</v>
      </c>
      <c r="N148" s="11">
        <f t="shared" si="23"/>
        <v>0.183533803401077</v>
      </c>
      <c r="O148" s="8">
        <f t="shared" si="26"/>
        <v>10619.9999999999</v>
      </c>
      <c r="P148" s="12">
        <f t="shared" si="24"/>
        <v>0</v>
      </c>
    </row>
    <row r="149" spans="1:16">
      <c r="A149" s="2">
        <v>45984</v>
      </c>
      <c r="B149" s="3">
        <f>Data_Entry!P239</f>
        <v>10890</v>
      </c>
      <c r="C149" s="4">
        <f>Data_Entry!V239</f>
        <v>2.36</v>
      </c>
      <c r="D149" s="5">
        <f t="shared" si="18"/>
        <v>0.188199917046868</v>
      </c>
      <c r="E149" s="6">
        <v>0</v>
      </c>
      <c r="F149" s="6">
        <v>0</v>
      </c>
      <c r="G149" s="7">
        <f t="shared" si="19"/>
        <v>0</v>
      </c>
      <c r="H149" s="7">
        <f t="shared" si="20"/>
        <v>0</v>
      </c>
      <c r="I149" s="8">
        <v>2411</v>
      </c>
      <c r="J149" s="9"/>
      <c r="K149" s="8">
        <f t="shared" si="21"/>
        <v>28932</v>
      </c>
      <c r="L149" s="7">
        <f t="shared" si="22"/>
        <v>0</v>
      </c>
      <c r="M149" s="10">
        <f t="shared" si="25"/>
        <v>1</v>
      </c>
      <c r="N149" s="11">
        <f t="shared" si="23"/>
        <v>0.188199917046868</v>
      </c>
      <c r="O149" s="8">
        <f t="shared" si="26"/>
        <v>10890</v>
      </c>
      <c r="P149" s="12">
        <f t="shared" si="24"/>
        <v>0</v>
      </c>
    </row>
    <row r="150" spans="1:16">
      <c r="A150" s="2">
        <v>45985</v>
      </c>
      <c r="B150" s="3">
        <f>Data_Entry!P240</f>
        <v>11580</v>
      </c>
      <c r="C150" s="4">
        <f>Data_Entry!V240</f>
        <v>2.36</v>
      </c>
      <c r="D150" s="5">
        <f t="shared" si="18"/>
        <v>0.200124429697222</v>
      </c>
      <c r="E150" s="6">
        <v>0</v>
      </c>
      <c r="F150" s="6">
        <v>0</v>
      </c>
      <c r="G150" s="7">
        <f t="shared" si="19"/>
        <v>0</v>
      </c>
      <c r="H150" s="7">
        <f t="shared" si="20"/>
        <v>0</v>
      </c>
      <c r="I150" s="8">
        <v>2411</v>
      </c>
      <c r="J150" s="9"/>
      <c r="K150" s="8">
        <f t="shared" si="21"/>
        <v>28932</v>
      </c>
      <c r="L150" s="7">
        <f t="shared" si="22"/>
        <v>0</v>
      </c>
      <c r="M150" s="10">
        <f t="shared" si="25"/>
        <v>1</v>
      </c>
      <c r="N150" s="11">
        <f t="shared" si="23"/>
        <v>0.200124429697222</v>
      </c>
      <c r="O150" s="8">
        <f t="shared" si="26"/>
        <v>11580</v>
      </c>
      <c r="P150" s="12">
        <f t="shared" si="24"/>
        <v>0</v>
      </c>
    </row>
    <row r="151" spans="1:16">
      <c r="A151" s="2">
        <v>45986</v>
      </c>
      <c r="B151" s="3">
        <f>Data_Entry!P241</f>
        <v>10530</v>
      </c>
      <c r="C151" s="4">
        <f>Data_Entry!V241</f>
        <v>2.3</v>
      </c>
      <c r="D151" s="5">
        <f t="shared" si="18"/>
        <v>0.181978432185815</v>
      </c>
      <c r="E151" s="6">
        <v>0</v>
      </c>
      <c r="F151" s="6">
        <v>0</v>
      </c>
      <c r="G151" s="7">
        <f t="shared" si="19"/>
        <v>0</v>
      </c>
      <c r="H151" s="7">
        <f t="shared" si="20"/>
        <v>0</v>
      </c>
      <c r="I151" s="8">
        <v>2411</v>
      </c>
      <c r="J151" s="9"/>
      <c r="K151" s="8">
        <f t="shared" si="21"/>
        <v>28932</v>
      </c>
      <c r="L151" s="7">
        <f t="shared" si="22"/>
        <v>0</v>
      </c>
      <c r="M151" s="10">
        <f t="shared" si="25"/>
        <v>1</v>
      </c>
      <c r="N151" s="11">
        <f t="shared" si="23"/>
        <v>0.181978432185815</v>
      </c>
      <c r="O151" s="8">
        <f t="shared" si="26"/>
        <v>10530</v>
      </c>
      <c r="P151" s="12">
        <f t="shared" si="24"/>
        <v>0</v>
      </c>
    </row>
    <row r="152" spans="1:16">
      <c r="A152" s="2">
        <v>45987</v>
      </c>
      <c r="B152" s="3">
        <f>Data_Entry!P242</f>
        <v>9600.00000000014</v>
      </c>
      <c r="C152" s="4">
        <f>Data_Entry!V242</f>
        <v>2.31</v>
      </c>
      <c r="D152" s="5">
        <f t="shared" si="18"/>
        <v>0.165906262961429</v>
      </c>
      <c r="E152" s="6">
        <v>0</v>
      </c>
      <c r="F152" s="6">
        <v>0</v>
      </c>
      <c r="G152" s="7">
        <f t="shared" si="19"/>
        <v>0</v>
      </c>
      <c r="H152" s="7">
        <f t="shared" si="20"/>
        <v>0</v>
      </c>
      <c r="I152" s="8">
        <v>2411</v>
      </c>
      <c r="J152" s="9"/>
      <c r="K152" s="8">
        <f t="shared" si="21"/>
        <v>28932</v>
      </c>
      <c r="L152" s="7">
        <f t="shared" si="22"/>
        <v>0</v>
      </c>
      <c r="M152" s="10">
        <f t="shared" si="25"/>
        <v>1</v>
      </c>
      <c r="N152" s="11">
        <f t="shared" si="23"/>
        <v>0.165906262961429</v>
      </c>
      <c r="O152" s="8">
        <f t="shared" si="26"/>
        <v>9600.00000000014</v>
      </c>
      <c r="P152" s="12">
        <f t="shared" si="24"/>
        <v>0</v>
      </c>
    </row>
    <row r="153" spans="1:16">
      <c r="A153" s="2">
        <v>45988</v>
      </c>
      <c r="B153" s="3">
        <f>Data_Entry!P243</f>
        <v>9000</v>
      </c>
      <c r="C153" s="4">
        <f>Data_Entry!V243</f>
        <v>2.98</v>
      </c>
      <c r="D153" s="5">
        <f t="shared" si="18"/>
        <v>0.155537121526338</v>
      </c>
      <c r="E153" s="6">
        <v>0</v>
      </c>
      <c r="F153" s="6">
        <v>0</v>
      </c>
      <c r="G153" s="7">
        <f t="shared" si="19"/>
        <v>0</v>
      </c>
      <c r="H153" s="7">
        <f t="shared" si="20"/>
        <v>0</v>
      </c>
      <c r="I153" s="8">
        <v>2411</v>
      </c>
      <c r="J153" s="9"/>
      <c r="K153" s="8">
        <f t="shared" si="21"/>
        <v>28932</v>
      </c>
      <c r="L153" s="7">
        <f t="shared" si="22"/>
        <v>0</v>
      </c>
      <c r="M153" s="10">
        <f t="shared" si="25"/>
        <v>1</v>
      </c>
      <c r="N153" s="11">
        <f t="shared" si="23"/>
        <v>0.155537121526338</v>
      </c>
      <c r="O153" s="8">
        <f t="shared" si="26"/>
        <v>9000</v>
      </c>
      <c r="P153" s="12">
        <f t="shared" si="24"/>
        <v>0</v>
      </c>
    </row>
    <row r="154" spans="1:16">
      <c r="A154" s="2">
        <v>45989</v>
      </c>
      <c r="B154" s="3">
        <f>Data_Entry!P244</f>
        <v>8250</v>
      </c>
      <c r="C154" s="4">
        <f>Data_Entry!V244</f>
        <v>2.89</v>
      </c>
      <c r="D154" s="5">
        <f t="shared" si="18"/>
        <v>0.142575694732476</v>
      </c>
      <c r="E154" s="6">
        <v>0</v>
      </c>
      <c r="F154" s="6">
        <v>0</v>
      </c>
      <c r="G154" s="7">
        <f t="shared" si="19"/>
        <v>0</v>
      </c>
      <c r="H154" s="7">
        <f t="shared" si="20"/>
        <v>0</v>
      </c>
      <c r="I154" s="8">
        <v>2411</v>
      </c>
      <c r="J154" s="9"/>
      <c r="K154" s="8">
        <f t="shared" si="21"/>
        <v>28932</v>
      </c>
      <c r="L154" s="7">
        <f t="shared" si="22"/>
        <v>0</v>
      </c>
      <c r="M154" s="10">
        <f t="shared" si="25"/>
        <v>1</v>
      </c>
      <c r="N154" s="11">
        <f t="shared" si="23"/>
        <v>0.142575694732476</v>
      </c>
      <c r="O154" s="8">
        <f t="shared" si="26"/>
        <v>8250</v>
      </c>
      <c r="P154" s="12">
        <f t="shared" si="24"/>
        <v>0</v>
      </c>
    </row>
    <row r="155" spans="1:16">
      <c r="A155" s="2">
        <v>45990</v>
      </c>
      <c r="B155" s="3">
        <f>Data_Entry!P245</f>
        <v>9000</v>
      </c>
      <c r="C155" s="4">
        <f>Data_Entry!V245</f>
        <v>2.58</v>
      </c>
      <c r="D155" s="5">
        <f t="shared" si="18"/>
        <v>0.155537121526338</v>
      </c>
      <c r="E155" s="6">
        <v>0</v>
      </c>
      <c r="F155" s="6">
        <v>0</v>
      </c>
      <c r="G155" s="7">
        <f t="shared" si="19"/>
        <v>0</v>
      </c>
      <c r="H155" s="7">
        <f t="shared" si="20"/>
        <v>0</v>
      </c>
      <c r="I155" s="8">
        <v>2411</v>
      </c>
      <c r="J155" s="9"/>
      <c r="K155" s="8">
        <f t="shared" si="21"/>
        <v>28932</v>
      </c>
      <c r="L155" s="7">
        <f t="shared" si="22"/>
        <v>0</v>
      </c>
      <c r="M155" s="10">
        <f t="shared" si="25"/>
        <v>1</v>
      </c>
      <c r="N155" s="11">
        <f t="shared" si="23"/>
        <v>0.155537121526338</v>
      </c>
      <c r="O155" s="8">
        <f t="shared" si="26"/>
        <v>9000</v>
      </c>
      <c r="P155" s="12">
        <f t="shared" si="24"/>
        <v>0</v>
      </c>
    </row>
    <row r="156" spans="1:16">
      <c r="A156" s="2">
        <v>45991</v>
      </c>
      <c r="B156" s="3">
        <f>Data_Entry!P246</f>
        <v>10229.9999999999</v>
      </c>
      <c r="C156" s="4">
        <f>Data_Entry!V246</f>
        <v>3.01</v>
      </c>
      <c r="D156" s="5">
        <f t="shared" si="18"/>
        <v>0.176793861468269</v>
      </c>
      <c r="E156" s="6">
        <v>0</v>
      </c>
      <c r="F156" s="6">
        <v>0</v>
      </c>
      <c r="G156" s="7">
        <f t="shared" si="19"/>
        <v>0</v>
      </c>
      <c r="H156" s="7">
        <f t="shared" si="20"/>
        <v>0</v>
      </c>
      <c r="I156" s="8">
        <v>2411</v>
      </c>
      <c r="J156" s="9"/>
      <c r="K156" s="8">
        <f t="shared" si="21"/>
        <v>28932</v>
      </c>
      <c r="L156" s="7">
        <f t="shared" si="22"/>
        <v>0</v>
      </c>
      <c r="M156" s="10">
        <f t="shared" si="25"/>
        <v>1</v>
      </c>
      <c r="N156" s="11">
        <f t="shared" si="23"/>
        <v>0.176793861468269</v>
      </c>
      <c r="O156" s="8">
        <f t="shared" si="26"/>
        <v>10229.9999999999</v>
      </c>
      <c r="P156" s="12">
        <f t="shared" si="24"/>
        <v>0</v>
      </c>
    </row>
    <row r="157" spans="1:16">
      <c r="A157" s="2">
        <v>45992</v>
      </c>
      <c r="B157" s="3">
        <f>Data_Entry!P247</f>
        <v>10470</v>
      </c>
      <c r="C157" s="4">
        <f>Data_Entry!V247</f>
        <v>2.41</v>
      </c>
      <c r="D157" s="5">
        <f t="shared" si="18"/>
        <v>0.180941518042307</v>
      </c>
      <c r="E157" s="6">
        <v>0</v>
      </c>
      <c r="F157" s="6">
        <v>0</v>
      </c>
      <c r="G157" s="7">
        <f t="shared" si="19"/>
        <v>0</v>
      </c>
      <c r="H157" s="7">
        <f t="shared" si="20"/>
        <v>0</v>
      </c>
      <c r="I157" s="8">
        <v>2411</v>
      </c>
      <c r="J157" s="9"/>
      <c r="K157" s="8">
        <f t="shared" si="21"/>
        <v>28932</v>
      </c>
      <c r="L157" s="7">
        <f t="shared" si="22"/>
        <v>0</v>
      </c>
      <c r="M157" s="10">
        <f t="shared" si="25"/>
        <v>1</v>
      </c>
      <c r="N157" s="11">
        <f t="shared" si="23"/>
        <v>0.180941518042307</v>
      </c>
      <c r="O157" s="8">
        <f t="shared" si="26"/>
        <v>10470</v>
      </c>
      <c r="P157" s="12">
        <f t="shared" si="24"/>
        <v>0</v>
      </c>
    </row>
    <row r="158" spans="1:16">
      <c r="A158" s="2">
        <v>45993</v>
      </c>
      <c r="B158" s="3">
        <f>Data_Entry!P248</f>
        <v>9990.00000000012</v>
      </c>
      <c r="C158" s="4">
        <f>Data_Entry!V248</f>
        <v>3.5</v>
      </c>
      <c r="D158" s="5">
        <f t="shared" si="18"/>
        <v>0.172646204894237</v>
      </c>
      <c r="E158" s="6">
        <v>0</v>
      </c>
      <c r="F158" s="6">
        <v>0</v>
      </c>
      <c r="G158" s="7">
        <f t="shared" si="19"/>
        <v>0</v>
      </c>
      <c r="H158" s="7">
        <f t="shared" si="20"/>
        <v>0</v>
      </c>
      <c r="I158" s="8">
        <v>2411</v>
      </c>
      <c r="J158" s="9"/>
      <c r="K158" s="8">
        <f t="shared" si="21"/>
        <v>28932</v>
      </c>
      <c r="L158" s="7">
        <f t="shared" si="22"/>
        <v>0</v>
      </c>
      <c r="M158" s="10">
        <f t="shared" si="25"/>
        <v>1</v>
      </c>
      <c r="N158" s="11">
        <f t="shared" si="23"/>
        <v>0.172646204894237</v>
      </c>
      <c r="O158" s="8">
        <f t="shared" si="26"/>
        <v>9990.00000000012</v>
      </c>
      <c r="P158" s="12">
        <f t="shared" si="24"/>
        <v>0</v>
      </c>
    </row>
    <row r="159" spans="1:16">
      <c r="A159" s="2">
        <v>45994</v>
      </c>
      <c r="B159" s="3">
        <f>Data_Entry!P249</f>
        <v>10860</v>
      </c>
      <c r="C159" s="4">
        <f>Data_Entry!V249</f>
        <v>3.86</v>
      </c>
      <c r="D159" s="5">
        <f t="shared" si="18"/>
        <v>0.187681459975114</v>
      </c>
      <c r="E159" s="6">
        <v>0</v>
      </c>
      <c r="F159" s="6">
        <v>0</v>
      </c>
      <c r="G159" s="7">
        <f t="shared" si="19"/>
        <v>0</v>
      </c>
      <c r="H159" s="7">
        <f t="shared" si="20"/>
        <v>0</v>
      </c>
      <c r="I159" s="8">
        <v>2411</v>
      </c>
      <c r="J159" s="9"/>
      <c r="K159" s="8">
        <f t="shared" si="21"/>
        <v>28932</v>
      </c>
      <c r="L159" s="7">
        <f t="shared" si="22"/>
        <v>0</v>
      </c>
      <c r="M159" s="10">
        <f t="shared" si="25"/>
        <v>1</v>
      </c>
      <c r="N159" s="11">
        <f t="shared" si="23"/>
        <v>0.187681459975114</v>
      </c>
      <c r="O159" s="8">
        <f t="shared" si="26"/>
        <v>10860</v>
      </c>
      <c r="P159" s="12">
        <f t="shared" si="24"/>
        <v>0</v>
      </c>
    </row>
    <row r="160" spans="1:16">
      <c r="A160" s="2">
        <v>45995</v>
      </c>
      <c r="B160" s="3">
        <f>Data_Entry!P250</f>
        <v>10649.9999999999</v>
      </c>
      <c r="C160" s="4">
        <f>Data_Entry!V250</f>
        <v>3.86</v>
      </c>
      <c r="D160" s="5">
        <f t="shared" si="18"/>
        <v>0.18405226047283</v>
      </c>
      <c r="E160" s="6">
        <v>0</v>
      </c>
      <c r="F160" s="6">
        <v>0</v>
      </c>
      <c r="G160" s="7">
        <f t="shared" si="19"/>
        <v>0</v>
      </c>
      <c r="H160" s="7">
        <f t="shared" si="20"/>
        <v>0</v>
      </c>
      <c r="I160" s="8">
        <v>2411</v>
      </c>
      <c r="J160" s="9"/>
      <c r="K160" s="8">
        <f t="shared" si="21"/>
        <v>28932</v>
      </c>
      <c r="L160" s="7">
        <f t="shared" si="22"/>
        <v>0</v>
      </c>
      <c r="M160" s="10">
        <f t="shared" si="25"/>
        <v>1</v>
      </c>
      <c r="N160" s="11">
        <f t="shared" si="23"/>
        <v>0.18405226047283</v>
      </c>
      <c r="O160" s="8">
        <f t="shared" si="26"/>
        <v>10649.9999999999</v>
      </c>
      <c r="P160" s="12">
        <f t="shared" si="24"/>
        <v>0</v>
      </c>
    </row>
    <row r="161" spans="1:16">
      <c r="A161" s="2">
        <v>45996</v>
      </c>
      <c r="B161" s="3">
        <f>Data_Entry!P251</f>
        <v>10710.0000000001</v>
      </c>
      <c r="C161" s="4">
        <f>Data_Entry!V251</f>
        <v>3.9</v>
      </c>
      <c r="D161" s="5">
        <f t="shared" si="18"/>
        <v>0.185089174616344</v>
      </c>
      <c r="E161" s="6">
        <v>0</v>
      </c>
      <c r="F161" s="6">
        <v>0</v>
      </c>
      <c r="G161" s="7">
        <f t="shared" si="19"/>
        <v>0</v>
      </c>
      <c r="H161" s="7">
        <f t="shared" si="20"/>
        <v>0</v>
      </c>
      <c r="I161" s="8">
        <v>2411</v>
      </c>
      <c r="J161" s="9"/>
      <c r="K161" s="8">
        <f t="shared" si="21"/>
        <v>28932</v>
      </c>
      <c r="L161" s="7">
        <f t="shared" si="22"/>
        <v>0</v>
      </c>
      <c r="M161" s="10">
        <f t="shared" si="25"/>
        <v>1</v>
      </c>
      <c r="N161" s="11">
        <f t="shared" si="23"/>
        <v>0.185089174616344</v>
      </c>
      <c r="O161" s="8">
        <f t="shared" si="26"/>
        <v>10710.0000000001</v>
      </c>
      <c r="P161" s="12">
        <f t="shared" si="24"/>
        <v>0</v>
      </c>
    </row>
    <row r="162" spans="1:16">
      <c r="A162" s="2">
        <v>45997</v>
      </c>
      <c r="B162" s="3">
        <f>Data_Entry!P252</f>
        <v>10619.9999999999</v>
      </c>
      <c r="C162" s="4">
        <f>Data_Entry!V252</f>
        <v>3.77</v>
      </c>
      <c r="D162" s="5">
        <f t="shared" si="18"/>
        <v>0.183533803401077</v>
      </c>
      <c r="E162" s="6">
        <v>0</v>
      </c>
      <c r="F162" s="6">
        <v>0</v>
      </c>
      <c r="G162" s="7">
        <f t="shared" si="19"/>
        <v>0</v>
      </c>
      <c r="H162" s="7">
        <f t="shared" si="20"/>
        <v>0</v>
      </c>
      <c r="I162" s="8">
        <v>2411</v>
      </c>
      <c r="J162" s="9"/>
      <c r="K162" s="8">
        <f t="shared" si="21"/>
        <v>28932</v>
      </c>
      <c r="L162" s="7">
        <f t="shared" si="22"/>
        <v>0</v>
      </c>
      <c r="M162" s="10">
        <f t="shared" si="25"/>
        <v>1</v>
      </c>
      <c r="N162" s="11">
        <f t="shared" si="23"/>
        <v>0.183533803401077</v>
      </c>
      <c r="O162" s="8">
        <f t="shared" si="26"/>
        <v>10619.9999999999</v>
      </c>
      <c r="P162" s="12">
        <f t="shared" si="24"/>
        <v>0</v>
      </c>
    </row>
    <row r="163" spans="1:16">
      <c r="A163" s="2">
        <v>45998</v>
      </c>
      <c r="B163" s="3">
        <f>Data_Entry!P253</f>
        <v>11280</v>
      </c>
      <c r="C163" s="4">
        <f>Data_Entry!V253</f>
        <v>4.14</v>
      </c>
      <c r="D163" s="5">
        <f t="shared" si="18"/>
        <v>0.194939858979676</v>
      </c>
      <c r="E163" s="6">
        <v>0</v>
      </c>
      <c r="F163" s="6">
        <v>0</v>
      </c>
      <c r="G163" s="7">
        <f t="shared" si="19"/>
        <v>0</v>
      </c>
      <c r="H163" s="7">
        <f t="shared" si="20"/>
        <v>0</v>
      </c>
      <c r="I163" s="8">
        <v>2411</v>
      </c>
      <c r="J163" s="9"/>
      <c r="K163" s="8">
        <f t="shared" si="21"/>
        <v>28932</v>
      </c>
      <c r="L163" s="7">
        <f t="shared" si="22"/>
        <v>0</v>
      </c>
      <c r="M163" s="10">
        <f t="shared" si="25"/>
        <v>1</v>
      </c>
      <c r="N163" s="11">
        <f t="shared" si="23"/>
        <v>0.194939858979676</v>
      </c>
      <c r="O163" s="8">
        <f t="shared" si="26"/>
        <v>11280</v>
      </c>
      <c r="P163" s="12">
        <f t="shared" si="24"/>
        <v>0</v>
      </c>
    </row>
    <row r="164" spans="1:16">
      <c r="A164" s="2">
        <v>45999</v>
      </c>
      <c r="B164" s="3">
        <f>Data_Entry!P254</f>
        <v>11040.0000000002</v>
      </c>
      <c r="C164" s="4">
        <f>Data_Entry!V254</f>
        <v>4.06</v>
      </c>
      <c r="D164" s="5">
        <f t="shared" si="18"/>
        <v>0.190792202405644</v>
      </c>
      <c r="E164" s="6">
        <v>0</v>
      </c>
      <c r="F164" s="6">
        <v>0</v>
      </c>
      <c r="G164" s="7">
        <f t="shared" si="19"/>
        <v>0</v>
      </c>
      <c r="H164" s="7">
        <f t="shared" si="20"/>
        <v>0</v>
      </c>
      <c r="I164" s="8">
        <v>2411</v>
      </c>
      <c r="J164" s="9"/>
      <c r="K164" s="8">
        <f t="shared" si="21"/>
        <v>28932</v>
      </c>
      <c r="L164" s="7">
        <f t="shared" si="22"/>
        <v>0</v>
      </c>
      <c r="M164" s="10">
        <f t="shared" si="25"/>
        <v>1</v>
      </c>
      <c r="N164" s="11">
        <f t="shared" si="23"/>
        <v>0.190792202405644</v>
      </c>
      <c r="O164" s="8">
        <f t="shared" si="26"/>
        <v>11040.0000000002</v>
      </c>
      <c r="P164" s="12">
        <f t="shared" si="24"/>
        <v>0</v>
      </c>
    </row>
    <row r="165" spans="1:16">
      <c r="A165" s="2">
        <v>46000</v>
      </c>
      <c r="B165" s="3">
        <f>Data_Entry!P255</f>
        <v>12030</v>
      </c>
      <c r="C165" s="4">
        <f>Data_Entry!V255</f>
        <v>4.47</v>
      </c>
      <c r="D165" s="5">
        <f t="shared" si="18"/>
        <v>0.207901285773537</v>
      </c>
      <c r="E165" s="6">
        <v>0</v>
      </c>
      <c r="F165" s="6">
        <v>0</v>
      </c>
      <c r="G165" s="7">
        <f t="shared" si="19"/>
        <v>0</v>
      </c>
      <c r="H165" s="7">
        <f t="shared" si="20"/>
        <v>0</v>
      </c>
      <c r="I165" s="8">
        <v>2411</v>
      </c>
      <c r="J165" s="9"/>
      <c r="K165" s="8">
        <f t="shared" si="21"/>
        <v>28932</v>
      </c>
      <c r="L165" s="7">
        <f t="shared" si="22"/>
        <v>0</v>
      </c>
      <c r="M165" s="10">
        <f t="shared" si="25"/>
        <v>1</v>
      </c>
      <c r="N165" s="11">
        <f t="shared" si="23"/>
        <v>0.207901285773537</v>
      </c>
      <c r="O165" s="8">
        <f t="shared" si="26"/>
        <v>12030</v>
      </c>
      <c r="P165" s="12">
        <f t="shared" si="24"/>
        <v>0</v>
      </c>
    </row>
    <row r="166" spans="1:16">
      <c r="A166" s="2">
        <v>46001</v>
      </c>
      <c r="B166" s="3">
        <f>Data_Entry!P256</f>
        <v>11940.0000000001</v>
      </c>
      <c r="C166" s="4">
        <f>Data_Entry!V256</f>
        <v>4.44</v>
      </c>
      <c r="D166" s="5">
        <f t="shared" si="18"/>
        <v>0.206345914558276</v>
      </c>
      <c r="E166" s="6">
        <v>0</v>
      </c>
      <c r="F166" s="6">
        <v>0</v>
      </c>
      <c r="G166" s="7">
        <f t="shared" si="19"/>
        <v>0</v>
      </c>
      <c r="H166" s="7">
        <f t="shared" si="20"/>
        <v>0</v>
      </c>
      <c r="I166" s="8">
        <v>2411</v>
      </c>
      <c r="J166" s="9"/>
      <c r="K166" s="8">
        <f t="shared" si="21"/>
        <v>28932</v>
      </c>
      <c r="L166" s="7">
        <f t="shared" si="22"/>
        <v>0</v>
      </c>
      <c r="M166" s="10">
        <f t="shared" si="25"/>
        <v>1</v>
      </c>
      <c r="N166" s="11">
        <f t="shared" si="23"/>
        <v>0.206345914558276</v>
      </c>
      <c r="O166" s="8">
        <f t="shared" si="26"/>
        <v>11940.0000000001</v>
      </c>
      <c r="P166" s="12">
        <f t="shared" si="24"/>
        <v>0</v>
      </c>
    </row>
    <row r="167" spans="1:16">
      <c r="A167" s="2">
        <v>46002</v>
      </c>
      <c r="B167" s="3">
        <f>Data_Entry!P257</f>
        <v>12089.9999999999</v>
      </c>
      <c r="C167" s="4">
        <f>Data_Entry!V257</f>
        <v>4.32</v>
      </c>
      <c r="D167" s="5">
        <f t="shared" si="18"/>
        <v>0.208938199917045</v>
      </c>
      <c r="E167" s="6">
        <v>0</v>
      </c>
      <c r="F167" s="6">
        <v>0</v>
      </c>
      <c r="G167" s="7">
        <f t="shared" si="19"/>
        <v>0</v>
      </c>
      <c r="H167" s="7">
        <f t="shared" si="20"/>
        <v>0</v>
      </c>
      <c r="I167" s="8">
        <v>2411</v>
      </c>
      <c r="J167" s="9"/>
      <c r="K167" s="8">
        <f t="shared" si="21"/>
        <v>28932</v>
      </c>
      <c r="L167" s="7">
        <f t="shared" si="22"/>
        <v>0</v>
      </c>
      <c r="M167" s="10">
        <f t="shared" si="25"/>
        <v>1</v>
      </c>
      <c r="N167" s="11">
        <f t="shared" si="23"/>
        <v>0.208938199917045</v>
      </c>
      <c r="O167" s="8">
        <f t="shared" si="26"/>
        <v>12089.9999999999</v>
      </c>
      <c r="P167" s="12">
        <f t="shared" si="24"/>
        <v>0</v>
      </c>
    </row>
    <row r="168" spans="1:16">
      <c r="A168" s="2">
        <v>46003</v>
      </c>
      <c r="B168" s="3">
        <f>Data_Entry!P258</f>
        <v>11940.0000000001</v>
      </c>
      <c r="C168" s="4">
        <f>Data_Entry!V258</f>
        <v>4.1</v>
      </c>
      <c r="D168" s="5">
        <f t="shared" si="18"/>
        <v>0.206345914558276</v>
      </c>
      <c r="E168" s="6">
        <v>0</v>
      </c>
      <c r="F168" s="6">
        <v>0</v>
      </c>
      <c r="G168" s="7">
        <f t="shared" si="19"/>
        <v>0</v>
      </c>
      <c r="H168" s="7">
        <f t="shared" si="20"/>
        <v>0</v>
      </c>
      <c r="I168" s="8">
        <v>2411</v>
      </c>
      <c r="J168" s="9"/>
      <c r="K168" s="8">
        <f t="shared" si="21"/>
        <v>28932</v>
      </c>
      <c r="L168" s="7">
        <f t="shared" si="22"/>
        <v>0</v>
      </c>
      <c r="M168" s="10">
        <f t="shared" si="25"/>
        <v>1</v>
      </c>
      <c r="N168" s="11">
        <f t="shared" si="23"/>
        <v>0.206345914558276</v>
      </c>
      <c r="O168" s="8">
        <f t="shared" si="26"/>
        <v>11940.0000000001</v>
      </c>
      <c r="P168" s="12">
        <f t="shared" si="24"/>
        <v>0</v>
      </c>
    </row>
    <row r="169" spans="1:16">
      <c r="A169" s="2">
        <v>46004</v>
      </c>
      <c r="B169" s="3">
        <f>Data_Entry!P259</f>
        <v>11699.9999999999</v>
      </c>
      <c r="C169" s="4">
        <f>Data_Entry!V259</f>
        <v>4.3</v>
      </c>
      <c r="D169" s="5">
        <f t="shared" si="18"/>
        <v>0.202198257984238</v>
      </c>
      <c r="E169" s="6">
        <v>0</v>
      </c>
      <c r="F169" s="6">
        <v>0</v>
      </c>
      <c r="G169" s="7">
        <f t="shared" si="19"/>
        <v>0</v>
      </c>
      <c r="H169" s="7">
        <f t="shared" si="20"/>
        <v>0</v>
      </c>
      <c r="I169" s="8">
        <v>2411</v>
      </c>
      <c r="J169" s="9"/>
      <c r="K169" s="8">
        <f t="shared" si="21"/>
        <v>28932</v>
      </c>
      <c r="L169" s="7">
        <f t="shared" si="22"/>
        <v>0</v>
      </c>
      <c r="M169" s="10">
        <f t="shared" si="25"/>
        <v>1</v>
      </c>
      <c r="N169" s="11">
        <f t="shared" si="23"/>
        <v>0.202198257984238</v>
      </c>
      <c r="O169" s="8">
        <f t="shared" si="26"/>
        <v>11699.9999999999</v>
      </c>
      <c r="P169" s="12">
        <f t="shared" si="24"/>
        <v>0</v>
      </c>
    </row>
    <row r="170" spans="1:16">
      <c r="A170" s="2">
        <v>46005</v>
      </c>
      <c r="B170" s="3">
        <f>Data_Entry!P260</f>
        <v>11489.9999999998</v>
      </c>
      <c r="C170" s="4">
        <f>Data_Entry!V260</f>
        <v>4.2</v>
      </c>
      <c r="D170" s="5">
        <f t="shared" si="18"/>
        <v>0.198569058481954</v>
      </c>
      <c r="E170" s="6">
        <v>0</v>
      </c>
      <c r="F170" s="6">
        <v>0</v>
      </c>
      <c r="G170" s="7">
        <f t="shared" si="19"/>
        <v>0</v>
      </c>
      <c r="H170" s="7">
        <f t="shared" si="20"/>
        <v>0</v>
      </c>
      <c r="I170" s="8">
        <v>2411</v>
      </c>
      <c r="J170" s="9"/>
      <c r="K170" s="8">
        <f t="shared" si="21"/>
        <v>28932</v>
      </c>
      <c r="L170" s="7">
        <f t="shared" si="22"/>
        <v>0</v>
      </c>
      <c r="M170" s="10">
        <f t="shared" si="25"/>
        <v>1</v>
      </c>
      <c r="N170" s="11">
        <f t="shared" si="23"/>
        <v>0.198569058481954</v>
      </c>
      <c r="O170" s="8">
        <f t="shared" si="26"/>
        <v>11489.9999999998</v>
      </c>
      <c r="P170" s="12">
        <f t="shared" si="24"/>
        <v>0</v>
      </c>
    </row>
    <row r="171" spans="1:16">
      <c r="A171" s="2">
        <v>46006</v>
      </c>
      <c r="B171" s="3">
        <f>Data_Entry!P261</f>
        <v>11610</v>
      </c>
      <c r="C171" s="4">
        <f>Data_Entry!V261</f>
        <v>4.26</v>
      </c>
      <c r="D171" s="5">
        <f t="shared" si="18"/>
        <v>0.200642886768976</v>
      </c>
      <c r="E171" s="6">
        <v>0</v>
      </c>
      <c r="F171" s="6">
        <v>0</v>
      </c>
      <c r="G171" s="7">
        <f t="shared" si="19"/>
        <v>0</v>
      </c>
      <c r="H171" s="7">
        <f t="shared" si="20"/>
        <v>0</v>
      </c>
      <c r="I171" s="8">
        <v>2411</v>
      </c>
      <c r="J171" s="9"/>
      <c r="K171" s="8">
        <f t="shared" si="21"/>
        <v>28932</v>
      </c>
      <c r="L171" s="7">
        <f t="shared" si="22"/>
        <v>0</v>
      </c>
      <c r="M171" s="10">
        <f t="shared" si="25"/>
        <v>1</v>
      </c>
      <c r="N171" s="11">
        <f t="shared" si="23"/>
        <v>0.200642886768976</v>
      </c>
      <c r="O171" s="8">
        <f t="shared" si="26"/>
        <v>11610</v>
      </c>
      <c r="P171" s="12">
        <f t="shared" si="24"/>
        <v>0</v>
      </c>
    </row>
    <row r="172" spans="1:16">
      <c r="A172" s="2">
        <v>46007</v>
      </c>
      <c r="B172" s="3">
        <f>Data_Entry!P262</f>
        <v>11280</v>
      </c>
      <c r="C172" s="4">
        <f>Data_Entry!V262</f>
        <v>4.1</v>
      </c>
      <c r="D172" s="5">
        <f t="shared" si="18"/>
        <v>0.194939858979676</v>
      </c>
      <c r="E172" s="6">
        <v>0</v>
      </c>
      <c r="F172" s="6">
        <v>0</v>
      </c>
      <c r="G172" s="7">
        <f t="shared" si="19"/>
        <v>0</v>
      </c>
      <c r="H172" s="7">
        <f t="shared" si="20"/>
        <v>0</v>
      </c>
      <c r="I172" s="8">
        <v>2411</v>
      </c>
      <c r="J172" s="9"/>
      <c r="K172" s="8">
        <f t="shared" si="21"/>
        <v>28932</v>
      </c>
      <c r="L172" s="7">
        <f t="shared" si="22"/>
        <v>0</v>
      </c>
      <c r="M172" s="10">
        <f t="shared" si="25"/>
        <v>1</v>
      </c>
      <c r="N172" s="11">
        <f t="shared" si="23"/>
        <v>0.194939858979676</v>
      </c>
      <c r="O172" s="8">
        <f t="shared" si="26"/>
        <v>11280</v>
      </c>
      <c r="P172" s="12">
        <f t="shared" si="24"/>
        <v>0</v>
      </c>
    </row>
    <row r="173" spans="1:16">
      <c r="A173" s="2">
        <v>46008</v>
      </c>
      <c r="B173" s="3">
        <f>Data_Entry!P263</f>
        <v>10680.0000000002</v>
      </c>
      <c r="C173" s="4">
        <f>Data_Entry!V263</f>
        <v>3.88</v>
      </c>
      <c r="D173" s="5">
        <f t="shared" si="18"/>
        <v>0.18457071754459</v>
      </c>
      <c r="E173" s="6">
        <v>0</v>
      </c>
      <c r="F173" s="6">
        <v>0</v>
      </c>
      <c r="G173" s="7">
        <f t="shared" si="19"/>
        <v>0</v>
      </c>
      <c r="H173" s="7">
        <f t="shared" si="20"/>
        <v>0</v>
      </c>
      <c r="I173" s="8">
        <v>2411</v>
      </c>
      <c r="J173" s="9"/>
      <c r="K173" s="8">
        <f t="shared" si="21"/>
        <v>28932</v>
      </c>
      <c r="L173" s="7">
        <f t="shared" si="22"/>
        <v>0</v>
      </c>
      <c r="M173" s="10">
        <f t="shared" si="25"/>
        <v>1</v>
      </c>
      <c r="N173" s="11">
        <f t="shared" si="23"/>
        <v>0.18457071754459</v>
      </c>
      <c r="O173" s="8">
        <f t="shared" si="26"/>
        <v>10680.0000000002</v>
      </c>
      <c r="P173" s="12">
        <f t="shared" si="24"/>
        <v>0</v>
      </c>
    </row>
    <row r="174" spans="1:16">
      <c r="A174" s="2">
        <v>46009</v>
      </c>
      <c r="B174" s="3">
        <f>Data_Entry!P264</f>
        <v>11339.9999999999</v>
      </c>
      <c r="C174" s="4">
        <f>Data_Entry!V264</f>
        <v>4.08</v>
      </c>
      <c r="D174" s="5">
        <f t="shared" si="18"/>
        <v>0.195976773123184</v>
      </c>
      <c r="E174" s="6">
        <v>0</v>
      </c>
      <c r="F174" s="6">
        <v>0</v>
      </c>
      <c r="G174" s="7">
        <f t="shared" si="19"/>
        <v>0</v>
      </c>
      <c r="H174" s="7">
        <f t="shared" si="20"/>
        <v>0</v>
      </c>
      <c r="I174" s="8">
        <v>2411</v>
      </c>
      <c r="J174" s="9"/>
      <c r="K174" s="8">
        <f t="shared" si="21"/>
        <v>28932</v>
      </c>
      <c r="L174" s="7">
        <f t="shared" si="22"/>
        <v>0</v>
      </c>
      <c r="M174" s="10">
        <f t="shared" si="25"/>
        <v>1</v>
      </c>
      <c r="N174" s="11">
        <f t="shared" si="23"/>
        <v>0.195976773123184</v>
      </c>
      <c r="O174" s="8">
        <f t="shared" si="26"/>
        <v>11339.9999999999</v>
      </c>
      <c r="P174" s="12">
        <f t="shared" si="24"/>
        <v>0</v>
      </c>
    </row>
    <row r="175" spans="1:16">
      <c r="A175" s="2">
        <v>46010</v>
      </c>
      <c r="B175" s="3">
        <f>Data_Entry!P265</f>
        <v>12180.0000000002</v>
      </c>
      <c r="C175" s="4">
        <f>Data_Entry!V265</f>
        <v>4.38</v>
      </c>
      <c r="D175" s="5">
        <f t="shared" si="18"/>
        <v>0.210493571132313</v>
      </c>
      <c r="E175" s="6">
        <v>0</v>
      </c>
      <c r="F175" s="6">
        <v>0</v>
      </c>
      <c r="G175" s="7">
        <f t="shared" si="19"/>
        <v>0</v>
      </c>
      <c r="H175" s="7">
        <f t="shared" si="20"/>
        <v>0</v>
      </c>
      <c r="I175" s="8">
        <v>2411</v>
      </c>
      <c r="J175" s="9"/>
      <c r="K175" s="8">
        <f t="shared" si="21"/>
        <v>28932</v>
      </c>
      <c r="L175" s="7">
        <f t="shared" si="22"/>
        <v>0</v>
      </c>
      <c r="M175" s="10">
        <f t="shared" si="25"/>
        <v>1</v>
      </c>
      <c r="N175" s="11">
        <f t="shared" si="23"/>
        <v>0.210493571132313</v>
      </c>
      <c r="O175" s="8">
        <f t="shared" si="26"/>
        <v>12180.0000000002</v>
      </c>
      <c r="P175" s="12">
        <f t="shared" si="24"/>
        <v>0</v>
      </c>
    </row>
    <row r="176" spans="1:16">
      <c r="A176" s="2">
        <v>46011</v>
      </c>
      <c r="B176" s="3">
        <f>Data_Entry!P266</f>
        <v>11940.0000000001</v>
      </c>
      <c r="C176" s="4">
        <f>Data_Entry!V266</f>
        <v>4.35</v>
      </c>
      <c r="D176" s="5">
        <f t="shared" si="18"/>
        <v>0.206345914558276</v>
      </c>
      <c r="E176" s="6">
        <v>0</v>
      </c>
      <c r="F176" s="6">
        <v>0</v>
      </c>
      <c r="G176" s="7">
        <f t="shared" si="19"/>
        <v>0</v>
      </c>
      <c r="H176" s="7">
        <f t="shared" si="20"/>
        <v>0</v>
      </c>
      <c r="I176" s="8">
        <v>2411</v>
      </c>
      <c r="J176" s="9"/>
      <c r="K176" s="8">
        <f t="shared" si="21"/>
        <v>28932</v>
      </c>
      <c r="L176" s="7">
        <f t="shared" si="22"/>
        <v>0</v>
      </c>
      <c r="M176" s="10">
        <f t="shared" si="25"/>
        <v>1</v>
      </c>
      <c r="N176" s="11">
        <f t="shared" si="23"/>
        <v>0.206345914558276</v>
      </c>
      <c r="O176" s="8">
        <f t="shared" si="26"/>
        <v>11940.0000000001</v>
      </c>
      <c r="P176" s="12">
        <f t="shared" si="24"/>
        <v>0</v>
      </c>
    </row>
    <row r="177" spans="1:16">
      <c r="A177" s="2">
        <v>46012</v>
      </c>
      <c r="B177" s="3">
        <f>Data_Entry!P267</f>
        <v>8099.9999999998</v>
      </c>
      <c r="C177" s="4">
        <f>Data_Entry!V267</f>
        <v>3.07</v>
      </c>
      <c r="D177" s="5">
        <f t="shared" si="18"/>
        <v>0.1399834093737</v>
      </c>
      <c r="E177" s="6">
        <v>0.472222222222222</v>
      </c>
      <c r="F177" s="6">
        <v>0.53125</v>
      </c>
      <c r="G177" s="7">
        <f t="shared" si="19"/>
        <v>85.0000000000003</v>
      </c>
      <c r="H177" s="7">
        <f t="shared" si="20"/>
        <v>1.41666666666667</v>
      </c>
      <c r="I177" s="8">
        <v>2411</v>
      </c>
      <c r="J177" s="9">
        <v>2411</v>
      </c>
      <c r="K177" s="8">
        <f t="shared" si="21"/>
        <v>28932</v>
      </c>
      <c r="L177" s="7">
        <f t="shared" si="22"/>
        <v>3415.58333333335</v>
      </c>
      <c r="M177" s="10">
        <f t="shared" si="25"/>
        <v>0.881944444444444</v>
      </c>
      <c r="N177" s="11">
        <f t="shared" si="23"/>
        <v>0.158721346061519</v>
      </c>
      <c r="O177" s="8">
        <f t="shared" si="26"/>
        <v>9184.25196850371</v>
      </c>
      <c r="P177" s="12">
        <f t="shared" si="24"/>
        <v>1084.25196850391</v>
      </c>
    </row>
    <row r="178" spans="1:16">
      <c r="A178" s="2">
        <v>46013</v>
      </c>
      <c r="B178" s="3">
        <f>Data_Entry!P268</f>
        <v>11309.9999999999</v>
      </c>
      <c r="C178" s="4">
        <f>Data_Entry!V268</f>
        <v>4.03</v>
      </c>
      <c r="D178" s="5">
        <f t="shared" si="18"/>
        <v>0.19545831605143</v>
      </c>
      <c r="E178" s="6">
        <v>0</v>
      </c>
      <c r="F178" s="6">
        <v>0</v>
      </c>
      <c r="G178" s="7">
        <f t="shared" si="19"/>
        <v>0</v>
      </c>
      <c r="H178" s="7">
        <f t="shared" si="20"/>
        <v>0</v>
      </c>
      <c r="I178" s="8">
        <v>2411</v>
      </c>
      <c r="J178" s="9"/>
      <c r="K178" s="8">
        <f t="shared" si="21"/>
        <v>28932</v>
      </c>
      <c r="L178" s="7">
        <f t="shared" si="22"/>
        <v>0</v>
      </c>
      <c r="M178" s="10">
        <f t="shared" si="25"/>
        <v>1</v>
      </c>
      <c r="N178" s="11">
        <f t="shared" si="23"/>
        <v>0.19545831605143</v>
      </c>
      <c r="O178" s="8">
        <f t="shared" si="26"/>
        <v>11309.9999999999</v>
      </c>
      <c r="P178" s="12">
        <f t="shared" si="24"/>
        <v>0</v>
      </c>
    </row>
    <row r="179" spans="1:16">
      <c r="A179" s="2">
        <v>46014</v>
      </c>
      <c r="B179" s="3">
        <f>Data_Entry!P269</f>
        <v>11670</v>
      </c>
      <c r="C179" s="4">
        <f>Data_Entry!V269</f>
        <v>4.14</v>
      </c>
      <c r="D179" s="5">
        <f t="shared" si="18"/>
        <v>0.201679800912484</v>
      </c>
      <c r="E179" s="6">
        <v>0</v>
      </c>
      <c r="F179" s="6">
        <v>0</v>
      </c>
      <c r="G179" s="7">
        <f t="shared" si="19"/>
        <v>0</v>
      </c>
      <c r="H179" s="7">
        <f t="shared" si="20"/>
        <v>0</v>
      </c>
      <c r="I179" s="8">
        <v>2411</v>
      </c>
      <c r="J179" s="9"/>
      <c r="K179" s="8">
        <f t="shared" si="21"/>
        <v>28932</v>
      </c>
      <c r="L179" s="7">
        <f t="shared" si="22"/>
        <v>0</v>
      </c>
      <c r="M179" s="10">
        <f t="shared" si="25"/>
        <v>1</v>
      </c>
      <c r="N179" s="11">
        <f t="shared" si="23"/>
        <v>0.201679800912484</v>
      </c>
      <c r="O179" s="8">
        <f t="shared" si="26"/>
        <v>11670</v>
      </c>
      <c r="P179" s="12">
        <f t="shared" si="24"/>
        <v>0</v>
      </c>
    </row>
    <row r="180" spans="1:16">
      <c r="A180" s="2">
        <v>46015</v>
      </c>
      <c r="B180" s="3">
        <f>Data_Entry!P270</f>
        <v>11730.0000000002</v>
      </c>
      <c r="C180" s="4">
        <f>Data_Entry!V270</f>
        <v>4.19</v>
      </c>
      <c r="D180" s="5">
        <f t="shared" si="18"/>
        <v>0.202716715055998</v>
      </c>
      <c r="E180" s="6">
        <v>0</v>
      </c>
      <c r="F180" s="6">
        <v>0</v>
      </c>
      <c r="G180" s="7">
        <f t="shared" si="19"/>
        <v>0</v>
      </c>
      <c r="H180" s="7">
        <f t="shared" si="20"/>
        <v>0</v>
      </c>
      <c r="I180" s="8">
        <v>2411</v>
      </c>
      <c r="J180" s="9"/>
      <c r="K180" s="8">
        <f t="shared" si="21"/>
        <v>28932</v>
      </c>
      <c r="L180" s="7">
        <f t="shared" si="22"/>
        <v>0</v>
      </c>
      <c r="M180" s="10">
        <f t="shared" si="25"/>
        <v>1</v>
      </c>
      <c r="N180" s="11">
        <f t="shared" si="23"/>
        <v>0.202716715055998</v>
      </c>
      <c r="O180" s="8">
        <f t="shared" si="26"/>
        <v>11730.0000000002</v>
      </c>
      <c r="P180" s="12">
        <f t="shared" si="24"/>
        <v>0</v>
      </c>
    </row>
    <row r="181" spans="1:16">
      <c r="A181" s="2">
        <v>46016</v>
      </c>
      <c r="B181" s="3">
        <f>Data_Entry!P271</f>
        <v>11009.9999999999</v>
      </c>
      <c r="C181" s="4">
        <f>Data_Entry!V271</f>
        <v>4.12</v>
      </c>
      <c r="D181" s="5">
        <f t="shared" si="18"/>
        <v>0.190273745333884</v>
      </c>
      <c r="E181" s="6">
        <v>0</v>
      </c>
      <c r="F181" s="6">
        <v>0</v>
      </c>
      <c r="G181" s="7">
        <f t="shared" si="19"/>
        <v>0</v>
      </c>
      <c r="H181" s="7">
        <f t="shared" si="20"/>
        <v>0</v>
      </c>
      <c r="I181" s="8">
        <v>2411</v>
      </c>
      <c r="J181" s="9"/>
      <c r="K181" s="8">
        <f t="shared" si="21"/>
        <v>28932</v>
      </c>
      <c r="L181" s="7">
        <f t="shared" si="22"/>
        <v>0</v>
      </c>
      <c r="M181" s="10">
        <f t="shared" si="25"/>
        <v>1</v>
      </c>
      <c r="N181" s="11">
        <f t="shared" si="23"/>
        <v>0.190273745333884</v>
      </c>
      <c r="O181" s="8">
        <f t="shared" si="26"/>
        <v>11009.9999999999</v>
      </c>
      <c r="P181" s="12">
        <f t="shared" si="24"/>
        <v>0</v>
      </c>
    </row>
    <row r="182" spans="1:16">
      <c r="A182" s="2">
        <v>46017</v>
      </c>
      <c r="B182" s="3">
        <f>Data_Entry!P272</f>
        <v>11039.9999999999</v>
      </c>
      <c r="C182" s="4">
        <f>Data_Entry!V272</f>
        <v>3.95</v>
      </c>
      <c r="D182" s="5">
        <f t="shared" si="18"/>
        <v>0.190792202405638</v>
      </c>
      <c r="E182" s="6">
        <v>0</v>
      </c>
      <c r="F182" s="6">
        <v>0</v>
      </c>
      <c r="G182" s="7">
        <f t="shared" si="19"/>
        <v>0</v>
      </c>
      <c r="H182" s="7">
        <f t="shared" si="20"/>
        <v>0</v>
      </c>
      <c r="I182" s="8">
        <v>2411</v>
      </c>
      <c r="J182" s="9"/>
      <c r="K182" s="8">
        <f t="shared" si="21"/>
        <v>28932</v>
      </c>
      <c r="L182" s="7">
        <f t="shared" si="22"/>
        <v>0</v>
      </c>
      <c r="M182" s="10">
        <f t="shared" si="25"/>
        <v>1</v>
      </c>
      <c r="N182" s="11">
        <f t="shared" si="23"/>
        <v>0.190792202405638</v>
      </c>
      <c r="O182" s="8">
        <f t="shared" si="26"/>
        <v>11039.9999999999</v>
      </c>
      <c r="P182" s="12">
        <f t="shared" si="24"/>
        <v>0</v>
      </c>
    </row>
    <row r="183" spans="1:16">
      <c r="A183" s="2">
        <v>46018</v>
      </c>
      <c r="B183" s="3">
        <f>Data_Entry!P273</f>
        <v>10560.0000000003</v>
      </c>
      <c r="C183" s="4">
        <f>Data_Entry!V273</f>
        <v>3.75</v>
      </c>
      <c r="D183" s="5">
        <f t="shared" si="18"/>
        <v>0.182496889257574</v>
      </c>
      <c r="E183" s="6">
        <v>0</v>
      </c>
      <c r="F183" s="6">
        <v>0</v>
      </c>
      <c r="G183" s="7">
        <f t="shared" si="19"/>
        <v>0</v>
      </c>
      <c r="H183" s="7">
        <f t="shared" si="20"/>
        <v>0</v>
      </c>
      <c r="I183" s="8">
        <v>2411</v>
      </c>
      <c r="J183" s="9"/>
      <c r="K183" s="8">
        <f t="shared" si="21"/>
        <v>28932</v>
      </c>
      <c r="L183" s="7">
        <f t="shared" si="22"/>
        <v>0</v>
      </c>
      <c r="M183" s="10">
        <f t="shared" si="25"/>
        <v>1</v>
      </c>
      <c r="N183" s="11">
        <f t="shared" si="23"/>
        <v>0.182496889257574</v>
      </c>
      <c r="O183" s="8">
        <f t="shared" si="26"/>
        <v>10560.0000000003</v>
      </c>
      <c r="P183" s="12">
        <f t="shared" si="24"/>
        <v>0</v>
      </c>
    </row>
    <row r="184" spans="1:16">
      <c r="A184" s="2">
        <v>46019</v>
      </c>
      <c r="B184" s="3">
        <f>Data_Entry!P274</f>
        <v>10619.9999999999</v>
      </c>
      <c r="C184" s="4">
        <f>Data_Entry!V274</f>
        <v>0</v>
      </c>
      <c r="D184" s="5">
        <f t="shared" si="18"/>
        <v>0.183533803401077</v>
      </c>
      <c r="E184" s="6">
        <v>0</v>
      </c>
      <c r="F184" s="6">
        <v>0</v>
      </c>
      <c r="G184" s="7">
        <f t="shared" si="19"/>
        <v>0</v>
      </c>
      <c r="H184" s="7">
        <f t="shared" si="20"/>
        <v>0</v>
      </c>
      <c r="I184" s="8">
        <v>2411</v>
      </c>
      <c r="J184" s="9"/>
      <c r="K184" s="8">
        <f t="shared" si="21"/>
        <v>28932</v>
      </c>
      <c r="L184" s="7">
        <f t="shared" si="22"/>
        <v>0</v>
      </c>
      <c r="M184" s="10">
        <f t="shared" si="25"/>
        <v>1</v>
      </c>
      <c r="N184" s="11">
        <f t="shared" si="23"/>
        <v>0.183533803401077</v>
      </c>
      <c r="O184" s="8">
        <f t="shared" si="26"/>
        <v>10619.9999999999</v>
      </c>
      <c r="P184" s="12">
        <f t="shared" si="24"/>
        <v>0</v>
      </c>
    </row>
    <row r="185" spans="1:16">
      <c r="A185" s="2">
        <v>46020</v>
      </c>
      <c r="B185" s="3">
        <f>Data_Entry!P275</f>
        <v>9990.00000000012</v>
      </c>
      <c r="C185" s="4">
        <f>Data_Entry!V275</f>
        <v>3.76</v>
      </c>
      <c r="D185" s="5">
        <f t="shared" si="18"/>
        <v>0.172646204894237</v>
      </c>
      <c r="E185" s="6">
        <v>0.534722222222222</v>
      </c>
      <c r="F185" s="6">
        <v>0.538194444444444</v>
      </c>
      <c r="G185" s="7">
        <f t="shared" si="19"/>
        <v>4.99999999999966</v>
      </c>
      <c r="H185" s="7">
        <f t="shared" si="20"/>
        <v>0.0833333333333277</v>
      </c>
      <c r="I185" s="8">
        <v>2411</v>
      </c>
      <c r="J185" s="9">
        <v>2411</v>
      </c>
      <c r="K185" s="8">
        <f t="shared" si="21"/>
        <v>28932</v>
      </c>
      <c r="L185" s="7">
        <f t="shared" si="22"/>
        <v>200.916666666653</v>
      </c>
      <c r="M185" s="10">
        <f t="shared" si="25"/>
        <v>0.993055555555556</v>
      </c>
      <c r="N185" s="11">
        <f t="shared" si="23"/>
        <v>0.173853521012378</v>
      </c>
      <c r="O185" s="8">
        <f t="shared" si="26"/>
        <v>10059.8601398603</v>
      </c>
      <c r="P185" s="12">
        <f t="shared" si="24"/>
        <v>69.860139860135</v>
      </c>
    </row>
    <row r="186" spans="1:16">
      <c r="A186" s="2">
        <v>46021</v>
      </c>
      <c r="B186" s="3">
        <f>Data_Entry!P276</f>
        <v>10409.9999999997</v>
      </c>
      <c r="C186" s="4">
        <f>Data_Entry!V276</f>
        <v>3.72</v>
      </c>
      <c r="D186" s="5">
        <f t="shared" si="18"/>
        <v>0.179904603898793</v>
      </c>
      <c r="E186" s="6">
        <v>0</v>
      </c>
      <c r="F186" s="6">
        <v>0</v>
      </c>
      <c r="G186" s="7">
        <f t="shared" si="19"/>
        <v>0</v>
      </c>
      <c r="H186" s="7">
        <f t="shared" si="20"/>
        <v>0</v>
      </c>
      <c r="I186" s="8">
        <v>2411</v>
      </c>
      <c r="J186" s="9"/>
      <c r="K186" s="8">
        <f t="shared" si="21"/>
        <v>28932</v>
      </c>
      <c r="L186" s="7">
        <f t="shared" si="22"/>
        <v>0</v>
      </c>
      <c r="M186" s="10">
        <f t="shared" si="25"/>
        <v>1</v>
      </c>
      <c r="N186" s="11">
        <f t="shared" si="23"/>
        <v>0.179904603898793</v>
      </c>
      <c r="O186" s="8">
        <f t="shared" si="26"/>
        <v>10409.9999999997</v>
      </c>
      <c r="P186" s="12">
        <f t="shared" si="24"/>
        <v>0</v>
      </c>
    </row>
    <row r="187" spans="1:16">
      <c r="A187" s="2">
        <v>46022</v>
      </c>
      <c r="B187" s="3">
        <f>Data_Entry!P277</f>
        <v>8610.00000000001</v>
      </c>
      <c r="C187" s="4">
        <f>Data_Entry!V277</f>
        <v>3.22</v>
      </c>
      <c r="D187" s="5">
        <f t="shared" si="18"/>
        <v>0.14879717959353</v>
      </c>
      <c r="E187" s="6">
        <v>0</v>
      </c>
      <c r="F187" s="6">
        <v>0</v>
      </c>
      <c r="G187" s="7">
        <f t="shared" si="19"/>
        <v>0</v>
      </c>
      <c r="H187" s="7">
        <f t="shared" si="20"/>
        <v>0</v>
      </c>
      <c r="I187" s="8">
        <v>2411</v>
      </c>
      <c r="J187" s="9"/>
      <c r="K187" s="8">
        <f t="shared" si="21"/>
        <v>28932</v>
      </c>
      <c r="L187" s="7">
        <f t="shared" si="22"/>
        <v>0</v>
      </c>
      <c r="M187" s="10">
        <f t="shared" si="25"/>
        <v>1</v>
      </c>
      <c r="N187" s="11">
        <f t="shared" si="23"/>
        <v>0.14879717959353</v>
      </c>
      <c r="O187" s="8">
        <f t="shared" si="26"/>
        <v>8610.00000000001</v>
      </c>
      <c r="P187" s="12">
        <f t="shared" si="24"/>
        <v>0</v>
      </c>
    </row>
    <row r="188" spans="1:16">
      <c r="A188" s="2">
        <v>46023</v>
      </c>
      <c r="B188" s="3">
        <f>Data_Entry!P278</f>
        <v>11400.0000000002</v>
      </c>
      <c r="C188" s="4">
        <f>Data_Entry!V278</f>
        <v>4.03</v>
      </c>
      <c r="D188" s="5">
        <f t="shared" si="18"/>
        <v>0.197013687266698</v>
      </c>
      <c r="E188" s="6">
        <v>0</v>
      </c>
      <c r="F188" s="6">
        <v>0</v>
      </c>
      <c r="G188" s="7">
        <f t="shared" si="19"/>
        <v>0</v>
      </c>
      <c r="H188" s="7">
        <f t="shared" si="20"/>
        <v>0</v>
      </c>
      <c r="I188" s="8">
        <v>2411</v>
      </c>
      <c r="J188" s="9"/>
      <c r="K188" s="8">
        <f t="shared" si="21"/>
        <v>28932</v>
      </c>
      <c r="L188" s="7">
        <f t="shared" si="22"/>
        <v>0</v>
      </c>
      <c r="M188" s="10">
        <f t="shared" si="25"/>
        <v>1</v>
      </c>
      <c r="N188" s="11">
        <f t="shared" si="23"/>
        <v>0.197013687266698</v>
      </c>
      <c r="O188" s="8">
        <f t="shared" si="26"/>
        <v>11400.0000000002</v>
      </c>
      <c r="P188" s="12">
        <f t="shared" si="24"/>
        <v>0</v>
      </c>
    </row>
    <row r="189" spans="1:16">
      <c r="A189" s="2">
        <v>46024</v>
      </c>
      <c r="B189" s="3">
        <f>Data_Entry!P279</f>
        <v>11550.0000000001</v>
      </c>
      <c r="C189" s="4">
        <f>Data_Entry!V279</f>
        <v>4.05</v>
      </c>
      <c r="D189" s="5">
        <f t="shared" si="18"/>
        <v>0.199605972625468</v>
      </c>
      <c r="E189" s="6">
        <v>0</v>
      </c>
      <c r="F189" s="6">
        <v>0</v>
      </c>
      <c r="G189" s="7">
        <f t="shared" si="19"/>
        <v>0</v>
      </c>
      <c r="H189" s="7">
        <f t="shared" si="20"/>
        <v>0</v>
      </c>
      <c r="I189" s="8">
        <v>2411</v>
      </c>
      <c r="J189" s="9"/>
      <c r="K189" s="8">
        <f t="shared" si="21"/>
        <v>28932</v>
      </c>
      <c r="L189" s="7">
        <f t="shared" si="22"/>
        <v>0</v>
      </c>
      <c r="M189" s="10">
        <f t="shared" si="25"/>
        <v>1</v>
      </c>
      <c r="N189" s="11">
        <f t="shared" si="23"/>
        <v>0.199605972625468</v>
      </c>
      <c r="O189" s="8">
        <f t="shared" si="26"/>
        <v>11550.0000000001</v>
      </c>
      <c r="P189" s="12">
        <f t="shared" si="24"/>
        <v>0</v>
      </c>
    </row>
    <row r="190" spans="1:16">
      <c r="A190" s="2">
        <v>46025</v>
      </c>
      <c r="B190" s="3">
        <f>Data_Entry!P280</f>
        <v>12149.9999999999</v>
      </c>
      <c r="C190" s="4">
        <f>Data_Entry!V280</f>
        <v>4.34</v>
      </c>
      <c r="D190" s="5">
        <f t="shared" si="18"/>
        <v>0.209975114060553</v>
      </c>
      <c r="E190" s="6">
        <v>0</v>
      </c>
      <c r="F190" s="6">
        <v>0</v>
      </c>
      <c r="G190" s="7">
        <f t="shared" si="19"/>
        <v>0</v>
      </c>
      <c r="H190" s="7">
        <f t="shared" si="20"/>
        <v>0</v>
      </c>
      <c r="I190" s="8">
        <v>2411</v>
      </c>
      <c r="J190" s="9"/>
      <c r="K190" s="8">
        <f t="shared" si="21"/>
        <v>28932</v>
      </c>
      <c r="L190" s="7">
        <f t="shared" si="22"/>
        <v>0</v>
      </c>
      <c r="M190" s="10">
        <f t="shared" si="25"/>
        <v>1</v>
      </c>
      <c r="N190" s="11">
        <f t="shared" si="23"/>
        <v>0.209975114060553</v>
      </c>
      <c r="O190" s="8">
        <f t="shared" si="26"/>
        <v>12149.9999999999</v>
      </c>
      <c r="P190" s="12">
        <f t="shared" si="24"/>
        <v>0</v>
      </c>
    </row>
    <row r="191" spans="1:16">
      <c r="A191" s="2">
        <v>46026</v>
      </c>
      <c r="B191" s="3">
        <f>Data_Entry!P281</f>
        <v>11579.9999999997</v>
      </c>
      <c r="C191" s="4">
        <f>Data_Entry!V281</f>
        <v>4.1</v>
      </c>
      <c r="D191" s="5">
        <f t="shared" si="18"/>
        <v>0.200124429697216</v>
      </c>
      <c r="E191" s="6">
        <v>0.496527777777778</v>
      </c>
      <c r="F191" s="6">
        <v>0.509027777777778</v>
      </c>
      <c r="G191" s="7">
        <f t="shared" si="19"/>
        <v>17.9999999999999</v>
      </c>
      <c r="H191" s="7">
        <f t="shared" si="20"/>
        <v>0.299999999999999</v>
      </c>
      <c r="I191" s="8">
        <v>2411</v>
      </c>
      <c r="J191" s="9">
        <v>2411</v>
      </c>
      <c r="K191" s="8">
        <f t="shared" si="21"/>
        <v>28932</v>
      </c>
      <c r="L191" s="7">
        <f t="shared" si="22"/>
        <v>723.299999999997</v>
      </c>
      <c r="M191" s="10">
        <f t="shared" si="25"/>
        <v>0.975</v>
      </c>
      <c r="N191" s="11">
        <f t="shared" si="23"/>
        <v>0.205255825330478</v>
      </c>
      <c r="O191" s="8">
        <f t="shared" si="26"/>
        <v>11876.9230769228</v>
      </c>
      <c r="P191" s="12">
        <f t="shared" si="24"/>
        <v>296.923076923067</v>
      </c>
    </row>
    <row r="192" spans="1:16">
      <c r="A192" s="2">
        <v>46027</v>
      </c>
      <c r="B192" s="3">
        <f>Data_Entry!P282</f>
        <v>11370.0000000006</v>
      </c>
      <c r="C192" s="4">
        <f>Data_Entry!V282</f>
        <v>4.03</v>
      </c>
      <c r="D192" s="5">
        <f t="shared" si="18"/>
        <v>0.19649523019495</v>
      </c>
      <c r="E192" s="6">
        <v>0</v>
      </c>
      <c r="F192" s="6">
        <v>0</v>
      </c>
      <c r="G192" s="7">
        <f t="shared" si="19"/>
        <v>0</v>
      </c>
      <c r="H192" s="7">
        <f t="shared" si="20"/>
        <v>0</v>
      </c>
      <c r="I192" s="8">
        <v>2411</v>
      </c>
      <c r="J192" s="9"/>
      <c r="K192" s="8">
        <f t="shared" si="21"/>
        <v>28932</v>
      </c>
      <c r="L192" s="7">
        <f t="shared" si="22"/>
        <v>0</v>
      </c>
      <c r="M192" s="10">
        <f t="shared" si="25"/>
        <v>1</v>
      </c>
      <c r="N192" s="11">
        <f t="shared" si="23"/>
        <v>0.19649523019495</v>
      </c>
      <c r="O192" s="8">
        <f t="shared" si="26"/>
        <v>11370.0000000006</v>
      </c>
      <c r="P192" s="12">
        <f t="shared" si="24"/>
        <v>0</v>
      </c>
    </row>
    <row r="193" spans="1:16">
      <c r="A193" s="2">
        <v>46028</v>
      </c>
      <c r="B193" s="3">
        <f>Data_Entry!P283</f>
        <v>10919.9999999996</v>
      </c>
      <c r="C193" s="4">
        <f>Data_Entry!V283</f>
        <v>4.09</v>
      </c>
      <c r="D193" s="5">
        <f t="shared" si="18"/>
        <v>0.188718374118616</v>
      </c>
      <c r="E193" s="6">
        <v>0.616666666666667</v>
      </c>
      <c r="F193" s="6">
        <v>0.631944444444444</v>
      </c>
      <c r="G193" s="7">
        <f t="shared" si="19"/>
        <v>21.9999999999988</v>
      </c>
      <c r="H193" s="7">
        <f t="shared" si="20"/>
        <v>0.366666666666647</v>
      </c>
      <c r="I193" s="8">
        <v>2411</v>
      </c>
      <c r="J193" s="9">
        <v>2411</v>
      </c>
      <c r="K193" s="8">
        <f t="shared" si="21"/>
        <v>28932</v>
      </c>
      <c r="L193" s="7">
        <f t="shared" si="22"/>
        <v>884.033333333285</v>
      </c>
      <c r="M193" s="10">
        <f t="shared" si="25"/>
        <v>0.969444444444446</v>
      </c>
      <c r="N193" s="11">
        <f t="shared" si="23"/>
        <v>0.194666517715478</v>
      </c>
      <c r="O193" s="8">
        <f t="shared" si="26"/>
        <v>11264.1833810884</v>
      </c>
      <c r="P193" s="12">
        <f t="shared" si="24"/>
        <v>344.183381088795</v>
      </c>
    </row>
    <row r="194" spans="1:16">
      <c r="A194" s="2">
        <v>46029</v>
      </c>
      <c r="B194" s="3">
        <f>Data_Entry!P284</f>
        <v>3360.00000000035</v>
      </c>
      <c r="C194" s="4">
        <f>Data_Entry!V284</f>
        <v>1.3</v>
      </c>
      <c r="D194" s="5">
        <f t="shared" si="18"/>
        <v>0.0580671920365055</v>
      </c>
      <c r="E194" s="6">
        <v>0.418055555555556</v>
      </c>
      <c r="F194" s="6">
        <v>0.663194444444444</v>
      </c>
      <c r="G194" s="7">
        <f t="shared" si="19"/>
        <v>352.999999999999</v>
      </c>
      <c r="H194" s="7">
        <f t="shared" si="20"/>
        <v>5.88333333333331</v>
      </c>
      <c r="I194" s="8">
        <v>2411</v>
      </c>
      <c r="J194" s="9">
        <v>2411</v>
      </c>
      <c r="K194" s="8">
        <f t="shared" si="21"/>
        <v>28932</v>
      </c>
      <c r="L194" s="7">
        <f t="shared" si="22"/>
        <v>14184.7166666666</v>
      </c>
      <c r="M194" s="10">
        <f t="shared" si="25"/>
        <v>0.509722222222224</v>
      </c>
      <c r="N194" s="11">
        <f t="shared" si="23"/>
        <v>0.113919286829111</v>
      </c>
      <c r="O194" s="8">
        <f t="shared" si="26"/>
        <v>6591.82561307969</v>
      </c>
      <c r="P194" s="12">
        <f t="shared" si="24"/>
        <v>3231.82561307934</v>
      </c>
    </row>
    <row r="195" spans="1:16">
      <c r="A195" s="2">
        <v>46030</v>
      </c>
      <c r="B195" s="3">
        <f>Data_Entry!P285</f>
        <v>10049.9999999997</v>
      </c>
      <c r="C195" s="4">
        <f>Data_Entry!V285</f>
        <v>3.62</v>
      </c>
      <c r="D195" s="5">
        <f t="shared" si="18"/>
        <v>0.173683119037739</v>
      </c>
      <c r="E195" s="6">
        <v>0</v>
      </c>
      <c r="F195" s="6">
        <v>0</v>
      </c>
      <c r="G195" s="7">
        <f t="shared" si="19"/>
        <v>0</v>
      </c>
      <c r="H195" s="7">
        <f t="shared" si="20"/>
        <v>0</v>
      </c>
      <c r="I195" s="8">
        <v>2411</v>
      </c>
      <c r="J195" s="9"/>
      <c r="K195" s="8">
        <f t="shared" si="21"/>
        <v>28932</v>
      </c>
      <c r="L195" s="7">
        <f t="shared" si="22"/>
        <v>0</v>
      </c>
      <c r="M195" s="10">
        <f t="shared" si="25"/>
        <v>1</v>
      </c>
      <c r="N195" s="11">
        <f t="shared" si="23"/>
        <v>0.173683119037739</v>
      </c>
      <c r="O195" s="8">
        <f t="shared" si="26"/>
        <v>10049.9999999997</v>
      </c>
      <c r="P195" s="12">
        <f t="shared" si="24"/>
        <v>0</v>
      </c>
    </row>
    <row r="196" spans="1:16">
      <c r="A196" s="2">
        <v>46031</v>
      </c>
      <c r="B196" s="3">
        <f>Data_Entry!P286</f>
        <v>9929.99999999984</v>
      </c>
      <c r="C196" s="4">
        <f>Data_Entry!V286</f>
        <v>3.76</v>
      </c>
      <c r="D196" s="5">
        <f t="shared" ref="D196:D210" si="27">B196/(24*I196)</f>
        <v>0.171609290750723</v>
      </c>
      <c r="E196" s="6">
        <v>0.489583333333333</v>
      </c>
      <c r="F196" s="6">
        <v>0.522916666666667</v>
      </c>
      <c r="G196" s="7">
        <f t="shared" ref="G196:G210" si="28">(F196-E196)*24*60</f>
        <v>48.000000000001</v>
      </c>
      <c r="H196" s="7">
        <f t="shared" ref="H196:H210" si="29">G196/60</f>
        <v>0.800000000000017</v>
      </c>
      <c r="I196" s="8">
        <v>2411</v>
      </c>
      <c r="J196" s="9">
        <v>2411</v>
      </c>
      <c r="K196" s="8">
        <f t="shared" ref="K196:K210" si="30">I196*12</f>
        <v>28932</v>
      </c>
      <c r="L196" s="7">
        <f t="shared" ref="L196:L210" si="31">J196*H196</f>
        <v>1928.80000000004</v>
      </c>
      <c r="M196" s="10">
        <f t="shared" si="25"/>
        <v>0.933333333333332</v>
      </c>
      <c r="N196" s="11">
        <f t="shared" ref="N196:N210" si="32">D196/M196</f>
        <v>0.183867097232918</v>
      </c>
      <c r="O196" s="8">
        <f t="shared" si="26"/>
        <v>10639.2857142856</v>
      </c>
      <c r="P196" s="12">
        <f t="shared" ref="P196:P210" si="33">O196-B196</f>
        <v>709.285714285721</v>
      </c>
    </row>
    <row r="197" spans="1:16">
      <c r="A197" s="2">
        <v>46032</v>
      </c>
      <c r="B197" s="3">
        <f>Data_Entry!P287</f>
        <v>11580.0000000004</v>
      </c>
      <c r="C197" s="4">
        <f>Data_Entry!V287</f>
        <v>4.15</v>
      </c>
      <c r="D197" s="5">
        <f t="shared" si="27"/>
        <v>0.200124429697228</v>
      </c>
      <c r="E197" s="6">
        <v>0</v>
      </c>
      <c r="F197" s="6">
        <v>0</v>
      </c>
      <c r="G197" s="7">
        <f t="shared" si="28"/>
        <v>0</v>
      </c>
      <c r="H197" s="7">
        <f t="shared" si="29"/>
        <v>0</v>
      </c>
      <c r="I197" s="8">
        <v>2411</v>
      </c>
      <c r="J197" s="9"/>
      <c r="K197" s="8">
        <f t="shared" si="30"/>
        <v>28932</v>
      </c>
      <c r="L197" s="7">
        <f t="shared" si="31"/>
        <v>0</v>
      </c>
      <c r="M197" s="10">
        <f t="shared" ref="M197:M210" si="34">(K197-L197)/K197</f>
        <v>1</v>
      </c>
      <c r="N197" s="11">
        <f t="shared" si="32"/>
        <v>0.200124429697228</v>
      </c>
      <c r="O197" s="8">
        <f t="shared" ref="O197:O210" si="35">N197*I197*24</f>
        <v>11580.0000000004</v>
      </c>
      <c r="P197" s="12">
        <f t="shared" si="33"/>
        <v>0</v>
      </c>
    </row>
    <row r="198" spans="1:16">
      <c r="A198" s="2">
        <v>46033</v>
      </c>
      <c r="B198" s="3">
        <f>Data_Entry!P288</f>
        <v>11369.9999999999</v>
      </c>
      <c r="C198" s="4">
        <f>Data_Entry!V288</f>
        <v>4.2</v>
      </c>
      <c r="D198" s="5">
        <f t="shared" si="27"/>
        <v>0.196495230194938</v>
      </c>
      <c r="E198" s="6">
        <v>0</v>
      </c>
      <c r="F198" s="6">
        <v>0</v>
      </c>
      <c r="G198" s="7">
        <f t="shared" si="28"/>
        <v>0</v>
      </c>
      <c r="H198" s="7">
        <f t="shared" si="29"/>
        <v>0</v>
      </c>
      <c r="I198" s="8">
        <v>2411</v>
      </c>
      <c r="J198" s="9"/>
      <c r="K198" s="8">
        <f t="shared" si="30"/>
        <v>28932</v>
      </c>
      <c r="L198" s="7">
        <f t="shared" si="31"/>
        <v>0</v>
      </c>
      <c r="M198" s="10">
        <f t="shared" si="34"/>
        <v>1</v>
      </c>
      <c r="N198" s="11">
        <f t="shared" si="32"/>
        <v>0.196495230194938</v>
      </c>
      <c r="O198" s="8">
        <f t="shared" si="35"/>
        <v>11369.9999999999</v>
      </c>
      <c r="P198" s="12">
        <f t="shared" si="33"/>
        <v>0</v>
      </c>
    </row>
    <row r="199" spans="1:16">
      <c r="A199" s="2">
        <v>46034</v>
      </c>
      <c r="B199" s="3">
        <f>Data_Entry!P289</f>
        <v>11070.0000000002</v>
      </c>
      <c r="C199" s="4">
        <f>Data_Entry!V289</f>
        <v>3.39</v>
      </c>
      <c r="D199" s="5">
        <f t="shared" si="27"/>
        <v>0.191310659477398</v>
      </c>
      <c r="E199" s="6">
        <v>0</v>
      </c>
      <c r="F199" s="6">
        <v>0</v>
      </c>
      <c r="G199" s="7">
        <f t="shared" si="28"/>
        <v>0</v>
      </c>
      <c r="H199" s="7">
        <f t="shared" si="29"/>
        <v>0</v>
      </c>
      <c r="I199" s="8">
        <v>2411</v>
      </c>
      <c r="J199" s="9"/>
      <c r="K199" s="8">
        <f t="shared" si="30"/>
        <v>28932</v>
      </c>
      <c r="L199" s="7">
        <f t="shared" si="31"/>
        <v>0</v>
      </c>
      <c r="M199" s="10">
        <f t="shared" si="34"/>
        <v>1</v>
      </c>
      <c r="N199" s="11">
        <f t="shared" si="32"/>
        <v>0.191310659477398</v>
      </c>
      <c r="O199" s="8">
        <f t="shared" si="35"/>
        <v>11070.0000000002</v>
      </c>
      <c r="P199" s="12">
        <f t="shared" si="33"/>
        <v>0</v>
      </c>
    </row>
    <row r="200" spans="1:16">
      <c r="A200" s="2">
        <v>46035</v>
      </c>
      <c r="B200" s="3">
        <f>Data_Entry!P290</f>
        <v>11190.0000000001</v>
      </c>
      <c r="C200" s="4">
        <f>Data_Entry!V290</f>
        <v>3.96</v>
      </c>
      <c r="D200" s="5">
        <f t="shared" si="27"/>
        <v>0.193384487764414</v>
      </c>
      <c r="E200" s="6">
        <v>0</v>
      </c>
      <c r="F200" s="6">
        <v>0</v>
      </c>
      <c r="G200" s="7">
        <f t="shared" si="28"/>
        <v>0</v>
      </c>
      <c r="H200" s="7">
        <f t="shared" si="29"/>
        <v>0</v>
      </c>
      <c r="I200" s="8">
        <v>2411</v>
      </c>
      <c r="J200" s="9"/>
      <c r="K200" s="8">
        <f t="shared" si="30"/>
        <v>28932</v>
      </c>
      <c r="L200" s="7">
        <f t="shared" si="31"/>
        <v>0</v>
      </c>
      <c r="M200" s="10">
        <f t="shared" si="34"/>
        <v>1</v>
      </c>
      <c r="N200" s="11">
        <f t="shared" si="32"/>
        <v>0.193384487764414</v>
      </c>
      <c r="O200" s="8">
        <f t="shared" si="35"/>
        <v>11190.0000000001</v>
      </c>
      <c r="P200" s="12">
        <f t="shared" si="33"/>
        <v>0</v>
      </c>
    </row>
    <row r="201" spans="1:16">
      <c r="A201" s="2">
        <v>46036</v>
      </c>
      <c r="B201" s="3">
        <f>Data_Entry!P291</f>
        <v>12750</v>
      </c>
      <c r="C201" s="4">
        <f>Data_Entry!V291</f>
        <v>4.5</v>
      </c>
      <c r="D201" s="5">
        <f t="shared" si="27"/>
        <v>0.220344255495645</v>
      </c>
      <c r="E201" s="6">
        <v>0</v>
      </c>
      <c r="F201" s="6">
        <v>0</v>
      </c>
      <c r="G201" s="7">
        <f t="shared" si="28"/>
        <v>0</v>
      </c>
      <c r="H201" s="7">
        <f t="shared" si="29"/>
        <v>0</v>
      </c>
      <c r="I201" s="8">
        <v>2411</v>
      </c>
      <c r="J201" s="9"/>
      <c r="K201" s="8">
        <f t="shared" si="30"/>
        <v>28932</v>
      </c>
      <c r="L201" s="7">
        <f t="shared" si="31"/>
        <v>0</v>
      </c>
      <c r="M201" s="10">
        <f t="shared" si="34"/>
        <v>1</v>
      </c>
      <c r="N201" s="11">
        <f t="shared" si="32"/>
        <v>0.220344255495645</v>
      </c>
      <c r="O201" s="8">
        <f t="shared" si="35"/>
        <v>12750</v>
      </c>
      <c r="P201" s="12">
        <f t="shared" si="33"/>
        <v>0</v>
      </c>
    </row>
    <row r="202" spans="1:16">
      <c r="A202" s="2">
        <v>46037</v>
      </c>
      <c r="B202" s="3">
        <f>Data_Entry!P292</f>
        <v>12959.9999999998</v>
      </c>
      <c r="C202" s="4">
        <f>Data_Entry!V292</f>
        <v>4.62</v>
      </c>
      <c r="D202" s="5">
        <f t="shared" si="27"/>
        <v>0.223973454997923</v>
      </c>
      <c r="E202" s="6">
        <v>0</v>
      </c>
      <c r="F202" s="6">
        <v>0</v>
      </c>
      <c r="G202" s="7">
        <f t="shared" si="28"/>
        <v>0</v>
      </c>
      <c r="H202" s="7">
        <f t="shared" si="29"/>
        <v>0</v>
      </c>
      <c r="I202" s="8">
        <v>2411</v>
      </c>
      <c r="J202" s="9"/>
      <c r="K202" s="8">
        <f t="shared" si="30"/>
        <v>28932</v>
      </c>
      <c r="L202" s="7">
        <f t="shared" si="31"/>
        <v>0</v>
      </c>
      <c r="M202" s="10">
        <f t="shared" si="34"/>
        <v>1</v>
      </c>
      <c r="N202" s="11">
        <f t="shared" si="32"/>
        <v>0.223973454997923</v>
      </c>
      <c r="O202" s="8">
        <f t="shared" si="35"/>
        <v>12959.9999999998</v>
      </c>
      <c r="P202" s="12">
        <f t="shared" si="33"/>
        <v>0</v>
      </c>
    </row>
    <row r="203" spans="1:16">
      <c r="A203" s="2">
        <v>46038</v>
      </c>
      <c r="B203" s="3">
        <f>Data_Entry!P293</f>
        <v>11940.0000000001</v>
      </c>
      <c r="C203" s="4">
        <f>Data_Entry!V293</f>
        <v>4.29</v>
      </c>
      <c r="D203" s="5">
        <f t="shared" si="27"/>
        <v>0.206345914558276</v>
      </c>
      <c r="E203" s="6">
        <v>0</v>
      </c>
      <c r="F203" s="6">
        <v>0</v>
      </c>
      <c r="G203" s="7">
        <f t="shared" si="28"/>
        <v>0</v>
      </c>
      <c r="H203" s="7">
        <f t="shared" si="29"/>
        <v>0</v>
      </c>
      <c r="I203" s="8">
        <v>2411</v>
      </c>
      <c r="J203" s="9"/>
      <c r="K203" s="8">
        <f t="shared" si="30"/>
        <v>28932</v>
      </c>
      <c r="L203" s="7">
        <f t="shared" si="31"/>
        <v>0</v>
      </c>
      <c r="M203" s="10">
        <f t="shared" si="34"/>
        <v>1</v>
      </c>
      <c r="N203" s="11">
        <f t="shared" si="32"/>
        <v>0.206345914558276</v>
      </c>
      <c r="O203" s="8">
        <f t="shared" si="35"/>
        <v>11940.0000000001</v>
      </c>
      <c r="P203" s="12">
        <f t="shared" si="33"/>
        <v>0</v>
      </c>
    </row>
    <row r="204" spans="1:16">
      <c r="A204" s="2">
        <v>46039</v>
      </c>
      <c r="B204" s="3">
        <f>Data_Entry!P294</f>
        <v>11940.0000000001</v>
      </c>
      <c r="C204" s="4">
        <f>Data_Entry!V294</f>
        <v>4.14</v>
      </c>
      <c r="D204" s="5">
        <f t="shared" si="27"/>
        <v>0.206345914558276</v>
      </c>
      <c r="E204" s="6">
        <v>0</v>
      </c>
      <c r="F204" s="6">
        <v>0</v>
      </c>
      <c r="G204" s="7">
        <f t="shared" si="28"/>
        <v>0</v>
      </c>
      <c r="H204" s="7">
        <f t="shared" si="29"/>
        <v>0</v>
      </c>
      <c r="I204" s="8">
        <v>2411</v>
      </c>
      <c r="J204" s="9"/>
      <c r="K204" s="8">
        <f t="shared" si="30"/>
        <v>28932</v>
      </c>
      <c r="L204" s="7">
        <f t="shared" si="31"/>
        <v>0</v>
      </c>
      <c r="M204" s="10">
        <f t="shared" si="34"/>
        <v>1</v>
      </c>
      <c r="N204" s="11">
        <f t="shared" si="32"/>
        <v>0.206345914558276</v>
      </c>
      <c r="O204" s="8">
        <f t="shared" si="35"/>
        <v>11940.0000000001</v>
      </c>
      <c r="P204" s="12">
        <f t="shared" si="33"/>
        <v>0</v>
      </c>
    </row>
    <row r="205" spans="1:16">
      <c r="A205" s="2">
        <v>46040</v>
      </c>
      <c r="B205" s="3">
        <f>Data_Entry!P295</f>
        <v>11220</v>
      </c>
      <c r="C205" s="4">
        <f>Data_Entry!V295</f>
        <v>3.66</v>
      </c>
      <c r="D205" s="5">
        <f t="shared" si="27"/>
        <v>0.193902944836168</v>
      </c>
      <c r="E205" s="6">
        <v>0</v>
      </c>
      <c r="F205" s="6">
        <v>0</v>
      </c>
      <c r="G205" s="7">
        <f t="shared" si="28"/>
        <v>0</v>
      </c>
      <c r="H205" s="7">
        <f t="shared" si="29"/>
        <v>0</v>
      </c>
      <c r="I205" s="8">
        <v>2411</v>
      </c>
      <c r="J205" s="9"/>
      <c r="K205" s="8">
        <f t="shared" si="30"/>
        <v>28932</v>
      </c>
      <c r="L205" s="7">
        <f t="shared" si="31"/>
        <v>0</v>
      </c>
      <c r="M205" s="10">
        <f t="shared" si="34"/>
        <v>1</v>
      </c>
      <c r="N205" s="11">
        <f t="shared" si="32"/>
        <v>0.193902944836168</v>
      </c>
      <c r="O205" s="8">
        <f t="shared" si="35"/>
        <v>11220</v>
      </c>
      <c r="P205" s="12">
        <f t="shared" si="33"/>
        <v>0</v>
      </c>
    </row>
    <row r="206" spans="1:16">
      <c r="A206" s="2">
        <v>46041</v>
      </c>
      <c r="B206" s="3">
        <f>Data_Entry!P296</f>
        <v>12720</v>
      </c>
      <c r="C206" s="4">
        <f>Data_Entry!V296</f>
        <v>4.51</v>
      </c>
      <c r="D206" s="5">
        <f t="shared" si="27"/>
        <v>0.219825798423891</v>
      </c>
      <c r="E206" s="6">
        <v>0</v>
      </c>
      <c r="F206" s="6">
        <v>0</v>
      </c>
      <c r="G206" s="7">
        <f t="shared" si="28"/>
        <v>0</v>
      </c>
      <c r="H206" s="7">
        <f t="shared" si="29"/>
        <v>0</v>
      </c>
      <c r="I206" s="8">
        <v>2411</v>
      </c>
      <c r="J206" s="9"/>
      <c r="K206" s="8">
        <f t="shared" si="30"/>
        <v>28932</v>
      </c>
      <c r="L206" s="7">
        <f t="shared" si="31"/>
        <v>0</v>
      </c>
      <c r="M206" s="10">
        <f t="shared" si="34"/>
        <v>1</v>
      </c>
      <c r="N206" s="11">
        <f t="shared" si="32"/>
        <v>0.219825798423891</v>
      </c>
      <c r="O206" s="8">
        <f t="shared" si="35"/>
        <v>12720</v>
      </c>
      <c r="P206" s="12">
        <f t="shared" si="33"/>
        <v>0</v>
      </c>
    </row>
    <row r="207" spans="1:16">
      <c r="A207" s="2">
        <v>46042</v>
      </c>
      <c r="B207" s="3">
        <f>Data_Entry!P297</f>
        <v>12030</v>
      </c>
      <c r="C207" s="4">
        <f>Data_Entry!V297</f>
        <v>4.26</v>
      </c>
      <c r="D207" s="5">
        <f t="shared" si="27"/>
        <v>0.207901285773537</v>
      </c>
      <c r="E207" s="6">
        <v>0</v>
      </c>
      <c r="F207" s="6">
        <v>0</v>
      </c>
      <c r="G207" s="7">
        <f t="shared" si="28"/>
        <v>0</v>
      </c>
      <c r="H207" s="7">
        <f t="shared" si="29"/>
        <v>0</v>
      </c>
      <c r="I207" s="8">
        <v>2411</v>
      </c>
      <c r="J207" s="9"/>
      <c r="K207" s="8">
        <f t="shared" si="30"/>
        <v>28932</v>
      </c>
      <c r="L207" s="7">
        <f t="shared" si="31"/>
        <v>0</v>
      </c>
      <c r="M207" s="10">
        <f t="shared" si="34"/>
        <v>1</v>
      </c>
      <c r="N207" s="11">
        <f t="shared" si="32"/>
        <v>0.207901285773537</v>
      </c>
      <c r="O207" s="8">
        <f t="shared" si="35"/>
        <v>12030</v>
      </c>
      <c r="P207" s="12">
        <f t="shared" si="33"/>
        <v>0</v>
      </c>
    </row>
    <row r="208" spans="1:16">
      <c r="A208" s="2">
        <v>46043</v>
      </c>
      <c r="B208" s="3">
        <f>Data_Entry!P298</f>
        <v>10319.9999999995</v>
      </c>
      <c r="C208" s="4">
        <f>Data_Entry!V298</f>
        <v>3.77</v>
      </c>
      <c r="D208" s="5">
        <f t="shared" si="27"/>
        <v>0.178349232683525</v>
      </c>
      <c r="E208" s="6">
        <v>0.677083333333333</v>
      </c>
      <c r="F208" s="6">
        <v>0.815972222222222</v>
      </c>
      <c r="G208" s="7">
        <f t="shared" si="28"/>
        <v>200</v>
      </c>
      <c r="H208" s="7">
        <f t="shared" si="29"/>
        <v>3.33333333333333</v>
      </c>
      <c r="I208" s="8">
        <v>2411</v>
      </c>
      <c r="J208" s="9">
        <v>2411</v>
      </c>
      <c r="K208" s="8">
        <f t="shared" si="30"/>
        <v>28932</v>
      </c>
      <c r="L208" s="7">
        <f t="shared" si="31"/>
        <v>8036.66666666667</v>
      </c>
      <c r="M208" s="10">
        <f t="shared" si="34"/>
        <v>0.722222222222222</v>
      </c>
      <c r="N208" s="11">
        <f t="shared" si="32"/>
        <v>0.246945091407958</v>
      </c>
      <c r="O208" s="8">
        <f t="shared" si="35"/>
        <v>14289.2307692301</v>
      </c>
      <c r="P208" s="12">
        <f t="shared" si="33"/>
        <v>3969.23076923057</v>
      </c>
    </row>
    <row r="209" spans="1:16">
      <c r="A209" s="2">
        <v>46044</v>
      </c>
      <c r="B209" s="3">
        <f>Data_Entry!P299</f>
        <v>10559.9999999999</v>
      </c>
      <c r="C209" s="4">
        <f>Data_Entry!V299</f>
        <v>3.81</v>
      </c>
      <c r="D209" s="5">
        <f t="shared" si="27"/>
        <v>0.182496889257569</v>
      </c>
      <c r="E209" s="6">
        <v>0</v>
      </c>
      <c r="F209" s="6">
        <v>0</v>
      </c>
      <c r="G209" s="7">
        <f t="shared" si="28"/>
        <v>0</v>
      </c>
      <c r="H209" s="7">
        <f t="shared" si="29"/>
        <v>0</v>
      </c>
      <c r="I209" s="8">
        <v>2411</v>
      </c>
      <c r="J209" s="9"/>
      <c r="K209" s="8">
        <f t="shared" si="30"/>
        <v>28932</v>
      </c>
      <c r="L209" s="7">
        <f t="shared" si="31"/>
        <v>0</v>
      </c>
      <c r="M209" s="10">
        <f t="shared" si="34"/>
        <v>1</v>
      </c>
      <c r="N209" s="11">
        <f t="shared" si="32"/>
        <v>0.182496889257569</v>
      </c>
      <c r="O209" s="8">
        <f t="shared" si="35"/>
        <v>10559.9999999999</v>
      </c>
      <c r="P209" s="12">
        <f t="shared" si="33"/>
        <v>0</v>
      </c>
    </row>
    <row r="210" spans="1:16">
      <c r="A210" s="2">
        <v>46045</v>
      </c>
      <c r="B210" s="3">
        <f>Data_Entry!P300</f>
        <v>9510.00000000022</v>
      </c>
      <c r="C210" s="4">
        <f>Data_Entry!V300</f>
        <v>3.29</v>
      </c>
      <c r="D210" s="5">
        <f t="shared" si="27"/>
        <v>0.164350891746167</v>
      </c>
      <c r="E210" s="6">
        <v>0</v>
      </c>
      <c r="F210" s="6">
        <v>0</v>
      </c>
      <c r="G210" s="7">
        <f t="shared" si="28"/>
        <v>0</v>
      </c>
      <c r="H210" s="7">
        <f t="shared" si="29"/>
        <v>0</v>
      </c>
      <c r="I210" s="8">
        <v>2411</v>
      </c>
      <c r="J210" s="9"/>
      <c r="K210" s="8">
        <f t="shared" si="30"/>
        <v>28932</v>
      </c>
      <c r="L210" s="7">
        <f t="shared" si="31"/>
        <v>0</v>
      </c>
      <c r="M210" s="10">
        <f t="shared" si="34"/>
        <v>1</v>
      </c>
      <c r="N210" s="11">
        <f t="shared" si="32"/>
        <v>0.164350891746167</v>
      </c>
      <c r="O210" s="8">
        <f t="shared" si="35"/>
        <v>9510.00000000022</v>
      </c>
      <c r="P210" s="12">
        <f t="shared" si="33"/>
        <v>0</v>
      </c>
    </row>
    <row r="211" spans="1:16">
      <c r="A211" s="2">
        <v>46046</v>
      </c>
      <c r="B211" s="3">
        <f>Data_Entry!P301</f>
        <v>11519.9999999998</v>
      </c>
      <c r="C211" s="4">
        <f>Data_Entry!V301</f>
        <v>3.82</v>
      </c>
      <c r="D211" s="5">
        <f t="shared" ref="D211:D226" si="36">B211/(24*I211)</f>
        <v>0.199087515553709</v>
      </c>
      <c r="E211" s="6">
        <v>0</v>
      </c>
      <c r="F211" s="6">
        <v>0</v>
      </c>
      <c r="G211" s="7">
        <f t="shared" ref="G211:G226" si="37">(F211-E211)*24*60</f>
        <v>0</v>
      </c>
      <c r="H211" s="7">
        <f t="shared" ref="H211:H226" si="38">G211/60</f>
        <v>0</v>
      </c>
      <c r="I211" s="8">
        <v>2411</v>
      </c>
      <c r="J211" s="9"/>
      <c r="K211" s="8">
        <f t="shared" ref="K211:K226" si="39">I211*12</f>
        <v>28932</v>
      </c>
      <c r="L211" s="7">
        <f t="shared" ref="L211:L226" si="40">J211*H211</f>
        <v>0</v>
      </c>
      <c r="M211" s="10">
        <f t="shared" ref="M211:M226" si="41">(K211-L211)/K211</f>
        <v>1</v>
      </c>
      <c r="N211" s="11">
        <f t="shared" ref="N211:N226" si="42">D211/M211</f>
        <v>0.199087515553709</v>
      </c>
      <c r="O211" s="8">
        <f t="shared" ref="O211:O226" si="43">N211*I211*24</f>
        <v>11519.9999999998</v>
      </c>
      <c r="P211" s="12">
        <f t="shared" ref="P211:P226" si="44">O211-B211</f>
        <v>0</v>
      </c>
    </row>
    <row r="212" spans="1:16">
      <c r="A212" s="2">
        <v>46047</v>
      </c>
      <c r="B212" s="3">
        <f>Data_Entry!P302</f>
        <v>11520.0000000004</v>
      </c>
      <c r="C212" s="4">
        <f>Data_Entry!V302</f>
        <v>3.64</v>
      </c>
      <c r="D212" s="5">
        <f t="shared" si="36"/>
        <v>0.199087515553719</v>
      </c>
      <c r="E212" s="6">
        <v>0</v>
      </c>
      <c r="F212" s="6">
        <v>0</v>
      </c>
      <c r="G212" s="7">
        <f t="shared" si="37"/>
        <v>0</v>
      </c>
      <c r="H212" s="7">
        <f t="shared" si="38"/>
        <v>0</v>
      </c>
      <c r="I212" s="8">
        <v>2411</v>
      </c>
      <c r="J212" s="9"/>
      <c r="K212" s="8">
        <f t="shared" si="39"/>
        <v>28932</v>
      </c>
      <c r="L212" s="7">
        <f t="shared" si="40"/>
        <v>0</v>
      </c>
      <c r="M212" s="10">
        <f t="shared" si="41"/>
        <v>1</v>
      </c>
      <c r="N212" s="11">
        <f t="shared" si="42"/>
        <v>0.199087515553719</v>
      </c>
      <c r="O212" s="8">
        <f t="shared" si="43"/>
        <v>11520.0000000004</v>
      </c>
      <c r="P212" s="12">
        <f t="shared" si="44"/>
        <v>0</v>
      </c>
    </row>
    <row r="213" spans="1:16">
      <c r="A213" s="2">
        <v>46048</v>
      </c>
      <c r="B213" s="3">
        <f>Data_Entry!P303</f>
        <v>11220</v>
      </c>
      <c r="C213" s="4">
        <f>Data_Entry!V303</f>
        <v>4.03</v>
      </c>
      <c r="D213" s="5">
        <f t="shared" si="36"/>
        <v>0.193902944836168</v>
      </c>
      <c r="E213" s="6">
        <v>0</v>
      </c>
      <c r="F213" s="6">
        <v>0</v>
      </c>
      <c r="G213" s="7">
        <f t="shared" si="37"/>
        <v>0</v>
      </c>
      <c r="H213" s="7">
        <f t="shared" si="38"/>
        <v>0</v>
      </c>
      <c r="I213" s="8">
        <v>2411</v>
      </c>
      <c r="J213" s="9"/>
      <c r="K213" s="8">
        <f t="shared" si="39"/>
        <v>28932</v>
      </c>
      <c r="L213" s="7">
        <f t="shared" si="40"/>
        <v>0</v>
      </c>
      <c r="M213" s="10">
        <f t="shared" si="41"/>
        <v>1</v>
      </c>
      <c r="N213" s="11">
        <f t="shared" si="42"/>
        <v>0.193902944836168</v>
      </c>
      <c r="O213" s="8">
        <f t="shared" si="43"/>
        <v>11220</v>
      </c>
      <c r="P213" s="12">
        <f t="shared" si="44"/>
        <v>0</v>
      </c>
    </row>
    <row r="214" spans="1:16">
      <c r="A214" s="2">
        <v>46049</v>
      </c>
      <c r="B214" s="3">
        <f>Data_Entry!P304</f>
        <v>12389.9999999996</v>
      </c>
      <c r="C214" s="4">
        <f>Data_Entry!V304</f>
        <v>4.37</v>
      </c>
      <c r="D214" s="5">
        <f t="shared" si="36"/>
        <v>0.214122770634585</v>
      </c>
      <c r="E214" s="6">
        <v>0</v>
      </c>
      <c r="F214" s="6">
        <v>0</v>
      </c>
      <c r="G214" s="7">
        <f t="shared" si="37"/>
        <v>0</v>
      </c>
      <c r="H214" s="7">
        <f t="shared" si="38"/>
        <v>0</v>
      </c>
      <c r="I214" s="8">
        <v>2411</v>
      </c>
      <c r="J214" s="9"/>
      <c r="K214" s="8">
        <f t="shared" si="39"/>
        <v>28932</v>
      </c>
      <c r="L214" s="7">
        <f t="shared" si="40"/>
        <v>0</v>
      </c>
      <c r="M214" s="10">
        <f t="shared" si="41"/>
        <v>1</v>
      </c>
      <c r="N214" s="11">
        <f t="shared" si="42"/>
        <v>0.214122770634585</v>
      </c>
      <c r="O214" s="8">
        <f t="shared" si="43"/>
        <v>12389.9999999996</v>
      </c>
      <c r="P214" s="12">
        <f t="shared" si="44"/>
        <v>0</v>
      </c>
    </row>
    <row r="215" spans="1:16">
      <c r="A215" s="2">
        <v>46050</v>
      </c>
      <c r="B215" s="3">
        <f>Data_Entry!P305</f>
        <v>13230.0000000002</v>
      </c>
      <c r="C215" s="4">
        <f>Data_Entry!V305</f>
        <v>4.7</v>
      </c>
      <c r="D215" s="5">
        <f t="shared" si="36"/>
        <v>0.22863956864372</v>
      </c>
      <c r="E215" s="6">
        <v>0</v>
      </c>
      <c r="F215" s="6">
        <v>0</v>
      </c>
      <c r="G215" s="7">
        <f t="shared" si="37"/>
        <v>0</v>
      </c>
      <c r="H215" s="7">
        <f t="shared" si="38"/>
        <v>0</v>
      </c>
      <c r="I215" s="8">
        <v>2411</v>
      </c>
      <c r="J215" s="9"/>
      <c r="K215" s="8">
        <f t="shared" si="39"/>
        <v>28932</v>
      </c>
      <c r="L215" s="7">
        <f t="shared" si="40"/>
        <v>0</v>
      </c>
      <c r="M215" s="10">
        <f t="shared" si="41"/>
        <v>1</v>
      </c>
      <c r="N215" s="11">
        <f t="shared" si="42"/>
        <v>0.22863956864372</v>
      </c>
      <c r="O215" s="8">
        <f t="shared" si="43"/>
        <v>13230.0000000002</v>
      </c>
      <c r="P215" s="12">
        <f t="shared" si="44"/>
        <v>0</v>
      </c>
    </row>
    <row r="216" spans="1:16">
      <c r="A216" s="2">
        <v>46051</v>
      </c>
      <c r="B216" s="3">
        <f>Data_Entry!P306</f>
        <v>12480.0000000002</v>
      </c>
      <c r="C216" s="4">
        <f>Data_Entry!V306</f>
        <v>4.32</v>
      </c>
      <c r="D216" s="5">
        <f t="shared" si="36"/>
        <v>0.215678141849858</v>
      </c>
      <c r="E216" s="6">
        <v>0</v>
      </c>
      <c r="F216" s="6">
        <v>0</v>
      </c>
      <c r="G216" s="7">
        <f t="shared" si="37"/>
        <v>0</v>
      </c>
      <c r="H216" s="7">
        <f t="shared" si="38"/>
        <v>0</v>
      </c>
      <c r="I216" s="8">
        <v>2411</v>
      </c>
      <c r="J216" s="9"/>
      <c r="K216" s="8">
        <f t="shared" si="39"/>
        <v>28932</v>
      </c>
      <c r="L216" s="7">
        <f t="shared" si="40"/>
        <v>0</v>
      </c>
      <c r="M216" s="10">
        <f t="shared" si="41"/>
        <v>1</v>
      </c>
      <c r="N216" s="11">
        <f t="shared" si="42"/>
        <v>0.215678141849858</v>
      </c>
      <c r="O216" s="8">
        <f t="shared" si="43"/>
        <v>12480.0000000002</v>
      </c>
      <c r="P216" s="12">
        <f t="shared" si="44"/>
        <v>0</v>
      </c>
    </row>
    <row r="217" spans="1:16">
      <c r="A217" s="2">
        <v>46052</v>
      </c>
      <c r="B217" s="3">
        <f>Data_Entry!P307</f>
        <v>9149.99999999986</v>
      </c>
      <c r="C217" s="4">
        <f>Data_Entry!V307</f>
        <v>3.11</v>
      </c>
      <c r="D217" s="5">
        <f t="shared" si="36"/>
        <v>0.158129406885107</v>
      </c>
      <c r="E217" s="6">
        <v>0</v>
      </c>
      <c r="F217" s="6">
        <v>0</v>
      </c>
      <c r="G217" s="7">
        <f t="shared" si="37"/>
        <v>0</v>
      </c>
      <c r="H217" s="7">
        <f t="shared" si="38"/>
        <v>0</v>
      </c>
      <c r="I217" s="8">
        <v>2411</v>
      </c>
      <c r="J217" s="9"/>
      <c r="K217" s="8">
        <f t="shared" si="39"/>
        <v>28932</v>
      </c>
      <c r="L217" s="7">
        <f t="shared" si="40"/>
        <v>0</v>
      </c>
      <c r="M217" s="10">
        <f t="shared" si="41"/>
        <v>1</v>
      </c>
      <c r="N217" s="11">
        <f t="shared" si="42"/>
        <v>0.158129406885107</v>
      </c>
      <c r="O217" s="8">
        <f t="shared" si="43"/>
        <v>9149.99999999986</v>
      </c>
      <c r="P217" s="12">
        <f t="shared" si="44"/>
        <v>0</v>
      </c>
    </row>
    <row r="218" spans="1:16">
      <c r="A218" s="2">
        <v>46053</v>
      </c>
      <c r="B218" s="3">
        <f>Data_Entry!P308</f>
        <v>8880.00000000011</v>
      </c>
      <c r="C218" s="4">
        <f>Data_Entry!V308</f>
        <v>3.36</v>
      </c>
      <c r="D218" s="5">
        <f t="shared" si="36"/>
        <v>0.153463293239322</v>
      </c>
      <c r="E218" s="6">
        <v>0</v>
      </c>
      <c r="F218" s="6">
        <v>0</v>
      </c>
      <c r="G218" s="7">
        <f t="shared" si="37"/>
        <v>0</v>
      </c>
      <c r="H218" s="7">
        <f t="shared" si="38"/>
        <v>0</v>
      </c>
      <c r="I218" s="8">
        <v>2411</v>
      </c>
      <c r="J218" s="9"/>
      <c r="K218" s="8">
        <f t="shared" si="39"/>
        <v>28932</v>
      </c>
      <c r="L218" s="7">
        <f t="shared" si="40"/>
        <v>0</v>
      </c>
      <c r="M218" s="10">
        <f t="shared" si="41"/>
        <v>1</v>
      </c>
      <c r="N218" s="11">
        <f t="shared" si="42"/>
        <v>0.153463293239322</v>
      </c>
      <c r="O218" s="8">
        <f t="shared" si="43"/>
        <v>8880.00000000011</v>
      </c>
      <c r="P218" s="12">
        <f t="shared" si="44"/>
        <v>0</v>
      </c>
    </row>
    <row r="219" spans="1:16">
      <c r="A219" s="2">
        <v>46054</v>
      </c>
      <c r="B219" s="3">
        <f>Data_Entry!P309</f>
        <v>9449.99999999959</v>
      </c>
      <c r="C219" s="4">
        <f>Data_Entry!V309</f>
        <v>3.43</v>
      </c>
      <c r="D219" s="5">
        <f t="shared" si="36"/>
        <v>0.163313977602647</v>
      </c>
      <c r="E219" s="6">
        <v>0</v>
      </c>
      <c r="F219" s="6">
        <v>0</v>
      </c>
      <c r="G219" s="7">
        <f t="shared" si="37"/>
        <v>0</v>
      </c>
      <c r="H219" s="7">
        <f t="shared" si="38"/>
        <v>0</v>
      </c>
      <c r="I219" s="8">
        <v>2411</v>
      </c>
      <c r="J219" s="9"/>
      <c r="K219" s="8">
        <f t="shared" si="39"/>
        <v>28932</v>
      </c>
      <c r="L219" s="7">
        <f t="shared" si="40"/>
        <v>0</v>
      </c>
      <c r="M219" s="10">
        <f t="shared" si="41"/>
        <v>1</v>
      </c>
      <c r="N219" s="11">
        <f t="shared" si="42"/>
        <v>0.163313977602647</v>
      </c>
      <c r="O219" s="8">
        <f t="shared" si="43"/>
        <v>9449.99999999959</v>
      </c>
      <c r="P219" s="12">
        <f t="shared" si="44"/>
        <v>0</v>
      </c>
    </row>
    <row r="220" spans="1:16">
      <c r="A220" s="2">
        <v>46055</v>
      </c>
      <c r="B220" s="3">
        <f>Data_Entry!P310</f>
        <v>9420.0000000003</v>
      </c>
      <c r="C220" s="4">
        <f>Data_Entry!V310</f>
        <v>3.46</v>
      </c>
      <c r="D220" s="5">
        <f t="shared" si="36"/>
        <v>0.162795520530905</v>
      </c>
      <c r="E220" s="6">
        <v>0</v>
      </c>
      <c r="F220" s="6">
        <v>0</v>
      </c>
      <c r="G220" s="7">
        <f t="shared" si="37"/>
        <v>0</v>
      </c>
      <c r="H220" s="7">
        <f t="shared" si="38"/>
        <v>0</v>
      </c>
      <c r="I220" s="8">
        <v>2411</v>
      </c>
      <c r="J220" s="9"/>
      <c r="K220" s="8">
        <f t="shared" si="39"/>
        <v>28932</v>
      </c>
      <c r="L220" s="7">
        <f t="shared" si="40"/>
        <v>0</v>
      </c>
      <c r="M220" s="10">
        <f t="shared" si="41"/>
        <v>1</v>
      </c>
      <c r="N220" s="11">
        <f t="shared" si="42"/>
        <v>0.162795520530905</v>
      </c>
      <c r="O220" s="8">
        <f t="shared" si="43"/>
        <v>9420.0000000003</v>
      </c>
      <c r="P220" s="12">
        <f t="shared" si="44"/>
        <v>0</v>
      </c>
    </row>
    <row r="221" spans="1:16">
      <c r="A221" s="2">
        <v>46056</v>
      </c>
      <c r="B221" s="3">
        <f>Data_Entry!P311</f>
        <v>10229.9999999996</v>
      </c>
      <c r="C221" s="4">
        <f>Data_Entry!V311</f>
        <v>3.7</v>
      </c>
      <c r="D221" s="5">
        <f t="shared" si="36"/>
        <v>0.176793861468264</v>
      </c>
      <c r="E221" s="6">
        <v>0</v>
      </c>
      <c r="F221" s="6">
        <v>0</v>
      </c>
      <c r="G221" s="7">
        <f t="shared" si="37"/>
        <v>0</v>
      </c>
      <c r="H221" s="7">
        <f t="shared" si="38"/>
        <v>0</v>
      </c>
      <c r="I221" s="8">
        <v>2411</v>
      </c>
      <c r="J221" s="9"/>
      <c r="K221" s="8">
        <f t="shared" si="39"/>
        <v>28932</v>
      </c>
      <c r="L221" s="7">
        <f t="shared" si="40"/>
        <v>0</v>
      </c>
      <c r="M221" s="10">
        <f t="shared" si="41"/>
        <v>1</v>
      </c>
      <c r="N221" s="11">
        <f t="shared" si="42"/>
        <v>0.176793861468264</v>
      </c>
      <c r="O221" s="8">
        <f t="shared" si="43"/>
        <v>10229.9999999996</v>
      </c>
      <c r="P221" s="12">
        <f t="shared" si="44"/>
        <v>0</v>
      </c>
    </row>
    <row r="222" spans="1:16">
      <c r="A222" s="2">
        <v>46057</v>
      </c>
      <c r="B222" s="3">
        <f>Data_Entry!P312</f>
        <v>9990.00000000046</v>
      </c>
      <c r="C222" s="4">
        <f>Data_Entry!V312</f>
        <v>3.76</v>
      </c>
      <c r="D222" s="5">
        <f t="shared" si="36"/>
        <v>0.172646204894243</v>
      </c>
      <c r="E222" s="6">
        <v>0</v>
      </c>
      <c r="F222" s="6">
        <v>0</v>
      </c>
      <c r="G222" s="7">
        <f t="shared" si="37"/>
        <v>0</v>
      </c>
      <c r="H222" s="7">
        <f t="shared" si="38"/>
        <v>0</v>
      </c>
      <c r="I222" s="8">
        <v>2411</v>
      </c>
      <c r="J222" s="9"/>
      <c r="K222" s="8">
        <f t="shared" si="39"/>
        <v>28932</v>
      </c>
      <c r="L222" s="7">
        <f t="shared" si="40"/>
        <v>0</v>
      </c>
      <c r="M222" s="10">
        <f t="shared" si="41"/>
        <v>1</v>
      </c>
      <c r="N222" s="11">
        <f t="shared" si="42"/>
        <v>0.172646204894243</v>
      </c>
      <c r="O222" s="8">
        <f t="shared" si="43"/>
        <v>9990.00000000046</v>
      </c>
      <c r="P222" s="12">
        <f t="shared" si="44"/>
        <v>0</v>
      </c>
    </row>
    <row r="223" spans="1:16">
      <c r="A223" s="2">
        <v>46058</v>
      </c>
      <c r="B223" s="3">
        <f>Data_Entry!P313</f>
        <v>11250</v>
      </c>
      <c r="C223" s="4">
        <f>Data_Entry!V313</f>
        <v>3.98</v>
      </c>
      <c r="D223" s="5">
        <f t="shared" si="36"/>
        <v>0.194421401907922</v>
      </c>
      <c r="E223" s="6">
        <v>0</v>
      </c>
      <c r="F223" s="6">
        <v>0</v>
      </c>
      <c r="G223" s="7">
        <f t="shared" si="37"/>
        <v>0</v>
      </c>
      <c r="H223" s="7">
        <f t="shared" si="38"/>
        <v>0</v>
      </c>
      <c r="I223" s="8">
        <v>2411</v>
      </c>
      <c r="J223" s="9"/>
      <c r="K223" s="8">
        <f t="shared" si="39"/>
        <v>28932</v>
      </c>
      <c r="L223" s="7">
        <f t="shared" si="40"/>
        <v>0</v>
      </c>
      <c r="M223" s="10">
        <f t="shared" si="41"/>
        <v>1</v>
      </c>
      <c r="N223" s="11">
        <f t="shared" si="42"/>
        <v>0.194421401907922</v>
      </c>
      <c r="O223" s="8">
        <f t="shared" si="43"/>
        <v>11250</v>
      </c>
      <c r="P223" s="12">
        <f t="shared" si="44"/>
        <v>0</v>
      </c>
    </row>
    <row r="224" spans="1:16">
      <c r="A224" s="2">
        <v>46059</v>
      </c>
      <c r="B224" s="3">
        <f>Data_Entry!P314</f>
        <v>11459.9999999998</v>
      </c>
      <c r="C224" s="4">
        <f>Data_Entry!V314</f>
        <v>4.18</v>
      </c>
      <c r="D224" s="5">
        <f t="shared" si="36"/>
        <v>0.1980506014102</v>
      </c>
      <c r="E224" s="6">
        <v>0</v>
      </c>
      <c r="F224" s="6">
        <v>0</v>
      </c>
      <c r="G224" s="7">
        <f t="shared" si="37"/>
        <v>0</v>
      </c>
      <c r="H224" s="7">
        <f t="shared" si="38"/>
        <v>0</v>
      </c>
      <c r="I224" s="8">
        <v>2411</v>
      </c>
      <c r="J224" s="9"/>
      <c r="K224" s="8">
        <f t="shared" si="39"/>
        <v>28932</v>
      </c>
      <c r="L224" s="7">
        <f t="shared" si="40"/>
        <v>0</v>
      </c>
      <c r="M224" s="10">
        <f t="shared" si="41"/>
        <v>1</v>
      </c>
      <c r="N224" s="11">
        <f t="shared" si="42"/>
        <v>0.1980506014102</v>
      </c>
      <c r="O224" s="8">
        <f t="shared" si="43"/>
        <v>11459.9999999998</v>
      </c>
      <c r="P224" s="12">
        <f t="shared" si="44"/>
        <v>0</v>
      </c>
    </row>
    <row r="225" spans="1:16">
      <c r="A225" s="2">
        <v>46060</v>
      </c>
      <c r="B225" s="3">
        <f>Data_Entry!P315</f>
        <v>11010.0000000002</v>
      </c>
      <c r="C225" s="4">
        <f>Data_Entry!V315</f>
        <v>4.05</v>
      </c>
      <c r="D225" s="5">
        <f t="shared" si="36"/>
        <v>0.19027374533389</v>
      </c>
      <c r="E225" s="6">
        <v>0</v>
      </c>
      <c r="F225" s="6">
        <v>0</v>
      </c>
      <c r="G225" s="7">
        <f t="shared" si="37"/>
        <v>0</v>
      </c>
      <c r="H225" s="7">
        <f t="shared" si="38"/>
        <v>0</v>
      </c>
      <c r="I225" s="8">
        <v>2411</v>
      </c>
      <c r="J225" s="9"/>
      <c r="K225" s="8">
        <f t="shared" si="39"/>
        <v>28932</v>
      </c>
      <c r="L225" s="7">
        <f t="shared" si="40"/>
        <v>0</v>
      </c>
      <c r="M225" s="10">
        <f t="shared" si="41"/>
        <v>1</v>
      </c>
      <c r="N225" s="11">
        <f t="shared" si="42"/>
        <v>0.19027374533389</v>
      </c>
      <c r="O225" s="8">
        <f t="shared" si="43"/>
        <v>11010.0000000002</v>
      </c>
      <c r="P225" s="12">
        <f t="shared" si="44"/>
        <v>0</v>
      </c>
    </row>
    <row r="226" spans="1:16">
      <c r="A226" s="2">
        <v>46061</v>
      </c>
      <c r="B226" s="3">
        <f>Data_Entry!P316</f>
        <v>11280</v>
      </c>
      <c r="C226" s="4">
        <f>Data_Entry!V316</f>
        <v>4.18</v>
      </c>
      <c r="D226" s="5">
        <f t="shared" si="36"/>
        <v>0.194939858979676</v>
      </c>
      <c r="E226" s="6">
        <v>0</v>
      </c>
      <c r="F226" s="6">
        <v>0</v>
      </c>
      <c r="G226" s="7">
        <f t="shared" si="37"/>
        <v>0</v>
      </c>
      <c r="H226" s="7">
        <f t="shared" si="38"/>
        <v>0</v>
      </c>
      <c r="I226" s="8">
        <v>2411</v>
      </c>
      <c r="J226" s="9"/>
      <c r="K226" s="8">
        <f t="shared" si="39"/>
        <v>28932</v>
      </c>
      <c r="L226" s="7">
        <f t="shared" si="40"/>
        <v>0</v>
      </c>
      <c r="M226" s="10">
        <f t="shared" si="41"/>
        <v>1</v>
      </c>
      <c r="N226" s="11">
        <f t="shared" si="42"/>
        <v>0.194939858979676</v>
      </c>
      <c r="O226" s="8">
        <f t="shared" si="43"/>
        <v>11280</v>
      </c>
      <c r="P226" s="12">
        <f t="shared" si="44"/>
        <v>0</v>
      </c>
    </row>
    <row r="227" spans="1:16">
      <c r="A227" s="2">
        <v>46062</v>
      </c>
      <c r="B227" s="3">
        <f>Data_Entry!P317</f>
        <v>11940.0000000001</v>
      </c>
      <c r="C227" s="4">
        <f>Data_Entry!V317</f>
        <v>4.31</v>
      </c>
      <c r="D227" s="5">
        <f t="shared" ref="D227:D290" si="45">B227/(24*I227)</f>
        <v>0.206345914558276</v>
      </c>
      <c r="E227" s="6">
        <v>0</v>
      </c>
      <c r="F227" s="6">
        <v>0</v>
      </c>
      <c r="G227" s="7">
        <f t="shared" ref="G227:G290" si="46">(F227-E227)*24*60</f>
        <v>0</v>
      </c>
      <c r="H227" s="7">
        <f t="shared" ref="H227:H290" si="47">G227/60</f>
        <v>0</v>
      </c>
      <c r="I227" s="8">
        <v>2411</v>
      </c>
      <c r="J227" s="9"/>
      <c r="K227" s="8">
        <f t="shared" ref="K227:K290" si="48">I227*12</f>
        <v>28932</v>
      </c>
      <c r="L227" s="7">
        <f t="shared" ref="L227:L290" si="49">J227*H227</f>
        <v>0</v>
      </c>
      <c r="M227" s="10">
        <f t="shared" ref="M227:M290" si="50">(K227-L227)/K227</f>
        <v>1</v>
      </c>
      <c r="N227" s="11">
        <f t="shared" ref="N227:N290" si="51">D227/M227</f>
        <v>0.206345914558276</v>
      </c>
      <c r="O227" s="8">
        <f t="shared" ref="O227:O290" si="52">N227*I227*24</f>
        <v>11940.0000000001</v>
      </c>
      <c r="P227" s="12">
        <f t="shared" ref="P227:P290" si="53">O227-B227</f>
        <v>0</v>
      </c>
    </row>
    <row r="228" spans="1:16">
      <c r="A228" s="2">
        <v>46063</v>
      </c>
      <c r="B228" s="3">
        <f>Data_Entry!P318</f>
        <v>12780</v>
      </c>
      <c r="C228" s="4">
        <f>Data_Entry!V318</f>
        <v>4.51</v>
      </c>
      <c r="D228" s="5">
        <f t="shared" si="45"/>
        <v>0.220862712567399</v>
      </c>
      <c r="E228" s="6">
        <v>0</v>
      </c>
      <c r="F228" s="6">
        <v>0</v>
      </c>
      <c r="G228" s="7">
        <f t="shared" si="46"/>
        <v>0</v>
      </c>
      <c r="H228" s="7">
        <f t="shared" si="47"/>
        <v>0</v>
      </c>
      <c r="I228" s="8">
        <v>2411</v>
      </c>
      <c r="J228" s="9"/>
      <c r="K228" s="8">
        <f t="shared" si="48"/>
        <v>28932</v>
      </c>
      <c r="L228" s="7">
        <f t="shared" si="49"/>
        <v>0</v>
      </c>
      <c r="M228" s="10">
        <f t="shared" si="50"/>
        <v>1</v>
      </c>
      <c r="N228" s="11">
        <f t="shared" si="51"/>
        <v>0.220862712567399</v>
      </c>
      <c r="O228" s="8">
        <f t="shared" si="52"/>
        <v>12780</v>
      </c>
      <c r="P228" s="12">
        <f t="shared" si="53"/>
        <v>0</v>
      </c>
    </row>
    <row r="229" spans="1:16">
      <c r="A229" s="2">
        <v>46064</v>
      </c>
      <c r="B229" s="3">
        <f>Data_Entry!P319</f>
        <v>12839.9999999999</v>
      </c>
      <c r="C229" s="4">
        <f>Data_Entry!V319</f>
        <v>4.64</v>
      </c>
      <c r="D229" s="5">
        <f t="shared" si="45"/>
        <v>0.221899626710907</v>
      </c>
      <c r="E229" s="6">
        <v>0</v>
      </c>
      <c r="F229" s="6">
        <v>0</v>
      </c>
      <c r="G229" s="7">
        <f t="shared" si="46"/>
        <v>0</v>
      </c>
      <c r="H229" s="7">
        <f t="shared" si="47"/>
        <v>0</v>
      </c>
      <c r="I229" s="8">
        <v>2411</v>
      </c>
      <c r="J229" s="9"/>
      <c r="K229" s="8">
        <f t="shared" si="48"/>
        <v>28932</v>
      </c>
      <c r="L229" s="7">
        <f t="shared" si="49"/>
        <v>0</v>
      </c>
      <c r="M229" s="10">
        <f t="shared" si="50"/>
        <v>1</v>
      </c>
      <c r="N229" s="11">
        <f t="shared" si="51"/>
        <v>0.221899626710907</v>
      </c>
      <c r="O229" s="8">
        <f t="shared" si="52"/>
        <v>12839.9999999999</v>
      </c>
      <c r="P229" s="12">
        <f t="shared" si="53"/>
        <v>0</v>
      </c>
    </row>
    <row r="230" spans="1:16">
      <c r="A230" s="2">
        <v>46065</v>
      </c>
      <c r="B230" s="3">
        <f>Data_Entry!P320</f>
        <v>12899.9999999999</v>
      </c>
      <c r="C230" s="4">
        <f>Data_Entry!V320</f>
        <v>4.72</v>
      </c>
      <c r="D230" s="5">
        <f t="shared" si="45"/>
        <v>0.222936540854416</v>
      </c>
      <c r="E230" s="6">
        <v>0</v>
      </c>
      <c r="F230" s="6">
        <v>0</v>
      </c>
      <c r="G230" s="7">
        <f t="shared" si="46"/>
        <v>0</v>
      </c>
      <c r="H230" s="7">
        <f t="shared" si="47"/>
        <v>0</v>
      </c>
      <c r="I230" s="8">
        <v>2411</v>
      </c>
      <c r="J230" s="9"/>
      <c r="K230" s="8">
        <f t="shared" si="48"/>
        <v>28932</v>
      </c>
      <c r="L230" s="7">
        <f t="shared" si="49"/>
        <v>0</v>
      </c>
      <c r="M230" s="10">
        <f t="shared" si="50"/>
        <v>1</v>
      </c>
      <c r="N230" s="11">
        <f t="shared" si="51"/>
        <v>0.222936540854416</v>
      </c>
      <c r="O230" s="8">
        <f t="shared" si="52"/>
        <v>12899.9999999999</v>
      </c>
      <c r="P230" s="12">
        <f t="shared" si="53"/>
        <v>0</v>
      </c>
    </row>
    <row r="231" spans="1:16">
      <c r="A231" s="2">
        <v>46066</v>
      </c>
      <c r="B231" s="3">
        <f>Data_Entry!P321</f>
        <v>11459.9999999998</v>
      </c>
      <c r="C231" s="4">
        <f>Data_Entry!V321</f>
        <v>4.22</v>
      </c>
      <c r="D231" s="5">
        <f t="shared" si="45"/>
        <v>0.1980506014102</v>
      </c>
      <c r="E231" s="6">
        <v>0</v>
      </c>
      <c r="F231" s="6">
        <v>0</v>
      </c>
      <c r="G231" s="7">
        <f t="shared" si="46"/>
        <v>0</v>
      </c>
      <c r="H231" s="7">
        <f t="shared" si="47"/>
        <v>0</v>
      </c>
      <c r="I231" s="8">
        <v>2411</v>
      </c>
      <c r="J231" s="9"/>
      <c r="K231" s="8">
        <f t="shared" si="48"/>
        <v>28932</v>
      </c>
      <c r="L231" s="7">
        <f t="shared" si="49"/>
        <v>0</v>
      </c>
      <c r="M231" s="10">
        <f t="shared" si="50"/>
        <v>1</v>
      </c>
      <c r="N231" s="11">
        <f t="shared" si="51"/>
        <v>0.1980506014102</v>
      </c>
      <c r="O231" s="8">
        <f t="shared" si="52"/>
        <v>11459.9999999998</v>
      </c>
      <c r="P231" s="12">
        <f t="shared" si="53"/>
        <v>0</v>
      </c>
    </row>
    <row r="232" spans="1:16">
      <c r="A232" s="2">
        <v>46067</v>
      </c>
      <c r="B232" s="3">
        <f>Data_Entry!P322</f>
        <v>11850.0000000001</v>
      </c>
      <c r="C232" s="4">
        <f>Data_Entry!V322</f>
        <v>4.24</v>
      </c>
      <c r="D232" s="5">
        <f t="shared" si="45"/>
        <v>0.204790543343013</v>
      </c>
      <c r="E232" s="6">
        <v>0</v>
      </c>
      <c r="F232" s="6">
        <v>0</v>
      </c>
      <c r="G232" s="7">
        <f t="shared" si="46"/>
        <v>0</v>
      </c>
      <c r="H232" s="7">
        <f t="shared" si="47"/>
        <v>0</v>
      </c>
      <c r="I232" s="8">
        <v>2411</v>
      </c>
      <c r="J232" s="9"/>
      <c r="K232" s="8">
        <f t="shared" si="48"/>
        <v>28932</v>
      </c>
      <c r="L232" s="7">
        <f t="shared" si="49"/>
        <v>0</v>
      </c>
      <c r="M232" s="10">
        <f t="shared" si="50"/>
        <v>1</v>
      </c>
      <c r="N232" s="11">
        <f t="shared" si="51"/>
        <v>0.204790543343013</v>
      </c>
      <c r="O232" s="8">
        <f t="shared" si="52"/>
        <v>11850.0000000001</v>
      </c>
      <c r="P232" s="12">
        <f t="shared" si="53"/>
        <v>0</v>
      </c>
    </row>
    <row r="233" spans="1:16">
      <c r="A233" s="2">
        <v>46068</v>
      </c>
      <c r="B233" s="3">
        <f>Data_Entry!P323</f>
        <v>13350.0000000001</v>
      </c>
      <c r="C233" s="4">
        <f>Data_Entry!V323</f>
        <v>4.63</v>
      </c>
      <c r="D233" s="5">
        <f t="shared" si="45"/>
        <v>0.230713396930736</v>
      </c>
      <c r="E233" s="6">
        <v>0</v>
      </c>
      <c r="F233" s="6">
        <v>0</v>
      </c>
      <c r="G233" s="7">
        <f t="shared" si="46"/>
        <v>0</v>
      </c>
      <c r="H233" s="7">
        <f t="shared" si="47"/>
        <v>0</v>
      </c>
      <c r="I233" s="8">
        <v>2411</v>
      </c>
      <c r="J233" s="9"/>
      <c r="K233" s="8">
        <f t="shared" si="48"/>
        <v>28932</v>
      </c>
      <c r="L233" s="7">
        <f t="shared" si="49"/>
        <v>0</v>
      </c>
      <c r="M233" s="10">
        <f t="shared" si="50"/>
        <v>1</v>
      </c>
      <c r="N233" s="11">
        <f t="shared" si="51"/>
        <v>0.230713396930736</v>
      </c>
      <c r="O233" s="8">
        <f t="shared" si="52"/>
        <v>13350.0000000001</v>
      </c>
      <c r="P233" s="12">
        <f t="shared" si="53"/>
        <v>0</v>
      </c>
    </row>
    <row r="234" spans="1:16">
      <c r="A234" s="2">
        <v>46069</v>
      </c>
      <c r="B234" s="3">
        <f>Data_Entry!P324</f>
        <v>13260.0000000002</v>
      </c>
      <c r="C234" s="4">
        <f>Data_Entry!V324</f>
        <v>4.67</v>
      </c>
      <c r="D234" s="5">
        <f t="shared" si="45"/>
        <v>0.229158025715474</v>
      </c>
      <c r="E234" s="6">
        <v>0</v>
      </c>
      <c r="F234" s="6">
        <v>0</v>
      </c>
      <c r="G234" s="7">
        <f t="shared" si="46"/>
        <v>0</v>
      </c>
      <c r="H234" s="7">
        <f t="shared" si="47"/>
        <v>0</v>
      </c>
      <c r="I234" s="8">
        <v>2411</v>
      </c>
      <c r="J234" s="9"/>
      <c r="K234" s="8">
        <f t="shared" si="48"/>
        <v>28932</v>
      </c>
      <c r="L234" s="7">
        <f t="shared" si="49"/>
        <v>0</v>
      </c>
      <c r="M234" s="10">
        <f t="shared" si="50"/>
        <v>1</v>
      </c>
      <c r="N234" s="11">
        <f t="shared" si="51"/>
        <v>0.229158025715474</v>
      </c>
      <c r="O234" s="8">
        <f t="shared" si="52"/>
        <v>13260.0000000002</v>
      </c>
      <c r="P234" s="12">
        <f t="shared" si="53"/>
        <v>0</v>
      </c>
    </row>
    <row r="235" spans="1:16">
      <c r="A235" s="2">
        <v>46070</v>
      </c>
      <c r="B235" s="3">
        <f>Data_Entry!P325</f>
        <v>13259.9999999995</v>
      </c>
      <c r="C235" s="4">
        <f>Data_Entry!V325</f>
        <v>4.6</v>
      </c>
      <c r="D235" s="5">
        <f t="shared" si="45"/>
        <v>0.229158025715462</v>
      </c>
      <c r="E235" s="6">
        <v>0</v>
      </c>
      <c r="F235" s="6">
        <v>0</v>
      </c>
      <c r="G235" s="7">
        <f t="shared" si="46"/>
        <v>0</v>
      </c>
      <c r="H235" s="7">
        <f t="shared" si="47"/>
        <v>0</v>
      </c>
      <c r="I235" s="8">
        <v>2411</v>
      </c>
      <c r="J235" s="9"/>
      <c r="K235" s="8">
        <f t="shared" si="48"/>
        <v>28932</v>
      </c>
      <c r="L235" s="7">
        <f t="shared" si="49"/>
        <v>0</v>
      </c>
      <c r="M235" s="10">
        <f t="shared" si="50"/>
        <v>1</v>
      </c>
      <c r="N235" s="11">
        <f t="shared" si="51"/>
        <v>0.229158025715462</v>
      </c>
      <c r="O235" s="8">
        <f t="shared" si="52"/>
        <v>13259.9999999995</v>
      </c>
      <c r="P235" s="12">
        <f t="shared" si="53"/>
        <v>0</v>
      </c>
    </row>
    <row r="236" spans="1:16">
      <c r="A236" s="2">
        <v>46071</v>
      </c>
      <c r="B236" s="3">
        <f>Data_Entry!P326</f>
        <v>13710</v>
      </c>
      <c r="C236" s="4">
        <f>Data_Entry!V326</f>
        <v>4.76</v>
      </c>
      <c r="D236" s="5">
        <f t="shared" si="45"/>
        <v>0.236934881791788</v>
      </c>
      <c r="E236" s="6">
        <v>0</v>
      </c>
      <c r="F236" s="6">
        <v>0</v>
      </c>
      <c r="G236" s="7">
        <f t="shared" si="46"/>
        <v>0</v>
      </c>
      <c r="H236" s="7">
        <f t="shared" si="47"/>
        <v>0</v>
      </c>
      <c r="I236" s="8">
        <v>2411</v>
      </c>
      <c r="J236" s="9"/>
      <c r="K236" s="8">
        <f t="shared" si="48"/>
        <v>28932</v>
      </c>
      <c r="L236" s="7">
        <f t="shared" si="49"/>
        <v>0</v>
      </c>
      <c r="M236" s="10">
        <f t="shared" si="50"/>
        <v>1</v>
      </c>
      <c r="N236" s="11">
        <f t="shared" si="51"/>
        <v>0.236934881791788</v>
      </c>
      <c r="O236" s="8">
        <f t="shared" si="52"/>
        <v>13710</v>
      </c>
      <c r="P236" s="12">
        <f t="shared" si="53"/>
        <v>0</v>
      </c>
    </row>
    <row r="237" spans="1:16">
      <c r="A237" s="2">
        <v>46072</v>
      </c>
      <c r="B237" s="3">
        <f>Data_Entry!P327</f>
        <v>12989.9999999998</v>
      </c>
      <c r="C237" s="4">
        <f>Data_Entry!V327</f>
        <v>4.64</v>
      </c>
      <c r="D237" s="5">
        <f t="shared" si="45"/>
        <v>0.224491912069677</v>
      </c>
      <c r="E237" s="6">
        <v>0</v>
      </c>
      <c r="F237" s="6">
        <v>0</v>
      </c>
      <c r="G237" s="7">
        <f t="shared" si="46"/>
        <v>0</v>
      </c>
      <c r="H237" s="7">
        <f t="shared" si="47"/>
        <v>0</v>
      </c>
      <c r="I237" s="8">
        <v>2411</v>
      </c>
      <c r="J237" s="9"/>
      <c r="K237" s="8">
        <f t="shared" si="48"/>
        <v>28932</v>
      </c>
      <c r="L237" s="7">
        <f t="shared" si="49"/>
        <v>0</v>
      </c>
      <c r="M237" s="10">
        <f t="shared" si="50"/>
        <v>1</v>
      </c>
      <c r="N237" s="11">
        <f t="shared" si="51"/>
        <v>0.224491912069677</v>
      </c>
      <c r="O237" s="8">
        <f t="shared" si="52"/>
        <v>12989.9999999998</v>
      </c>
      <c r="P237" s="12">
        <f t="shared" si="53"/>
        <v>0</v>
      </c>
    </row>
    <row r="238" spans="1:16">
      <c r="A238" s="2">
        <v>46073</v>
      </c>
      <c r="B238" s="3">
        <f>Data_Entry!P328</f>
        <v>11910.0000000001</v>
      </c>
      <c r="C238" s="4">
        <f>Data_Entry!V328</f>
        <v>4.29</v>
      </c>
      <c r="D238" s="5">
        <f t="shared" si="45"/>
        <v>0.205827457486522</v>
      </c>
      <c r="E238" s="6">
        <v>0</v>
      </c>
      <c r="F238" s="6">
        <v>0</v>
      </c>
      <c r="G238" s="7">
        <f t="shared" si="46"/>
        <v>0</v>
      </c>
      <c r="H238" s="7">
        <f t="shared" si="47"/>
        <v>0</v>
      </c>
      <c r="I238" s="8">
        <v>2411</v>
      </c>
      <c r="J238" s="9"/>
      <c r="K238" s="8">
        <f t="shared" si="48"/>
        <v>28932</v>
      </c>
      <c r="L238" s="7">
        <f t="shared" si="49"/>
        <v>0</v>
      </c>
      <c r="M238" s="10">
        <f t="shared" si="50"/>
        <v>1</v>
      </c>
      <c r="N238" s="11">
        <f t="shared" si="51"/>
        <v>0.205827457486522</v>
      </c>
      <c r="O238" s="8">
        <f t="shared" si="52"/>
        <v>11910.0000000001</v>
      </c>
      <c r="P238" s="12">
        <f t="shared" si="53"/>
        <v>0</v>
      </c>
    </row>
    <row r="239" spans="1:16">
      <c r="A239" s="2">
        <v>46074</v>
      </c>
      <c r="B239" s="3">
        <f>Data_Entry!P329</f>
        <v>12539.9999999995</v>
      </c>
      <c r="C239" s="4">
        <f>Data_Entry!V329</f>
        <v>4.46</v>
      </c>
      <c r="D239" s="5">
        <f t="shared" si="45"/>
        <v>0.216715055993355</v>
      </c>
      <c r="E239" s="6">
        <v>0</v>
      </c>
      <c r="F239" s="6">
        <v>0</v>
      </c>
      <c r="G239" s="7">
        <f t="shared" si="46"/>
        <v>0</v>
      </c>
      <c r="H239" s="7">
        <f t="shared" si="47"/>
        <v>0</v>
      </c>
      <c r="I239" s="8">
        <v>2411</v>
      </c>
      <c r="J239" s="9"/>
      <c r="K239" s="8">
        <f t="shared" si="48"/>
        <v>28932</v>
      </c>
      <c r="L239" s="7">
        <f t="shared" si="49"/>
        <v>0</v>
      </c>
      <c r="M239" s="10">
        <f t="shared" si="50"/>
        <v>1</v>
      </c>
      <c r="N239" s="11">
        <f t="shared" si="51"/>
        <v>0.216715055993355</v>
      </c>
      <c r="O239" s="8">
        <f t="shared" si="52"/>
        <v>12539.9999999995</v>
      </c>
      <c r="P239" s="12">
        <f t="shared" si="53"/>
        <v>0</v>
      </c>
    </row>
    <row r="240" spans="1:16">
      <c r="A240" s="2">
        <v>46075</v>
      </c>
      <c r="B240" s="3">
        <f>Data_Entry!P330</f>
        <v>11010.0000000002</v>
      </c>
      <c r="C240" s="4">
        <f>Data_Entry!V330</f>
        <v>4.2</v>
      </c>
      <c r="D240" s="5">
        <f t="shared" si="45"/>
        <v>0.19027374533389</v>
      </c>
      <c r="E240" s="6">
        <v>0</v>
      </c>
      <c r="F240" s="6">
        <v>0</v>
      </c>
      <c r="G240" s="7">
        <f t="shared" si="46"/>
        <v>0</v>
      </c>
      <c r="H240" s="7">
        <f t="shared" si="47"/>
        <v>0</v>
      </c>
      <c r="I240" s="8">
        <v>2411</v>
      </c>
      <c r="J240" s="9"/>
      <c r="K240" s="8">
        <f t="shared" si="48"/>
        <v>28932</v>
      </c>
      <c r="L240" s="7">
        <f t="shared" si="49"/>
        <v>0</v>
      </c>
      <c r="M240" s="10">
        <f t="shared" si="50"/>
        <v>1</v>
      </c>
      <c r="N240" s="11">
        <f t="shared" si="51"/>
        <v>0.19027374533389</v>
      </c>
      <c r="O240" s="8">
        <f t="shared" si="52"/>
        <v>11010.0000000002</v>
      </c>
      <c r="P240" s="12">
        <f t="shared" si="53"/>
        <v>0</v>
      </c>
    </row>
    <row r="241" spans="1:16">
      <c r="A241" s="2">
        <v>46076</v>
      </c>
      <c r="B241" s="3">
        <f>Data_Entry!P331</f>
        <v>10050</v>
      </c>
      <c r="C241" s="4">
        <f>Data_Entry!V331</f>
        <v>4.13</v>
      </c>
      <c r="D241" s="5">
        <f t="shared" si="45"/>
        <v>0.173683119037744</v>
      </c>
      <c r="E241" s="6">
        <v>0</v>
      </c>
      <c r="F241" s="6">
        <v>0</v>
      </c>
      <c r="G241" s="7">
        <f t="shared" si="46"/>
        <v>0</v>
      </c>
      <c r="H241" s="7">
        <f t="shared" si="47"/>
        <v>0</v>
      </c>
      <c r="I241" s="8">
        <v>2411</v>
      </c>
      <c r="J241" s="9"/>
      <c r="K241" s="8">
        <f t="shared" si="48"/>
        <v>28932</v>
      </c>
      <c r="L241" s="7">
        <f t="shared" si="49"/>
        <v>0</v>
      </c>
      <c r="M241" s="10">
        <f t="shared" si="50"/>
        <v>1</v>
      </c>
      <c r="N241" s="11">
        <f t="shared" si="51"/>
        <v>0.173683119037744</v>
      </c>
      <c r="O241" s="8">
        <f t="shared" si="52"/>
        <v>10050</v>
      </c>
      <c r="P241" s="12">
        <f t="shared" si="53"/>
        <v>0</v>
      </c>
    </row>
    <row r="242" spans="1:16">
      <c r="A242" s="2">
        <v>46077</v>
      </c>
      <c r="B242" s="3">
        <f>Data_Entry!P332</f>
        <v>11099.9999999995</v>
      </c>
      <c r="C242" s="4">
        <f>Data_Entry!V332</f>
        <v>4.13</v>
      </c>
      <c r="D242" s="5">
        <f t="shared" si="45"/>
        <v>0.191829116549141</v>
      </c>
      <c r="E242" s="6">
        <v>0</v>
      </c>
      <c r="F242" s="6">
        <v>0</v>
      </c>
      <c r="G242" s="7">
        <f t="shared" si="46"/>
        <v>0</v>
      </c>
      <c r="H242" s="7">
        <f t="shared" si="47"/>
        <v>0</v>
      </c>
      <c r="I242" s="8">
        <v>2411</v>
      </c>
      <c r="J242" s="9"/>
      <c r="K242" s="8">
        <f t="shared" si="48"/>
        <v>28932</v>
      </c>
      <c r="L242" s="7">
        <f t="shared" si="49"/>
        <v>0</v>
      </c>
      <c r="M242" s="10">
        <f t="shared" si="50"/>
        <v>1</v>
      </c>
      <c r="N242" s="11">
        <f t="shared" si="51"/>
        <v>0.191829116549141</v>
      </c>
      <c r="O242" s="8">
        <f t="shared" si="52"/>
        <v>11099.9999999995</v>
      </c>
      <c r="P242" s="12">
        <f t="shared" si="53"/>
        <v>0</v>
      </c>
    </row>
    <row r="243" spans="1:16">
      <c r="A243" s="2">
        <v>46078</v>
      </c>
      <c r="B243" s="3">
        <f>Data_Entry!P333</f>
        <v>13200.0000000003</v>
      </c>
      <c r="C243" s="4">
        <f>Data_Entry!V333</f>
        <v>4.96</v>
      </c>
      <c r="D243" s="5">
        <f t="shared" si="45"/>
        <v>0.228121111571967</v>
      </c>
      <c r="E243" s="6">
        <v>0</v>
      </c>
      <c r="F243" s="6">
        <v>0</v>
      </c>
      <c r="G243" s="7">
        <f t="shared" si="46"/>
        <v>0</v>
      </c>
      <c r="H243" s="7">
        <f t="shared" si="47"/>
        <v>0</v>
      </c>
      <c r="I243" s="8">
        <v>2411</v>
      </c>
      <c r="J243" s="9"/>
      <c r="K243" s="8">
        <f t="shared" si="48"/>
        <v>28932</v>
      </c>
      <c r="L243" s="7">
        <f t="shared" si="49"/>
        <v>0</v>
      </c>
      <c r="M243" s="10">
        <f t="shared" si="50"/>
        <v>1</v>
      </c>
      <c r="N243" s="11">
        <f t="shared" si="51"/>
        <v>0.228121111571967</v>
      </c>
      <c r="O243" s="8">
        <f t="shared" si="52"/>
        <v>13200.0000000003</v>
      </c>
      <c r="P243" s="12">
        <f t="shared" si="53"/>
        <v>0</v>
      </c>
    </row>
    <row r="244" spans="1:16">
      <c r="A244" s="2">
        <v>46079</v>
      </c>
      <c r="B244" s="3">
        <f>Data_Entry!P334</f>
        <v>13679.9999999998</v>
      </c>
      <c r="C244" s="4">
        <f>Data_Entry!V334</f>
        <v>4.76</v>
      </c>
      <c r="D244" s="5">
        <f t="shared" si="45"/>
        <v>0.23641642472003</v>
      </c>
      <c r="E244" s="6">
        <v>0</v>
      </c>
      <c r="F244" s="6">
        <v>0</v>
      </c>
      <c r="G244" s="7">
        <f t="shared" si="46"/>
        <v>0</v>
      </c>
      <c r="H244" s="7">
        <f t="shared" si="47"/>
        <v>0</v>
      </c>
      <c r="I244" s="8">
        <v>2411</v>
      </c>
      <c r="J244" s="9"/>
      <c r="K244" s="8">
        <f t="shared" si="48"/>
        <v>28932</v>
      </c>
      <c r="L244" s="7">
        <f t="shared" si="49"/>
        <v>0</v>
      </c>
      <c r="M244" s="10">
        <f t="shared" si="50"/>
        <v>1</v>
      </c>
      <c r="N244" s="11">
        <f t="shared" si="51"/>
        <v>0.23641642472003</v>
      </c>
      <c r="O244" s="8">
        <f t="shared" si="52"/>
        <v>13679.9999999998</v>
      </c>
      <c r="P244" s="12">
        <f t="shared" si="53"/>
        <v>0</v>
      </c>
    </row>
    <row r="245" spans="1:16">
      <c r="A245" s="2">
        <v>46080</v>
      </c>
      <c r="B245" s="3">
        <f>Data_Entry!P335</f>
        <v>12330.0000000004</v>
      </c>
      <c r="C245" s="4">
        <f>Data_Entry!V335</f>
        <v>4.3</v>
      </c>
      <c r="D245" s="5">
        <f t="shared" si="45"/>
        <v>0.213085856491089</v>
      </c>
      <c r="E245" s="6">
        <v>0</v>
      </c>
      <c r="F245" s="6">
        <v>0</v>
      </c>
      <c r="G245" s="7">
        <f t="shared" si="46"/>
        <v>0</v>
      </c>
      <c r="H245" s="7">
        <f t="shared" si="47"/>
        <v>0</v>
      </c>
      <c r="I245" s="8">
        <v>2411</v>
      </c>
      <c r="J245" s="9"/>
      <c r="K245" s="8">
        <f t="shared" si="48"/>
        <v>28932</v>
      </c>
      <c r="L245" s="7">
        <f t="shared" si="49"/>
        <v>0</v>
      </c>
      <c r="M245" s="10">
        <f t="shared" si="50"/>
        <v>1</v>
      </c>
      <c r="N245" s="11">
        <f t="shared" si="51"/>
        <v>0.213085856491089</v>
      </c>
      <c r="O245" s="8">
        <f t="shared" si="52"/>
        <v>12330.0000000004</v>
      </c>
      <c r="P245" s="12">
        <f t="shared" si="53"/>
        <v>0</v>
      </c>
    </row>
    <row r="246" spans="1:16">
      <c r="A246" s="2">
        <v>46081</v>
      </c>
      <c r="B246" s="3">
        <f>Data_Entry!P336</f>
        <v>14039.9999999995</v>
      </c>
      <c r="C246" s="4">
        <f>Data_Entry!V336</f>
        <v>4.83</v>
      </c>
      <c r="D246" s="5">
        <f t="shared" si="45"/>
        <v>0.242637909581078</v>
      </c>
      <c r="E246" s="6">
        <v>0</v>
      </c>
      <c r="F246" s="6">
        <v>0</v>
      </c>
      <c r="G246" s="7">
        <f t="shared" si="46"/>
        <v>0</v>
      </c>
      <c r="H246" s="7">
        <f t="shared" si="47"/>
        <v>0</v>
      </c>
      <c r="I246" s="8">
        <v>2411</v>
      </c>
      <c r="J246" s="9"/>
      <c r="K246" s="8">
        <f t="shared" si="48"/>
        <v>28932</v>
      </c>
      <c r="L246" s="7">
        <f t="shared" si="49"/>
        <v>0</v>
      </c>
      <c r="M246" s="10">
        <f t="shared" si="50"/>
        <v>1</v>
      </c>
      <c r="N246" s="11">
        <f t="shared" si="51"/>
        <v>0.242637909581078</v>
      </c>
      <c r="O246" s="8">
        <f t="shared" si="52"/>
        <v>14039.9999999995</v>
      </c>
      <c r="P246" s="12">
        <f t="shared" si="53"/>
        <v>0</v>
      </c>
    </row>
    <row r="247" spans="1:16">
      <c r="A247" s="2">
        <v>46082</v>
      </c>
      <c r="B247" s="3">
        <f>Data_Entry!P337</f>
        <v>13710.0000000005</v>
      </c>
      <c r="C247" s="4">
        <f>Data_Entry!V337</f>
        <v>4.71</v>
      </c>
      <c r="D247" s="5">
        <f t="shared" si="45"/>
        <v>0.236934881791796</v>
      </c>
      <c r="E247" s="6">
        <v>0</v>
      </c>
      <c r="F247" s="6">
        <v>0</v>
      </c>
      <c r="G247" s="7">
        <f t="shared" si="46"/>
        <v>0</v>
      </c>
      <c r="H247" s="7">
        <f t="shared" si="47"/>
        <v>0</v>
      </c>
      <c r="I247" s="8">
        <v>2411</v>
      </c>
      <c r="J247" s="9"/>
      <c r="K247" s="8">
        <f t="shared" si="48"/>
        <v>28932</v>
      </c>
      <c r="L247" s="7">
        <f t="shared" si="49"/>
        <v>0</v>
      </c>
      <c r="M247" s="10">
        <f t="shared" si="50"/>
        <v>1</v>
      </c>
      <c r="N247" s="11">
        <f t="shared" si="51"/>
        <v>0.236934881791796</v>
      </c>
      <c r="O247" s="8">
        <f t="shared" si="52"/>
        <v>13710.0000000005</v>
      </c>
      <c r="P247" s="12">
        <f t="shared" si="53"/>
        <v>0</v>
      </c>
    </row>
    <row r="248" spans="1:16">
      <c r="A248" s="2">
        <v>46083</v>
      </c>
      <c r="B248" s="3">
        <f>Data_Entry!P338</f>
        <v>13619.9999999999</v>
      </c>
      <c r="C248" s="4">
        <f>Data_Entry!V338</f>
        <v>4.77</v>
      </c>
      <c r="D248" s="5">
        <f t="shared" si="45"/>
        <v>0.235379510576523</v>
      </c>
      <c r="E248" s="6">
        <v>0</v>
      </c>
      <c r="F248" s="6">
        <v>0</v>
      </c>
      <c r="G248" s="7">
        <f t="shared" si="46"/>
        <v>0</v>
      </c>
      <c r="H248" s="7">
        <f t="shared" si="47"/>
        <v>0</v>
      </c>
      <c r="I248" s="8">
        <v>2411</v>
      </c>
      <c r="J248" s="9"/>
      <c r="K248" s="8">
        <f t="shared" si="48"/>
        <v>28932</v>
      </c>
      <c r="L248" s="7">
        <f t="shared" si="49"/>
        <v>0</v>
      </c>
      <c r="M248" s="10">
        <f t="shared" si="50"/>
        <v>1</v>
      </c>
      <c r="N248" s="11">
        <f t="shared" si="51"/>
        <v>0.235379510576523</v>
      </c>
      <c r="O248" s="8">
        <f t="shared" si="52"/>
        <v>13619.9999999999</v>
      </c>
      <c r="P248" s="12">
        <f t="shared" si="53"/>
        <v>0</v>
      </c>
    </row>
    <row r="249" spans="1:16">
      <c r="A249" s="2">
        <v>46084</v>
      </c>
      <c r="B249" s="3">
        <f>Data_Entry!P339</f>
        <v>13139.9999999996</v>
      </c>
      <c r="C249" s="4">
        <f>Data_Entry!V339</f>
        <v>4.6</v>
      </c>
      <c r="D249" s="5">
        <f t="shared" si="45"/>
        <v>0.227084197428446</v>
      </c>
      <c r="E249" s="6">
        <v>0</v>
      </c>
      <c r="F249" s="6">
        <v>0</v>
      </c>
      <c r="G249" s="7">
        <f t="shared" si="46"/>
        <v>0</v>
      </c>
      <c r="H249" s="7">
        <f t="shared" si="47"/>
        <v>0</v>
      </c>
      <c r="I249" s="8">
        <v>2411</v>
      </c>
      <c r="J249" s="9"/>
      <c r="K249" s="8">
        <f t="shared" si="48"/>
        <v>28932</v>
      </c>
      <c r="L249" s="7">
        <f t="shared" si="49"/>
        <v>0</v>
      </c>
      <c r="M249" s="10">
        <f t="shared" si="50"/>
        <v>1</v>
      </c>
      <c r="N249" s="11">
        <f t="shared" si="51"/>
        <v>0.227084197428446</v>
      </c>
      <c r="O249" s="8">
        <f t="shared" si="52"/>
        <v>13139.9999999996</v>
      </c>
      <c r="P249" s="12">
        <f t="shared" si="53"/>
        <v>0</v>
      </c>
    </row>
    <row r="250" spans="1:16">
      <c r="A250" s="2">
        <v>46085</v>
      </c>
      <c r="B250" s="3">
        <f>Data_Entry!P340</f>
        <v>12059.9999999999</v>
      </c>
      <c r="C250" s="4">
        <f>Data_Entry!V340</f>
        <v>4.78</v>
      </c>
      <c r="D250" s="5">
        <f t="shared" si="45"/>
        <v>0.208419742845291</v>
      </c>
      <c r="E250" s="6">
        <v>0</v>
      </c>
      <c r="F250" s="6">
        <v>0</v>
      </c>
      <c r="G250" s="7">
        <f t="shared" si="46"/>
        <v>0</v>
      </c>
      <c r="H250" s="7">
        <f t="shared" si="47"/>
        <v>0</v>
      </c>
      <c r="I250" s="8">
        <v>2411</v>
      </c>
      <c r="J250" s="9"/>
      <c r="K250" s="8">
        <f t="shared" si="48"/>
        <v>28932</v>
      </c>
      <c r="L250" s="7">
        <f t="shared" si="49"/>
        <v>0</v>
      </c>
      <c r="M250" s="10">
        <f t="shared" si="50"/>
        <v>1</v>
      </c>
      <c r="N250" s="11">
        <f t="shared" si="51"/>
        <v>0.208419742845291</v>
      </c>
      <c r="O250" s="8">
        <f t="shared" si="52"/>
        <v>12059.9999999999</v>
      </c>
      <c r="P250" s="12">
        <f t="shared" si="53"/>
        <v>0</v>
      </c>
    </row>
    <row r="251" spans="1:16">
      <c r="A251" s="2">
        <v>46086</v>
      </c>
      <c r="B251" s="3">
        <f>Data_Entry!P341</f>
        <v>12360.0000000004</v>
      </c>
      <c r="C251" s="4">
        <f>Data_Entry!V341</f>
        <v>4.88</v>
      </c>
      <c r="D251" s="5">
        <f t="shared" si="45"/>
        <v>0.213604313562844</v>
      </c>
      <c r="E251" s="6">
        <v>0</v>
      </c>
      <c r="F251" s="6">
        <v>0</v>
      </c>
      <c r="G251" s="7">
        <f t="shared" si="46"/>
        <v>0</v>
      </c>
      <c r="H251" s="7">
        <f t="shared" si="47"/>
        <v>0</v>
      </c>
      <c r="I251" s="8">
        <v>2411</v>
      </c>
      <c r="J251" s="9"/>
      <c r="K251" s="8">
        <f t="shared" si="48"/>
        <v>28932</v>
      </c>
      <c r="L251" s="7">
        <f t="shared" si="49"/>
        <v>0</v>
      </c>
      <c r="M251" s="10">
        <f t="shared" si="50"/>
        <v>1</v>
      </c>
      <c r="N251" s="11">
        <f t="shared" si="51"/>
        <v>0.213604313562844</v>
      </c>
      <c r="O251" s="8">
        <f t="shared" si="52"/>
        <v>12360.0000000004</v>
      </c>
      <c r="P251" s="12">
        <f t="shared" si="53"/>
        <v>0</v>
      </c>
    </row>
    <row r="252" spans="1:16">
      <c r="A252" s="2">
        <v>46087</v>
      </c>
      <c r="B252" s="3">
        <f>Data_Entry!P342</f>
        <v>14220</v>
      </c>
      <c r="C252" s="4">
        <f>Data_Entry!V342</f>
        <v>5.11</v>
      </c>
      <c r="D252" s="5">
        <f t="shared" si="45"/>
        <v>0.245748652011613</v>
      </c>
      <c r="E252" s="6">
        <v>0</v>
      </c>
      <c r="F252" s="6">
        <v>0</v>
      </c>
      <c r="G252" s="7">
        <f t="shared" si="46"/>
        <v>0</v>
      </c>
      <c r="H252" s="7">
        <f t="shared" si="47"/>
        <v>0</v>
      </c>
      <c r="I252" s="8">
        <v>2411</v>
      </c>
      <c r="J252" s="9"/>
      <c r="K252" s="8">
        <f t="shared" si="48"/>
        <v>28932</v>
      </c>
      <c r="L252" s="7">
        <f t="shared" si="49"/>
        <v>0</v>
      </c>
      <c r="M252" s="10">
        <f t="shared" si="50"/>
        <v>1</v>
      </c>
      <c r="N252" s="11">
        <f t="shared" si="51"/>
        <v>0.245748652011613</v>
      </c>
      <c r="O252" s="8">
        <f t="shared" si="52"/>
        <v>14220</v>
      </c>
      <c r="P252" s="12">
        <f t="shared" si="53"/>
        <v>0</v>
      </c>
    </row>
    <row r="253" spans="1:16">
      <c r="A253" s="2">
        <v>46088</v>
      </c>
      <c r="B253" s="3">
        <f>Data_Entry!P343</f>
        <v>12929.9999999998</v>
      </c>
      <c r="C253" s="4">
        <f>Data_Entry!V343</f>
        <v>4.7</v>
      </c>
      <c r="D253" s="5">
        <f t="shared" si="45"/>
        <v>0.223454997926168</v>
      </c>
      <c r="E253" s="6">
        <v>0</v>
      </c>
      <c r="F253" s="6">
        <v>0</v>
      </c>
      <c r="G253" s="7">
        <f t="shared" si="46"/>
        <v>0</v>
      </c>
      <c r="H253" s="7">
        <f t="shared" si="47"/>
        <v>0</v>
      </c>
      <c r="I253" s="8">
        <v>2411</v>
      </c>
      <c r="J253" s="9"/>
      <c r="K253" s="8">
        <f t="shared" si="48"/>
        <v>28932</v>
      </c>
      <c r="L253" s="7">
        <f t="shared" si="49"/>
        <v>0</v>
      </c>
      <c r="M253" s="10">
        <f t="shared" si="50"/>
        <v>1</v>
      </c>
      <c r="N253" s="11">
        <f t="shared" si="51"/>
        <v>0.223454997926168</v>
      </c>
      <c r="O253" s="8">
        <f t="shared" si="52"/>
        <v>12929.9999999998</v>
      </c>
      <c r="P253" s="12">
        <f t="shared" si="53"/>
        <v>0</v>
      </c>
    </row>
    <row r="254" spans="1:16">
      <c r="A254" s="2">
        <v>46089</v>
      </c>
      <c r="B254" s="3">
        <f>Data_Entry!P344</f>
        <v>13380.0000000001</v>
      </c>
      <c r="C254" s="4">
        <f>Data_Entry!V344</f>
        <v>4.9</v>
      </c>
      <c r="D254" s="5">
        <f t="shared" si="45"/>
        <v>0.23123185400249</v>
      </c>
      <c r="E254" s="6">
        <v>0</v>
      </c>
      <c r="F254" s="6">
        <v>0</v>
      </c>
      <c r="G254" s="7">
        <f t="shared" si="46"/>
        <v>0</v>
      </c>
      <c r="H254" s="7">
        <f t="shared" si="47"/>
        <v>0</v>
      </c>
      <c r="I254" s="8">
        <v>2411</v>
      </c>
      <c r="J254" s="9"/>
      <c r="K254" s="8">
        <f t="shared" si="48"/>
        <v>28932</v>
      </c>
      <c r="L254" s="7">
        <f t="shared" si="49"/>
        <v>0</v>
      </c>
      <c r="M254" s="10">
        <f t="shared" si="50"/>
        <v>1</v>
      </c>
      <c r="N254" s="11">
        <f t="shared" si="51"/>
        <v>0.23123185400249</v>
      </c>
      <c r="O254" s="8">
        <f t="shared" si="52"/>
        <v>13380.0000000001</v>
      </c>
      <c r="P254" s="12">
        <f t="shared" si="53"/>
        <v>0</v>
      </c>
    </row>
    <row r="255" spans="1:16">
      <c r="A255" s="2">
        <v>46090</v>
      </c>
      <c r="B255" s="3">
        <f>Data_Entry!P345</f>
        <v>13440.0000000001</v>
      </c>
      <c r="C255" s="4">
        <f>Data_Entry!V345</f>
        <v>5.06</v>
      </c>
      <c r="D255" s="5">
        <f t="shared" si="45"/>
        <v>0.232268768145999</v>
      </c>
      <c r="E255" s="6">
        <v>0</v>
      </c>
      <c r="F255" s="6">
        <v>0</v>
      </c>
      <c r="G255" s="7">
        <f t="shared" si="46"/>
        <v>0</v>
      </c>
      <c r="H255" s="7">
        <f t="shared" si="47"/>
        <v>0</v>
      </c>
      <c r="I255" s="8">
        <v>2411</v>
      </c>
      <c r="J255" s="9"/>
      <c r="K255" s="8">
        <f t="shared" si="48"/>
        <v>28932</v>
      </c>
      <c r="L255" s="7">
        <f t="shared" si="49"/>
        <v>0</v>
      </c>
      <c r="M255" s="10">
        <f t="shared" si="50"/>
        <v>1</v>
      </c>
      <c r="N255" s="11">
        <f t="shared" si="51"/>
        <v>0.232268768145999</v>
      </c>
      <c r="O255" s="8">
        <f t="shared" si="52"/>
        <v>13440.0000000001</v>
      </c>
      <c r="P255" s="12">
        <f t="shared" si="53"/>
        <v>0</v>
      </c>
    </row>
    <row r="256" spans="1:16">
      <c r="A256" s="2">
        <v>46091</v>
      </c>
      <c r="B256" s="3">
        <f>Data_Entry!P346</f>
        <v>13229.9999999996</v>
      </c>
      <c r="C256" s="4">
        <f>Data_Entry!V346</f>
        <v>5.02</v>
      </c>
      <c r="D256" s="5">
        <f t="shared" si="45"/>
        <v>0.228639568643709</v>
      </c>
      <c r="E256" s="6">
        <v>0</v>
      </c>
      <c r="F256" s="6">
        <v>0</v>
      </c>
      <c r="G256" s="7">
        <f t="shared" si="46"/>
        <v>0</v>
      </c>
      <c r="H256" s="7">
        <f t="shared" si="47"/>
        <v>0</v>
      </c>
      <c r="I256" s="8">
        <v>2411</v>
      </c>
      <c r="J256" s="9"/>
      <c r="K256" s="8">
        <f t="shared" si="48"/>
        <v>28932</v>
      </c>
      <c r="L256" s="7">
        <f t="shared" si="49"/>
        <v>0</v>
      </c>
      <c r="M256" s="10">
        <f t="shared" si="50"/>
        <v>1</v>
      </c>
      <c r="N256" s="11">
        <f t="shared" si="51"/>
        <v>0.228639568643709</v>
      </c>
      <c r="O256" s="8">
        <f t="shared" si="52"/>
        <v>13229.9999999996</v>
      </c>
      <c r="P256" s="12">
        <f t="shared" si="53"/>
        <v>0</v>
      </c>
    </row>
    <row r="257" spans="1:16">
      <c r="A257" s="2">
        <v>46092</v>
      </c>
      <c r="B257" s="3">
        <f>Data_Entry!P347</f>
        <v>12960.0000000005</v>
      </c>
      <c r="C257" s="4">
        <f>Data_Entry!V347</f>
        <v>4.98</v>
      </c>
      <c r="D257" s="5">
        <f t="shared" si="45"/>
        <v>0.223973454997935</v>
      </c>
      <c r="E257" s="6">
        <v>0</v>
      </c>
      <c r="F257" s="6">
        <v>0</v>
      </c>
      <c r="G257" s="7">
        <f t="shared" si="46"/>
        <v>0</v>
      </c>
      <c r="H257" s="7">
        <f t="shared" si="47"/>
        <v>0</v>
      </c>
      <c r="I257" s="8">
        <v>2411</v>
      </c>
      <c r="J257" s="9"/>
      <c r="K257" s="8">
        <f t="shared" si="48"/>
        <v>28932</v>
      </c>
      <c r="L257" s="7">
        <f t="shared" si="49"/>
        <v>0</v>
      </c>
      <c r="M257" s="10">
        <f t="shared" si="50"/>
        <v>1</v>
      </c>
      <c r="N257" s="11">
        <f t="shared" si="51"/>
        <v>0.223973454997935</v>
      </c>
      <c r="O257" s="8">
        <f t="shared" si="52"/>
        <v>12960.0000000005</v>
      </c>
      <c r="P257" s="12">
        <f t="shared" si="53"/>
        <v>0</v>
      </c>
    </row>
    <row r="258" spans="1:16">
      <c r="A258" s="2">
        <v>46093</v>
      </c>
      <c r="B258" s="3">
        <f>Data_Entry!P348</f>
        <v>13079.9999999997</v>
      </c>
      <c r="C258" s="4">
        <f>Data_Entry!V348</f>
        <v>4.97</v>
      </c>
      <c r="D258" s="5">
        <f t="shared" si="45"/>
        <v>0.226047283284939</v>
      </c>
      <c r="E258" s="6">
        <v>0</v>
      </c>
      <c r="F258" s="6">
        <v>0</v>
      </c>
      <c r="G258" s="7">
        <f t="shared" si="46"/>
        <v>0</v>
      </c>
      <c r="H258" s="7">
        <f t="shared" si="47"/>
        <v>0</v>
      </c>
      <c r="I258" s="8">
        <v>2411</v>
      </c>
      <c r="J258" s="9"/>
      <c r="K258" s="8">
        <f t="shared" si="48"/>
        <v>28932</v>
      </c>
      <c r="L258" s="7">
        <f t="shared" si="49"/>
        <v>0</v>
      </c>
      <c r="M258" s="10">
        <f t="shared" si="50"/>
        <v>1</v>
      </c>
      <c r="N258" s="11">
        <f t="shared" si="51"/>
        <v>0.226047283284939</v>
      </c>
      <c r="O258" s="8">
        <f t="shared" si="52"/>
        <v>13079.9999999997</v>
      </c>
      <c r="P258" s="12">
        <f t="shared" si="53"/>
        <v>0</v>
      </c>
    </row>
    <row r="259" spans="1:16">
      <c r="A259" s="2">
        <v>46094</v>
      </c>
      <c r="B259" s="3">
        <f>Data_Entry!P349</f>
        <v>12869.9999999999</v>
      </c>
      <c r="C259" s="4">
        <f>Data_Entry!V349</f>
        <v>4.91</v>
      </c>
      <c r="D259" s="5">
        <f t="shared" si="45"/>
        <v>0.222418083782661</v>
      </c>
      <c r="E259" s="6">
        <v>0</v>
      </c>
      <c r="F259" s="6">
        <v>0</v>
      </c>
      <c r="G259" s="7">
        <f t="shared" si="46"/>
        <v>0</v>
      </c>
      <c r="H259" s="7">
        <f t="shared" si="47"/>
        <v>0</v>
      </c>
      <c r="I259" s="8">
        <v>2411</v>
      </c>
      <c r="J259" s="9"/>
      <c r="K259" s="8">
        <f t="shared" si="48"/>
        <v>28932</v>
      </c>
      <c r="L259" s="7">
        <f t="shared" si="49"/>
        <v>0</v>
      </c>
      <c r="M259" s="10">
        <f t="shared" si="50"/>
        <v>1</v>
      </c>
      <c r="N259" s="11">
        <f t="shared" si="51"/>
        <v>0.222418083782661</v>
      </c>
      <c r="O259" s="8">
        <f t="shared" si="52"/>
        <v>12869.9999999999</v>
      </c>
      <c r="P259" s="12">
        <f t="shared" si="53"/>
        <v>0</v>
      </c>
    </row>
    <row r="260" spans="1:16">
      <c r="A260" s="2">
        <v>46095</v>
      </c>
      <c r="B260" s="3">
        <f>Data_Entry!P350</f>
        <v>13530</v>
      </c>
      <c r="C260" s="4">
        <f>Data_Entry!V350</f>
        <v>5.26</v>
      </c>
      <c r="D260" s="5">
        <f t="shared" si="45"/>
        <v>0.233824139361261</v>
      </c>
      <c r="E260" s="6">
        <v>0</v>
      </c>
      <c r="F260" s="6">
        <v>0</v>
      </c>
      <c r="G260" s="7">
        <f t="shared" si="46"/>
        <v>0</v>
      </c>
      <c r="H260" s="7">
        <f t="shared" si="47"/>
        <v>0</v>
      </c>
      <c r="I260" s="8">
        <v>2411</v>
      </c>
      <c r="J260" s="9"/>
      <c r="K260" s="8">
        <f t="shared" si="48"/>
        <v>28932</v>
      </c>
      <c r="L260" s="7">
        <f t="shared" si="49"/>
        <v>0</v>
      </c>
      <c r="M260" s="10">
        <f t="shared" si="50"/>
        <v>1</v>
      </c>
      <c r="N260" s="11">
        <f t="shared" si="51"/>
        <v>0.233824139361261</v>
      </c>
      <c r="O260" s="8">
        <f t="shared" si="52"/>
        <v>13530</v>
      </c>
      <c r="P260" s="12">
        <f t="shared" si="53"/>
        <v>0</v>
      </c>
    </row>
    <row r="261" spans="1:16">
      <c r="A261" s="2">
        <v>46096</v>
      </c>
      <c r="B261" s="3">
        <f>Data_Entry!P351</f>
        <v>12960.0000000005</v>
      </c>
      <c r="C261" s="4">
        <f>Data_Entry!V351</f>
        <v>5.08</v>
      </c>
      <c r="D261" s="5">
        <f t="shared" si="45"/>
        <v>0.223973454997935</v>
      </c>
      <c r="E261" s="6">
        <v>0</v>
      </c>
      <c r="F261" s="6">
        <v>0</v>
      </c>
      <c r="G261" s="7">
        <f t="shared" si="46"/>
        <v>0</v>
      </c>
      <c r="H261" s="7">
        <f t="shared" si="47"/>
        <v>0</v>
      </c>
      <c r="I261" s="8">
        <v>2411</v>
      </c>
      <c r="J261" s="9"/>
      <c r="K261" s="8">
        <f t="shared" si="48"/>
        <v>28932</v>
      </c>
      <c r="L261" s="7">
        <f t="shared" si="49"/>
        <v>0</v>
      </c>
      <c r="M261" s="10">
        <f t="shared" si="50"/>
        <v>1</v>
      </c>
      <c r="N261" s="11">
        <f t="shared" si="51"/>
        <v>0.223973454997935</v>
      </c>
      <c r="O261" s="8">
        <f t="shared" si="52"/>
        <v>12960.0000000005</v>
      </c>
      <c r="P261" s="12">
        <f t="shared" si="53"/>
        <v>0</v>
      </c>
    </row>
    <row r="262" spans="1:16">
      <c r="A262" s="2">
        <v>46097</v>
      </c>
      <c r="B262" s="3">
        <f>Data_Entry!P352</f>
        <v>13229.9999999996</v>
      </c>
      <c r="C262" s="4">
        <f>Data_Entry!V352</f>
        <v>5.17</v>
      </c>
      <c r="D262" s="5">
        <f t="shared" si="45"/>
        <v>0.228639568643709</v>
      </c>
      <c r="E262" s="6">
        <v>0</v>
      </c>
      <c r="F262" s="6">
        <v>0</v>
      </c>
      <c r="G262" s="7">
        <f t="shared" si="46"/>
        <v>0</v>
      </c>
      <c r="H262" s="7">
        <f t="shared" si="47"/>
        <v>0</v>
      </c>
      <c r="I262" s="8">
        <v>2411</v>
      </c>
      <c r="J262" s="9"/>
      <c r="K262" s="8">
        <f t="shared" si="48"/>
        <v>28932</v>
      </c>
      <c r="L262" s="7">
        <f t="shared" si="49"/>
        <v>0</v>
      </c>
      <c r="M262" s="10">
        <f t="shared" si="50"/>
        <v>1</v>
      </c>
      <c r="N262" s="11">
        <f t="shared" si="51"/>
        <v>0.228639568643709</v>
      </c>
      <c r="O262" s="8">
        <f t="shared" si="52"/>
        <v>13229.9999999996</v>
      </c>
      <c r="P262" s="12">
        <f t="shared" si="53"/>
        <v>0</v>
      </c>
    </row>
    <row r="263" spans="1:16">
      <c r="A263" s="2">
        <v>46098</v>
      </c>
      <c r="B263" s="3">
        <f>Data_Entry!P353</f>
        <v>13200.0000000003</v>
      </c>
      <c r="C263" s="4">
        <f>Data_Entry!V353</f>
        <v>5.02</v>
      </c>
      <c r="D263" s="5">
        <f t="shared" si="45"/>
        <v>0.228121111571967</v>
      </c>
      <c r="E263" s="6">
        <v>0</v>
      </c>
      <c r="F263" s="6">
        <v>0</v>
      </c>
      <c r="G263" s="7">
        <f t="shared" si="46"/>
        <v>0</v>
      </c>
      <c r="H263" s="7">
        <f t="shared" si="47"/>
        <v>0</v>
      </c>
      <c r="I263" s="8">
        <v>2411</v>
      </c>
      <c r="J263" s="9"/>
      <c r="K263" s="8">
        <f t="shared" si="48"/>
        <v>28932</v>
      </c>
      <c r="L263" s="7">
        <f t="shared" si="49"/>
        <v>0</v>
      </c>
      <c r="M263" s="10">
        <f t="shared" si="50"/>
        <v>1</v>
      </c>
      <c r="N263" s="11">
        <f t="shared" si="51"/>
        <v>0.228121111571967</v>
      </c>
      <c r="O263" s="8">
        <f t="shared" si="52"/>
        <v>13200.0000000003</v>
      </c>
      <c r="P263" s="12">
        <f t="shared" si="53"/>
        <v>0</v>
      </c>
    </row>
    <row r="264" spans="1:16">
      <c r="A264" s="2">
        <v>46099</v>
      </c>
      <c r="B264" s="3">
        <f>Data_Entry!P354</f>
        <v>13380.0000000001</v>
      </c>
      <c r="C264" s="4">
        <f>Data_Entry!V354</f>
        <v>5.03</v>
      </c>
      <c r="D264" s="5">
        <f t="shared" si="45"/>
        <v>0.23123185400249</v>
      </c>
      <c r="E264" s="6">
        <v>0</v>
      </c>
      <c r="F264" s="6">
        <v>0</v>
      </c>
      <c r="G264" s="7">
        <f t="shared" si="46"/>
        <v>0</v>
      </c>
      <c r="H264" s="7">
        <f t="shared" si="47"/>
        <v>0</v>
      </c>
      <c r="I264" s="8">
        <v>2411</v>
      </c>
      <c r="J264" s="9"/>
      <c r="K264" s="8">
        <f t="shared" si="48"/>
        <v>28932</v>
      </c>
      <c r="L264" s="7">
        <f t="shared" si="49"/>
        <v>0</v>
      </c>
      <c r="M264" s="10">
        <f t="shared" si="50"/>
        <v>1</v>
      </c>
      <c r="N264" s="11">
        <f t="shared" si="51"/>
        <v>0.23123185400249</v>
      </c>
      <c r="O264" s="8">
        <f t="shared" si="52"/>
        <v>13380.0000000001</v>
      </c>
      <c r="P264" s="12">
        <f t="shared" si="53"/>
        <v>0</v>
      </c>
    </row>
    <row r="265" spans="1:16">
      <c r="A265" s="2">
        <v>46100</v>
      </c>
      <c r="B265" s="3">
        <f>Data_Entry!P355</f>
        <v>9899.99999999986</v>
      </c>
      <c r="C265" s="4">
        <f>Data_Entry!V355</f>
        <v>3.97</v>
      </c>
      <c r="D265" s="5">
        <f t="shared" si="45"/>
        <v>0.171090833678969</v>
      </c>
      <c r="E265" s="6">
        <v>0</v>
      </c>
      <c r="F265" s="6">
        <v>0</v>
      </c>
      <c r="G265" s="7">
        <f t="shared" si="46"/>
        <v>0</v>
      </c>
      <c r="H265" s="7">
        <f t="shared" si="47"/>
        <v>0</v>
      </c>
      <c r="I265" s="8">
        <v>2411</v>
      </c>
      <c r="J265" s="9"/>
      <c r="K265" s="8">
        <f t="shared" si="48"/>
        <v>28932</v>
      </c>
      <c r="L265" s="7">
        <f t="shared" si="49"/>
        <v>0</v>
      </c>
      <c r="M265" s="10">
        <f t="shared" si="50"/>
        <v>1</v>
      </c>
      <c r="N265" s="11">
        <f t="shared" si="51"/>
        <v>0.171090833678969</v>
      </c>
      <c r="O265" s="8">
        <f t="shared" si="52"/>
        <v>9899.99999999986</v>
      </c>
      <c r="P265" s="12">
        <f t="shared" si="53"/>
        <v>0</v>
      </c>
    </row>
    <row r="266" spans="1:16">
      <c r="A266" s="2">
        <v>46101</v>
      </c>
      <c r="B266" s="3">
        <f>Data_Entry!P356</f>
        <v>12540.0000000002</v>
      </c>
      <c r="C266" s="4">
        <f>Data_Entry!V356</f>
        <v>4.49</v>
      </c>
      <c r="D266" s="5">
        <f t="shared" si="45"/>
        <v>0.216715055993367</v>
      </c>
      <c r="E266" s="6">
        <v>0</v>
      </c>
      <c r="F266" s="6">
        <v>0</v>
      </c>
      <c r="G266" s="7">
        <f t="shared" si="46"/>
        <v>0</v>
      </c>
      <c r="H266" s="7">
        <f t="shared" si="47"/>
        <v>0</v>
      </c>
      <c r="I266" s="8">
        <v>2411</v>
      </c>
      <c r="J266" s="9"/>
      <c r="K266" s="8">
        <f t="shared" si="48"/>
        <v>28932</v>
      </c>
      <c r="L266" s="7">
        <f t="shared" si="49"/>
        <v>0</v>
      </c>
      <c r="M266" s="10">
        <f t="shared" si="50"/>
        <v>1</v>
      </c>
      <c r="N266" s="11">
        <f t="shared" si="51"/>
        <v>0.216715055993367</v>
      </c>
      <c r="O266" s="8">
        <f t="shared" si="52"/>
        <v>12540.0000000002</v>
      </c>
      <c r="P266" s="12">
        <f t="shared" si="53"/>
        <v>0</v>
      </c>
    </row>
    <row r="267" spans="1:16">
      <c r="A267" s="2">
        <v>46102</v>
      </c>
      <c r="B267" s="3">
        <f>Data_Entry!P357</f>
        <v>13679.9999999998</v>
      </c>
      <c r="C267" s="4">
        <f>Data_Entry!V357</f>
        <v>5.04</v>
      </c>
      <c r="D267" s="5">
        <f t="shared" si="45"/>
        <v>0.23641642472003</v>
      </c>
      <c r="E267" s="6">
        <v>0</v>
      </c>
      <c r="F267" s="6">
        <v>0</v>
      </c>
      <c r="G267" s="7">
        <f t="shared" si="46"/>
        <v>0</v>
      </c>
      <c r="H267" s="7">
        <f t="shared" si="47"/>
        <v>0</v>
      </c>
      <c r="I267" s="8">
        <v>2411</v>
      </c>
      <c r="J267" s="9"/>
      <c r="K267" s="8">
        <f t="shared" si="48"/>
        <v>28932</v>
      </c>
      <c r="L267" s="7">
        <f t="shared" si="49"/>
        <v>0</v>
      </c>
      <c r="M267" s="10">
        <f t="shared" si="50"/>
        <v>1</v>
      </c>
      <c r="N267" s="11">
        <f t="shared" si="51"/>
        <v>0.23641642472003</v>
      </c>
      <c r="O267" s="8">
        <f t="shared" si="52"/>
        <v>13679.9999999998</v>
      </c>
      <c r="P267" s="12">
        <f t="shared" si="53"/>
        <v>0</v>
      </c>
    </row>
    <row r="268" spans="1:16">
      <c r="A268" s="2">
        <v>46103</v>
      </c>
      <c r="B268" s="3">
        <f>Data_Entry!P358</f>
        <v>13320.0000000002</v>
      </c>
      <c r="C268" s="4">
        <f>Data_Entry!V358</f>
        <v>5.33</v>
      </c>
      <c r="D268" s="5">
        <f t="shared" si="45"/>
        <v>0.230194939858983</v>
      </c>
      <c r="E268" s="6">
        <v>0</v>
      </c>
      <c r="F268" s="6">
        <v>0</v>
      </c>
      <c r="G268" s="7">
        <f t="shared" si="46"/>
        <v>0</v>
      </c>
      <c r="H268" s="7">
        <f t="shared" si="47"/>
        <v>0</v>
      </c>
      <c r="I268" s="8">
        <v>2411</v>
      </c>
      <c r="J268" s="9"/>
      <c r="K268" s="8">
        <f t="shared" si="48"/>
        <v>28932</v>
      </c>
      <c r="L268" s="7">
        <f t="shared" si="49"/>
        <v>0</v>
      </c>
      <c r="M268" s="10">
        <f t="shared" si="50"/>
        <v>1</v>
      </c>
      <c r="N268" s="11">
        <f t="shared" si="51"/>
        <v>0.230194939858983</v>
      </c>
      <c r="O268" s="8">
        <f t="shared" si="52"/>
        <v>13320.0000000002</v>
      </c>
      <c r="P268" s="12">
        <f t="shared" si="53"/>
        <v>0</v>
      </c>
    </row>
    <row r="269" spans="1:16">
      <c r="A269" s="2">
        <v>46104</v>
      </c>
      <c r="B269" s="3">
        <f>Data_Entry!P359</f>
        <v>14250</v>
      </c>
      <c r="C269" s="4">
        <f>Data_Entry!V359</f>
        <v>5.48</v>
      </c>
      <c r="D269" s="5">
        <f t="shared" si="45"/>
        <v>0.246267109083368</v>
      </c>
      <c r="E269" s="6">
        <v>0</v>
      </c>
      <c r="F269" s="6">
        <v>0</v>
      </c>
      <c r="G269" s="7">
        <f t="shared" si="46"/>
        <v>0</v>
      </c>
      <c r="H269" s="7">
        <f t="shared" si="47"/>
        <v>0</v>
      </c>
      <c r="I269" s="8">
        <v>2411</v>
      </c>
      <c r="J269" s="9"/>
      <c r="K269" s="8">
        <f t="shared" si="48"/>
        <v>28932</v>
      </c>
      <c r="L269" s="7">
        <f t="shared" si="49"/>
        <v>0</v>
      </c>
      <c r="M269" s="10">
        <f t="shared" si="50"/>
        <v>1</v>
      </c>
      <c r="N269" s="11">
        <f t="shared" si="51"/>
        <v>0.246267109083368</v>
      </c>
      <c r="O269" s="8">
        <f t="shared" si="52"/>
        <v>14250</v>
      </c>
      <c r="P269" s="12">
        <f t="shared" si="53"/>
        <v>0</v>
      </c>
    </row>
    <row r="270" spans="1:16">
      <c r="A270" s="2">
        <v>46105</v>
      </c>
      <c r="B270" s="3">
        <f>Data_Entry!P360</f>
        <v>11910.0000000001</v>
      </c>
      <c r="C270" s="4">
        <f>Data_Entry!V360</f>
        <v>5.17</v>
      </c>
      <c r="D270" s="5">
        <f t="shared" si="45"/>
        <v>0.205827457486522</v>
      </c>
      <c r="E270" s="6">
        <v>0</v>
      </c>
      <c r="F270" s="6">
        <v>0</v>
      </c>
      <c r="G270" s="7">
        <f t="shared" si="46"/>
        <v>0</v>
      </c>
      <c r="H270" s="7">
        <f t="shared" si="47"/>
        <v>0</v>
      </c>
      <c r="I270" s="8">
        <v>2411</v>
      </c>
      <c r="J270" s="9"/>
      <c r="K270" s="8">
        <f t="shared" si="48"/>
        <v>28932</v>
      </c>
      <c r="L270" s="7">
        <f t="shared" si="49"/>
        <v>0</v>
      </c>
      <c r="M270" s="10">
        <f t="shared" si="50"/>
        <v>1</v>
      </c>
      <c r="N270" s="11">
        <f t="shared" si="51"/>
        <v>0.205827457486522</v>
      </c>
      <c r="O270" s="8">
        <f t="shared" si="52"/>
        <v>11910.0000000001</v>
      </c>
      <c r="P270" s="12">
        <f t="shared" si="53"/>
        <v>0</v>
      </c>
    </row>
    <row r="271" spans="1:16">
      <c r="A271" s="2">
        <v>46106</v>
      </c>
      <c r="B271" s="3">
        <f>Data_Entry!P361</f>
        <v>12869.9999999999</v>
      </c>
      <c r="C271" s="4">
        <f>Data_Entry!V361</f>
        <v>5.27</v>
      </c>
      <c r="D271" s="5">
        <f t="shared" si="45"/>
        <v>0.222418083782661</v>
      </c>
      <c r="E271" s="6">
        <v>0</v>
      </c>
      <c r="F271" s="6">
        <v>0</v>
      </c>
      <c r="G271" s="7">
        <f t="shared" si="46"/>
        <v>0</v>
      </c>
      <c r="H271" s="7">
        <f t="shared" si="47"/>
        <v>0</v>
      </c>
      <c r="I271" s="8">
        <v>2411</v>
      </c>
      <c r="J271" s="9"/>
      <c r="K271" s="8">
        <f t="shared" si="48"/>
        <v>28932</v>
      </c>
      <c r="L271" s="7">
        <f t="shared" si="49"/>
        <v>0</v>
      </c>
      <c r="M271" s="10">
        <f t="shared" si="50"/>
        <v>1</v>
      </c>
      <c r="N271" s="11">
        <f t="shared" si="51"/>
        <v>0.222418083782661</v>
      </c>
      <c r="O271" s="8">
        <f t="shared" si="52"/>
        <v>12869.9999999999</v>
      </c>
      <c r="P271" s="12">
        <f t="shared" si="53"/>
        <v>0</v>
      </c>
    </row>
    <row r="272" spans="1:16">
      <c r="A272" s="2">
        <v>46107</v>
      </c>
      <c r="B272" s="3">
        <f>Data_Entry!P362</f>
        <v>13109.9999999997</v>
      </c>
      <c r="C272" s="4">
        <f>Data_Entry!V362</f>
        <v>5.69</v>
      </c>
      <c r="D272" s="5">
        <f t="shared" si="45"/>
        <v>0.226565740356693</v>
      </c>
      <c r="E272" s="6">
        <v>0</v>
      </c>
      <c r="F272" s="6">
        <v>0</v>
      </c>
      <c r="G272" s="7">
        <f t="shared" si="46"/>
        <v>0</v>
      </c>
      <c r="H272" s="7">
        <f t="shared" si="47"/>
        <v>0</v>
      </c>
      <c r="I272" s="8">
        <v>2411</v>
      </c>
      <c r="J272" s="9"/>
      <c r="K272" s="8">
        <f t="shared" si="48"/>
        <v>28932</v>
      </c>
      <c r="L272" s="7">
        <f t="shared" si="49"/>
        <v>0</v>
      </c>
      <c r="M272" s="10">
        <f t="shared" si="50"/>
        <v>1</v>
      </c>
      <c r="N272" s="11">
        <f t="shared" si="51"/>
        <v>0.226565740356693</v>
      </c>
      <c r="O272" s="8">
        <f t="shared" si="52"/>
        <v>13109.9999999997</v>
      </c>
      <c r="P272" s="12">
        <f t="shared" si="53"/>
        <v>0</v>
      </c>
    </row>
    <row r="273" spans="1:16">
      <c r="A273" s="2">
        <v>46108</v>
      </c>
      <c r="B273" s="3">
        <f>Data_Entry!P363</f>
        <v>14040.0000000002</v>
      </c>
      <c r="C273" s="4">
        <f>Data_Entry!V363</f>
        <v>5.71</v>
      </c>
      <c r="D273" s="5">
        <f t="shared" si="45"/>
        <v>0.24263790958109</v>
      </c>
      <c r="E273" s="6">
        <v>0</v>
      </c>
      <c r="F273" s="6">
        <v>0</v>
      </c>
      <c r="G273" s="7">
        <f t="shared" si="46"/>
        <v>0</v>
      </c>
      <c r="H273" s="7">
        <f t="shared" si="47"/>
        <v>0</v>
      </c>
      <c r="I273" s="8">
        <v>2411</v>
      </c>
      <c r="J273" s="9"/>
      <c r="K273" s="8">
        <f t="shared" si="48"/>
        <v>28932</v>
      </c>
      <c r="L273" s="7">
        <f t="shared" si="49"/>
        <v>0</v>
      </c>
      <c r="M273" s="10">
        <f t="shared" si="50"/>
        <v>1</v>
      </c>
      <c r="N273" s="11">
        <f t="shared" si="51"/>
        <v>0.24263790958109</v>
      </c>
      <c r="O273" s="8">
        <f t="shared" si="52"/>
        <v>14040.0000000002</v>
      </c>
      <c r="P273" s="12">
        <f t="shared" si="53"/>
        <v>0</v>
      </c>
    </row>
    <row r="274" spans="1:16">
      <c r="A274" s="2">
        <v>46109</v>
      </c>
      <c r="B274" s="3">
        <f>Data_Entry!P364</f>
        <v>13079.9999999997</v>
      </c>
      <c r="C274" s="4">
        <f>Data_Entry!V364</f>
        <v>5.59</v>
      </c>
      <c r="D274" s="5">
        <f t="shared" si="45"/>
        <v>0.226047283284939</v>
      </c>
      <c r="E274" s="6">
        <v>0</v>
      </c>
      <c r="F274" s="6">
        <v>0</v>
      </c>
      <c r="G274" s="7">
        <f t="shared" si="46"/>
        <v>0</v>
      </c>
      <c r="H274" s="7">
        <f t="shared" si="47"/>
        <v>0</v>
      </c>
      <c r="I274" s="8">
        <v>2411</v>
      </c>
      <c r="J274" s="9"/>
      <c r="K274" s="8">
        <f t="shared" si="48"/>
        <v>28932</v>
      </c>
      <c r="L274" s="7">
        <f t="shared" si="49"/>
        <v>0</v>
      </c>
      <c r="M274" s="10">
        <f t="shared" si="50"/>
        <v>1</v>
      </c>
      <c r="N274" s="11">
        <f t="shared" si="51"/>
        <v>0.226047283284939</v>
      </c>
      <c r="O274" s="8">
        <f t="shared" si="52"/>
        <v>13079.9999999997</v>
      </c>
      <c r="P274" s="12">
        <f t="shared" si="53"/>
        <v>0</v>
      </c>
    </row>
    <row r="275" spans="1:16">
      <c r="A275" s="2">
        <v>46110</v>
      </c>
      <c r="B275" s="3">
        <f>Data_Entry!P365</f>
        <v>12270.0000000004</v>
      </c>
      <c r="C275" s="4">
        <f>Data_Entry!V365</f>
        <v>4.52</v>
      </c>
      <c r="D275" s="5">
        <f t="shared" si="45"/>
        <v>0.212048942347581</v>
      </c>
      <c r="E275" s="6">
        <v>0</v>
      </c>
      <c r="F275" s="6">
        <v>0</v>
      </c>
      <c r="G275" s="7">
        <f t="shared" si="46"/>
        <v>0</v>
      </c>
      <c r="H275" s="7">
        <f t="shared" si="47"/>
        <v>0</v>
      </c>
      <c r="I275" s="8">
        <v>2411</v>
      </c>
      <c r="J275" s="9"/>
      <c r="K275" s="8">
        <f t="shared" si="48"/>
        <v>28932</v>
      </c>
      <c r="L275" s="7">
        <f t="shared" si="49"/>
        <v>0</v>
      </c>
      <c r="M275" s="10">
        <f t="shared" si="50"/>
        <v>1</v>
      </c>
      <c r="N275" s="11">
        <f t="shared" si="51"/>
        <v>0.212048942347581</v>
      </c>
      <c r="O275" s="8">
        <f t="shared" si="52"/>
        <v>12270.0000000004</v>
      </c>
      <c r="P275" s="12">
        <f t="shared" si="53"/>
        <v>0</v>
      </c>
    </row>
    <row r="276" spans="1:16">
      <c r="A276" s="2">
        <v>46111</v>
      </c>
      <c r="B276" s="3">
        <f>Data_Entry!P366</f>
        <v>13169.9999999996</v>
      </c>
      <c r="C276" s="4">
        <f>Data_Entry!V366</f>
        <v>5.49</v>
      </c>
      <c r="D276" s="5">
        <f t="shared" si="45"/>
        <v>0.2276026545002</v>
      </c>
      <c r="E276" s="6">
        <v>0</v>
      </c>
      <c r="F276" s="6">
        <v>0</v>
      </c>
      <c r="G276" s="7">
        <f t="shared" si="46"/>
        <v>0</v>
      </c>
      <c r="H276" s="7">
        <f t="shared" si="47"/>
        <v>0</v>
      </c>
      <c r="I276" s="8">
        <v>2411</v>
      </c>
      <c r="J276" s="9"/>
      <c r="K276" s="8">
        <f t="shared" si="48"/>
        <v>28932</v>
      </c>
      <c r="L276" s="7">
        <f t="shared" si="49"/>
        <v>0</v>
      </c>
      <c r="M276" s="10">
        <f t="shared" si="50"/>
        <v>1</v>
      </c>
      <c r="N276" s="11">
        <f t="shared" si="51"/>
        <v>0.2276026545002</v>
      </c>
      <c r="O276" s="8">
        <f t="shared" si="52"/>
        <v>13169.9999999996</v>
      </c>
      <c r="P276" s="12">
        <f t="shared" si="53"/>
        <v>0</v>
      </c>
    </row>
    <row r="277" spans="1:16">
      <c r="A277" s="2">
        <v>46112</v>
      </c>
      <c r="B277" s="3">
        <f>Data_Entry!P367</f>
        <v>11820.0000000002</v>
      </c>
      <c r="C277" s="4">
        <f>Data_Entry!V367</f>
        <v>4.89</v>
      </c>
      <c r="D277" s="5">
        <f t="shared" si="45"/>
        <v>0.20427208627126</v>
      </c>
      <c r="E277" s="6">
        <v>0</v>
      </c>
      <c r="F277" s="6">
        <v>0</v>
      </c>
      <c r="G277" s="7">
        <f t="shared" si="46"/>
        <v>0</v>
      </c>
      <c r="H277" s="7">
        <f t="shared" si="47"/>
        <v>0</v>
      </c>
      <c r="I277" s="8">
        <v>2411</v>
      </c>
      <c r="J277" s="9"/>
      <c r="K277" s="8">
        <f t="shared" si="48"/>
        <v>28932</v>
      </c>
      <c r="L277" s="7">
        <f t="shared" si="49"/>
        <v>0</v>
      </c>
      <c r="M277" s="10">
        <f t="shared" si="50"/>
        <v>1</v>
      </c>
      <c r="N277" s="11">
        <f t="shared" si="51"/>
        <v>0.20427208627126</v>
      </c>
      <c r="O277" s="8">
        <f t="shared" si="52"/>
        <v>11820.0000000002</v>
      </c>
      <c r="P277" s="12">
        <f t="shared" si="53"/>
        <v>0</v>
      </c>
    </row>
    <row r="278" spans="1:16">
      <c r="A278" s="2">
        <v>46113</v>
      </c>
      <c r="B278" s="3">
        <f>Data_Entry!P368</f>
        <v>12780</v>
      </c>
      <c r="C278" s="4">
        <f>Data_Entry!V368</f>
        <v>5.88</v>
      </c>
      <c r="D278" s="5">
        <f t="shared" si="45"/>
        <v>0.220862712567399</v>
      </c>
      <c r="E278" s="6">
        <v>0</v>
      </c>
      <c r="F278" s="6">
        <v>0</v>
      </c>
      <c r="G278" s="7">
        <f t="shared" si="46"/>
        <v>0</v>
      </c>
      <c r="H278" s="7">
        <f t="shared" si="47"/>
        <v>0</v>
      </c>
      <c r="I278" s="8">
        <v>2411</v>
      </c>
      <c r="J278" s="9"/>
      <c r="K278" s="8">
        <f t="shared" si="48"/>
        <v>28932</v>
      </c>
      <c r="L278" s="7">
        <f t="shared" si="49"/>
        <v>0</v>
      </c>
      <c r="M278" s="10">
        <f t="shared" si="50"/>
        <v>1</v>
      </c>
      <c r="N278" s="11">
        <f t="shared" si="51"/>
        <v>0.220862712567399</v>
      </c>
      <c r="O278" s="8">
        <f t="shared" si="52"/>
        <v>12780</v>
      </c>
      <c r="P278" s="12">
        <f t="shared" si="53"/>
        <v>0</v>
      </c>
    </row>
    <row r="279" spans="1:16">
      <c r="A279" s="2">
        <v>46114</v>
      </c>
      <c r="B279" s="3">
        <f>Data_Entry!P369</f>
        <v>12299.9999999997</v>
      </c>
      <c r="C279" s="4">
        <f>Data_Entry!V369</f>
        <v>5.36</v>
      </c>
      <c r="D279" s="5">
        <f t="shared" si="45"/>
        <v>0.212567399419323</v>
      </c>
      <c r="E279" s="6">
        <v>0</v>
      </c>
      <c r="F279" s="6">
        <v>0</v>
      </c>
      <c r="G279" s="7">
        <f t="shared" si="46"/>
        <v>0</v>
      </c>
      <c r="H279" s="7">
        <f t="shared" si="47"/>
        <v>0</v>
      </c>
      <c r="I279" s="8">
        <v>2411</v>
      </c>
      <c r="J279" s="9"/>
      <c r="K279" s="8">
        <f t="shared" si="48"/>
        <v>28932</v>
      </c>
      <c r="L279" s="7">
        <f t="shared" si="49"/>
        <v>0</v>
      </c>
      <c r="M279" s="10">
        <f t="shared" si="50"/>
        <v>1</v>
      </c>
      <c r="N279" s="11">
        <f t="shared" si="51"/>
        <v>0.212567399419323</v>
      </c>
      <c r="O279" s="8">
        <f t="shared" si="52"/>
        <v>12299.9999999997</v>
      </c>
      <c r="P279" s="12">
        <f t="shared" si="53"/>
        <v>0</v>
      </c>
    </row>
    <row r="280" spans="1:16">
      <c r="A280" s="2">
        <v>46115</v>
      </c>
      <c r="B280" s="3">
        <f>Data_Entry!P370</f>
        <v>9480.00000000025</v>
      </c>
      <c r="C280" s="4">
        <f>Data_Entry!V370</f>
        <v>3.54</v>
      </c>
      <c r="D280" s="5">
        <f t="shared" si="45"/>
        <v>0.163832434674413</v>
      </c>
      <c r="E280" s="6">
        <v>0</v>
      </c>
      <c r="F280" s="6">
        <v>0</v>
      </c>
      <c r="G280" s="7">
        <f t="shared" si="46"/>
        <v>0</v>
      </c>
      <c r="H280" s="7">
        <f t="shared" si="47"/>
        <v>0</v>
      </c>
      <c r="I280" s="8">
        <v>2411</v>
      </c>
      <c r="J280" s="9"/>
      <c r="K280" s="8">
        <f t="shared" si="48"/>
        <v>28932</v>
      </c>
      <c r="L280" s="7">
        <f t="shared" si="49"/>
        <v>0</v>
      </c>
      <c r="M280" s="10">
        <f t="shared" si="50"/>
        <v>1</v>
      </c>
      <c r="N280" s="11">
        <f t="shared" si="51"/>
        <v>0.163832434674413</v>
      </c>
      <c r="O280" s="8">
        <f t="shared" si="52"/>
        <v>9480.00000000025</v>
      </c>
      <c r="P280" s="12">
        <f t="shared" si="53"/>
        <v>0</v>
      </c>
    </row>
    <row r="281" spans="1:16">
      <c r="A281" s="2">
        <v>46116</v>
      </c>
      <c r="B281" s="3">
        <f>Data_Entry!P371</f>
        <v>13920.0000000003</v>
      </c>
      <c r="C281" s="4">
        <f>Data_Entry!V371</f>
        <v>5.98</v>
      </c>
      <c r="D281" s="5">
        <f t="shared" si="45"/>
        <v>0.240564081294074</v>
      </c>
      <c r="E281" s="6">
        <v>0</v>
      </c>
      <c r="F281" s="6">
        <v>0</v>
      </c>
      <c r="G281" s="7">
        <f t="shared" si="46"/>
        <v>0</v>
      </c>
      <c r="H281" s="7">
        <f t="shared" si="47"/>
        <v>0</v>
      </c>
      <c r="I281" s="8">
        <v>2411</v>
      </c>
      <c r="J281" s="9"/>
      <c r="K281" s="8">
        <f t="shared" si="48"/>
        <v>28932</v>
      </c>
      <c r="L281" s="7">
        <f t="shared" si="49"/>
        <v>0</v>
      </c>
      <c r="M281" s="10">
        <f t="shared" si="50"/>
        <v>1</v>
      </c>
      <c r="N281" s="11">
        <f t="shared" si="51"/>
        <v>0.240564081294074</v>
      </c>
      <c r="O281" s="8">
        <f t="shared" si="52"/>
        <v>13920.0000000003</v>
      </c>
      <c r="P281" s="12">
        <f t="shared" si="53"/>
        <v>0</v>
      </c>
    </row>
    <row r="282" spans="1:16">
      <c r="A282" s="2">
        <v>46117</v>
      </c>
      <c r="B282" s="3">
        <f>Data_Entry!P372</f>
        <v>13229.9999999996</v>
      </c>
      <c r="C282" s="4">
        <f>Data_Entry!V372</f>
        <v>5.7</v>
      </c>
      <c r="D282" s="5">
        <f t="shared" si="45"/>
        <v>0.228639568643709</v>
      </c>
      <c r="E282" s="6">
        <v>0</v>
      </c>
      <c r="F282" s="6">
        <v>0</v>
      </c>
      <c r="G282" s="7">
        <f t="shared" si="46"/>
        <v>0</v>
      </c>
      <c r="H282" s="7">
        <f t="shared" si="47"/>
        <v>0</v>
      </c>
      <c r="I282" s="8">
        <v>2411</v>
      </c>
      <c r="J282" s="9"/>
      <c r="K282" s="8">
        <f t="shared" si="48"/>
        <v>28932</v>
      </c>
      <c r="L282" s="7">
        <f t="shared" si="49"/>
        <v>0</v>
      </c>
      <c r="M282" s="10">
        <f t="shared" si="50"/>
        <v>1</v>
      </c>
      <c r="N282" s="11">
        <f t="shared" si="51"/>
        <v>0.228639568643709</v>
      </c>
      <c r="O282" s="8">
        <f t="shared" si="52"/>
        <v>13229.9999999996</v>
      </c>
      <c r="P282" s="12">
        <f t="shared" si="53"/>
        <v>0</v>
      </c>
    </row>
    <row r="283" spans="1:16">
      <c r="A283" s="2">
        <v>46118</v>
      </c>
      <c r="B283" s="3">
        <f>Data_Entry!P373</f>
        <v>13770.0000000004</v>
      </c>
      <c r="C283" s="4">
        <f>Data_Entry!V373</f>
        <v>5.61</v>
      </c>
      <c r="D283" s="5">
        <f t="shared" si="45"/>
        <v>0.237971795935303</v>
      </c>
      <c r="E283" s="6">
        <v>0</v>
      </c>
      <c r="F283" s="6">
        <v>0</v>
      </c>
      <c r="G283" s="7">
        <f t="shared" si="46"/>
        <v>0</v>
      </c>
      <c r="H283" s="7">
        <f t="shared" si="47"/>
        <v>0</v>
      </c>
      <c r="I283" s="8">
        <v>2411</v>
      </c>
      <c r="J283" s="9"/>
      <c r="K283" s="8">
        <f t="shared" si="48"/>
        <v>28932</v>
      </c>
      <c r="L283" s="7">
        <f t="shared" si="49"/>
        <v>0</v>
      </c>
      <c r="M283" s="10">
        <f t="shared" si="50"/>
        <v>1</v>
      </c>
      <c r="N283" s="11">
        <f t="shared" si="51"/>
        <v>0.237971795935303</v>
      </c>
      <c r="O283" s="8">
        <f t="shared" si="52"/>
        <v>13770.0000000004</v>
      </c>
      <c r="P283" s="12">
        <f t="shared" si="53"/>
        <v>0</v>
      </c>
    </row>
    <row r="284" spans="1:16">
      <c r="A284" s="2">
        <v>46119</v>
      </c>
      <c r="B284" s="3">
        <f>Data_Entry!P374</f>
        <v>9419.99999999962</v>
      </c>
      <c r="C284" s="4">
        <f>Data_Entry!V374</f>
        <v>4.14</v>
      </c>
      <c r="D284" s="5">
        <f t="shared" si="45"/>
        <v>0.162795520530893</v>
      </c>
      <c r="E284" s="6">
        <v>0</v>
      </c>
      <c r="F284" s="6">
        <v>0</v>
      </c>
      <c r="G284" s="7">
        <f t="shared" si="46"/>
        <v>0</v>
      </c>
      <c r="H284" s="7">
        <f t="shared" si="47"/>
        <v>0</v>
      </c>
      <c r="I284" s="8">
        <v>2411</v>
      </c>
      <c r="J284" s="9"/>
      <c r="K284" s="8">
        <f t="shared" si="48"/>
        <v>28932</v>
      </c>
      <c r="L284" s="7">
        <f t="shared" si="49"/>
        <v>0</v>
      </c>
      <c r="M284" s="10">
        <f t="shared" si="50"/>
        <v>1</v>
      </c>
      <c r="N284" s="11">
        <f t="shared" si="51"/>
        <v>0.162795520530893</v>
      </c>
      <c r="O284" s="8">
        <f t="shared" si="52"/>
        <v>9419.99999999962</v>
      </c>
      <c r="P284" s="12">
        <f t="shared" si="53"/>
        <v>0</v>
      </c>
    </row>
    <row r="285" spans="1:16">
      <c r="A285" s="2">
        <v>46120</v>
      </c>
      <c r="B285" s="3">
        <f>Data_Entry!P375</f>
        <v>13200.0000000003</v>
      </c>
      <c r="C285" s="4">
        <f>Data_Entry!V375</f>
        <v>5.52</v>
      </c>
      <c r="D285" s="5">
        <f t="shared" si="45"/>
        <v>0.228121111571967</v>
      </c>
      <c r="E285" s="6">
        <v>0</v>
      </c>
      <c r="F285" s="6">
        <v>0</v>
      </c>
      <c r="G285" s="7">
        <f t="shared" si="46"/>
        <v>0</v>
      </c>
      <c r="H285" s="7">
        <f t="shared" si="47"/>
        <v>0</v>
      </c>
      <c r="I285" s="8">
        <v>2411</v>
      </c>
      <c r="J285" s="9"/>
      <c r="K285" s="8">
        <f t="shared" si="48"/>
        <v>28932</v>
      </c>
      <c r="L285" s="7">
        <f t="shared" si="49"/>
        <v>0</v>
      </c>
      <c r="M285" s="10">
        <f t="shared" si="50"/>
        <v>1</v>
      </c>
      <c r="N285" s="11">
        <f t="shared" si="51"/>
        <v>0.228121111571967</v>
      </c>
      <c r="O285" s="8">
        <f t="shared" si="52"/>
        <v>13200.0000000003</v>
      </c>
      <c r="P285" s="12">
        <f t="shared" si="53"/>
        <v>0</v>
      </c>
    </row>
    <row r="286" spans="1:16">
      <c r="A286" s="2">
        <v>46121</v>
      </c>
      <c r="B286" s="3">
        <f>Data_Entry!P376</f>
        <v>13709.9999999998</v>
      </c>
      <c r="C286" s="4">
        <f>Data_Entry!V376</f>
        <v>5.55</v>
      </c>
      <c r="D286" s="5">
        <f t="shared" si="45"/>
        <v>0.236934881791784</v>
      </c>
      <c r="E286" s="6">
        <v>0</v>
      </c>
      <c r="F286" s="6">
        <v>0</v>
      </c>
      <c r="G286" s="7">
        <f t="shared" si="46"/>
        <v>0</v>
      </c>
      <c r="H286" s="7">
        <f t="shared" si="47"/>
        <v>0</v>
      </c>
      <c r="I286" s="8">
        <v>2411</v>
      </c>
      <c r="J286" s="9"/>
      <c r="K286" s="8">
        <f t="shared" si="48"/>
        <v>28932</v>
      </c>
      <c r="L286" s="7">
        <f t="shared" si="49"/>
        <v>0</v>
      </c>
      <c r="M286" s="10">
        <f t="shared" si="50"/>
        <v>1</v>
      </c>
      <c r="N286" s="11">
        <f t="shared" si="51"/>
        <v>0.236934881791784</v>
      </c>
      <c r="O286" s="8">
        <f t="shared" si="52"/>
        <v>13709.9999999998</v>
      </c>
      <c r="P286" s="12">
        <f t="shared" si="53"/>
        <v>0</v>
      </c>
    </row>
    <row r="287" spans="1:16">
      <c r="A287" s="2">
        <v>46122</v>
      </c>
      <c r="B287" s="3">
        <f>Data_Entry!P377</f>
        <v>13589.9999999999</v>
      </c>
      <c r="C287" s="4">
        <f>Data_Entry!V377</f>
        <v>5.43</v>
      </c>
      <c r="D287" s="5">
        <f t="shared" si="45"/>
        <v>0.234861053504768</v>
      </c>
      <c r="E287" s="6">
        <v>0</v>
      </c>
      <c r="F287" s="6">
        <v>0</v>
      </c>
      <c r="G287" s="7">
        <f t="shared" si="46"/>
        <v>0</v>
      </c>
      <c r="H287" s="7">
        <f t="shared" si="47"/>
        <v>0</v>
      </c>
      <c r="I287" s="8">
        <v>2411</v>
      </c>
      <c r="J287" s="9"/>
      <c r="K287" s="8">
        <f t="shared" si="48"/>
        <v>28932</v>
      </c>
      <c r="L287" s="7">
        <f t="shared" si="49"/>
        <v>0</v>
      </c>
      <c r="M287" s="10">
        <f t="shared" si="50"/>
        <v>1</v>
      </c>
      <c r="N287" s="11">
        <f t="shared" si="51"/>
        <v>0.234861053504768</v>
      </c>
      <c r="O287" s="8">
        <f t="shared" si="52"/>
        <v>13589.9999999999</v>
      </c>
      <c r="P287" s="12">
        <f t="shared" si="53"/>
        <v>0</v>
      </c>
    </row>
    <row r="288" spans="1:16">
      <c r="A288" s="2">
        <v>46123</v>
      </c>
      <c r="B288" s="3">
        <f>Data_Entry!P378</f>
        <v>13260.0000000002</v>
      </c>
      <c r="C288" s="4">
        <f>Data_Entry!V378</f>
        <v>5.41</v>
      </c>
      <c r="D288" s="5">
        <f t="shared" si="45"/>
        <v>0.229158025715474</v>
      </c>
      <c r="E288" s="6">
        <v>0</v>
      </c>
      <c r="F288" s="6">
        <v>0</v>
      </c>
      <c r="G288" s="7">
        <f t="shared" si="46"/>
        <v>0</v>
      </c>
      <c r="H288" s="7">
        <f t="shared" si="47"/>
        <v>0</v>
      </c>
      <c r="I288" s="8">
        <v>2411</v>
      </c>
      <c r="J288" s="9"/>
      <c r="K288" s="8">
        <f t="shared" si="48"/>
        <v>28932</v>
      </c>
      <c r="L288" s="7">
        <f t="shared" si="49"/>
        <v>0</v>
      </c>
      <c r="M288" s="10">
        <f t="shared" si="50"/>
        <v>1</v>
      </c>
      <c r="N288" s="11">
        <f t="shared" si="51"/>
        <v>0.229158025715474</v>
      </c>
      <c r="O288" s="8">
        <f t="shared" si="52"/>
        <v>13260.0000000002</v>
      </c>
      <c r="P288" s="12">
        <f t="shared" si="53"/>
        <v>0</v>
      </c>
    </row>
    <row r="289" spans="1:16">
      <c r="A289" s="2">
        <v>46124</v>
      </c>
      <c r="B289" s="3">
        <f>Data_Entry!P379</f>
        <v>13440.0000000001</v>
      </c>
      <c r="C289" s="4">
        <f>Data_Entry!V379</f>
        <v>5.5</v>
      </c>
      <c r="D289" s="5">
        <f t="shared" si="45"/>
        <v>0.232268768145999</v>
      </c>
      <c r="E289" s="6">
        <v>0</v>
      </c>
      <c r="F289" s="6">
        <v>0</v>
      </c>
      <c r="G289" s="7">
        <f t="shared" si="46"/>
        <v>0</v>
      </c>
      <c r="H289" s="7">
        <f t="shared" si="47"/>
        <v>0</v>
      </c>
      <c r="I289" s="8">
        <v>2411</v>
      </c>
      <c r="J289" s="9"/>
      <c r="K289" s="8">
        <f t="shared" si="48"/>
        <v>28932</v>
      </c>
      <c r="L289" s="7">
        <f t="shared" si="49"/>
        <v>0</v>
      </c>
      <c r="M289" s="10">
        <f t="shared" si="50"/>
        <v>1</v>
      </c>
      <c r="N289" s="11">
        <f t="shared" si="51"/>
        <v>0.232268768145999</v>
      </c>
      <c r="O289" s="8">
        <f t="shared" si="52"/>
        <v>13440.0000000001</v>
      </c>
      <c r="P289" s="12">
        <f t="shared" si="53"/>
        <v>0</v>
      </c>
    </row>
    <row r="290" spans="1:16">
      <c r="A290" s="2">
        <v>46125</v>
      </c>
      <c r="B290" s="3">
        <f>Data_Entry!P380</f>
        <v>13380.0000000001</v>
      </c>
      <c r="C290" s="4">
        <f>Data_Entry!V380</f>
        <v>5.55</v>
      </c>
      <c r="D290" s="5">
        <f t="shared" si="45"/>
        <v>0.23123185400249</v>
      </c>
      <c r="E290" s="6">
        <v>0</v>
      </c>
      <c r="F290" s="6">
        <v>0</v>
      </c>
      <c r="G290" s="7">
        <f t="shared" si="46"/>
        <v>0</v>
      </c>
      <c r="H290" s="7">
        <f t="shared" si="47"/>
        <v>0</v>
      </c>
      <c r="I290" s="8">
        <v>2411</v>
      </c>
      <c r="J290" s="9"/>
      <c r="K290" s="8">
        <f t="shared" si="48"/>
        <v>28932</v>
      </c>
      <c r="L290" s="7">
        <f t="shared" si="49"/>
        <v>0</v>
      </c>
      <c r="M290" s="10">
        <f t="shared" si="50"/>
        <v>1</v>
      </c>
      <c r="N290" s="11">
        <f t="shared" si="51"/>
        <v>0.23123185400249</v>
      </c>
      <c r="O290" s="8">
        <f t="shared" si="52"/>
        <v>13380.0000000001</v>
      </c>
      <c r="P290" s="12">
        <f t="shared" si="53"/>
        <v>0</v>
      </c>
    </row>
    <row r="291" spans="1:16">
      <c r="A291" s="2">
        <v>46126</v>
      </c>
      <c r="B291" s="3">
        <f>Data_Entry!P381</f>
        <v>14280</v>
      </c>
      <c r="C291" s="4">
        <f>Data_Entry!V381</f>
        <v>5.76</v>
      </c>
      <c r="D291" s="5">
        <f t="shared" ref="D291:D321" si="54">B291/(24*I291)</f>
        <v>0.246785566155122</v>
      </c>
      <c r="E291" s="6">
        <v>0</v>
      </c>
      <c r="F291" s="6">
        <v>0</v>
      </c>
      <c r="G291" s="7">
        <f t="shared" ref="G291:G354" si="55">(F291-E291)*24*60</f>
        <v>0</v>
      </c>
      <c r="H291" s="7">
        <f t="shared" ref="H291:H319" si="56">G291/60</f>
        <v>0</v>
      </c>
      <c r="I291" s="8">
        <v>2411</v>
      </c>
      <c r="J291" s="9"/>
      <c r="K291" s="8">
        <f t="shared" ref="K291:K354" si="57">I291*12</f>
        <v>28932</v>
      </c>
      <c r="L291" s="7">
        <f t="shared" ref="L291:L319" si="58">J291*H291</f>
        <v>0</v>
      </c>
      <c r="M291" s="10">
        <f t="shared" ref="M291:M354" si="59">(K291-L291)/K291</f>
        <v>1</v>
      </c>
      <c r="N291" s="11">
        <f t="shared" ref="N291:N354" si="60">D291/M291</f>
        <v>0.246785566155122</v>
      </c>
      <c r="O291" s="8">
        <f t="shared" ref="O291:O354" si="61">N291*I291*24</f>
        <v>14280</v>
      </c>
      <c r="P291" s="12">
        <f t="shared" ref="P291:P354" si="62">O291-B291</f>
        <v>0</v>
      </c>
    </row>
    <row r="292" spans="1:16">
      <c r="A292" s="2">
        <v>46127</v>
      </c>
      <c r="B292" s="3">
        <f>Data_Entry!P382</f>
        <v>14280</v>
      </c>
      <c r="C292" s="4">
        <f>Data_Entry!V382</f>
        <v>5.87</v>
      </c>
      <c r="D292" s="5">
        <f t="shared" si="54"/>
        <v>0.246785566155122</v>
      </c>
      <c r="E292" s="6">
        <v>0</v>
      </c>
      <c r="F292" s="6">
        <v>0</v>
      </c>
      <c r="G292" s="7">
        <f t="shared" si="55"/>
        <v>0</v>
      </c>
      <c r="H292" s="7">
        <f t="shared" si="56"/>
        <v>0</v>
      </c>
      <c r="I292" s="8">
        <v>2411</v>
      </c>
      <c r="J292" s="9"/>
      <c r="K292" s="8">
        <f t="shared" si="57"/>
        <v>28932</v>
      </c>
      <c r="L292" s="7">
        <f t="shared" si="58"/>
        <v>0</v>
      </c>
      <c r="M292" s="10">
        <f t="shared" si="59"/>
        <v>1</v>
      </c>
      <c r="N292" s="11">
        <f t="shared" si="60"/>
        <v>0.246785566155122</v>
      </c>
      <c r="O292" s="8">
        <f t="shared" si="61"/>
        <v>14280</v>
      </c>
      <c r="P292" s="12">
        <f t="shared" si="62"/>
        <v>0</v>
      </c>
    </row>
    <row r="293" spans="1:16">
      <c r="A293" s="2">
        <v>46128</v>
      </c>
      <c r="B293" s="3">
        <f>Data_Entry!P383</f>
        <v>14669.9999999996</v>
      </c>
      <c r="C293" s="4">
        <f>Data_Entry!V383</f>
        <v>5.74</v>
      </c>
      <c r="D293" s="5">
        <f t="shared" si="54"/>
        <v>0.253525508087923</v>
      </c>
      <c r="E293" s="6">
        <v>0</v>
      </c>
      <c r="F293" s="6">
        <v>0</v>
      </c>
      <c r="G293" s="7">
        <f t="shared" si="55"/>
        <v>0</v>
      </c>
      <c r="H293" s="7">
        <f t="shared" si="56"/>
        <v>0</v>
      </c>
      <c r="I293" s="8">
        <v>2411</v>
      </c>
      <c r="J293" s="9"/>
      <c r="K293" s="8">
        <f t="shared" si="57"/>
        <v>28932</v>
      </c>
      <c r="L293" s="7">
        <f t="shared" si="58"/>
        <v>0</v>
      </c>
      <c r="M293" s="10">
        <f t="shared" si="59"/>
        <v>1</v>
      </c>
      <c r="N293" s="11">
        <f t="shared" si="60"/>
        <v>0.253525508087923</v>
      </c>
      <c r="O293" s="8">
        <f t="shared" si="61"/>
        <v>14669.9999999996</v>
      </c>
      <c r="P293" s="12">
        <f t="shared" si="62"/>
        <v>0</v>
      </c>
    </row>
    <row r="294" spans="1:16">
      <c r="A294" s="2">
        <v>46129</v>
      </c>
      <c r="B294" s="3">
        <f>Data_Entry!P384</f>
        <v>13290.0000000002</v>
      </c>
      <c r="C294" s="4">
        <f>Data_Entry!V384</f>
        <v>4.73</v>
      </c>
      <c r="D294" s="5">
        <f t="shared" si="54"/>
        <v>0.229676482787229</v>
      </c>
      <c r="E294" s="6">
        <v>0</v>
      </c>
      <c r="F294" s="6">
        <v>0</v>
      </c>
      <c r="G294" s="7">
        <f t="shared" si="55"/>
        <v>0</v>
      </c>
      <c r="H294" s="7">
        <f t="shared" si="56"/>
        <v>0</v>
      </c>
      <c r="I294" s="8">
        <v>2411</v>
      </c>
      <c r="J294" s="9"/>
      <c r="K294" s="8">
        <f t="shared" si="57"/>
        <v>28932</v>
      </c>
      <c r="L294" s="7">
        <f t="shared" si="58"/>
        <v>0</v>
      </c>
      <c r="M294" s="10">
        <f t="shared" si="59"/>
        <v>1</v>
      </c>
      <c r="N294" s="11">
        <f t="shared" si="60"/>
        <v>0.229676482787229</v>
      </c>
      <c r="O294" s="8">
        <f t="shared" si="61"/>
        <v>13290.0000000002</v>
      </c>
      <c r="P294" s="12">
        <f t="shared" si="62"/>
        <v>0</v>
      </c>
    </row>
    <row r="295" spans="1:16">
      <c r="A295" s="2">
        <v>46130</v>
      </c>
      <c r="B295" s="3">
        <f>Data_Entry!P385</f>
        <v>13920.0000000003</v>
      </c>
      <c r="C295" s="4">
        <f>Data_Entry!V385</f>
        <v>5.69</v>
      </c>
      <c r="D295" s="5">
        <f t="shared" si="54"/>
        <v>0.240564081294074</v>
      </c>
      <c r="E295" s="6">
        <v>0</v>
      </c>
      <c r="F295" s="6">
        <v>0</v>
      </c>
      <c r="G295" s="7">
        <f t="shared" si="55"/>
        <v>0</v>
      </c>
      <c r="H295" s="7">
        <f t="shared" si="56"/>
        <v>0</v>
      </c>
      <c r="I295" s="8">
        <v>2411</v>
      </c>
      <c r="J295" s="9"/>
      <c r="K295" s="8">
        <f t="shared" si="57"/>
        <v>28932</v>
      </c>
      <c r="L295" s="7">
        <f t="shared" si="58"/>
        <v>0</v>
      </c>
      <c r="M295" s="10">
        <f t="shared" si="59"/>
        <v>1</v>
      </c>
      <c r="N295" s="11">
        <f t="shared" si="60"/>
        <v>0.240564081294074</v>
      </c>
      <c r="O295" s="8">
        <f t="shared" si="61"/>
        <v>13920.0000000003</v>
      </c>
      <c r="P295" s="12">
        <f t="shared" si="62"/>
        <v>0</v>
      </c>
    </row>
    <row r="296" spans="1:16">
      <c r="A296" s="2">
        <v>46131</v>
      </c>
      <c r="B296" s="3">
        <f>Data_Entry!P386</f>
        <v>13859.9999999997</v>
      </c>
      <c r="C296" s="4">
        <f>Data_Entry!V386</f>
        <v>5.61</v>
      </c>
      <c r="D296" s="5">
        <f t="shared" si="54"/>
        <v>0.239527167150555</v>
      </c>
      <c r="E296" s="6">
        <v>0</v>
      </c>
      <c r="F296" s="6">
        <v>0</v>
      </c>
      <c r="G296" s="7">
        <f t="shared" si="55"/>
        <v>0</v>
      </c>
      <c r="H296" s="7">
        <f t="shared" si="56"/>
        <v>0</v>
      </c>
      <c r="I296" s="8">
        <v>2411</v>
      </c>
      <c r="J296" s="9"/>
      <c r="K296" s="8">
        <f t="shared" si="57"/>
        <v>28932</v>
      </c>
      <c r="L296" s="7">
        <f t="shared" si="58"/>
        <v>0</v>
      </c>
      <c r="M296" s="10">
        <f t="shared" si="59"/>
        <v>1</v>
      </c>
      <c r="N296" s="11">
        <f t="shared" si="60"/>
        <v>0.239527167150555</v>
      </c>
      <c r="O296" s="8">
        <f t="shared" si="61"/>
        <v>13859.9999999997</v>
      </c>
      <c r="P296" s="12">
        <f t="shared" si="62"/>
        <v>0</v>
      </c>
    </row>
    <row r="297" spans="1:16">
      <c r="A297" s="2">
        <v>46132</v>
      </c>
      <c r="B297" s="3">
        <f>Data_Entry!P387</f>
        <v>14220</v>
      </c>
      <c r="C297" s="4">
        <f>Data_Entry!V387</f>
        <v>5.66</v>
      </c>
      <c r="D297" s="5">
        <f t="shared" si="54"/>
        <v>0.245748652011613</v>
      </c>
      <c r="E297" s="6">
        <v>0</v>
      </c>
      <c r="F297" s="6">
        <v>0</v>
      </c>
      <c r="G297" s="7">
        <f t="shared" si="55"/>
        <v>0</v>
      </c>
      <c r="H297" s="7">
        <f t="shared" si="56"/>
        <v>0</v>
      </c>
      <c r="I297" s="8">
        <v>2411</v>
      </c>
      <c r="J297" s="9"/>
      <c r="K297" s="8">
        <f t="shared" si="57"/>
        <v>28932</v>
      </c>
      <c r="L297" s="7">
        <f t="shared" si="58"/>
        <v>0</v>
      </c>
      <c r="M297" s="10">
        <f t="shared" si="59"/>
        <v>1</v>
      </c>
      <c r="N297" s="11">
        <f t="shared" si="60"/>
        <v>0.245748652011613</v>
      </c>
      <c r="O297" s="8">
        <f t="shared" si="61"/>
        <v>14220</v>
      </c>
      <c r="P297" s="12">
        <f t="shared" si="62"/>
        <v>0</v>
      </c>
    </row>
    <row r="298" spans="1:16">
      <c r="A298" s="2">
        <v>46133</v>
      </c>
      <c r="B298" s="3">
        <f>Data_Entry!P388</f>
        <v>14070.0000000002</v>
      </c>
      <c r="C298" s="4">
        <f>Data_Entry!V388</f>
        <v>5.7</v>
      </c>
      <c r="D298" s="5">
        <f t="shared" si="54"/>
        <v>0.243156366652845</v>
      </c>
      <c r="E298" s="6">
        <v>0</v>
      </c>
      <c r="F298" s="6">
        <v>0</v>
      </c>
      <c r="G298" s="7">
        <f t="shared" si="55"/>
        <v>0</v>
      </c>
      <c r="H298" s="7">
        <f t="shared" si="56"/>
        <v>0</v>
      </c>
      <c r="I298" s="8">
        <v>2411</v>
      </c>
      <c r="J298" s="9"/>
      <c r="K298" s="8">
        <f t="shared" si="57"/>
        <v>28932</v>
      </c>
      <c r="L298" s="7">
        <f t="shared" si="58"/>
        <v>0</v>
      </c>
      <c r="M298" s="10">
        <f t="shared" si="59"/>
        <v>1</v>
      </c>
      <c r="N298" s="11">
        <f t="shared" si="60"/>
        <v>0.243156366652845</v>
      </c>
      <c r="O298" s="8">
        <f t="shared" si="61"/>
        <v>14070.0000000002</v>
      </c>
      <c r="P298" s="12">
        <f t="shared" si="62"/>
        <v>0</v>
      </c>
    </row>
    <row r="299" spans="1:16">
      <c r="A299" s="2">
        <v>46134</v>
      </c>
      <c r="B299" s="3">
        <f>Data_Entry!P389</f>
        <v>14220</v>
      </c>
      <c r="C299" s="4">
        <f>Data_Entry!V389</f>
        <v>5.68</v>
      </c>
      <c r="D299" s="5">
        <f t="shared" si="54"/>
        <v>0.245748652011613</v>
      </c>
      <c r="E299" s="6">
        <v>0</v>
      </c>
      <c r="F299" s="6">
        <v>0</v>
      </c>
      <c r="G299" s="7">
        <f t="shared" si="55"/>
        <v>0</v>
      </c>
      <c r="H299" s="7">
        <f t="shared" si="56"/>
        <v>0</v>
      </c>
      <c r="I299" s="8">
        <v>2411</v>
      </c>
      <c r="J299" s="9"/>
      <c r="K299" s="8">
        <f t="shared" si="57"/>
        <v>28932</v>
      </c>
      <c r="L299" s="7">
        <f t="shared" si="58"/>
        <v>0</v>
      </c>
      <c r="M299" s="10">
        <f t="shared" si="59"/>
        <v>1</v>
      </c>
      <c r="N299" s="11">
        <f t="shared" si="60"/>
        <v>0.245748652011613</v>
      </c>
      <c r="O299" s="8">
        <f t="shared" si="61"/>
        <v>14220</v>
      </c>
      <c r="P299" s="12">
        <f t="shared" si="62"/>
        <v>0</v>
      </c>
    </row>
    <row r="300" spans="1:16">
      <c r="A300" s="2">
        <v>46135</v>
      </c>
      <c r="B300" s="3">
        <f>Data_Entry!P390</f>
        <v>13769.9999999998</v>
      </c>
      <c r="C300" s="4">
        <f>Data_Entry!V390</f>
        <v>5.61</v>
      </c>
      <c r="D300" s="5">
        <f t="shared" si="54"/>
        <v>0.237971795935293</v>
      </c>
      <c r="E300" s="6">
        <v>0</v>
      </c>
      <c r="F300" s="6">
        <v>0</v>
      </c>
      <c r="G300" s="7">
        <f t="shared" si="55"/>
        <v>0</v>
      </c>
      <c r="H300" s="7">
        <f t="shared" si="56"/>
        <v>0</v>
      </c>
      <c r="I300" s="8">
        <v>2411</v>
      </c>
      <c r="J300" s="9"/>
      <c r="K300" s="8">
        <f t="shared" si="57"/>
        <v>28932</v>
      </c>
      <c r="L300" s="7">
        <f t="shared" si="58"/>
        <v>0</v>
      </c>
      <c r="M300" s="10">
        <f t="shared" si="59"/>
        <v>1</v>
      </c>
      <c r="N300" s="11">
        <f t="shared" si="60"/>
        <v>0.237971795935293</v>
      </c>
      <c r="O300" s="8">
        <f t="shared" si="61"/>
        <v>13769.9999999998</v>
      </c>
      <c r="P300" s="12">
        <f t="shared" si="62"/>
        <v>0</v>
      </c>
    </row>
    <row r="301" spans="1:16">
      <c r="A301" s="2">
        <v>46136</v>
      </c>
      <c r="B301" s="3">
        <f>Data_Entry!P391</f>
        <v>14519.9999999998</v>
      </c>
      <c r="C301" s="4">
        <f>Data_Entry!V391</f>
        <v>5.86</v>
      </c>
      <c r="D301" s="5">
        <f t="shared" si="54"/>
        <v>0.250933222729155</v>
      </c>
      <c r="E301" s="6">
        <v>0</v>
      </c>
      <c r="F301" s="6">
        <v>0</v>
      </c>
      <c r="G301" s="7">
        <f t="shared" si="55"/>
        <v>0</v>
      </c>
      <c r="H301" s="7">
        <f t="shared" si="56"/>
        <v>0</v>
      </c>
      <c r="I301" s="8">
        <v>2411</v>
      </c>
      <c r="J301" s="9"/>
      <c r="K301" s="8">
        <f t="shared" si="57"/>
        <v>28932</v>
      </c>
      <c r="L301" s="7">
        <f t="shared" si="58"/>
        <v>0</v>
      </c>
      <c r="M301" s="10">
        <f t="shared" si="59"/>
        <v>1</v>
      </c>
      <c r="N301" s="11">
        <f t="shared" si="60"/>
        <v>0.250933222729155</v>
      </c>
      <c r="O301" s="8">
        <f t="shared" si="61"/>
        <v>14519.9999999998</v>
      </c>
      <c r="P301" s="12">
        <f t="shared" si="62"/>
        <v>0</v>
      </c>
    </row>
    <row r="302" spans="1:16">
      <c r="A302" s="2">
        <v>46137</v>
      </c>
      <c r="B302" s="3">
        <f>Data_Entry!P392</f>
        <v>13830.0000000004</v>
      </c>
      <c r="C302" s="4">
        <f>Data_Entry!V392</f>
        <v>5.73</v>
      </c>
      <c r="D302" s="5">
        <f t="shared" si="54"/>
        <v>0.239008710078812</v>
      </c>
      <c r="E302" s="6">
        <v>0</v>
      </c>
      <c r="F302" s="6">
        <v>0</v>
      </c>
      <c r="G302" s="7">
        <f t="shared" si="55"/>
        <v>0</v>
      </c>
      <c r="H302" s="7">
        <f t="shared" si="56"/>
        <v>0</v>
      </c>
      <c r="I302" s="8">
        <v>2411</v>
      </c>
      <c r="J302" s="9"/>
      <c r="K302" s="8">
        <f t="shared" si="57"/>
        <v>28932</v>
      </c>
      <c r="L302" s="7">
        <f t="shared" si="58"/>
        <v>0</v>
      </c>
      <c r="M302" s="10">
        <f t="shared" si="59"/>
        <v>1</v>
      </c>
      <c r="N302" s="11">
        <f t="shared" si="60"/>
        <v>0.239008710078812</v>
      </c>
      <c r="O302" s="8">
        <f t="shared" si="61"/>
        <v>13830.0000000004</v>
      </c>
      <c r="P302" s="12">
        <f t="shared" si="62"/>
        <v>0</v>
      </c>
    </row>
    <row r="303" spans="1:16">
      <c r="A303" s="2">
        <v>46138</v>
      </c>
      <c r="B303" s="3">
        <f>Data_Entry!P393</f>
        <v>13230.0000000002</v>
      </c>
      <c r="C303" s="4">
        <f>Data_Entry!V393</f>
        <v>5.58</v>
      </c>
      <c r="D303" s="5">
        <f t="shared" si="54"/>
        <v>0.22863956864372</v>
      </c>
      <c r="E303" s="6">
        <v>0</v>
      </c>
      <c r="F303" s="6">
        <v>0</v>
      </c>
      <c r="G303" s="7">
        <f t="shared" si="55"/>
        <v>0</v>
      </c>
      <c r="H303" s="7">
        <f t="shared" si="56"/>
        <v>0</v>
      </c>
      <c r="I303" s="8">
        <v>2411</v>
      </c>
      <c r="J303" s="9"/>
      <c r="K303" s="8">
        <f t="shared" si="57"/>
        <v>28932</v>
      </c>
      <c r="L303" s="7">
        <f t="shared" si="58"/>
        <v>0</v>
      </c>
      <c r="M303" s="10">
        <f t="shared" si="59"/>
        <v>1</v>
      </c>
      <c r="N303" s="11">
        <f t="shared" si="60"/>
        <v>0.22863956864372</v>
      </c>
      <c r="O303" s="8">
        <f t="shared" si="61"/>
        <v>13230.0000000002</v>
      </c>
      <c r="P303" s="12">
        <f t="shared" si="62"/>
        <v>0</v>
      </c>
    </row>
    <row r="304" spans="1:16">
      <c r="A304" s="2">
        <v>46139</v>
      </c>
      <c r="B304" s="3">
        <f>Data_Entry!P394</f>
        <v>13199.9999999996</v>
      </c>
      <c r="C304" s="4">
        <f>Data_Entry!V394</f>
        <v>5.58</v>
      </c>
      <c r="D304" s="5">
        <f t="shared" si="54"/>
        <v>0.228121111571955</v>
      </c>
      <c r="E304" s="6">
        <v>0</v>
      </c>
      <c r="F304" s="6">
        <v>0</v>
      </c>
      <c r="G304" s="7">
        <f t="shared" si="55"/>
        <v>0</v>
      </c>
      <c r="H304" s="7">
        <f t="shared" si="56"/>
        <v>0</v>
      </c>
      <c r="I304" s="8">
        <v>2411</v>
      </c>
      <c r="J304" s="9"/>
      <c r="K304" s="8">
        <f t="shared" si="57"/>
        <v>28932</v>
      </c>
      <c r="L304" s="7">
        <f t="shared" si="58"/>
        <v>0</v>
      </c>
      <c r="M304" s="10">
        <f t="shared" si="59"/>
        <v>1</v>
      </c>
      <c r="N304" s="11">
        <f t="shared" si="60"/>
        <v>0.228121111571955</v>
      </c>
      <c r="O304" s="8">
        <f t="shared" si="61"/>
        <v>13199.9999999996</v>
      </c>
      <c r="P304" s="12">
        <f t="shared" si="62"/>
        <v>0</v>
      </c>
    </row>
    <row r="305" spans="1:16">
      <c r="A305" s="2">
        <v>46140</v>
      </c>
      <c r="B305" s="3">
        <f>Data_Entry!P395</f>
        <v>14220</v>
      </c>
      <c r="C305" s="4">
        <f>Data_Entry!V395</f>
        <v>5.74</v>
      </c>
      <c r="D305" s="5">
        <f t="shared" si="54"/>
        <v>0.245748652011613</v>
      </c>
      <c r="E305" s="6">
        <v>0</v>
      </c>
      <c r="F305" s="6">
        <v>0</v>
      </c>
      <c r="G305" s="7">
        <f t="shared" si="55"/>
        <v>0</v>
      </c>
      <c r="H305" s="7">
        <f t="shared" si="56"/>
        <v>0</v>
      </c>
      <c r="I305" s="8">
        <v>2411</v>
      </c>
      <c r="J305" s="9"/>
      <c r="K305" s="8">
        <f t="shared" si="57"/>
        <v>28932</v>
      </c>
      <c r="L305" s="7">
        <f t="shared" si="58"/>
        <v>0</v>
      </c>
      <c r="M305" s="10">
        <f t="shared" si="59"/>
        <v>1</v>
      </c>
      <c r="N305" s="11">
        <f t="shared" si="60"/>
        <v>0.245748652011613</v>
      </c>
      <c r="O305" s="8">
        <f t="shared" si="61"/>
        <v>14220</v>
      </c>
      <c r="P305" s="12">
        <f t="shared" si="62"/>
        <v>0</v>
      </c>
    </row>
    <row r="306" spans="1:16">
      <c r="A306" s="2">
        <v>46141</v>
      </c>
      <c r="B306" s="3">
        <f>Data_Entry!P396</f>
        <v>14309.9999999999</v>
      </c>
      <c r="C306" s="4">
        <f>Data_Entry!V396</f>
        <v>5.8</v>
      </c>
      <c r="D306" s="5">
        <f t="shared" si="54"/>
        <v>0.247304023226875</v>
      </c>
      <c r="E306" s="6">
        <v>0</v>
      </c>
      <c r="F306" s="6">
        <v>0</v>
      </c>
      <c r="G306" s="7">
        <f t="shared" si="55"/>
        <v>0</v>
      </c>
      <c r="H306" s="7">
        <f t="shared" si="56"/>
        <v>0</v>
      </c>
      <c r="I306" s="8">
        <v>2411</v>
      </c>
      <c r="J306" s="9"/>
      <c r="K306" s="8">
        <f t="shared" si="57"/>
        <v>28932</v>
      </c>
      <c r="L306" s="7">
        <f t="shared" si="58"/>
        <v>0</v>
      </c>
      <c r="M306" s="10">
        <f t="shared" si="59"/>
        <v>1</v>
      </c>
      <c r="N306" s="11">
        <f t="shared" si="60"/>
        <v>0.247304023226875</v>
      </c>
      <c r="O306" s="8">
        <f t="shared" si="61"/>
        <v>14309.9999999999</v>
      </c>
      <c r="P306" s="12">
        <f t="shared" si="62"/>
        <v>0</v>
      </c>
    </row>
    <row r="307" spans="1:16">
      <c r="A307" s="2">
        <v>46142</v>
      </c>
      <c r="B307" s="3">
        <f>Data_Entry!P397</f>
        <v>13980.0000000002</v>
      </c>
      <c r="C307" s="4">
        <f>Data_Entry!V397</f>
        <v>5.65</v>
      </c>
      <c r="D307" s="5">
        <f t="shared" si="54"/>
        <v>0.241600995437582</v>
      </c>
      <c r="E307" s="6">
        <v>0</v>
      </c>
      <c r="F307" s="6">
        <v>0</v>
      </c>
      <c r="G307" s="7">
        <f t="shared" si="55"/>
        <v>0</v>
      </c>
      <c r="H307" s="7">
        <f t="shared" si="56"/>
        <v>0</v>
      </c>
      <c r="I307" s="8">
        <v>2411</v>
      </c>
      <c r="J307" s="9"/>
      <c r="K307" s="8">
        <f t="shared" si="57"/>
        <v>28932</v>
      </c>
      <c r="L307" s="7">
        <f t="shared" si="58"/>
        <v>0</v>
      </c>
      <c r="M307" s="10">
        <f t="shared" si="59"/>
        <v>1</v>
      </c>
      <c r="N307" s="11">
        <f t="shared" si="60"/>
        <v>0.241600995437582</v>
      </c>
      <c r="O307" s="8">
        <f t="shared" si="61"/>
        <v>13980.0000000002</v>
      </c>
      <c r="P307" s="12">
        <f t="shared" si="62"/>
        <v>0</v>
      </c>
    </row>
    <row r="308" spans="1:16">
      <c r="A308" s="2">
        <v>46143</v>
      </c>
      <c r="B308" s="3">
        <f>Data_Entry!P398</f>
        <v>13949.9999999996</v>
      </c>
      <c r="C308" s="4">
        <f>Data_Entry!V398</f>
        <v>5.68</v>
      </c>
      <c r="D308" s="5">
        <f t="shared" si="54"/>
        <v>0.241082538365816</v>
      </c>
      <c r="E308" s="6">
        <v>0</v>
      </c>
      <c r="F308" s="6">
        <v>0</v>
      </c>
      <c r="G308" s="7">
        <f t="shared" si="55"/>
        <v>0</v>
      </c>
      <c r="H308" s="7">
        <f t="shared" si="56"/>
        <v>0</v>
      </c>
      <c r="I308" s="8">
        <v>2411</v>
      </c>
      <c r="J308" s="9"/>
      <c r="K308" s="8">
        <f t="shared" si="57"/>
        <v>28932</v>
      </c>
      <c r="L308" s="7">
        <f t="shared" si="58"/>
        <v>0</v>
      </c>
      <c r="M308" s="10">
        <f t="shared" si="59"/>
        <v>1</v>
      </c>
      <c r="N308" s="11">
        <f t="shared" si="60"/>
        <v>0.241082538365816</v>
      </c>
      <c r="O308" s="8">
        <f t="shared" si="61"/>
        <v>13949.9999999996</v>
      </c>
      <c r="P308" s="12">
        <f t="shared" si="62"/>
        <v>0</v>
      </c>
    </row>
    <row r="309" spans="1:16">
      <c r="A309" s="2">
        <v>46144</v>
      </c>
      <c r="B309" s="3">
        <f>Data_Entry!P399</f>
        <v>14250</v>
      </c>
      <c r="C309" s="4">
        <f>Data_Entry!V399</f>
        <v>5.85</v>
      </c>
      <c r="D309" s="5">
        <f t="shared" si="54"/>
        <v>0.246267109083368</v>
      </c>
      <c r="E309" s="6">
        <v>0</v>
      </c>
      <c r="F309" s="6">
        <v>0</v>
      </c>
      <c r="G309" s="7">
        <f t="shared" si="55"/>
        <v>0</v>
      </c>
      <c r="H309" s="7">
        <f t="shared" si="56"/>
        <v>0</v>
      </c>
      <c r="I309" s="8">
        <v>2411</v>
      </c>
      <c r="J309" s="9"/>
      <c r="K309" s="8">
        <f t="shared" si="57"/>
        <v>28932</v>
      </c>
      <c r="L309" s="7">
        <f t="shared" si="58"/>
        <v>0</v>
      </c>
      <c r="M309" s="10">
        <f t="shared" si="59"/>
        <v>1</v>
      </c>
      <c r="N309" s="11">
        <f t="shared" si="60"/>
        <v>0.246267109083368</v>
      </c>
      <c r="O309" s="8">
        <f t="shared" si="61"/>
        <v>14250</v>
      </c>
      <c r="P309" s="12">
        <f t="shared" si="62"/>
        <v>0</v>
      </c>
    </row>
    <row r="310" spans="1:16">
      <c r="A310" s="2">
        <v>46145</v>
      </c>
      <c r="B310" s="3">
        <f>Data_Entry!P400</f>
        <v>14400.0000000005</v>
      </c>
      <c r="C310" s="4">
        <f>Data_Entry!V400</f>
        <v>5.92</v>
      </c>
      <c r="D310" s="5">
        <f t="shared" si="54"/>
        <v>0.24885939444215</v>
      </c>
      <c r="E310" s="6">
        <v>0</v>
      </c>
      <c r="F310" s="6">
        <v>0</v>
      </c>
      <c r="G310" s="7">
        <f t="shared" si="55"/>
        <v>0</v>
      </c>
      <c r="H310" s="7">
        <f t="shared" si="56"/>
        <v>0</v>
      </c>
      <c r="I310" s="8">
        <v>2411</v>
      </c>
      <c r="J310" s="9"/>
      <c r="K310" s="8">
        <f t="shared" si="57"/>
        <v>28932</v>
      </c>
      <c r="L310" s="7">
        <f t="shared" si="58"/>
        <v>0</v>
      </c>
      <c r="M310" s="10">
        <f t="shared" si="59"/>
        <v>1</v>
      </c>
      <c r="N310" s="11">
        <f t="shared" si="60"/>
        <v>0.24885939444215</v>
      </c>
      <c r="O310" s="8">
        <f t="shared" si="61"/>
        <v>14400.0000000005</v>
      </c>
      <c r="P310" s="12">
        <f t="shared" si="62"/>
        <v>0</v>
      </c>
    </row>
    <row r="311" spans="1:16">
      <c r="A311" s="2">
        <v>46146</v>
      </c>
      <c r="B311" s="3">
        <f>Data_Entry!P401</f>
        <v>13920</v>
      </c>
      <c r="C311" s="4">
        <f>Data_Entry!V401</f>
        <v>5.77</v>
      </c>
      <c r="D311" s="5">
        <f t="shared" si="54"/>
        <v>0.240564081294069</v>
      </c>
      <c r="E311" s="6">
        <v>0</v>
      </c>
      <c r="F311" s="6">
        <v>0</v>
      </c>
      <c r="G311" s="7">
        <f t="shared" si="55"/>
        <v>0</v>
      </c>
      <c r="H311" s="7">
        <f t="shared" si="56"/>
        <v>0</v>
      </c>
      <c r="I311" s="8">
        <v>2411</v>
      </c>
      <c r="J311" s="9"/>
      <c r="K311" s="8">
        <f t="shared" si="57"/>
        <v>28932</v>
      </c>
      <c r="L311" s="7">
        <f t="shared" si="58"/>
        <v>0</v>
      </c>
      <c r="M311" s="10">
        <f t="shared" si="59"/>
        <v>1</v>
      </c>
      <c r="N311" s="11">
        <f t="shared" si="60"/>
        <v>0.240564081294069</v>
      </c>
      <c r="O311" s="8">
        <f t="shared" si="61"/>
        <v>13920</v>
      </c>
      <c r="P311" s="12">
        <f t="shared" si="62"/>
        <v>0</v>
      </c>
    </row>
    <row r="312" spans="1:16">
      <c r="A312" s="2">
        <v>46147</v>
      </c>
      <c r="B312" s="3">
        <f>Data_Entry!P402</f>
        <v>13230.0000000002</v>
      </c>
      <c r="C312" s="4">
        <f>Data_Entry!V402</f>
        <v>5.76</v>
      </c>
      <c r="D312" s="5">
        <f t="shared" si="54"/>
        <v>0.228639568643721</v>
      </c>
      <c r="E312" s="6">
        <v>0</v>
      </c>
      <c r="F312" s="6">
        <v>0</v>
      </c>
      <c r="G312" s="7">
        <f t="shared" si="55"/>
        <v>0</v>
      </c>
      <c r="H312" s="7">
        <f t="shared" si="56"/>
        <v>0</v>
      </c>
      <c r="I312" s="8">
        <v>2411</v>
      </c>
      <c r="J312" s="9"/>
      <c r="K312" s="8">
        <f t="shared" si="57"/>
        <v>28932</v>
      </c>
      <c r="L312" s="7">
        <f t="shared" si="58"/>
        <v>0</v>
      </c>
      <c r="M312" s="10">
        <f t="shared" si="59"/>
        <v>1</v>
      </c>
      <c r="N312" s="11">
        <f t="shared" si="60"/>
        <v>0.228639568643721</v>
      </c>
      <c r="O312" s="8">
        <f t="shared" si="61"/>
        <v>13230.0000000002</v>
      </c>
      <c r="P312" s="12">
        <f t="shared" si="62"/>
        <v>0</v>
      </c>
    </row>
    <row r="313" spans="1:16">
      <c r="A313" s="2">
        <v>46148</v>
      </c>
      <c r="B313" s="3">
        <f>Data_Entry!P403</f>
        <v>13019.9999999998</v>
      </c>
      <c r="C313" s="4">
        <f>Data_Entry!V403</f>
        <v>5.72</v>
      </c>
      <c r="D313" s="5">
        <f t="shared" si="54"/>
        <v>0.225010369141431</v>
      </c>
      <c r="E313" s="6">
        <v>0</v>
      </c>
      <c r="F313" s="6">
        <v>0</v>
      </c>
      <c r="G313" s="7">
        <f t="shared" si="55"/>
        <v>0</v>
      </c>
      <c r="H313" s="7">
        <f t="shared" si="56"/>
        <v>0</v>
      </c>
      <c r="I313" s="8">
        <v>2411</v>
      </c>
      <c r="J313" s="9"/>
      <c r="K313" s="8">
        <f t="shared" si="57"/>
        <v>28932</v>
      </c>
      <c r="L313" s="7">
        <f t="shared" si="58"/>
        <v>0</v>
      </c>
      <c r="M313" s="10">
        <f t="shared" si="59"/>
        <v>1</v>
      </c>
      <c r="N313" s="11">
        <f t="shared" si="60"/>
        <v>0.225010369141431</v>
      </c>
      <c r="O313" s="8">
        <f t="shared" si="61"/>
        <v>13019.9999999998</v>
      </c>
      <c r="P313" s="12">
        <f t="shared" si="62"/>
        <v>0</v>
      </c>
    </row>
    <row r="314" spans="1:16">
      <c r="A314" s="2">
        <v>46149</v>
      </c>
      <c r="B314" s="3">
        <f>Data_Entry!P404</f>
        <v>13170.0000000003</v>
      </c>
      <c r="C314" s="4">
        <f>Data_Entry!V404</f>
        <v>5.81</v>
      </c>
      <c r="D314" s="5">
        <f t="shared" si="54"/>
        <v>0.227602654500213</v>
      </c>
      <c r="E314" s="6">
        <v>0</v>
      </c>
      <c r="F314" s="6">
        <v>0</v>
      </c>
      <c r="G314" s="7">
        <f t="shared" si="55"/>
        <v>0</v>
      </c>
      <c r="H314" s="7">
        <f t="shared" si="56"/>
        <v>0</v>
      </c>
      <c r="I314" s="8">
        <v>2411</v>
      </c>
      <c r="J314" s="9"/>
      <c r="K314" s="8">
        <f t="shared" si="57"/>
        <v>28932</v>
      </c>
      <c r="L314" s="7">
        <f t="shared" si="58"/>
        <v>0</v>
      </c>
      <c r="M314" s="10">
        <f t="shared" si="59"/>
        <v>1</v>
      </c>
      <c r="N314" s="11">
        <f t="shared" si="60"/>
        <v>0.227602654500213</v>
      </c>
      <c r="O314" s="8">
        <f t="shared" si="61"/>
        <v>13170.0000000003</v>
      </c>
      <c r="P314" s="12">
        <f t="shared" si="62"/>
        <v>0</v>
      </c>
    </row>
    <row r="315" spans="1:16">
      <c r="A315" s="2">
        <v>46150</v>
      </c>
      <c r="B315" s="3">
        <f>Data_Entry!P405</f>
        <v>13410.0000000001</v>
      </c>
      <c r="C315" s="4">
        <f>Data_Entry!V405</f>
        <v>5.79</v>
      </c>
      <c r="D315" s="5">
        <f t="shared" si="54"/>
        <v>0.231750311074244</v>
      </c>
      <c r="E315" s="6">
        <v>0</v>
      </c>
      <c r="F315" s="6">
        <v>0</v>
      </c>
      <c r="G315" s="7">
        <f t="shared" si="55"/>
        <v>0</v>
      </c>
      <c r="H315" s="7">
        <f t="shared" si="56"/>
        <v>0</v>
      </c>
      <c r="I315" s="8">
        <v>2411</v>
      </c>
      <c r="J315" s="9"/>
      <c r="K315" s="8">
        <f t="shared" si="57"/>
        <v>28932</v>
      </c>
      <c r="L315" s="7">
        <f t="shared" si="58"/>
        <v>0</v>
      </c>
      <c r="M315" s="10">
        <f t="shared" si="59"/>
        <v>1</v>
      </c>
      <c r="N315" s="11">
        <f t="shared" si="60"/>
        <v>0.231750311074244</v>
      </c>
      <c r="O315" s="8">
        <f t="shared" si="61"/>
        <v>13410.0000000001</v>
      </c>
      <c r="P315" s="12">
        <f t="shared" si="62"/>
        <v>0</v>
      </c>
    </row>
    <row r="316" spans="1:16">
      <c r="A316" s="2">
        <v>46151</v>
      </c>
      <c r="B316" s="3">
        <f>Data_Entry!P406</f>
        <v>13679.9999999998</v>
      </c>
      <c r="C316" s="4">
        <f>Data_Entry!V406</f>
        <v>5.88</v>
      </c>
      <c r="D316" s="5">
        <f t="shared" si="54"/>
        <v>0.23641642472003</v>
      </c>
      <c r="E316" s="6">
        <v>0</v>
      </c>
      <c r="F316" s="6">
        <v>0</v>
      </c>
      <c r="G316" s="7">
        <f t="shared" si="55"/>
        <v>0</v>
      </c>
      <c r="H316" s="7">
        <f t="shared" si="56"/>
        <v>0</v>
      </c>
      <c r="I316" s="8">
        <v>2411</v>
      </c>
      <c r="J316" s="9"/>
      <c r="K316" s="8">
        <f t="shared" si="57"/>
        <v>28932</v>
      </c>
      <c r="L316" s="7">
        <f t="shared" si="58"/>
        <v>0</v>
      </c>
      <c r="M316" s="10">
        <f t="shared" si="59"/>
        <v>1</v>
      </c>
      <c r="N316" s="11">
        <f t="shared" si="60"/>
        <v>0.23641642472003</v>
      </c>
      <c r="O316" s="8">
        <f t="shared" si="61"/>
        <v>13679.9999999998</v>
      </c>
      <c r="P316" s="12">
        <f t="shared" si="62"/>
        <v>0</v>
      </c>
    </row>
    <row r="317" spans="1:16">
      <c r="A317" s="2">
        <v>46152</v>
      </c>
      <c r="B317" s="3">
        <f>Data_Entry!P407</f>
        <v>13949.9999999996</v>
      </c>
      <c r="C317" s="4">
        <f>Data_Entry!V407</f>
        <v>5.98</v>
      </c>
      <c r="D317" s="5">
        <f t="shared" si="54"/>
        <v>0.241082538365816</v>
      </c>
      <c r="E317" s="6">
        <v>0</v>
      </c>
      <c r="F317" s="6">
        <v>0</v>
      </c>
      <c r="G317" s="7">
        <f t="shared" si="55"/>
        <v>0</v>
      </c>
      <c r="H317" s="7">
        <f t="shared" si="56"/>
        <v>0</v>
      </c>
      <c r="I317" s="8">
        <v>2411</v>
      </c>
      <c r="J317" s="9"/>
      <c r="K317" s="8">
        <f t="shared" si="57"/>
        <v>28932</v>
      </c>
      <c r="L317" s="7">
        <f t="shared" si="58"/>
        <v>0</v>
      </c>
      <c r="M317" s="10">
        <f t="shared" si="59"/>
        <v>1</v>
      </c>
      <c r="N317" s="11">
        <f t="shared" si="60"/>
        <v>0.241082538365816</v>
      </c>
      <c r="O317" s="8">
        <f t="shared" si="61"/>
        <v>13949.9999999996</v>
      </c>
      <c r="P317" s="12">
        <f t="shared" si="62"/>
        <v>0</v>
      </c>
    </row>
    <row r="318" spans="1:16">
      <c r="A318" s="2">
        <v>46153</v>
      </c>
      <c r="B318" s="3">
        <f>Data_Entry!P408</f>
        <v>13890.0000000003</v>
      </c>
      <c r="C318" s="4">
        <f>Data_Entry!V408</f>
        <v>5.95</v>
      </c>
      <c r="D318" s="5">
        <f t="shared" si="54"/>
        <v>0.24004562422232</v>
      </c>
      <c r="E318" s="6">
        <v>0</v>
      </c>
      <c r="F318" s="6">
        <v>0</v>
      </c>
      <c r="G318" s="7">
        <f t="shared" si="55"/>
        <v>0</v>
      </c>
      <c r="H318" s="7">
        <f t="shared" si="56"/>
        <v>0</v>
      </c>
      <c r="I318" s="8">
        <v>2411</v>
      </c>
      <c r="J318" s="9"/>
      <c r="K318" s="8">
        <f t="shared" si="57"/>
        <v>28932</v>
      </c>
      <c r="L318" s="7">
        <f t="shared" si="58"/>
        <v>0</v>
      </c>
      <c r="M318" s="10">
        <f t="shared" si="59"/>
        <v>1</v>
      </c>
      <c r="N318" s="11">
        <f t="shared" si="60"/>
        <v>0.24004562422232</v>
      </c>
      <c r="O318" s="8">
        <f t="shared" si="61"/>
        <v>13890.0000000003</v>
      </c>
      <c r="P318" s="12">
        <f t="shared" si="62"/>
        <v>0</v>
      </c>
    </row>
    <row r="319" spans="1:16">
      <c r="A319" s="2">
        <v>46154</v>
      </c>
      <c r="B319" s="3">
        <f>Data_Entry!P409</f>
        <v>13619.9999999999</v>
      </c>
      <c r="C319" s="4">
        <f>Data_Entry!V409</f>
        <v>5.77</v>
      </c>
      <c r="D319" s="5">
        <f t="shared" si="54"/>
        <v>0.235379510576522</v>
      </c>
      <c r="E319" s="6">
        <v>0</v>
      </c>
      <c r="F319" s="6">
        <v>0</v>
      </c>
      <c r="G319" s="7">
        <f t="shared" si="55"/>
        <v>0</v>
      </c>
      <c r="H319" s="7">
        <f t="shared" si="56"/>
        <v>0</v>
      </c>
      <c r="I319" s="8">
        <v>2411</v>
      </c>
      <c r="J319" s="9"/>
      <c r="K319" s="8">
        <f t="shared" si="57"/>
        <v>28932</v>
      </c>
      <c r="L319" s="7">
        <f t="shared" si="58"/>
        <v>0</v>
      </c>
      <c r="M319" s="10">
        <f t="shared" si="59"/>
        <v>1</v>
      </c>
      <c r="N319" s="11">
        <f t="shared" si="60"/>
        <v>0.235379510576522</v>
      </c>
      <c r="O319" s="8">
        <f t="shared" si="61"/>
        <v>13619.9999999999</v>
      </c>
      <c r="P319" s="12">
        <f t="shared" si="62"/>
        <v>0</v>
      </c>
    </row>
    <row r="320" spans="1:16">
      <c r="A320" s="2">
        <v>46155</v>
      </c>
      <c r="B320" s="3">
        <v>0</v>
      </c>
      <c r="C320" s="4">
        <v>0.11</v>
      </c>
      <c r="D320" s="5">
        <f t="shared" si="54"/>
        <v>0</v>
      </c>
      <c r="E320" s="6">
        <v>0.291666666666667</v>
      </c>
      <c r="F320" s="6">
        <v>0.725694444444444</v>
      </c>
      <c r="G320" s="7">
        <f t="shared" si="55"/>
        <v>625</v>
      </c>
      <c r="H320" s="7">
        <f t="shared" ref="H320:H351" si="63">G320/60</f>
        <v>10.4166666666667</v>
      </c>
      <c r="I320" s="8">
        <v>2411</v>
      </c>
      <c r="J320" s="9">
        <v>2411</v>
      </c>
      <c r="K320" s="8">
        <f t="shared" si="57"/>
        <v>28932</v>
      </c>
      <c r="L320" s="7">
        <f t="shared" ref="L320:L351" si="64">J320*H320</f>
        <v>25114.5833333333</v>
      </c>
      <c r="M320" s="10">
        <f t="shared" si="59"/>
        <v>0.131944444444444</v>
      </c>
      <c r="N320" s="11">
        <f t="shared" si="60"/>
        <v>0</v>
      </c>
      <c r="O320" s="8">
        <f t="shared" si="61"/>
        <v>0</v>
      </c>
      <c r="P320" s="12">
        <f t="shared" si="62"/>
        <v>0</v>
      </c>
    </row>
    <row r="321" spans="1:16">
      <c r="A321" s="2">
        <v>46156</v>
      </c>
      <c r="B321" s="3">
        <f>Data_Entry!P411</f>
        <v>13649.9999999999</v>
      </c>
      <c r="C321" s="4">
        <f>Data_Entry!V411</f>
        <v>5.88</v>
      </c>
      <c r="D321" s="5">
        <f t="shared" si="54"/>
        <v>0.235897967648276</v>
      </c>
      <c r="E321" s="6">
        <v>0</v>
      </c>
      <c r="F321" s="6">
        <v>0</v>
      </c>
      <c r="G321" s="7">
        <f t="shared" si="55"/>
        <v>0</v>
      </c>
      <c r="H321" s="7">
        <f t="shared" si="63"/>
        <v>0</v>
      </c>
      <c r="I321" s="8">
        <v>2411</v>
      </c>
      <c r="J321" s="9"/>
      <c r="K321" s="8">
        <f t="shared" si="57"/>
        <v>28932</v>
      </c>
      <c r="L321" s="7">
        <f t="shared" si="64"/>
        <v>0</v>
      </c>
      <c r="M321" s="10">
        <f t="shared" si="59"/>
        <v>1</v>
      </c>
      <c r="N321" s="11">
        <f t="shared" si="60"/>
        <v>0.235897967648276</v>
      </c>
      <c r="O321" s="8">
        <f t="shared" si="61"/>
        <v>13649.9999999999</v>
      </c>
      <c r="P321" s="12">
        <f t="shared" si="62"/>
        <v>0</v>
      </c>
    </row>
    <row r="322" spans="1:16">
      <c r="A322" s="2">
        <v>46157</v>
      </c>
      <c r="B322" s="3">
        <f>Data_Entry!P412</f>
        <v>13619.9999999999</v>
      </c>
      <c r="C322" s="4">
        <f>Data_Entry!V412</f>
        <v>5.69</v>
      </c>
      <c r="D322" s="5">
        <f t="shared" ref="D320:D351" si="65">B322/(24*I322)</f>
        <v>0.235379510576522</v>
      </c>
      <c r="E322" s="6">
        <v>0</v>
      </c>
      <c r="F322" s="6">
        <v>0</v>
      </c>
      <c r="G322" s="7">
        <f t="shared" si="55"/>
        <v>0</v>
      </c>
      <c r="H322" s="7">
        <f t="shared" si="63"/>
        <v>0</v>
      </c>
      <c r="I322" s="8">
        <v>2411</v>
      </c>
      <c r="J322" s="9"/>
      <c r="K322" s="8">
        <f t="shared" si="57"/>
        <v>28932</v>
      </c>
      <c r="L322" s="7">
        <f t="shared" si="64"/>
        <v>0</v>
      </c>
      <c r="M322" s="10">
        <f t="shared" si="59"/>
        <v>1</v>
      </c>
      <c r="N322" s="11">
        <f t="shared" si="60"/>
        <v>0.235379510576522</v>
      </c>
      <c r="O322" s="8">
        <f t="shared" si="61"/>
        <v>13619.9999999999</v>
      </c>
      <c r="P322" s="12">
        <f t="shared" si="62"/>
        <v>0</v>
      </c>
    </row>
    <row r="323" spans="1:16">
      <c r="A323" s="2">
        <v>46158</v>
      </c>
      <c r="B323" s="3">
        <f>Data_Entry!P413</f>
        <v>14040.0000000002</v>
      </c>
      <c r="C323" s="4">
        <f>Data_Entry!V413</f>
        <v>6.02</v>
      </c>
      <c r="D323" s="5">
        <f t="shared" si="65"/>
        <v>0.24263790958109</v>
      </c>
      <c r="E323" s="6">
        <v>0</v>
      </c>
      <c r="F323" s="6">
        <v>0</v>
      </c>
      <c r="G323" s="7">
        <f t="shared" si="55"/>
        <v>0</v>
      </c>
      <c r="H323" s="7">
        <f t="shared" si="63"/>
        <v>0</v>
      </c>
      <c r="I323" s="8">
        <v>2411</v>
      </c>
      <c r="J323" s="9"/>
      <c r="K323" s="8">
        <f t="shared" si="57"/>
        <v>28932</v>
      </c>
      <c r="L323" s="7">
        <f t="shared" si="64"/>
        <v>0</v>
      </c>
      <c r="M323" s="10">
        <f t="shared" si="59"/>
        <v>1</v>
      </c>
      <c r="N323" s="11">
        <f t="shared" si="60"/>
        <v>0.24263790958109</v>
      </c>
      <c r="O323" s="8">
        <f t="shared" si="61"/>
        <v>14040.0000000002</v>
      </c>
      <c r="P323" s="12">
        <f t="shared" si="62"/>
        <v>0</v>
      </c>
    </row>
    <row r="324" spans="1:16">
      <c r="A324" s="2">
        <v>46159</v>
      </c>
      <c r="B324" s="3">
        <f>Data_Entry!P414</f>
        <v>13889.9999999996</v>
      </c>
      <c r="C324" s="4">
        <f>Data_Entry!V414</f>
        <v>6.06</v>
      </c>
      <c r="D324" s="5">
        <f t="shared" si="65"/>
        <v>0.240045624222308</v>
      </c>
      <c r="E324" s="6">
        <v>0</v>
      </c>
      <c r="F324" s="6">
        <v>0</v>
      </c>
      <c r="G324" s="7">
        <f t="shared" si="55"/>
        <v>0</v>
      </c>
      <c r="H324" s="7">
        <f t="shared" si="63"/>
        <v>0</v>
      </c>
      <c r="I324" s="8">
        <v>2411</v>
      </c>
      <c r="J324" s="9"/>
      <c r="K324" s="8">
        <f t="shared" si="57"/>
        <v>28932</v>
      </c>
      <c r="L324" s="7">
        <f t="shared" si="64"/>
        <v>0</v>
      </c>
      <c r="M324" s="10">
        <f t="shared" si="59"/>
        <v>1</v>
      </c>
      <c r="N324" s="11">
        <f t="shared" si="60"/>
        <v>0.240045624222308</v>
      </c>
      <c r="O324" s="8">
        <f t="shared" si="61"/>
        <v>13889.9999999996</v>
      </c>
      <c r="P324" s="12">
        <f t="shared" si="62"/>
        <v>0</v>
      </c>
    </row>
    <row r="325" spans="1:16">
      <c r="A325" s="2">
        <v>46160</v>
      </c>
      <c r="B325" s="3">
        <f>Data_Entry!P415</f>
        <v>13500</v>
      </c>
      <c r="C325" s="4">
        <f>Data_Entry!V415</f>
        <v>5.85</v>
      </c>
      <c r="D325" s="5">
        <f t="shared" si="65"/>
        <v>0.233305682289506</v>
      </c>
      <c r="E325" s="6">
        <v>0</v>
      </c>
      <c r="F325" s="6">
        <v>0</v>
      </c>
      <c r="G325" s="7">
        <f t="shared" si="55"/>
        <v>0</v>
      </c>
      <c r="H325" s="7">
        <f t="shared" si="63"/>
        <v>0</v>
      </c>
      <c r="I325" s="8">
        <v>2411</v>
      </c>
      <c r="J325" s="9"/>
      <c r="K325" s="8">
        <f t="shared" si="57"/>
        <v>28932</v>
      </c>
      <c r="L325" s="7">
        <f t="shared" si="64"/>
        <v>0</v>
      </c>
      <c r="M325" s="10">
        <f t="shared" si="59"/>
        <v>1</v>
      </c>
      <c r="N325" s="11">
        <f t="shared" si="60"/>
        <v>0.233305682289506</v>
      </c>
      <c r="O325" s="8">
        <f t="shared" si="61"/>
        <v>13500</v>
      </c>
      <c r="P325" s="12">
        <f t="shared" si="62"/>
        <v>0</v>
      </c>
    </row>
    <row r="326" spans="1:16">
      <c r="A326" s="2">
        <v>46161</v>
      </c>
      <c r="B326" s="3">
        <f>Data_Entry!P416</f>
        <v>13740.0000000005</v>
      </c>
      <c r="C326" s="4">
        <f>Data_Entry!V416</f>
        <v>6.11</v>
      </c>
      <c r="D326" s="5">
        <f t="shared" si="65"/>
        <v>0.23745333886355</v>
      </c>
      <c r="E326" s="6">
        <v>0</v>
      </c>
      <c r="F326" s="6">
        <v>0</v>
      </c>
      <c r="G326" s="7">
        <f t="shared" si="55"/>
        <v>0</v>
      </c>
      <c r="H326" s="7">
        <f t="shared" si="63"/>
        <v>0</v>
      </c>
      <c r="I326" s="8">
        <v>2411</v>
      </c>
      <c r="J326" s="9"/>
      <c r="K326" s="8">
        <f t="shared" si="57"/>
        <v>28932</v>
      </c>
      <c r="L326" s="7">
        <f t="shared" si="64"/>
        <v>0</v>
      </c>
      <c r="M326" s="10">
        <f t="shared" si="59"/>
        <v>1</v>
      </c>
      <c r="N326" s="11">
        <f t="shared" si="60"/>
        <v>0.23745333886355</v>
      </c>
      <c r="O326" s="8">
        <f t="shared" si="61"/>
        <v>13740.0000000005</v>
      </c>
      <c r="P326" s="12">
        <f t="shared" si="62"/>
        <v>0</v>
      </c>
    </row>
    <row r="327" spans="1:16">
      <c r="A327" s="2">
        <v>46162</v>
      </c>
      <c r="B327" s="3">
        <f>Data_Entry!P417</f>
        <v>13500</v>
      </c>
      <c r="C327" s="4">
        <f>Data_Entry!V417</f>
        <v>5.89</v>
      </c>
      <c r="D327" s="5">
        <f t="shared" si="65"/>
        <v>0.233305682289506</v>
      </c>
      <c r="E327" s="6">
        <v>0</v>
      </c>
      <c r="F327" s="6">
        <v>0</v>
      </c>
      <c r="G327" s="7">
        <f t="shared" si="55"/>
        <v>0</v>
      </c>
      <c r="H327" s="7">
        <f t="shared" si="63"/>
        <v>0</v>
      </c>
      <c r="I327" s="8">
        <v>2411</v>
      </c>
      <c r="J327" s="9"/>
      <c r="K327" s="8">
        <f t="shared" si="57"/>
        <v>28932</v>
      </c>
      <c r="L327" s="7">
        <f t="shared" si="64"/>
        <v>0</v>
      </c>
      <c r="M327" s="10">
        <f t="shared" si="59"/>
        <v>1</v>
      </c>
      <c r="N327" s="11">
        <f t="shared" si="60"/>
        <v>0.233305682289506</v>
      </c>
      <c r="O327" s="8">
        <f t="shared" si="61"/>
        <v>13500</v>
      </c>
      <c r="P327" s="12">
        <f t="shared" si="62"/>
        <v>0</v>
      </c>
    </row>
    <row r="328" spans="1:16">
      <c r="A328" s="2">
        <v>46163</v>
      </c>
      <c r="B328" s="3">
        <f>Data_Entry!P418</f>
        <v>12720</v>
      </c>
      <c r="C328" s="4">
        <f>Data_Entry!V418</f>
        <v>5.55</v>
      </c>
      <c r="D328" s="5">
        <f t="shared" si="65"/>
        <v>0.219825798423891</v>
      </c>
      <c r="E328" s="6">
        <v>0</v>
      </c>
      <c r="F328" s="6">
        <v>0</v>
      </c>
      <c r="G328" s="7">
        <f t="shared" si="55"/>
        <v>0</v>
      </c>
      <c r="H328" s="7">
        <f t="shared" si="63"/>
        <v>0</v>
      </c>
      <c r="I328" s="8">
        <v>2411</v>
      </c>
      <c r="J328" s="9"/>
      <c r="K328" s="8">
        <f t="shared" si="57"/>
        <v>28932</v>
      </c>
      <c r="L328" s="7">
        <f t="shared" si="64"/>
        <v>0</v>
      </c>
      <c r="M328" s="10">
        <f t="shared" si="59"/>
        <v>1</v>
      </c>
      <c r="N328" s="11">
        <f t="shared" si="60"/>
        <v>0.219825798423891</v>
      </c>
      <c r="O328" s="8">
        <f t="shared" si="61"/>
        <v>12720</v>
      </c>
      <c r="P328" s="12">
        <f t="shared" si="62"/>
        <v>0</v>
      </c>
    </row>
    <row r="329" spans="1:16">
      <c r="A329" s="2">
        <v>46164</v>
      </c>
      <c r="B329" s="3">
        <f>Data_Entry!P419</f>
        <v>13289.9999999995</v>
      </c>
      <c r="C329" s="4">
        <f>Data_Entry!V419</f>
        <v>5.82</v>
      </c>
      <c r="D329" s="5">
        <f t="shared" si="65"/>
        <v>0.229676482787217</v>
      </c>
      <c r="E329" s="6">
        <v>0</v>
      </c>
      <c r="F329" s="6">
        <v>0</v>
      </c>
      <c r="G329" s="7">
        <f t="shared" si="55"/>
        <v>0</v>
      </c>
      <c r="H329" s="7">
        <f t="shared" si="63"/>
        <v>0</v>
      </c>
      <c r="I329" s="8">
        <v>2411</v>
      </c>
      <c r="J329" s="9"/>
      <c r="K329" s="8">
        <f t="shared" si="57"/>
        <v>28932</v>
      </c>
      <c r="L329" s="7">
        <f t="shared" si="64"/>
        <v>0</v>
      </c>
      <c r="M329" s="10">
        <f t="shared" si="59"/>
        <v>1</v>
      </c>
      <c r="N329" s="11">
        <f t="shared" si="60"/>
        <v>0.229676482787217</v>
      </c>
      <c r="O329" s="8">
        <f t="shared" si="61"/>
        <v>13289.9999999995</v>
      </c>
      <c r="P329" s="12">
        <f t="shared" si="62"/>
        <v>0</v>
      </c>
    </row>
    <row r="330" spans="1:16">
      <c r="A330" s="2">
        <v>46165</v>
      </c>
      <c r="B330" s="3">
        <f>Data_Entry!P420</f>
        <v>12600.0000000001</v>
      </c>
      <c r="C330" s="4">
        <f>Data_Entry!V420</f>
        <v>5.36</v>
      </c>
      <c r="D330" s="5">
        <f t="shared" si="65"/>
        <v>0.217751970136875</v>
      </c>
      <c r="E330" s="6">
        <v>0</v>
      </c>
      <c r="F330" s="6">
        <v>0</v>
      </c>
      <c r="G330" s="7">
        <f t="shared" si="55"/>
        <v>0</v>
      </c>
      <c r="H330" s="7">
        <f t="shared" si="63"/>
        <v>0</v>
      </c>
      <c r="I330" s="8">
        <v>2411</v>
      </c>
      <c r="J330" s="9"/>
      <c r="K330" s="8">
        <f t="shared" si="57"/>
        <v>28932</v>
      </c>
      <c r="L330" s="7">
        <f t="shared" si="64"/>
        <v>0</v>
      </c>
      <c r="M330" s="10">
        <f t="shared" si="59"/>
        <v>1</v>
      </c>
      <c r="N330" s="11">
        <f t="shared" si="60"/>
        <v>0.217751970136875</v>
      </c>
      <c r="O330" s="8">
        <f t="shared" si="61"/>
        <v>12600.0000000001</v>
      </c>
      <c r="P330" s="12">
        <f t="shared" si="62"/>
        <v>0</v>
      </c>
    </row>
    <row r="331" spans="1:16">
      <c r="A331" s="2">
        <v>46166</v>
      </c>
      <c r="B331" s="3">
        <f>Data_Entry!P421</f>
        <v>12119.9999999999</v>
      </c>
      <c r="C331" s="4">
        <f>Data_Entry!V421</f>
        <v>5.26</v>
      </c>
      <c r="D331" s="5">
        <f t="shared" si="65"/>
        <v>0.209456656988799</v>
      </c>
      <c r="E331" s="6">
        <v>0</v>
      </c>
      <c r="F331" s="6">
        <v>0</v>
      </c>
      <c r="G331" s="7">
        <f t="shared" si="55"/>
        <v>0</v>
      </c>
      <c r="H331" s="7">
        <f t="shared" si="63"/>
        <v>0</v>
      </c>
      <c r="I331" s="8">
        <v>2411</v>
      </c>
      <c r="J331" s="9"/>
      <c r="K331" s="8">
        <f t="shared" si="57"/>
        <v>28932</v>
      </c>
      <c r="L331" s="7">
        <f t="shared" si="64"/>
        <v>0</v>
      </c>
      <c r="M331" s="10">
        <f t="shared" si="59"/>
        <v>1</v>
      </c>
      <c r="N331" s="11">
        <f t="shared" si="60"/>
        <v>0.209456656988799</v>
      </c>
      <c r="O331" s="8">
        <f t="shared" si="61"/>
        <v>12119.9999999999</v>
      </c>
      <c r="P331" s="12">
        <f t="shared" si="62"/>
        <v>0</v>
      </c>
    </row>
    <row r="332" spans="1:16">
      <c r="A332" s="2">
        <v>46167</v>
      </c>
      <c r="B332" s="3">
        <f>Data_Entry!P422</f>
        <v>13230.0000000002</v>
      </c>
      <c r="C332" s="4">
        <f>Data_Entry!V422</f>
        <v>5.83</v>
      </c>
      <c r="D332" s="5">
        <f t="shared" si="65"/>
        <v>0.228639568643721</v>
      </c>
      <c r="E332" s="6">
        <v>0</v>
      </c>
      <c r="F332" s="6">
        <v>0</v>
      </c>
      <c r="G332" s="7">
        <f t="shared" si="55"/>
        <v>0</v>
      </c>
      <c r="H332" s="7">
        <f t="shared" si="63"/>
        <v>0</v>
      </c>
      <c r="I332" s="8">
        <v>2411</v>
      </c>
      <c r="J332" s="9"/>
      <c r="K332" s="8">
        <f t="shared" si="57"/>
        <v>28932</v>
      </c>
      <c r="L332" s="7">
        <f t="shared" si="64"/>
        <v>0</v>
      </c>
      <c r="M332" s="10">
        <f t="shared" si="59"/>
        <v>1</v>
      </c>
      <c r="N332" s="11">
        <f t="shared" si="60"/>
        <v>0.228639568643721</v>
      </c>
      <c r="O332" s="8">
        <f t="shared" si="61"/>
        <v>13230.0000000002</v>
      </c>
      <c r="P332" s="12">
        <f t="shared" si="62"/>
        <v>0</v>
      </c>
    </row>
    <row r="333" spans="1:16">
      <c r="A333" s="2">
        <v>46168</v>
      </c>
      <c r="B333" s="3">
        <f>Data_Entry!P423</f>
        <v>13350.0000000001</v>
      </c>
      <c r="C333" s="4">
        <f>Data_Entry!V423</f>
        <v>5.9</v>
      </c>
      <c r="D333" s="5">
        <f t="shared" si="65"/>
        <v>0.230713396930737</v>
      </c>
      <c r="E333" s="6">
        <v>0</v>
      </c>
      <c r="F333" s="6">
        <v>0</v>
      </c>
      <c r="G333" s="7">
        <f t="shared" si="55"/>
        <v>0</v>
      </c>
      <c r="H333" s="7">
        <f t="shared" si="63"/>
        <v>0</v>
      </c>
      <c r="I333" s="8">
        <v>2411</v>
      </c>
      <c r="J333" s="9"/>
      <c r="K333" s="8">
        <f t="shared" si="57"/>
        <v>28932</v>
      </c>
      <c r="L333" s="7">
        <f t="shared" si="64"/>
        <v>0</v>
      </c>
      <c r="M333" s="10">
        <f t="shared" si="59"/>
        <v>1</v>
      </c>
      <c r="N333" s="11">
        <f t="shared" si="60"/>
        <v>0.230713396930737</v>
      </c>
      <c r="O333" s="8">
        <f t="shared" si="61"/>
        <v>13350.0000000001</v>
      </c>
      <c r="P333" s="12">
        <f t="shared" si="62"/>
        <v>0</v>
      </c>
    </row>
    <row r="334" spans="1:16">
      <c r="A334" s="2">
        <v>46169</v>
      </c>
      <c r="B334" s="3">
        <f>Data_Entry!P424</f>
        <v>13169.9999999996</v>
      </c>
      <c r="C334" s="4">
        <f>Data_Entry!V424</f>
        <v>5.91</v>
      </c>
      <c r="D334" s="5">
        <f t="shared" si="65"/>
        <v>0.227602654500201</v>
      </c>
      <c r="E334" s="6">
        <v>0</v>
      </c>
      <c r="F334" s="6">
        <v>0</v>
      </c>
      <c r="G334" s="7">
        <f t="shared" si="55"/>
        <v>0</v>
      </c>
      <c r="H334" s="7">
        <f t="shared" si="63"/>
        <v>0</v>
      </c>
      <c r="I334" s="8">
        <v>2411</v>
      </c>
      <c r="J334" s="9"/>
      <c r="K334" s="8">
        <f t="shared" si="57"/>
        <v>28932</v>
      </c>
      <c r="L334" s="7">
        <f t="shared" si="64"/>
        <v>0</v>
      </c>
      <c r="M334" s="10">
        <f t="shared" si="59"/>
        <v>1</v>
      </c>
      <c r="N334" s="11">
        <f t="shared" si="60"/>
        <v>0.227602654500201</v>
      </c>
      <c r="O334" s="8">
        <f t="shared" si="61"/>
        <v>13169.9999999996</v>
      </c>
      <c r="P334" s="12">
        <f t="shared" si="62"/>
        <v>0</v>
      </c>
    </row>
    <row r="335" spans="1:16">
      <c r="A335" s="2">
        <v>46170</v>
      </c>
      <c r="B335" s="3">
        <f>Data_Entry!P425</f>
        <v>13170.0000000003</v>
      </c>
      <c r="C335" s="4">
        <f>Data_Entry!V425</f>
        <v>5.84</v>
      </c>
      <c r="D335" s="5">
        <f t="shared" si="65"/>
        <v>0.227602654500213</v>
      </c>
      <c r="E335" s="6">
        <v>0</v>
      </c>
      <c r="F335" s="6">
        <v>0</v>
      </c>
      <c r="G335" s="7">
        <f t="shared" si="55"/>
        <v>0</v>
      </c>
      <c r="H335" s="7">
        <f t="shared" si="63"/>
        <v>0</v>
      </c>
      <c r="I335" s="8">
        <v>2411</v>
      </c>
      <c r="J335" s="9"/>
      <c r="K335" s="8">
        <f t="shared" si="57"/>
        <v>28932</v>
      </c>
      <c r="L335" s="7">
        <f t="shared" si="64"/>
        <v>0</v>
      </c>
      <c r="M335" s="10">
        <f t="shared" si="59"/>
        <v>1</v>
      </c>
      <c r="N335" s="11">
        <f t="shared" si="60"/>
        <v>0.227602654500213</v>
      </c>
      <c r="O335" s="8">
        <f t="shared" si="61"/>
        <v>13170.0000000003</v>
      </c>
      <c r="P335" s="12">
        <f t="shared" si="62"/>
        <v>0</v>
      </c>
    </row>
    <row r="336" spans="1:16">
      <c r="A336" s="2">
        <v>46171</v>
      </c>
      <c r="B336" s="3">
        <f>Data_Entry!P426</f>
        <v>12869.9999999999</v>
      </c>
      <c r="C336" s="4">
        <f>Data_Entry!V426</f>
        <v>5.74</v>
      </c>
      <c r="D336" s="5">
        <f t="shared" si="65"/>
        <v>0.222418083782661</v>
      </c>
      <c r="E336" s="6">
        <v>0</v>
      </c>
      <c r="F336" s="6">
        <v>0</v>
      </c>
      <c r="G336" s="7">
        <f t="shared" si="55"/>
        <v>0</v>
      </c>
      <c r="H336" s="7">
        <f t="shared" si="63"/>
        <v>0</v>
      </c>
      <c r="I336" s="8">
        <v>2411</v>
      </c>
      <c r="J336" s="9"/>
      <c r="K336" s="8">
        <f t="shared" si="57"/>
        <v>28932</v>
      </c>
      <c r="L336" s="7">
        <f t="shared" si="64"/>
        <v>0</v>
      </c>
      <c r="M336" s="10">
        <f t="shared" si="59"/>
        <v>1</v>
      </c>
      <c r="N336" s="11">
        <f t="shared" si="60"/>
        <v>0.222418083782661</v>
      </c>
      <c r="O336" s="8">
        <f t="shared" si="61"/>
        <v>12869.9999999999</v>
      </c>
      <c r="P336" s="12">
        <f t="shared" si="62"/>
        <v>0</v>
      </c>
    </row>
    <row r="337" spans="1:16">
      <c r="A337" s="2">
        <v>46172</v>
      </c>
      <c r="B337" s="3">
        <f>Data_Entry!P427</f>
        <v>11339.9999999999</v>
      </c>
      <c r="C337" s="4">
        <f>Data_Entry!V427</f>
        <v>5.35</v>
      </c>
      <c r="D337" s="5">
        <f t="shared" si="65"/>
        <v>0.195976773123184</v>
      </c>
      <c r="E337" s="6">
        <v>0</v>
      </c>
      <c r="F337" s="6">
        <v>0</v>
      </c>
      <c r="G337" s="7">
        <f t="shared" si="55"/>
        <v>0</v>
      </c>
      <c r="H337" s="7">
        <f t="shared" si="63"/>
        <v>0</v>
      </c>
      <c r="I337" s="8">
        <v>2411</v>
      </c>
      <c r="J337" s="9"/>
      <c r="K337" s="8">
        <f t="shared" si="57"/>
        <v>28932</v>
      </c>
      <c r="L337" s="7">
        <f t="shared" si="64"/>
        <v>0</v>
      </c>
      <c r="M337" s="10">
        <f t="shared" si="59"/>
        <v>1</v>
      </c>
      <c r="N337" s="11">
        <f t="shared" si="60"/>
        <v>0.195976773123184</v>
      </c>
      <c r="O337" s="8">
        <f t="shared" si="61"/>
        <v>11339.9999999999</v>
      </c>
      <c r="P337" s="12">
        <f t="shared" si="62"/>
        <v>0</v>
      </c>
    </row>
    <row r="338" spans="1:16">
      <c r="A338" s="2">
        <v>46173</v>
      </c>
      <c r="B338" s="3">
        <f>Data_Entry!P428</f>
        <v>11040.0000000002</v>
      </c>
      <c r="C338" s="4">
        <f>Data_Entry!V428</f>
        <v>4.289</v>
      </c>
      <c r="D338" s="5">
        <f t="shared" si="65"/>
        <v>0.190792202405644</v>
      </c>
      <c r="E338" s="6">
        <v>0</v>
      </c>
      <c r="F338" s="6">
        <v>0</v>
      </c>
      <c r="G338" s="7">
        <f t="shared" si="55"/>
        <v>0</v>
      </c>
      <c r="H338" s="7">
        <f t="shared" si="63"/>
        <v>0</v>
      </c>
      <c r="I338" s="8">
        <v>2411</v>
      </c>
      <c r="J338" s="9"/>
      <c r="K338" s="8">
        <f t="shared" si="57"/>
        <v>28932</v>
      </c>
      <c r="L338" s="7">
        <f t="shared" si="64"/>
        <v>0</v>
      </c>
      <c r="M338" s="10">
        <f t="shared" si="59"/>
        <v>1</v>
      </c>
      <c r="N338" s="11">
        <f t="shared" si="60"/>
        <v>0.190792202405644</v>
      </c>
      <c r="O338" s="8">
        <f t="shared" si="61"/>
        <v>11040.0000000002</v>
      </c>
      <c r="P338" s="12">
        <f t="shared" si="62"/>
        <v>0</v>
      </c>
    </row>
    <row r="339" spans="1:16">
      <c r="A339" s="2">
        <v>46174</v>
      </c>
      <c r="B339" s="3">
        <f>Data_Entry!P429</f>
        <v>10500</v>
      </c>
      <c r="C339" s="4">
        <f>Data_Entry!V429</f>
        <v>4.68</v>
      </c>
      <c r="D339" s="5">
        <f t="shared" si="65"/>
        <v>0.181459975114061</v>
      </c>
      <c r="E339" s="6">
        <v>0</v>
      </c>
      <c r="F339" s="6">
        <v>0</v>
      </c>
      <c r="G339" s="7">
        <f t="shared" si="55"/>
        <v>0</v>
      </c>
      <c r="H339" s="7">
        <f t="shared" si="63"/>
        <v>0</v>
      </c>
      <c r="I339" s="8">
        <v>2411</v>
      </c>
      <c r="J339" s="9"/>
      <c r="K339" s="8">
        <f t="shared" si="57"/>
        <v>28932</v>
      </c>
      <c r="L339" s="7">
        <f t="shared" si="64"/>
        <v>0</v>
      </c>
      <c r="M339" s="10">
        <f t="shared" si="59"/>
        <v>1</v>
      </c>
      <c r="N339" s="11">
        <f t="shared" si="60"/>
        <v>0.181459975114061</v>
      </c>
      <c r="O339" s="8">
        <f t="shared" si="61"/>
        <v>10500</v>
      </c>
      <c r="P339" s="12">
        <f t="shared" si="62"/>
        <v>0</v>
      </c>
    </row>
    <row r="340" spans="1:16">
      <c r="A340" s="2">
        <v>46175</v>
      </c>
      <c r="B340" s="3">
        <f>Data_Entry!P430</f>
        <v>10139.9999999996</v>
      </c>
      <c r="C340" s="4">
        <f>Data_Entry!V430</f>
        <v>4.16</v>
      </c>
      <c r="D340" s="5">
        <f t="shared" si="65"/>
        <v>0.175238490253001</v>
      </c>
      <c r="E340" s="6">
        <v>0</v>
      </c>
      <c r="F340" s="6">
        <v>0</v>
      </c>
      <c r="G340" s="7">
        <f t="shared" si="55"/>
        <v>0</v>
      </c>
      <c r="H340" s="7">
        <f t="shared" si="63"/>
        <v>0</v>
      </c>
      <c r="I340" s="8">
        <v>2411</v>
      </c>
      <c r="J340" s="9"/>
      <c r="K340" s="8">
        <f t="shared" si="57"/>
        <v>28932</v>
      </c>
      <c r="L340" s="7">
        <f t="shared" si="64"/>
        <v>0</v>
      </c>
      <c r="M340" s="10">
        <f t="shared" si="59"/>
        <v>1</v>
      </c>
      <c r="N340" s="11">
        <f t="shared" si="60"/>
        <v>0.175238490253001</v>
      </c>
      <c r="O340" s="8">
        <f t="shared" si="61"/>
        <v>10139.9999999996</v>
      </c>
      <c r="P340" s="12">
        <f t="shared" si="62"/>
        <v>0</v>
      </c>
    </row>
    <row r="341" spans="1:16">
      <c r="A341" s="2">
        <v>46176</v>
      </c>
      <c r="B341" s="3">
        <f>Data_Entry!P431</f>
        <v>12750</v>
      </c>
      <c r="C341" s="4">
        <f>Data_Entry!V431</f>
        <v>5.76</v>
      </c>
      <c r="D341" s="5">
        <f t="shared" si="65"/>
        <v>0.220344255495645</v>
      </c>
      <c r="E341" s="6">
        <v>0</v>
      </c>
      <c r="F341" s="6">
        <v>0</v>
      </c>
      <c r="G341" s="7">
        <f t="shared" si="55"/>
        <v>0</v>
      </c>
      <c r="H341" s="7">
        <f t="shared" si="63"/>
        <v>0</v>
      </c>
      <c r="I341" s="8">
        <v>2411</v>
      </c>
      <c r="J341" s="9"/>
      <c r="K341" s="8">
        <f t="shared" si="57"/>
        <v>28932</v>
      </c>
      <c r="L341" s="7">
        <f t="shared" si="64"/>
        <v>0</v>
      </c>
      <c r="M341" s="10">
        <f t="shared" si="59"/>
        <v>1</v>
      </c>
      <c r="N341" s="11">
        <f t="shared" si="60"/>
        <v>0.220344255495645</v>
      </c>
      <c r="O341" s="8">
        <f t="shared" si="61"/>
        <v>12750</v>
      </c>
      <c r="P341" s="12">
        <f t="shared" si="62"/>
        <v>0</v>
      </c>
    </row>
    <row r="342" spans="1:16">
      <c r="A342" s="2">
        <v>46177</v>
      </c>
      <c r="B342" s="3">
        <f>Data_Entry!P432</f>
        <v>12450.0000000003</v>
      </c>
      <c r="C342" s="4">
        <f>Data_Entry!V432</f>
        <v>5.41</v>
      </c>
      <c r="D342" s="5">
        <f t="shared" si="65"/>
        <v>0.215159684778105</v>
      </c>
      <c r="E342" s="6">
        <v>0</v>
      </c>
      <c r="F342" s="6">
        <v>0</v>
      </c>
      <c r="G342" s="7">
        <f t="shared" si="55"/>
        <v>0</v>
      </c>
      <c r="H342" s="7">
        <f t="shared" si="63"/>
        <v>0</v>
      </c>
      <c r="I342" s="8">
        <v>2411</v>
      </c>
      <c r="J342" s="9"/>
      <c r="K342" s="8">
        <f t="shared" si="57"/>
        <v>28932</v>
      </c>
      <c r="L342" s="7">
        <f t="shared" si="64"/>
        <v>0</v>
      </c>
      <c r="M342" s="10">
        <f t="shared" si="59"/>
        <v>1</v>
      </c>
      <c r="N342" s="11">
        <f t="shared" si="60"/>
        <v>0.215159684778105</v>
      </c>
      <c r="O342" s="8">
        <f t="shared" si="61"/>
        <v>12450.0000000003</v>
      </c>
      <c r="P342" s="12">
        <f t="shared" si="62"/>
        <v>0</v>
      </c>
    </row>
    <row r="343" spans="1:16">
      <c r="A343" s="2">
        <v>46178</v>
      </c>
      <c r="B343" s="3">
        <f>Data_Entry!P433</f>
        <v>10410.0000000001</v>
      </c>
      <c r="C343" s="4">
        <f>Data_Entry!V433</f>
        <v>3.66</v>
      </c>
      <c r="D343" s="5">
        <f t="shared" si="65"/>
        <v>0.179904603898799</v>
      </c>
      <c r="E343" s="6">
        <v>0</v>
      </c>
      <c r="F343" s="6">
        <v>0</v>
      </c>
      <c r="G343" s="7">
        <f t="shared" si="55"/>
        <v>0</v>
      </c>
      <c r="H343" s="7">
        <f t="shared" si="63"/>
        <v>0</v>
      </c>
      <c r="I343" s="8">
        <v>2411</v>
      </c>
      <c r="J343" s="9"/>
      <c r="K343" s="8">
        <f t="shared" si="57"/>
        <v>28932</v>
      </c>
      <c r="L343" s="7">
        <f t="shared" si="64"/>
        <v>0</v>
      </c>
      <c r="M343" s="10">
        <f t="shared" si="59"/>
        <v>1</v>
      </c>
      <c r="N343" s="11">
        <f t="shared" si="60"/>
        <v>0.179904603898799</v>
      </c>
      <c r="O343" s="8">
        <f t="shared" si="61"/>
        <v>10410.0000000001</v>
      </c>
      <c r="P343" s="12">
        <f t="shared" si="62"/>
        <v>0</v>
      </c>
    </row>
    <row r="344" spans="1:16">
      <c r="A344" s="2">
        <v>46179</v>
      </c>
      <c r="B344" s="3">
        <f>Data_Entry!P434</f>
        <v>0</v>
      </c>
      <c r="C344" s="4">
        <f>Data_Entry!V434</f>
        <v>0</v>
      </c>
      <c r="D344" s="5">
        <f t="shared" si="65"/>
        <v>0</v>
      </c>
      <c r="E344" s="6">
        <v>0</v>
      </c>
      <c r="F344" s="6">
        <v>0</v>
      </c>
      <c r="G344" s="7">
        <f t="shared" si="55"/>
        <v>0</v>
      </c>
      <c r="H344" s="7">
        <f t="shared" si="63"/>
        <v>0</v>
      </c>
      <c r="I344" s="8">
        <v>2411</v>
      </c>
      <c r="J344" s="9"/>
      <c r="K344" s="8">
        <f t="shared" si="57"/>
        <v>28932</v>
      </c>
      <c r="L344" s="7">
        <f t="shared" si="64"/>
        <v>0</v>
      </c>
      <c r="M344" s="10">
        <f t="shared" si="59"/>
        <v>1</v>
      </c>
      <c r="N344" s="11">
        <f t="shared" si="60"/>
        <v>0</v>
      </c>
      <c r="O344" s="8">
        <f t="shared" si="61"/>
        <v>0</v>
      </c>
      <c r="P344" s="12">
        <f t="shared" si="62"/>
        <v>0</v>
      </c>
    </row>
    <row r="345" spans="1:16">
      <c r="A345" s="2">
        <v>46180</v>
      </c>
      <c r="B345" s="3">
        <f>Data_Entry!P435</f>
        <v>0</v>
      </c>
      <c r="C345" s="4">
        <f>Data_Entry!V435</f>
        <v>0</v>
      </c>
      <c r="D345" s="5">
        <f t="shared" si="65"/>
        <v>0</v>
      </c>
      <c r="E345" s="6">
        <v>0</v>
      </c>
      <c r="F345" s="6">
        <v>0</v>
      </c>
      <c r="G345" s="7">
        <f t="shared" si="55"/>
        <v>0</v>
      </c>
      <c r="H345" s="7">
        <f t="shared" si="63"/>
        <v>0</v>
      </c>
      <c r="I345" s="8">
        <v>2411</v>
      </c>
      <c r="J345" s="9"/>
      <c r="K345" s="8">
        <f t="shared" si="57"/>
        <v>28932</v>
      </c>
      <c r="L345" s="7">
        <f t="shared" si="64"/>
        <v>0</v>
      </c>
      <c r="M345" s="10">
        <f t="shared" si="59"/>
        <v>1</v>
      </c>
      <c r="N345" s="11">
        <f t="shared" si="60"/>
        <v>0</v>
      </c>
      <c r="O345" s="8">
        <f t="shared" si="61"/>
        <v>0</v>
      </c>
      <c r="P345" s="12">
        <f t="shared" si="62"/>
        <v>0</v>
      </c>
    </row>
    <row r="346" spans="1:16">
      <c r="A346" s="2">
        <v>46181</v>
      </c>
      <c r="B346" s="3">
        <f>Data_Entry!P436</f>
        <v>0</v>
      </c>
      <c r="C346" s="4">
        <f>Data_Entry!V436</f>
        <v>0</v>
      </c>
      <c r="D346" s="5">
        <f t="shared" si="65"/>
        <v>0</v>
      </c>
      <c r="E346" s="6">
        <v>0</v>
      </c>
      <c r="F346" s="6">
        <v>0</v>
      </c>
      <c r="G346" s="7">
        <f t="shared" si="55"/>
        <v>0</v>
      </c>
      <c r="H346" s="7">
        <f t="shared" si="63"/>
        <v>0</v>
      </c>
      <c r="I346" s="8">
        <v>2411</v>
      </c>
      <c r="J346" s="9"/>
      <c r="K346" s="8">
        <f t="shared" si="57"/>
        <v>28932</v>
      </c>
      <c r="L346" s="7">
        <f t="shared" si="64"/>
        <v>0</v>
      </c>
      <c r="M346" s="10">
        <f t="shared" si="59"/>
        <v>1</v>
      </c>
      <c r="N346" s="11">
        <f t="shared" si="60"/>
        <v>0</v>
      </c>
      <c r="O346" s="8">
        <f t="shared" si="61"/>
        <v>0</v>
      </c>
      <c r="P346" s="12">
        <f t="shared" si="62"/>
        <v>0</v>
      </c>
    </row>
    <row r="347" spans="1:16">
      <c r="A347" s="2">
        <v>46182</v>
      </c>
      <c r="B347" s="3">
        <f>Data_Entry!P437</f>
        <v>0</v>
      </c>
      <c r="C347" s="4">
        <f>Data_Entry!V437</f>
        <v>0</v>
      </c>
      <c r="D347" s="5">
        <f t="shared" si="65"/>
        <v>0</v>
      </c>
      <c r="E347" s="6">
        <v>0</v>
      </c>
      <c r="F347" s="6">
        <v>0</v>
      </c>
      <c r="G347" s="7">
        <f t="shared" si="55"/>
        <v>0</v>
      </c>
      <c r="H347" s="7">
        <f t="shared" si="63"/>
        <v>0</v>
      </c>
      <c r="I347" s="8">
        <v>2411</v>
      </c>
      <c r="J347" s="9"/>
      <c r="K347" s="8">
        <f t="shared" si="57"/>
        <v>28932</v>
      </c>
      <c r="L347" s="7">
        <f t="shared" si="64"/>
        <v>0</v>
      </c>
      <c r="M347" s="10">
        <f t="shared" si="59"/>
        <v>1</v>
      </c>
      <c r="N347" s="11">
        <f t="shared" si="60"/>
        <v>0</v>
      </c>
      <c r="O347" s="8">
        <f t="shared" si="61"/>
        <v>0</v>
      </c>
      <c r="P347" s="12">
        <f t="shared" si="62"/>
        <v>0</v>
      </c>
    </row>
    <row r="348" spans="1:16">
      <c r="A348" s="2">
        <v>46183</v>
      </c>
      <c r="B348" s="3">
        <f>Data_Entry!P438</f>
        <v>0</v>
      </c>
      <c r="C348" s="4">
        <f>Data_Entry!V438</f>
        <v>0</v>
      </c>
      <c r="D348" s="5">
        <f t="shared" si="65"/>
        <v>0</v>
      </c>
      <c r="E348" s="6">
        <v>0</v>
      </c>
      <c r="F348" s="6">
        <v>0</v>
      </c>
      <c r="G348" s="7">
        <f t="shared" si="55"/>
        <v>0</v>
      </c>
      <c r="H348" s="7">
        <f t="shared" si="63"/>
        <v>0</v>
      </c>
      <c r="I348" s="8">
        <v>2411</v>
      </c>
      <c r="J348" s="9"/>
      <c r="K348" s="8">
        <f t="shared" si="57"/>
        <v>28932</v>
      </c>
      <c r="L348" s="7">
        <f t="shared" si="64"/>
        <v>0</v>
      </c>
      <c r="M348" s="10">
        <f t="shared" si="59"/>
        <v>1</v>
      </c>
      <c r="N348" s="11">
        <f t="shared" si="60"/>
        <v>0</v>
      </c>
      <c r="O348" s="8">
        <f t="shared" si="61"/>
        <v>0</v>
      </c>
      <c r="P348" s="12">
        <f t="shared" si="62"/>
        <v>0</v>
      </c>
    </row>
    <row r="349" spans="1:16">
      <c r="A349" s="2">
        <v>46184</v>
      </c>
      <c r="B349" s="3">
        <f>Data_Entry!P439</f>
        <v>0</v>
      </c>
      <c r="C349" s="4">
        <f>Data_Entry!V439</f>
        <v>0</v>
      </c>
      <c r="D349" s="5">
        <f t="shared" si="65"/>
        <v>0</v>
      </c>
      <c r="E349" s="6">
        <v>0</v>
      </c>
      <c r="F349" s="6">
        <v>0</v>
      </c>
      <c r="G349" s="7">
        <f t="shared" si="55"/>
        <v>0</v>
      </c>
      <c r="H349" s="7">
        <f t="shared" si="63"/>
        <v>0</v>
      </c>
      <c r="I349" s="8">
        <v>2411</v>
      </c>
      <c r="J349" s="9"/>
      <c r="K349" s="8">
        <f t="shared" si="57"/>
        <v>28932</v>
      </c>
      <c r="L349" s="7">
        <f t="shared" si="64"/>
        <v>0</v>
      </c>
      <c r="M349" s="10">
        <f t="shared" si="59"/>
        <v>1</v>
      </c>
      <c r="N349" s="11">
        <f t="shared" si="60"/>
        <v>0</v>
      </c>
      <c r="O349" s="8">
        <f t="shared" si="61"/>
        <v>0</v>
      </c>
      <c r="P349" s="12">
        <f t="shared" si="62"/>
        <v>0</v>
      </c>
    </row>
    <row r="350" spans="1:16">
      <c r="A350" s="2">
        <v>46185</v>
      </c>
      <c r="B350" s="3">
        <f>Data_Entry!P440</f>
        <v>0</v>
      </c>
      <c r="C350" s="4">
        <f>Data_Entry!V440</f>
        <v>0</v>
      </c>
      <c r="D350" s="5">
        <f t="shared" si="65"/>
        <v>0</v>
      </c>
      <c r="E350" s="6">
        <v>0</v>
      </c>
      <c r="F350" s="6">
        <v>0</v>
      </c>
      <c r="G350" s="7">
        <f t="shared" si="55"/>
        <v>0</v>
      </c>
      <c r="H350" s="7">
        <f t="shared" si="63"/>
        <v>0</v>
      </c>
      <c r="I350" s="8">
        <v>2411</v>
      </c>
      <c r="J350" s="9"/>
      <c r="K350" s="8">
        <f t="shared" si="57"/>
        <v>28932</v>
      </c>
      <c r="L350" s="7">
        <f t="shared" si="64"/>
        <v>0</v>
      </c>
      <c r="M350" s="10">
        <f t="shared" si="59"/>
        <v>1</v>
      </c>
      <c r="N350" s="11">
        <f t="shared" si="60"/>
        <v>0</v>
      </c>
      <c r="O350" s="8">
        <f t="shared" si="61"/>
        <v>0</v>
      </c>
      <c r="P350" s="12">
        <f t="shared" si="62"/>
        <v>0</v>
      </c>
    </row>
    <row r="351" spans="1:16">
      <c r="A351" s="2">
        <v>46186</v>
      </c>
      <c r="B351" s="3">
        <f>Data_Entry!P441</f>
        <v>0</v>
      </c>
      <c r="C351" s="4">
        <f>Data_Entry!V441</f>
        <v>0</v>
      </c>
      <c r="D351" s="5">
        <f t="shared" si="65"/>
        <v>0</v>
      </c>
      <c r="E351" s="6">
        <v>0</v>
      </c>
      <c r="F351" s="6">
        <v>0</v>
      </c>
      <c r="G351" s="7">
        <f t="shared" si="55"/>
        <v>0</v>
      </c>
      <c r="H351" s="7">
        <f t="shared" si="63"/>
        <v>0</v>
      </c>
      <c r="I351" s="8">
        <v>2411</v>
      </c>
      <c r="J351" s="9"/>
      <c r="K351" s="8">
        <f t="shared" si="57"/>
        <v>28932</v>
      </c>
      <c r="L351" s="7">
        <f t="shared" si="64"/>
        <v>0</v>
      </c>
      <c r="M351" s="10">
        <f t="shared" si="59"/>
        <v>1</v>
      </c>
      <c r="N351" s="11">
        <f t="shared" si="60"/>
        <v>0</v>
      </c>
      <c r="O351" s="8">
        <f t="shared" si="61"/>
        <v>0</v>
      </c>
      <c r="P351" s="12">
        <f t="shared" si="62"/>
        <v>0</v>
      </c>
    </row>
    <row r="352" spans="1:16">
      <c r="A352" s="2">
        <v>46187</v>
      </c>
      <c r="B352" s="3">
        <f>Data_Entry!P442</f>
        <v>0</v>
      </c>
      <c r="C352" s="4">
        <f>Data_Entry!V442</f>
        <v>0</v>
      </c>
      <c r="D352" s="5">
        <f t="shared" ref="D352:D383" si="66">B352/(24*I352)</f>
        <v>0</v>
      </c>
      <c r="E352" s="6">
        <v>0</v>
      </c>
      <c r="F352" s="6">
        <v>0</v>
      </c>
      <c r="G352" s="7">
        <f t="shared" si="55"/>
        <v>0</v>
      </c>
      <c r="H352" s="7">
        <f t="shared" ref="H352:H383" si="67">G352/60</f>
        <v>0</v>
      </c>
      <c r="I352" s="8">
        <v>2411</v>
      </c>
      <c r="J352" s="9"/>
      <c r="K352" s="8">
        <f t="shared" si="57"/>
        <v>28932</v>
      </c>
      <c r="L352" s="7">
        <f t="shared" ref="L352:L383" si="68">J352*H352</f>
        <v>0</v>
      </c>
      <c r="M352" s="10">
        <f t="shared" si="59"/>
        <v>1</v>
      </c>
      <c r="N352" s="11">
        <f t="shared" si="60"/>
        <v>0</v>
      </c>
      <c r="O352" s="8">
        <f t="shared" si="61"/>
        <v>0</v>
      </c>
      <c r="P352" s="12">
        <f t="shared" si="62"/>
        <v>0</v>
      </c>
    </row>
    <row r="353" spans="1:16">
      <c r="A353" s="2">
        <v>46188</v>
      </c>
      <c r="B353" s="3">
        <f>Data_Entry!P443</f>
        <v>0</v>
      </c>
      <c r="C353" s="4">
        <f>Data_Entry!V443</f>
        <v>0</v>
      </c>
      <c r="D353" s="5">
        <f t="shared" si="66"/>
        <v>0</v>
      </c>
      <c r="E353" s="6">
        <v>0</v>
      </c>
      <c r="F353" s="6">
        <v>0</v>
      </c>
      <c r="G353" s="7">
        <f t="shared" si="55"/>
        <v>0</v>
      </c>
      <c r="H353" s="7">
        <f t="shared" si="67"/>
        <v>0</v>
      </c>
      <c r="I353" s="8">
        <v>2411</v>
      </c>
      <c r="J353" s="9"/>
      <c r="K353" s="8">
        <f t="shared" si="57"/>
        <v>28932</v>
      </c>
      <c r="L353" s="7">
        <f t="shared" si="68"/>
        <v>0</v>
      </c>
      <c r="M353" s="10">
        <f t="shared" si="59"/>
        <v>1</v>
      </c>
      <c r="N353" s="11">
        <f t="shared" si="60"/>
        <v>0</v>
      </c>
      <c r="O353" s="8">
        <f t="shared" si="61"/>
        <v>0</v>
      </c>
      <c r="P353" s="12">
        <f t="shared" si="62"/>
        <v>0</v>
      </c>
    </row>
    <row r="354" spans="1:16">
      <c r="A354" s="2">
        <v>46189</v>
      </c>
      <c r="B354" s="3">
        <f>Data_Entry!P444</f>
        <v>0</v>
      </c>
      <c r="C354" s="4">
        <f>Data_Entry!V444</f>
        <v>0</v>
      </c>
      <c r="D354" s="5">
        <f t="shared" si="66"/>
        <v>0</v>
      </c>
      <c r="E354" s="6">
        <v>0</v>
      </c>
      <c r="F354" s="6">
        <v>0</v>
      </c>
      <c r="G354" s="7">
        <f t="shared" si="55"/>
        <v>0</v>
      </c>
      <c r="H354" s="7">
        <f t="shared" si="67"/>
        <v>0</v>
      </c>
      <c r="I354" s="8">
        <v>2411</v>
      </c>
      <c r="J354" s="9"/>
      <c r="K354" s="8">
        <f t="shared" si="57"/>
        <v>28932</v>
      </c>
      <c r="L354" s="7">
        <f t="shared" si="68"/>
        <v>0</v>
      </c>
      <c r="M354" s="10">
        <f t="shared" si="59"/>
        <v>1</v>
      </c>
      <c r="N354" s="11">
        <f t="shared" si="60"/>
        <v>0</v>
      </c>
      <c r="O354" s="8">
        <f t="shared" si="61"/>
        <v>0</v>
      </c>
      <c r="P354" s="12">
        <f t="shared" si="62"/>
        <v>0</v>
      </c>
    </row>
    <row r="355" spans="1:16">
      <c r="A355" s="2">
        <v>46190</v>
      </c>
      <c r="B355" s="3">
        <f>Data_Entry!P445</f>
        <v>0</v>
      </c>
      <c r="C355" s="4">
        <f>Data_Entry!V445</f>
        <v>0</v>
      </c>
      <c r="D355" s="5">
        <f t="shared" si="66"/>
        <v>0</v>
      </c>
      <c r="E355" s="6">
        <v>0</v>
      </c>
      <c r="F355" s="6">
        <v>0</v>
      </c>
      <c r="G355" s="7">
        <f t="shared" ref="G355:G418" si="69">(F355-E355)*24*60</f>
        <v>0</v>
      </c>
      <c r="H355" s="7">
        <f t="shared" si="67"/>
        <v>0</v>
      </c>
      <c r="I355" s="8">
        <v>2411</v>
      </c>
      <c r="J355" s="9"/>
      <c r="K355" s="8">
        <f t="shared" ref="K355:K418" si="70">I355*12</f>
        <v>28932</v>
      </c>
      <c r="L355" s="7">
        <f t="shared" si="68"/>
        <v>0</v>
      </c>
      <c r="M355" s="10">
        <f t="shared" ref="M355:M418" si="71">(K355-L355)/K355</f>
        <v>1</v>
      </c>
      <c r="N355" s="11">
        <f t="shared" ref="N355:N418" si="72">D355/M355</f>
        <v>0</v>
      </c>
      <c r="O355" s="8">
        <f t="shared" ref="O355:O418" si="73">N355*I355*24</f>
        <v>0</v>
      </c>
      <c r="P355" s="12">
        <f t="shared" ref="P355:P418" si="74">O355-B355</f>
        <v>0</v>
      </c>
    </row>
    <row r="356" spans="1:16">
      <c r="A356" s="2">
        <v>46191</v>
      </c>
      <c r="B356" s="3">
        <f>Data_Entry!P446</f>
        <v>0</v>
      </c>
      <c r="C356" s="4">
        <f>Data_Entry!V446</f>
        <v>0</v>
      </c>
      <c r="D356" s="5">
        <f t="shared" si="66"/>
        <v>0</v>
      </c>
      <c r="E356" s="6">
        <v>0</v>
      </c>
      <c r="F356" s="6">
        <v>0</v>
      </c>
      <c r="G356" s="7">
        <f t="shared" si="69"/>
        <v>0</v>
      </c>
      <c r="H356" s="7">
        <f t="shared" si="67"/>
        <v>0</v>
      </c>
      <c r="I356" s="8">
        <v>2411</v>
      </c>
      <c r="J356" s="9"/>
      <c r="K356" s="8">
        <f t="shared" si="70"/>
        <v>28932</v>
      </c>
      <c r="L356" s="7">
        <f t="shared" si="68"/>
        <v>0</v>
      </c>
      <c r="M356" s="10">
        <f t="shared" si="71"/>
        <v>1</v>
      </c>
      <c r="N356" s="11">
        <f t="shared" si="72"/>
        <v>0</v>
      </c>
      <c r="O356" s="8">
        <f t="shared" si="73"/>
        <v>0</v>
      </c>
      <c r="P356" s="12">
        <f t="shared" si="74"/>
        <v>0</v>
      </c>
    </row>
    <row r="357" spans="1:16">
      <c r="A357" s="2">
        <v>46192</v>
      </c>
      <c r="B357" s="3">
        <f>Data_Entry!P447</f>
        <v>0</v>
      </c>
      <c r="C357" s="4">
        <f>Data_Entry!V447</f>
        <v>0</v>
      </c>
      <c r="D357" s="5">
        <f t="shared" si="66"/>
        <v>0</v>
      </c>
      <c r="E357" s="6">
        <v>0</v>
      </c>
      <c r="F357" s="6">
        <v>0</v>
      </c>
      <c r="G357" s="7">
        <f t="shared" si="69"/>
        <v>0</v>
      </c>
      <c r="H357" s="7">
        <f t="shared" si="67"/>
        <v>0</v>
      </c>
      <c r="I357" s="8">
        <v>2411</v>
      </c>
      <c r="J357" s="9"/>
      <c r="K357" s="8">
        <f t="shared" si="70"/>
        <v>28932</v>
      </c>
      <c r="L357" s="7">
        <f t="shared" si="68"/>
        <v>0</v>
      </c>
      <c r="M357" s="10">
        <f t="shared" si="71"/>
        <v>1</v>
      </c>
      <c r="N357" s="11">
        <f t="shared" si="72"/>
        <v>0</v>
      </c>
      <c r="O357" s="8">
        <f t="shared" si="73"/>
        <v>0</v>
      </c>
      <c r="P357" s="12">
        <f t="shared" si="74"/>
        <v>0</v>
      </c>
    </row>
    <row r="358" spans="1:16">
      <c r="A358" s="2">
        <v>46193</v>
      </c>
      <c r="B358" s="3">
        <f>Data_Entry!P448</f>
        <v>0</v>
      </c>
      <c r="C358" s="4">
        <f>Data_Entry!V448</f>
        <v>0</v>
      </c>
      <c r="D358" s="5">
        <f t="shared" si="66"/>
        <v>0</v>
      </c>
      <c r="E358" s="6">
        <v>0</v>
      </c>
      <c r="F358" s="6">
        <v>0</v>
      </c>
      <c r="G358" s="7">
        <f t="shared" si="69"/>
        <v>0</v>
      </c>
      <c r="H358" s="7">
        <f t="shared" si="67"/>
        <v>0</v>
      </c>
      <c r="I358" s="8">
        <v>2411</v>
      </c>
      <c r="J358" s="9"/>
      <c r="K358" s="8">
        <f t="shared" si="70"/>
        <v>28932</v>
      </c>
      <c r="L358" s="7">
        <f t="shared" si="68"/>
        <v>0</v>
      </c>
      <c r="M358" s="10">
        <f t="shared" si="71"/>
        <v>1</v>
      </c>
      <c r="N358" s="11">
        <f t="shared" si="72"/>
        <v>0</v>
      </c>
      <c r="O358" s="8">
        <f t="shared" si="73"/>
        <v>0</v>
      </c>
      <c r="P358" s="12">
        <f t="shared" si="74"/>
        <v>0</v>
      </c>
    </row>
    <row r="359" spans="1:16">
      <c r="A359" s="2">
        <v>46194</v>
      </c>
      <c r="B359" s="3">
        <f>Data_Entry!P449</f>
        <v>0</v>
      </c>
      <c r="C359" s="4">
        <f>Data_Entry!V449</f>
        <v>0</v>
      </c>
      <c r="D359" s="5">
        <f t="shared" si="66"/>
        <v>0</v>
      </c>
      <c r="E359" s="6">
        <v>0</v>
      </c>
      <c r="F359" s="6">
        <v>0</v>
      </c>
      <c r="G359" s="7">
        <f t="shared" si="69"/>
        <v>0</v>
      </c>
      <c r="H359" s="7">
        <f t="shared" si="67"/>
        <v>0</v>
      </c>
      <c r="I359" s="8">
        <v>2411</v>
      </c>
      <c r="J359" s="9"/>
      <c r="K359" s="8">
        <f t="shared" si="70"/>
        <v>28932</v>
      </c>
      <c r="L359" s="7">
        <f t="shared" si="68"/>
        <v>0</v>
      </c>
      <c r="M359" s="10">
        <f t="shared" si="71"/>
        <v>1</v>
      </c>
      <c r="N359" s="11">
        <f t="shared" si="72"/>
        <v>0</v>
      </c>
      <c r="O359" s="8">
        <f t="shared" si="73"/>
        <v>0</v>
      </c>
      <c r="P359" s="12">
        <f t="shared" si="74"/>
        <v>0</v>
      </c>
    </row>
    <row r="360" spans="1:16">
      <c r="A360" s="2">
        <v>46195</v>
      </c>
      <c r="B360" s="3">
        <f>Data_Entry!P450</f>
        <v>0</v>
      </c>
      <c r="C360" s="4">
        <f>Data_Entry!V450</f>
        <v>0</v>
      </c>
      <c r="D360" s="5">
        <f t="shared" si="66"/>
        <v>0</v>
      </c>
      <c r="E360" s="6">
        <v>0</v>
      </c>
      <c r="F360" s="6">
        <v>0</v>
      </c>
      <c r="G360" s="7">
        <f t="shared" si="69"/>
        <v>0</v>
      </c>
      <c r="H360" s="7">
        <f t="shared" si="67"/>
        <v>0</v>
      </c>
      <c r="I360" s="8">
        <v>2411</v>
      </c>
      <c r="J360" s="9"/>
      <c r="K360" s="8">
        <f t="shared" si="70"/>
        <v>28932</v>
      </c>
      <c r="L360" s="7">
        <f t="shared" si="68"/>
        <v>0</v>
      </c>
      <c r="M360" s="10">
        <f t="shared" si="71"/>
        <v>1</v>
      </c>
      <c r="N360" s="11">
        <f t="shared" si="72"/>
        <v>0</v>
      </c>
      <c r="O360" s="8">
        <f t="shared" si="73"/>
        <v>0</v>
      </c>
      <c r="P360" s="12">
        <f t="shared" si="74"/>
        <v>0</v>
      </c>
    </row>
    <row r="361" spans="1:16">
      <c r="A361" s="2">
        <v>46196</v>
      </c>
      <c r="B361" s="3">
        <f>Data_Entry!P451</f>
        <v>0</v>
      </c>
      <c r="C361" s="4">
        <f>Data_Entry!V451</f>
        <v>0</v>
      </c>
      <c r="D361" s="5">
        <f t="shared" si="66"/>
        <v>0</v>
      </c>
      <c r="E361" s="6">
        <v>0</v>
      </c>
      <c r="F361" s="6">
        <v>0</v>
      </c>
      <c r="G361" s="7">
        <f t="shared" si="69"/>
        <v>0</v>
      </c>
      <c r="H361" s="7">
        <f t="shared" si="67"/>
        <v>0</v>
      </c>
      <c r="I361" s="8">
        <v>2411</v>
      </c>
      <c r="J361" s="9"/>
      <c r="K361" s="8">
        <f t="shared" si="70"/>
        <v>28932</v>
      </c>
      <c r="L361" s="7">
        <f t="shared" si="68"/>
        <v>0</v>
      </c>
      <c r="M361" s="10">
        <f t="shared" si="71"/>
        <v>1</v>
      </c>
      <c r="N361" s="11">
        <f t="shared" si="72"/>
        <v>0</v>
      </c>
      <c r="O361" s="8">
        <f t="shared" si="73"/>
        <v>0</v>
      </c>
      <c r="P361" s="12">
        <f t="shared" si="74"/>
        <v>0</v>
      </c>
    </row>
    <row r="362" spans="1:16">
      <c r="A362" s="2">
        <v>46197</v>
      </c>
      <c r="B362" s="3">
        <f>Data_Entry!P452</f>
        <v>0</v>
      </c>
      <c r="C362" s="4">
        <f>Data_Entry!V452</f>
        <v>0</v>
      </c>
      <c r="D362" s="5">
        <f t="shared" si="66"/>
        <v>0</v>
      </c>
      <c r="E362" s="6">
        <v>0</v>
      </c>
      <c r="F362" s="6">
        <v>0</v>
      </c>
      <c r="G362" s="7">
        <f t="shared" si="69"/>
        <v>0</v>
      </c>
      <c r="H362" s="7">
        <f t="shared" si="67"/>
        <v>0</v>
      </c>
      <c r="I362" s="8">
        <v>2411</v>
      </c>
      <c r="J362" s="9"/>
      <c r="K362" s="8">
        <f t="shared" si="70"/>
        <v>28932</v>
      </c>
      <c r="L362" s="7">
        <f t="shared" si="68"/>
        <v>0</v>
      </c>
      <c r="M362" s="10">
        <f t="shared" si="71"/>
        <v>1</v>
      </c>
      <c r="N362" s="11">
        <f t="shared" si="72"/>
        <v>0</v>
      </c>
      <c r="O362" s="8">
        <f t="shared" si="73"/>
        <v>0</v>
      </c>
      <c r="P362" s="12">
        <f t="shared" si="74"/>
        <v>0</v>
      </c>
    </row>
    <row r="363" spans="1:16">
      <c r="A363" s="2">
        <v>46198</v>
      </c>
      <c r="B363" s="3">
        <f>Data_Entry!P453</f>
        <v>0</v>
      </c>
      <c r="C363" s="4">
        <f>Data_Entry!V453</f>
        <v>0</v>
      </c>
      <c r="D363" s="5">
        <f t="shared" si="66"/>
        <v>0</v>
      </c>
      <c r="E363" s="6">
        <v>0</v>
      </c>
      <c r="F363" s="6">
        <v>0</v>
      </c>
      <c r="G363" s="7">
        <f t="shared" si="69"/>
        <v>0</v>
      </c>
      <c r="H363" s="7">
        <f t="shared" si="67"/>
        <v>0</v>
      </c>
      <c r="I363" s="8">
        <v>2411</v>
      </c>
      <c r="J363" s="9"/>
      <c r="K363" s="8">
        <f t="shared" si="70"/>
        <v>28932</v>
      </c>
      <c r="L363" s="7">
        <f t="shared" si="68"/>
        <v>0</v>
      </c>
      <c r="M363" s="10">
        <f t="shared" si="71"/>
        <v>1</v>
      </c>
      <c r="N363" s="11">
        <f t="shared" si="72"/>
        <v>0</v>
      </c>
      <c r="O363" s="8">
        <f t="shared" si="73"/>
        <v>0</v>
      </c>
      <c r="P363" s="12">
        <f t="shared" si="74"/>
        <v>0</v>
      </c>
    </row>
    <row r="364" spans="1:16">
      <c r="A364" s="2">
        <v>46199</v>
      </c>
      <c r="B364" s="3">
        <f>Data_Entry!P454</f>
        <v>0</v>
      </c>
      <c r="C364" s="4">
        <f>Data_Entry!V454</f>
        <v>0</v>
      </c>
      <c r="D364" s="5">
        <f t="shared" si="66"/>
        <v>0</v>
      </c>
      <c r="E364" s="6">
        <v>0</v>
      </c>
      <c r="F364" s="6">
        <v>0</v>
      </c>
      <c r="G364" s="7">
        <f t="shared" si="69"/>
        <v>0</v>
      </c>
      <c r="H364" s="7">
        <f t="shared" si="67"/>
        <v>0</v>
      </c>
      <c r="I364" s="8">
        <v>2411</v>
      </c>
      <c r="J364" s="9"/>
      <c r="K364" s="8">
        <f t="shared" si="70"/>
        <v>28932</v>
      </c>
      <c r="L364" s="7">
        <f t="shared" si="68"/>
        <v>0</v>
      </c>
      <c r="M364" s="10">
        <f t="shared" si="71"/>
        <v>1</v>
      </c>
      <c r="N364" s="11">
        <f t="shared" si="72"/>
        <v>0</v>
      </c>
      <c r="O364" s="8">
        <f t="shared" si="73"/>
        <v>0</v>
      </c>
      <c r="P364" s="12">
        <f t="shared" si="74"/>
        <v>0</v>
      </c>
    </row>
    <row r="365" spans="1:16">
      <c r="A365" s="2">
        <v>46200</v>
      </c>
      <c r="B365" s="3">
        <f>Data_Entry!P455</f>
        <v>0</v>
      </c>
      <c r="C365" s="4">
        <f>Data_Entry!V455</f>
        <v>0</v>
      </c>
      <c r="D365" s="5">
        <f t="shared" si="66"/>
        <v>0</v>
      </c>
      <c r="E365" s="6">
        <v>0</v>
      </c>
      <c r="F365" s="6">
        <v>0</v>
      </c>
      <c r="G365" s="7">
        <f t="shared" si="69"/>
        <v>0</v>
      </c>
      <c r="H365" s="7">
        <f t="shared" si="67"/>
        <v>0</v>
      </c>
      <c r="I365" s="8">
        <v>2411</v>
      </c>
      <c r="J365" s="9"/>
      <c r="K365" s="8">
        <f t="shared" si="70"/>
        <v>28932</v>
      </c>
      <c r="L365" s="7">
        <f t="shared" si="68"/>
        <v>0</v>
      </c>
      <c r="M365" s="10">
        <f t="shared" si="71"/>
        <v>1</v>
      </c>
      <c r="N365" s="11">
        <f t="shared" si="72"/>
        <v>0</v>
      </c>
      <c r="O365" s="8">
        <f t="shared" si="73"/>
        <v>0</v>
      </c>
      <c r="P365" s="12">
        <f t="shared" si="74"/>
        <v>0</v>
      </c>
    </row>
    <row r="366" spans="1:16">
      <c r="A366" s="2">
        <v>46201</v>
      </c>
      <c r="B366" s="3">
        <f>Data_Entry!P456</f>
        <v>0</v>
      </c>
      <c r="C366" s="4">
        <f>Data_Entry!V456</f>
        <v>0</v>
      </c>
      <c r="D366" s="5">
        <f t="shared" si="66"/>
        <v>0</v>
      </c>
      <c r="E366" s="6">
        <v>0</v>
      </c>
      <c r="F366" s="6">
        <v>0</v>
      </c>
      <c r="G366" s="7">
        <f t="shared" si="69"/>
        <v>0</v>
      </c>
      <c r="H366" s="7">
        <f t="shared" si="67"/>
        <v>0</v>
      </c>
      <c r="I366" s="8">
        <v>2411</v>
      </c>
      <c r="J366" s="9"/>
      <c r="K366" s="8">
        <f t="shared" si="70"/>
        <v>28932</v>
      </c>
      <c r="L366" s="7">
        <f t="shared" si="68"/>
        <v>0</v>
      </c>
      <c r="M366" s="10">
        <f t="shared" si="71"/>
        <v>1</v>
      </c>
      <c r="N366" s="11">
        <f t="shared" si="72"/>
        <v>0</v>
      </c>
      <c r="O366" s="8">
        <f t="shared" si="73"/>
        <v>0</v>
      </c>
      <c r="P366" s="12">
        <f t="shared" si="74"/>
        <v>0</v>
      </c>
    </row>
    <row r="367" spans="1:16">
      <c r="A367" s="2">
        <v>46202</v>
      </c>
      <c r="B367" s="3">
        <f>Data_Entry!P457</f>
        <v>0</v>
      </c>
      <c r="C367" s="4">
        <f>Data_Entry!V457</f>
        <v>0</v>
      </c>
      <c r="D367" s="5">
        <f t="shared" si="66"/>
        <v>0</v>
      </c>
      <c r="E367" s="6">
        <v>0</v>
      </c>
      <c r="F367" s="6">
        <v>0</v>
      </c>
      <c r="G367" s="7">
        <f t="shared" si="69"/>
        <v>0</v>
      </c>
      <c r="H367" s="7">
        <f t="shared" si="67"/>
        <v>0</v>
      </c>
      <c r="I367" s="8">
        <v>2411</v>
      </c>
      <c r="J367" s="9"/>
      <c r="K367" s="8">
        <f t="shared" si="70"/>
        <v>28932</v>
      </c>
      <c r="L367" s="7">
        <f t="shared" si="68"/>
        <v>0</v>
      </c>
      <c r="M367" s="10">
        <f t="shared" si="71"/>
        <v>1</v>
      </c>
      <c r="N367" s="11">
        <f t="shared" si="72"/>
        <v>0</v>
      </c>
      <c r="O367" s="8">
        <f t="shared" si="73"/>
        <v>0</v>
      </c>
      <c r="P367" s="12">
        <f t="shared" si="74"/>
        <v>0</v>
      </c>
    </row>
    <row r="368" spans="1:16">
      <c r="A368" s="2">
        <v>46203</v>
      </c>
      <c r="B368" s="3">
        <f>Data_Entry!P458</f>
        <v>0</v>
      </c>
      <c r="C368" s="4">
        <f>Data_Entry!V458</f>
        <v>0</v>
      </c>
      <c r="D368" s="5">
        <f t="shared" si="66"/>
        <v>0</v>
      </c>
      <c r="E368" s="6">
        <v>0</v>
      </c>
      <c r="F368" s="6">
        <v>0</v>
      </c>
      <c r="G368" s="7">
        <f t="shared" si="69"/>
        <v>0</v>
      </c>
      <c r="H368" s="7">
        <f t="shared" si="67"/>
        <v>0</v>
      </c>
      <c r="I368" s="8">
        <v>2411</v>
      </c>
      <c r="J368" s="9"/>
      <c r="K368" s="8">
        <f t="shared" si="70"/>
        <v>28932</v>
      </c>
      <c r="L368" s="7">
        <f t="shared" si="68"/>
        <v>0</v>
      </c>
      <c r="M368" s="10">
        <f t="shared" si="71"/>
        <v>1</v>
      </c>
      <c r="N368" s="11">
        <f t="shared" si="72"/>
        <v>0</v>
      </c>
      <c r="O368" s="8">
        <f t="shared" si="73"/>
        <v>0</v>
      </c>
      <c r="P368" s="12">
        <f t="shared" si="74"/>
        <v>0</v>
      </c>
    </row>
    <row r="369" spans="1:16">
      <c r="A369" s="2">
        <v>46204</v>
      </c>
      <c r="B369" s="3">
        <f>Data_Entry!P459</f>
        <v>0</v>
      </c>
      <c r="C369" s="4">
        <f>Data_Entry!V459</f>
        <v>0</v>
      </c>
      <c r="D369" s="5">
        <f t="shared" si="66"/>
        <v>0</v>
      </c>
      <c r="E369" s="6">
        <v>0</v>
      </c>
      <c r="F369" s="6">
        <v>0</v>
      </c>
      <c r="G369" s="7">
        <f t="shared" si="69"/>
        <v>0</v>
      </c>
      <c r="H369" s="7">
        <f t="shared" si="67"/>
        <v>0</v>
      </c>
      <c r="I369" s="8">
        <v>2411</v>
      </c>
      <c r="J369" s="9"/>
      <c r="K369" s="8">
        <f t="shared" si="70"/>
        <v>28932</v>
      </c>
      <c r="L369" s="7">
        <f t="shared" si="68"/>
        <v>0</v>
      </c>
      <c r="M369" s="10">
        <f t="shared" si="71"/>
        <v>1</v>
      </c>
      <c r="N369" s="11">
        <f t="shared" si="72"/>
        <v>0</v>
      </c>
      <c r="O369" s="8">
        <f t="shared" si="73"/>
        <v>0</v>
      </c>
      <c r="P369" s="12">
        <f t="shared" si="74"/>
        <v>0</v>
      </c>
    </row>
    <row r="370" spans="1:16">
      <c r="A370" s="2">
        <v>46205</v>
      </c>
      <c r="B370" s="3">
        <f>Data_Entry!P460</f>
        <v>0</v>
      </c>
      <c r="C370" s="4">
        <f>Data_Entry!V460</f>
        <v>0</v>
      </c>
      <c r="D370" s="5">
        <f t="shared" si="66"/>
        <v>0</v>
      </c>
      <c r="E370" s="6">
        <v>0</v>
      </c>
      <c r="F370" s="6">
        <v>0</v>
      </c>
      <c r="G370" s="7">
        <f t="shared" si="69"/>
        <v>0</v>
      </c>
      <c r="H370" s="7">
        <f t="shared" si="67"/>
        <v>0</v>
      </c>
      <c r="I370" s="8">
        <v>2411</v>
      </c>
      <c r="J370" s="9"/>
      <c r="K370" s="8">
        <f t="shared" si="70"/>
        <v>28932</v>
      </c>
      <c r="L370" s="7">
        <f t="shared" si="68"/>
        <v>0</v>
      </c>
      <c r="M370" s="10">
        <f t="shared" si="71"/>
        <v>1</v>
      </c>
      <c r="N370" s="11">
        <f t="shared" si="72"/>
        <v>0</v>
      </c>
      <c r="O370" s="8">
        <f t="shared" si="73"/>
        <v>0</v>
      </c>
      <c r="P370" s="12">
        <f t="shared" si="74"/>
        <v>0</v>
      </c>
    </row>
    <row r="371" spans="1:16">
      <c r="A371" s="2">
        <v>46206</v>
      </c>
      <c r="B371" s="3">
        <f>Data_Entry!P461</f>
        <v>0</v>
      </c>
      <c r="C371" s="4">
        <f>Data_Entry!V461</f>
        <v>0</v>
      </c>
      <c r="D371" s="5">
        <f t="shared" si="66"/>
        <v>0</v>
      </c>
      <c r="E371" s="6">
        <v>0</v>
      </c>
      <c r="F371" s="6">
        <v>0</v>
      </c>
      <c r="G371" s="7">
        <f t="shared" si="69"/>
        <v>0</v>
      </c>
      <c r="H371" s="7">
        <f t="shared" si="67"/>
        <v>0</v>
      </c>
      <c r="I371" s="8">
        <v>2411</v>
      </c>
      <c r="J371" s="9"/>
      <c r="K371" s="8">
        <f t="shared" si="70"/>
        <v>28932</v>
      </c>
      <c r="L371" s="7">
        <f t="shared" si="68"/>
        <v>0</v>
      </c>
      <c r="M371" s="10">
        <f t="shared" si="71"/>
        <v>1</v>
      </c>
      <c r="N371" s="11">
        <f t="shared" si="72"/>
        <v>0</v>
      </c>
      <c r="O371" s="8">
        <f t="shared" si="73"/>
        <v>0</v>
      </c>
      <c r="P371" s="12">
        <f t="shared" si="74"/>
        <v>0</v>
      </c>
    </row>
    <row r="372" spans="1:16">
      <c r="A372" s="2">
        <v>46207</v>
      </c>
      <c r="B372" s="3">
        <f>Data_Entry!P462</f>
        <v>0</v>
      </c>
      <c r="C372" s="4">
        <f>Data_Entry!V462</f>
        <v>0</v>
      </c>
      <c r="D372" s="5">
        <f t="shared" si="66"/>
        <v>0</v>
      </c>
      <c r="E372" s="6">
        <v>0</v>
      </c>
      <c r="F372" s="6">
        <v>0</v>
      </c>
      <c r="G372" s="7">
        <f t="shared" si="69"/>
        <v>0</v>
      </c>
      <c r="H372" s="7">
        <f t="shared" si="67"/>
        <v>0</v>
      </c>
      <c r="I372" s="8">
        <v>2411</v>
      </c>
      <c r="J372" s="9"/>
      <c r="K372" s="8">
        <f t="shared" si="70"/>
        <v>28932</v>
      </c>
      <c r="L372" s="7">
        <f t="shared" si="68"/>
        <v>0</v>
      </c>
      <c r="M372" s="10">
        <f t="shared" si="71"/>
        <v>1</v>
      </c>
      <c r="N372" s="11">
        <f t="shared" si="72"/>
        <v>0</v>
      </c>
      <c r="O372" s="8">
        <f t="shared" si="73"/>
        <v>0</v>
      </c>
      <c r="P372" s="12">
        <f t="shared" si="74"/>
        <v>0</v>
      </c>
    </row>
    <row r="373" spans="1:16">
      <c r="A373" s="2">
        <v>46208</v>
      </c>
      <c r="B373" s="3">
        <f>Data_Entry!P463</f>
        <v>0</v>
      </c>
      <c r="C373" s="4">
        <f>Data_Entry!V463</f>
        <v>0</v>
      </c>
      <c r="D373" s="5">
        <f t="shared" si="66"/>
        <v>0</v>
      </c>
      <c r="E373" s="6">
        <v>0</v>
      </c>
      <c r="F373" s="6">
        <v>0</v>
      </c>
      <c r="G373" s="7">
        <f t="shared" si="69"/>
        <v>0</v>
      </c>
      <c r="H373" s="7">
        <f t="shared" si="67"/>
        <v>0</v>
      </c>
      <c r="I373" s="8">
        <v>2411</v>
      </c>
      <c r="J373" s="9"/>
      <c r="K373" s="8">
        <f t="shared" si="70"/>
        <v>28932</v>
      </c>
      <c r="L373" s="7">
        <f t="shared" si="68"/>
        <v>0</v>
      </c>
      <c r="M373" s="10">
        <f t="shared" si="71"/>
        <v>1</v>
      </c>
      <c r="N373" s="11">
        <f t="shared" si="72"/>
        <v>0</v>
      </c>
      <c r="O373" s="8">
        <f t="shared" si="73"/>
        <v>0</v>
      </c>
      <c r="P373" s="12">
        <f t="shared" si="74"/>
        <v>0</v>
      </c>
    </row>
    <row r="374" spans="1:16">
      <c r="A374" s="2">
        <v>46209</v>
      </c>
      <c r="B374" s="3">
        <f>Data_Entry!P464</f>
        <v>0</v>
      </c>
      <c r="C374" s="4">
        <f>Data_Entry!V464</f>
        <v>0</v>
      </c>
      <c r="D374" s="5">
        <f t="shared" si="66"/>
        <v>0</v>
      </c>
      <c r="E374" s="6">
        <v>0</v>
      </c>
      <c r="F374" s="6">
        <v>0</v>
      </c>
      <c r="G374" s="7">
        <f t="shared" si="69"/>
        <v>0</v>
      </c>
      <c r="H374" s="7">
        <f t="shared" si="67"/>
        <v>0</v>
      </c>
      <c r="I374" s="8">
        <v>2411</v>
      </c>
      <c r="J374" s="9"/>
      <c r="K374" s="8">
        <f t="shared" si="70"/>
        <v>28932</v>
      </c>
      <c r="L374" s="7">
        <f t="shared" si="68"/>
        <v>0</v>
      </c>
      <c r="M374" s="10">
        <f t="shared" si="71"/>
        <v>1</v>
      </c>
      <c r="N374" s="11">
        <f t="shared" si="72"/>
        <v>0</v>
      </c>
      <c r="O374" s="8">
        <f t="shared" si="73"/>
        <v>0</v>
      </c>
      <c r="P374" s="12">
        <f t="shared" si="74"/>
        <v>0</v>
      </c>
    </row>
    <row r="375" spans="1:16">
      <c r="A375" s="2">
        <v>46210</v>
      </c>
      <c r="B375" s="3">
        <f>Data_Entry!P465</f>
        <v>0</v>
      </c>
      <c r="C375" s="4">
        <f>Data_Entry!V465</f>
        <v>0</v>
      </c>
      <c r="D375" s="5">
        <f t="shared" si="66"/>
        <v>0</v>
      </c>
      <c r="E375" s="6">
        <v>0</v>
      </c>
      <c r="F375" s="6">
        <v>0</v>
      </c>
      <c r="G375" s="7">
        <f t="shared" si="69"/>
        <v>0</v>
      </c>
      <c r="H375" s="7">
        <f t="shared" si="67"/>
        <v>0</v>
      </c>
      <c r="I375" s="8">
        <v>2411</v>
      </c>
      <c r="J375" s="9"/>
      <c r="K375" s="8">
        <f t="shared" si="70"/>
        <v>28932</v>
      </c>
      <c r="L375" s="7">
        <f t="shared" si="68"/>
        <v>0</v>
      </c>
      <c r="M375" s="10">
        <f t="shared" si="71"/>
        <v>1</v>
      </c>
      <c r="N375" s="11">
        <f t="shared" si="72"/>
        <v>0</v>
      </c>
      <c r="O375" s="8">
        <f t="shared" si="73"/>
        <v>0</v>
      </c>
      <c r="P375" s="12">
        <f t="shared" si="74"/>
        <v>0</v>
      </c>
    </row>
    <row r="376" spans="1:16">
      <c r="A376" s="2">
        <v>46211</v>
      </c>
      <c r="B376" s="3">
        <f>Data_Entry!P466</f>
        <v>0</v>
      </c>
      <c r="C376" s="4">
        <f>Data_Entry!V466</f>
        <v>0</v>
      </c>
      <c r="D376" s="5">
        <f t="shared" si="66"/>
        <v>0</v>
      </c>
      <c r="E376" s="6">
        <v>0</v>
      </c>
      <c r="F376" s="6">
        <v>0</v>
      </c>
      <c r="G376" s="7">
        <f t="shared" si="69"/>
        <v>0</v>
      </c>
      <c r="H376" s="7">
        <f t="shared" si="67"/>
        <v>0</v>
      </c>
      <c r="I376" s="8">
        <v>2411</v>
      </c>
      <c r="J376" s="9"/>
      <c r="K376" s="8">
        <f t="shared" si="70"/>
        <v>28932</v>
      </c>
      <c r="L376" s="7">
        <f t="shared" si="68"/>
        <v>0</v>
      </c>
      <c r="M376" s="10">
        <f t="shared" si="71"/>
        <v>1</v>
      </c>
      <c r="N376" s="11">
        <f t="shared" si="72"/>
        <v>0</v>
      </c>
      <c r="O376" s="8">
        <f t="shared" si="73"/>
        <v>0</v>
      </c>
      <c r="P376" s="12">
        <f t="shared" si="74"/>
        <v>0</v>
      </c>
    </row>
    <row r="377" spans="1:16">
      <c r="A377" s="2">
        <v>46212</v>
      </c>
      <c r="B377" s="3">
        <f>Data_Entry!P467</f>
        <v>0</v>
      </c>
      <c r="C377" s="4">
        <f>Data_Entry!V467</f>
        <v>0</v>
      </c>
      <c r="D377" s="5">
        <f t="shared" si="66"/>
        <v>0</v>
      </c>
      <c r="E377" s="6">
        <v>0</v>
      </c>
      <c r="F377" s="6">
        <v>0</v>
      </c>
      <c r="G377" s="7">
        <f t="shared" si="69"/>
        <v>0</v>
      </c>
      <c r="H377" s="7">
        <f t="shared" si="67"/>
        <v>0</v>
      </c>
      <c r="I377" s="8">
        <v>2411</v>
      </c>
      <c r="J377" s="9"/>
      <c r="K377" s="8">
        <f t="shared" si="70"/>
        <v>28932</v>
      </c>
      <c r="L377" s="7">
        <f t="shared" si="68"/>
        <v>0</v>
      </c>
      <c r="M377" s="10">
        <f t="shared" si="71"/>
        <v>1</v>
      </c>
      <c r="N377" s="11">
        <f t="shared" si="72"/>
        <v>0</v>
      </c>
      <c r="O377" s="8">
        <f t="shared" si="73"/>
        <v>0</v>
      </c>
      <c r="P377" s="12">
        <f t="shared" si="74"/>
        <v>0</v>
      </c>
    </row>
    <row r="378" spans="1:16">
      <c r="A378" s="2">
        <v>46213</v>
      </c>
      <c r="B378" s="3">
        <f>Data_Entry!P468</f>
        <v>0</v>
      </c>
      <c r="C378" s="4">
        <f>Data_Entry!V468</f>
        <v>0</v>
      </c>
      <c r="D378" s="5">
        <f t="shared" si="66"/>
        <v>0</v>
      </c>
      <c r="E378" s="6">
        <v>0</v>
      </c>
      <c r="F378" s="6">
        <v>0</v>
      </c>
      <c r="G378" s="7">
        <f t="shared" si="69"/>
        <v>0</v>
      </c>
      <c r="H378" s="7">
        <f t="shared" si="67"/>
        <v>0</v>
      </c>
      <c r="I378" s="8">
        <v>2411</v>
      </c>
      <c r="J378" s="9"/>
      <c r="K378" s="8">
        <f t="shared" si="70"/>
        <v>28932</v>
      </c>
      <c r="L378" s="7">
        <f t="shared" si="68"/>
        <v>0</v>
      </c>
      <c r="M378" s="10">
        <f t="shared" si="71"/>
        <v>1</v>
      </c>
      <c r="N378" s="11">
        <f t="shared" si="72"/>
        <v>0</v>
      </c>
      <c r="O378" s="8">
        <f t="shared" si="73"/>
        <v>0</v>
      </c>
      <c r="P378" s="12">
        <f t="shared" si="74"/>
        <v>0</v>
      </c>
    </row>
    <row r="379" spans="1:16">
      <c r="A379" s="2">
        <v>46214</v>
      </c>
      <c r="B379" s="3">
        <f>Data_Entry!P469</f>
        <v>0</v>
      </c>
      <c r="C379" s="4">
        <f>Data_Entry!V469</f>
        <v>0</v>
      </c>
      <c r="D379" s="5">
        <f t="shared" si="66"/>
        <v>0</v>
      </c>
      <c r="E379" s="6">
        <v>0</v>
      </c>
      <c r="F379" s="6">
        <v>0</v>
      </c>
      <c r="G379" s="7">
        <f t="shared" si="69"/>
        <v>0</v>
      </c>
      <c r="H379" s="7">
        <f t="shared" si="67"/>
        <v>0</v>
      </c>
      <c r="I379" s="8">
        <v>2411</v>
      </c>
      <c r="J379" s="9"/>
      <c r="K379" s="8">
        <f t="shared" si="70"/>
        <v>28932</v>
      </c>
      <c r="L379" s="7">
        <f t="shared" si="68"/>
        <v>0</v>
      </c>
      <c r="M379" s="10">
        <f t="shared" si="71"/>
        <v>1</v>
      </c>
      <c r="N379" s="11">
        <f t="shared" si="72"/>
        <v>0</v>
      </c>
      <c r="O379" s="8">
        <f t="shared" si="73"/>
        <v>0</v>
      </c>
      <c r="P379" s="12">
        <f t="shared" si="74"/>
        <v>0</v>
      </c>
    </row>
    <row r="380" spans="1:16">
      <c r="A380" s="2">
        <v>46215</v>
      </c>
      <c r="B380" s="3">
        <f>Data_Entry!P470</f>
        <v>0</v>
      </c>
      <c r="C380" s="4">
        <f>Data_Entry!V470</f>
        <v>0</v>
      </c>
      <c r="D380" s="5">
        <f t="shared" si="66"/>
        <v>0</v>
      </c>
      <c r="E380" s="6">
        <v>0</v>
      </c>
      <c r="F380" s="6">
        <v>0</v>
      </c>
      <c r="G380" s="7">
        <f t="shared" si="69"/>
        <v>0</v>
      </c>
      <c r="H380" s="7">
        <f t="shared" si="67"/>
        <v>0</v>
      </c>
      <c r="I380" s="8">
        <v>2411</v>
      </c>
      <c r="J380" s="9"/>
      <c r="K380" s="8">
        <f t="shared" si="70"/>
        <v>28932</v>
      </c>
      <c r="L380" s="7">
        <f t="shared" si="68"/>
        <v>0</v>
      </c>
      <c r="M380" s="10">
        <f t="shared" si="71"/>
        <v>1</v>
      </c>
      <c r="N380" s="11">
        <f t="shared" si="72"/>
        <v>0</v>
      </c>
      <c r="O380" s="8">
        <f t="shared" si="73"/>
        <v>0</v>
      </c>
      <c r="P380" s="12">
        <f t="shared" si="74"/>
        <v>0</v>
      </c>
    </row>
    <row r="381" spans="1:16">
      <c r="A381" s="2">
        <v>46216</v>
      </c>
      <c r="B381" s="3">
        <f>Data_Entry!P471</f>
        <v>0</v>
      </c>
      <c r="C381" s="4">
        <f>Data_Entry!V471</f>
        <v>0</v>
      </c>
      <c r="D381" s="5">
        <f t="shared" si="66"/>
        <v>0</v>
      </c>
      <c r="E381" s="6">
        <v>0</v>
      </c>
      <c r="F381" s="6">
        <v>0</v>
      </c>
      <c r="G381" s="7">
        <f t="shared" si="69"/>
        <v>0</v>
      </c>
      <c r="H381" s="7">
        <f t="shared" si="67"/>
        <v>0</v>
      </c>
      <c r="I381" s="8">
        <v>2411</v>
      </c>
      <c r="J381" s="9"/>
      <c r="K381" s="8">
        <f t="shared" si="70"/>
        <v>28932</v>
      </c>
      <c r="L381" s="7">
        <f t="shared" si="68"/>
        <v>0</v>
      </c>
      <c r="M381" s="10">
        <f t="shared" si="71"/>
        <v>1</v>
      </c>
      <c r="N381" s="11">
        <f t="shared" si="72"/>
        <v>0</v>
      </c>
      <c r="O381" s="8">
        <f t="shared" si="73"/>
        <v>0</v>
      </c>
      <c r="P381" s="12">
        <f t="shared" si="74"/>
        <v>0</v>
      </c>
    </row>
    <row r="382" spans="1:16">
      <c r="A382" s="2">
        <v>46217</v>
      </c>
      <c r="B382" s="3">
        <f>Data_Entry!P472</f>
        <v>0</v>
      </c>
      <c r="C382" s="4">
        <f>Data_Entry!V472</f>
        <v>0</v>
      </c>
      <c r="D382" s="5">
        <f t="shared" si="66"/>
        <v>0</v>
      </c>
      <c r="E382" s="6">
        <v>0</v>
      </c>
      <c r="F382" s="6">
        <v>0</v>
      </c>
      <c r="G382" s="7">
        <f t="shared" si="69"/>
        <v>0</v>
      </c>
      <c r="H382" s="7">
        <f t="shared" si="67"/>
        <v>0</v>
      </c>
      <c r="I382" s="8">
        <v>2411</v>
      </c>
      <c r="J382" s="9"/>
      <c r="K382" s="8">
        <f t="shared" si="70"/>
        <v>28932</v>
      </c>
      <c r="L382" s="7">
        <f t="shared" si="68"/>
        <v>0</v>
      </c>
      <c r="M382" s="10">
        <f t="shared" si="71"/>
        <v>1</v>
      </c>
      <c r="N382" s="11">
        <f t="shared" si="72"/>
        <v>0</v>
      </c>
      <c r="O382" s="8">
        <f t="shared" si="73"/>
        <v>0</v>
      </c>
      <c r="P382" s="12">
        <f t="shared" si="74"/>
        <v>0</v>
      </c>
    </row>
    <row r="383" spans="1:16">
      <c r="A383" s="2">
        <v>46218</v>
      </c>
      <c r="B383" s="3">
        <f>Data_Entry!P473</f>
        <v>0</v>
      </c>
      <c r="C383" s="4">
        <f>Data_Entry!V473</f>
        <v>0</v>
      </c>
      <c r="D383" s="5">
        <f t="shared" si="66"/>
        <v>0</v>
      </c>
      <c r="E383" s="6">
        <v>0</v>
      </c>
      <c r="F383" s="6">
        <v>0</v>
      </c>
      <c r="G383" s="7">
        <f t="shared" si="69"/>
        <v>0</v>
      </c>
      <c r="H383" s="7">
        <f t="shared" si="67"/>
        <v>0</v>
      </c>
      <c r="I383" s="8">
        <v>2411</v>
      </c>
      <c r="J383" s="9"/>
      <c r="K383" s="8">
        <f t="shared" si="70"/>
        <v>28932</v>
      </c>
      <c r="L383" s="7">
        <f t="shared" si="68"/>
        <v>0</v>
      </c>
      <c r="M383" s="10">
        <f t="shared" si="71"/>
        <v>1</v>
      </c>
      <c r="N383" s="11">
        <f t="shared" si="72"/>
        <v>0</v>
      </c>
      <c r="O383" s="8">
        <f t="shared" si="73"/>
        <v>0</v>
      </c>
      <c r="P383" s="12">
        <f t="shared" si="74"/>
        <v>0</v>
      </c>
    </row>
    <row r="384" spans="1:16">
      <c r="A384" s="2">
        <v>46219</v>
      </c>
      <c r="B384" s="3">
        <f>Data_Entry!P474</f>
        <v>0</v>
      </c>
      <c r="C384" s="4">
        <f>Data_Entry!V474</f>
        <v>0</v>
      </c>
      <c r="D384" s="5">
        <f t="shared" ref="D384:D415" si="75">B384/(24*I384)</f>
        <v>0</v>
      </c>
      <c r="E384" s="6">
        <v>0</v>
      </c>
      <c r="F384" s="6">
        <v>0</v>
      </c>
      <c r="G384" s="7">
        <f t="shared" si="69"/>
        <v>0</v>
      </c>
      <c r="H384" s="7">
        <f t="shared" ref="H384:H415" si="76">G384/60</f>
        <v>0</v>
      </c>
      <c r="I384" s="8">
        <v>2411</v>
      </c>
      <c r="J384" s="9"/>
      <c r="K384" s="8">
        <f t="shared" si="70"/>
        <v>28932</v>
      </c>
      <c r="L384" s="7">
        <f t="shared" ref="L384:L415" si="77">J384*H384</f>
        <v>0</v>
      </c>
      <c r="M384" s="10">
        <f t="shared" si="71"/>
        <v>1</v>
      </c>
      <c r="N384" s="11">
        <f t="shared" si="72"/>
        <v>0</v>
      </c>
      <c r="O384" s="8">
        <f t="shared" si="73"/>
        <v>0</v>
      </c>
      <c r="P384" s="12">
        <f t="shared" si="74"/>
        <v>0</v>
      </c>
    </row>
    <row r="385" spans="1:16">
      <c r="A385" s="2">
        <v>46220</v>
      </c>
      <c r="B385" s="3">
        <f>Data_Entry!P475</f>
        <v>0</v>
      </c>
      <c r="C385" s="4">
        <f>Data_Entry!V475</f>
        <v>0</v>
      </c>
      <c r="D385" s="5">
        <f t="shared" si="75"/>
        <v>0</v>
      </c>
      <c r="E385" s="6">
        <v>0</v>
      </c>
      <c r="F385" s="6">
        <v>0</v>
      </c>
      <c r="G385" s="7">
        <f t="shared" si="69"/>
        <v>0</v>
      </c>
      <c r="H385" s="7">
        <f t="shared" si="76"/>
        <v>0</v>
      </c>
      <c r="I385" s="8">
        <v>2411</v>
      </c>
      <c r="J385" s="9"/>
      <c r="K385" s="8">
        <f t="shared" si="70"/>
        <v>28932</v>
      </c>
      <c r="L385" s="7">
        <f t="shared" si="77"/>
        <v>0</v>
      </c>
      <c r="M385" s="10">
        <f t="shared" si="71"/>
        <v>1</v>
      </c>
      <c r="N385" s="11">
        <f t="shared" si="72"/>
        <v>0</v>
      </c>
      <c r="O385" s="8">
        <f t="shared" si="73"/>
        <v>0</v>
      </c>
      <c r="P385" s="12">
        <f t="shared" si="74"/>
        <v>0</v>
      </c>
    </row>
    <row r="386" spans="1:16">
      <c r="A386" s="2">
        <v>46221</v>
      </c>
      <c r="B386" s="3">
        <f>Data_Entry!P476</f>
        <v>0</v>
      </c>
      <c r="C386" s="4">
        <f>Data_Entry!V476</f>
        <v>0</v>
      </c>
      <c r="D386" s="5">
        <f t="shared" si="75"/>
        <v>0</v>
      </c>
      <c r="E386" s="6">
        <v>0</v>
      </c>
      <c r="F386" s="6">
        <v>0</v>
      </c>
      <c r="G386" s="7">
        <f t="shared" si="69"/>
        <v>0</v>
      </c>
      <c r="H386" s="7">
        <f t="shared" si="76"/>
        <v>0</v>
      </c>
      <c r="I386" s="8">
        <v>2411</v>
      </c>
      <c r="J386" s="9"/>
      <c r="K386" s="8">
        <f t="shared" si="70"/>
        <v>28932</v>
      </c>
      <c r="L386" s="7">
        <f t="shared" si="77"/>
        <v>0</v>
      </c>
      <c r="M386" s="10">
        <f t="shared" si="71"/>
        <v>1</v>
      </c>
      <c r="N386" s="11">
        <f t="shared" si="72"/>
        <v>0</v>
      </c>
      <c r="O386" s="8">
        <f t="shared" si="73"/>
        <v>0</v>
      </c>
      <c r="P386" s="12">
        <f t="shared" si="74"/>
        <v>0</v>
      </c>
    </row>
    <row r="387" spans="1:16">
      <c r="A387" s="2">
        <v>46222</v>
      </c>
      <c r="B387" s="3">
        <f>Data_Entry!P477</f>
        <v>0</v>
      </c>
      <c r="C387" s="4">
        <f>Data_Entry!V477</f>
        <v>0</v>
      </c>
      <c r="D387" s="5">
        <f t="shared" si="75"/>
        <v>0</v>
      </c>
      <c r="E387" s="6">
        <v>0</v>
      </c>
      <c r="F387" s="6">
        <v>0</v>
      </c>
      <c r="G387" s="7">
        <f t="shared" si="69"/>
        <v>0</v>
      </c>
      <c r="H387" s="7">
        <f t="shared" si="76"/>
        <v>0</v>
      </c>
      <c r="I387" s="8">
        <v>2411</v>
      </c>
      <c r="J387" s="9"/>
      <c r="K387" s="8">
        <f t="shared" si="70"/>
        <v>28932</v>
      </c>
      <c r="L387" s="7">
        <f t="shared" si="77"/>
        <v>0</v>
      </c>
      <c r="M387" s="10">
        <f t="shared" si="71"/>
        <v>1</v>
      </c>
      <c r="N387" s="11">
        <f t="shared" si="72"/>
        <v>0</v>
      </c>
      <c r="O387" s="8">
        <f t="shared" si="73"/>
        <v>0</v>
      </c>
      <c r="P387" s="12">
        <f t="shared" si="74"/>
        <v>0</v>
      </c>
    </row>
    <row r="388" spans="1:16">
      <c r="A388" s="2">
        <v>46223</v>
      </c>
      <c r="B388" s="3">
        <f>Data_Entry!P478</f>
        <v>0</v>
      </c>
      <c r="C388" s="4">
        <f>Data_Entry!V478</f>
        <v>0</v>
      </c>
      <c r="D388" s="5">
        <f t="shared" si="75"/>
        <v>0</v>
      </c>
      <c r="E388" s="6">
        <v>0</v>
      </c>
      <c r="F388" s="6">
        <v>0</v>
      </c>
      <c r="G388" s="7">
        <f t="shared" si="69"/>
        <v>0</v>
      </c>
      <c r="H388" s="7">
        <f t="shared" si="76"/>
        <v>0</v>
      </c>
      <c r="I388" s="8">
        <v>2411</v>
      </c>
      <c r="J388" s="9"/>
      <c r="K388" s="8">
        <f t="shared" si="70"/>
        <v>28932</v>
      </c>
      <c r="L388" s="7">
        <f t="shared" si="77"/>
        <v>0</v>
      </c>
      <c r="M388" s="10">
        <f t="shared" si="71"/>
        <v>1</v>
      </c>
      <c r="N388" s="11">
        <f t="shared" si="72"/>
        <v>0</v>
      </c>
      <c r="O388" s="8">
        <f t="shared" si="73"/>
        <v>0</v>
      </c>
      <c r="P388" s="12">
        <f t="shared" si="74"/>
        <v>0</v>
      </c>
    </row>
    <row r="389" spans="1:16">
      <c r="A389" s="2">
        <v>46224</v>
      </c>
      <c r="B389" s="3">
        <f>Data_Entry!P479</f>
        <v>0</v>
      </c>
      <c r="C389" s="4">
        <f>Data_Entry!V479</f>
        <v>0</v>
      </c>
      <c r="D389" s="5">
        <f t="shared" si="75"/>
        <v>0</v>
      </c>
      <c r="E389" s="6">
        <v>0</v>
      </c>
      <c r="F389" s="6">
        <v>0</v>
      </c>
      <c r="G389" s="7">
        <f t="shared" si="69"/>
        <v>0</v>
      </c>
      <c r="H389" s="7">
        <f t="shared" si="76"/>
        <v>0</v>
      </c>
      <c r="I389" s="8">
        <v>2411</v>
      </c>
      <c r="J389" s="9"/>
      <c r="K389" s="8">
        <f t="shared" si="70"/>
        <v>28932</v>
      </c>
      <c r="L389" s="7">
        <f t="shared" si="77"/>
        <v>0</v>
      </c>
      <c r="M389" s="10">
        <f t="shared" si="71"/>
        <v>1</v>
      </c>
      <c r="N389" s="11">
        <f t="shared" si="72"/>
        <v>0</v>
      </c>
      <c r="O389" s="8">
        <f t="shared" si="73"/>
        <v>0</v>
      </c>
      <c r="P389" s="12">
        <f t="shared" si="74"/>
        <v>0</v>
      </c>
    </row>
    <row r="390" spans="1:16">
      <c r="A390" s="2">
        <v>46225</v>
      </c>
      <c r="B390" s="3">
        <f>Data_Entry!P480</f>
        <v>0</v>
      </c>
      <c r="C390" s="4">
        <f>Data_Entry!V480</f>
        <v>0</v>
      </c>
      <c r="D390" s="5">
        <f t="shared" si="75"/>
        <v>0</v>
      </c>
      <c r="E390" s="6">
        <v>0</v>
      </c>
      <c r="F390" s="6">
        <v>0</v>
      </c>
      <c r="G390" s="7">
        <f t="shared" si="69"/>
        <v>0</v>
      </c>
      <c r="H390" s="7">
        <f t="shared" si="76"/>
        <v>0</v>
      </c>
      <c r="I390" s="8">
        <v>2411</v>
      </c>
      <c r="J390" s="9"/>
      <c r="K390" s="8">
        <f t="shared" si="70"/>
        <v>28932</v>
      </c>
      <c r="L390" s="7">
        <f t="shared" si="77"/>
        <v>0</v>
      </c>
      <c r="M390" s="10">
        <f t="shared" si="71"/>
        <v>1</v>
      </c>
      <c r="N390" s="11">
        <f t="shared" si="72"/>
        <v>0</v>
      </c>
      <c r="O390" s="8">
        <f t="shared" si="73"/>
        <v>0</v>
      </c>
      <c r="P390" s="12">
        <f t="shared" si="74"/>
        <v>0</v>
      </c>
    </row>
    <row r="391" spans="1:16">
      <c r="A391" s="2">
        <v>46226</v>
      </c>
      <c r="B391" s="3">
        <f>Data_Entry!P481</f>
        <v>0</v>
      </c>
      <c r="C391" s="4">
        <f>Data_Entry!V481</f>
        <v>0</v>
      </c>
      <c r="D391" s="5">
        <f t="shared" si="75"/>
        <v>0</v>
      </c>
      <c r="E391" s="6">
        <v>0</v>
      </c>
      <c r="F391" s="6">
        <v>0</v>
      </c>
      <c r="G391" s="7">
        <f t="shared" si="69"/>
        <v>0</v>
      </c>
      <c r="H391" s="7">
        <f t="shared" si="76"/>
        <v>0</v>
      </c>
      <c r="I391" s="8">
        <v>2411</v>
      </c>
      <c r="J391" s="9"/>
      <c r="K391" s="8">
        <f t="shared" si="70"/>
        <v>28932</v>
      </c>
      <c r="L391" s="7">
        <f t="shared" si="77"/>
        <v>0</v>
      </c>
      <c r="M391" s="10">
        <f t="shared" si="71"/>
        <v>1</v>
      </c>
      <c r="N391" s="11">
        <f t="shared" si="72"/>
        <v>0</v>
      </c>
      <c r="O391" s="8">
        <f t="shared" si="73"/>
        <v>0</v>
      </c>
      <c r="P391" s="12">
        <f t="shared" si="74"/>
        <v>0</v>
      </c>
    </row>
    <row r="392" spans="1:16">
      <c r="A392" s="2">
        <v>46227</v>
      </c>
      <c r="B392" s="3">
        <f>Data_Entry!P482</f>
        <v>0</v>
      </c>
      <c r="C392" s="4">
        <f>Data_Entry!V482</f>
        <v>0</v>
      </c>
      <c r="D392" s="5">
        <f t="shared" si="75"/>
        <v>0</v>
      </c>
      <c r="E392" s="6">
        <v>0</v>
      </c>
      <c r="F392" s="6">
        <v>0</v>
      </c>
      <c r="G392" s="7">
        <f t="shared" si="69"/>
        <v>0</v>
      </c>
      <c r="H392" s="7">
        <f t="shared" si="76"/>
        <v>0</v>
      </c>
      <c r="I392" s="8">
        <v>2411</v>
      </c>
      <c r="J392" s="9"/>
      <c r="K392" s="8">
        <f t="shared" si="70"/>
        <v>28932</v>
      </c>
      <c r="L392" s="7">
        <f t="shared" si="77"/>
        <v>0</v>
      </c>
      <c r="M392" s="10">
        <f t="shared" si="71"/>
        <v>1</v>
      </c>
      <c r="N392" s="11">
        <f t="shared" si="72"/>
        <v>0</v>
      </c>
      <c r="O392" s="8">
        <f t="shared" si="73"/>
        <v>0</v>
      </c>
      <c r="P392" s="12">
        <f t="shared" si="74"/>
        <v>0</v>
      </c>
    </row>
    <row r="393" spans="1:16">
      <c r="A393" s="2">
        <v>46228</v>
      </c>
      <c r="B393" s="3">
        <f>Data_Entry!P483</f>
        <v>0</v>
      </c>
      <c r="C393" s="4">
        <f>Data_Entry!V483</f>
        <v>0</v>
      </c>
      <c r="D393" s="5">
        <f t="shared" si="75"/>
        <v>0</v>
      </c>
      <c r="E393" s="6">
        <v>0</v>
      </c>
      <c r="F393" s="6">
        <v>0</v>
      </c>
      <c r="G393" s="7">
        <f t="shared" si="69"/>
        <v>0</v>
      </c>
      <c r="H393" s="7">
        <f t="shared" si="76"/>
        <v>0</v>
      </c>
      <c r="I393" s="8">
        <v>2411</v>
      </c>
      <c r="J393" s="9"/>
      <c r="K393" s="8">
        <f t="shared" si="70"/>
        <v>28932</v>
      </c>
      <c r="L393" s="7">
        <f t="shared" si="77"/>
        <v>0</v>
      </c>
      <c r="M393" s="10">
        <f t="shared" si="71"/>
        <v>1</v>
      </c>
      <c r="N393" s="11">
        <f t="shared" si="72"/>
        <v>0</v>
      </c>
      <c r="O393" s="8">
        <f t="shared" si="73"/>
        <v>0</v>
      </c>
      <c r="P393" s="12">
        <f t="shared" si="74"/>
        <v>0</v>
      </c>
    </row>
    <row r="394" spans="1:16">
      <c r="A394" s="2">
        <v>46229</v>
      </c>
      <c r="B394" s="3">
        <f>Data_Entry!P484</f>
        <v>0</v>
      </c>
      <c r="C394" s="4">
        <f>Data_Entry!V484</f>
        <v>0</v>
      </c>
      <c r="D394" s="5">
        <f t="shared" si="75"/>
        <v>0</v>
      </c>
      <c r="E394" s="6">
        <v>0</v>
      </c>
      <c r="F394" s="6">
        <v>0</v>
      </c>
      <c r="G394" s="7">
        <f t="shared" si="69"/>
        <v>0</v>
      </c>
      <c r="H394" s="7">
        <f t="shared" si="76"/>
        <v>0</v>
      </c>
      <c r="I394" s="8">
        <v>2411</v>
      </c>
      <c r="J394" s="9"/>
      <c r="K394" s="8">
        <f t="shared" si="70"/>
        <v>28932</v>
      </c>
      <c r="L394" s="7">
        <f t="shared" si="77"/>
        <v>0</v>
      </c>
      <c r="M394" s="10">
        <f t="shared" si="71"/>
        <v>1</v>
      </c>
      <c r="N394" s="11">
        <f t="shared" si="72"/>
        <v>0</v>
      </c>
      <c r="O394" s="8">
        <f t="shared" si="73"/>
        <v>0</v>
      </c>
      <c r="P394" s="12">
        <f t="shared" si="74"/>
        <v>0</v>
      </c>
    </row>
    <row r="395" spans="1:16">
      <c r="A395" s="2">
        <v>46230</v>
      </c>
      <c r="B395" s="3">
        <f>Data_Entry!P485</f>
        <v>0</v>
      </c>
      <c r="C395" s="4">
        <f>Data_Entry!V485</f>
        <v>0</v>
      </c>
      <c r="D395" s="5">
        <f t="shared" si="75"/>
        <v>0</v>
      </c>
      <c r="E395" s="6">
        <v>0</v>
      </c>
      <c r="F395" s="6">
        <v>0</v>
      </c>
      <c r="G395" s="7">
        <f t="shared" si="69"/>
        <v>0</v>
      </c>
      <c r="H395" s="7">
        <f t="shared" si="76"/>
        <v>0</v>
      </c>
      <c r="I395" s="8">
        <v>2411</v>
      </c>
      <c r="J395" s="9"/>
      <c r="K395" s="8">
        <f t="shared" si="70"/>
        <v>28932</v>
      </c>
      <c r="L395" s="7">
        <f t="shared" si="77"/>
        <v>0</v>
      </c>
      <c r="M395" s="10">
        <f t="shared" si="71"/>
        <v>1</v>
      </c>
      <c r="N395" s="11">
        <f t="shared" si="72"/>
        <v>0</v>
      </c>
      <c r="O395" s="8">
        <f t="shared" si="73"/>
        <v>0</v>
      </c>
      <c r="P395" s="12">
        <f t="shared" si="74"/>
        <v>0</v>
      </c>
    </row>
    <row r="396" spans="1:16">
      <c r="A396" s="2">
        <v>46231</v>
      </c>
      <c r="B396" s="3">
        <f>Data_Entry!P486</f>
        <v>0</v>
      </c>
      <c r="C396" s="4">
        <f>Data_Entry!V486</f>
        <v>0</v>
      </c>
      <c r="D396" s="5">
        <f t="shared" si="75"/>
        <v>0</v>
      </c>
      <c r="E396" s="6">
        <v>0</v>
      </c>
      <c r="F396" s="6">
        <v>0</v>
      </c>
      <c r="G396" s="7">
        <f t="shared" si="69"/>
        <v>0</v>
      </c>
      <c r="H396" s="7">
        <f t="shared" si="76"/>
        <v>0</v>
      </c>
      <c r="I396" s="8">
        <v>2411</v>
      </c>
      <c r="J396" s="9"/>
      <c r="K396" s="8">
        <f t="shared" si="70"/>
        <v>28932</v>
      </c>
      <c r="L396" s="7">
        <f t="shared" si="77"/>
        <v>0</v>
      </c>
      <c r="M396" s="10">
        <f t="shared" si="71"/>
        <v>1</v>
      </c>
      <c r="N396" s="11">
        <f t="shared" si="72"/>
        <v>0</v>
      </c>
      <c r="O396" s="8">
        <f t="shared" si="73"/>
        <v>0</v>
      </c>
      <c r="P396" s="12">
        <f t="shared" si="74"/>
        <v>0</v>
      </c>
    </row>
    <row r="397" spans="1:16">
      <c r="A397" s="2">
        <v>46232</v>
      </c>
      <c r="B397" s="3">
        <f>Data_Entry!P487</f>
        <v>0</v>
      </c>
      <c r="C397" s="4">
        <f>Data_Entry!V487</f>
        <v>0</v>
      </c>
      <c r="D397" s="5">
        <f t="shared" si="75"/>
        <v>0</v>
      </c>
      <c r="E397" s="6">
        <v>0</v>
      </c>
      <c r="F397" s="6">
        <v>0</v>
      </c>
      <c r="G397" s="7">
        <f t="shared" si="69"/>
        <v>0</v>
      </c>
      <c r="H397" s="7">
        <f t="shared" si="76"/>
        <v>0</v>
      </c>
      <c r="I397" s="8">
        <v>2411</v>
      </c>
      <c r="J397" s="9"/>
      <c r="K397" s="8">
        <f t="shared" si="70"/>
        <v>28932</v>
      </c>
      <c r="L397" s="7">
        <f t="shared" si="77"/>
        <v>0</v>
      </c>
      <c r="M397" s="10">
        <f t="shared" si="71"/>
        <v>1</v>
      </c>
      <c r="N397" s="11">
        <f t="shared" si="72"/>
        <v>0</v>
      </c>
      <c r="O397" s="8">
        <f t="shared" si="73"/>
        <v>0</v>
      </c>
      <c r="P397" s="12">
        <f t="shared" si="74"/>
        <v>0</v>
      </c>
    </row>
    <row r="398" spans="1:16">
      <c r="A398" s="2">
        <v>46233</v>
      </c>
      <c r="B398" s="3">
        <f>Data_Entry!P488</f>
        <v>0</v>
      </c>
      <c r="C398" s="4">
        <f>Data_Entry!V488</f>
        <v>0</v>
      </c>
      <c r="D398" s="5">
        <f t="shared" si="75"/>
        <v>0</v>
      </c>
      <c r="E398" s="6">
        <v>0</v>
      </c>
      <c r="F398" s="6">
        <v>0</v>
      </c>
      <c r="G398" s="7">
        <f t="shared" si="69"/>
        <v>0</v>
      </c>
      <c r="H398" s="7">
        <f t="shared" si="76"/>
        <v>0</v>
      </c>
      <c r="I398" s="8">
        <v>2411</v>
      </c>
      <c r="J398" s="9"/>
      <c r="K398" s="8">
        <f t="shared" si="70"/>
        <v>28932</v>
      </c>
      <c r="L398" s="7">
        <f t="shared" si="77"/>
        <v>0</v>
      </c>
      <c r="M398" s="10">
        <f t="shared" si="71"/>
        <v>1</v>
      </c>
      <c r="N398" s="11">
        <f t="shared" si="72"/>
        <v>0</v>
      </c>
      <c r="O398" s="8">
        <f t="shared" si="73"/>
        <v>0</v>
      </c>
      <c r="P398" s="12">
        <f t="shared" si="74"/>
        <v>0</v>
      </c>
    </row>
    <row r="399" spans="1:16">
      <c r="A399" s="2">
        <v>46234</v>
      </c>
      <c r="B399" s="3">
        <f>Data_Entry!P489</f>
        <v>0</v>
      </c>
      <c r="C399" s="4">
        <f>Data_Entry!V489</f>
        <v>0</v>
      </c>
      <c r="D399" s="5">
        <f t="shared" si="75"/>
        <v>0</v>
      </c>
      <c r="E399" s="6">
        <v>0</v>
      </c>
      <c r="F399" s="6">
        <v>0</v>
      </c>
      <c r="G399" s="7">
        <f t="shared" si="69"/>
        <v>0</v>
      </c>
      <c r="H399" s="7">
        <f t="shared" si="76"/>
        <v>0</v>
      </c>
      <c r="I399" s="8">
        <v>2411</v>
      </c>
      <c r="J399" s="9"/>
      <c r="K399" s="8">
        <f t="shared" si="70"/>
        <v>28932</v>
      </c>
      <c r="L399" s="7">
        <f t="shared" si="77"/>
        <v>0</v>
      </c>
      <c r="M399" s="10">
        <f t="shared" si="71"/>
        <v>1</v>
      </c>
      <c r="N399" s="11">
        <f t="shared" si="72"/>
        <v>0</v>
      </c>
      <c r="O399" s="8">
        <f t="shared" si="73"/>
        <v>0</v>
      </c>
      <c r="P399" s="12">
        <f t="shared" si="74"/>
        <v>0</v>
      </c>
    </row>
    <row r="400" spans="1:16">
      <c r="A400" s="2">
        <v>46235</v>
      </c>
      <c r="B400" s="3">
        <f>Data_Entry!P490</f>
        <v>0</v>
      </c>
      <c r="C400" s="4">
        <f>Data_Entry!V490</f>
        <v>0</v>
      </c>
      <c r="D400" s="5">
        <f t="shared" si="75"/>
        <v>0</v>
      </c>
      <c r="E400" s="6">
        <v>0</v>
      </c>
      <c r="F400" s="6">
        <v>0</v>
      </c>
      <c r="G400" s="7">
        <f t="shared" si="69"/>
        <v>0</v>
      </c>
      <c r="H400" s="7">
        <f t="shared" si="76"/>
        <v>0</v>
      </c>
      <c r="I400" s="8">
        <v>2411</v>
      </c>
      <c r="J400" s="9"/>
      <c r="K400" s="8">
        <f t="shared" si="70"/>
        <v>28932</v>
      </c>
      <c r="L400" s="7">
        <f t="shared" si="77"/>
        <v>0</v>
      </c>
      <c r="M400" s="10">
        <f t="shared" si="71"/>
        <v>1</v>
      </c>
      <c r="N400" s="11">
        <f t="shared" si="72"/>
        <v>0</v>
      </c>
      <c r="O400" s="8">
        <f t="shared" si="73"/>
        <v>0</v>
      </c>
      <c r="P400" s="12">
        <f t="shared" si="74"/>
        <v>0</v>
      </c>
    </row>
    <row r="401" spans="1:16">
      <c r="A401" s="2">
        <v>46236</v>
      </c>
      <c r="B401" s="3">
        <f>Data_Entry!P491</f>
        <v>0</v>
      </c>
      <c r="C401" s="4">
        <f>Data_Entry!V491</f>
        <v>0</v>
      </c>
      <c r="D401" s="5">
        <f t="shared" si="75"/>
        <v>0</v>
      </c>
      <c r="E401" s="6">
        <v>0</v>
      </c>
      <c r="F401" s="6">
        <v>0</v>
      </c>
      <c r="G401" s="7">
        <f t="shared" si="69"/>
        <v>0</v>
      </c>
      <c r="H401" s="7">
        <f t="shared" si="76"/>
        <v>0</v>
      </c>
      <c r="I401" s="8">
        <v>2411</v>
      </c>
      <c r="J401" s="9"/>
      <c r="K401" s="8">
        <f t="shared" si="70"/>
        <v>28932</v>
      </c>
      <c r="L401" s="7">
        <f t="shared" si="77"/>
        <v>0</v>
      </c>
      <c r="M401" s="10">
        <f t="shared" si="71"/>
        <v>1</v>
      </c>
      <c r="N401" s="11">
        <f t="shared" si="72"/>
        <v>0</v>
      </c>
      <c r="O401" s="8">
        <f t="shared" si="73"/>
        <v>0</v>
      </c>
      <c r="P401" s="12">
        <f t="shared" si="74"/>
        <v>0</v>
      </c>
    </row>
    <row r="402" spans="1:16">
      <c r="A402" s="2">
        <v>46237</v>
      </c>
      <c r="B402" s="3">
        <f>Data_Entry!P492</f>
        <v>0</v>
      </c>
      <c r="C402" s="4">
        <f>Data_Entry!V492</f>
        <v>0</v>
      </c>
      <c r="D402" s="5">
        <f t="shared" si="75"/>
        <v>0</v>
      </c>
      <c r="E402" s="6">
        <v>0</v>
      </c>
      <c r="F402" s="6">
        <v>0</v>
      </c>
      <c r="G402" s="7">
        <f t="shared" si="69"/>
        <v>0</v>
      </c>
      <c r="H402" s="7">
        <f t="shared" si="76"/>
        <v>0</v>
      </c>
      <c r="I402" s="8">
        <v>2411</v>
      </c>
      <c r="J402" s="9"/>
      <c r="K402" s="8">
        <f t="shared" si="70"/>
        <v>28932</v>
      </c>
      <c r="L402" s="7">
        <f t="shared" si="77"/>
        <v>0</v>
      </c>
      <c r="M402" s="10">
        <f t="shared" si="71"/>
        <v>1</v>
      </c>
      <c r="N402" s="11">
        <f t="shared" si="72"/>
        <v>0</v>
      </c>
      <c r="O402" s="8">
        <f t="shared" si="73"/>
        <v>0</v>
      </c>
      <c r="P402" s="12">
        <f t="shared" si="74"/>
        <v>0</v>
      </c>
    </row>
    <row r="403" spans="1:16">
      <c r="A403" s="2">
        <v>46238</v>
      </c>
      <c r="B403" s="3">
        <f>Data_Entry!P493</f>
        <v>0</v>
      </c>
      <c r="C403" s="4">
        <f>Data_Entry!V493</f>
        <v>0</v>
      </c>
      <c r="D403" s="5">
        <f t="shared" si="75"/>
        <v>0</v>
      </c>
      <c r="E403" s="6">
        <v>0</v>
      </c>
      <c r="F403" s="6">
        <v>0</v>
      </c>
      <c r="G403" s="7">
        <f t="shared" si="69"/>
        <v>0</v>
      </c>
      <c r="H403" s="7">
        <f t="shared" si="76"/>
        <v>0</v>
      </c>
      <c r="I403" s="8">
        <v>2411</v>
      </c>
      <c r="J403" s="9"/>
      <c r="K403" s="8">
        <f t="shared" si="70"/>
        <v>28932</v>
      </c>
      <c r="L403" s="7">
        <f t="shared" si="77"/>
        <v>0</v>
      </c>
      <c r="M403" s="10">
        <f t="shared" si="71"/>
        <v>1</v>
      </c>
      <c r="N403" s="11">
        <f t="shared" si="72"/>
        <v>0</v>
      </c>
      <c r="O403" s="8">
        <f t="shared" si="73"/>
        <v>0</v>
      </c>
      <c r="P403" s="12">
        <f t="shared" si="74"/>
        <v>0</v>
      </c>
    </row>
    <row r="404" spans="1:16">
      <c r="A404" s="2">
        <v>46239</v>
      </c>
      <c r="B404" s="3">
        <f>Data_Entry!P494</f>
        <v>0</v>
      </c>
      <c r="C404" s="4">
        <f>Data_Entry!V494</f>
        <v>0</v>
      </c>
      <c r="D404" s="5">
        <f t="shared" si="75"/>
        <v>0</v>
      </c>
      <c r="E404" s="6">
        <v>0</v>
      </c>
      <c r="F404" s="6">
        <v>0</v>
      </c>
      <c r="G404" s="7">
        <f t="shared" si="69"/>
        <v>0</v>
      </c>
      <c r="H404" s="7">
        <f t="shared" si="76"/>
        <v>0</v>
      </c>
      <c r="I404" s="8">
        <v>2411</v>
      </c>
      <c r="J404" s="9"/>
      <c r="K404" s="8">
        <f t="shared" si="70"/>
        <v>28932</v>
      </c>
      <c r="L404" s="7">
        <f t="shared" si="77"/>
        <v>0</v>
      </c>
      <c r="M404" s="10">
        <f t="shared" si="71"/>
        <v>1</v>
      </c>
      <c r="N404" s="11">
        <f t="shared" si="72"/>
        <v>0</v>
      </c>
      <c r="O404" s="8">
        <f t="shared" si="73"/>
        <v>0</v>
      </c>
      <c r="P404" s="12">
        <f t="shared" si="74"/>
        <v>0</v>
      </c>
    </row>
    <row r="405" spans="1:16">
      <c r="A405" s="2">
        <v>46240</v>
      </c>
      <c r="B405" s="3">
        <f>Data_Entry!P495</f>
        <v>0</v>
      </c>
      <c r="C405" s="4">
        <f>Data_Entry!V495</f>
        <v>0</v>
      </c>
      <c r="D405" s="5">
        <f t="shared" si="75"/>
        <v>0</v>
      </c>
      <c r="E405" s="6">
        <v>0</v>
      </c>
      <c r="F405" s="6">
        <v>0</v>
      </c>
      <c r="G405" s="7">
        <f t="shared" si="69"/>
        <v>0</v>
      </c>
      <c r="H405" s="7">
        <f t="shared" si="76"/>
        <v>0</v>
      </c>
      <c r="I405" s="8">
        <v>2411</v>
      </c>
      <c r="J405" s="9"/>
      <c r="K405" s="8">
        <f t="shared" si="70"/>
        <v>28932</v>
      </c>
      <c r="L405" s="7">
        <f t="shared" si="77"/>
        <v>0</v>
      </c>
      <c r="M405" s="10">
        <f t="shared" si="71"/>
        <v>1</v>
      </c>
      <c r="N405" s="11">
        <f t="shared" si="72"/>
        <v>0</v>
      </c>
      <c r="O405" s="8">
        <f t="shared" si="73"/>
        <v>0</v>
      </c>
      <c r="P405" s="12">
        <f t="shared" si="74"/>
        <v>0</v>
      </c>
    </row>
    <row r="406" spans="1:16">
      <c r="A406" s="2">
        <v>46241</v>
      </c>
      <c r="B406" s="3">
        <f>Data_Entry!P496</f>
        <v>0</v>
      </c>
      <c r="C406" s="4">
        <f>Data_Entry!V496</f>
        <v>0</v>
      </c>
      <c r="D406" s="5">
        <f t="shared" si="75"/>
        <v>0</v>
      </c>
      <c r="E406" s="6">
        <v>0</v>
      </c>
      <c r="F406" s="6">
        <v>0</v>
      </c>
      <c r="G406" s="7">
        <f t="shared" si="69"/>
        <v>0</v>
      </c>
      <c r="H406" s="7">
        <f t="shared" si="76"/>
        <v>0</v>
      </c>
      <c r="I406" s="8">
        <v>2411</v>
      </c>
      <c r="J406" s="9"/>
      <c r="K406" s="8">
        <f t="shared" si="70"/>
        <v>28932</v>
      </c>
      <c r="L406" s="7">
        <f t="shared" si="77"/>
        <v>0</v>
      </c>
      <c r="M406" s="10">
        <f t="shared" si="71"/>
        <v>1</v>
      </c>
      <c r="N406" s="11">
        <f t="shared" si="72"/>
        <v>0</v>
      </c>
      <c r="O406" s="8">
        <f t="shared" si="73"/>
        <v>0</v>
      </c>
      <c r="P406" s="12">
        <f t="shared" si="74"/>
        <v>0</v>
      </c>
    </row>
    <row r="407" spans="1:16">
      <c r="A407" s="2">
        <v>46242</v>
      </c>
      <c r="B407" s="3">
        <f>Data_Entry!P497</f>
        <v>0</v>
      </c>
      <c r="C407" s="4">
        <f>Data_Entry!V497</f>
        <v>0</v>
      </c>
      <c r="D407" s="5">
        <f t="shared" si="75"/>
        <v>0</v>
      </c>
      <c r="E407" s="6">
        <v>0</v>
      </c>
      <c r="F407" s="6">
        <v>0</v>
      </c>
      <c r="G407" s="7">
        <f t="shared" si="69"/>
        <v>0</v>
      </c>
      <c r="H407" s="7">
        <f t="shared" si="76"/>
        <v>0</v>
      </c>
      <c r="I407" s="8">
        <v>2411</v>
      </c>
      <c r="J407" s="9"/>
      <c r="K407" s="8">
        <f t="shared" si="70"/>
        <v>28932</v>
      </c>
      <c r="L407" s="7">
        <f t="shared" si="77"/>
        <v>0</v>
      </c>
      <c r="M407" s="10">
        <f t="shared" si="71"/>
        <v>1</v>
      </c>
      <c r="N407" s="11">
        <f t="shared" si="72"/>
        <v>0</v>
      </c>
      <c r="O407" s="8">
        <f t="shared" si="73"/>
        <v>0</v>
      </c>
      <c r="P407" s="12">
        <f t="shared" si="74"/>
        <v>0</v>
      </c>
    </row>
    <row r="408" spans="1:16">
      <c r="A408" s="2">
        <v>46243</v>
      </c>
      <c r="B408" s="3">
        <f>Data_Entry!P498</f>
        <v>0</v>
      </c>
      <c r="C408" s="4">
        <f>Data_Entry!V498</f>
        <v>0</v>
      </c>
      <c r="D408" s="5">
        <f t="shared" si="75"/>
        <v>0</v>
      </c>
      <c r="E408" s="6">
        <v>0</v>
      </c>
      <c r="F408" s="6">
        <v>0</v>
      </c>
      <c r="G408" s="7">
        <f t="shared" si="69"/>
        <v>0</v>
      </c>
      <c r="H408" s="7">
        <f t="shared" si="76"/>
        <v>0</v>
      </c>
      <c r="I408" s="8">
        <v>2411</v>
      </c>
      <c r="J408" s="9"/>
      <c r="K408" s="8">
        <f t="shared" si="70"/>
        <v>28932</v>
      </c>
      <c r="L408" s="7">
        <f t="shared" si="77"/>
        <v>0</v>
      </c>
      <c r="M408" s="10">
        <f t="shared" si="71"/>
        <v>1</v>
      </c>
      <c r="N408" s="11">
        <f t="shared" si="72"/>
        <v>0</v>
      </c>
      <c r="O408" s="8">
        <f t="shared" si="73"/>
        <v>0</v>
      </c>
      <c r="P408" s="12">
        <f t="shared" si="74"/>
        <v>0</v>
      </c>
    </row>
    <row r="409" spans="1:16">
      <c r="A409" s="2">
        <v>46244</v>
      </c>
      <c r="B409" s="3">
        <f>Data_Entry!P499</f>
        <v>0</v>
      </c>
      <c r="C409" s="4">
        <f>Data_Entry!V499</f>
        <v>0</v>
      </c>
      <c r="D409" s="5">
        <f t="shared" si="75"/>
        <v>0</v>
      </c>
      <c r="E409" s="6">
        <v>0</v>
      </c>
      <c r="F409" s="6">
        <v>0</v>
      </c>
      <c r="G409" s="7">
        <f t="shared" si="69"/>
        <v>0</v>
      </c>
      <c r="H409" s="7">
        <f t="shared" si="76"/>
        <v>0</v>
      </c>
      <c r="I409" s="8">
        <v>2411</v>
      </c>
      <c r="J409" s="9"/>
      <c r="K409" s="8">
        <f t="shared" si="70"/>
        <v>28932</v>
      </c>
      <c r="L409" s="7">
        <f t="shared" si="77"/>
        <v>0</v>
      </c>
      <c r="M409" s="10">
        <f t="shared" si="71"/>
        <v>1</v>
      </c>
      <c r="N409" s="11">
        <f t="shared" si="72"/>
        <v>0</v>
      </c>
      <c r="O409" s="8">
        <f t="shared" si="73"/>
        <v>0</v>
      </c>
      <c r="P409" s="12">
        <f t="shared" si="74"/>
        <v>0</v>
      </c>
    </row>
    <row r="410" spans="1:16">
      <c r="A410" s="2">
        <v>46245</v>
      </c>
      <c r="B410" s="3">
        <f>Data_Entry!P500</f>
        <v>0</v>
      </c>
      <c r="C410" s="4">
        <f>Data_Entry!V500</f>
        <v>0</v>
      </c>
      <c r="D410" s="5">
        <f t="shared" si="75"/>
        <v>0</v>
      </c>
      <c r="E410" s="6">
        <v>0</v>
      </c>
      <c r="F410" s="6">
        <v>0</v>
      </c>
      <c r="G410" s="7">
        <f t="shared" si="69"/>
        <v>0</v>
      </c>
      <c r="H410" s="7">
        <f t="shared" si="76"/>
        <v>0</v>
      </c>
      <c r="I410" s="8">
        <v>2411</v>
      </c>
      <c r="J410" s="9"/>
      <c r="K410" s="8">
        <f t="shared" si="70"/>
        <v>28932</v>
      </c>
      <c r="L410" s="7">
        <f t="shared" si="77"/>
        <v>0</v>
      </c>
      <c r="M410" s="10">
        <f t="shared" si="71"/>
        <v>1</v>
      </c>
      <c r="N410" s="11">
        <f t="shared" si="72"/>
        <v>0</v>
      </c>
      <c r="O410" s="8">
        <f t="shared" si="73"/>
        <v>0</v>
      </c>
      <c r="P410" s="12">
        <f t="shared" si="74"/>
        <v>0</v>
      </c>
    </row>
    <row r="411" spans="1:16">
      <c r="A411" s="2">
        <v>46246</v>
      </c>
      <c r="B411" s="3">
        <f>Data_Entry!P501</f>
        <v>0</v>
      </c>
      <c r="C411" s="4">
        <f>Data_Entry!V501</f>
        <v>0</v>
      </c>
      <c r="D411" s="5">
        <f t="shared" si="75"/>
        <v>0</v>
      </c>
      <c r="E411" s="6">
        <v>0</v>
      </c>
      <c r="F411" s="6">
        <v>0</v>
      </c>
      <c r="G411" s="7">
        <f t="shared" si="69"/>
        <v>0</v>
      </c>
      <c r="H411" s="7">
        <f t="shared" si="76"/>
        <v>0</v>
      </c>
      <c r="I411" s="8">
        <v>2411</v>
      </c>
      <c r="J411" s="9"/>
      <c r="K411" s="8">
        <f t="shared" si="70"/>
        <v>28932</v>
      </c>
      <c r="L411" s="7">
        <f t="shared" si="77"/>
        <v>0</v>
      </c>
      <c r="M411" s="10">
        <f t="shared" si="71"/>
        <v>1</v>
      </c>
      <c r="N411" s="11">
        <f t="shared" si="72"/>
        <v>0</v>
      </c>
      <c r="O411" s="8">
        <f t="shared" si="73"/>
        <v>0</v>
      </c>
      <c r="P411" s="12">
        <f t="shared" si="74"/>
        <v>0</v>
      </c>
    </row>
    <row r="412" spans="1:16">
      <c r="A412" s="2">
        <v>46247</v>
      </c>
      <c r="B412" s="3">
        <f>Data_Entry!P502</f>
        <v>0</v>
      </c>
      <c r="C412" s="4">
        <f>Data_Entry!V502</f>
        <v>0</v>
      </c>
      <c r="D412" s="5">
        <f t="shared" si="75"/>
        <v>0</v>
      </c>
      <c r="E412" s="6">
        <v>0</v>
      </c>
      <c r="F412" s="6">
        <v>0</v>
      </c>
      <c r="G412" s="7">
        <f t="shared" si="69"/>
        <v>0</v>
      </c>
      <c r="H412" s="7">
        <f t="shared" si="76"/>
        <v>0</v>
      </c>
      <c r="I412" s="8">
        <v>2411</v>
      </c>
      <c r="J412" s="9"/>
      <c r="K412" s="8">
        <f t="shared" si="70"/>
        <v>28932</v>
      </c>
      <c r="L412" s="7">
        <f t="shared" si="77"/>
        <v>0</v>
      </c>
      <c r="M412" s="10">
        <f t="shared" si="71"/>
        <v>1</v>
      </c>
      <c r="N412" s="11">
        <f t="shared" si="72"/>
        <v>0</v>
      </c>
      <c r="O412" s="8">
        <f t="shared" si="73"/>
        <v>0</v>
      </c>
      <c r="P412" s="12">
        <f t="shared" si="74"/>
        <v>0</v>
      </c>
    </row>
    <row r="413" spans="1:16">
      <c r="A413" s="2">
        <v>46248</v>
      </c>
      <c r="B413" s="3">
        <f>Data_Entry!P503</f>
        <v>0</v>
      </c>
      <c r="C413" s="4">
        <f>Data_Entry!V503</f>
        <v>0</v>
      </c>
      <c r="D413" s="5">
        <f t="shared" si="75"/>
        <v>0</v>
      </c>
      <c r="E413" s="6">
        <v>0</v>
      </c>
      <c r="F413" s="6">
        <v>0</v>
      </c>
      <c r="G413" s="7">
        <f t="shared" si="69"/>
        <v>0</v>
      </c>
      <c r="H413" s="7">
        <f t="shared" si="76"/>
        <v>0</v>
      </c>
      <c r="I413" s="8">
        <v>2411</v>
      </c>
      <c r="J413" s="9"/>
      <c r="K413" s="8">
        <f t="shared" si="70"/>
        <v>28932</v>
      </c>
      <c r="L413" s="7">
        <f t="shared" si="77"/>
        <v>0</v>
      </c>
      <c r="M413" s="10">
        <f t="shared" si="71"/>
        <v>1</v>
      </c>
      <c r="N413" s="11">
        <f t="shared" si="72"/>
        <v>0</v>
      </c>
      <c r="O413" s="8">
        <f t="shared" si="73"/>
        <v>0</v>
      </c>
      <c r="P413" s="12">
        <f t="shared" si="74"/>
        <v>0</v>
      </c>
    </row>
    <row r="414" spans="1:16">
      <c r="A414" s="2">
        <v>46249</v>
      </c>
      <c r="B414" s="3">
        <f>Data_Entry!P504</f>
        <v>0</v>
      </c>
      <c r="C414" s="4">
        <f>Data_Entry!V504</f>
        <v>0</v>
      </c>
      <c r="D414" s="5">
        <f t="shared" si="75"/>
        <v>0</v>
      </c>
      <c r="E414" s="6">
        <v>0</v>
      </c>
      <c r="F414" s="6">
        <v>0</v>
      </c>
      <c r="G414" s="7">
        <f t="shared" si="69"/>
        <v>0</v>
      </c>
      <c r="H414" s="7">
        <f t="shared" si="76"/>
        <v>0</v>
      </c>
      <c r="I414" s="8">
        <v>2411</v>
      </c>
      <c r="J414" s="9"/>
      <c r="K414" s="8">
        <f t="shared" si="70"/>
        <v>28932</v>
      </c>
      <c r="L414" s="7">
        <f t="shared" si="77"/>
        <v>0</v>
      </c>
      <c r="M414" s="10">
        <f t="shared" si="71"/>
        <v>1</v>
      </c>
      <c r="N414" s="11">
        <f t="shared" si="72"/>
        <v>0</v>
      </c>
      <c r="O414" s="8">
        <f t="shared" si="73"/>
        <v>0</v>
      </c>
      <c r="P414" s="12">
        <f t="shared" si="74"/>
        <v>0</v>
      </c>
    </row>
    <row r="415" spans="1:16">
      <c r="A415" s="2">
        <v>46250</v>
      </c>
      <c r="B415" s="3">
        <f>Data_Entry!P505</f>
        <v>0</v>
      </c>
      <c r="C415" s="4">
        <f>Data_Entry!V505</f>
        <v>0</v>
      </c>
      <c r="D415" s="5">
        <f t="shared" si="75"/>
        <v>0</v>
      </c>
      <c r="E415" s="6">
        <v>0</v>
      </c>
      <c r="F415" s="6">
        <v>0</v>
      </c>
      <c r="G415" s="7">
        <f t="shared" si="69"/>
        <v>0</v>
      </c>
      <c r="H415" s="7">
        <f t="shared" si="76"/>
        <v>0</v>
      </c>
      <c r="I415" s="8">
        <v>2411</v>
      </c>
      <c r="J415" s="9"/>
      <c r="K415" s="8">
        <f t="shared" si="70"/>
        <v>28932</v>
      </c>
      <c r="L415" s="7">
        <f t="shared" si="77"/>
        <v>0</v>
      </c>
      <c r="M415" s="10">
        <f t="shared" si="71"/>
        <v>1</v>
      </c>
      <c r="N415" s="11">
        <f t="shared" si="72"/>
        <v>0</v>
      </c>
      <c r="O415" s="8">
        <f t="shared" si="73"/>
        <v>0</v>
      </c>
      <c r="P415" s="12">
        <f t="shared" si="74"/>
        <v>0</v>
      </c>
    </row>
    <row r="416" spans="1:16">
      <c r="A416" s="2">
        <v>46251</v>
      </c>
      <c r="B416" s="3">
        <f>Data_Entry!P506</f>
        <v>0</v>
      </c>
      <c r="C416" s="4">
        <f>Data_Entry!V506</f>
        <v>0</v>
      </c>
      <c r="D416" s="5">
        <f t="shared" ref="D416:D447" si="78">B416/(24*I416)</f>
        <v>0</v>
      </c>
      <c r="E416" s="6">
        <v>0</v>
      </c>
      <c r="F416" s="6">
        <v>0</v>
      </c>
      <c r="G416" s="7">
        <f t="shared" si="69"/>
        <v>0</v>
      </c>
      <c r="H416" s="7">
        <f t="shared" ref="H416:H447" si="79">G416/60</f>
        <v>0</v>
      </c>
      <c r="I416" s="8">
        <v>2411</v>
      </c>
      <c r="J416" s="9"/>
      <c r="K416" s="8">
        <f t="shared" si="70"/>
        <v>28932</v>
      </c>
      <c r="L416" s="7">
        <f t="shared" ref="L416:L447" si="80">J416*H416</f>
        <v>0</v>
      </c>
      <c r="M416" s="10">
        <f t="shared" si="71"/>
        <v>1</v>
      </c>
      <c r="N416" s="11">
        <f t="shared" si="72"/>
        <v>0</v>
      </c>
      <c r="O416" s="8">
        <f t="shared" si="73"/>
        <v>0</v>
      </c>
      <c r="P416" s="12">
        <f t="shared" si="74"/>
        <v>0</v>
      </c>
    </row>
    <row r="417" spans="1:16">
      <c r="A417" s="2">
        <v>46252</v>
      </c>
      <c r="B417" s="3">
        <f>Data_Entry!P507</f>
        <v>0</v>
      </c>
      <c r="C417" s="4">
        <f>Data_Entry!V507</f>
        <v>0</v>
      </c>
      <c r="D417" s="5">
        <f t="shared" si="78"/>
        <v>0</v>
      </c>
      <c r="E417" s="6">
        <v>0</v>
      </c>
      <c r="F417" s="6">
        <v>0</v>
      </c>
      <c r="G417" s="7">
        <f t="shared" si="69"/>
        <v>0</v>
      </c>
      <c r="H417" s="7">
        <f t="shared" si="79"/>
        <v>0</v>
      </c>
      <c r="I417" s="8">
        <v>2411</v>
      </c>
      <c r="J417" s="9"/>
      <c r="K417" s="8">
        <f t="shared" si="70"/>
        <v>28932</v>
      </c>
      <c r="L417" s="7">
        <f t="shared" si="80"/>
        <v>0</v>
      </c>
      <c r="M417" s="10">
        <f t="shared" si="71"/>
        <v>1</v>
      </c>
      <c r="N417" s="11">
        <f t="shared" si="72"/>
        <v>0</v>
      </c>
      <c r="O417" s="8">
        <f t="shared" si="73"/>
        <v>0</v>
      </c>
      <c r="P417" s="12">
        <f t="shared" si="74"/>
        <v>0</v>
      </c>
    </row>
    <row r="418" spans="1:16">
      <c r="A418" s="2">
        <v>46253</v>
      </c>
      <c r="B418" s="3">
        <f>Data_Entry!P508</f>
        <v>0</v>
      </c>
      <c r="C418" s="4">
        <f>Data_Entry!V508</f>
        <v>0</v>
      </c>
      <c r="D418" s="5">
        <f t="shared" si="78"/>
        <v>0</v>
      </c>
      <c r="E418" s="6">
        <v>0</v>
      </c>
      <c r="F418" s="6">
        <v>0</v>
      </c>
      <c r="G418" s="7">
        <f t="shared" si="69"/>
        <v>0</v>
      </c>
      <c r="H418" s="7">
        <f t="shared" si="79"/>
        <v>0</v>
      </c>
      <c r="I418" s="8">
        <v>2411</v>
      </c>
      <c r="J418" s="9"/>
      <c r="K418" s="8">
        <f t="shared" si="70"/>
        <v>28932</v>
      </c>
      <c r="L418" s="7">
        <f t="shared" si="80"/>
        <v>0</v>
      </c>
      <c r="M418" s="10">
        <f t="shared" si="71"/>
        <v>1</v>
      </c>
      <c r="N418" s="11">
        <f t="shared" si="72"/>
        <v>0</v>
      </c>
      <c r="O418" s="8">
        <f t="shared" si="73"/>
        <v>0</v>
      </c>
      <c r="P418" s="12">
        <f t="shared" si="74"/>
        <v>0</v>
      </c>
    </row>
    <row r="419" spans="1:16">
      <c r="A419" s="2">
        <v>46254</v>
      </c>
      <c r="B419" s="3">
        <f>Data_Entry!P509</f>
        <v>0</v>
      </c>
      <c r="C419" s="4">
        <f>Data_Entry!V509</f>
        <v>0</v>
      </c>
      <c r="D419" s="5">
        <f t="shared" si="78"/>
        <v>0</v>
      </c>
      <c r="E419" s="6">
        <v>0</v>
      </c>
      <c r="F419" s="6">
        <v>0</v>
      </c>
      <c r="G419" s="7">
        <f t="shared" ref="G419:G470" si="81">(F419-E419)*24*60</f>
        <v>0</v>
      </c>
      <c r="H419" s="7">
        <f t="shared" si="79"/>
        <v>0</v>
      </c>
      <c r="I419" s="8">
        <v>2411</v>
      </c>
      <c r="J419" s="9"/>
      <c r="K419" s="8">
        <f t="shared" ref="K419:K470" si="82">I419*12</f>
        <v>28932</v>
      </c>
      <c r="L419" s="7">
        <f t="shared" si="80"/>
        <v>0</v>
      </c>
      <c r="M419" s="10">
        <f t="shared" ref="M419:M470" si="83">(K419-L419)/K419</f>
        <v>1</v>
      </c>
      <c r="N419" s="11">
        <f t="shared" ref="N419:N470" si="84">D419/M419</f>
        <v>0</v>
      </c>
      <c r="O419" s="8">
        <f t="shared" ref="O419:O470" si="85">N419*I419*24</f>
        <v>0</v>
      </c>
      <c r="P419" s="12">
        <f t="shared" ref="P419:P470" si="86">O419-B419</f>
        <v>0</v>
      </c>
    </row>
    <row r="420" spans="1:16">
      <c r="A420" s="2">
        <v>46255</v>
      </c>
      <c r="B420" s="3">
        <f>Data_Entry!P510</f>
        <v>0</v>
      </c>
      <c r="C420" s="4">
        <f>Data_Entry!V510</f>
        <v>0</v>
      </c>
      <c r="D420" s="5">
        <f t="shared" si="78"/>
        <v>0</v>
      </c>
      <c r="E420" s="6">
        <v>0</v>
      </c>
      <c r="F420" s="6">
        <v>0</v>
      </c>
      <c r="G420" s="7">
        <f t="shared" si="81"/>
        <v>0</v>
      </c>
      <c r="H420" s="7">
        <f t="shared" si="79"/>
        <v>0</v>
      </c>
      <c r="I420" s="8">
        <v>2411</v>
      </c>
      <c r="J420" s="9"/>
      <c r="K420" s="8">
        <f t="shared" si="82"/>
        <v>28932</v>
      </c>
      <c r="L420" s="7">
        <f t="shared" si="80"/>
        <v>0</v>
      </c>
      <c r="M420" s="10">
        <f t="shared" si="83"/>
        <v>1</v>
      </c>
      <c r="N420" s="11">
        <f t="shared" si="84"/>
        <v>0</v>
      </c>
      <c r="O420" s="8">
        <f t="shared" si="85"/>
        <v>0</v>
      </c>
      <c r="P420" s="12">
        <f t="shared" si="86"/>
        <v>0</v>
      </c>
    </row>
    <row r="421" spans="1:16">
      <c r="A421" s="2">
        <v>46256</v>
      </c>
      <c r="B421" s="3">
        <f>Data_Entry!P511</f>
        <v>0</v>
      </c>
      <c r="C421" s="4">
        <f>Data_Entry!V511</f>
        <v>0</v>
      </c>
      <c r="D421" s="5">
        <f t="shared" si="78"/>
        <v>0</v>
      </c>
      <c r="E421" s="6">
        <v>0</v>
      </c>
      <c r="F421" s="6">
        <v>0</v>
      </c>
      <c r="G421" s="7">
        <f t="shared" si="81"/>
        <v>0</v>
      </c>
      <c r="H421" s="7">
        <f t="shared" si="79"/>
        <v>0</v>
      </c>
      <c r="I421" s="8">
        <v>2411</v>
      </c>
      <c r="J421" s="9"/>
      <c r="K421" s="8">
        <f t="shared" si="82"/>
        <v>28932</v>
      </c>
      <c r="L421" s="7">
        <f t="shared" si="80"/>
        <v>0</v>
      </c>
      <c r="M421" s="10">
        <f t="shared" si="83"/>
        <v>1</v>
      </c>
      <c r="N421" s="11">
        <f t="shared" si="84"/>
        <v>0</v>
      </c>
      <c r="O421" s="8">
        <f t="shared" si="85"/>
        <v>0</v>
      </c>
      <c r="P421" s="12">
        <f t="shared" si="86"/>
        <v>0</v>
      </c>
    </row>
    <row r="422" spans="1:16">
      <c r="A422" s="2">
        <v>46257</v>
      </c>
      <c r="B422" s="3">
        <f>Data_Entry!P512</f>
        <v>0</v>
      </c>
      <c r="C422" s="4">
        <f>Data_Entry!V512</f>
        <v>0</v>
      </c>
      <c r="D422" s="5">
        <f t="shared" si="78"/>
        <v>0</v>
      </c>
      <c r="E422" s="6">
        <v>0</v>
      </c>
      <c r="F422" s="6">
        <v>0</v>
      </c>
      <c r="G422" s="7">
        <f t="shared" si="81"/>
        <v>0</v>
      </c>
      <c r="H422" s="7">
        <f t="shared" si="79"/>
        <v>0</v>
      </c>
      <c r="I422" s="8">
        <v>2411</v>
      </c>
      <c r="J422" s="9"/>
      <c r="K422" s="8">
        <f t="shared" si="82"/>
        <v>28932</v>
      </c>
      <c r="L422" s="7">
        <f t="shared" si="80"/>
        <v>0</v>
      </c>
      <c r="M422" s="10">
        <f t="shared" si="83"/>
        <v>1</v>
      </c>
      <c r="N422" s="11">
        <f t="shared" si="84"/>
        <v>0</v>
      </c>
      <c r="O422" s="8">
        <f t="shared" si="85"/>
        <v>0</v>
      </c>
      <c r="P422" s="12">
        <f t="shared" si="86"/>
        <v>0</v>
      </c>
    </row>
    <row r="423" spans="1:16">
      <c r="A423" s="2">
        <v>46258</v>
      </c>
      <c r="B423" s="3">
        <f>Data_Entry!P513</f>
        <v>0</v>
      </c>
      <c r="C423" s="4">
        <f>Data_Entry!V513</f>
        <v>0</v>
      </c>
      <c r="D423" s="5">
        <f t="shared" si="78"/>
        <v>0</v>
      </c>
      <c r="E423" s="6">
        <v>0</v>
      </c>
      <c r="F423" s="6">
        <v>0</v>
      </c>
      <c r="G423" s="7">
        <f t="shared" si="81"/>
        <v>0</v>
      </c>
      <c r="H423" s="7">
        <f t="shared" si="79"/>
        <v>0</v>
      </c>
      <c r="I423" s="8">
        <v>2411</v>
      </c>
      <c r="J423" s="9"/>
      <c r="K423" s="8">
        <f t="shared" si="82"/>
        <v>28932</v>
      </c>
      <c r="L423" s="7">
        <f t="shared" si="80"/>
        <v>0</v>
      </c>
      <c r="M423" s="10">
        <f t="shared" si="83"/>
        <v>1</v>
      </c>
      <c r="N423" s="11">
        <f t="shared" si="84"/>
        <v>0</v>
      </c>
      <c r="O423" s="8">
        <f t="shared" si="85"/>
        <v>0</v>
      </c>
      <c r="P423" s="12">
        <f t="shared" si="86"/>
        <v>0</v>
      </c>
    </row>
    <row r="424" spans="1:16">
      <c r="A424" s="2">
        <v>46259</v>
      </c>
      <c r="B424" s="3">
        <f>Data_Entry!P514</f>
        <v>0</v>
      </c>
      <c r="C424" s="4">
        <f>Data_Entry!V514</f>
        <v>0</v>
      </c>
      <c r="D424" s="5">
        <f t="shared" si="78"/>
        <v>0</v>
      </c>
      <c r="E424" s="6">
        <v>0</v>
      </c>
      <c r="F424" s="6">
        <v>0</v>
      </c>
      <c r="G424" s="7">
        <f t="shared" si="81"/>
        <v>0</v>
      </c>
      <c r="H424" s="7">
        <f t="shared" si="79"/>
        <v>0</v>
      </c>
      <c r="I424" s="8">
        <v>2411</v>
      </c>
      <c r="J424" s="9"/>
      <c r="K424" s="8">
        <f t="shared" si="82"/>
        <v>28932</v>
      </c>
      <c r="L424" s="7">
        <f t="shared" si="80"/>
        <v>0</v>
      </c>
      <c r="M424" s="10">
        <f t="shared" si="83"/>
        <v>1</v>
      </c>
      <c r="N424" s="11">
        <f t="shared" si="84"/>
        <v>0</v>
      </c>
      <c r="O424" s="8">
        <f t="shared" si="85"/>
        <v>0</v>
      </c>
      <c r="P424" s="12">
        <f t="shared" si="86"/>
        <v>0</v>
      </c>
    </row>
    <row r="425" spans="1:16">
      <c r="A425" s="2">
        <v>46260</v>
      </c>
      <c r="B425" s="3">
        <f>Data_Entry!P515</f>
        <v>0</v>
      </c>
      <c r="C425" s="4">
        <f>Data_Entry!V515</f>
        <v>0</v>
      </c>
      <c r="D425" s="5">
        <f t="shared" si="78"/>
        <v>0</v>
      </c>
      <c r="E425" s="6">
        <v>0</v>
      </c>
      <c r="F425" s="6">
        <v>0</v>
      </c>
      <c r="G425" s="7">
        <f t="shared" si="81"/>
        <v>0</v>
      </c>
      <c r="H425" s="7">
        <f t="shared" si="79"/>
        <v>0</v>
      </c>
      <c r="I425" s="8">
        <v>2411</v>
      </c>
      <c r="J425" s="9"/>
      <c r="K425" s="8">
        <f t="shared" si="82"/>
        <v>28932</v>
      </c>
      <c r="L425" s="7">
        <f t="shared" si="80"/>
        <v>0</v>
      </c>
      <c r="M425" s="10">
        <f t="shared" si="83"/>
        <v>1</v>
      </c>
      <c r="N425" s="11">
        <f t="shared" si="84"/>
        <v>0</v>
      </c>
      <c r="O425" s="8">
        <f t="shared" si="85"/>
        <v>0</v>
      </c>
      <c r="P425" s="12">
        <f t="shared" si="86"/>
        <v>0</v>
      </c>
    </row>
    <row r="426" spans="1:16">
      <c r="A426" s="2">
        <v>46261</v>
      </c>
      <c r="B426" s="3">
        <f>Data_Entry!P516</f>
        <v>0</v>
      </c>
      <c r="C426" s="4">
        <f>Data_Entry!V516</f>
        <v>0</v>
      </c>
      <c r="D426" s="5">
        <f t="shared" si="78"/>
        <v>0</v>
      </c>
      <c r="E426" s="6">
        <v>0</v>
      </c>
      <c r="F426" s="6">
        <v>0</v>
      </c>
      <c r="G426" s="7">
        <f t="shared" si="81"/>
        <v>0</v>
      </c>
      <c r="H426" s="7">
        <f t="shared" si="79"/>
        <v>0</v>
      </c>
      <c r="I426" s="8">
        <v>2411</v>
      </c>
      <c r="J426" s="9"/>
      <c r="K426" s="8">
        <f t="shared" si="82"/>
        <v>28932</v>
      </c>
      <c r="L426" s="7">
        <f t="shared" si="80"/>
        <v>0</v>
      </c>
      <c r="M426" s="10">
        <f t="shared" si="83"/>
        <v>1</v>
      </c>
      <c r="N426" s="11">
        <f t="shared" si="84"/>
        <v>0</v>
      </c>
      <c r="O426" s="8">
        <f t="shared" si="85"/>
        <v>0</v>
      </c>
      <c r="P426" s="12">
        <f t="shared" si="86"/>
        <v>0</v>
      </c>
    </row>
    <row r="427" spans="1:16">
      <c r="A427" s="2">
        <v>46262</v>
      </c>
      <c r="B427" s="3">
        <f>Data_Entry!P517</f>
        <v>0</v>
      </c>
      <c r="C427" s="4">
        <f>Data_Entry!V517</f>
        <v>0</v>
      </c>
      <c r="D427" s="5">
        <f t="shared" si="78"/>
        <v>0</v>
      </c>
      <c r="E427" s="6">
        <v>0</v>
      </c>
      <c r="F427" s="6">
        <v>0</v>
      </c>
      <c r="G427" s="7">
        <f t="shared" si="81"/>
        <v>0</v>
      </c>
      <c r="H427" s="7">
        <f t="shared" si="79"/>
        <v>0</v>
      </c>
      <c r="I427" s="8">
        <v>2411</v>
      </c>
      <c r="J427" s="9"/>
      <c r="K427" s="8">
        <f t="shared" si="82"/>
        <v>28932</v>
      </c>
      <c r="L427" s="7">
        <f t="shared" si="80"/>
        <v>0</v>
      </c>
      <c r="M427" s="10">
        <f t="shared" si="83"/>
        <v>1</v>
      </c>
      <c r="N427" s="11">
        <f t="shared" si="84"/>
        <v>0</v>
      </c>
      <c r="O427" s="8">
        <f t="shared" si="85"/>
        <v>0</v>
      </c>
      <c r="P427" s="12">
        <f t="shared" si="86"/>
        <v>0</v>
      </c>
    </row>
    <row r="428" spans="1:16">
      <c r="A428" s="2">
        <v>46263</v>
      </c>
      <c r="B428" s="3">
        <f>Data_Entry!P518</f>
        <v>0</v>
      </c>
      <c r="C428" s="4">
        <f>Data_Entry!V518</f>
        <v>0</v>
      </c>
      <c r="D428" s="5">
        <f t="shared" si="78"/>
        <v>0</v>
      </c>
      <c r="E428" s="6">
        <v>0</v>
      </c>
      <c r="F428" s="6">
        <v>0</v>
      </c>
      <c r="G428" s="7">
        <f t="shared" si="81"/>
        <v>0</v>
      </c>
      <c r="H428" s="7">
        <f t="shared" si="79"/>
        <v>0</v>
      </c>
      <c r="I428" s="8">
        <v>2411</v>
      </c>
      <c r="J428" s="9"/>
      <c r="K428" s="8">
        <f t="shared" si="82"/>
        <v>28932</v>
      </c>
      <c r="L428" s="7">
        <f t="shared" si="80"/>
        <v>0</v>
      </c>
      <c r="M428" s="10">
        <f t="shared" si="83"/>
        <v>1</v>
      </c>
      <c r="N428" s="11">
        <f t="shared" si="84"/>
        <v>0</v>
      </c>
      <c r="O428" s="8">
        <f t="shared" si="85"/>
        <v>0</v>
      </c>
      <c r="P428" s="12">
        <f t="shared" si="86"/>
        <v>0</v>
      </c>
    </row>
    <row r="429" spans="1:16">
      <c r="A429" s="2">
        <v>46264</v>
      </c>
      <c r="B429" s="3">
        <f>Data_Entry!P519</f>
        <v>0</v>
      </c>
      <c r="C429" s="4">
        <f>Data_Entry!V519</f>
        <v>0</v>
      </c>
      <c r="D429" s="5">
        <f t="shared" si="78"/>
        <v>0</v>
      </c>
      <c r="E429" s="6">
        <v>0</v>
      </c>
      <c r="F429" s="6">
        <v>0</v>
      </c>
      <c r="G429" s="7">
        <f t="shared" si="81"/>
        <v>0</v>
      </c>
      <c r="H429" s="7">
        <f t="shared" si="79"/>
        <v>0</v>
      </c>
      <c r="I429" s="8">
        <v>2411</v>
      </c>
      <c r="J429" s="9"/>
      <c r="K429" s="8">
        <f t="shared" si="82"/>
        <v>28932</v>
      </c>
      <c r="L429" s="7">
        <f t="shared" si="80"/>
        <v>0</v>
      </c>
      <c r="M429" s="10">
        <f t="shared" si="83"/>
        <v>1</v>
      </c>
      <c r="N429" s="11">
        <f t="shared" si="84"/>
        <v>0</v>
      </c>
      <c r="O429" s="8">
        <f t="shared" si="85"/>
        <v>0</v>
      </c>
      <c r="P429" s="12">
        <f t="shared" si="86"/>
        <v>0</v>
      </c>
    </row>
    <row r="430" spans="1:16">
      <c r="A430" s="2">
        <v>46265</v>
      </c>
      <c r="B430" s="3">
        <f>Data_Entry!P520</f>
        <v>0</v>
      </c>
      <c r="C430" s="4">
        <f>Data_Entry!V520</f>
        <v>0</v>
      </c>
      <c r="D430" s="5">
        <f t="shared" si="78"/>
        <v>0</v>
      </c>
      <c r="E430" s="6">
        <v>0</v>
      </c>
      <c r="F430" s="6">
        <v>0</v>
      </c>
      <c r="G430" s="7">
        <f t="shared" si="81"/>
        <v>0</v>
      </c>
      <c r="H430" s="7">
        <f t="shared" si="79"/>
        <v>0</v>
      </c>
      <c r="I430" s="8">
        <v>2411</v>
      </c>
      <c r="J430" s="9"/>
      <c r="K430" s="8">
        <f t="shared" si="82"/>
        <v>28932</v>
      </c>
      <c r="L430" s="7">
        <f t="shared" si="80"/>
        <v>0</v>
      </c>
      <c r="M430" s="10">
        <f t="shared" si="83"/>
        <v>1</v>
      </c>
      <c r="N430" s="11">
        <f t="shared" si="84"/>
        <v>0</v>
      </c>
      <c r="O430" s="8">
        <f t="shared" si="85"/>
        <v>0</v>
      </c>
      <c r="P430" s="12">
        <f t="shared" si="86"/>
        <v>0</v>
      </c>
    </row>
    <row r="431" spans="1:16">
      <c r="A431" s="2">
        <v>46266</v>
      </c>
      <c r="B431" s="3">
        <f>Data_Entry!P521</f>
        <v>0</v>
      </c>
      <c r="C431" s="4">
        <f>Data_Entry!V521</f>
        <v>0</v>
      </c>
      <c r="D431" s="5">
        <f t="shared" si="78"/>
        <v>0</v>
      </c>
      <c r="E431" s="6">
        <v>0</v>
      </c>
      <c r="F431" s="6">
        <v>0</v>
      </c>
      <c r="G431" s="7">
        <f t="shared" si="81"/>
        <v>0</v>
      </c>
      <c r="H431" s="7">
        <f t="shared" si="79"/>
        <v>0</v>
      </c>
      <c r="I431" s="8">
        <v>2411</v>
      </c>
      <c r="J431" s="9"/>
      <c r="K431" s="8">
        <f t="shared" si="82"/>
        <v>28932</v>
      </c>
      <c r="L431" s="7">
        <f t="shared" si="80"/>
        <v>0</v>
      </c>
      <c r="M431" s="10">
        <f t="shared" si="83"/>
        <v>1</v>
      </c>
      <c r="N431" s="11">
        <f t="shared" si="84"/>
        <v>0</v>
      </c>
      <c r="O431" s="8">
        <f t="shared" si="85"/>
        <v>0</v>
      </c>
      <c r="P431" s="12">
        <f t="shared" si="86"/>
        <v>0</v>
      </c>
    </row>
    <row r="432" spans="1:16">
      <c r="A432" s="2">
        <v>46267</v>
      </c>
      <c r="B432" s="3">
        <f>Data_Entry!P522</f>
        <v>0</v>
      </c>
      <c r="C432" s="4">
        <f>Data_Entry!V522</f>
        <v>0</v>
      </c>
      <c r="D432" s="5">
        <f t="shared" si="78"/>
        <v>0</v>
      </c>
      <c r="E432" s="6">
        <v>0</v>
      </c>
      <c r="F432" s="6">
        <v>0</v>
      </c>
      <c r="G432" s="7">
        <f t="shared" si="81"/>
        <v>0</v>
      </c>
      <c r="H432" s="7">
        <f t="shared" si="79"/>
        <v>0</v>
      </c>
      <c r="I432" s="8">
        <v>2411</v>
      </c>
      <c r="J432" s="9"/>
      <c r="K432" s="8">
        <f t="shared" si="82"/>
        <v>28932</v>
      </c>
      <c r="L432" s="7">
        <f t="shared" si="80"/>
        <v>0</v>
      </c>
      <c r="M432" s="10">
        <f t="shared" si="83"/>
        <v>1</v>
      </c>
      <c r="N432" s="11">
        <f t="shared" si="84"/>
        <v>0</v>
      </c>
      <c r="O432" s="8">
        <f t="shared" si="85"/>
        <v>0</v>
      </c>
      <c r="P432" s="12">
        <f t="shared" si="86"/>
        <v>0</v>
      </c>
    </row>
    <row r="433" spans="1:16">
      <c r="A433" s="2">
        <v>46268</v>
      </c>
      <c r="B433" s="3">
        <f>Data_Entry!P523</f>
        <v>0</v>
      </c>
      <c r="C433" s="4">
        <f>Data_Entry!V523</f>
        <v>0</v>
      </c>
      <c r="D433" s="5">
        <f t="shared" si="78"/>
        <v>0</v>
      </c>
      <c r="E433" s="6">
        <v>0</v>
      </c>
      <c r="F433" s="6">
        <v>0</v>
      </c>
      <c r="G433" s="7">
        <f t="shared" si="81"/>
        <v>0</v>
      </c>
      <c r="H433" s="7">
        <f t="shared" si="79"/>
        <v>0</v>
      </c>
      <c r="I433" s="8">
        <v>2411</v>
      </c>
      <c r="J433" s="9"/>
      <c r="K433" s="8">
        <f t="shared" si="82"/>
        <v>28932</v>
      </c>
      <c r="L433" s="7">
        <f t="shared" si="80"/>
        <v>0</v>
      </c>
      <c r="M433" s="10">
        <f t="shared" si="83"/>
        <v>1</v>
      </c>
      <c r="N433" s="11">
        <f t="shared" si="84"/>
        <v>0</v>
      </c>
      <c r="O433" s="8">
        <f t="shared" si="85"/>
        <v>0</v>
      </c>
      <c r="P433" s="12">
        <f t="shared" si="86"/>
        <v>0</v>
      </c>
    </row>
    <row r="434" spans="1:16">
      <c r="A434" s="2">
        <v>46269</v>
      </c>
      <c r="B434" s="3">
        <f>Data_Entry!P524</f>
        <v>0</v>
      </c>
      <c r="C434" s="4">
        <f>Data_Entry!V524</f>
        <v>0</v>
      </c>
      <c r="D434" s="5">
        <f t="shared" si="78"/>
        <v>0</v>
      </c>
      <c r="E434" s="6">
        <v>0</v>
      </c>
      <c r="F434" s="6">
        <v>0</v>
      </c>
      <c r="G434" s="7">
        <f t="shared" si="81"/>
        <v>0</v>
      </c>
      <c r="H434" s="7">
        <f t="shared" si="79"/>
        <v>0</v>
      </c>
      <c r="I434" s="8">
        <v>2411</v>
      </c>
      <c r="J434" s="9"/>
      <c r="K434" s="8">
        <f t="shared" si="82"/>
        <v>28932</v>
      </c>
      <c r="L434" s="7">
        <f t="shared" si="80"/>
        <v>0</v>
      </c>
      <c r="M434" s="10">
        <f t="shared" si="83"/>
        <v>1</v>
      </c>
      <c r="N434" s="11">
        <f t="shared" si="84"/>
        <v>0</v>
      </c>
      <c r="O434" s="8">
        <f t="shared" si="85"/>
        <v>0</v>
      </c>
      <c r="P434" s="12">
        <f t="shared" si="86"/>
        <v>0</v>
      </c>
    </row>
    <row r="435" spans="1:16">
      <c r="A435" s="2">
        <v>46270</v>
      </c>
      <c r="B435" s="3">
        <f>Data_Entry!P525</f>
        <v>0</v>
      </c>
      <c r="C435" s="4">
        <f>Data_Entry!V525</f>
        <v>0</v>
      </c>
      <c r="D435" s="5">
        <f t="shared" si="78"/>
        <v>0</v>
      </c>
      <c r="E435" s="6">
        <v>0</v>
      </c>
      <c r="F435" s="6">
        <v>0</v>
      </c>
      <c r="G435" s="7">
        <f t="shared" si="81"/>
        <v>0</v>
      </c>
      <c r="H435" s="7">
        <f t="shared" si="79"/>
        <v>0</v>
      </c>
      <c r="I435" s="8">
        <v>2411</v>
      </c>
      <c r="J435" s="9"/>
      <c r="K435" s="8">
        <f t="shared" si="82"/>
        <v>28932</v>
      </c>
      <c r="L435" s="7">
        <f t="shared" si="80"/>
        <v>0</v>
      </c>
      <c r="M435" s="10">
        <f t="shared" si="83"/>
        <v>1</v>
      </c>
      <c r="N435" s="11">
        <f t="shared" si="84"/>
        <v>0</v>
      </c>
      <c r="O435" s="8">
        <f t="shared" si="85"/>
        <v>0</v>
      </c>
      <c r="P435" s="12">
        <f t="shared" si="86"/>
        <v>0</v>
      </c>
    </row>
    <row r="436" spans="1:16">
      <c r="A436" s="2">
        <v>46271</v>
      </c>
      <c r="B436" s="3">
        <f>Data_Entry!P526</f>
        <v>0</v>
      </c>
      <c r="C436" s="4">
        <f>Data_Entry!V526</f>
        <v>0</v>
      </c>
      <c r="D436" s="5">
        <f t="shared" si="78"/>
        <v>0</v>
      </c>
      <c r="E436" s="6">
        <v>0</v>
      </c>
      <c r="F436" s="6">
        <v>0</v>
      </c>
      <c r="G436" s="7">
        <f t="shared" si="81"/>
        <v>0</v>
      </c>
      <c r="H436" s="7">
        <f t="shared" si="79"/>
        <v>0</v>
      </c>
      <c r="I436" s="8">
        <v>2411</v>
      </c>
      <c r="J436" s="9"/>
      <c r="K436" s="8">
        <f t="shared" si="82"/>
        <v>28932</v>
      </c>
      <c r="L436" s="7">
        <f t="shared" si="80"/>
        <v>0</v>
      </c>
      <c r="M436" s="10">
        <f t="shared" si="83"/>
        <v>1</v>
      </c>
      <c r="N436" s="11">
        <f t="shared" si="84"/>
        <v>0</v>
      </c>
      <c r="O436" s="8">
        <f t="shared" si="85"/>
        <v>0</v>
      </c>
      <c r="P436" s="12">
        <f t="shared" si="86"/>
        <v>0</v>
      </c>
    </row>
    <row r="437" spans="1:16">
      <c r="A437" s="2">
        <v>46272</v>
      </c>
      <c r="B437" s="3">
        <f>Data_Entry!P527</f>
        <v>0</v>
      </c>
      <c r="C437" s="4">
        <f>Data_Entry!V527</f>
        <v>0</v>
      </c>
      <c r="D437" s="5">
        <f t="shared" si="78"/>
        <v>0</v>
      </c>
      <c r="E437" s="6">
        <v>0</v>
      </c>
      <c r="F437" s="6">
        <v>0</v>
      </c>
      <c r="G437" s="7">
        <f t="shared" si="81"/>
        <v>0</v>
      </c>
      <c r="H437" s="7">
        <f t="shared" si="79"/>
        <v>0</v>
      </c>
      <c r="I437" s="8">
        <v>2411</v>
      </c>
      <c r="J437" s="9"/>
      <c r="K437" s="8">
        <f t="shared" si="82"/>
        <v>28932</v>
      </c>
      <c r="L437" s="7">
        <f t="shared" si="80"/>
        <v>0</v>
      </c>
      <c r="M437" s="10">
        <f t="shared" si="83"/>
        <v>1</v>
      </c>
      <c r="N437" s="11">
        <f t="shared" si="84"/>
        <v>0</v>
      </c>
      <c r="O437" s="8">
        <f t="shared" si="85"/>
        <v>0</v>
      </c>
      <c r="P437" s="12">
        <f t="shared" si="86"/>
        <v>0</v>
      </c>
    </row>
    <row r="438" spans="1:16">
      <c r="A438" s="2">
        <v>46273</v>
      </c>
      <c r="B438" s="3">
        <f>Data_Entry!P528</f>
        <v>0</v>
      </c>
      <c r="C438" s="4">
        <f>Data_Entry!V528</f>
        <v>0</v>
      </c>
      <c r="D438" s="5">
        <f t="shared" si="78"/>
        <v>0</v>
      </c>
      <c r="E438" s="6">
        <v>0</v>
      </c>
      <c r="F438" s="6">
        <v>0</v>
      </c>
      <c r="G438" s="7">
        <f t="shared" si="81"/>
        <v>0</v>
      </c>
      <c r="H438" s="7">
        <f t="shared" si="79"/>
        <v>0</v>
      </c>
      <c r="I438" s="8">
        <v>2411</v>
      </c>
      <c r="J438" s="9"/>
      <c r="K438" s="8">
        <f t="shared" si="82"/>
        <v>28932</v>
      </c>
      <c r="L438" s="7">
        <f t="shared" si="80"/>
        <v>0</v>
      </c>
      <c r="M438" s="10">
        <f t="shared" si="83"/>
        <v>1</v>
      </c>
      <c r="N438" s="11">
        <f t="shared" si="84"/>
        <v>0</v>
      </c>
      <c r="O438" s="8">
        <f t="shared" si="85"/>
        <v>0</v>
      </c>
      <c r="P438" s="12">
        <f t="shared" si="86"/>
        <v>0</v>
      </c>
    </row>
    <row r="439" spans="1:16">
      <c r="A439" s="2">
        <v>46274</v>
      </c>
      <c r="B439" s="3">
        <f>Data_Entry!P529</f>
        <v>0</v>
      </c>
      <c r="C439" s="4">
        <f>Data_Entry!V529</f>
        <v>0</v>
      </c>
      <c r="D439" s="5">
        <f t="shared" si="78"/>
        <v>0</v>
      </c>
      <c r="E439" s="6">
        <v>0</v>
      </c>
      <c r="F439" s="6">
        <v>0</v>
      </c>
      <c r="G439" s="7">
        <f t="shared" si="81"/>
        <v>0</v>
      </c>
      <c r="H439" s="7">
        <f t="shared" si="79"/>
        <v>0</v>
      </c>
      <c r="I439" s="8">
        <v>2411</v>
      </c>
      <c r="J439" s="9"/>
      <c r="K439" s="8">
        <f t="shared" si="82"/>
        <v>28932</v>
      </c>
      <c r="L439" s="7">
        <f t="shared" si="80"/>
        <v>0</v>
      </c>
      <c r="M439" s="10">
        <f t="shared" si="83"/>
        <v>1</v>
      </c>
      <c r="N439" s="11">
        <f t="shared" si="84"/>
        <v>0</v>
      </c>
      <c r="O439" s="8">
        <f t="shared" si="85"/>
        <v>0</v>
      </c>
      <c r="P439" s="12">
        <f t="shared" si="86"/>
        <v>0</v>
      </c>
    </row>
    <row r="440" spans="1:16">
      <c r="A440" s="2">
        <v>46275</v>
      </c>
      <c r="B440" s="3">
        <f>Data_Entry!P530</f>
        <v>0</v>
      </c>
      <c r="C440" s="4">
        <f>Data_Entry!V530</f>
        <v>0</v>
      </c>
      <c r="D440" s="5">
        <f t="shared" si="78"/>
        <v>0</v>
      </c>
      <c r="E440" s="6">
        <v>0</v>
      </c>
      <c r="F440" s="6">
        <v>0</v>
      </c>
      <c r="G440" s="7">
        <f t="shared" si="81"/>
        <v>0</v>
      </c>
      <c r="H440" s="7">
        <f t="shared" si="79"/>
        <v>0</v>
      </c>
      <c r="I440" s="8">
        <v>2411</v>
      </c>
      <c r="J440" s="9"/>
      <c r="K440" s="8">
        <f t="shared" si="82"/>
        <v>28932</v>
      </c>
      <c r="L440" s="7">
        <f t="shared" si="80"/>
        <v>0</v>
      </c>
      <c r="M440" s="10">
        <f t="shared" si="83"/>
        <v>1</v>
      </c>
      <c r="N440" s="11">
        <f t="shared" si="84"/>
        <v>0</v>
      </c>
      <c r="O440" s="8">
        <f t="shared" si="85"/>
        <v>0</v>
      </c>
      <c r="P440" s="12">
        <f t="shared" si="86"/>
        <v>0</v>
      </c>
    </row>
    <row r="441" spans="1:16">
      <c r="A441" s="2">
        <v>46276</v>
      </c>
      <c r="B441" s="3">
        <f>Data_Entry!P531</f>
        <v>0</v>
      </c>
      <c r="C441" s="4">
        <f>Data_Entry!V531</f>
        <v>0</v>
      </c>
      <c r="D441" s="5">
        <f t="shared" si="78"/>
        <v>0</v>
      </c>
      <c r="E441" s="6">
        <v>0</v>
      </c>
      <c r="F441" s="6">
        <v>0</v>
      </c>
      <c r="G441" s="7">
        <f t="shared" si="81"/>
        <v>0</v>
      </c>
      <c r="H441" s="7">
        <f t="shared" si="79"/>
        <v>0</v>
      </c>
      <c r="I441" s="8">
        <v>2411</v>
      </c>
      <c r="J441" s="9"/>
      <c r="K441" s="8">
        <f t="shared" si="82"/>
        <v>28932</v>
      </c>
      <c r="L441" s="7">
        <f t="shared" si="80"/>
        <v>0</v>
      </c>
      <c r="M441" s="10">
        <f t="shared" si="83"/>
        <v>1</v>
      </c>
      <c r="N441" s="11">
        <f t="shared" si="84"/>
        <v>0</v>
      </c>
      <c r="O441" s="8">
        <f t="shared" si="85"/>
        <v>0</v>
      </c>
      <c r="P441" s="12">
        <f t="shared" si="86"/>
        <v>0</v>
      </c>
    </row>
    <row r="442" spans="1:16">
      <c r="A442" s="2">
        <v>46277</v>
      </c>
      <c r="B442" s="3">
        <f>Data_Entry!P532</f>
        <v>0</v>
      </c>
      <c r="C442" s="4">
        <f>Data_Entry!V532</f>
        <v>0</v>
      </c>
      <c r="D442" s="5">
        <f t="shared" si="78"/>
        <v>0</v>
      </c>
      <c r="E442" s="6">
        <v>0</v>
      </c>
      <c r="F442" s="6">
        <v>0</v>
      </c>
      <c r="G442" s="7">
        <f t="shared" si="81"/>
        <v>0</v>
      </c>
      <c r="H442" s="7">
        <f t="shared" si="79"/>
        <v>0</v>
      </c>
      <c r="I442" s="8">
        <v>2411</v>
      </c>
      <c r="J442" s="9"/>
      <c r="K442" s="8">
        <f t="shared" si="82"/>
        <v>28932</v>
      </c>
      <c r="L442" s="7">
        <f t="shared" si="80"/>
        <v>0</v>
      </c>
      <c r="M442" s="10">
        <f t="shared" si="83"/>
        <v>1</v>
      </c>
      <c r="N442" s="11">
        <f t="shared" si="84"/>
        <v>0</v>
      </c>
      <c r="O442" s="8">
        <f t="shared" si="85"/>
        <v>0</v>
      </c>
      <c r="P442" s="12">
        <f t="shared" si="86"/>
        <v>0</v>
      </c>
    </row>
    <row r="443" spans="1:16">
      <c r="A443" s="2">
        <v>46278</v>
      </c>
      <c r="B443" s="3">
        <f>Data_Entry!P533</f>
        <v>0</v>
      </c>
      <c r="C443" s="4">
        <f>Data_Entry!V533</f>
        <v>0</v>
      </c>
      <c r="D443" s="5">
        <f t="shared" si="78"/>
        <v>0</v>
      </c>
      <c r="E443" s="6">
        <v>0</v>
      </c>
      <c r="F443" s="6">
        <v>0</v>
      </c>
      <c r="G443" s="7">
        <f t="shared" si="81"/>
        <v>0</v>
      </c>
      <c r="H443" s="7">
        <f t="shared" si="79"/>
        <v>0</v>
      </c>
      <c r="I443" s="8">
        <v>2411</v>
      </c>
      <c r="J443" s="9"/>
      <c r="K443" s="8">
        <f t="shared" si="82"/>
        <v>28932</v>
      </c>
      <c r="L443" s="7">
        <f t="shared" si="80"/>
        <v>0</v>
      </c>
      <c r="M443" s="10">
        <f t="shared" si="83"/>
        <v>1</v>
      </c>
      <c r="N443" s="11">
        <f t="shared" si="84"/>
        <v>0</v>
      </c>
      <c r="O443" s="8">
        <f t="shared" si="85"/>
        <v>0</v>
      </c>
      <c r="P443" s="12">
        <f t="shared" si="86"/>
        <v>0</v>
      </c>
    </row>
    <row r="444" spans="1:16">
      <c r="A444" s="2">
        <v>46279</v>
      </c>
      <c r="B444" s="3">
        <f>Data_Entry!P534</f>
        <v>0</v>
      </c>
      <c r="C444" s="4">
        <f>Data_Entry!V534</f>
        <v>0</v>
      </c>
      <c r="D444" s="5">
        <f t="shared" si="78"/>
        <v>0</v>
      </c>
      <c r="E444" s="6">
        <v>0</v>
      </c>
      <c r="F444" s="6">
        <v>0</v>
      </c>
      <c r="G444" s="7">
        <f t="shared" si="81"/>
        <v>0</v>
      </c>
      <c r="H444" s="7">
        <f t="shared" si="79"/>
        <v>0</v>
      </c>
      <c r="I444" s="8">
        <v>2411</v>
      </c>
      <c r="J444" s="9"/>
      <c r="K444" s="8">
        <f t="shared" si="82"/>
        <v>28932</v>
      </c>
      <c r="L444" s="7">
        <f t="shared" si="80"/>
        <v>0</v>
      </c>
      <c r="M444" s="10">
        <f t="shared" si="83"/>
        <v>1</v>
      </c>
      <c r="N444" s="11">
        <f t="shared" si="84"/>
        <v>0</v>
      </c>
      <c r="O444" s="8">
        <f t="shared" si="85"/>
        <v>0</v>
      </c>
      <c r="P444" s="12">
        <f t="shared" si="86"/>
        <v>0</v>
      </c>
    </row>
    <row r="445" spans="1:16">
      <c r="A445" s="2">
        <v>46280</v>
      </c>
      <c r="B445" s="3">
        <f>Data_Entry!P535</f>
        <v>0</v>
      </c>
      <c r="C445" s="4">
        <f>Data_Entry!V535</f>
        <v>0</v>
      </c>
      <c r="D445" s="5">
        <f t="shared" si="78"/>
        <v>0</v>
      </c>
      <c r="E445" s="6">
        <v>0</v>
      </c>
      <c r="F445" s="6">
        <v>0</v>
      </c>
      <c r="G445" s="7">
        <f t="shared" si="81"/>
        <v>0</v>
      </c>
      <c r="H445" s="7">
        <f t="shared" si="79"/>
        <v>0</v>
      </c>
      <c r="I445" s="8">
        <v>2411</v>
      </c>
      <c r="J445" s="9"/>
      <c r="K445" s="8">
        <f t="shared" si="82"/>
        <v>28932</v>
      </c>
      <c r="L445" s="7">
        <f t="shared" si="80"/>
        <v>0</v>
      </c>
      <c r="M445" s="10">
        <f t="shared" si="83"/>
        <v>1</v>
      </c>
      <c r="N445" s="11">
        <f t="shared" si="84"/>
        <v>0</v>
      </c>
      <c r="O445" s="8">
        <f t="shared" si="85"/>
        <v>0</v>
      </c>
      <c r="P445" s="12">
        <f t="shared" si="86"/>
        <v>0</v>
      </c>
    </row>
    <row r="446" spans="1:16">
      <c r="A446" s="2">
        <v>46281</v>
      </c>
      <c r="B446" s="3">
        <f>Data_Entry!P536</f>
        <v>0</v>
      </c>
      <c r="C446" s="4">
        <f>Data_Entry!V536</f>
        <v>0</v>
      </c>
      <c r="D446" s="5">
        <f t="shared" si="78"/>
        <v>0</v>
      </c>
      <c r="E446" s="6">
        <v>0</v>
      </c>
      <c r="F446" s="6">
        <v>0</v>
      </c>
      <c r="G446" s="7">
        <f t="shared" si="81"/>
        <v>0</v>
      </c>
      <c r="H446" s="7">
        <f t="shared" si="79"/>
        <v>0</v>
      </c>
      <c r="I446" s="8">
        <v>2411</v>
      </c>
      <c r="J446" s="9"/>
      <c r="K446" s="8">
        <f t="shared" si="82"/>
        <v>28932</v>
      </c>
      <c r="L446" s="7">
        <f t="shared" si="80"/>
        <v>0</v>
      </c>
      <c r="M446" s="10">
        <f t="shared" si="83"/>
        <v>1</v>
      </c>
      <c r="N446" s="11">
        <f t="shared" si="84"/>
        <v>0</v>
      </c>
      <c r="O446" s="8">
        <f t="shared" si="85"/>
        <v>0</v>
      </c>
      <c r="P446" s="12">
        <f t="shared" si="86"/>
        <v>0</v>
      </c>
    </row>
    <row r="447" spans="1:16">
      <c r="A447" s="2">
        <v>46282</v>
      </c>
      <c r="B447" s="3">
        <f>Data_Entry!P537</f>
        <v>0</v>
      </c>
      <c r="C447" s="4">
        <f>Data_Entry!V537</f>
        <v>0</v>
      </c>
      <c r="D447" s="5">
        <f t="shared" si="78"/>
        <v>0</v>
      </c>
      <c r="E447" s="6">
        <v>0</v>
      </c>
      <c r="F447" s="6">
        <v>0</v>
      </c>
      <c r="G447" s="7">
        <f t="shared" si="81"/>
        <v>0</v>
      </c>
      <c r="H447" s="7">
        <f t="shared" si="79"/>
        <v>0</v>
      </c>
      <c r="I447" s="8">
        <v>2411</v>
      </c>
      <c r="J447" s="9"/>
      <c r="K447" s="8">
        <f t="shared" si="82"/>
        <v>28932</v>
      </c>
      <c r="L447" s="7">
        <f t="shared" si="80"/>
        <v>0</v>
      </c>
      <c r="M447" s="10">
        <f t="shared" si="83"/>
        <v>1</v>
      </c>
      <c r="N447" s="11">
        <f t="shared" si="84"/>
        <v>0</v>
      </c>
      <c r="O447" s="8">
        <f t="shared" si="85"/>
        <v>0</v>
      </c>
      <c r="P447" s="12">
        <f t="shared" si="86"/>
        <v>0</v>
      </c>
    </row>
    <row r="448" spans="1:16">
      <c r="A448" s="2">
        <v>46283</v>
      </c>
      <c r="B448" s="3">
        <f>Data_Entry!P538</f>
        <v>0</v>
      </c>
      <c r="C448" s="4">
        <f>Data_Entry!V538</f>
        <v>0</v>
      </c>
      <c r="D448" s="5">
        <f t="shared" ref="D448:D470" si="87">B448/(24*I448)</f>
        <v>0</v>
      </c>
      <c r="E448" s="6">
        <v>0</v>
      </c>
      <c r="F448" s="6">
        <v>0</v>
      </c>
      <c r="G448" s="7">
        <f t="shared" si="81"/>
        <v>0</v>
      </c>
      <c r="H448" s="7">
        <f t="shared" ref="H448:H470" si="88">G448/60</f>
        <v>0</v>
      </c>
      <c r="I448" s="8">
        <v>2411</v>
      </c>
      <c r="J448" s="9"/>
      <c r="K448" s="8">
        <f t="shared" si="82"/>
        <v>28932</v>
      </c>
      <c r="L448" s="7">
        <f t="shared" ref="L448:L470" si="89">J448*H448</f>
        <v>0</v>
      </c>
      <c r="M448" s="10">
        <f t="shared" si="83"/>
        <v>1</v>
      </c>
      <c r="N448" s="11">
        <f t="shared" si="84"/>
        <v>0</v>
      </c>
      <c r="O448" s="8">
        <f t="shared" si="85"/>
        <v>0</v>
      </c>
      <c r="P448" s="12">
        <f t="shared" si="86"/>
        <v>0</v>
      </c>
    </row>
    <row r="449" spans="1:16">
      <c r="A449" s="2">
        <v>46284</v>
      </c>
      <c r="B449" s="3">
        <f>Data_Entry!P539</f>
        <v>0</v>
      </c>
      <c r="C449" s="4">
        <f>Data_Entry!V539</f>
        <v>0</v>
      </c>
      <c r="D449" s="5">
        <f t="shared" si="87"/>
        <v>0</v>
      </c>
      <c r="E449" s="6">
        <v>0</v>
      </c>
      <c r="F449" s="6">
        <v>0</v>
      </c>
      <c r="G449" s="7">
        <f t="shared" si="81"/>
        <v>0</v>
      </c>
      <c r="H449" s="7">
        <f t="shared" si="88"/>
        <v>0</v>
      </c>
      <c r="I449" s="8">
        <v>2411</v>
      </c>
      <c r="J449" s="9"/>
      <c r="K449" s="8">
        <f t="shared" si="82"/>
        <v>28932</v>
      </c>
      <c r="L449" s="7">
        <f t="shared" si="89"/>
        <v>0</v>
      </c>
      <c r="M449" s="10">
        <f t="shared" si="83"/>
        <v>1</v>
      </c>
      <c r="N449" s="11">
        <f t="shared" si="84"/>
        <v>0</v>
      </c>
      <c r="O449" s="8">
        <f t="shared" si="85"/>
        <v>0</v>
      </c>
      <c r="P449" s="12">
        <f t="shared" si="86"/>
        <v>0</v>
      </c>
    </row>
    <row r="450" spans="1:16">
      <c r="A450" s="2">
        <v>46285</v>
      </c>
      <c r="B450" s="3">
        <f>Data_Entry!P540</f>
        <v>0</v>
      </c>
      <c r="C450" s="4">
        <f>Data_Entry!V540</f>
        <v>0</v>
      </c>
      <c r="D450" s="5">
        <f t="shared" si="87"/>
        <v>0</v>
      </c>
      <c r="E450" s="6">
        <v>0</v>
      </c>
      <c r="F450" s="6">
        <v>0</v>
      </c>
      <c r="G450" s="7">
        <f t="shared" si="81"/>
        <v>0</v>
      </c>
      <c r="H450" s="7">
        <f t="shared" si="88"/>
        <v>0</v>
      </c>
      <c r="I450" s="8">
        <v>2411</v>
      </c>
      <c r="J450" s="9"/>
      <c r="K450" s="8">
        <f t="shared" si="82"/>
        <v>28932</v>
      </c>
      <c r="L450" s="7">
        <f t="shared" si="89"/>
        <v>0</v>
      </c>
      <c r="M450" s="10">
        <f t="shared" si="83"/>
        <v>1</v>
      </c>
      <c r="N450" s="11">
        <f t="shared" si="84"/>
        <v>0</v>
      </c>
      <c r="O450" s="8">
        <f t="shared" si="85"/>
        <v>0</v>
      </c>
      <c r="P450" s="12">
        <f t="shared" si="86"/>
        <v>0</v>
      </c>
    </row>
    <row r="451" spans="1:16">
      <c r="A451" s="2">
        <v>46286</v>
      </c>
      <c r="B451" s="3">
        <f>Data_Entry!P541</f>
        <v>0</v>
      </c>
      <c r="C451" s="4">
        <f>Data_Entry!V541</f>
        <v>0</v>
      </c>
      <c r="D451" s="5">
        <f t="shared" si="87"/>
        <v>0</v>
      </c>
      <c r="E451" s="6">
        <v>0</v>
      </c>
      <c r="F451" s="6">
        <v>0</v>
      </c>
      <c r="G451" s="7">
        <f t="shared" si="81"/>
        <v>0</v>
      </c>
      <c r="H451" s="7">
        <f t="shared" si="88"/>
        <v>0</v>
      </c>
      <c r="I451" s="8">
        <v>2411</v>
      </c>
      <c r="J451" s="9"/>
      <c r="K451" s="8">
        <f t="shared" si="82"/>
        <v>28932</v>
      </c>
      <c r="L451" s="7">
        <f t="shared" si="89"/>
        <v>0</v>
      </c>
      <c r="M451" s="10">
        <f t="shared" si="83"/>
        <v>1</v>
      </c>
      <c r="N451" s="11">
        <f t="shared" si="84"/>
        <v>0</v>
      </c>
      <c r="O451" s="8">
        <f t="shared" si="85"/>
        <v>0</v>
      </c>
      <c r="P451" s="12">
        <f t="shared" si="86"/>
        <v>0</v>
      </c>
    </row>
    <row r="452" spans="1:16">
      <c r="A452" s="2">
        <v>46287</v>
      </c>
      <c r="B452" s="3">
        <f>Data_Entry!P542</f>
        <v>0</v>
      </c>
      <c r="C452" s="4">
        <f>Data_Entry!V542</f>
        <v>0</v>
      </c>
      <c r="D452" s="5">
        <f t="shared" si="87"/>
        <v>0</v>
      </c>
      <c r="E452" s="6">
        <v>0</v>
      </c>
      <c r="F452" s="6">
        <v>0</v>
      </c>
      <c r="G452" s="7">
        <f t="shared" si="81"/>
        <v>0</v>
      </c>
      <c r="H452" s="7">
        <f t="shared" si="88"/>
        <v>0</v>
      </c>
      <c r="I452" s="8">
        <v>2411</v>
      </c>
      <c r="J452" s="9"/>
      <c r="K452" s="8">
        <f t="shared" si="82"/>
        <v>28932</v>
      </c>
      <c r="L452" s="7">
        <f t="shared" si="89"/>
        <v>0</v>
      </c>
      <c r="M452" s="10">
        <f t="shared" si="83"/>
        <v>1</v>
      </c>
      <c r="N452" s="11">
        <f t="shared" si="84"/>
        <v>0</v>
      </c>
      <c r="O452" s="8">
        <f t="shared" si="85"/>
        <v>0</v>
      </c>
      <c r="P452" s="12">
        <f t="shared" si="86"/>
        <v>0</v>
      </c>
    </row>
    <row r="453" spans="1:16">
      <c r="A453" s="2">
        <v>46288</v>
      </c>
      <c r="B453" s="3">
        <f>Data_Entry!P543</f>
        <v>0</v>
      </c>
      <c r="C453" s="4">
        <f>Data_Entry!V543</f>
        <v>0</v>
      </c>
      <c r="D453" s="5">
        <f t="shared" si="87"/>
        <v>0</v>
      </c>
      <c r="E453" s="6">
        <v>0</v>
      </c>
      <c r="F453" s="6">
        <v>0</v>
      </c>
      <c r="G453" s="7">
        <f t="shared" si="81"/>
        <v>0</v>
      </c>
      <c r="H453" s="7">
        <f t="shared" si="88"/>
        <v>0</v>
      </c>
      <c r="I453" s="8">
        <v>2411</v>
      </c>
      <c r="J453" s="9"/>
      <c r="K453" s="8">
        <f t="shared" si="82"/>
        <v>28932</v>
      </c>
      <c r="L453" s="7">
        <f t="shared" si="89"/>
        <v>0</v>
      </c>
      <c r="M453" s="10">
        <f t="shared" si="83"/>
        <v>1</v>
      </c>
      <c r="N453" s="11">
        <f t="shared" si="84"/>
        <v>0</v>
      </c>
      <c r="O453" s="8">
        <f t="shared" si="85"/>
        <v>0</v>
      </c>
      <c r="P453" s="12">
        <f t="shared" si="86"/>
        <v>0</v>
      </c>
    </row>
    <row r="454" spans="1:16">
      <c r="A454" s="2">
        <v>46289</v>
      </c>
      <c r="B454" s="3">
        <f>Data_Entry!P544</f>
        <v>0</v>
      </c>
      <c r="C454" s="4">
        <f>Data_Entry!V544</f>
        <v>0</v>
      </c>
      <c r="D454" s="5">
        <f t="shared" si="87"/>
        <v>0</v>
      </c>
      <c r="E454" s="6">
        <v>0</v>
      </c>
      <c r="F454" s="6">
        <v>0</v>
      </c>
      <c r="G454" s="7">
        <f t="shared" si="81"/>
        <v>0</v>
      </c>
      <c r="H454" s="7">
        <f t="shared" si="88"/>
        <v>0</v>
      </c>
      <c r="I454" s="8">
        <v>2411</v>
      </c>
      <c r="J454" s="9"/>
      <c r="K454" s="8">
        <f t="shared" si="82"/>
        <v>28932</v>
      </c>
      <c r="L454" s="7">
        <f t="shared" si="89"/>
        <v>0</v>
      </c>
      <c r="M454" s="10">
        <f t="shared" si="83"/>
        <v>1</v>
      </c>
      <c r="N454" s="11">
        <f t="shared" si="84"/>
        <v>0</v>
      </c>
      <c r="O454" s="8">
        <f t="shared" si="85"/>
        <v>0</v>
      </c>
      <c r="P454" s="12">
        <f t="shared" si="86"/>
        <v>0</v>
      </c>
    </row>
    <row r="455" spans="1:16">
      <c r="A455" s="2">
        <v>46290</v>
      </c>
      <c r="B455" s="3">
        <f>Data_Entry!P545</f>
        <v>0</v>
      </c>
      <c r="C455" s="4">
        <f>Data_Entry!V545</f>
        <v>0</v>
      </c>
      <c r="D455" s="5">
        <f t="shared" si="87"/>
        <v>0</v>
      </c>
      <c r="E455" s="6">
        <v>0</v>
      </c>
      <c r="F455" s="6">
        <v>0</v>
      </c>
      <c r="G455" s="7">
        <f t="shared" si="81"/>
        <v>0</v>
      </c>
      <c r="H455" s="7">
        <f t="shared" si="88"/>
        <v>0</v>
      </c>
      <c r="I455" s="8">
        <v>2411</v>
      </c>
      <c r="J455" s="9"/>
      <c r="K455" s="8">
        <f t="shared" si="82"/>
        <v>28932</v>
      </c>
      <c r="L455" s="7">
        <f t="shared" si="89"/>
        <v>0</v>
      </c>
      <c r="M455" s="10">
        <f t="shared" si="83"/>
        <v>1</v>
      </c>
      <c r="N455" s="11">
        <f t="shared" si="84"/>
        <v>0</v>
      </c>
      <c r="O455" s="8">
        <f t="shared" si="85"/>
        <v>0</v>
      </c>
      <c r="P455" s="12">
        <f t="shared" si="86"/>
        <v>0</v>
      </c>
    </row>
    <row r="456" spans="1:16">
      <c r="A456" s="2">
        <v>46291</v>
      </c>
      <c r="B456" s="3">
        <f>Data_Entry!P546</f>
        <v>0</v>
      </c>
      <c r="C456" s="4">
        <f>Data_Entry!V546</f>
        <v>0</v>
      </c>
      <c r="D456" s="5">
        <f t="shared" si="87"/>
        <v>0</v>
      </c>
      <c r="E456" s="6">
        <v>0</v>
      </c>
      <c r="F456" s="6">
        <v>0</v>
      </c>
      <c r="G456" s="7">
        <f t="shared" si="81"/>
        <v>0</v>
      </c>
      <c r="H456" s="7">
        <f t="shared" si="88"/>
        <v>0</v>
      </c>
      <c r="I456" s="8">
        <v>2411</v>
      </c>
      <c r="J456" s="9"/>
      <c r="K456" s="8">
        <f t="shared" si="82"/>
        <v>28932</v>
      </c>
      <c r="L456" s="7">
        <f t="shared" si="89"/>
        <v>0</v>
      </c>
      <c r="M456" s="10">
        <f t="shared" si="83"/>
        <v>1</v>
      </c>
      <c r="N456" s="11">
        <f t="shared" si="84"/>
        <v>0</v>
      </c>
      <c r="O456" s="8">
        <f t="shared" si="85"/>
        <v>0</v>
      </c>
      <c r="P456" s="12">
        <f t="shared" si="86"/>
        <v>0</v>
      </c>
    </row>
    <row r="457" spans="1:16">
      <c r="A457" s="2">
        <v>46292</v>
      </c>
      <c r="B457" s="3">
        <f>Data_Entry!P547</f>
        <v>0</v>
      </c>
      <c r="C457" s="4">
        <f>Data_Entry!V547</f>
        <v>0</v>
      </c>
      <c r="D457" s="5">
        <f t="shared" si="87"/>
        <v>0</v>
      </c>
      <c r="E457" s="6">
        <v>0</v>
      </c>
      <c r="F457" s="6">
        <v>0</v>
      </c>
      <c r="G457" s="7">
        <f t="shared" si="81"/>
        <v>0</v>
      </c>
      <c r="H457" s="7">
        <f t="shared" si="88"/>
        <v>0</v>
      </c>
      <c r="I457" s="8">
        <v>2411</v>
      </c>
      <c r="J457" s="9"/>
      <c r="K457" s="8">
        <f t="shared" si="82"/>
        <v>28932</v>
      </c>
      <c r="L457" s="7">
        <f t="shared" si="89"/>
        <v>0</v>
      </c>
      <c r="M457" s="10">
        <f t="shared" si="83"/>
        <v>1</v>
      </c>
      <c r="N457" s="11">
        <f t="shared" si="84"/>
        <v>0</v>
      </c>
      <c r="O457" s="8">
        <f t="shared" si="85"/>
        <v>0</v>
      </c>
      <c r="P457" s="12">
        <f t="shared" si="86"/>
        <v>0</v>
      </c>
    </row>
    <row r="458" spans="1:16">
      <c r="A458" s="2">
        <v>46293</v>
      </c>
      <c r="B458" s="3">
        <f>Data_Entry!P548</f>
        <v>0</v>
      </c>
      <c r="C458" s="4">
        <f>Data_Entry!V548</f>
        <v>0</v>
      </c>
      <c r="D458" s="5">
        <f t="shared" si="87"/>
        <v>0</v>
      </c>
      <c r="E458" s="6">
        <v>0</v>
      </c>
      <c r="F458" s="6">
        <v>0</v>
      </c>
      <c r="G458" s="7">
        <f t="shared" si="81"/>
        <v>0</v>
      </c>
      <c r="H458" s="7">
        <f t="shared" si="88"/>
        <v>0</v>
      </c>
      <c r="I458" s="8">
        <v>2411</v>
      </c>
      <c r="J458" s="9"/>
      <c r="K458" s="8">
        <f t="shared" si="82"/>
        <v>28932</v>
      </c>
      <c r="L458" s="7">
        <f t="shared" si="89"/>
        <v>0</v>
      </c>
      <c r="M458" s="10">
        <f t="shared" si="83"/>
        <v>1</v>
      </c>
      <c r="N458" s="11">
        <f t="shared" si="84"/>
        <v>0</v>
      </c>
      <c r="O458" s="8">
        <f t="shared" si="85"/>
        <v>0</v>
      </c>
      <c r="P458" s="12">
        <f t="shared" si="86"/>
        <v>0</v>
      </c>
    </row>
    <row r="459" spans="1:16">
      <c r="A459" s="2">
        <v>46294</v>
      </c>
      <c r="B459" s="3">
        <f>Data_Entry!P549</f>
        <v>0</v>
      </c>
      <c r="C459" s="4">
        <f>Data_Entry!V549</f>
        <v>0</v>
      </c>
      <c r="D459" s="5">
        <f t="shared" si="87"/>
        <v>0</v>
      </c>
      <c r="E459" s="6">
        <v>0</v>
      </c>
      <c r="F459" s="6">
        <v>0</v>
      </c>
      <c r="G459" s="7">
        <f t="shared" si="81"/>
        <v>0</v>
      </c>
      <c r="H459" s="7">
        <f t="shared" si="88"/>
        <v>0</v>
      </c>
      <c r="I459" s="8">
        <v>2411</v>
      </c>
      <c r="J459" s="9"/>
      <c r="K459" s="8">
        <f t="shared" si="82"/>
        <v>28932</v>
      </c>
      <c r="L459" s="7">
        <f t="shared" si="89"/>
        <v>0</v>
      </c>
      <c r="M459" s="10">
        <f t="shared" si="83"/>
        <v>1</v>
      </c>
      <c r="N459" s="11">
        <f t="shared" si="84"/>
        <v>0</v>
      </c>
      <c r="O459" s="8">
        <f t="shared" si="85"/>
        <v>0</v>
      </c>
      <c r="P459" s="12">
        <f t="shared" si="86"/>
        <v>0</v>
      </c>
    </row>
    <row r="460" spans="1:16">
      <c r="A460" s="2">
        <v>46295</v>
      </c>
      <c r="B460" s="3">
        <f>Data_Entry!P550</f>
        <v>0</v>
      </c>
      <c r="C460" s="4">
        <f>Data_Entry!V550</f>
        <v>0</v>
      </c>
      <c r="D460" s="5">
        <f t="shared" si="87"/>
        <v>0</v>
      </c>
      <c r="E460" s="6">
        <v>0</v>
      </c>
      <c r="F460" s="6">
        <v>0</v>
      </c>
      <c r="G460" s="7">
        <f t="shared" si="81"/>
        <v>0</v>
      </c>
      <c r="H460" s="7">
        <f t="shared" si="88"/>
        <v>0</v>
      </c>
      <c r="I460" s="8">
        <v>2411</v>
      </c>
      <c r="J460" s="9"/>
      <c r="K460" s="8">
        <f t="shared" si="82"/>
        <v>28932</v>
      </c>
      <c r="L460" s="7">
        <f t="shared" si="89"/>
        <v>0</v>
      </c>
      <c r="M460" s="10">
        <f t="shared" si="83"/>
        <v>1</v>
      </c>
      <c r="N460" s="11">
        <f t="shared" si="84"/>
        <v>0</v>
      </c>
      <c r="O460" s="8">
        <f t="shared" si="85"/>
        <v>0</v>
      </c>
      <c r="P460" s="12">
        <f t="shared" si="86"/>
        <v>0</v>
      </c>
    </row>
    <row r="461" spans="1:16">
      <c r="A461" s="2">
        <v>46296</v>
      </c>
      <c r="B461" s="3">
        <f>Data_Entry!P551</f>
        <v>0</v>
      </c>
      <c r="C461" s="4">
        <f>Data_Entry!V551</f>
        <v>0</v>
      </c>
      <c r="D461" s="5">
        <f t="shared" si="87"/>
        <v>0</v>
      </c>
      <c r="E461" s="6">
        <v>0</v>
      </c>
      <c r="F461" s="6">
        <v>0</v>
      </c>
      <c r="G461" s="7">
        <f t="shared" si="81"/>
        <v>0</v>
      </c>
      <c r="H461" s="7">
        <f t="shared" si="88"/>
        <v>0</v>
      </c>
      <c r="I461" s="8">
        <v>2411</v>
      </c>
      <c r="J461" s="9"/>
      <c r="K461" s="8">
        <f t="shared" si="82"/>
        <v>28932</v>
      </c>
      <c r="L461" s="7">
        <f t="shared" si="89"/>
        <v>0</v>
      </c>
      <c r="M461" s="10">
        <f t="shared" si="83"/>
        <v>1</v>
      </c>
      <c r="N461" s="11">
        <f t="shared" si="84"/>
        <v>0</v>
      </c>
      <c r="O461" s="8">
        <f t="shared" si="85"/>
        <v>0</v>
      </c>
      <c r="P461" s="12">
        <f t="shared" si="86"/>
        <v>0</v>
      </c>
    </row>
    <row r="462" spans="1:16">
      <c r="A462" s="2">
        <v>46297</v>
      </c>
      <c r="B462" s="3">
        <f>Data_Entry!P552</f>
        <v>0</v>
      </c>
      <c r="C462" s="4">
        <f>Data_Entry!V552</f>
        <v>0</v>
      </c>
      <c r="D462" s="5">
        <f t="shared" si="87"/>
        <v>0</v>
      </c>
      <c r="E462" s="6">
        <v>0</v>
      </c>
      <c r="F462" s="6">
        <v>0</v>
      </c>
      <c r="G462" s="7">
        <f t="shared" si="81"/>
        <v>0</v>
      </c>
      <c r="H462" s="7">
        <f t="shared" si="88"/>
        <v>0</v>
      </c>
      <c r="I462" s="8">
        <v>2411</v>
      </c>
      <c r="J462" s="9"/>
      <c r="K462" s="8">
        <f t="shared" si="82"/>
        <v>28932</v>
      </c>
      <c r="L462" s="7">
        <f t="shared" si="89"/>
        <v>0</v>
      </c>
      <c r="M462" s="10">
        <f t="shared" si="83"/>
        <v>1</v>
      </c>
      <c r="N462" s="11">
        <f t="shared" si="84"/>
        <v>0</v>
      </c>
      <c r="O462" s="8">
        <f t="shared" si="85"/>
        <v>0</v>
      </c>
      <c r="P462" s="12">
        <f t="shared" si="86"/>
        <v>0</v>
      </c>
    </row>
    <row r="463" spans="1:16">
      <c r="A463" s="2">
        <v>46298</v>
      </c>
      <c r="B463" s="3">
        <f>Data_Entry!P553</f>
        <v>0</v>
      </c>
      <c r="C463" s="4">
        <f>Data_Entry!V553</f>
        <v>0</v>
      </c>
      <c r="D463" s="5">
        <f t="shared" si="87"/>
        <v>0</v>
      </c>
      <c r="E463" s="6">
        <v>0</v>
      </c>
      <c r="F463" s="6">
        <v>0</v>
      </c>
      <c r="G463" s="7">
        <f t="shared" si="81"/>
        <v>0</v>
      </c>
      <c r="H463" s="7">
        <f t="shared" si="88"/>
        <v>0</v>
      </c>
      <c r="I463" s="8">
        <v>2411</v>
      </c>
      <c r="J463" s="9"/>
      <c r="K463" s="8">
        <f t="shared" si="82"/>
        <v>28932</v>
      </c>
      <c r="L463" s="7">
        <f t="shared" si="89"/>
        <v>0</v>
      </c>
      <c r="M463" s="10">
        <f t="shared" si="83"/>
        <v>1</v>
      </c>
      <c r="N463" s="11">
        <f t="shared" si="84"/>
        <v>0</v>
      </c>
      <c r="O463" s="8">
        <f t="shared" si="85"/>
        <v>0</v>
      </c>
      <c r="P463" s="12">
        <f t="shared" si="86"/>
        <v>0</v>
      </c>
    </row>
    <row r="464" spans="1:16">
      <c r="A464" s="2">
        <v>46299</v>
      </c>
      <c r="B464" s="3">
        <f>Data_Entry!P554</f>
        <v>0</v>
      </c>
      <c r="C464" s="4">
        <f>Data_Entry!V554</f>
        <v>0</v>
      </c>
      <c r="D464" s="5">
        <f t="shared" si="87"/>
        <v>0</v>
      </c>
      <c r="E464" s="6">
        <v>0</v>
      </c>
      <c r="F464" s="6">
        <v>0</v>
      </c>
      <c r="G464" s="7">
        <f t="shared" si="81"/>
        <v>0</v>
      </c>
      <c r="H464" s="7">
        <f t="shared" si="88"/>
        <v>0</v>
      </c>
      <c r="I464" s="8">
        <v>2411</v>
      </c>
      <c r="J464" s="9"/>
      <c r="K464" s="8">
        <f t="shared" si="82"/>
        <v>28932</v>
      </c>
      <c r="L464" s="7">
        <f t="shared" si="89"/>
        <v>0</v>
      </c>
      <c r="M464" s="10">
        <f t="shared" si="83"/>
        <v>1</v>
      </c>
      <c r="N464" s="11">
        <f t="shared" si="84"/>
        <v>0</v>
      </c>
      <c r="O464" s="8">
        <f t="shared" si="85"/>
        <v>0</v>
      </c>
      <c r="P464" s="12">
        <f t="shared" si="86"/>
        <v>0</v>
      </c>
    </row>
    <row r="465" spans="1:16">
      <c r="A465" s="2">
        <v>46300</v>
      </c>
      <c r="B465" s="3">
        <f>Data_Entry!P555</f>
        <v>0</v>
      </c>
      <c r="C465" s="4">
        <f>Data_Entry!V555</f>
        <v>0</v>
      </c>
      <c r="D465" s="5">
        <f t="shared" si="87"/>
        <v>0</v>
      </c>
      <c r="E465" s="6">
        <v>0</v>
      </c>
      <c r="F465" s="6">
        <v>0</v>
      </c>
      <c r="G465" s="7">
        <f t="shared" si="81"/>
        <v>0</v>
      </c>
      <c r="H465" s="7">
        <f t="shared" si="88"/>
        <v>0</v>
      </c>
      <c r="I465" s="8">
        <v>2411</v>
      </c>
      <c r="J465" s="9"/>
      <c r="K465" s="8">
        <f t="shared" si="82"/>
        <v>28932</v>
      </c>
      <c r="L465" s="7">
        <f t="shared" si="89"/>
        <v>0</v>
      </c>
      <c r="M465" s="10">
        <f t="shared" si="83"/>
        <v>1</v>
      </c>
      <c r="N465" s="11">
        <f t="shared" si="84"/>
        <v>0</v>
      </c>
      <c r="O465" s="8">
        <f t="shared" si="85"/>
        <v>0</v>
      </c>
      <c r="P465" s="12">
        <f t="shared" si="86"/>
        <v>0</v>
      </c>
    </row>
    <row r="466" spans="1:16">
      <c r="A466" s="2">
        <v>46301</v>
      </c>
      <c r="B466" s="3">
        <f>Data_Entry!P556</f>
        <v>0</v>
      </c>
      <c r="C466" s="4">
        <f>Data_Entry!V556</f>
        <v>0</v>
      </c>
      <c r="D466" s="5">
        <f t="shared" si="87"/>
        <v>0</v>
      </c>
      <c r="E466" s="6">
        <v>0</v>
      </c>
      <c r="F466" s="6">
        <v>0</v>
      </c>
      <c r="G466" s="7">
        <f t="shared" si="81"/>
        <v>0</v>
      </c>
      <c r="H466" s="7">
        <f t="shared" si="88"/>
        <v>0</v>
      </c>
      <c r="I466" s="8">
        <v>2411</v>
      </c>
      <c r="J466" s="9"/>
      <c r="K466" s="8">
        <f t="shared" si="82"/>
        <v>28932</v>
      </c>
      <c r="L466" s="7">
        <f t="shared" si="89"/>
        <v>0</v>
      </c>
      <c r="M466" s="10">
        <f t="shared" si="83"/>
        <v>1</v>
      </c>
      <c r="N466" s="11">
        <f t="shared" si="84"/>
        <v>0</v>
      </c>
      <c r="O466" s="8">
        <f t="shared" si="85"/>
        <v>0</v>
      </c>
      <c r="P466" s="12">
        <f t="shared" si="86"/>
        <v>0</v>
      </c>
    </row>
    <row r="467" spans="1:16">
      <c r="A467" s="2">
        <v>46302</v>
      </c>
      <c r="B467" s="3">
        <f>Data_Entry!P557</f>
        <v>0</v>
      </c>
      <c r="C467" s="4">
        <f>Data_Entry!V557</f>
        <v>0</v>
      </c>
      <c r="D467" s="5">
        <f t="shared" si="87"/>
        <v>0</v>
      </c>
      <c r="E467" s="6">
        <v>0</v>
      </c>
      <c r="F467" s="6">
        <v>0</v>
      </c>
      <c r="G467" s="7">
        <f t="shared" si="81"/>
        <v>0</v>
      </c>
      <c r="H467" s="7">
        <f t="shared" si="88"/>
        <v>0</v>
      </c>
      <c r="I467" s="8">
        <v>2411</v>
      </c>
      <c r="J467" s="9"/>
      <c r="K467" s="8">
        <f t="shared" si="82"/>
        <v>28932</v>
      </c>
      <c r="L467" s="7">
        <f t="shared" si="89"/>
        <v>0</v>
      </c>
      <c r="M467" s="10">
        <f t="shared" si="83"/>
        <v>1</v>
      </c>
      <c r="N467" s="11">
        <f t="shared" si="84"/>
        <v>0</v>
      </c>
      <c r="O467" s="8">
        <f t="shared" si="85"/>
        <v>0</v>
      </c>
      <c r="P467" s="12">
        <f t="shared" si="86"/>
        <v>0</v>
      </c>
    </row>
    <row r="468" spans="1:16">
      <c r="A468" s="2">
        <v>46303</v>
      </c>
      <c r="B468" s="3">
        <f>Data_Entry!P558</f>
        <v>0</v>
      </c>
      <c r="C468" s="4">
        <f>Data_Entry!V558</f>
        <v>0</v>
      </c>
      <c r="D468" s="5">
        <f t="shared" si="87"/>
        <v>0</v>
      </c>
      <c r="E468" s="6">
        <v>0</v>
      </c>
      <c r="F468" s="6">
        <v>0</v>
      </c>
      <c r="G468" s="7">
        <f t="shared" si="81"/>
        <v>0</v>
      </c>
      <c r="H468" s="7">
        <f t="shared" si="88"/>
        <v>0</v>
      </c>
      <c r="I468" s="8">
        <v>2411</v>
      </c>
      <c r="J468" s="9"/>
      <c r="K468" s="8">
        <f t="shared" si="82"/>
        <v>28932</v>
      </c>
      <c r="L468" s="7">
        <f t="shared" si="89"/>
        <v>0</v>
      </c>
      <c r="M468" s="10">
        <f t="shared" si="83"/>
        <v>1</v>
      </c>
      <c r="N468" s="11">
        <f t="shared" si="84"/>
        <v>0</v>
      </c>
      <c r="O468" s="8">
        <f t="shared" si="85"/>
        <v>0</v>
      </c>
      <c r="P468" s="12">
        <f t="shared" si="86"/>
        <v>0</v>
      </c>
    </row>
    <row r="469" spans="1:16">
      <c r="A469" s="2">
        <v>46304</v>
      </c>
      <c r="B469" s="3">
        <f>Data_Entry!P559</f>
        <v>0</v>
      </c>
      <c r="C469" s="4">
        <f>Data_Entry!V559</f>
        <v>0</v>
      </c>
      <c r="D469" s="5">
        <f t="shared" si="87"/>
        <v>0</v>
      </c>
      <c r="E469" s="6">
        <v>0</v>
      </c>
      <c r="F469" s="6">
        <v>0</v>
      </c>
      <c r="G469" s="7">
        <f t="shared" si="81"/>
        <v>0</v>
      </c>
      <c r="H469" s="7">
        <f t="shared" si="88"/>
        <v>0</v>
      </c>
      <c r="I469" s="8">
        <v>2411</v>
      </c>
      <c r="J469" s="9"/>
      <c r="K469" s="8">
        <f t="shared" si="82"/>
        <v>28932</v>
      </c>
      <c r="L469" s="7">
        <f t="shared" si="89"/>
        <v>0</v>
      </c>
      <c r="M469" s="10">
        <f t="shared" si="83"/>
        <v>1</v>
      </c>
      <c r="N469" s="11">
        <f t="shared" si="84"/>
        <v>0</v>
      </c>
      <c r="O469" s="8">
        <f t="shared" si="85"/>
        <v>0</v>
      </c>
      <c r="P469" s="12">
        <f t="shared" si="86"/>
        <v>0</v>
      </c>
    </row>
    <row r="470" spans="1:16">
      <c r="A470" s="2">
        <v>46305</v>
      </c>
      <c r="B470" s="3">
        <f>Data_Entry!P560</f>
        <v>0</v>
      </c>
      <c r="C470" s="4">
        <f>Data_Entry!V560</f>
        <v>0</v>
      </c>
      <c r="D470" s="5">
        <f t="shared" si="87"/>
        <v>0</v>
      </c>
      <c r="E470" s="6">
        <v>0</v>
      </c>
      <c r="F470" s="6">
        <v>0</v>
      </c>
      <c r="G470" s="7">
        <f t="shared" si="81"/>
        <v>0</v>
      </c>
      <c r="H470" s="7">
        <f t="shared" si="88"/>
        <v>0</v>
      </c>
      <c r="I470" s="8">
        <v>2411</v>
      </c>
      <c r="J470" s="9"/>
      <c r="K470" s="8">
        <f t="shared" si="82"/>
        <v>28932</v>
      </c>
      <c r="L470" s="7">
        <f t="shared" si="89"/>
        <v>0</v>
      </c>
      <c r="M470" s="10">
        <f t="shared" si="83"/>
        <v>1</v>
      </c>
      <c r="N470" s="11">
        <f t="shared" si="84"/>
        <v>0</v>
      </c>
      <c r="O470" s="8">
        <f t="shared" si="85"/>
        <v>0</v>
      </c>
      <c r="P470" s="12">
        <f t="shared" si="86"/>
        <v>0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" master="" otherUserPermission="visible"/>
  <rangeList sheetStid="12" master="" otherUserPermission="visible">
    <arrUserId title="Range1" rangeCreator="" othersAccessPermission="edit"/>
  </rangeList>
  <rangeList sheetStid="8" master="" otherUserPermission="visible"/>
  <rangeList sheetStid="9" master="" otherUserPermission="visible"/>
  <rangeList sheetStid="15" master="" otherUserPermission="visible"/>
  <rangeList sheetStid="14" master="" otherUserPermission="visible"/>
  <rangeList sheetStid="4" master="" otherUserPermission="visible"/>
  <rangeList sheetStid="3" master="" otherUserPermission="visible"/>
  <rangeList sheetStid="7" master="" otherUserPermission="visible"/>
  <rangeList sheetStid="5" master="" otherUserPermission="visible"/>
  <rangeList sheetStid="13" master="" otherUserPermission="visible"/>
  <rangeList sheetStid="16" master="" otherUserPermission="visible"/>
  <rangeList sheetStid="1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Budgeted_Data</vt:lpstr>
      <vt:lpstr>E-Mail_Copy</vt:lpstr>
      <vt:lpstr>DGR</vt:lpstr>
      <vt:lpstr>Data_Entry</vt:lpstr>
      <vt:lpstr>Inverter_PR</vt:lpstr>
      <vt:lpstr>Invt_Analysis_Gen_Per_KW &amp;_PR</vt:lpstr>
      <vt:lpstr>Basic_Data</vt:lpstr>
      <vt:lpstr>Plant_Down_Time Details</vt:lpstr>
      <vt:lpstr>Plant_Grid_Down_Time_Details</vt:lpstr>
      <vt:lpstr>WMS</vt:lpstr>
      <vt:lpstr>Module_Cleaning</vt:lpstr>
      <vt:lpstr>Plant  Availiblity</vt:lpstr>
      <vt:lpstr>Grid Availiblity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 g45 5G</dc:creator>
  <cp:lastModifiedBy>Admin</cp:lastModifiedBy>
  <dcterms:created xsi:type="dcterms:W3CDTF">2025-03-18T05:55:00Z</dcterms:created>
  <dcterms:modified xsi:type="dcterms:W3CDTF">2026-06-06T04:00:30Z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5e0b00c7a440410a90880836e8d7be32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